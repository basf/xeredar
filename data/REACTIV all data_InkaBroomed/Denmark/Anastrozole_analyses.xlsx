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6.xml" ContentType="application/vnd.openxmlformats-officedocument.drawingml.chartshapes+xml"/>
  <Override PartName="/xl/drawings/drawing2.xml" ContentType="application/vnd.openxmlformats-officedocument.drawingml.chartshapes+xml"/>
  <Override PartName="/xl/drawings/drawing4.xml" ContentType="application/vnd.openxmlformats-officedocument.drawingml.chartshap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chartsheets/sheet3.xml" ContentType="application/vnd.openxmlformats-officedocument.spreadsheetml.chartsheet+xml"/>
  <Override PartName="/xl/worksheets/sheet5.xml" ContentType="application/vnd.openxmlformats-officedocument.spreadsheetml.work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filterPrivacy="1" hidePivotFieldList="1" defaultThemeVersion="124226"/>
  <xr:revisionPtr revIDLastSave="0" documentId="13_ncr:1_{E72FB944-D2FE-4AA9-A715-734EE873BD6F}" xr6:coauthVersionLast="47" xr6:coauthVersionMax="47" xr10:uidLastSave="{00000000-0000-0000-0000-000000000000}"/>
  <bookViews>
    <workbookView xWindow="-110" yWindow="-110" windowWidth="19420" windowHeight="10420" firstSheet="3" activeTab="7" xr2:uid="{00000000-000D-0000-FFFF-FFFF00000000}"/>
  </bookViews>
  <sheets>
    <sheet name="Front page" sheetId="10" r:id="rId1"/>
    <sheet name="R1" sheetId="1" r:id="rId2"/>
    <sheet name="Graph R1" sheetId="8" r:id="rId3"/>
    <sheet name="R2" sheetId="23" r:id="rId4"/>
    <sheet name="Graph R2" sheetId="19" r:id="rId5"/>
    <sheet name="R3" sheetId="33" r:id="rId6"/>
    <sheet name="Graph R3" sheetId="34" r:id="rId7"/>
    <sheet name="pooled normalised values" sheetId="4" r:id="rId8"/>
    <sheet name="pooled normalised graphe" sheetId="5" r:id="rId9"/>
  </sheets>
  <externalReferences>
    <externalReference r:id="rId10"/>
    <externalReference r:id="rId11"/>
  </externalReferences>
  <definedNames>
    <definedName name="_xlnm.Print_Area" localSheetId="0">'Front page'!$A$1:$I$51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94" i="4" l="1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T28" i="1"/>
  <c r="T29" i="1"/>
  <c r="T30" i="1"/>
  <c r="T31" i="1"/>
  <c r="T32" i="1"/>
  <c r="T33" i="1"/>
  <c r="T34" i="1"/>
  <c r="T35" i="1"/>
  <c r="R23" i="1"/>
  <c r="R24" i="1"/>
  <c r="A7" i="10"/>
  <c r="P36" i="1"/>
  <c r="Q36" i="1"/>
  <c r="R36" i="1"/>
  <c r="S36" i="1"/>
  <c r="T36" i="1"/>
  <c r="U36" i="1"/>
  <c r="V36" i="1"/>
  <c r="B36" i="1"/>
  <c r="C36" i="1"/>
  <c r="D36" i="1"/>
  <c r="E36" i="1"/>
  <c r="F36" i="1"/>
  <c r="G36" i="1"/>
  <c r="H36" i="1"/>
  <c r="I36" i="1"/>
  <c r="J36" i="1"/>
  <c r="K36" i="1"/>
  <c r="L36" i="1"/>
  <c r="M36" i="1"/>
  <c r="A52" i="23"/>
  <c r="A45" i="33"/>
  <c r="A27" i="33"/>
  <c r="A52" i="33" s="1"/>
  <c r="A22" i="33"/>
  <c r="A45" i="23"/>
  <c r="A27" i="23"/>
  <c r="A22" i="23"/>
  <c r="A27" i="1"/>
  <c r="A45" i="1"/>
  <c r="B39" i="10"/>
  <c r="C39" i="10"/>
  <c r="D39" i="10"/>
  <c r="E39" i="10"/>
  <c r="B40" i="10"/>
  <c r="C40" i="10"/>
  <c r="D40" i="10"/>
  <c r="E40" i="10"/>
  <c r="B41" i="10"/>
  <c r="C41" i="10"/>
  <c r="D41" i="10"/>
  <c r="E41" i="10"/>
  <c r="B42" i="10"/>
  <c r="C42" i="10"/>
  <c r="D42" i="10"/>
  <c r="E42" i="10"/>
  <c r="B43" i="10"/>
  <c r="C43" i="10"/>
  <c r="D43" i="10"/>
  <c r="E43" i="10"/>
  <c r="B44" i="10"/>
  <c r="C44" i="10"/>
  <c r="D44" i="10"/>
  <c r="E44" i="10"/>
  <c r="B45" i="10"/>
  <c r="C45" i="10"/>
  <c r="D45" i="10"/>
  <c r="E45" i="10"/>
  <c r="B46" i="10"/>
  <c r="C46" i="10"/>
  <c r="D46" i="10"/>
  <c r="E46" i="10"/>
  <c r="B47" i="10"/>
  <c r="C47" i="10"/>
  <c r="D47" i="10"/>
  <c r="E47" i="10"/>
  <c r="B48" i="10"/>
  <c r="C48" i="10"/>
  <c r="D48" i="10"/>
  <c r="E48" i="10"/>
  <c r="B49" i="10"/>
  <c r="C49" i="10"/>
  <c r="D49" i="10"/>
  <c r="E49" i="10"/>
  <c r="B50" i="10"/>
  <c r="C50" i="10"/>
  <c r="D50" i="10"/>
  <c r="E50" i="10"/>
  <c r="B51" i="10"/>
  <c r="C51" i="10"/>
  <c r="D51" i="10"/>
  <c r="E51" i="10"/>
  <c r="B52" i="10"/>
  <c r="C52" i="10"/>
  <c r="D52" i="10"/>
  <c r="E52" i="10"/>
  <c r="B53" i="10"/>
  <c r="C53" i="10"/>
  <c r="D53" i="10"/>
  <c r="E53" i="10"/>
  <c r="B54" i="10"/>
  <c r="C54" i="10"/>
  <c r="D54" i="10"/>
  <c r="E54" i="10"/>
  <c r="B55" i="10"/>
  <c r="C55" i="10"/>
  <c r="D55" i="10"/>
  <c r="E55" i="10"/>
  <c r="B56" i="10"/>
  <c r="C56" i="10"/>
  <c r="D56" i="10"/>
  <c r="E56" i="10"/>
  <c r="B57" i="10"/>
  <c r="C57" i="10"/>
  <c r="D57" i="10"/>
  <c r="E57" i="10"/>
  <c r="C38" i="10"/>
  <c r="D38" i="10"/>
  <c r="E38" i="10"/>
  <c r="B38" i="10"/>
  <c r="M78" i="4"/>
  <c r="J78" i="4"/>
  <c r="H78" i="4"/>
  <c r="U78" i="4"/>
  <c r="T78" i="4"/>
  <c r="L56" i="23"/>
  <c r="K56" i="23"/>
  <c r="O56" i="23"/>
  <c r="U56" i="1"/>
  <c r="T56" i="1"/>
  <c r="S56" i="1"/>
  <c r="D56" i="1"/>
  <c r="L78" i="4"/>
  <c r="Q56" i="23"/>
  <c r="D56" i="23"/>
  <c r="Q56" i="1"/>
  <c r="I78" i="4"/>
  <c r="V78" i="4"/>
  <c r="D78" i="4"/>
  <c r="Q78" i="4"/>
  <c r="F78" i="4"/>
  <c r="G56" i="23"/>
  <c r="F56" i="23"/>
  <c r="J56" i="23"/>
  <c r="P56" i="1"/>
  <c r="O56" i="1"/>
  <c r="E56" i="1"/>
  <c r="R56" i="1"/>
  <c r="S78" i="4"/>
  <c r="G78" i="4"/>
  <c r="H56" i="23"/>
  <c r="C56" i="1"/>
  <c r="E78" i="4"/>
  <c r="R78" i="4"/>
  <c r="P78" i="4"/>
  <c r="K78" i="4"/>
  <c r="O78" i="4"/>
  <c r="C56" i="23"/>
  <c r="B56" i="23"/>
  <c r="E56" i="23"/>
  <c r="G56" i="1"/>
  <c r="F56" i="1"/>
  <c r="V56" i="1"/>
  <c r="C78" i="4"/>
  <c r="B78" i="4"/>
  <c r="P56" i="23"/>
  <c r="B56" i="1"/>
  <c r="A8" i="10" l="1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B4" i="33" l="1"/>
  <c r="B4" i="23" l="1"/>
  <c r="B4" i="1"/>
  <c r="H4" i="33" l="1"/>
  <c r="H4" i="23"/>
  <c r="H4" i="1"/>
  <c r="G4" i="33"/>
  <c r="G4" i="23"/>
  <c r="G4" i="1"/>
  <c r="C4" i="33"/>
  <c r="C4" i="23"/>
  <c r="C4" i="1"/>
  <c r="D4" i="33"/>
  <c r="D4" i="23"/>
  <c r="D4" i="1"/>
  <c r="F4" i="33" l="1"/>
  <c r="F4" i="23"/>
  <c r="F4" i="1"/>
  <c r="E4" i="33"/>
  <c r="E4" i="23"/>
  <c r="E4" i="1"/>
  <c r="I4" i="33"/>
  <c r="I4" i="23"/>
  <c r="I4" i="1"/>
  <c r="V43" i="33" l="1"/>
  <c r="V53" i="4" s="1"/>
  <c r="U43" i="33"/>
  <c r="U53" i="4" s="1"/>
  <c r="T43" i="33"/>
  <c r="T53" i="4" s="1"/>
  <c r="S43" i="33"/>
  <c r="S53" i="4" s="1"/>
  <c r="R43" i="33"/>
  <c r="R53" i="4" s="1"/>
  <c r="Q43" i="33"/>
  <c r="Q53" i="4" s="1"/>
  <c r="P43" i="33"/>
  <c r="P53" i="4" s="1"/>
  <c r="M43" i="33"/>
  <c r="M53" i="4" s="1"/>
  <c r="L43" i="33"/>
  <c r="L53" i="4" s="1"/>
  <c r="K43" i="33"/>
  <c r="K53" i="4" s="1"/>
  <c r="J43" i="33"/>
  <c r="J53" i="4" s="1"/>
  <c r="I43" i="33"/>
  <c r="I53" i="4" s="1"/>
  <c r="H43" i="33"/>
  <c r="H53" i="4" s="1"/>
  <c r="G43" i="33"/>
  <c r="G53" i="4" s="1"/>
  <c r="F43" i="33"/>
  <c r="F53" i="4" s="1"/>
  <c r="E43" i="33"/>
  <c r="E53" i="4" s="1"/>
  <c r="D43" i="33"/>
  <c r="D53" i="4" s="1"/>
  <c r="C43" i="33"/>
  <c r="C53" i="4" s="1"/>
  <c r="B43" i="33"/>
  <c r="B53" i="4" s="1"/>
  <c r="V42" i="33"/>
  <c r="V52" i="4" s="1"/>
  <c r="U42" i="33"/>
  <c r="U52" i="4" s="1"/>
  <c r="T42" i="33"/>
  <c r="T52" i="4" s="1"/>
  <c r="S42" i="33"/>
  <c r="S52" i="4" s="1"/>
  <c r="R42" i="33"/>
  <c r="R52" i="4" s="1"/>
  <c r="Q42" i="33"/>
  <c r="Q52" i="4" s="1"/>
  <c r="P42" i="33"/>
  <c r="P52" i="4" s="1"/>
  <c r="M42" i="33"/>
  <c r="M52" i="4" s="1"/>
  <c r="L42" i="33"/>
  <c r="L52" i="4" s="1"/>
  <c r="K42" i="33"/>
  <c r="K52" i="4" s="1"/>
  <c r="J42" i="33"/>
  <c r="J52" i="4" s="1"/>
  <c r="I42" i="33"/>
  <c r="I52" i="4" s="1"/>
  <c r="H42" i="33"/>
  <c r="H52" i="4" s="1"/>
  <c r="G42" i="33"/>
  <c r="G52" i="4" s="1"/>
  <c r="F42" i="33"/>
  <c r="F52" i="4" s="1"/>
  <c r="E42" i="33"/>
  <c r="E52" i="4" s="1"/>
  <c r="D42" i="33"/>
  <c r="D52" i="4" s="1"/>
  <c r="C42" i="33"/>
  <c r="C52" i="4" s="1"/>
  <c r="B42" i="33"/>
  <c r="B52" i="4" s="1"/>
  <c r="V41" i="33"/>
  <c r="V51" i="4" s="1"/>
  <c r="U41" i="33"/>
  <c r="U51" i="4" s="1"/>
  <c r="T41" i="33"/>
  <c r="T51" i="4" s="1"/>
  <c r="S41" i="33"/>
  <c r="S51" i="4" s="1"/>
  <c r="R41" i="33"/>
  <c r="R51" i="4" s="1"/>
  <c r="Q41" i="33"/>
  <c r="Q51" i="4" s="1"/>
  <c r="P41" i="33"/>
  <c r="P51" i="4" s="1"/>
  <c r="M41" i="33"/>
  <c r="M51" i="4" s="1"/>
  <c r="L41" i="33"/>
  <c r="L51" i="4" s="1"/>
  <c r="K41" i="33"/>
  <c r="K51" i="4" s="1"/>
  <c r="J41" i="33"/>
  <c r="J51" i="4" s="1"/>
  <c r="I41" i="33"/>
  <c r="I51" i="4" s="1"/>
  <c r="H41" i="33"/>
  <c r="H51" i="4" s="1"/>
  <c r="G41" i="33"/>
  <c r="G51" i="4" s="1"/>
  <c r="F41" i="33"/>
  <c r="F51" i="4" s="1"/>
  <c r="E41" i="33"/>
  <c r="E51" i="4" s="1"/>
  <c r="D41" i="33"/>
  <c r="D51" i="4" s="1"/>
  <c r="C41" i="33"/>
  <c r="C51" i="4" s="1"/>
  <c r="B41" i="33"/>
  <c r="B51" i="4" s="1"/>
  <c r="V40" i="33"/>
  <c r="V50" i="4" s="1"/>
  <c r="U40" i="33"/>
  <c r="U50" i="4" s="1"/>
  <c r="T40" i="33"/>
  <c r="T50" i="4" s="1"/>
  <c r="S40" i="33"/>
  <c r="S50" i="4" s="1"/>
  <c r="R40" i="33"/>
  <c r="R50" i="4" s="1"/>
  <c r="Q40" i="33"/>
  <c r="Q50" i="4" s="1"/>
  <c r="P40" i="33"/>
  <c r="P50" i="4" s="1"/>
  <c r="M40" i="33"/>
  <c r="M50" i="4" s="1"/>
  <c r="L40" i="33"/>
  <c r="L50" i="4" s="1"/>
  <c r="K40" i="33"/>
  <c r="K50" i="4" s="1"/>
  <c r="J40" i="33"/>
  <c r="J50" i="4" s="1"/>
  <c r="I40" i="33"/>
  <c r="I50" i="4" s="1"/>
  <c r="H40" i="33"/>
  <c r="H50" i="4" s="1"/>
  <c r="G40" i="33"/>
  <c r="G50" i="4" s="1"/>
  <c r="F40" i="33"/>
  <c r="F50" i="4" s="1"/>
  <c r="E40" i="33"/>
  <c r="E50" i="4" s="1"/>
  <c r="D40" i="33"/>
  <c r="D50" i="4" s="1"/>
  <c r="C40" i="33"/>
  <c r="C50" i="4" s="1"/>
  <c r="B40" i="33"/>
  <c r="B50" i="4" s="1"/>
  <c r="V39" i="33"/>
  <c r="V49" i="4" s="1"/>
  <c r="U39" i="33"/>
  <c r="U49" i="4" s="1"/>
  <c r="T39" i="33"/>
  <c r="T49" i="4" s="1"/>
  <c r="S39" i="33"/>
  <c r="S49" i="4" s="1"/>
  <c r="R39" i="33"/>
  <c r="R49" i="4" s="1"/>
  <c r="Q39" i="33"/>
  <c r="Q49" i="4" s="1"/>
  <c r="P39" i="33"/>
  <c r="P49" i="4" s="1"/>
  <c r="M39" i="33"/>
  <c r="M49" i="4" s="1"/>
  <c r="L39" i="33"/>
  <c r="L49" i="4" s="1"/>
  <c r="K39" i="33"/>
  <c r="K49" i="4" s="1"/>
  <c r="J39" i="33"/>
  <c r="J49" i="4" s="1"/>
  <c r="I39" i="33"/>
  <c r="I49" i="4" s="1"/>
  <c r="H39" i="33"/>
  <c r="H49" i="4" s="1"/>
  <c r="G39" i="33"/>
  <c r="G49" i="4" s="1"/>
  <c r="F39" i="33"/>
  <c r="F49" i="4" s="1"/>
  <c r="E39" i="33"/>
  <c r="E49" i="4" s="1"/>
  <c r="D39" i="33"/>
  <c r="D49" i="4" s="1"/>
  <c r="C39" i="33"/>
  <c r="C49" i="4" s="1"/>
  <c r="B39" i="33"/>
  <c r="B49" i="4" s="1"/>
  <c r="V38" i="33"/>
  <c r="V48" i="4" s="1"/>
  <c r="U38" i="33"/>
  <c r="U48" i="4" s="1"/>
  <c r="T38" i="33"/>
  <c r="T48" i="4" s="1"/>
  <c r="S38" i="33"/>
  <c r="S48" i="4" s="1"/>
  <c r="R38" i="33"/>
  <c r="R48" i="4" s="1"/>
  <c r="Q38" i="33"/>
  <c r="Q48" i="4" s="1"/>
  <c r="P38" i="33"/>
  <c r="P48" i="4" s="1"/>
  <c r="M38" i="33"/>
  <c r="M48" i="4" s="1"/>
  <c r="L38" i="33"/>
  <c r="L48" i="4" s="1"/>
  <c r="K38" i="33"/>
  <c r="K48" i="4" s="1"/>
  <c r="J38" i="33"/>
  <c r="J48" i="4" s="1"/>
  <c r="I38" i="33"/>
  <c r="I48" i="4" s="1"/>
  <c r="H38" i="33"/>
  <c r="H48" i="4" s="1"/>
  <c r="G38" i="33"/>
  <c r="G48" i="4" s="1"/>
  <c r="F38" i="33"/>
  <c r="F48" i="4" s="1"/>
  <c r="E38" i="33"/>
  <c r="E48" i="4" s="1"/>
  <c r="D38" i="33"/>
  <c r="D48" i="4" s="1"/>
  <c r="C38" i="33"/>
  <c r="C48" i="4" s="1"/>
  <c r="B38" i="33"/>
  <c r="B48" i="4" s="1"/>
  <c r="V37" i="33"/>
  <c r="V47" i="4" s="1"/>
  <c r="U37" i="33"/>
  <c r="U47" i="4" s="1"/>
  <c r="T37" i="33"/>
  <c r="T47" i="4" s="1"/>
  <c r="S37" i="33"/>
  <c r="S47" i="4" s="1"/>
  <c r="R37" i="33"/>
  <c r="R47" i="4" s="1"/>
  <c r="Q37" i="33"/>
  <c r="Q47" i="4" s="1"/>
  <c r="P37" i="33"/>
  <c r="P47" i="4" s="1"/>
  <c r="M37" i="33"/>
  <c r="M47" i="4" s="1"/>
  <c r="L37" i="33"/>
  <c r="L47" i="4" s="1"/>
  <c r="K37" i="33"/>
  <c r="K47" i="4" s="1"/>
  <c r="J37" i="33"/>
  <c r="J47" i="4" s="1"/>
  <c r="I37" i="33"/>
  <c r="I47" i="4" s="1"/>
  <c r="H37" i="33"/>
  <c r="H47" i="4" s="1"/>
  <c r="G37" i="33"/>
  <c r="G47" i="4" s="1"/>
  <c r="F37" i="33"/>
  <c r="F47" i="4" s="1"/>
  <c r="E37" i="33"/>
  <c r="E47" i="4" s="1"/>
  <c r="D37" i="33"/>
  <c r="D47" i="4" s="1"/>
  <c r="C37" i="33"/>
  <c r="C47" i="4" s="1"/>
  <c r="B37" i="33"/>
  <c r="B47" i="4" s="1"/>
  <c r="V36" i="33"/>
  <c r="V46" i="4" s="1"/>
  <c r="U36" i="33"/>
  <c r="U46" i="4" s="1"/>
  <c r="T36" i="33"/>
  <c r="T46" i="4" s="1"/>
  <c r="S36" i="33"/>
  <c r="S46" i="4" s="1"/>
  <c r="R36" i="33"/>
  <c r="R46" i="4" s="1"/>
  <c r="Q36" i="33"/>
  <c r="Q46" i="4" s="1"/>
  <c r="P36" i="33"/>
  <c r="P46" i="4" s="1"/>
  <c r="M36" i="33"/>
  <c r="M46" i="4" s="1"/>
  <c r="L36" i="33"/>
  <c r="L46" i="4" s="1"/>
  <c r="K36" i="33"/>
  <c r="K46" i="4" s="1"/>
  <c r="J36" i="33"/>
  <c r="J46" i="4" s="1"/>
  <c r="I36" i="33"/>
  <c r="I46" i="4" s="1"/>
  <c r="H36" i="33"/>
  <c r="H46" i="4" s="1"/>
  <c r="G36" i="33"/>
  <c r="G46" i="4" s="1"/>
  <c r="F36" i="33"/>
  <c r="F46" i="4" s="1"/>
  <c r="E36" i="33"/>
  <c r="E46" i="4" s="1"/>
  <c r="D36" i="33"/>
  <c r="D46" i="4" s="1"/>
  <c r="C36" i="33"/>
  <c r="C46" i="4" s="1"/>
  <c r="B36" i="33"/>
  <c r="B46" i="4" s="1"/>
  <c r="V35" i="33"/>
  <c r="V45" i="4" s="1"/>
  <c r="U35" i="33"/>
  <c r="U45" i="4" s="1"/>
  <c r="T35" i="33"/>
  <c r="T45" i="4" s="1"/>
  <c r="S35" i="33"/>
  <c r="S45" i="4" s="1"/>
  <c r="R35" i="33"/>
  <c r="R45" i="4" s="1"/>
  <c r="Q35" i="33"/>
  <c r="Q45" i="4" s="1"/>
  <c r="P35" i="33"/>
  <c r="P45" i="4" s="1"/>
  <c r="M35" i="33"/>
  <c r="M45" i="4" s="1"/>
  <c r="L35" i="33"/>
  <c r="L45" i="4" s="1"/>
  <c r="K35" i="33"/>
  <c r="K45" i="4" s="1"/>
  <c r="J35" i="33"/>
  <c r="J45" i="4" s="1"/>
  <c r="I35" i="33"/>
  <c r="I45" i="4" s="1"/>
  <c r="M34" i="33"/>
  <c r="M44" i="4" s="1"/>
  <c r="L34" i="33"/>
  <c r="L44" i="4" s="1"/>
  <c r="K34" i="33"/>
  <c r="K44" i="4" s="1"/>
  <c r="J34" i="33"/>
  <c r="J44" i="4" s="1"/>
  <c r="I34" i="33"/>
  <c r="I44" i="4" s="1"/>
  <c r="V30" i="33"/>
  <c r="V40" i="4" s="1"/>
  <c r="U30" i="33"/>
  <c r="U40" i="4" s="1"/>
  <c r="T30" i="33"/>
  <c r="T40" i="4" s="1"/>
  <c r="S30" i="33"/>
  <c r="S40" i="4" s="1"/>
  <c r="R30" i="33"/>
  <c r="R40" i="4" s="1"/>
  <c r="Q30" i="33"/>
  <c r="Q40" i="4" s="1"/>
  <c r="P30" i="33"/>
  <c r="P40" i="4" s="1"/>
  <c r="V29" i="33"/>
  <c r="V39" i="4" s="1"/>
  <c r="U29" i="33"/>
  <c r="U39" i="4" s="1"/>
  <c r="T29" i="33"/>
  <c r="T39" i="4" s="1"/>
  <c r="S29" i="33"/>
  <c r="S39" i="4" s="1"/>
  <c r="R29" i="33"/>
  <c r="R39" i="4" s="1"/>
  <c r="Q29" i="33"/>
  <c r="Q39" i="4" s="1"/>
  <c r="P29" i="33"/>
  <c r="P39" i="4" s="1"/>
  <c r="M29" i="33"/>
  <c r="M39" i="4" s="1"/>
  <c r="L29" i="33"/>
  <c r="L39" i="4" s="1"/>
  <c r="K29" i="33"/>
  <c r="K39" i="4" s="1"/>
  <c r="J29" i="33"/>
  <c r="J39" i="4" s="1"/>
  <c r="I29" i="33"/>
  <c r="I39" i="4" s="1"/>
  <c r="V28" i="33"/>
  <c r="U28" i="33"/>
  <c r="T28" i="33"/>
  <c r="S28" i="33"/>
  <c r="R28" i="33"/>
  <c r="Q28" i="33"/>
  <c r="P28" i="33"/>
  <c r="M28" i="33"/>
  <c r="L28" i="33"/>
  <c r="K28" i="33"/>
  <c r="J28" i="33"/>
  <c r="I28" i="33"/>
  <c r="V24" i="33"/>
  <c r="U24" i="33"/>
  <c r="T24" i="33"/>
  <c r="S24" i="33"/>
  <c r="R24" i="33"/>
  <c r="Q24" i="33"/>
  <c r="P24" i="33"/>
  <c r="O24" i="33"/>
  <c r="L24" i="33"/>
  <c r="J24" i="33"/>
  <c r="I24" i="33"/>
  <c r="H24" i="33"/>
  <c r="G24" i="33"/>
  <c r="F24" i="33"/>
  <c r="E24" i="33"/>
  <c r="D24" i="33"/>
  <c r="C24" i="33"/>
  <c r="B24" i="33"/>
  <c r="V23" i="33"/>
  <c r="U23" i="33"/>
  <c r="T23" i="33"/>
  <c r="S23" i="33"/>
  <c r="R23" i="33"/>
  <c r="Q23" i="33"/>
  <c r="P23" i="33"/>
  <c r="O23" i="33"/>
  <c r="V34" i="33" s="1"/>
  <c r="V44" i="4" s="1"/>
  <c r="L23" i="33"/>
  <c r="J23" i="33"/>
  <c r="I23" i="33"/>
  <c r="H23" i="33"/>
  <c r="G23" i="33"/>
  <c r="F23" i="33"/>
  <c r="E23" i="33"/>
  <c r="D23" i="33"/>
  <c r="C23" i="33"/>
  <c r="B23" i="33"/>
  <c r="H22" i="33"/>
  <c r="G45" i="33"/>
  <c r="F27" i="33"/>
  <c r="F52" i="33" s="1"/>
  <c r="E45" i="33"/>
  <c r="D22" i="33"/>
  <c r="C45" i="33"/>
  <c r="B45" i="33"/>
  <c r="F29" i="33" l="1"/>
  <c r="F39" i="4" s="1"/>
  <c r="O30" i="33"/>
  <c r="O40" i="4" s="1"/>
  <c r="F35" i="33"/>
  <c r="F45" i="4" s="1"/>
  <c r="O41" i="33"/>
  <c r="O51" i="4" s="1"/>
  <c r="O43" i="33"/>
  <c r="O53" i="4" s="1"/>
  <c r="C28" i="33"/>
  <c r="G29" i="33"/>
  <c r="G39" i="4" s="1"/>
  <c r="C34" i="33"/>
  <c r="C44" i="4" s="1"/>
  <c r="G35" i="33"/>
  <c r="G45" i="4" s="1"/>
  <c r="B28" i="33"/>
  <c r="O29" i="33"/>
  <c r="O39" i="4" s="1"/>
  <c r="O37" i="33"/>
  <c r="O47" i="4" s="1"/>
  <c r="D28" i="33"/>
  <c r="H29" i="33"/>
  <c r="H39" i="4" s="1"/>
  <c r="D34" i="33"/>
  <c r="D44" i="4" s="1"/>
  <c r="H35" i="33"/>
  <c r="H45" i="4" s="1"/>
  <c r="O35" i="33"/>
  <c r="O45" i="4" s="1"/>
  <c r="B34" i="33"/>
  <c r="B44" i="4" s="1"/>
  <c r="E28" i="33"/>
  <c r="E34" i="33"/>
  <c r="E44" i="4" s="1"/>
  <c r="O28" i="33"/>
  <c r="B29" i="33"/>
  <c r="B39" i="4" s="1"/>
  <c r="F34" i="33"/>
  <c r="F44" i="4" s="1"/>
  <c r="B35" i="33"/>
  <c r="B45" i="4" s="1"/>
  <c r="O36" i="33"/>
  <c r="O46" i="4" s="1"/>
  <c r="O38" i="33"/>
  <c r="O48" i="4" s="1"/>
  <c r="O40" i="33"/>
  <c r="O50" i="4" s="1"/>
  <c r="O42" i="33"/>
  <c r="O52" i="4" s="1"/>
  <c r="O39" i="33"/>
  <c r="O49" i="4" s="1"/>
  <c r="F28" i="33"/>
  <c r="G28" i="33"/>
  <c r="C29" i="33"/>
  <c r="C39" i="4" s="1"/>
  <c r="G34" i="33"/>
  <c r="G44" i="4" s="1"/>
  <c r="C35" i="33"/>
  <c r="C45" i="4" s="1"/>
  <c r="H28" i="33"/>
  <c r="D29" i="33"/>
  <c r="D39" i="4" s="1"/>
  <c r="H34" i="33"/>
  <c r="H44" i="4" s="1"/>
  <c r="D35" i="33"/>
  <c r="D45" i="4" s="1"/>
  <c r="E29" i="33"/>
  <c r="E39" i="4" s="1"/>
  <c r="E35" i="33"/>
  <c r="E45" i="4" s="1"/>
  <c r="L32" i="33"/>
  <c r="L42" i="4" s="1"/>
  <c r="M33" i="33"/>
  <c r="M43" i="4" s="1"/>
  <c r="F30" i="33"/>
  <c r="P31" i="33"/>
  <c r="Q32" i="33"/>
  <c r="Q42" i="4" s="1"/>
  <c r="R33" i="33"/>
  <c r="R43" i="4" s="1"/>
  <c r="B30" i="33"/>
  <c r="V33" i="33"/>
  <c r="V43" i="4" s="1"/>
  <c r="O34" i="33"/>
  <c r="O44" i="4" s="1"/>
  <c r="K31" i="33"/>
  <c r="K41" i="4" s="1"/>
  <c r="J30" i="33"/>
  <c r="C31" i="33"/>
  <c r="C41" i="4" s="1"/>
  <c r="T31" i="33"/>
  <c r="D32" i="33"/>
  <c r="D42" i="4" s="1"/>
  <c r="U32" i="33"/>
  <c r="U42" i="4" s="1"/>
  <c r="E33" i="33"/>
  <c r="E43" i="4" s="1"/>
  <c r="G31" i="33"/>
  <c r="G41" i="4" s="1"/>
  <c r="H32" i="33"/>
  <c r="H42" i="4" s="1"/>
  <c r="I33" i="33"/>
  <c r="I43" i="4" s="1"/>
  <c r="S34" i="33"/>
  <c r="S44" i="4" s="1"/>
  <c r="C30" i="33"/>
  <c r="G30" i="33"/>
  <c r="K30" i="33"/>
  <c r="D31" i="33"/>
  <c r="D41" i="4" s="1"/>
  <c r="H31" i="33"/>
  <c r="H41" i="4" s="1"/>
  <c r="L31" i="33"/>
  <c r="L41" i="4" s="1"/>
  <c r="Q31" i="33"/>
  <c r="U31" i="33"/>
  <c r="I32" i="33"/>
  <c r="I42" i="4" s="1"/>
  <c r="M32" i="33"/>
  <c r="M42" i="4" s="1"/>
  <c r="V32" i="33"/>
  <c r="V42" i="4" s="1"/>
  <c r="B33" i="33"/>
  <c r="B43" i="4" s="1"/>
  <c r="E32" i="33"/>
  <c r="E42" i="4" s="1"/>
  <c r="R32" i="33"/>
  <c r="R42" i="4" s="1"/>
  <c r="F33" i="33"/>
  <c r="F43" i="4" s="1"/>
  <c r="J33" i="33"/>
  <c r="J43" i="4" s="1"/>
  <c r="O33" i="33"/>
  <c r="O43" i="4" s="1"/>
  <c r="S33" i="33"/>
  <c r="S43" i="4" s="1"/>
  <c r="P34" i="33"/>
  <c r="P44" i="4" s="1"/>
  <c r="T34" i="33"/>
  <c r="T44" i="4" s="1"/>
  <c r="D30" i="33"/>
  <c r="H30" i="33"/>
  <c r="L30" i="33"/>
  <c r="E31" i="33"/>
  <c r="E41" i="4" s="1"/>
  <c r="I31" i="33"/>
  <c r="I41" i="4" s="1"/>
  <c r="M31" i="33"/>
  <c r="M41" i="4" s="1"/>
  <c r="R31" i="33"/>
  <c r="V31" i="33"/>
  <c r="B32" i="33"/>
  <c r="B42" i="4" s="1"/>
  <c r="F32" i="33"/>
  <c r="F42" i="4" s="1"/>
  <c r="J32" i="33"/>
  <c r="J42" i="4" s="1"/>
  <c r="O32" i="33"/>
  <c r="O42" i="4" s="1"/>
  <c r="S32" i="33"/>
  <c r="S42" i="4" s="1"/>
  <c r="C33" i="33"/>
  <c r="C43" i="4" s="1"/>
  <c r="G33" i="33"/>
  <c r="G43" i="4" s="1"/>
  <c r="K33" i="33"/>
  <c r="K43" i="4" s="1"/>
  <c r="P33" i="33"/>
  <c r="P43" i="4" s="1"/>
  <c r="T33" i="33"/>
  <c r="T43" i="4" s="1"/>
  <c r="Q34" i="33"/>
  <c r="Q44" i="4" s="1"/>
  <c r="U34" i="33"/>
  <c r="U44" i="4" s="1"/>
  <c r="E30" i="33"/>
  <c r="I30" i="33"/>
  <c r="M30" i="33"/>
  <c r="B31" i="33"/>
  <c r="B41" i="4" s="1"/>
  <c r="F31" i="33"/>
  <c r="F41" i="4" s="1"/>
  <c r="J31" i="33"/>
  <c r="J41" i="4" s="1"/>
  <c r="O31" i="33"/>
  <c r="S31" i="33"/>
  <c r="S47" i="33" s="1"/>
  <c r="S48" i="33" s="1"/>
  <c r="S54" i="33" s="1"/>
  <c r="C32" i="33"/>
  <c r="C42" i="4" s="1"/>
  <c r="G32" i="33"/>
  <c r="G42" i="4" s="1"/>
  <c r="K32" i="33"/>
  <c r="K42" i="4" s="1"/>
  <c r="P32" i="33"/>
  <c r="P42" i="4" s="1"/>
  <c r="T32" i="33"/>
  <c r="T42" i="4" s="1"/>
  <c r="D33" i="33"/>
  <c r="D43" i="4" s="1"/>
  <c r="H33" i="33"/>
  <c r="H43" i="4" s="1"/>
  <c r="L33" i="33"/>
  <c r="L43" i="4" s="1"/>
  <c r="Q33" i="33"/>
  <c r="Q43" i="4" s="1"/>
  <c r="U33" i="33"/>
  <c r="U43" i="4" s="1"/>
  <c r="R34" i="33"/>
  <c r="R44" i="4" s="1"/>
  <c r="D38" i="4"/>
  <c r="H38" i="4"/>
  <c r="U38" i="4"/>
  <c r="I38" i="4"/>
  <c r="V38" i="4"/>
  <c r="E38" i="4"/>
  <c r="M38" i="4"/>
  <c r="R38" i="4"/>
  <c r="B38" i="4"/>
  <c r="B22" i="33"/>
  <c r="E22" i="33"/>
  <c r="I45" i="33"/>
  <c r="I52" i="33"/>
  <c r="I27" i="33"/>
  <c r="C38" i="4"/>
  <c r="G38" i="4"/>
  <c r="K47" i="33"/>
  <c r="K38" i="4"/>
  <c r="P38" i="4"/>
  <c r="T38" i="4"/>
  <c r="B27" i="33"/>
  <c r="B52" i="33" s="1"/>
  <c r="L38" i="4"/>
  <c r="Q38" i="4"/>
  <c r="D27" i="33"/>
  <c r="D52" i="33" s="1"/>
  <c r="I22" i="33"/>
  <c r="E27" i="33"/>
  <c r="E52" i="33" s="1"/>
  <c r="F38" i="4"/>
  <c r="J38" i="4"/>
  <c r="O38" i="4"/>
  <c r="S38" i="4"/>
  <c r="D45" i="33"/>
  <c r="L47" i="33"/>
  <c r="F22" i="33"/>
  <c r="F45" i="33"/>
  <c r="G22" i="33"/>
  <c r="G27" i="33"/>
  <c r="G52" i="33" s="1"/>
  <c r="C22" i="33"/>
  <c r="C27" i="33"/>
  <c r="C52" i="33" s="1"/>
  <c r="H27" i="33"/>
  <c r="H52" i="33" s="1"/>
  <c r="H45" i="33"/>
  <c r="J56" i="33"/>
  <c r="Q56" i="33"/>
  <c r="L56" i="33"/>
  <c r="U56" i="33"/>
  <c r="S56" i="33"/>
  <c r="P56" i="33"/>
  <c r="T56" i="33"/>
  <c r="O56" i="33"/>
  <c r="I56" i="33"/>
  <c r="K56" i="33"/>
  <c r="R56" i="33"/>
  <c r="M56" i="33"/>
  <c r="V56" i="33"/>
  <c r="H56" i="33"/>
  <c r="G56" i="33"/>
  <c r="F56" i="33"/>
  <c r="E56" i="33"/>
  <c r="D56" i="33"/>
  <c r="C56" i="33"/>
  <c r="B56" i="33"/>
  <c r="R47" i="33" l="1"/>
  <c r="R48" i="33" s="1"/>
  <c r="R54" i="33" s="1"/>
  <c r="I47" i="33"/>
  <c r="I48" i="33" s="1"/>
  <c r="I54" i="33" s="1"/>
  <c r="G47" i="33"/>
  <c r="E46" i="33"/>
  <c r="E53" i="33" s="1"/>
  <c r="C47" i="33"/>
  <c r="C48" i="33" s="1"/>
  <c r="C54" i="33" s="1"/>
  <c r="R46" i="33"/>
  <c r="R53" i="33" s="1"/>
  <c r="Q46" i="33"/>
  <c r="Q53" i="33" s="1"/>
  <c r="I46" i="33"/>
  <c r="I53" i="33" s="1"/>
  <c r="H46" i="33"/>
  <c r="H53" i="33" s="1"/>
  <c r="D46" i="33"/>
  <c r="D53" i="33" s="1"/>
  <c r="H47" i="33"/>
  <c r="H48" i="33" s="1"/>
  <c r="H54" i="33" s="1"/>
  <c r="G46" i="33"/>
  <c r="G53" i="33" s="1"/>
  <c r="S57" i="33"/>
  <c r="V57" i="33"/>
  <c r="U57" i="33"/>
  <c r="P57" i="33"/>
  <c r="O57" i="33"/>
  <c r="Q59" i="33" s="1"/>
  <c r="M57" i="33"/>
  <c r="R57" i="33"/>
  <c r="K57" i="33"/>
  <c r="J57" i="33"/>
  <c r="F57" i="33"/>
  <c r="I57" i="33"/>
  <c r="H57" i="33"/>
  <c r="G57" i="33"/>
  <c r="L57" i="33"/>
  <c r="Q57" i="33"/>
  <c r="B57" i="33"/>
  <c r="F59" i="33" s="1"/>
  <c r="E57" i="33"/>
  <c r="D57" i="33"/>
  <c r="C57" i="33"/>
  <c r="T57" i="33"/>
  <c r="S41" i="4"/>
  <c r="V41" i="4"/>
  <c r="U41" i="4"/>
  <c r="P41" i="4"/>
  <c r="L48" i="33"/>
  <c r="L54" i="33" s="1"/>
  <c r="K48" i="33"/>
  <c r="K54" i="33" s="1"/>
  <c r="O41" i="4"/>
  <c r="M40" i="4"/>
  <c r="R41" i="4"/>
  <c r="K40" i="4"/>
  <c r="J40" i="4"/>
  <c r="F40" i="4"/>
  <c r="O47" i="33"/>
  <c r="O48" i="33" s="1"/>
  <c r="O54" i="33" s="1"/>
  <c r="G48" i="33"/>
  <c r="G54" i="33" s="1"/>
  <c r="I40" i="4"/>
  <c r="H40" i="4"/>
  <c r="G40" i="4"/>
  <c r="L40" i="4"/>
  <c r="Q41" i="4"/>
  <c r="B40" i="4"/>
  <c r="M46" i="33"/>
  <c r="M53" i="33" s="1"/>
  <c r="V46" i="33"/>
  <c r="V53" i="33" s="1"/>
  <c r="M47" i="33"/>
  <c r="M48" i="33" s="1"/>
  <c r="M54" i="33" s="1"/>
  <c r="B46" i="33"/>
  <c r="B53" i="33" s="1"/>
  <c r="M55" i="33" s="1"/>
  <c r="U46" i="33"/>
  <c r="U53" i="33" s="1"/>
  <c r="Q47" i="33"/>
  <c r="Q48" i="33" s="1"/>
  <c r="Q54" i="33" s="1"/>
  <c r="F46" i="33"/>
  <c r="F53" i="33" s="1"/>
  <c r="E40" i="4"/>
  <c r="D40" i="4"/>
  <c r="C40" i="4"/>
  <c r="T41" i="4"/>
  <c r="V47" i="33"/>
  <c r="V48" i="33" s="1"/>
  <c r="V54" i="33" s="1"/>
  <c r="E47" i="33"/>
  <c r="E48" i="33" s="1"/>
  <c r="E54" i="33" s="1"/>
  <c r="U47" i="33"/>
  <c r="U48" i="33" s="1"/>
  <c r="U54" i="33" s="1"/>
  <c r="D47" i="33"/>
  <c r="D48" i="33" s="1"/>
  <c r="D54" i="33" s="1"/>
  <c r="S46" i="33"/>
  <c r="S53" i="33" s="1"/>
  <c r="J47" i="33"/>
  <c r="J48" i="33" s="1"/>
  <c r="J54" i="33" s="1"/>
  <c r="P47" i="33"/>
  <c r="P48" i="33" s="1"/>
  <c r="P54" i="33" s="1"/>
  <c r="J46" i="33"/>
  <c r="J53" i="33" s="1"/>
  <c r="B47" i="33"/>
  <c r="B48" i="33" s="1"/>
  <c r="B54" i="33" s="1"/>
  <c r="O46" i="33"/>
  <c r="O53" i="33" s="1"/>
  <c r="O55" i="33" s="1"/>
  <c r="T47" i="33"/>
  <c r="T48" i="33" s="1"/>
  <c r="T54" i="33" s="1"/>
  <c r="C46" i="33"/>
  <c r="C53" i="33" s="1"/>
  <c r="F47" i="33"/>
  <c r="F48" i="33" s="1"/>
  <c r="F54" i="33" s="1"/>
  <c r="T46" i="33"/>
  <c r="T53" i="33" s="1"/>
  <c r="P46" i="33"/>
  <c r="P53" i="33" s="1"/>
  <c r="P55" i="33" s="1"/>
  <c r="L46" i="33"/>
  <c r="L53" i="33" s="1"/>
  <c r="K46" i="33"/>
  <c r="K53" i="33" s="1"/>
  <c r="Q60" i="33"/>
  <c r="F60" i="33"/>
  <c r="E59" i="33" l="1"/>
  <c r="J59" i="33"/>
  <c r="J60" i="33" s="1"/>
  <c r="J61" i="33" s="1"/>
  <c r="R59" i="33"/>
  <c r="R60" i="33" s="1"/>
  <c r="U59" i="33"/>
  <c r="U60" i="33" s="1"/>
  <c r="T59" i="33"/>
  <c r="H59" i="33"/>
  <c r="V59" i="33"/>
  <c r="V60" i="33" s="1"/>
  <c r="P59" i="33"/>
  <c r="S59" i="33"/>
  <c r="S60" i="33" s="1"/>
  <c r="S55" i="33"/>
  <c r="L59" i="33"/>
  <c r="L60" i="33" s="1"/>
  <c r="D59" i="33"/>
  <c r="O59" i="33"/>
  <c r="C59" i="33"/>
  <c r="G59" i="33"/>
  <c r="I59" i="33"/>
  <c r="I60" i="33" s="1"/>
  <c r="K59" i="33"/>
  <c r="K60" i="33" s="1"/>
  <c r="M59" i="33"/>
  <c r="M60" i="33" s="1"/>
  <c r="Q61" i="33"/>
  <c r="F61" i="33"/>
  <c r="T55" i="33"/>
  <c r="R55" i="33"/>
  <c r="Q55" i="33"/>
  <c r="U55" i="33"/>
  <c r="V55" i="33"/>
  <c r="D55" i="33"/>
  <c r="B55" i="33"/>
  <c r="K55" i="33"/>
  <c r="L55" i="33"/>
  <c r="G55" i="33"/>
  <c r="F55" i="33"/>
  <c r="C55" i="33"/>
  <c r="J55" i="33"/>
  <c r="H55" i="33"/>
  <c r="I55" i="33"/>
  <c r="E55" i="33"/>
  <c r="T60" i="33"/>
  <c r="P60" i="33"/>
  <c r="E60" i="33"/>
  <c r="D60" i="33"/>
  <c r="O60" i="33"/>
  <c r="C60" i="33"/>
  <c r="H60" i="33"/>
  <c r="G60" i="33"/>
  <c r="U61" i="33" l="1"/>
  <c r="E61" i="33"/>
  <c r="O61" i="33"/>
  <c r="P61" i="33"/>
  <c r="I61" i="33"/>
  <c r="G61" i="33"/>
  <c r="V61" i="33"/>
  <c r="C61" i="33"/>
  <c r="H61" i="33"/>
  <c r="T61" i="33"/>
  <c r="D61" i="33"/>
  <c r="L61" i="33"/>
  <c r="R61" i="33"/>
  <c r="M61" i="33"/>
  <c r="K61" i="33"/>
  <c r="S61" i="33"/>
  <c r="M4" i="33"/>
  <c r="L4" i="33" l="1"/>
  <c r="L22" i="33" s="1"/>
  <c r="K4" i="33"/>
  <c r="K22" i="33" s="1"/>
  <c r="J4" i="33"/>
  <c r="J52" i="33" s="1"/>
  <c r="M45" i="33"/>
  <c r="M52" i="33"/>
  <c r="M27" i="33"/>
  <c r="M22" i="33"/>
  <c r="K45" i="33" l="1"/>
  <c r="K52" i="33"/>
  <c r="K27" i="33"/>
  <c r="O4" i="33"/>
  <c r="O4" i="23"/>
  <c r="O4" i="1"/>
  <c r="Q4" i="1"/>
  <c r="Q4" i="33"/>
  <c r="Q4" i="23"/>
  <c r="P4" i="33"/>
  <c r="P4" i="23"/>
  <c r="P4" i="1"/>
  <c r="J22" i="33"/>
  <c r="L52" i="33"/>
  <c r="J45" i="33"/>
  <c r="L27" i="33"/>
  <c r="J27" i="33"/>
  <c r="L45" i="33"/>
  <c r="Q22" i="33" l="1"/>
  <c r="Q45" i="33"/>
  <c r="Q27" i="33"/>
  <c r="Q52" i="33" s="1"/>
  <c r="O27" i="33"/>
  <c r="O52" i="33" s="1"/>
  <c r="O22" i="33"/>
  <c r="O45" i="33"/>
  <c r="P22" i="33"/>
  <c r="P45" i="33"/>
  <c r="P27" i="33"/>
  <c r="P52" i="33" s="1"/>
  <c r="P22" i="1" l="1"/>
  <c r="Q45" i="1"/>
  <c r="R28" i="23"/>
  <c r="S28" i="23"/>
  <c r="T28" i="23"/>
  <c r="U28" i="23"/>
  <c r="V28" i="23"/>
  <c r="R29" i="23"/>
  <c r="R23" i="4" s="1"/>
  <c r="S29" i="23"/>
  <c r="S23" i="4" s="1"/>
  <c r="T29" i="23"/>
  <c r="T23" i="4" s="1"/>
  <c r="U29" i="23"/>
  <c r="U23" i="4" s="1"/>
  <c r="V29" i="23"/>
  <c r="V23" i="4" s="1"/>
  <c r="R30" i="23"/>
  <c r="R24" i="4" s="1"/>
  <c r="S30" i="23"/>
  <c r="S24" i="4" s="1"/>
  <c r="T30" i="23"/>
  <c r="T24" i="4" s="1"/>
  <c r="U30" i="23"/>
  <c r="U24" i="4" s="1"/>
  <c r="V30" i="23"/>
  <c r="V24" i="4" s="1"/>
  <c r="R31" i="23"/>
  <c r="R25" i="4" s="1"/>
  <c r="S31" i="23"/>
  <c r="S25" i="4" s="1"/>
  <c r="T31" i="23"/>
  <c r="T25" i="4" s="1"/>
  <c r="U31" i="23"/>
  <c r="U25" i="4" s="1"/>
  <c r="V31" i="23"/>
  <c r="V25" i="4" s="1"/>
  <c r="R32" i="23"/>
  <c r="R26" i="4" s="1"/>
  <c r="S32" i="23"/>
  <c r="S26" i="4" s="1"/>
  <c r="T32" i="23"/>
  <c r="T26" i="4" s="1"/>
  <c r="U32" i="23"/>
  <c r="U26" i="4" s="1"/>
  <c r="V32" i="23"/>
  <c r="V26" i="4" s="1"/>
  <c r="P37" i="23"/>
  <c r="P31" i="4" s="1"/>
  <c r="Q37" i="23"/>
  <c r="R37" i="23"/>
  <c r="R31" i="4" s="1"/>
  <c r="S37" i="23"/>
  <c r="S31" i="4" s="1"/>
  <c r="T37" i="23"/>
  <c r="T31" i="4" s="1"/>
  <c r="U37" i="23"/>
  <c r="U31" i="4" s="1"/>
  <c r="V37" i="23"/>
  <c r="V31" i="4" s="1"/>
  <c r="P38" i="23"/>
  <c r="P32" i="4" s="1"/>
  <c r="Q38" i="23"/>
  <c r="Q32" i="4" s="1"/>
  <c r="R38" i="23"/>
  <c r="R32" i="4" s="1"/>
  <c r="S38" i="23"/>
  <c r="S32" i="4" s="1"/>
  <c r="T38" i="23"/>
  <c r="T32" i="4" s="1"/>
  <c r="U38" i="23"/>
  <c r="U32" i="4" s="1"/>
  <c r="V38" i="23"/>
  <c r="V32" i="4" s="1"/>
  <c r="P39" i="23"/>
  <c r="P33" i="4" s="1"/>
  <c r="Q39" i="23"/>
  <c r="Q33" i="4" s="1"/>
  <c r="R39" i="23"/>
  <c r="R33" i="4" s="1"/>
  <c r="S39" i="23"/>
  <c r="S33" i="4" s="1"/>
  <c r="T39" i="23"/>
  <c r="T33" i="4" s="1"/>
  <c r="U39" i="23"/>
  <c r="U33" i="4" s="1"/>
  <c r="V39" i="23"/>
  <c r="P40" i="23"/>
  <c r="P34" i="4" s="1"/>
  <c r="Q40" i="23"/>
  <c r="Q34" i="4" s="1"/>
  <c r="R40" i="23"/>
  <c r="R34" i="4" s="1"/>
  <c r="S40" i="23"/>
  <c r="S34" i="4" s="1"/>
  <c r="T40" i="23"/>
  <c r="T34" i="4" s="1"/>
  <c r="U40" i="23"/>
  <c r="U34" i="4" s="1"/>
  <c r="V40" i="23"/>
  <c r="V34" i="4" s="1"/>
  <c r="P41" i="23"/>
  <c r="P35" i="4" s="1"/>
  <c r="Q41" i="23"/>
  <c r="Q35" i="4" s="1"/>
  <c r="R41" i="23"/>
  <c r="R35" i="4" s="1"/>
  <c r="S41" i="23"/>
  <c r="S35" i="4" s="1"/>
  <c r="T41" i="23"/>
  <c r="T35" i="4" s="1"/>
  <c r="U41" i="23"/>
  <c r="U35" i="4" s="1"/>
  <c r="V41" i="23"/>
  <c r="V35" i="4" s="1"/>
  <c r="P42" i="23"/>
  <c r="P36" i="4" s="1"/>
  <c r="Q42" i="23"/>
  <c r="Q36" i="4" s="1"/>
  <c r="R42" i="23"/>
  <c r="R36" i="4" s="1"/>
  <c r="S42" i="23"/>
  <c r="S36" i="4" s="1"/>
  <c r="T42" i="23"/>
  <c r="T36" i="4" s="1"/>
  <c r="U42" i="23"/>
  <c r="U36" i="4" s="1"/>
  <c r="V42" i="23"/>
  <c r="V36" i="4" s="1"/>
  <c r="P43" i="23"/>
  <c r="Q43" i="23"/>
  <c r="R43" i="23"/>
  <c r="S43" i="23"/>
  <c r="T43" i="23"/>
  <c r="U43" i="23"/>
  <c r="U37" i="4" s="1"/>
  <c r="V43" i="23"/>
  <c r="K28" i="23"/>
  <c r="L28" i="23"/>
  <c r="M28" i="23"/>
  <c r="K29" i="23"/>
  <c r="K23" i="4" s="1"/>
  <c r="L29" i="23"/>
  <c r="L23" i="4" s="1"/>
  <c r="M29" i="23"/>
  <c r="M23" i="4" s="1"/>
  <c r="K30" i="23"/>
  <c r="K24" i="4" s="1"/>
  <c r="L30" i="23"/>
  <c r="L24" i="4" s="1"/>
  <c r="M30" i="23"/>
  <c r="K31" i="23"/>
  <c r="K25" i="4" s="1"/>
  <c r="L31" i="23"/>
  <c r="L25" i="4" s="1"/>
  <c r="M31" i="23"/>
  <c r="M25" i="4" s="1"/>
  <c r="K36" i="23"/>
  <c r="K30" i="4" s="1"/>
  <c r="L36" i="23"/>
  <c r="L30" i="4" s="1"/>
  <c r="M36" i="23"/>
  <c r="M30" i="4" s="1"/>
  <c r="K37" i="23"/>
  <c r="K31" i="4" s="1"/>
  <c r="L37" i="23"/>
  <c r="L31" i="4" s="1"/>
  <c r="M37" i="23"/>
  <c r="M31" i="4" s="1"/>
  <c r="K38" i="23"/>
  <c r="K32" i="4" s="1"/>
  <c r="L38" i="23"/>
  <c r="L32" i="4" s="1"/>
  <c r="M38" i="23"/>
  <c r="M32" i="4" s="1"/>
  <c r="K39" i="23"/>
  <c r="K33" i="4" s="1"/>
  <c r="L39" i="23"/>
  <c r="L33" i="4" s="1"/>
  <c r="M39" i="23"/>
  <c r="M33" i="4" s="1"/>
  <c r="K40" i="23"/>
  <c r="K34" i="4" s="1"/>
  <c r="L40" i="23"/>
  <c r="L34" i="4" s="1"/>
  <c r="M40" i="23"/>
  <c r="M34" i="4" s="1"/>
  <c r="K41" i="23"/>
  <c r="K35" i="4" s="1"/>
  <c r="L41" i="23"/>
  <c r="L35" i="4" s="1"/>
  <c r="M41" i="23"/>
  <c r="M35" i="4" s="1"/>
  <c r="K42" i="23"/>
  <c r="K36" i="4" s="1"/>
  <c r="L42" i="23"/>
  <c r="L36" i="4" s="1"/>
  <c r="M42" i="23"/>
  <c r="M36" i="4" s="1"/>
  <c r="K43" i="23"/>
  <c r="L43" i="23"/>
  <c r="M43" i="23"/>
  <c r="V29" i="1"/>
  <c r="V7" i="4" s="1"/>
  <c r="S14" i="4"/>
  <c r="T14" i="4"/>
  <c r="U14" i="4"/>
  <c r="V14" i="4"/>
  <c r="S37" i="1"/>
  <c r="S15" i="4" s="1"/>
  <c r="T37" i="1"/>
  <c r="T15" i="4" s="1"/>
  <c r="U37" i="1"/>
  <c r="U15" i="4" s="1"/>
  <c r="V37" i="1"/>
  <c r="V15" i="4" s="1"/>
  <c r="S38" i="1"/>
  <c r="S16" i="4" s="1"/>
  <c r="T38" i="1"/>
  <c r="T16" i="4" s="1"/>
  <c r="U38" i="1"/>
  <c r="U16" i="4" s="1"/>
  <c r="V38" i="1"/>
  <c r="V16" i="4" s="1"/>
  <c r="S39" i="1"/>
  <c r="S17" i="4" s="1"/>
  <c r="T39" i="1"/>
  <c r="T17" i="4" s="1"/>
  <c r="U39" i="1"/>
  <c r="U17" i="4" s="1"/>
  <c r="V39" i="1"/>
  <c r="V17" i="4" s="1"/>
  <c r="S40" i="1"/>
  <c r="S18" i="4" s="1"/>
  <c r="T40" i="1"/>
  <c r="T18" i="4" s="1"/>
  <c r="U40" i="1"/>
  <c r="U18" i="4" s="1"/>
  <c r="V40" i="1"/>
  <c r="V18" i="4" s="1"/>
  <c r="S41" i="1"/>
  <c r="S19" i="4" s="1"/>
  <c r="T41" i="1"/>
  <c r="T19" i="4" s="1"/>
  <c r="U41" i="1"/>
  <c r="U19" i="4" s="1"/>
  <c r="V41" i="1"/>
  <c r="V19" i="4" s="1"/>
  <c r="S42" i="1"/>
  <c r="S20" i="4" s="1"/>
  <c r="T42" i="1"/>
  <c r="T20" i="4" s="1"/>
  <c r="U42" i="1"/>
  <c r="U20" i="4" s="1"/>
  <c r="V42" i="1"/>
  <c r="V20" i="4" s="1"/>
  <c r="S43" i="1"/>
  <c r="S21" i="4" s="1"/>
  <c r="T43" i="1"/>
  <c r="U43" i="1"/>
  <c r="V43" i="1"/>
  <c r="K14" i="4"/>
  <c r="L14" i="4"/>
  <c r="M14" i="4"/>
  <c r="K37" i="1"/>
  <c r="K15" i="4" s="1"/>
  <c r="L37" i="1"/>
  <c r="L15" i="4" s="1"/>
  <c r="M37" i="1"/>
  <c r="M15" i="4" s="1"/>
  <c r="K38" i="1"/>
  <c r="K16" i="4" s="1"/>
  <c r="L38" i="1"/>
  <c r="L16" i="4" s="1"/>
  <c r="M38" i="1"/>
  <c r="M16" i="4" s="1"/>
  <c r="K39" i="1"/>
  <c r="K17" i="4" s="1"/>
  <c r="L39" i="1"/>
  <c r="L17" i="4" s="1"/>
  <c r="M39" i="1"/>
  <c r="M17" i="4" s="1"/>
  <c r="K40" i="1"/>
  <c r="K18" i="4" s="1"/>
  <c r="L40" i="1"/>
  <c r="L18" i="4" s="1"/>
  <c r="M40" i="1"/>
  <c r="M18" i="4" s="1"/>
  <c r="K41" i="1"/>
  <c r="K19" i="4" s="1"/>
  <c r="L41" i="1"/>
  <c r="L19" i="4" s="1"/>
  <c r="M41" i="1"/>
  <c r="M19" i="4" s="1"/>
  <c r="K42" i="1"/>
  <c r="K20" i="4" s="1"/>
  <c r="L42" i="1"/>
  <c r="L20" i="4" s="1"/>
  <c r="M42" i="1"/>
  <c r="M20" i="4" s="1"/>
  <c r="K43" i="1"/>
  <c r="L43" i="1"/>
  <c r="M43" i="1"/>
  <c r="N45" i="1"/>
  <c r="A22" i="1"/>
  <c r="Q37" i="4"/>
  <c r="I43" i="23"/>
  <c r="H43" i="23"/>
  <c r="G43" i="23"/>
  <c r="F43" i="23"/>
  <c r="E43" i="23"/>
  <c r="D43" i="23"/>
  <c r="C43" i="23"/>
  <c r="B43" i="23"/>
  <c r="I42" i="23"/>
  <c r="I36" i="4" s="1"/>
  <c r="H42" i="23"/>
  <c r="H36" i="4" s="1"/>
  <c r="G42" i="23"/>
  <c r="G36" i="4" s="1"/>
  <c r="F42" i="23"/>
  <c r="F36" i="4" s="1"/>
  <c r="E42" i="23"/>
  <c r="E36" i="4" s="1"/>
  <c r="D42" i="23"/>
  <c r="D36" i="4" s="1"/>
  <c r="C42" i="23"/>
  <c r="C36" i="4" s="1"/>
  <c r="B42" i="23"/>
  <c r="B36" i="4" s="1"/>
  <c r="I41" i="23"/>
  <c r="I35" i="4" s="1"/>
  <c r="H41" i="23"/>
  <c r="H35" i="4" s="1"/>
  <c r="G41" i="23"/>
  <c r="G35" i="4" s="1"/>
  <c r="F41" i="23"/>
  <c r="F35" i="4" s="1"/>
  <c r="E41" i="23"/>
  <c r="E35" i="4" s="1"/>
  <c r="D41" i="23"/>
  <c r="D35" i="4" s="1"/>
  <c r="C41" i="23"/>
  <c r="C35" i="4" s="1"/>
  <c r="B41" i="23"/>
  <c r="B35" i="4" s="1"/>
  <c r="I40" i="23"/>
  <c r="I34" i="4" s="1"/>
  <c r="H40" i="23"/>
  <c r="H34" i="4" s="1"/>
  <c r="G40" i="23"/>
  <c r="G34" i="4" s="1"/>
  <c r="F40" i="23"/>
  <c r="F34" i="4" s="1"/>
  <c r="E40" i="23"/>
  <c r="E34" i="4" s="1"/>
  <c r="D40" i="23"/>
  <c r="D34" i="4" s="1"/>
  <c r="C40" i="23"/>
  <c r="C34" i="4" s="1"/>
  <c r="B40" i="23"/>
  <c r="B34" i="4" s="1"/>
  <c r="V33" i="4"/>
  <c r="I39" i="23"/>
  <c r="I33" i="4" s="1"/>
  <c r="H39" i="23"/>
  <c r="H33" i="4" s="1"/>
  <c r="G39" i="23"/>
  <c r="G33" i="4" s="1"/>
  <c r="F39" i="23"/>
  <c r="F33" i="4" s="1"/>
  <c r="E39" i="23"/>
  <c r="E33" i="4" s="1"/>
  <c r="D39" i="23"/>
  <c r="D33" i="4" s="1"/>
  <c r="C39" i="23"/>
  <c r="C33" i="4" s="1"/>
  <c r="B39" i="23"/>
  <c r="B33" i="4" s="1"/>
  <c r="I38" i="23"/>
  <c r="I32" i="4" s="1"/>
  <c r="H38" i="23"/>
  <c r="H32" i="4" s="1"/>
  <c r="G38" i="23"/>
  <c r="G32" i="4" s="1"/>
  <c r="F38" i="23"/>
  <c r="F32" i="4" s="1"/>
  <c r="E38" i="23"/>
  <c r="E32" i="4" s="1"/>
  <c r="D38" i="23"/>
  <c r="D32" i="4" s="1"/>
  <c r="C38" i="23"/>
  <c r="C32" i="4" s="1"/>
  <c r="Q31" i="4"/>
  <c r="I37" i="23"/>
  <c r="I31" i="4" s="1"/>
  <c r="H37" i="23"/>
  <c r="H31" i="4" s="1"/>
  <c r="G37" i="23"/>
  <c r="G31" i="4" s="1"/>
  <c r="F37" i="23"/>
  <c r="F31" i="4" s="1"/>
  <c r="E37" i="23"/>
  <c r="E31" i="4" s="1"/>
  <c r="D37" i="23"/>
  <c r="D31" i="4" s="1"/>
  <c r="C37" i="23"/>
  <c r="C31" i="4" s="1"/>
  <c r="B37" i="23"/>
  <c r="B31" i="4" s="1"/>
  <c r="I36" i="23"/>
  <c r="I30" i="4" s="1"/>
  <c r="H36" i="23"/>
  <c r="H30" i="4" s="1"/>
  <c r="G36" i="23"/>
  <c r="G30" i="4" s="1"/>
  <c r="F36" i="23"/>
  <c r="F30" i="4" s="1"/>
  <c r="E36" i="23"/>
  <c r="E30" i="4" s="1"/>
  <c r="D36" i="23"/>
  <c r="D30" i="4" s="1"/>
  <c r="C36" i="23"/>
  <c r="C30" i="4" s="1"/>
  <c r="B36" i="23"/>
  <c r="B30" i="4" s="1"/>
  <c r="V24" i="23"/>
  <c r="U24" i="23"/>
  <c r="T24" i="23"/>
  <c r="S24" i="23"/>
  <c r="R24" i="23"/>
  <c r="Q24" i="23"/>
  <c r="P24" i="23"/>
  <c r="O24" i="23"/>
  <c r="L24" i="23"/>
  <c r="J24" i="23"/>
  <c r="I24" i="23"/>
  <c r="H24" i="23"/>
  <c r="G24" i="23"/>
  <c r="F24" i="23"/>
  <c r="E24" i="23"/>
  <c r="D24" i="23"/>
  <c r="C24" i="23"/>
  <c r="B24" i="23"/>
  <c r="V23" i="23"/>
  <c r="U23" i="23"/>
  <c r="T23" i="23"/>
  <c r="S23" i="23"/>
  <c r="R23" i="23"/>
  <c r="Q23" i="23"/>
  <c r="P23" i="23"/>
  <c r="O23" i="23"/>
  <c r="B32" i="23" s="1"/>
  <c r="B26" i="4" s="1"/>
  <c r="L23" i="23"/>
  <c r="J23" i="23"/>
  <c r="I23" i="23"/>
  <c r="H23" i="23"/>
  <c r="G23" i="23"/>
  <c r="F23" i="23"/>
  <c r="E23" i="23"/>
  <c r="D23" i="23"/>
  <c r="C23" i="23"/>
  <c r="B23" i="23"/>
  <c r="Q45" i="23"/>
  <c r="P45" i="23"/>
  <c r="O45" i="23"/>
  <c r="I22" i="23"/>
  <c r="H27" i="23"/>
  <c r="H52" i="23" s="1"/>
  <c r="G45" i="23"/>
  <c r="F27" i="23"/>
  <c r="F52" i="23" s="1"/>
  <c r="E45" i="23"/>
  <c r="C45" i="23"/>
  <c r="B45" i="23"/>
  <c r="E30" i="23"/>
  <c r="E24" i="4" s="1"/>
  <c r="F29" i="23"/>
  <c r="F23" i="4" s="1"/>
  <c r="D31" i="23"/>
  <c r="D25" i="4" s="1"/>
  <c r="C28" i="23"/>
  <c r="J29" i="23"/>
  <c r="J23" i="4" s="1"/>
  <c r="J40" i="23"/>
  <c r="J34" i="4" s="1"/>
  <c r="J36" i="23"/>
  <c r="J30" i="4" s="1"/>
  <c r="G31" i="23"/>
  <c r="G25" i="4" s="1"/>
  <c r="C31" i="23"/>
  <c r="C25" i="4" s="1"/>
  <c r="H30" i="23"/>
  <c r="H24" i="4" s="1"/>
  <c r="D30" i="23"/>
  <c r="D24" i="4" s="1"/>
  <c r="I29" i="23"/>
  <c r="I23" i="4" s="1"/>
  <c r="J28" i="23"/>
  <c r="F28" i="23"/>
  <c r="J42" i="23"/>
  <c r="J36" i="4" s="1"/>
  <c r="J38" i="23"/>
  <c r="J32" i="4" s="1"/>
  <c r="I31" i="23"/>
  <c r="I25" i="4" s="1"/>
  <c r="E31" i="23"/>
  <c r="E25" i="4" s="1"/>
  <c r="J30" i="23"/>
  <c r="J24" i="4" s="1"/>
  <c r="F30" i="23"/>
  <c r="F24" i="4" s="1"/>
  <c r="C29" i="23"/>
  <c r="C23" i="4" s="1"/>
  <c r="D28" i="23"/>
  <c r="J41" i="23"/>
  <c r="J35" i="4" s="1"/>
  <c r="J37" i="23"/>
  <c r="J31" i="4" s="1"/>
  <c r="I34" i="23"/>
  <c r="I28" i="4" s="1"/>
  <c r="J43" i="23"/>
  <c r="J39" i="23"/>
  <c r="J33" i="4" s="1"/>
  <c r="I32" i="23"/>
  <c r="I26" i="4" s="1"/>
  <c r="J31" i="23"/>
  <c r="J25" i="4" s="1"/>
  <c r="F31" i="23"/>
  <c r="F25" i="4" s="1"/>
  <c r="G30" i="23"/>
  <c r="G24" i="4" s="1"/>
  <c r="C30" i="23"/>
  <c r="C24" i="4" s="1"/>
  <c r="H29" i="23"/>
  <c r="H23" i="4" s="1"/>
  <c r="D29" i="23"/>
  <c r="D23" i="4" s="1"/>
  <c r="I28" i="23"/>
  <c r="E28" i="23"/>
  <c r="G29" i="23"/>
  <c r="G23" i="4" s="1"/>
  <c r="H28" i="23"/>
  <c r="H31" i="23"/>
  <c r="H25" i="4" s="1"/>
  <c r="G28" i="23"/>
  <c r="I30" i="23"/>
  <c r="I24" i="4" s="1"/>
  <c r="P22" i="23"/>
  <c r="S23" i="1"/>
  <c r="T23" i="1"/>
  <c r="U23" i="1"/>
  <c r="V23" i="1"/>
  <c r="S24" i="1"/>
  <c r="T24" i="1"/>
  <c r="U24" i="1"/>
  <c r="V24" i="1"/>
  <c r="L23" i="1"/>
  <c r="M23" i="1"/>
  <c r="L24" i="1"/>
  <c r="M24" i="1"/>
  <c r="T22" i="4"/>
  <c r="I23" i="1"/>
  <c r="I24" i="1"/>
  <c r="C14" i="4"/>
  <c r="D14" i="4"/>
  <c r="E14" i="4"/>
  <c r="F14" i="4"/>
  <c r="G14" i="4"/>
  <c r="H14" i="4"/>
  <c r="I14" i="4"/>
  <c r="J14" i="4"/>
  <c r="C37" i="1"/>
  <c r="C15" i="4" s="1"/>
  <c r="D37" i="1"/>
  <c r="D15" i="4" s="1"/>
  <c r="E37" i="1"/>
  <c r="E15" i="4" s="1"/>
  <c r="F37" i="1"/>
  <c r="F15" i="4" s="1"/>
  <c r="G37" i="1"/>
  <c r="G15" i="4" s="1"/>
  <c r="H37" i="1"/>
  <c r="I37" i="1"/>
  <c r="J37" i="1"/>
  <c r="C38" i="1"/>
  <c r="C16" i="4" s="1"/>
  <c r="D38" i="1"/>
  <c r="D16" i="4" s="1"/>
  <c r="E38" i="1"/>
  <c r="E16" i="4" s="1"/>
  <c r="F38" i="1"/>
  <c r="F16" i="4" s="1"/>
  <c r="G38" i="1"/>
  <c r="G16" i="4" s="1"/>
  <c r="H38" i="1"/>
  <c r="H16" i="4" s="1"/>
  <c r="I38" i="1"/>
  <c r="I16" i="4" s="1"/>
  <c r="J38" i="1"/>
  <c r="J16" i="4" s="1"/>
  <c r="C39" i="1"/>
  <c r="C17" i="4" s="1"/>
  <c r="D39" i="1"/>
  <c r="E39" i="1"/>
  <c r="E17" i="4" s="1"/>
  <c r="F39" i="1"/>
  <c r="F17" i="4" s="1"/>
  <c r="G39" i="1"/>
  <c r="G17" i="4" s="1"/>
  <c r="H39" i="1"/>
  <c r="H17" i="4" s="1"/>
  <c r="I39" i="1"/>
  <c r="I17" i="4" s="1"/>
  <c r="J39" i="1"/>
  <c r="J17" i="4" s="1"/>
  <c r="C40" i="1"/>
  <c r="C18" i="4" s="1"/>
  <c r="D40" i="1"/>
  <c r="D18" i="4" s="1"/>
  <c r="E40" i="1"/>
  <c r="E18" i="4" s="1"/>
  <c r="F40" i="1"/>
  <c r="F18" i="4" s="1"/>
  <c r="G40" i="1"/>
  <c r="G18" i="4" s="1"/>
  <c r="H40" i="1"/>
  <c r="H18" i="4" s="1"/>
  <c r="I40" i="1"/>
  <c r="I18" i="4" s="1"/>
  <c r="J40" i="1"/>
  <c r="J18" i="4" s="1"/>
  <c r="C41" i="1"/>
  <c r="C19" i="4" s="1"/>
  <c r="D41" i="1"/>
  <c r="D19" i="4" s="1"/>
  <c r="E41" i="1"/>
  <c r="E19" i="4" s="1"/>
  <c r="F41" i="1"/>
  <c r="F19" i="4" s="1"/>
  <c r="G41" i="1"/>
  <c r="G19" i="4" s="1"/>
  <c r="H41" i="1"/>
  <c r="H19" i="4" s="1"/>
  <c r="I41" i="1"/>
  <c r="I19" i="4" s="1"/>
  <c r="J41" i="1"/>
  <c r="J19" i="4" s="1"/>
  <c r="C42" i="1"/>
  <c r="C20" i="4" s="1"/>
  <c r="D42" i="1"/>
  <c r="D20" i="4" s="1"/>
  <c r="E42" i="1"/>
  <c r="E20" i="4" s="1"/>
  <c r="F42" i="1"/>
  <c r="F20" i="4" s="1"/>
  <c r="G42" i="1"/>
  <c r="G20" i="4" s="1"/>
  <c r="H42" i="1"/>
  <c r="H20" i="4" s="1"/>
  <c r="I42" i="1"/>
  <c r="I20" i="4" s="1"/>
  <c r="J42" i="1"/>
  <c r="J20" i="4" s="1"/>
  <c r="C43" i="1"/>
  <c r="D43" i="1"/>
  <c r="E43" i="1"/>
  <c r="F43" i="1"/>
  <c r="G43" i="1"/>
  <c r="H43" i="1"/>
  <c r="I43" i="1"/>
  <c r="J43" i="1"/>
  <c r="I45" i="1"/>
  <c r="Q14" i="4"/>
  <c r="R14" i="4"/>
  <c r="Q37" i="1"/>
  <c r="Q15" i="4" s="1"/>
  <c r="P38" i="1"/>
  <c r="P16" i="4" s="1"/>
  <c r="Q38" i="1"/>
  <c r="Q16" i="4" s="1"/>
  <c r="P39" i="1"/>
  <c r="P17" i="4" s="1"/>
  <c r="Q39" i="1"/>
  <c r="Q17" i="4" s="1"/>
  <c r="R39" i="1"/>
  <c r="R17" i="4" s="1"/>
  <c r="P40" i="1"/>
  <c r="P18" i="4" s="1"/>
  <c r="Q40" i="1"/>
  <c r="Q18" i="4" s="1"/>
  <c r="R40" i="1"/>
  <c r="R18" i="4" s="1"/>
  <c r="P41" i="1"/>
  <c r="P19" i="4" s="1"/>
  <c r="Q41" i="1"/>
  <c r="Q19" i="4" s="1"/>
  <c r="P42" i="1"/>
  <c r="P20" i="4" s="1"/>
  <c r="Q42" i="1"/>
  <c r="Q20" i="4" s="1"/>
  <c r="P43" i="1"/>
  <c r="Q43" i="1"/>
  <c r="R43" i="1"/>
  <c r="B14" i="4"/>
  <c r="B37" i="1"/>
  <c r="B15" i="4" s="1"/>
  <c r="B38" i="1"/>
  <c r="B16" i="4" s="1"/>
  <c r="B39" i="1"/>
  <c r="B17" i="4" s="1"/>
  <c r="B40" i="1"/>
  <c r="B18" i="4" s="1"/>
  <c r="B41" i="1"/>
  <c r="B19" i="4" s="1"/>
  <c r="B42" i="1"/>
  <c r="B20" i="4" s="1"/>
  <c r="B43" i="1"/>
  <c r="B23" i="1"/>
  <c r="B4" i="4"/>
  <c r="B62" i="4" s="1"/>
  <c r="A52" i="1"/>
  <c r="O22" i="1"/>
  <c r="Q24" i="1"/>
  <c r="P24" i="1"/>
  <c r="O24" i="1"/>
  <c r="Q23" i="1"/>
  <c r="P23" i="1"/>
  <c r="O23" i="1"/>
  <c r="S29" i="1" s="1"/>
  <c r="S7" i="4" s="1"/>
  <c r="H27" i="1"/>
  <c r="H52" i="1" s="1"/>
  <c r="G27" i="1"/>
  <c r="G52" i="1" s="1"/>
  <c r="F27" i="1"/>
  <c r="F52" i="1" s="1"/>
  <c r="E4" i="4"/>
  <c r="D22" i="1"/>
  <c r="C45" i="1"/>
  <c r="E29" i="1"/>
  <c r="I29" i="1"/>
  <c r="F29" i="1"/>
  <c r="F7" i="4" s="1"/>
  <c r="O39" i="1"/>
  <c r="O17" i="4" s="1"/>
  <c r="O43" i="1"/>
  <c r="O42" i="1"/>
  <c r="O20" i="4" s="1"/>
  <c r="O40" i="1"/>
  <c r="O18" i="4" s="1"/>
  <c r="P28" i="1"/>
  <c r="P30" i="1"/>
  <c r="P8" i="4" s="1"/>
  <c r="O41" i="1"/>
  <c r="O19" i="4" s="1"/>
  <c r="Q28" i="1"/>
  <c r="O38" i="1"/>
  <c r="O16" i="4" s="1"/>
  <c r="Q27" i="1"/>
  <c r="Q52" i="1" s="1"/>
  <c r="K24" i="1"/>
  <c r="J24" i="1"/>
  <c r="H24" i="1"/>
  <c r="G24" i="1"/>
  <c r="F24" i="1"/>
  <c r="E24" i="1"/>
  <c r="D24" i="1"/>
  <c r="C24" i="1"/>
  <c r="B24" i="1"/>
  <c r="K23" i="1"/>
  <c r="J23" i="1"/>
  <c r="H23" i="1"/>
  <c r="G23" i="1"/>
  <c r="F23" i="1"/>
  <c r="E23" i="1"/>
  <c r="D23" i="1"/>
  <c r="C23" i="1"/>
  <c r="K4" i="1"/>
  <c r="K4" i="4" s="1"/>
  <c r="K62" i="4" s="1"/>
  <c r="L4" i="1"/>
  <c r="L4" i="4" s="1"/>
  <c r="K4" i="23"/>
  <c r="K52" i="23" s="1"/>
  <c r="L4" i="23"/>
  <c r="L27" i="23" s="1"/>
  <c r="H56" i="1"/>
  <c r="M56" i="23"/>
  <c r="M24" i="4" l="1"/>
  <c r="J15" i="4"/>
  <c r="I15" i="4"/>
  <c r="H15" i="4"/>
  <c r="O39" i="23"/>
  <c r="O33" i="4" s="1"/>
  <c r="Q32" i="23"/>
  <c r="Q26" i="4" s="1"/>
  <c r="P31" i="23"/>
  <c r="P25" i="4" s="1"/>
  <c r="O29" i="23"/>
  <c r="O23" i="4" s="1"/>
  <c r="P32" i="23"/>
  <c r="P26" i="4" s="1"/>
  <c r="S22" i="4"/>
  <c r="O43" i="23"/>
  <c r="Q28" i="23"/>
  <c r="O42" i="23"/>
  <c r="O36" i="4" s="1"/>
  <c r="Q29" i="23"/>
  <c r="Q23" i="4" s="1"/>
  <c r="P28" i="23"/>
  <c r="E29" i="23"/>
  <c r="E23" i="4" s="1"/>
  <c r="O41" i="23"/>
  <c r="O35" i="4" s="1"/>
  <c r="Q30" i="23"/>
  <c r="Q24" i="4" s="1"/>
  <c r="P29" i="23"/>
  <c r="O40" i="23"/>
  <c r="O34" i="4" s="1"/>
  <c r="Q31" i="23"/>
  <c r="Q25" i="4" s="1"/>
  <c r="P30" i="23"/>
  <c r="P24" i="4" s="1"/>
  <c r="U29" i="1"/>
  <c r="U7" i="4" s="1"/>
  <c r="M29" i="1"/>
  <c r="M7" i="4" s="1"/>
  <c r="T7" i="4"/>
  <c r="J29" i="1"/>
  <c r="J7" i="4" s="1"/>
  <c r="J28" i="1"/>
  <c r="L29" i="1"/>
  <c r="L7" i="4" s="1"/>
  <c r="O31" i="1"/>
  <c r="O32" i="1"/>
  <c r="O10" i="4" s="1"/>
  <c r="O33" i="1"/>
  <c r="O34" i="1"/>
  <c r="O12" i="4" s="1"/>
  <c r="O35" i="1"/>
  <c r="O36" i="1"/>
  <c r="B34" i="1"/>
  <c r="J34" i="1"/>
  <c r="J12" i="4" s="1"/>
  <c r="F35" i="1"/>
  <c r="F13" i="4" s="1"/>
  <c r="T10" i="4"/>
  <c r="T13" i="4"/>
  <c r="C35" i="1"/>
  <c r="C13" i="4" s="1"/>
  <c r="U31" i="1"/>
  <c r="U35" i="1"/>
  <c r="U13" i="4" s="1"/>
  <c r="H34" i="1"/>
  <c r="H12" i="4" s="1"/>
  <c r="V33" i="1"/>
  <c r="V11" i="4" s="1"/>
  <c r="I34" i="1"/>
  <c r="I12" i="4" s="1"/>
  <c r="P31" i="1"/>
  <c r="P9" i="4" s="1"/>
  <c r="P32" i="1"/>
  <c r="P33" i="1"/>
  <c r="P11" i="4" s="1"/>
  <c r="P34" i="1"/>
  <c r="P35" i="1"/>
  <c r="C34" i="1"/>
  <c r="K34" i="1"/>
  <c r="K12" i="4" s="1"/>
  <c r="G35" i="1"/>
  <c r="G13" i="4" s="1"/>
  <c r="T12" i="4"/>
  <c r="K35" i="1"/>
  <c r="K13" i="4" s="1"/>
  <c r="U33" i="1"/>
  <c r="U11" i="4" s="1"/>
  <c r="L35" i="1"/>
  <c r="L13" i="4" s="1"/>
  <c r="V35" i="1"/>
  <c r="V13" i="4" s="1"/>
  <c r="E35" i="1"/>
  <c r="E13" i="4" s="1"/>
  <c r="Q31" i="1"/>
  <c r="Q32" i="1"/>
  <c r="Q33" i="1"/>
  <c r="Q34" i="1"/>
  <c r="Q35" i="1"/>
  <c r="Q13" i="4" s="1"/>
  <c r="D34" i="1"/>
  <c r="L34" i="1"/>
  <c r="L12" i="4" s="1"/>
  <c r="H35" i="1"/>
  <c r="H13" i="4" s="1"/>
  <c r="U34" i="1"/>
  <c r="V34" i="1"/>
  <c r="V12" i="4" s="1"/>
  <c r="R31" i="1"/>
  <c r="R32" i="1"/>
  <c r="R33" i="1"/>
  <c r="R11" i="4" s="1"/>
  <c r="R34" i="1"/>
  <c r="R35" i="1"/>
  <c r="E34" i="1"/>
  <c r="M34" i="1"/>
  <c r="M12" i="4" s="1"/>
  <c r="I35" i="1"/>
  <c r="G34" i="1"/>
  <c r="G12" i="4" s="1"/>
  <c r="V31" i="1"/>
  <c r="V9" i="4" s="1"/>
  <c r="S31" i="1"/>
  <c r="S9" i="4" s="1"/>
  <c r="S32" i="1"/>
  <c r="S33" i="1"/>
  <c r="S34" i="1"/>
  <c r="S12" i="4" s="1"/>
  <c r="S35" i="1"/>
  <c r="S13" i="4" s="1"/>
  <c r="F34" i="1"/>
  <c r="F12" i="4" s="1"/>
  <c r="B35" i="1"/>
  <c r="J35" i="1"/>
  <c r="J13" i="4" s="1"/>
  <c r="U32" i="1"/>
  <c r="U10" i="4" s="1"/>
  <c r="D35" i="1"/>
  <c r="D13" i="4" s="1"/>
  <c r="V32" i="1"/>
  <c r="M35" i="1"/>
  <c r="M13" i="4" s="1"/>
  <c r="K29" i="1"/>
  <c r="K7" i="4" s="1"/>
  <c r="V30" i="1"/>
  <c r="V8" i="4" s="1"/>
  <c r="V28" i="1"/>
  <c r="V6" i="4" s="1"/>
  <c r="G29" i="1"/>
  <c r="M28" i="1"/>
  <c r="U30" i="1"/>
  <c r="U8" i="4" s="1"/>
  <c r="U28" i="1"/>
  <c r="L28" i="1"/>
  <c r="T8" i="4"/>
  <c r="K28" i="1"/>
  <c r="S30" i="1"/>
  <c r="S8" i="4" s="1"/>
  <c r="S28" i="1"/>
  <c r="S6" i="4" s="1"/>
  <c r="C34" i="23"/>
  <c r="C28" i="4" s="1"/>
  <c r="C33" i="23"/>
  <c r="C27" i="4" s="1"/>
  <c r="U22" i="4"/>
  <c r="K22" i="4"/>
  <c r="C29" i="1"/>
  <c r="C7" i="4" s="1"/>
  <c r="B30" i="1"/>
  <c r="B8" i="4" s="1"/>
  <c r="F30" i="1"/>
  <c r="F8" i="4" s="1"/>
  <c r="J30" i="1"/>
  <c r="B31" i="1"/>
  <c r="F31" i="1"/>
  <c r="J31" i="1"/>
  <c r="B32" i="1"/>
  <c r="F32" i="1"/>
  <c r="F10" i="4" s="1"/>
  <c r="J32" i="1"/>
  <c r="J10" i="4" s="1"/>
  <c r="B33" i="1"/>
  <c r="F33" i="1"/>
  <c r="F11" i="4" s="1"/>
  <c r="J33" i="1"/>
  <c r="C30" i="1"/>
  <c r="G30" i="1"/>
  <c r="K30" i="1"/>
  <c r="C31" i="1"/>
  <c r="G31" i="1"/>
  <c r="G9" i="4" s="1"/>
  <c r="K31" i="1"/>
  <c r="K9" i="4" s="1"/>
  <c r="C32" i="1"/>
  <c r="G32" i="1"/>
  <c r="K32" i="1"/>
  <c r="K10" i="4" s="1"/>
  <c r="C33" i="1"/>
  <c r="G33" i="1"/>
  <c r="K33" i="1"/>
  <c r="K11" i="4" s="1"/>
  <c r="H30" i="1"/>
  <c r="H8" i="4" s="1"/>
  <c r="L30" i="1"/>
  <c r="L8" i="4" s="1"/>
  <c r="D31" i="1"/>
  <c r="D9" i="4" s="1"/>
  <c r="L31" i="1"/>
  <c r="D32" i="1"/>
  <c r="L32" i="1"/>
  <c r="D33" i="1"/>
  <c r="D11" i="4" s="1"/>
  <c r="L33" i="1"/>
  <c r="L11" i="4" s="1"/>
  <c r="D30" i="1"/>
  <c r="H31" i="1"/>
  <c r="H32" i="1"/>
  <c r="H10" i="4" s="1"/>
  <c r="H33" i="1"/>
  <c r="E30" i="1"/>
  <c r="E8" i="4" s="1"/>
  <c r="I30" i="1"/>
  <c r="M30" i="1"/>
  <c r="E31" i="1"/>
  <c r="I31" i="1"/>
  <c r="I9" i="4" s="1"/>
  <c r="M31" i="1"/>
  <c r="M9" i="4" s="1"/>
  <c r="E32" i="1"/>
  <c r="E10" i="4" s="1"/>
  <c r="I32" i="1"/>
  <c r="M32" i="1"/>
  <c r="M10" i="4" s="1"/>
  <c r="E33" i="1"/>
  <c r="I33" i="1"/>
  <c r="I11" i="4" s="1"/>
  <c r="M33" i="1"/>
  <c r="F33" i="23"/>
  <c r="F27" i="4" s="1"/>
  <c r="E35" i="23"/>
  <c r="E29" i="4" s="1"/>
  <c r="H34" i="23"/>
  <c r="H28" i="4" s="1"/>
  <c r="G8" i="4"/>
  <c r="M33" i="23"/>
  <c r="M27" i="4" s="1"/>
  <c r="L35" i="23"/>
  <c r="L29" i="4" s="1"/>
  <c r="M32" i="23"/>
  <c r="O36" i="23"/>
  <c r="O30" i="4" s="1"/>
  <c r="S36" i="23"/>
  <c r="S34" i="23"/>
  <c r="S28" i="4" s="1"/>
  <c r="U33" i="23"/>
  <c r="J33" i="23"/>
  <c r="J27" i="4" s="1"/>
  <c r="I35" i="23"/>
  <c r="I29" i="4" s="1"/>
  <c r="D33" i="23"/>
  <c r="D27" i="4" s="1"/>
  <c r="G34" i="23"/>
  <c r="G28" i="4" s="1"/>
  <c r="H35" i="23"/>
  <c r="H29" i="4" s="1"/>
  <c r="F34" i="23"/>
  <c r="F28" i="4" s="1"/>
  <c r="E33" i="23"/>
  <c r="E27" i="4" s="1"/>
  <c r="C35" i="23"/>
  <c r="C29" i="4" s="1"/>
  <c r="K35" i="23"/>
  <c r="K29" i="4" s="1"/>
  <c r="L32" i="23"/>
  <c r="V36" i="23"/>
  <c r="V30" i="4" s="1"/>
  <c r="R36" i="23"/>
  <c r="T35" i="23"/>
  <c r="T29" i="4" s="1"/>
  <c r="P35" i="23"/>
  <c r="P29" i="4" s="1"/>
  <c r="V34" i="23"/>
  <c r="V28" i="4" s="1"/>
  <c r="T33" i="23"/>
  <c r="D35" i="23"/>
  <c r="D29" i="4" s="1"/>
  <c r="D32" i="23"/>
  <c r="H33" i="23"/>
  <c r="H27" i="4" s="1"/>
  <c r="F35" i="23"/>
  <c r="F29" i="4" s="1"/>
  <c r="C32" i="23"/>
  <c r="J34" i="23"/>
  <c r="J28" i="4" s="1"/>
  <c r="F32" i="23"/>
  <c r="I33" i="23"/>
  <c r="G35" i="23"/>
  <c r="G29" i="4" s="1"/>
  <c r="M34" i="23"/>
  <c r="M28" i="4" s="1"/>
  <c r="L33" i="23"/>
  <c r="L27" i="4" s="1"/>
  <c r="K32" i="23"/>
  <c r="O33" i="23"/>
  <c r="O27" i="4" s="1"/>
  <c r="U36" i="23"/>
  <c r="U30" i="4" s="1"/>
  <c r="Q36" i="23"/>
  <c r="Q30" i="4" s="1"/>
  <c r="S35" i="23"/>
  <c r="S29" i="4" s="1"/>
  <c r="U34" i="23"/>
  <c r="U28" i="4" s="1"/>
  <c r="Q34" i="23"/>
  <c r="Q28" i="4" s="1"/>
  <c r="S33" i="23"/>
  <c r="K34" i="23"/>
  <c r="K28" i="4" s="1"/>
  <c r="U35" i="23"/>
  <c r="U29" i="4" s="1"/>
  <c r="Q35" i="23"/>
  <c r="Q29" i="4" s="1"/>
  <c r="Q33" i="23"/>
  <c r="O35" i="23"/>
  <c r="O29" i="4" s="1"/>
  <c r="R34" i="23"/>
  <c r="R28" i="4" s="1"/>
  <c r="P33" i="23"/>
  <c r="G32" i="23"/>
  <c r="G33" i="23"/>
  <c r="G27" i="4" s="1"/>
  <c r="E32" i="23"/>
  <c r="J35" i="23"/>
  <c r="J29" i="4" s="1"/>
  <c r="E34" i="23"/>
  <c r="E28" i="4" s="1"/>
  <c r="H32" i="23"/>
  <c r="J32" i="23"/>
  <c r="D34" i="23"/>
  <c r="D28" i="4" s="1"/>
  <c r="M35" i="23"/>
  <c r="M29" i="4" s="1"/>
  <c r="L34" i="23"/>
  <c r="L28" i="4" s="1"/>
  <c r="K33" i="23"/>
  <c r="K27" i="4" s="1"/>
  <c r="T36" i="23"/>
  <c r="T30" i="4" s="1"/>
  <c r="P36" i="23"/>
  <c r="P30" i="4" s="1"/>
  <c r="V35" i="23"/>
  <c r="V29" i="4" s="1"/>
  <c r="R35" i="23"/>
  <c r="R29" i="4" s="1"/>
  <c r="T34" i="23"/>
  <c r="T28" i="4" s="1"/>
  <c r="P34" i="23"/>
  <c r="P28" i="4" s="1"/>
  <c r="V33" i="23"/>
  <c r="R33" i="23"/>
  <c r="H11" i="4"/>
  <c r="B11" i="4"/>
  <c r="L10" i="4"/>
  <c r="M11" i="4"/>
  <c r="J11" i="4"/>
  <c r="U12" i="4"/>
  <c r="S11" i="4"/>
  <c r="V10" i="4"/>
  <c r="U9" i="4"/>
  <c r="T11" i="4"/>
  <c r="S10" i="4"/>
  <c r="Q12" i="4"/>
  <c r="E11" i="4"/>
  <c r="Q11" i="4"/>
  <c r="P12" i="4"/>
  <c r="Q9" i="4"/>
  <c r="I8" i="4"/>
  <c r="C11" i="4"/>
  <c r="J9" i="4"/>
  <c r="L9" i="4"/>
  <c r="T9" i="4"/>
  <c r="D22" i="4"/>
  <c r="L22" i="4"/>
  <c r="E22" i="4"/>
  <c r="M22" i="4"/>
  <c r="H22" i="4"/>
  <c r="I22" i="4"/>
  <c r="C22" i="4"/>
  <c r="G22" i="4"/>
  <c r="Q22" i="4"/>
  <c r="F22" i="4"/>
  <c r="J22" i="4"/>
  <c r="P22" i="4"/>
  <c r="T6" i="4"/>
  <c r="J6" i="4"/>
  <c r="Q6" i="4"/>
  <c r="L6" i="4"/>
  <c r="P6" i="4"/>
  <c r="M6" i="4"/>
  <c r="U6" i="4"/>
  <c r="T4" i="33"/>
  <c r="T22" i="33" s="1"/>
  <c r="Q22" i="1"/>
  <c r="R13" i="4"/>
  <c r="G10" i="4"/>
  <c r="H29" i="1"/>
  <c r="E28" i="1"/>
  <c r="D12" i="4"/>
  <c r="F28" i="1"/>
  <c r="R41" i="1"/>
  <c r="R19" i="4" s="1"/>
  <c r="R37" i="1"/>
  <c r="R15" i="4" s="1"/>
  <c r="Q29" i="1"/>
  <c r="O37" i="1"/>
  <c r="O15" i="4" s="1"/>
  <c r="P29" i="1"/>
  <c r="B12" i="4"/>
  <c r="B13" i="4"/>
  <c r="C12" i="4"/>
  <c r="I28" i="1"/>
  <c r="H28" i="1"/>
  <c r="G28" i="1"/>
  <c r="I10" i="4"/>
  <c r="E9" i="4"/>
  <c r="R42" i="1"/>
  <c r="R20" i="4" s="1"/>
  <c r="R38" i="1"/>
  <c r="R16" i="4" s="1"/>
  <c r="R12" i="4"/>
  <c r="L74" i="4"/>
  <c r="L62" i="4"/>
  <c r="E55" i="4"/>
  <c r="E62" i="4"/>
  <c r="P21" i="4"/>
  <c r="I52" i="23"/>
  <c r="R4" i="33"/>
  <c r="V37" i="4"/>
  <c r="R37" i="4"/>
  <c r="K37" i="4"/>
  <c r="I45" i="23"/>
  <c r="U4" i="33"/>
  <c r="O21" i="4"/>
  <c r="R21" i="4"/>
  <c r="Q21" i="4"/>
  <c r="S4" i="33"/>
  <c r="C27" i="23"/>
  <c r="C52" i="23" s="1"/>
  <c r="I27" i="23"/>
  <c r="V21" i="4"/>
  <c r="T21" i="4"/>
  <c r="B21" i="4"/>
  <c r="O37" i="23"/>
  <c r="O31" i="4" s="1"/>
  <c r="O34" i="23"/>
  <c r="O28" i="4" s="1"/>
  <c r="O38" i="23"/>
  <c r="T37" i="4"/>
  <c r="B38" i="23"/>
  <c r="F37" i="4"/>
  <c r="L37" i="4"/>
  <c r="P37" i="4"/>
  <c r="S37" i="4"/>
  <c r="J37" i="4"/>
  <c r="H37" i="4"/>
  <c r="M37" i="4"/>
  <c r="O37" i="4"/>
  <c r="Q4" i="4"/>
  <c r="Q62" i="4" s="1"/>
  <c r="P27" i="23"/>
  <c r="P52" i="23" s="1"/>
  <c r="J4" i="1"/>
  <c r="J4" i="4" s="1"/>
  <c r="J4" i="23"/>
  <c r="J45" i="23" s="1"/>
  <c r="M4" i="23"/>
  <c r="M27" i="23" s="1"/>
  <c r="M4" i="1"/>
  <c r="M4" i="4" s="1"/>
  <c r="L45" i="1"/>
  <c r="L27" i="1"/>
  <c r="L52" i="1" s="1"/>
  <c r="O32" i="23"/>
  <c r="O31" i="23"/>
  <c r="O25" i="4" s="1"/>
  <c r="O30" i="23"/>
  <c r="O24" i="4" s="1"/>
  <c r="B33" i="23"/>
  <c r="B27" i="4" s="1"/>
  <c r="B28" i="23"/>
  <c r="B30" i="23"/>
  <c r="B24" i="4" s="1"/>
  <c r="B34" i="23"/>
  <c r="B28" i="4" s="1"/>
  <c r="B35" i="23"/>
  <c r="O28" i="23"/>
  <c r="B31" i="23"/>
  <c r="B25" i="4" s="1"/>
  <c r="B29" i="23"/>
  <c r="B23" i="4" s="1"/>
  <c r="P10" i="4"/>
  <c r="D4" i="4"/>
  <c r="P23" i="4"/>
  <c r="O29" i="1"/>
  <c r="O7" i="4" s="1"/>
  <c r="B27" i="23"/>
  <c r="B52" i="23" s="1"/>
  <c r="K45" i="23"/>
  <c r="E27" i="23"/>
  <c r="E52" i="23" s="1"/>
  <c r="Q30" i="1"/>
  <c r="Q8" i="4" s="1"/>
  <c r="B29" i="1"/>
  <c r="B7" i="4" s="1"/>
  <c r="P13" i="4"/>
  <c r="H22" i="23"/>
  <c r="P37" i="1"/>
  <c r="F22" i="23"/>
  <c r="H45" i="23"/>
  <c r="R9" i="4"/>
  <c r="R22" i="4"/>
  <c r="V22" i="4"/>
  <c r="J21" i="4"/>
  <c r="E37" i="4"/>
  <c r="M21" i="4"/>
  <c r="R28" i="1"/>
  <c r="R30" i="1"/>
  <c r="R8" i="4" s="1"/>
  <c r="L21" i="4"/>
  <c r="U21" i="4"/>
  <c r="R29" i="1"/>
  <c r="R7" i="4" s="1"/>
  <c r="D21" i="4"/>
  <c r="C37" i="4"/>
  <c r="I37" i="4"/>
  <c r="K21" i="4"/>
  <c r="P14" i="4"/>
  <c r="C21" i="4"/>
  <c r="B37" i="4"/>
  <c r="D37" i="4"/>
  <c r="G37" i="4"/>
  <c r="O13" i="4"/>
  <c r="O11" i="4"/>
  <c r="O30" i="1"/>
  <c r="O8" i="4" s="1"/>
  <c r="B9" i="4"/>
  <c r="O9" i="4"/>
  <c r="D28" i="1"/>
  <c r="B28" i="1"/>
  <c r="C28" i="1"/>
  <c r="O28" i="1"/>
  <c r="C8" i="4"/>
  <c r="C9" i="4"/>
  <c r="D29" i="1"/>
  <c r="D7" i="4" s="1"/>
  <c r="G21" i="4"/>
  <c r="I21" i="4"/>
  <c r="F21" i="4"/>
  <c r="H21" i="4"/>
  <c r="E21" i="4"/>
  <c r="L52" i="23"/>
  <c r="E7" i="4"/>
  <c r="D17" i="4"/>
  <c r="H9" i="4"/>
  <c r="G7" i="4"/>
  <c r="C4" i="4"/>
  <c r="E47" i="23"/>
  <c r="G27" i="23"/>
  <c r="G52" i="23" s="1"/>
  <c r="K27" i="23"/>
  <c r="L22" i="1"/>
  <c r="I7" i="4"/>
  <c r="D27" i="1"/>
  <c r="D52" i="1" s="1"/>
  <c r="D45" i="1"/>
  <c r="D22" i="23"/>
  <c r="D45" i="23"/>
  <c r="D27" i="23"/>
  <c r="D52" i="23" s="1"/>
  <c r="F45" i="23"/>
  <c r="E22" i="23"/>
  <c r="G22" i="23"/>
  <c r="K22" i="23"/>
  <c r="L45" i="23"/>
  <c r="O22" i="23"/>
  <c r="Q22" i="23"/>
  <c r="B22" i="23"/>
  <c r="C22" i="23"/>
  <c r="L22" i="23"/>
  <c r="Q27" i="23"/>
  <c r="Q52" i="23" s="1"/>
  <c r="O27" i="23"/>
  <c r="O52" i="23" s="1"/>
  <c r="E45" i="1"/>
  <c r="B27" i="1"/>
  <c r="B52" i="1" s="1"/>
  <c r="K27" i="1"/>
  <c r="K52" i="1" s="1"/>
  <c r="F4" i="4"/>
  <c r="G22" i="1"/>
  <c r="F45" i="1"/>
  <c r="C22" i="1"/>
  <c r="B22" i="1"/>
  <c r="G45" i="1"/>
  <c r="E27" i="1"/>
  <c r="E52" i="1" s="1"/>
  <c r="E22" i="1"/>
  <c r="I22" i="1"/>
  <c r="I27" i="1"/>
  <c r="P27" i="1"/>
  <c r="P52" i="1" s="1"/>
  <c r="H4" i="4"/>
  <c r="F22" i="1"/>
  <c r="I4" i="4"/>
  <c r="G4" i="4"/>
  <c r="C27" i="1"/>
  <c r="C52" i="1" s="1"/>
  <c r="B45" i="1"/>
  <c r="K74" i="4"/>
  <c r="K22" i="1"/>
  <c r="H22" i="1"/>
  <c r="O4" i="4"/>
  <c r="H45" i="1"/>
  <c r="O45" i="1"/>
  <c r="P4" i="4"/>
  <c r="K45" i="1"/>
  <c r="P45" i="1"/>
  <c r="O27" i="1"/>
  <c r="O52" i="1" s="1"/>
  <c r="I52" i="1"/>
  <c r="K55" i="4"/>
  <c r="B55" i="4"/>
  <c r="L55" i="4"/>
  <c r="E74" i="4"/>
  <c r="B74" i="4"/>
  <c r="U56" i="23"/>
  <c r="R56" i="23"/>
  <c r="L56" i="1"/>
  <c r="J56" i="1"/>
  <c r="V56" i="23"/>
  <c r="I56" i="23"/>
  <c r="M56" i="1"/>
  <c r="I56" i="1"/>
  <c r="K56" i="1"/>
  <c r="S56" i="23"/>
  <c r="T56" i="23"/>
  <c r="S30" i="4" l="1"/>
  <c r="R30" i="4"/>
  <c r="K6" i="4"/>
  <c r="S47" i="1"/>
  <c r="S48" i="1" s="1"/>
  <c r="S54" i="1" s="1"/>
  <c r="T27" i="4"/>
  <c r="T63" i="4" s="1"/>
  <c r="T64" i="4" s="1"/>
  <c r="M46" i="23"/>
  <c r="M53" i="23" s="1"/>
  <c r="E48" i="23"/>
  <c r="E54" i="23" s="1"/>
  <c r="U57" i="1"/>
  <c r="S57" i="1"/>
  <c r="V57" i="1"/>
  <c r="T57" i="1"/>
  <c r="M8" i="4"/>
  <c r="K8" i="4"/>
  <c r="J8" i="4"/>
  <c r="S46" i="23"/>
  <c r="S53" i="23" s="1"/>
  <c r="P47" i="23"/>
  <c r="P48" i="23" s="1"/>
  <c r="P54" i="23" s="1"/>
  <c r="V57" i="23"/>
  <c r="I57" i="23"/>
  <c r="T57" i="23"/>
  <c r="U57" i="23"/>
  <c r="M57" i="23"/>
  <c r="G57" i="23"/>
  <c r="Q57" i="23"/>
  <c r="S57" i="23"/>
  <c r="F57" i="23"/>
  <c r="P57" i="23"/>
  <c r="D57" i="23"/>
  <c r="L57" i="23"/>
  <c r="H57" i="23"/>
  <c r="K57" i="23"/>
  <c r="R57" i="23"/>
  <c r="J57" i="23"/>
  <c r="E57" i="23"/>
  <c r="C57" i="23"/>
  <c r="V27" i="4"/>
  <c r="V57" i="4" s="1"/>
  <c r="V58" i="4" s="1"/>
  <c r="V76" i="4" s="1"/>
  <c r="I27" i="4"/>
  <c r="U27" i="4"/>
  <c r="M26" i="4"/>
  <c r="G26" i="4"/>
  <c r="Q27" i="4"/>
  <c r="S27" i="4"/>
  <c r="S63" i="4" s="1"/>
  <c r="S64" i="4" s="1"/>
  <c r="F26" i="4"/>
  <c r="P27" i="4"/>
  <c r="D26" i="4"/>
  <c r="L26" i="4"/>
  <c r="L56" i="4" s="1"/>
  <c r="L75" i="4" s="1"/>
  <c r="H26" i="4"/>
  <c r="K26" i="4"/>
  <c r="V46" i="23"/>
  <c r="V53" i="23" s="1"/>
  <c r="V47" i="23"/>
  <c r="V48" i="23" s="1"/>
  <c r="V54" i="23" s="1"/>
  <c r="R27" i="4"/>
  <c r="J26" i="4"/>
  <c r="E26" i="4"/>
  <c r="C26" i="4"/>
  <c r="M57" i="1"/>
  <c r="K57" i="1"/>
  <c r="J57" i="1"/>
  <c r="L57" i="1"/>
  <c r="E46" i="23"/>
  <c r="E53" i="23" s="1"/>
  <c r="F46" i="23"/>
  <c r="F53" i="23" s="1"/>
  <c r="K46" i="23"/>
  <c r="K53" i="23" s="1"/>
  <c r="G46" i="23"/>
  <c r="G53" i="23" s="1"/>
  <c r="M47" i="23"/>
  <c r="M48" i="23" s="1"/>
  <c r="M54" i="23" s="1"/>
  <c r="I46" i="23"/>
  <c r="I53" i="23" s="1"/>
  <c r="Q47" i="23"/>
  <c r="Q48" i="23" s="1"/>
  <c r="Q54" i="23" s="1"/>
  <c r="Q46" i="23"/>
  <c r="Q53" i="23" s="1"/>
  <c r="F47" i="23"/>
  <c r="F48" i="23" s="1"/>
  <c r="F54" i="23" s="1"/>
  <c r="S47" i="23"/>
  <c r="S48" i="23" s="1"/>
  <c r="S54" i="23" s="1"/>
  <c r="I47" i="23"/>
  <c r="I48" i="23" s="1"/>
  <c r="I54" i="23" s="1"/>
  <c r="T47" i="23"/>
  <c r="T48" i="23" s="1"/>
  <c r="T54" i="23" s="1"/>
  <c r="D46" i="23"/>
  <c r="D53" i="23" s="1"/>
  <c r="L46" i="23"/>
  <c r="L53" i="23" s="1"/>
  <c r="P46" i="23"/>
  <c r="P53" i="23" s="1"/>
  <c r="C46" i="23"/>
  <c r="C53" i="23" s="1"/>
  <c r="U47" i="23"/>
  <c r="U48" i="23" s="1"/>
  <c r="U54" i="23" s="1"/>
  <c r="H46" i="23"/>
  <c r="H53" i="23" s="1"/>
  <c r="U46" i="23"/>
  <c r="U53" i="23" s="1"/>
  <c r="H47" i="23"/>
  <c r="H48" i="23" s="1"/>
  <c r="H54" i="23" s="1"/>
  <c r="D47" i="23"/>
  <c r="D48" i="23" s="1"/>
  <c r="D54" i="23" s="1"/>
  <c r="R47" i="23"/>
  <c r="R48" i="23" s="1"/>
  <c r="R54" i="23" s="1"/>
  <c r="J47" i="23"/>
  <c r="J48" i="23" s="1"/>
  <c r="J54" i="23" s="1"/>
  <c r="T46" i="23"/>
  <c r="T53" i="23" s="1"/>
  <c r="L47" i="23"/>
  <c r="L48" i="23" s="1"/>
  <c r="L54" i="23" s="1"/>
  <c r="J46" i="23"/>
  <c r="J53" i="23" s="1"/>
  <c r="C47" i="23"/>
  <c r="C48" i="23" s="1"/>
  <c r="C54" i="23" s="1"/>
  <c r="K47" i="23"/>
  <c r="K48" i="23" s="1"/>
  <c r="K54" i="23" s="1"/>
  <c r="G47" i="23"/>
  <c r="G48" i="23" s="1"/>
  <c r="G54" i="23" s="1"/>
  <c r="R46" i="23"/>
  <c r="R53" i="23" s="1"/>
  <c r="L47" i="1"/>
  <c r="L48" i="1" s="1"/>
  <c r="L54" i="1" s="1"/>
  <c r="U47" i="1"/>
  <c r="U48" i="1" s="1"/>
  <c r="U54" i="1" s="1"/>
  <c r="V46" i="1"/>
  <c r="V53" i="1" s="1"/>
  <c r="S46" i="1"/>
  <c r="S53" i="1" s="1"/>
  <c r="T46" i="1"/>
  <c r="T53" i="1" s="1"/>
  <c r="U46" i="1"/>
  <c r="U53" i="1" s="1"/>
  <c r="M47" i="1"/>
  <c r="M48" i="1" s="1"/>
  <c r="M54" i="1" s="1"/>
  <c r="J46" i="1"/>
  <c r="J53" i="1" s="1"/>
  <c r="K47" i="1"/>
  <c r="K48" i="1" s="1"/>
  <c r="K54" i="1" s="1"/>
  <c r="V47" i="1"/>
  <c r="V48" i="1" s="1"/>
  <c r="V54" i="1" s="1"/>
  <c r="M46" i="1"/>
  <c r="M53" i="1" s="1"/>
  <c r="F46" i="1"/>
  <c r="F53" i="1" s="1"/>
  <c r="L46" i="1"/>
  <c r="L53" i="1" s="1"/>
  <c r="J47" i="1"/>
  <c r="J48" i="1" s="1"/>
  <c r="J54" i="1" s="1"/>
  <c r="T47" i="1"/>
  <c r="T48" i="1" s="1"/>
  <c r="T54" i="1" s="1"/>
  <c r="K46" i="1"/>
  <c r="K53" i="1" s="1"/>
  <c r="B22" i="4"/>
  <c r="D6" i="4"/>
  <c r="R6" i="4"/>
  <c r="I6" i="4"/>
  <c r="P7" i="4"/>
  <c r="E6" i="4"/>
  <c r="O6" i="4"/>
  <c r="B6" i="4"/>
  <c r="C6" i="4"/>
  <c r="H6" i="4"/>
  <c r="F6" i="4"/>
  <c r="P47" i="1"/>
  <c r="P48" i="1" s="1"/>
  <c r="P54" i="1" s="1"/>
  <c r="L63" i="4"/>
  <c r="L64" i="4" s="1"/>
  <c r="G6" i="4"/>
  <c r="Q7" i="4"/>
  <c r="T27" i="33"/>
  <c r="T52" i="33" s="1"/>
  <c r="T45" i="33"/>
  <c r="I47" i="1"/>
  <c r="I48" i="1" s="1"/>
  <c r="I54" i="1" s="1"/>
  <c r="F47" i="1"/>
  <c r="F48" i="1" s="1"/>
  <c r="F54" i="1" s="1"/>
  <c r="G47" i="1"/>
  <c r="G48" i="1" s="1"/>
  <c r="G54" i="1" s="1"/>
  <c r="E47" i="1"/>
  <c r="E48" i="1" s="1"/>
  <c r="E54" i="1" s="1"/>
  <c r="Q46" i="1"/>
  <c r="Q53" i="1" s="1"/>
  <c r="E46" i="1"/>
  <c r="E53" i="1" s="1"/>
  <c r="Q47" i="1"/>
  <c r="Q48" i="1" s="1"/>
  <c r="Q54" i="1" s="1"/>
  <c r="I46" i="1"/>
  <c r="I53" i="1" s="1"/>
  <c r="Q74" i="4"/>
  <c r="H57" i="1"/>
  <c r="G57" i="1"/>
  <c r="F57" i="1"/>
  <c r="I57" i="1"/>
  <c r="E57" i="1"/>
  <c r="H7" i="4"/>
  <c r="G46" i="1"/>
  <c r="G53" i="1" s="1"/>
  <c r="H46" i="1"/>
  <c r="H53" i="1" s="1"/>
  <c r="H47" i="1"/>
  <c r="H48" i="1" s="1"/>
  <c r="H54" i="1" s="1"/>
  <c r="G11" i="4"/>
  <c r="F9" i="4"/>
  <c r="I13" i="4"/>
  <c r="E12" i="4"/>
  <c r="I55" i="4"/>
  <c r="I62" i="4"/>
  <c r="S56" i="4"/>
  <c r="S75" i="4" s="1"/>
  <c r="O55" i="4"/>
  <c r="O62" i="4"/>
  <c r="F55" i="4"/>
  <c r="F62" i="4"/>
  <c r="M55" i="4"/>
  <c r="M62" i="4"/>
  <c r="J55" i="4"/>
  <c r="J62" i="4"/>
  <c r="J57" i="4"/>
  <c r="J58" i="4" s="1"/>
  <c r="J76" i="4" s="1"/>
  <c r="P55" i="4"/>
  <c r="P62" i="4"/>
  <c r="G55" i="4"/>
  <c r="G62" i="4"/>
  <c r="H74" i="4"/>
  <c r="H62" i="4"/>
  <c r="U22" i="33"/>
  <c r="U45" i="33"/>
  <c r="U27" i="33"/>
  <c r="U52" i="33" s="1"/>
  <c r="R45" i="33"/>
  <c r="R27" i="33"/>
  <c r="R52" i="33" s="1"/>
  <c r="R22" i="33"/>
  <c r="C74" i="4"/>
  <c r="C62" i="4"/>
  <c r="D55" i="4"/>
  <c r="D62" i="4"/>
  <c r="S27" i="33"/>
  <c r="S52" i="33" s="1"/>
  <c r="S22" i="33"/>
  <c r="S45" i="33"/>
  <c r="V4" i="33"/>
  <c r="Q55" i="4"/>
  <c r="V4" i="1"/>
  <c r="V45" i="1" s="1"/>
  <c r="O32" i="4"/>
  <c r="Q10" i="4"/>
  <c r="B32" i="4"/>
  <c r="H55" i="4"/>
  <c r="R10" i="4"/>
  <c r="O14" i="4"/>
  <c r="P15" i="4"/>
  <c r="V4" i="23"/>
  <c r="V45" i="23" s="1"/>
  <c r="B10" i="4"/>
  <c r="O26" i="4"/>
  <c r="P46" i="1"/>
  <c r="P53" i="1" s="1"/>
  <c r="U4" i="1"/>
  <c r="U22" i="1" s="1"/>
  <c r="M74" i="4"/>
  <c r="M27" i="1"/>
  <c r="M52" i="1" s="1"/>
  <c r="M22" i="1"/>
  <c r="J52" i="1"/>
  <c r="J74" i="4"/>
  <c r="J27" i="1"/>
  <c r="J45" i="1"/>
  <c r="S4" i="1"/>
  <c r="S4" i="23"/>
  <c r="C55" i="4"/>
  <c r="U4" i="23"/>
  <c r="U22" i="23" s="1"/>
  <c r="J22" i="23"/>
  <c r="J52" i="23"/>
  <c r="J22" i="1"/>
  <c r="J27" i="23"/>
  <c r="R4" i="1"/>
  <c r="R22" i="1" s="1"/>
  <c r="R4" i="23"/>
  <c r="R22" i="23" s="1"/>
  <c r="M52" i="23"/>
  <c r="M22" i="23"/>
  <c r="M45" i="23"/>
  <c r="M45" i="1"/>
  <c r="B46" i="23"/>
  <c r="B53" i="23" s="1"/>
  <c r="B55" i="23" s="1"/>
  <c r="O46" i="23"/>
  <c r="O53" i="23" s="1"/>
  <c r="O55" i="23" s="1"/>
  <c r="O47" i="23"/>
  <c r="O48" i="23" s="1"/>
  <c r="O54" i="23" s="1"/>
  <c r="B47" i="23"/>
  <c r="B48" i="23" s="1"/>
  <c r="B54" i="23" s="1"/>
  <c r="B57" i="23"/>
  <c r="O57" i="23"/>
  <c r="B29" i="4"/>
  <c r="O22" i="4"/>
  <c r="R47" i="1"/>
  <c r="R48" i="1" s="1"/>
  <c r="R54" i="1" s="1"/>
  <c r="Q57" i="1"/>
  <c r="D74" i="4"/>
  <c r="R46" i="1"/>
  <c r="R53" i="1" s="1"/>
  <c r="C47" i="1"/>
  <c r="C48" i="1" s="1"/>
  <c r="C54" i="1" s="1"/>
  <c r="G74" i="4"/>
  <c r="D57" i="1"/>
  <c r="R57" i="1"/>
  <c r="P57" i="1"/>
  <c r="O57" i="1"/>
  <c r="C57" i="1"/>
  <c r="D10" i="4"/>
  <c r="C10" i="4"/>
  <c r="B57" i="1"/>
  <c r="C46" i="1"/>
  <c r="C53" i="1" s="1"/>
  <c r="B46" i="1"/>
  <c r="B53" i="1" s="1"/>
  <c r="B47" i="1"/>
  <c r="B48" i="1" s="1"/>
  <c r="B54" i="1" s="1"/>
  <c r="D46" i="1"/>
  <c r="D53" i="1" s="1"/>
  <c r="O47" i="1"/>
  <c r="O48" i="1" s="1"/>
  <c r="O54" i="1" s="1"/>
  <c r="O46" i="1"/>
  <c r="O53" i="1" s="1"/>
  <c r="O55" i="1" s="1"/>
  <c r="D47" i="1"/>
  <c r="D48" i="1" s="1"/>
  <c r="D54" i="1" s="1"/>
  <c r="D8" i="4"/>
  <c r="T4" i="1"/>
  <c r="T4" i="23"/>
  <c r="F74" i="4"/>
  <c r="I74" i="4"/>
  <c r="O74" i="4"/>
  <c r="P74" i="4"/>
  <c r="T56" i="4" l="1"/>
  <c r="T75" i="4" s="1"/>
  <c r="S57" i="4"/>
  <c r="S58" i="4" s="1"/>
  <c r="S76" i="4" s="1"/>
  <c r="T57" i="4"/>
  <c r="T58" i="4" s="1"/>
  <c r="T76" i="4" s="1"/>
  <c r="J63" i="4"/>
  <c r="J64" i="4" s="1"/>
  <c r="R59" i="1"/>
  <c r="V59" i="1"/>
  <c r="S59" i="1"/>
  <c r="T59" i="1"/>
  <c r="U59" i="1"/>
  <c r="V56" i="4"/>
  <c r="V75" i="4" s="1"/>
  <c r="V63" i="4"/>
  <c r="V64" i="4" s="1"/>
  <c r="K57" i="4"/>
  <c r="K58" i="4" s="1"/>
  <c r="K76" i="4" s="1"/>
  <c r="J56" i="4"/>
  <c r="J75" i="4" s="1"/>
  <c r="T79" i="4"/>
  <c r="L57" i="4"/>
  <c r="L58" i="4" s="1"/>
  <c r="L76" i="4" s="1"/>
  <c r="U56" i="4"/>
  <c r="U75" i="4" s="1"/>
  <c r="K56" i="4"/>
  <c r="K75" i="4" s="1"/>
  <c r="M63" i="4"/>
  <c r="M64" i="4" s="1"/>
  <c r="U57" i="4"/>
  <c r="U58" i="4" s="1"/>
  <c r="U76" i="4" s="1"/>
  <c r="U63" i="4"/>
  <c r="U64" i="4" s="1"/>
  <c r="M56" i="4"/>
  <c r="M75" i="4" s="1"/>
  <c r="M57" i="4"/>
  <c r="M58" i="4" s="1"/>
  <c r="M76" i="4" s="1"/>
  <c r="K63" i="4"/>
  <c r="K64" i="4" s="1"/>
  <c r="J79" i="4"/>
  <c r="K79" i="4"/>
  <c r="V79" i="4"/>
  <c r="M79" i="4"/>
  <c r="L79" i="4"/>
  <c r="S79" i="4"/>
  <c r="U79" i="4"/>
  <c r="C63" i="4"/>
  <c r="C64" i="4" s="1"/>
  <c r="R63" i="4"/>
  <c r="R64" i="4" s="1"/>
  <c r="I57" i="4"/>
  <c r="I58" i="4" s="1"/>
  <c r="I76" i="4" s="1"/>
  <c r="F55" i="23"/>
  <c r="C55" i="23"/>
  <c r="I63" i="4"/>
  <c r="I64" i="4" s="1"/>
  <c r="H56" i="4"/>
  <c r="H75" i="4" s="1"/>
  <c r="F63" i="4"/>
  <c r="F64" i="4" s="1"/>
  <c r="G55" i="1"/>
  <c r="V4" i="4"/>
  <c r="V55" i="4" s="1"/>
  <c r="Q55" i="23"/>
  <c r="U55" i="23"/>
  <c r="T55" i="23"/>
  <c r="R55" i="23"/>
  <c r="S55" i="23"/>
  <c r="V55" i="23"/>
  <c r="P55" i="23"/>
  <c r="S55" i="1"/>
  <c r="U55" i="1"/>
  <c r="R55" i="1"/>
  <c r="T55" i="1"/>
  <c r="P55" i="1"/>
  <c r="Q55" i="1"/>
  <c r="V55" i="1"/>
  <c r="D63" i="4"/>
  <c r="D64" i="4" s="1"/>
  <c r="B63" i="4"/>
  <c r="B64" i="4" s="1"/>
  <c r="O63" i="4"/>
  <c r="O64" i="4" s="1"/>
  <c r="G56" i="4"/>
  <c r="G75" i="4" s="1"/>
  <c r="H57" i="4"/>
  <c r="H58" i="4" s="1"/>
  <c r="H76" i="4" s="1"/>
  <c r="H63" i="4"/>
  <c r="H64" i="4" s="1"/>
  <c r="P63" i="4"/>
  <c r="P64" i="4" s="1"/>
  <c r="G63" i="4"/>
  <c r="G64" i="4" s="1"/>
  <c r="E63" i="4"/>
  <c r="E64" i="4" s="1"/>
  <c r="Q63" i="4"/>
  <c r="Q64" i="4" s="1"/>
  <c r="V27" i="23"/>
  <c r="V52" i="23" s="1"/>
  <c r="I56" i="4"/>
  <c r="I75" i="4" s="1"/>
  <c r="U45" i="1"/>
  <c r="V22" i="1"/>
  <c r="V22" i="23"/>
  <c r="V27" i="1"/>
  <c r="V52" i="1" s="1"/>
  <c r="G57" i="4"/>
  <c r="G58" i="4" s="1"/>
  <c r="G76" i="4" s="1"/>
  <c r="F57" i="4"/>
  <c r="F58" i="4" s="1"/>
  <c r="F76" i="4" s="1"/>
  <c r="B56" i="4"/>
  <c r="E79" i="4"/>
  <c r="G79" i="4"/>
  <c r="I79" i="4"/>
  <c r="H79" i="4"/>
  <c r="F79" i="4"/>
  <c r="E57" i="4"/>
  <c r="E58" i="4" s="1"/>
  <c r="E76" i="4" s="1"/>
  <c r="E56" i="4"/>
  <c r="E75" i="4" s="1"/>
  <c r="F56" i="4"/>
  <c r="F75" i="4" s="1"/>
  <c r="P57" i="4"/>
  <c r="P58" i="4" s="1"/>
  <c r="P76" i="4" s="1"/>
  <c r="R56" i="4"/>
  <c r="R75" i="4" s="1"/>
  <c r="D56" i="4"/>
  <c r="D75" i="4" s="1"/>
  <c r="B57" i="4"/>
  <c r="B58" i="4" s="1"/>
  <c r="B76" i="4" s="1"/>
  <c r="V45" i="33"/>
  <c r="V27" i="33"/>
  <c r="V52" i="33" s="1"/>
  <c r="V22" i="33"/>
  <c r="D57" i="4"/>
  <c r="D58" i="4" s="1"/>
  <c r="D76" i="4" s="1"/>
  <c r="O57" i="4"/>
  <c r="O58" i="4" s="1"/>
  <c r="O76" i="4" s="1"/>
  <c r="C57" i="4"/>
  <c r="C58" i="4" s="1"/>
  <c r="C76" i="4" s="1"/>
  <c r="Q56" i="4"/>
  <c r="Q75" i="4" s="1"/>
  <c r="O56" i="4"/>
  <c r="O75" i="4" s="1"/>
  <c r="T77" i="4" s="1"/>
  <c r="C56" i="4"/>
  <c r="C75" i="4" s="1"/>
  <c r="P56" i="4"/>
  <c r="R57" i="4"/>
  <c r="R58" i="4" s="1"/>
  <c r="R76" i="4" s="1"/>
  <c r="Q57" i="4"/>
  <c r="Q58" i="4" s="1"/>
  <c r="Q76" i="4" s="1"/>
  <c r="Q79" i="4"/>
  <c r="P79" i="4"/>
  <c r="R79" i="4"/>
  <c r="U4" i="4"/>
  <c r="U27" i="1"/>
  <c r="U52" i="1" s="1"/>
  <c r="C79" i="4"/>
  <c r="D79" i="4"/>
  <c r="L55" i="23"/>
  <c r="D55" i="23"/>
  <c r="H55" i="23"/>
  <c r="K55" i="23"/>
  <c r="J55" i="23"/>
  <c r="M55" i="23"/>
  <c r="G55" i="23"/>
  <c r="E55" i="23"/>
  <c r="I55" i="23"/>
  <c r="R59" i="23"/>
  <c r="O79" i="4"/>
  <c r="B79" i="4"/>
  <c r="L59" i="23"/>
  <c r="L60" i="23" s="1"/>
  <c r="F59" i="23"/>
  <c r="F60" i="23" s="1"/>
  <c r="Q59" i="23"/>
  <c r="V59" i="23"/>
  <c r="V60" i="23" s="1"/>
  <c r="P59" i="23"/>
  <c r="P60" i="23" s="1"/>
  <c r="T59" i="23"/>
  <c r="U59" i="23"/>
  <c r="S59" i="23"/>
  <c r="R45" i="23"/>
  <c r="S4" i="4"/>
  <c r="S62" i="4" s="1"/>
  <c r="S45" i="1"/>
  <c r="S27" i="1"/>
  <c r="S52" i="1" s="1"/>
  <c r="S22" i="1"/>
  <c r="U27" i="23"/>
  <c r="U52" i="23" s="1"/>
  <c r="U45" i="23"/>
  <c r="S45" i="23"/>
  <c r="S27" i="23"/>
  <c r="S52" i="23" s="1"/>
  <c r="S22" i="23"/>
  <c r="R45" i="1"/>
  <c r="R4" i="4"/>
  <c r="R62" i="4" s="1"/>
  <c r="R27" i="1"/>
  <c r="R52" i="1" s="1"/>
  <c r="R27" i="23"/>
  <c r="R52" i="23" s="1"/>
  <c r="C59" i="23"/>
  <c r="C60" i="23" s="1"/>
  <c r="E59" i="23"/>
  <c r="E60" i="23" s="1"/>
  <c r="J59" i="23"/>
  <c r="J60" i="23" s="1"/>
  <c r="K59" i="23"/>
  <c r="K60" i="23" s="1"/>
  <c r="D59" i="23"/>
  <c r="D60" i="23" s="1"/>
  <c r="I59" i="23"/>
  <c r="I60" i="23" s="1"/>
  <c r="O59" i="23"/>
  <c r="O60" i="23" s="1"/>
  <c r="G59" i="23"/>
  <c r="G60" i="23" s="1"/>
  <c r="H59" i="23"/>
  <c r="H60" i="23" s="1"/>
  <c r="M59" i="23"/>
  <c r="M60" i="23" s="1"/>
  <c r="C55" i="1"/>
  <c r="H55" i="1"/>
  <c r="F55" i="1"/>
  <c r="I55" i="1"/>
  <c r="L55" i="1"/>
  <c r="J55" i="1"/>
  <c r="D55" i="1"/>
  <c r="K55" i="1"/>
  <c r="E55" i="1"/>
  <c r="O59" i="1"/>
  <c r="J59" i="1"/>
  <c r="F59" i="1"/>
  <c r="M59" i="1"/>
  <c r="I59" i="1"/>
  <c r="E59" i="1"/>
  <c r="L59" i="1"/>
  <c r="H59" i="1"/>
  <c r="D59" i="1"/>
  <c r="K59" i="1"/>
  <c r="C59" i="1"/>
  <c r="G59" i="1"/>
  <c r="M55" i="1"/>
  <c r="P59" i="1"/>
  <c r="P60" i="1" s="1"/>
  <c r="Q59" i="1"/>
  <c r="Q60" i="1" s="1"/>
  <c r="B55" i="1"/>
  <c r="T27" i="23"/>
  <c r="T52" i="23" s="1"/>
  <c r="T45" i="23"/>
  <c r="T22" i="23"/>
  <c r="T27" i="1"/>
  <c r="T52" i="1" s="1"/>
  <c r="T45" i="1"/>
  <c r="T4" i="4"/>
  <c r="T62" i="4" s="1"/>
  <c r="T22" i="1"/>
  <c r="T60" i="23"/>
  <c r="G60" i="1"/>
  <c r="I60" i="1"/>
  <c r="R60" i="23"/>
  <c r="M60" i="1"/>
  <c r="C60" i="1"/>
  <c r="J60" i="1"/>
  <c r="H60" i="1"/>
  <c r="D60" i="1"/>
  <c r="U60" i="23"/>
  <c r="E60" i="1"/>
  <c r="O60" i="1"/>
  <c r="Q60" i="23"/>
  <c r="K60" i="1"/>
  <c r="S60" i="23"/>
  <c r="F60" i="1"/>
  <c r="L60" i="1"/>
  <c r="S60" i="1" l="1"/>
  <c r="S61" i="1" s="1"/>
  <c r="T60" i="1"/>
  <c r="T61" i="1" s="1"/>
  <c r="R60" i="1"/>
  <c r="R61" i="1" s="1"/>
  <c r="V74" i="4"/>
  <c r="V62" i="4"/>
  <c r="P75" i="4"/>
  <c r="P77" i="4" s="1"/>
  <c r="O81" i="4"/>
  <c r="U74" i="4"/>
  <c r="U62" i="4"/>
  <c r="R61" i="23"/>
  <c r="U55" i="4"/>
  <c r="V77" i="4"/>
  <c r="U77" i="4"/>
  <c r="O77" i="4"/>
  <c r="S77" i="4"/>
  <c r="Q77" i="4"/>
  <c r="R77" i="4"/>
  <c r="P81" i="4"/>
  <c r="P82" i="4" s="1"/>
  <c r="Q81" i="4"/>
  <c r="B75" i="4"/>
  <c r="M61" i="23"/>
  <c r="I61" i="23"/>
  <c r="E61" i="23"/>
  <c r="D61" i="23"/>
  <c r="C61" i="23"/>
  <c r="Q61" i="23"/>
  <c r="U61" i="23"/>
  <c r="P61" i="23"/>
  <c r="F61" i="23"/>
  <c r="H61" i="23"/>
  <c r="K61" i="23"/>
  <c r="G61" i="23"/>
  <c r="J61" i="23"/>
  <c r="S61" i="23"/>
  <c r="T61" i="23"/>
  <c r="V61" i="23"/>
  <c r="L61" i="23"/>
  <c r="D61" i="1"/>
  <c r="G61" i="1"/>
  <c r="M61" i="1"/>
  <c r="L61" i="1"/>
  <c r="E61" i="1"/>
  <c r="F61" i="1"/>
  <c r="K61" i="1"/>
  <c r="I61" i="1"/>
  <c r="J61" i="1"/>
  <c r="H61" i="1"/>
  <c r="S55" i="4"/>
  <c r="S74" i="4"/>
  <c r="R55" i="4"/>
  <c r="R74" i="4"/>
  <c r="O61" i="1"/>
  <c r="Q61" i="1"/>
  <c r="P61" i="1"/>
  <c r="C61" i="1"/>
  <c r="T55" i="4"/>
  <c r="T74" i="4"/>
  <c r="V60" i="1"/>
  <c r="U60" i="1"/>
  <c r="U61" i="1" l="1"/>
  <c r="V61" i="1"/>
  <c r="C83" i="4"/>
  <c r="F83" i="4"/>
  <c r="D83" i="4"/>
  <c r="G83" i="4"/>
  <c r="E83" i="4"/>
  <c r="H83" i="4"/>
  <c r="K77" i="4"/>
  <c r="J77" i="4"/>
  <c r="G77" i="4"/>
  <c r="F77" i="4"/>
  <c r="L77" i="4"/>
  <c r="B77" i="4"/>
  <c r="M77" i="4"/>
  <c r="I77" i="4"/>
  <c r="H77" i="4"/>
  <c r="D77" i="4"/>
  <c r="C77" i="4"/>
  <c r="E77" i="4"/>
  <c r="P83" i="4"/>
  <c r="Q83" i="4"/>
  <c r="O83" i="4"/>
  <c r="O61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A68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A modifier si erreur dans le doc word - peut etre c'est Testo le témoin de référence</t>
        </r>
      </text>
    </comment>
    <comment ref="A69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A modifier si erreur dans le doc word - peut etre c'est Testo le témoin de référence</t>
        </r>
      </text>
    </comment>
  </commentList>
</comments>
</file>

<file path=xl/sharedStrings.xml><?xml version="1.0" encoding="utf-8"?>
<sst xmlns="http://schemas.openxmlformats.org/spreadsheetml/2006/main" count="236" uniqueCount="58">
  <si>
    <t>mean</t>
  </si>
  <si>
    <t>SD</t>
  </si>
  <si>
    <t>SEM</t>
  </si>
  <si>
    <t>Rep1</t>
  </si>
  <si>
    <t>Rep2</t>
  </si>
  <si>
    <t>R1</t>
  </si>
  <si>
    <t>R2</t>
  </si>
  <si>
    <t>Concentration</t>
  </si>
  <si>
    <t xml:space="preserve">Testo </t>
  </si>
  <si>
    <t>R3</t>
  </si>
  <si>
    <t>Mean</t>
  </si>
  <si>
    <t>Noms des groupes</t>
  </si>
  <si>
    <t>Nom des groupes</t>
  </si>
  <si>
    <t xml:space="preserve"> + Testostérone</t>
  </si>
  <si>
    <t>% induction</t>
  </si>
  <si>
    <t>Annotation</t>
  </si>
  <si>
    <t>Rep3</t>
  </si>
  <si>
    <t>ng/L</t>
  </si>
  <si>
    <t>EE2</t>
  </si>
  <si>
    <t>µg/L</t>
  </si>
  <si>
    <t xml:space="preserve">Testo 30µg/L + EE2 </t>
  </si>
  <si>
    <t>mg/L</t>
  </si>
  <si>
    <t>Testo 30µg/L + FAD</t>
  </si>
  <si>
    <t>Experiment number :</t>
  </si>
  <si>
    <t>Do not fill in</t>
  </si>
  <si>
    <t>Do not fill in2</t>
  </si>
  <si>
    <t>Units</t>
  </si>
  <si>
    <t>Chemical name</t>
  </si>
  <si>
    <t>Do not fill in3</t>
  </si>
  <si>
    <t>test chemical</t>
  </si>
  <si>
    <t>Solvent control</t>
  </si>
  <si>
    <t>33.8</t>
  </si>
  <si>
    <t>50.6</t>
  </si>
  <si>
    <t>170.9</t>
  </si>
  <si>
    <t>Raw data</t>
  </si>
  <si>
    <t>Data normalised to the "Testo" group</t>
  </si>
  <si>
    <t>Group names</t>
  </si>
  <si>
    <t>Normality test : p value</t>
  </si>
  <si>
    <t>Normality test : normal distibution?</t>
  </si>
  <si>
    <t>Statistical test used</t>
  </si>
  <si>
    <t>Statistical test : p value</t>
  </si>
  <si>
    <t>Unspiked</t>
  </si>
  <si>
    <t>Testosterone spiked</t>
  </si>
  <si>
    <t>N</t>
  </si>
  <si>
    <t>Group Name</t>
  </si>
  <si>
    <t>Control</t>
  </si>
  <si>
    <t>Anastrozole</t>
  </si>
  <si>
    <t>Anastrozole_03</t>
  </si>
  <si>
    <t>Date performed : 29-07-2021</t>
  </si>
  <si>
    <t>Anastrozole_04</t>
  </si>
  <si>
    <t>Date performed : 07-10-2021</t>
  </si>
  <si>
    <t>Anastrozole_05</t>
  </si>
  <si>
    <t>Date performed : 13-10-2021</t>
  </si>
  <si>
    <t>ns</t>
  </si>
  <si>
    <t>&gt;0,9999</t>
  </si>
  <si>
    <t>****</t>
  </si>
  <si>
    <t>&lt;0,0001</t>
  </si>
  <si>
    <t>Kruskal-Wallis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</si>
</sst>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name val="Arial"/>
      <family val="2"/>
    </font>
    <font>
      <sz val="16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7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4" fillId="0" borderId="0"/>
    <xf numFmtId="0" fontId="8" fillId="0" borderId="0"/>
    <xf numFmtId="0" fontId="4" fillId="0" borderId="0"/>
    <xf numFmtId="0" fontId="8" fillId="0" borderId="0"/>
    <xf numFmtId="0" fontId="4" fillId="0" borderId="0"/>
    <xf numFmtId="0" fontId="8" fillId="0" borderId="0"/>
  </cellStyleXfs>
  <cellXfs count="151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8" borderId="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1" fillId="4" borderId="3" xfId="0" applyFont="1" applyFill="1" applyBorder="1" applyAlignment="1">
      <alignment horizontal="center"/>
    </xf>
    <xf numFmtId="0" fontId="3" fillId="0" borderId="15" xfId="0" applyFont="1" applyBorder="1" applyAlignment="1">
      <alignment vertical="center"/>
    </xf>
    <xf numFmtId="0" fontId="0" fillId="0" borderId="0" xfId="0" applyFont="1"/>
    <xf numFmtId="0" fontId="3" fillId="0" borderId="9" xfId="0" applyNumberFormat="1" applyFont="1" applyBorder="1" applyAlignment="1">
      <alignment vertical="center"/>
    </xf>
    <xf numFmtId="0" fontId="0" fillId="0" borderId="0" xfId="0" applyNumberFormat="1"/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23" xfId="0" applyFill="1" applyBorder="1"/>
    <xf numFmtId="0" fontId="0" fillId="0" borderId="0" xfId="0" applyAlignment="1">
      <alignment vertical="center"/>
    </xf>
    <xf numFmtId="164" fontId="7" fillId="11" borderId="7" xfId="0" applyNumberFormat="1" applyFont="1" applyFill="1" applyBorder="1" applyAlignment="1">
      <alignment horizontal="left" vertical="center"/>
    </xf>
    <xf numFmtId="164" fontId="7" fillId="11" borderId="6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3" fillId="13" borderId="26" xfId="0" applyFont="1" applyFill="1" applyBorder="1" applyAlignment="1">
      <alignment vertic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0" fillId="0" borderId="6" xfId="0" applyBorder="1"/>
    <xf numFmtId="49" fontId="0" fillId="0" borderId="0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Fill="1"/>
    <xf numFmtId="164" fontId="0" fillId="6" borderId="10" xfId="0" applyNumberFormat="1" applyFill="1" applyBorder="1" applyAlignment="1">
      <alignment horizontal="center"/>
    </xf>
    <xf numFmtId="164" fontId="0" fillId="6" borderId="18" xfId="0" applyNumberFormat="1" applyFill="1" applyBorder="1" applyAlignment="1">
      <alignment horizontal="center"/>
    </xf>
    <xf numFmtId="0" fontId="3" fillId="7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9" borderId="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13" borderId="3" xfId="0" applyFont="1" applyFill="1" applyBorder="1" applyAlignment="1">
      <alignment vertical="center"/>
    </xf>
    <xf numFmtId="2" fontId="3" fillId="7" borderId="2" xfId="0" applyNumberFormat="1" applyFont="1" applyFill="1" applyBorder="1" applyAlignment="1">
      <alignment horizontal="center" vertical="center" wrapText="1"/>
    </xf>
    <xf numFmtId="2" fontId="3" fillId="7" borderId="21" xfId="0" applyNumberFormat="1" applyFont="1" applyFill="1" applyBorder="1" applyAlignment="1">
      <alignment horizontal="center" vertical="center" wrapText="1"/>
    </xf>
    <xf numFmtId="0" fontId="3" fillId="0" borderId="25" xfId="0" applyFont="1" applyBorder="1" applyAlignment="1">
      <alignment vertical="center"/>
    </xf>
    <xf numFmtId="0" fontId="3" fillId="13" borderId="13" xfId="0" applyFont="1" applyFill="1" applyBorder="1" applyAlignment="1">
      <alignment vertical="center"/>
    </xf>
    <xf numFmtId="0" fontId="3" fillId="13" borderId="15" xfId="0" applyFont="1" applyFill="1" applyBorder="1" applyAlignment="1">
      <alignment vertical="center"/>
    </xf>
    <xf numFmtId="0" fontId="3" fillId="13" borderId="4" xfId="0" applyFont="1" applyFill="1" applyBorder="1" applyAlignment="1">
      <alignment vertical="center"/>
    </xf>
    <xf numFmtId="0" fontId="3" fillId="0" borderId="1" xfId="0" applyNumberFormat="1" applyFont="1" applyBorder="1" applyAlignment="1">
      <alignment horizontal="center" vertical="center"/>
    </xf>
    <xf numFmtId="0" fontId="3" fillId="13" borderId="9" xfId="0" applyNumberFormat="1" applyFont="1" applyFill="1" applyBorder="1" applyAlignment="1">
      <alignment horizontal="center" vertical="center"/>
    </xf>
    <xf numFmtId="0" fontId="3" fillId="13" borderId="1" xfId="0" applyNumberFormat="1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13" borderId="23" xfId="0" applyFont="1" applyFill="1" applyBorder="1" applyAlignment="1">
      <alignment vertical="center"/>
    </xf>
    <xf numFmtId="0" fontId="3" fillId="13" borderId="0" xfId="0" applyFont="1" applyFill="1" applyBorder="1" applyAlignment="1">
      <alignment vertic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13" borderId="26" xfId="0" applyNumberFormat="1" applyFont="1" applyFill="1" applyBorder="1" applyAlignment="1">
      <alignment horizontal="center" vertical="center"/>
    </xf>
    <xf numFmtId="0" fontId="3" fillId="13" borderId="3" xfId="0" applyNumberFormat="1" applyFon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164" fontId="0" fillId="6" borderId="0" xfId="0" applyNumberFormat="1" applyFill="1" applyBorder="1" applyAlignment="1">
      <alignment horizontal="center"/>
    </xf>
    <xf numFmtId="164" fontId="0" fillId="6" borderId="15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14" borderId="3" xfId="0" applyFont="1" applyFill="1" applyBorder="1" applyAlignment="1">
      <alignment horizontal="center"/>
    </xf>
    <xf numFmtId="164" fontId="0" fillId="14" borderId="1" xfId="0" applyNumberForma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0" fillId="0" borderId="0" xfId="0" applyAlignment="1"/>
    <xf numFmtId="0" fontId="3" fillId="0" borderId="3" xfId="0" applyNumberFormat="1" applyFont="1" applyFill="1" applyBorder="1" applyAlignment="1">
      <alignment vertical="center"/>
    </xf>
    <xf numFmtId="2" fontId="3" fillId="0" borderId="15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2" fontId="3" fillId="0" borderId="3" xfId="0" applyNumberFormat="1" applyFont="1" applyFill="1" applyBorder="1" applyAlignment="1">
      <alignment horizontal="center" vertical="center"/>
    </xf>
    <xf numFmtId="0" fontId="3" fillId="0" borderId="0" xfId="0" applyFont="1" applyFill="1"/>
    <xf numFmtId="0" fontId="3" fillId="0" borderId="21" xfId="0" applyFont="1" applyBorder="1" applyAlignment="1">
      <alignment vertical="center"/>
    </xf>
    <xf numFmtId="0" fontId="3" fillId="0" borderId="22" xfId="0" applyNumberFormat="1" applyFont="1" applyBorder="1" applyAlignment="1">
      <alignment horizontal="center" vertical="center"/>
    </xf>
    <xf numFmtId="0" fontId="3" fillId="13" borderId="31" xfId="0" applyNumberFormat="1" applyFont="1" applyFill="1" applyBorder="1" applyAlignment="1">
      <alignment vertical="center"/>
    </xf>
    <xf numFmtId="0" fontId="3" fillId="13" borderId="29" xfId="0" applyFont="1" applyFill="1" applyBorder="1" applyAlignment="1">
      <alignment vertical="center"/>
    </xf>
    <xf numFmtId="0" fontId="3" fillId="13" borderId="32" xfId="0" applyNumberFormat="1" applyFont="1" applyFill="1" applyBorder="1" applyAlignment="1">
      <alignment vertical="center"/>
    </xf>
    <xf numFmtId="0" fontId="3" fillId="13" borderId="24" xfId="0" applyFont="1" applyFill="1" applyBorder="1" applyAlignment="1">
      <alignment vertical="center"/>
    </xf>
    <xf numFmtId="0" fontId="3" fillId="13" borderId="33" xfId="0" applyNumberFormat="1" applyFont="1" applyFill="1" applyBorder="1" applyAlignment="1">
      <alignment vertical="center"/>
    </xf>
    <xf numFmtId="0" fontId="3" fillId="13" borderId="34" xfId="0" applyFont="1" applyFill="1" applyBorder="1" applyAlignment="1">
      <alignment vertical="center"/>
    </xf>
    <xf numFmtId="0" fontId="3" fillId="13" borderId="11" xfId="0" applyNumberFormat="1" applyFont="1" applyFill="1" applyBorder="1" applyAlignment="1">
      <alignment horizontal="center" vertical="center"/>
    </xf>
    <xf numFmtId="0" fontId="3" fillId="13" borderId="35" xfId="0" applyNumberFormat="1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3" borderId="30" xfId="0" applyFont="1" applyFill="1" applyBorder="1" applyAlignment="1">
      <alignment vertical="center"/>
    </xf>
    <xf numFmtId="0" fontId="3" fillId="8" borderId="8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18" xfId="0" applyFont="1" applyFill="1" applyBorder="1" applyAlignment="1">
      <alignment horizontal="center"/>
    </xf>
    <xf numFmtId="0" fontId="3" fillId="13" borderId="39" xfId="0" applyNumberFormat="1" applyFont="1" applyFill="1" applyBorder="1" applyAlignment="1">
      <alignment vertical="center"/>
    </xf>
    <xf numFmtId="0" fontId="3" fillId="13" borderId="25" xfId="0" applyNumberFormat="1" applyFont="1" applyFill="1" applyBorder="1" applyAlignment="1">
      <alignment vertical="center"/>
    </xf>
    <xf numFmtId="0" fontId="3" fillId="13" borderId="1" xfId="0" applyNumberFormat="1" applyFont="1" applyFill="1" applyBorder="1" applyAlignment="1">
      <alignment vertical="center"/>
    </xf>
    <xf numFmtId="0" fontId="10" fillId="8" borderId="12" xfId="0" applyFont="1" applyFill="1" applyBorder="1" applyAlignment="1">
      <alignment horizontal="left"/>
    </xf>
    <xf numFmtId="2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0" borderId="0" xfId="0" applyFont="1"/>
    <xf numFmtId="0" fontId="7" fillId="12" borderId="7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14" fontId="3" fillId="0" borderId="9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5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3" fillId="0" borderId="38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7" fillId="11" borderId="7" xfId="0" applyFont="1" applyFill="1" applyBorder="1" applyAlignment="1">
      <alignment horizontal="left"/>
    </xf>
    <xf numFmtId="0" fontId="7" fillId="11" borderId="6" xfId="0" applyFont="1" applyFill="1" applyBorder="1" applyAlignment="1">
      <alignment horizontal="left"/>
    </xf>
    <xf numFmtId="164" fontId="7" fillId="11" borderId="7" xfId="0" applyNumberFormat="1" applyFont="1" applyFill="1" applyBorder="1" applyAlignment="1">
      <alignment horizontal="left"/>
    </xf>
    <xf numFmtId="164" fontId="7" fillId="11" borderId="6" xfId="0" applyNumberFormat="1" applyFont="1" applyFill="1" applyBorder="1" applyAlignment="1">
      <alignment horizontal="left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164" fontId="7" fillId="11" borderId="7" xfId="0" applyNumberFormat="1" applyFont="1" applyFill="1" applyBorder="1" applyAlignment="1">
      <alignment horizontal="left" vertical="center"/>
    </xf>
    <xf numFmtId="164" fontId="7" fillId="11" borderId="6" xfId="0" applyNumberFormat="1" applyFont="1" applyFill="1" applyBorder="1" applyAlignment="1">
      <alignment horizontal="left" vertical="center"/>
    </xf>
  </cellXfs>
  <cellStyles count="7">
    <cellStyle name="Normal" xfId="0" builtinId="0"/>
    <cellStyle name="Normal 2" xfId="1" xr:uid="{00000000-0005-0000-0000-000001000000}"/>
    <cellStyle name="Normal 2 2" xfId="5" xr:uid="{00000000-0005-0000-0000-000002000000}"/>
    <cellStyle name="Normal 2 2 2" xfId="3" xr:uid="{00000000-0005-0000-0000-000003000000}"/>
    <cellStyle name="Normal 3" xfId="2" xr:uid="{00000000-0005-0000-0000-000004000000}"/>
    <cellStyle name="Normal 3 2" xfId="4" xr:uid="{00000000-0005-0000-0000-000005000000}"/>
    <cellStyle name="Normal 4" xfId="6" xr:uid="{00000000-0005-0000-0000-000006000000}"/>
  </cellStyles>
  <dxfs count="9"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65" formatCode="#,000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colors>
    <mruColors>
      <color rgb="FF5F5F5F"/>
      <color rgb="FFBA3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styles" Target="styles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3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externalLink" Target="externalLinks/externalLink2.xml"/><Relationship Id="rId5" Type="http://schemas.openxmlformats.org/officeDocument/2006/relationships/chartsheet" Target="chartsheets/sheet2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3.xml"/><Relationship Id="rId9" Type="http://schemas.openxmlformats.org/officeDocument/2006/relationships/chartsheet" Target="chartsheets/sheet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61954963560215E-2"/>
          <c:y val="0.14661966108751268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R1</c:v>
          </c:tx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1-9479-4293-B6F6-2F33FB06526E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2-9479-4293-B6F6-2F33FB06526E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9479-4293-B6F6-2F33FB06526E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4-9479-4293-B6F6-2F33FB06526E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9479-4293-B6F6-2F33FB06526E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6-9479-4293-B6F6-2F33FB06526E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9479-4293-B6F6-2F33FB06526E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8-9479-4293-B6F6-2F33FB06526E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9479-4293-B6F6-2F33FB06526E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A-9479-4293-B6F6-2F33FB06526E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9479-4293-B6F6-2F33FB06526E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C-9479-4293-B6F6-2F33FB06526E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2-9479-4293-B6F6-2F33FB06526E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9479-4293-B6F6-2F33FB06526E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E-9479-4293-B6F6-2F33FB06526E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9479-4293-B6F6-2F33FB06526E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0-9479-4293-B6F6-2F33FB06526E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9479-4293-B6F6-2F33FB06526E}"/>
              </c:ext>
            </c:extLst>
          </c:dPt>
          <c:errBars>
            <c:errBarType val="plus"/>
            <c:errValType val="cust"/>
            <c:noEndCap val="0"/>
            <c:plus>
              <c:numRef>
                <c:f>'R1'!$B$54:$V$54</c:f>
                <c:numCache>
                  <c:formatCode>General</c:formatCode>
                  <c:ptCount val="21"/>
                  <c:pt idx="0">
                    <c:v>1.019759876137186E-2</c:v>
                  </c:pt>
                  <c:pt idx="1">
                    <c:v>1.6339863192452276E-2</c:v>
                  </c:pt>
                  <c:pt idx="2">
                    <c:v>1.4353951645017589E-3</c:v>
                  </c:pt>
                  <c:pt idx="3">
                    <c:v>8.5712584879025291E-3</c:v>
                  </c:pt>
                  <c:pt idx="4">
                    <c:v>0.12486118840225008</c:v>
                  </c:pt>
                  <c:pt idx="5">
                    <c:v>0.14304580749617921</c:v>
                  </c:pt>
                  <c:pt idx="6">
                    <c:v>7.2663408269502502E-2</c:v>
                  </c:pt>
                  <c:pt idx="7">
                    <c:v>2.3694335409855553E-2</c:v>
                  </c:pt>
                  <c:pt idx="8">
                    <c:v>1.6324317237182365E-2</c:v>
                  </c:pt>
                  <c:pt idx="9">
                    <c:v>1.9615434767316385E-2</c:v>
                  </c:pt>
                  <c:pt idx="10">
                    <c:v>1.373728015985776E-2</c:v>
                  </c:pt>
                  <c:pt idx="11">
                    <c:v>9.6931795218659893E-3</c:v>
                  </c:pt>
                  <c:pt idx="13">
                    <c:v>7.0794271994103583E-2</c:v>
                  </c:pt>
                  <c:pt idx="14">
                    <c:v>0.10118175983114137</c:v>
                  </c:pt>
                  <c:pt idx="15">
                    <c:v>1.8544664525133019E-2</c:v>
                  </c:pt>
                  <c:pt idx="16">
                    <c:v>0.12979221959603057</c:v>
                  </c:pt>
                  <c:pt idx="17">
                    <c:v>0.10012090752958469</c:v>
                  </c:pt>
                  <c:pt idx="18">
                    <c:v>7.8428050467306859E-2</c:v>
                  </c:pt>
                  <c:pt idx="19">
                    <c:v>2.766526633554648E-2</c:v>
                  </c:pt>
                  <c:pt idx="20">
                    <c:v>1.6220703250904384E-2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'R1'!$B$52:$V$52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Anastrozole-0,032µg/L</c:v>
                </c:pt>
                <c:pt idx="8">
                  <c:v>Anastrozole-0,16µg/L</c:v>
                </c:pt>
                <c:pt idx="9">
                  <c:v>Anastrozole-0,8µg/L</c:v>
                </c:pt>
                <c:pt idx="10">
                  <c:v>Anastrozole-4µg/L</c:v>
                </c:pt>
                <c:pt idx="11">
                  <c:v>Anastrozole-20µg/L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Anastrozole-0,032µg/L + Testostérone</c:v>
                </c:pt>
                <c:pt idx="17">
                  <c:v>Anastrozole-0,16µg/L + Testostérone</c:v>
                </c:pt>
                <c:pt idx="18">
                  <c:v>Anastrozole-0,8µg/L + Testostérone</c:v>
                </c:pt>
                <c:pt idx="19">
                  <c:v>Anastrozole-4µg/L + Testostérone</c:v>
                </c:pt>
                <c:pt idx="20">
                  <c:v>Anastrozole-20µg/L + Testostérone</c:v>
                </c:pt>
              </c:strCache>
            </c:strRef>
          </c:cat>
          <c:val>
            <c:numRef>
              <c:f>'R1'!$B$53:$V$53</c:f>
              <c:numCache>
                <c:formatCode>0.0000</c:formatCode>
                <c:ptCount val="21"/>
                <c:pt idx="0">
                  <c:v>2.0446833927925435E-2</c:v>
                </c:pt>
                <c:pt idx="1">
                  <c:v>4.730525897035337E-2</c:v>
                </c:pt>
                <c:pt idx="2">
                  <c:v>2.336299120732634E-3</c:v>
                </c:pt>
                <c:pt idx="3">
                  <c:v>2.0508483842487959E-2</c:v>
                </c:pt>
                <c:pt idx="4">
                  <c:v>0.36662797068255759</c:v>
                </c:pt>
                <c:pt idx="5">
                  <c:v>0.79028385714435267</c:v>
                </c:pt>
                <c:pt idx="6">
                  <c:v>1.3605589437159544</c:v>
                </c:pt>
                <c:pt idx="7">
                  <c:v>6.6275984566583651E-2</c:v>
                </c:pt>
                <c:pt idx="8">
                  <c:v>5.8334196044401897E-2</c:v>
                </c:pt>
                <c:pt idx="9">
                  <c:v>5.9201366069050229E-2</c:v>
                </c:pt>
                <c:pt idx="10">
                  <c:v>7.3247659338857005E-2</c:v>
                </c:pt>
                <c:pt idx="11">
                  <c:v>3.9556562633405186E-2</c:v>
                </c:pt>
                <c:pt idx="13">
                  <c:v>1</c:v>
                </c:pt>
                <c:pt idx="14">
                  <c:v>1.319880468958105</c:v>
                </c:pt>
                <c:pt idx="15">
                  <c:v>5.7512391051224097E-2</c:v>
                </c:pt>
                <c:pt idx="16">
                  <c:v>1.1684519939094535</c:v>
                </c:pt>
                <c:pt idx="17">
                  <c:v>1.166672870431654</c:v>
                </c:pt>
                <c:pt idx="18">
                  <c:v>0.22135576304564536</c:v>
                </c:pt>
                <c:pt idx="19">
                  <c:v>5.4418263263746471E-2</c:v>
                </c:pt>
                <c:pt idx="20">
                  <c:v>5.4992305392739041E-2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8-433F-93CE-959A7E857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817512"/>
        <c:axId val="324817904"/>
      </c:barChart>
      <c:catAx>
        <c:axId val="324817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324817904"/>
        <c:crosses val="autoZero"/>
        <c:auto val="1"/>
        <c:lblAlgn val="ctr"/>
        <c:lblOffset val="100"/>
        <c:noMultiLvlLbl val="0"/>
      </c:catAx>
      <c:valAx>
        <c:axId val="324817904"/>
        <c:scaling>
          <c:orientation val="minMax"/>
          <c:max val="2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324817512"/>
        <c:crosses val="autoZero"/>
        <c:crossBetween val="between"/>
        <c:majorUnit val="0.2"/>
        <c:minorUnit val="0.1"/>
      </c:valAx>
    </c:plotArea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95319521821627E-2"/>
          <c:y val="0.14871824529979213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R2</c:v>
          </c:tx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7-20C9-4512-B8CA-3370C5107DCA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9-20C9-4512-B8CA-3370C5107DC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A-20C9-4512-B8CA-3370C5107DC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B-20C9-4512-B8CA-3370C5107DC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C-20C9-4512-B8CA-3370C5107DCA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D-20C9-4512-B8CA-3370C5107DCA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E-20C9-4512-B8CA-3370C5107DCA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20C9-4512-B8CA-3370C5107DCA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0-20C9-4512-B8CA-3370C5107DCA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ED2-4ACE-91AA-7F8713196E92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1-20C9-4512-B8CA-3370C5107DCA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ED2-4ACE-91AA-7F8713196E9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5-EED2-4ACE-91AA-7F8713196E92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8-20C9-4512-B8CA-3370C5107DCA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EED2-4ACE-91AA-7F8713196E92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2-20C9-4512-B8CA-3370C5107DCA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3-20C9-4512-B8CA-3370C5107DCA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4-20C9-4512-B8CA-3370C5107DCA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5-20C9-4512-B8CA-3370C5107DCA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6-20C9-4512-B8CA-3370C5107DCA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9-EED2-4ACE-91AA-7F8713196E92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EED2-4ACE-91AA-7F8713196E92}"/>
              </c:ext>
            </c:extLst>
          </c:dPt>
          <c:dPt>
            <c:idx val="27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D-EED2-4ACE-91AA-7F8713196E92}"/>
              </c:ext>
            </c:extLst>
          </c:dPt>
          <c:dPt>
            <c:idx val="2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EED2-4ACE-91AA-7F8713196E92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EED2-4ACE-91AA-7F8713196E92}"/>
              </c:ext>
            </c:extLst>
          </c:dPt>
          <c:dPt>
            <c:idx val="3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EED2-4ACE-91AA-7F8713196E92}"/>
              </c:ext>
            </c:extLst>
          </c:dPt>
          <c:dPt>
            <c:idx val="3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EED2-4ACE-91AA-7F8713196E92}"/>
              </c:ext>
            </c:extLst>
          </c:dPt>
          <c:errBars>
            <c:errBarType val="plus"/>
            <c:errValType val="cust"/>
            <c:noEndCap val="0"/>
            <c:plus>
              <c:numRef>
                <c:f>'R2'!$B$54:$V$54</c:f>
                <c:numCache>
                  <c:formatCode>General</c:formatCode>
                  <c:ptCount val="21"/>
                  <c:pt idx="0">
                    <c:v>0</c:v>
                  </c:pt>
                  <c:pt idx="1">
                    <c:v>2.3327981337614928E-4</c:v>
                  </c:pt>
                  <c:pt idx="2">
                    <c:v>2.3903980876815298E-4</c:v>
                  </c:pt>
                  <c:pt idx="3">
                    <c:v>2.3615981107215115E-4</c:v>
                  </c:pt>
                  <c:pt idx="4">
                    <c:v>0.63874229622014023</c:v>
                  </c:pt>
                  <c:pt idx="5">
                    <c:v>0.35976126629286564</c:v>
                  </c:pt>
                  <c:pt idx="6">
                    <c:v>0.43144865570127039</c:v>
                  </c:pt>
                  <c:pt idx="7">
                    <c:v>1.6243187005450393E-3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3">
                    <c:v>0.20845996847503998</c:v>
                  </c:pt>
                  <c:pt idx="14">
                    <c:v>0.48530681420976379</c:v>
                  </c:pt>
                  <c:pt idx="15">
                    <c:v>1.4068788744969002E-2</c:v>
                  </c:pt>
                  <c:pt idx="16">
                    <c:v>0.16401674788681692</c:v>
                  </c:pt>
                  <c:pt idx="17">
                    <c:v>0.16983628672589257</c:v>
                  </c:pt>
                  <c:pt idx="18">
                    <c:v>0</c:v>
                  </c:pt>
                  <c:pt idx="19">
                    <c:v>3.9887968089625525E-3</c:v>
                  </c:pt>
                  <c:pt idx="20">
                    <c:v>0</c:v>
                  </c:pt>
                </c:numCache>
              </c:numRef>
            </c:plus>
            <c:minus>
              <c:numRef>
                <c:f>'R1'!$N$48:$V$48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7.0794271994103583E-2</c:v>
                  </c:pt>
                  <c:pt idx="2">
                    <c:v>0.10118175983114137</c:v>
                  </c:pt>
                  <c:pt idx="3">
                    <c:v>1.8544664525133019E-2</c:v>
                  </c:pt>
                  <c:pt idx="4">
                    <c:v>0.12979221959603057</c:v>
                  </c:pt>
                  <c:pt idx="5">
                    <c:v>0.10012090752958469</c:v>
                  </c:pt>
                  <c:pt idx="6">
                    <c:v>7.8428050467306859E-2</c:v>
                  </c:pt>
                  <c:pt idx="7">
                    <c:v>2.766526633554648E-2</c:v>
                  </c:pt>
                  <c:pt idx="8">
                    <c:v>1.6220703250904384E-2</c:v>
                  </c:pt>
                </c:numCache>
              </c:numRef>
            </c:minus>
          </c:errBars>
          <c:cat>
            <c:strRef>
              <c:f>'R2'!$B$52:$V$52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Anastrozole-0,032µg/L</c:v>
                </c:pt>
                <c:pt idx="8">
                  <c:v>Anastrozole-0,16µg/L</c:v>
                </c:pt>
                <c:pt idx="9">
                  <c:v>Anastrozole-0,8µg/L</c:v>
                </c:pt>
                <c:pt idx="10">
                  <c:v>Anastrozole-4µg/L</c:v>
                </c:pt>
                <c:pt idx="11">
                  <c:v>Anastrozole-20µg/L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Anastrozole-0,032µg/L + Testostérone</c:v>
                </c:pt>
                <c:pt idx="17">
                  <c:v>Anastrozole-0,16µg/L + Testostérone</c:v>
                </c:pt>
                <c:pt idx="18">
                  <c:v>Anastrozole-0,8µg/L + Testostérone</c:v>
                </c:pt>
                <c:pt idx="19">
                  <c:v>Anastrozole-4µg/L + Testostérone</c:v>
                </c:pt>
                <c:pt idx="20">
                  <c:v>Anastrozole-20µg/L + Testostérone</c:v>
                </c:pt>
              </c:strCache>
            </c:strRef>
          </c:cat>
          <c:val>
            <c:numRef>
              <c:f>'R2'!$B$53:$V$53</c:f>
              <c:numCache>
                <c:formatCode>0.0000</c:formatCode>
                <c:ptCount val="21"/>
                <c:pt idx="0">
                  <c:v>0</c:v>
                </c:pt>
                <c:pt idx="1">
                  <c:v>2.3327981337614931E-4</c:v>
                </c:pt>
                <c:pt idx="2">
                  <c:v>2.3903980876815298E-4</c:v>
                </c:pt>
                <c:pt idx="3">
                  <c:v>2.3615981107215115E-4</c:v>
                </c:pt>
                <c:pt idx="4">
                  <c:v>1.4336772530581974</c:v>
                </c:pt>
                <c:pt idx="5">
                  <c:v>2.5662421070063148</c:v>
                </c:pt>
                <c:pt idx="6">
                  <c:v>4.1064533548373152</c:v>
                </c:pt>
                <c:pt idx="7">
                  <c:v>1.6243187005450395E-3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1</c:v>
                </c:pt>
                <c:pt idx="14">
                  <c:v>2.1406446874842504</c:v>
                </c:pt>
                <c:pt idx="15">
                  <c:v>1.4068788744969004E-2</c:v>
                </c:pt>
                <c:pt idx="16">
                  <c:v>0.32691717846625723</c:v>
                </c:pt>
                <c:pt idx="17">
                  <c:v>0.28615369107704708</c:v>
                </c:pt>
                <c:pt idx="18">
                  <c:v>0</c:v>
                </c:pt>
                <c:pt idx="19">
                  <c:v>3.9887968089625525E-3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D2-4ACE-91AA-7F871319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818296"/>
        <c:axId val="324818688"/>
      </c:barChart>
      <c:catAx>
        <c:axId val="324818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324818688"/>
        <c:crosses val="autoZero"/>
        <c:auto val="1"/>
        <c:lblAlgn val="ctr"/>
        <c:lblOffset val="100"/>
        <c:noMultiLvlLbl val="0"/>
      </c:catAx>
      <c:valAx>
        <c:axId val="324818688"/>
        <c:scaling>
          <c:orientation val="minMax"/>
          <c:max val="2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324818296"/>
        <c:crosses val="autoZero"/>
        <c:crossBetween val="between"/>
        <c:majorUnit val="0.2"/>
      </c:valAx>
    </c:plotArea>
    <c:plotVisOnly val="1"/>
    <c:dispBlanksAs val="gap"/>
    <c:showDLblsOverMax val="0"/>
  </c:chart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95319521821627E-2"/>
          <c:y val="0.14871824529979213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R2</c:v>
          </c:tx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D-EA59-4FF1-816E-B4B22253AA0B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6-EA59-4FF1-816E-B4B22253AA0B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5-EA59-4FF1-816E-B4B22253AA0B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4-EA59-4FF1-816E-B4B22253AA0B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3-EA59-4FF1-816E-B4B22253AA0B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2-EA59-4FF1-816E-B4B22253AA0B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1-EA59-4FF1-816E-B4B22253AA0B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EA59-4FF1-816E-B4B22253AA0B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0-EA59-4FF1-816E-B4B22253AA0B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ED2-4ACE-91AA-7F8713196E92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E-EA59-4FF1-816E-B4B22253AA0B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ED2-4ACE-91AA-7F8713196E9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5-EED2-4ACE-91AA-7F8713196E92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C-EA59-4FF1-816E-B4B22253AA0B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EED2-4ACE-91AA-7F8713196E92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EA59-4FF1-816E-B4B22253AA0B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8-EA59-4FF1-816E-B4B22253AA0B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9-EA59-4FF1-816E-B4B22253AA0B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A-EA59-4FF1-816E-B4B22253AA0B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B-EA59-4FF1-816E-B4B22253AA0B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9-EED2-4ACE-91AA-7F8713196E92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EED2-4ACE-91AA-7F8713196E92}"/>
              </c:ext>
            </c:extLst>
          </c:dPt>
          <c:dPt>
            <c:idx val="27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D-EED2-4ACE-91AA-7F8713196E92}"/>
              </c:ext>
            </c:extLst>
          </c:dPt>
          <c:dPt>
            <c:idx val="2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EED2-4ACE-91AA-7F8713196E92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EED2-4ACE-91AA-7F8713196E92}"/>
              </c:ext>
            </c:extLst>
          </c:dPt>
          <c:dPt>
            <c:idx val="3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EED2-4ACE-91AA-7F8713196E92}"/>
              </c:ext>
            </c:extLst>
          </c:dPt>
          <c:dPt>
            <c:idx val="3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EED2-4ACE-91AA-7F8713196E92}"/>
              </c:ext>
            </c:extLst>
          </c:dPt>
          <c:errBars>
            <c:errBarType val="plus"/>
            <c:errValType val="cust"/>
            <c:noEndCap val="0"/>
            <c:plus>
              <c:numRef>
                <c:f>'R3'!$B$54:$V$54</c:f>
                <c:numCache>
                  <c:formatCode>General</c:formatCode>
                  <c:ptCount val="21"/>
                  <c:pt idx="0">
                    <c:v>1.2713754040120082E-2</c:v>
                  </c:pt>
                  <c:pt idx="1">
                    <c:v>1.2703936086582424E-2</c:v>
                  </c:pt>
                  <c:pt idx="2">
                    <c:v>1.3499881893916823E-2</c:v>
                  </c:pt>
                  <c:pt idx="3">
                    <c:v>0.10354782303724865</c:v>
                  </c:pt>
                  <c:pt idx="4">
                    <c:v>0.21067729608940944</c:v>
                  </c:pt>
                  <c:pt idx="5">
                    <c:v>0.19671127877344191</c:v>
                  </c:pt>
                  <c:pt idx="6">
                    <c:v>0.32717679152216123</c:v>
                  </c:pt>
                  <c:pt idx="7">
                    <c:v>1.6670995605756817E-2</c:v>
                  </c:pt>
                  <c:pt idx="8">
                    <c:v>9.9739517843178745E-3</c:v>
                  </c:pt>
                  <c:pt idx="9">
                    <c:v>7.7764580799045326E-3</c:v>
                  </c:pt>
                  <c:pt idx="10">
                    <c:v>2.6442141905349867E-2</c:v>
                  </c:pt>
                  <c:pt idx="11">
                    <c:v>1.3497986902555695E-2</c:v>
                  </c:pt>
                  <c:pt idx="13">
                    <c:v>0.14003752874618769</c:v>
                  </c:pt>
                  <c:pt idx="14">
                    <c:v>0.2098845668028641</c:v>
                  </c:pt>
                  <c:pt idx="15">
                    <c:v>1.1181393641507329E-2</c:v>
                  </c:pt>
                  <c:pt idx="16">
                    <c:v>0.25688687753656675</c:v>
                  </c:pt>
                  <c:pt idx="17">
                    <c:v>0.16984825711901436</c:v>
                  </c:pt>
                  <c:pt idx="18">
                    <c:v>4.7612067347468583E-2</c:v>
                  </c:pt>
                  <c:pt idx="19">
                    <c:v>3.0017793058049812E-2</c:v>
                  </c:pt>
                  <c:pt idx="20">
                    <c:v>1.5253841914184614E-2</c:v>
                  </c:pt>
                </c:numCache>
              </c:numRef>
            </c:plus>
            <c:minus>
              <c:numRef>
                <c:f>'R1'!$N$48:$V$48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7.0794271994103583E-2</c:v>
                  </c:pt>
                  <c:pt idx="2">
                    <c:v>0.10118175983114137</c:v>
                  </c:pt>
                  <c:pt idx="3">
                    <c:v>1.8544664525133019E-2</c:v>
                  </c:pt>
                  <c:pt idx="4">
                    <c:v>0.12979221959603057</c:v>
                  </c:pt>
                  <c:pt idx="5">
                    <c:v>0.10012090752958469</c:v>
                  </c:pt>
                  <c:pt idx="6">
                    <c:v>7.8428050467306859E-2</c:v>
                  </c:pt>
                  <c:pt idx="7">
                    <c:v>2.766526633554648E-2</c:v>
                  </c:pt>
                  <c:pt idx="8">
                    <c:v>1.6220703250904384E-2</c:v>
                  </c:pt>
                </c:numCache>
              </c:numRef>
            </c:minus>
          </c:errBars>
          <c:cat>
            <c:strRef>
              <c:f>'R3'!$B$52:$V$52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Anastrozole-0,032µg/L</c:v>
                </c:pt>
                <c:pt idx="8">
                  <c:v>Anastrozole-0,16µg/L</c:v>
                </c:pt>
                <c:pt idx="9">
                  <c:v>Anastrozole-0,8µg/L</c:v>
                </c:pt>
                <c:pt idx="10">
                  <c:v>Anastrozole-4µg/L</c:v>
                </c:pt>
                <c:pt idx="11">
                  <c:v>Anastrozole-20µg/L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Anastrozole-0,032µg/L + Testostérone</c:v>
                </c:pt>
                <c:pt idx="17">
                  <c:v>Anastrozole-0,16µg/L + Testostérone</c:v>
                </c:pt>
                <c:pt idx="18">
                  <c:v>Anastrozole-0,8µg/L + Testostérone</c:v>
                </c:pt>
                <c:pt idx="19">
                  <c:v>Anastrozole-4µg/L + Testostérone</c:v>
                </c:pt>
                <c:pt idx="20">
                  <c:v>Anastrozole-20µg/L + Testostérone</c:v>
                </c:pt>
              </c:strCache>
            </c:strRef>
          </c:cat>
          <c:val>
            <c:numRef>
              <c:f>'R3'!$B$53:$V$53</c:f>
              <c:numCache>
                <c:formatCode>0.0000</c:formatCode>
                <c:ptCount val="21"/>
                <c:pt idx="0">
                  <c:v>2.5356494437312225E-2</c:v>
                </c:pt>
                <c:pt idx="1">
                  <c:v>2.2188126741076432E-2</c:v>
                </c:pt>
                <c:pt idx="2">
                  <c:v>3.5612028333804786E-2</c:v>
                </c:pt>
                <c:pt idx="3">
                  <c:v>0.14065641997801778</c:v>
                </c:pt>
                <c:pt idx="4">
                  <c:v>1.0386832752112112</c:v>
                </c:pt>
                <c:pt idx="5">
                  <c:v>1.7395983868391207</c:v>
                </c:pt>
                <c:pt idx="6">
                  <c:v>2.1318486762113964</c:v>
                </c:pt>
                <c:pt idx="7">
                  <c:v>2.4047751599972612E-2</c:v>
                </c:pt>
                <c:pt idx="8">
                  <c:v>1.9932588598865014E-2</c:v>
                </c:pt>
                <c:pt idx="9">
                  <c:v>1.1625839657243116E-2</c:v>
                </c:pt>
                <c:pt idx="10">
                  <c:v>4.4110896053657395E-2</c:v>
                </c:pt>
                <c:pt idx="11">
                  <c:v>3.653759504439695E-2</c:v>
                </c:pt>
                <c:pt idx="13">
                  <c:v>1</c:v>
                </c:pt>
                <c:pt idx="14">
                  <c:v>1.8312687640871625</c:v>
                </c:pt>
                <c:pt idx="15">
                  <c:v>1.4757057313489551E-2</c:v>
                </c:pt>
                <c:pt idx="16">
                  <c:v>0.87147837522707972</c:v>
                </c:pt>
                <c:pt idx="17">
                  <c:v>0.8034248091151337</c:v>
                </c:pt>
                <c:pt idx="18">
                  <c:v>0.13434515889868176</c:v>
                </c:pt>
                <c:pt idx="19">
                  <c:v>3.4375462717015942E-2</c:v>
                </c:pt>
                <c:pt idx="20">
                  <c:v>2.5430794517290956E-2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D2-4ACE-91AA-7F871319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373488"/>
        <c:axId val="434373880"/>
      </c:barChart>
      <c:catAx>
        <c:axId val="434373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434373880"/>
        <c:crosses val="autoZero"/>
        <c:auto val="1"/>
        <c:lblAlgn val="ctr"/>
        <c:lblOffset val="100"/>
        <c:noMultiLvlLbl val="0"/>
      </c:catAx>
      <c:valAx>
        <c:axId val="434373880"/>
        <c:scaling>
          <c:orientation val="minMax"/>
          <c:max val="2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434373488"/>
        <c:crosses val="autoZero"/>
        <c:crossBetween val="between"/>
        <c:majorUnit val="0.2"/>
      </c:valAx>
    </c:plotArea>
    <c:plotVisOnly val="1"/>
    <c:dispBlanksAs val="gap"/>
    <c:showDLblsOverMax val="0"/>
  </c:chart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086563142153819E-2"/>
          <c:y val="0.10694631110669023"/>
          <c:w val="0.91688911122572669"/>
          <c:h val="0.69895377069250364"/>
        </c:manualLayout>
      </c:layout>
      <c:barChart>
        <c:barDir val="col"/>
        <c:grouping val="clustered"/>
        <c:varyColors val="0"/>
        <c:ser>
          <c:idx val="0"/>
          <c:order val="0"/>
          <c:tx>
            <c:v>Pool</c:v>
          </c:tx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2C-033C-4530-84A9-991A3866ABD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033C-4530-84A9-991A3866ABD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033C-4530-84A9-991A3866ABD4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033C-4530-84A9-991A3866ABD4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033C-4530-84A9-991A3866ABD4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033C-4530-84A9-991A3866ABD4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B-033C-4530-84A9-991A3866ABD4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033C-4530-84A9-991A3866ABD4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033C-4530-84A9-991A3866ABD4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033C-4530-84A9-991A3866ABD4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033C-4530-84A9-991A3866ABD4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033C-4530-84A9-991A3866ABD4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033C-4530-84A9-991A3866ABD4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9-033C-4530-84A9-991A3866ABD4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033C-4530-84A9-991A3866ABD4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033C-4530-84A9-991A3866ABD4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033C-4530-84A9-991A3866ABD4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1-033C-4530-84A9-991A3866ABD4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3-033C-4530-84A9-991A3866ABD4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5-033C-4530-84A9-991A3866ABD4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7-033C-4530-84A9-991A3866ABD4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9-033C-4530-84A9-991A3866ABD4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B-033C-4530-84A9-991A3866ABD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E250102-A819-4CAC-B8C3-459E44E9C7F2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033C-4530-84A9-991A3866ABD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D32C5D3-103F-45B0-A24A-8FB219388BA4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33C-4530-84A9-991A3866ABD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52B1DC1-71B5-4C5C-833A-D29F18D443F0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33C-4530-84A9-991A3866ABD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AE83A23-E8E8-4DB6-8D79-A47A2C52C88E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33C-4530-84A9-991A3866ABD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552977D-16E1-483E-AC86-7EB55B6135E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33C-4530-84A9-991A3866ABD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FC828FF-BF66-4096-8FAB-60FDF300324C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33C-4530-84A9-991A3866ABD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B5D87FB-FE1A-41B8-9003-910C7F4CDB22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33C-4530-84A9-991A3866ABD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386C018-48CB-4B3D-B75E-5B135FF16AF3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33C-4530-84A9-991A3866ABD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BD66D53-D19F-44A9-836E-D6C9A217E6B1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33C-4530-84A9-991A3866ABD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79BF7DA-B3D1-4CB4-B543-5151BC6C115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33C-4530-84A9-991A3866ABD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276919A-CC95-4618-9E1E-75ABCC1D1CF7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33C-4530-84A9-991A3866ABD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F921EB4-E11C-4142-B226-04AAD7C2D04B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33C-4530-84A9-991A3866ABD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33C-4530-84A9-991A3866ABD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1C2DECA-E4D8-445F-BCDE-8C789FEB510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33C-4530-84A9-991A3866ABD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26239AB-8030-4D9F-B185-C852C3B96917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33C-4530-84A9-991A3866ABD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E31B8BA-0369-4B7C-9339-BCA338EFA301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033C-4530-84A9-991A3866ABD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EBAE2D2-9817-4B07-88AC-155A6422FE5C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033C-4530-84A9-991A3866ABD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04C42DB-64C2-422B-A54F-D27B17CB838A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033C-4530-84A9-991A3866ABD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DCE6910-676C-4C16-ABFF-BA95312324BC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33C-4530-84A9-991A3866ABD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8F91633-CCFF-4962-8836-9667402CF26F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033C-4530-84A9-991A3866ABD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1DF3D861-C9EF-4274-8F59-39C4ED9CA377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033C-4530-84A9-991A3866ABD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033C-4530-84A9-991A3866ABD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'pooled normalised values'!$B$76:$V$76</c:f>
                <c:numCache>
                  <c:formatCode>General</c:formatCode>
                  <c:ptCount val="21"/>
                  <c:pt idx="0">
                    <c:v>5.6736408073519056E-3</c:v>
                  </c:pt>
                  <c:pt idx="1">
                    <c:v>7.7165369857119534E-3</c:v>
                  </c:pt>
                  <c:pt idx="2">
                    <c:v>5.4880509145823365E-3</c:v>
                  </c:pt>
                  <c:pt idx="3">
                    <c:v>3.5527324656432373E-2</c:v>
                  </c:pt>
                  <c:pt idx="4">
                    <c:v>0.23645508929098805</c:v>
                  </c:pt>
                  <c:pt idx="5">
                    <c:v>0.2049963261114067</c:v>
                  </c:pt>
                  <c:pt idx="6">
                    <c:v>0.29734583955323113</c:v>
                  </c:pt>
                  <c:pt idx="7">
                    <c:v>1.0800674219165933E-2</c:v>
                  </c:pt>
                  <c:pt idx="8">
                    <c:v>7.9125943659999597E-3</c:v>
                  </c:pt>
                  <c:pt idx="9">
                    <c:v>8.5841677699096102E-3</c:v>
                  </c:pt>
                  <c:pt idx="10">
                    <c:v>1.1379665768889871E-2</c:v>
                  </c:pt>
                  <c:pt idx="11">
                    <c:v>6.4859761899443823E-3</c:v>
                  </c:pt>
                  <c:pt idx="13">
                    <c:v>8.5101876908277432E-2</c:v>
                  </c:pt>
                  <c:pt idx="14">
                    <c:v>0.18542205431766476</c:v>
                  </c:pt>
                  <c:pt idx="15">
                    <c:v>9.2522035704546909E-3</c:v>
                  </c:pt>
                  <c:pt idx="16">
                    <c:v>0.12811202617014258</c:v>
                  </c:pt>
                  <c:pt idx="17">
                    <c:v>0.1120060686087244</c:v>
                  </c:pt>
                  <c:pt idx="18">
                    <c:v>3.4849092890716665E-2</c:v>
                  </c:pt>
                  <c:pt idx="19">
                    <c:v>1.3760801115011731E-2</c:v>
                  </c:pt>
                  <c:pt idx="20">
                    <c:v>8.5001764507010007E-3</c:v>
                  </c:pt>
                </c:numCache>
              </c:numRef>
            </c:plus>
            <c:minus>
              <c:numRef>
                <c:f>'pooled normalised values'!$B$76:$V$76</c:f>
                <c:numCache>
                  <c:formatCode>General</c:formatCode>
                  <c:ptCount val="21"/>
                  <c:pt idx="0">
                    <c:v>5.6736408073519056E-3</c:v>
                  </c:pt>
                  <c:pt idx="1">
                    <c:v>7.7165369857119534E-3</c:v>
                  </c:pt>
                  <c:pt idx="2">
                    <c:v>5.4880509145823365E-3</c:v>
                  </c:pt>
                  <c:pt idx="3">
                    <c:v>3.5527324656432373E-2</c:v>
                  </c:pt>
                  <c:pt idx="4">
                    <c:v>0.23645508929098805</c:v>
                  </c:pt>
                  <c:pt idx="5">
                    <c:v>0.2049963261114067</c:v>
                  </c:pt>
                  <c:pt idx="6">
                    <c:v>0.29734583955323113</c:v>
                  </c:pt>
                  <c:pt idx="7">
                    <c:v>1.0800674219165933E-2</c:v>
                  </c:pt>
                  <c:pt idx="8">
                    <c:v>7.9125943659999597E-3</c:v>
                  </c:pt>
                  <c:pt idx="9">
                    <c:v>8.5841677699096102E-3</c:v>
                  </c:pt>
                  <c:pt idx="10">
                    <c:v>1.1379665768889871E-2</c:v>
                  </c:pt>
                  <c:pt idx="11">
                    <c:v>6.4859761899443823E-3</c:v>
                  </c:pt>
                  <c:pt idx="13">
                    <c:v>8.5101876908277432E-2</c:v>
                  </c:pt>
                  <c:pt idx="14">
                    <c:v>0.18542205431766476</c:v>
                  </c:pt>
                  <c:pt idx="15">
                    <c:v>9.2522035704546909E-3</c:v>
                  </c:pt>
                  <c:pt idx="16">
                    <c:v>0.12811202617014258</c:v>
                  </c:pt>
                  <c:pt idx="17">
                    <c:v>0.1120060686087244</c:v>
                  </c:pt>
                  <c:pt idx="18">
                    <c:v>3.4849092890716665E-2</c:v>
                  </c:pt>
                  <c:pt idx="19">
                    <c:v>1.3760801115011731E-2</c:v>
                  </c:pt>
                  <c:pt idx="20">
                    <c:v>8.5001764507010007E-3</c:v>
                  </c:pt>
                </c:numCache>
              </c:numRef>
            </c:minus>
          </c:errBars>
          <c:cat>
            <c:strRef>
              <c:f>'pooled normalised values'!$B$74:$V$74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Anastrozole-0,032µg/L</c:v>
                </c:pt>
                <c:pt idx="8">
                  <c:v>Anastrozole-0,16µg/L</c:v>
                </c:pt>
                <c:pt idx="9">
                  <c:v>Anastrozole-0,8µg/L</c:v>
                </c:pt>
                <c:pt idx="10">
                  <c:v>Anastrozole-4µg/L</c:v>
                </c:pt>
                <c:pt idx="11">
                  <c:v>Anastrozole-20µg/L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Anastrozole-0,032µg/L + Testostérone</c:v>
                </c:pt>
                <c:pt idx="17">
                  <c:v>Anastrozole-0,16µg/L + Testostérone</c:v>
                </c:pt>
                <c:pt idx="18">
                  <c:v>Anastrozole-0,8µg/L + Testostérone</c:v>
                </c:pt>
                <c:pt idx="19">
                  <c:v>Anastrozole-4µg/L + Testostérone</c:v>
                </c:pt>
                <c:pt idx="20">
                  <c:v>Anastrozole-20µg/L + Testostérone</c:v>
                </c:pt>
              </c:strCache>
            </c:strRef>
          </c:cat>
          <c:val>
            <c:numRef>
              <c:f>'pooled normalised values'!$B$75:$V$75</c:f>
              <c:numCache>
                <c:formatCode>0.0000</c:formatCode>
                <c:ptCount val="21"/>
                <c:pt idx="0">
                  <c:v>1.5267776121745886E-2</c:v>
                </c:pt>
                <c:pt idx="1">
                  <c:v>2.3242221841601979E-2</c:v>
                </c:pt>
                <c:pt idx="2">
                  <c:v>1.2729122421101857E-2</c:v>
                </c:pt>
                <c:pt idx="3">
                  <c:v>5.3800354543859293E-2</c:v>
                </c:pt>
                <c:pt idx="4">
                  <c:v>0.94632949965065538</c:v>
                </c:pt>
                <c:pt idx="5">
                  <c:v>1.6987081169965956</c:v>
                </c:pt>
                <c:pt idx="6">
                  <c:v>2.5329536582548888</c:v>
                </c:pt>
                <c:pt idx="7">
                  <c:v>3.0649351622367097E-2</c:v>
                </c:pt>
                <c:pt idx="8">
                  <c:v>2.60889282144223E-2</c:v>
                </c:pt>
                <c:pt idx="9">
                  <c:v>2.3609068575431113E-2</c:v>
                </c:pt>
                <c:pt idx="10">
                  <c:v>3.9119518464171464E-2</c:v>
                </c:pt>
                <c:pt idx="11">
                  <c:v>2.5364719225934043E-2</c:v>
                </c:pt>
                <c:pt idx="13">
                  <c:v>1.0000000000000002</c:v>
                </c:pt>
                <c:pt idx="14">
                  <c:v>1.7639313068431726</c:v>
                </c:pt>
                <c:pt idx="15">
                  <c:v>2.877941236989422E-2</c:v>
                </c:pt>
                <c:pt idx="16">
                  <c:v>0.78894918253426349</c:v>
                </c:pt>
                <c:pt idx="17">
                  <c:v>0.7520837902079448</c:v>
                </c:pt>
                <c:pt idx="18">
                  <c:v>0.11856697398144235</c:v>
                </c:pt>
                <c:pt idx="19">
                  <c:v>3.0927507596574987E-2</c:v>
                </c:pt>
                <c:pt idx="20">
                  <c:v>2.6807699970010004E-2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'pooled normalised values'!$B$83:$V$83</c15:f>
                <c15:dlblRangeCache>
                  <c:ptCount val="21"/>
                  <c:pt idx="1">
                    <c:v>NS</c:v>
                  </c:pt>
                  <c:pt idx="2">
                    <c:v>NS</c:v>
                  </c:pt>
                  <c:pt idx="3">
                    <c:v>NS</c:v>
                  </c:pt>
                  <c:pt idx="4">
                    <c:v>***</c:v>
                  </c:pt>
                  <c:pt idx="5">
                    <c:v>***</c:v>
                  </c:pt>
                  <c:pt idx="6">
                    <c:v>***</c:v>
                  </c:pt>
                  <c:pt idx="7">
                    <c:v>ns</c:v>
                  </c:pt>
                  <c:pt idx="8">
                    <c:v>ns</c:v>
                  </c:pt>
                  <c:pt idx="9">
                    <c:v>ns</c:v>
                  </c:pt>
                  <c:pt idx="10">
                    <c:v>ns</c:v>
                  </c:pt>
                  <c:pt idx="11">
                    <c:v>ns</c:v>
                  </c:pt>
                  <c:pt idx="13">
                    <c:v>***</c:v>
                  </c:pt>
                  <c:pt idx="14">
                    <c:v>***</c:v>
                  </c:pt>
                  <c:pt idx="15">
                    <c:v>***</c:v>
                  </c:pt>
                  <c:pt idx="16">
                    <c:v>ns</c:v>
                  </c:pt>
                  <c:pt idx="17">
                    <c:v>ns</c:v>
                  </c:pt>
                  <c:pt idx="18">
                    <c:v>****</c:v>
                  </c:pt>
                  <c:pt idx="19">
                    <c:v>****</c:v>
                  </c:pt>
                  <c:pt idx="20">
                    <c:v>****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B-033C-4530-84A9-991A3866A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374272"/>
        <c:axId val="434374664"/>
      </c:barChart>
      <c:catAx>
        <c:axId val="434374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2700000"/>
          <a:lstStyle/>
          <a:p>
            <a:pPr>
              <a:defRPr lang="en-GB" sz="1000"/>
            </a:pPr>
            <a:endParaRPr lang="fr-FR"/>
          </a:p>
        </c:txPr>
        <c:crossAx val="434374664"/>
        <c:crosses val="autoZero"/>
        <c:auto val="1"/>
        <c:lblAlgn val="ctr"/>
        <c:lblOffset val="100"/>
        <c:noMultiLvlLbl val="0"/>
      </c:catAx>
      <c:valAx>
        <c:axId val="4343746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en-GB" sz="1400"/>
                </a:pPr>
                <a:r>
                  <a:rPr lang="en-US" sz="1400"/>
                  <a:t>fluorescence totale (unités arbitraires)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434374272"/>
        <c:crosses val="autoZero"/>
        <c:crossBetween val="between"/>
      </c:valAx>
    </c:plotArea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85" workbookViewId="0"/>
  </sheetViews>
  <pageMargins left="0.7" right="0.7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zoomScale="76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zoomScale="76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zoomScale="76" workbookViewId="0" zoomToFit="1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412" cy="606611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0.42494</cdr:x>
      <cdr:y>0.01696</cdr:y>
    </cdr:from>
    <cdr:to>
      <cdr:x>0.59244</cdr:x>
      <cdr:y>0.06852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946365" y="102453"/>
          <a:ext cx="1555576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74276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0.37494</cdr:x>
      <cdr:y>0.01504</cdr:y>
    </cdr:from>
    <cdr:to>
      <cdr:x>0.5575</cdr:x>
      <cdr:y>0.06657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80830" y="90920"/>
          <a:ext cx="1694833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74276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0.37494</cdr:x>
      <cdr:y>0.01504</cdr:y>
    </cdr:from>
    <cdr:to>
      <cdr:x>0.5575</cdr:x>
      <cdr:y>0.0666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82021" y="90854"/>
          <a:ext cx="1695412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74276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alStats\RealStats%202013%202016.xla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alStats\RealStats%202013%202016.xlam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Prime"/>
    </sheetNames>
    <definedNames>
      <definedName name="DPTEST"/>
      <definedName name="MTEST"/>
      <definedName name="SWTES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Dunnett 1"/>
      <sheetName val="Prime"/>
      <sheetName val="MSSD"/>
      <sheetName val="RealStats 2013 2016.xlam"/>
    </sheetNames>
    <definedNames>
      <definedName name="MTEST"/>
      <definedName name="SWTES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e_groupe" displayName="liste_groupe" ref="A6:F57" totalsRowShown="0" headerRowDxfId="8" dataDxfId="7" tableBorderDxfId="6">
  <autoFilter ref="A6:F57" xr:uid="{00000000-0009-0000-0100-000001000000}"/>
  <tableColumns count="6">
    <tableColumn id="4" xr3:uid="{00000000-0010-0000-0000-000004000000}" name="Do not fill in" dataDxfId="5">
      <calculatedColumnFormula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calculatedColumnFormula>
    </tableColumn>
    <tableColumn id="1" xr3:uid="{00000000-0010-0000-0000-000001000000}" name="Do not fill in2" dataDxfId="4">
      <calculatedColumnFormula>A2</calculatedColumnFormula>
    </tableColumn>
    <tableColumn id="2" xr3:uid="{00000000-0010-0000-0000-000002000000}" name="Concentration" dataDxfId="3">
      <calculatedColumnFormula>B2</calculatedColumnFormula>
    </tableColumn>
    <tableColumn id="10" xr3:uid="{00000000-0010-0000-0000-00000A000000}" name="Units" dataDxfId="2"/>
    <tableColumn id="3" xr3:uid="{00000000-0010-0000-0000-000003000000}" name="Chemical name" dataDxfId="1">
      <calculatedColumnFormula>C2</calculatedColumnFormula>
    </tableColumn>
    <tableColumn id="9" xr3:uid="{00000000-0010-0000-0000-000009000000}" name="Do not fill in3" dataDxfId="0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7"/>
  <sheetViews>
    <sheetView showGridLines="0" topLeftCell="A7" zoomScale="55" zoomScaleNormal="55" workbookViewId="0">
      <selection activeCell="C15" sqref="C15"/>
    </sheetView>
  </sheetViews>
  <sheetFormatPr baseColWidth="10" defaultColWidth="11.453125" defaultRowHeight="39" customHeight="1" x14ac:dyDescent="0.35"/>
  <cols>
    <col min="1" max="1" width="42" bestFit="1" customWidth="1"/>
    <col min="2" max="2" width="33.81640625" style="27" bestFit="1" customWidth="1"/>
    <col min="3" max="3" width="21.26953125" customWidth="1"/>
    <col min="4" max="4" width="30.453125" customWidth="1"/>
    <col min="5" max="5" width="62.26953125" style="88" bestFit="1" customWidth="1"/>
    <col min="6" max="6" width="56.7265625" bestFit="1" customWidth="1"/>
    <col min="7" max="7" width="19.453125" customWidth="1"/>
    <col min="8" max="8" width="15.26953125" customWidth="1"/>
    <col min="9" max="9" width="18" customWidth="1"/>
    <col min="10" max="10" width="19.54296875" bestFit="1" customWidth="1"/>
  </cols>
  <sheetData>
    <row r="1" spans="1:9" ht="39" customHeight="1" thickBot="1" x14ac:dyDescent="0.4">
      <c r="A1" s="118"/>
      <c r="B1" s="119"/>
      <c r="C1" s="119"/>
      <c r="D1" s="119"/>
      <c r="E1" s="119"/>
      <c r="F1" s="119"/>
      <c r="G1" s="119"/>
      <c r="H1" s="119"/>
      <c r="I1" s="120"/>
    </row>
    <row r="2" spans="1:9" ht="21.5" thickBot="1" x14ac:dyDescent="0.55000000000000004">
      <c r="A2" s="107" t="s">
        <v>5</v>
      </c>
      <c r="B2" s="26" t="s">
        <v>23</v>
      </c>
      <c r="C2" s="121" t="s">
        <v>47</v>
      </c>
      <c r="D2" s="122"/>
      <c r="E2" s="26" t="s">
        <v>48</v>
      </c>
      <c r="F2" s="133"/>
      <c r="G2" s="134"/>
      <c r="H2" s="134"/>
      <c r="I2" s="135"/>
    </row>
    <row r="3" spans="1:9" ht="21.5" thickBot="1" x14ac:dyDescent="0.55000000000000004">
      <c r="A3" s="108" t="s">
        <v>6</v>
      </c>
      <c r="B3" s="26" t="s">
        <v>23</v>
      </c>
      <c r="C3" s="123" t="s">
        <v>49</v>
      </c>
      <c r="D3" s="124"/>
      <c r="E3" s="26" t="s">
        <v>50</v>
      </c>
      <c r="F3" s="130"/>
      <c r="G3" s="131"/>
      <c r="H3" s="131"/>
      <c r="I3" s="132"/>
    </row>
    <row r="4" spans="1:9" ht="21.5" thickBot="1" x14ac:dyDescent="0.55000000000000004">
      <c r="A4" s="109" t="s">
        <v>9</v>
      </c>
      <c r="B4" s="26" t="s">
        <v>23</v>
      </c>
      <c r="C4" s="125" t="s">
        <v>51</v>
      </c>
      <c r="D4" s="126"/>
      <c r="E4" s="26" t="s">
        <v>52</v>
      </c>
      <c r="F4" s="127"/>
      <c r="G4" s="128"/>
      <c r="H4" s="128"/>
      <c r="I4" s="129"/>
    </row>
    <row r="5" spans="1:9" s="1" customFormat="1" ht="65.25" customHeight="1" thickBot="1" x14ac:dyDescent="0.4">
      <c r="A5" s="118"/>
      <c r="B5" s="119"/>
      <c r="C5" s="119"/>
      <c r="D5" s="119"/>
      <c r="E5" s="119"/>
      <c r="F5" s="119"/>
      <c r="G5" s="119"/>
      <c r="H5" s="119"/>
      <c r="I5" s="120"/>
    </row>
    <row r="6" spans="1:9" s="67" customFormat="1" ht="39" customHeight="1" x14ac:dyDescent="0.5">
      <c r="A6" s="57" t="s">
        <v>24</v>
      </c>
      <c r="B6" s="58" t="s">
        <v>25</v>
      </c>
      <c r="C6" s="46" t="s">
        <v>7</v>
      </c>
      <c r="D6" s="46" t="s">
        <v>26</v>
      </c>
      <c r="E6" s="85" t="s">
        <v>27</v>
      </c>
      <c r="F6" s="66" t="s">
        <v>28</v>
      </c>
    </row>
    <row r="7" spans="1:9" s="94" customFormat="1" ht="39" customHeight="1" x14ac:dyDescent="0.5">
      <c r="A7" s="89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Solvent control</v>
      </c>
      <c r="B7" s="90" t="s">
        <v>45</v>
      </c>
      <c r="C7" s="91"/>
      <c r="D7" s="92"/>
      <c r="E7" s="93" t="s">
        <v>30</v>
      </c>
      <c r="F7" s="68"/>
    </row>
    <row r="8" spans="1:9" s="94" customFormat="1" ht="39" customHeight="1" x14ac:dyDescent="0.5">
      <c r="A8" s="89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EE2-33.8ng/L</v>
      </c>
      <c r="B8" s="90" t="s">
        <v>45</v>
      </c>
      <c r="C8" s="91" t="s">
        <v>31</v>
      </c>
      <c r="D8" s="92" t="s">
        <v>17</v>
      </c>
      <c r="E8" s="93" t="s">
        <v>18</v>
      </c>
      <c r="F8" s="68"/>
    </row>
    <row r="9" spans="1:9" s="94" customFormat="1" ht="39" customHeight="1" x14ac:dyDescent="0.5">
      <c r="A9" s="89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EE2-50.6ng/L</v>
      </c>
      <c r="B9" s="90" t="s">
        <v>45</v>
      </c>
      <c r="C9" s="91" t="s">
        <v>32</v>
      </c>
      <c r="D9" s="92" t="s">
        <v>17</v>
      </c>
      <c r="E9" s="93" t="s">
        <v>18</v>
      </c>
      <c r="F9" s="68"/>
    </row>
    <row r="10" spans="1:9" s="94" customFormat="1" ht="39" customHeight="1" x14ac:dyDescent="0.5">
      <c r="A10" s="89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EE2-76ng/L</v>
      </c>
      <c r="B10" s="90" t="s">
        <v>45</v>
      </c>
      <c r="C10" s="91">
        <v>76</v>
      </c>
      <c r="D10" s="92" t="s">
        <v>17</v>
      </c>
      <c r="E10" s="93" t="s">
        <v>18</v>
      </c>
      <c r="F10" s="68"/>
    </row>
    <row r="11" spans="1:9" s="94" customFormat="1" ht="39" customHeight="1" x14ac:dyDescent="0.5">
      <c r="A11" s="89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EE2-114ng/L</v>
      </c>
      <c r="B11" s="90" t="s">
        <v>45</v>
      </c>
      <c r="C11" s="91">
        <v>114</v>
      </c>
      <c r="D11" s="92" t="s">
        <v>17</v>
      </c>
      <c r="E11" s="93" t="s">
        <v>18</v>
      </c>
      <c r="F11" s="68"/>
    </row>
    <row r="12" spans="1:9" s="94" customFormat="1" ht="39" customHeight="1" x14ac:dyDescent="0.5">
      <c r="A12" s="89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EE2-170.9ng/L</v>
      </c>
      <c r="B12" s="90" t="s">
        <v>45</v>
      </c>
      <c r="C12" s="91" t="s">
        <v>33</v>
      </c>
      <c r="D12" s="92" t="s">
        <v>17</v>
      </c>
      <c r="E12" s="93" t="s">
        <v>18</v>
      </c>
      <c r="F12" s="68"/>
    </row>
    <row r="13" spans="1:9" s="94" customFormat="1" ht="39" customHeight="1" x14ac:dyDescent="0.5">
      <c r="A13" s="89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EE2-488ng/L</v>
      </c>
      <c r="B13" s="90" t="s">
        <v>45</v>
      </c>
      <c r="C13" s="91">
        <v>488</v>
      </c>
      <c r="D13" s="92" t="s">
        <v>17</v>
      </c>
      <c r="E13" s="93" t="s">
        <v>18</v>
      </c>
      <c r="F13" s="68"/>
    </row>
    <row r="14" spans="1:9" s="94" customFormat="1" ht="39" customHeight="1" x14ac:dyDescent="0.5">
      <c r="A14" s="89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Anastrozole-0,032µg/L</v>
      </c>
      <c r="B14" s="90" t="s">
        <v>29</v>
      </c>
      <c r="C14" s="116">
        <v>3.2000000000000001E-2</v>
      </c>
      <c r="D14" s="115" t="s">
        <v>19</v>
      </c>
      <c r="E14" s="114" t="s">
        <v>46</v>
      </c>
      <c r="F14" s="68"/>
    </row>
    <row r="15" spans="1:9" s="69" customFormat="1" ht="39" customHeight="1" x14ac:dyDescent="0.35">
      <c r="A15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Anastrozole-0,16µg/L</v>
      </c>
      <c r="B15" s="90" t="s">
        <v>29</v>
      </c>
      <c r="C15" s="116">
        <v>0.16</v>
      </c>
      <c r="D15" s="115" t="s">
        <v>19</v>
      </c>
      <c r="E15" s="114" t="s">
        <v>46</v>
      </c>
      <c r="F15" s="68"/>
    </row>
    <row r="16" spans="1:9" s="69" customFormat="1" ht="39" customHeight="1" x14ac:dyDescent="0.35">
      <c r="A16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Anastrozole-0,8µg/L</v>
      </c>
      <c r="B16" s="90" t="s">
        <v>29</v>
      </c>
      <c r="C16" s="116">
        <v>0.8</v>
      </c>
      <c r="D16" s="115" t="s">
        <v>19</v>
      </c>
      <c r="E16" s="114" t="s">
        <v>46</v>
      </c>
      <c r="F16" s="68"/>
    </row>
    <row r="17" spans="1:6" s="69" customFormat="1" ht="39" customHeight="1" x14ac:dyDescent="0.35">
      <c r="A17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Anastrozole-4µg/L</v>
      </c>
      <c r="B17" s="90" t="s">
        <v>29</v>
      </c>
      <c r="C17" s="116">
        <v>4</v>
      </c>
      <c r="D17" s="115" t="s">
        <v>19</v>
      </c>
      <c r="E17" s="114" t="s">
        <v>46</v>
      </c>
      <c r="F17" s="68"/>
    </row>
    <row r="18" spans="1:6" s="69" customFormat="1" ht="39" customHeight="1" x14ac:dyDescent="0.35">
      <c r="A18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Anastrozole-20µg/L</v>
      </c>
      <c r="B18" s="90" t="s">
        <v>29</v>
      </c>
      <c r="C18" s="116">
        <v>20</v>
      </c>
      <c r="D18" s="115" t="s">
        <v>19</v>
      </c>
      <c r="E18" s="114" t="s">
        <v>46</v>
      </c>
      <c r="F18" s="68"/>
    </row>
    <row r="19" spans="1:6" s="69" customFormat="1" ht="39" customHeight="1" x14ac:dyDescent="0.35">
      <c r="A19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19" s="90" t="s">
        <v>29</v>
      </c>
      <c r="C19" s="63"/>
      <c r="D19" s="63"/>
      <c r="E19" s="24"/>
      <c r="F19" s="68"/>
    </row>
    <row r="20" spans="1:6" s="69" customFormat="1" ht="39" customHeight="1" x14ac:dyDescent="0.35">
      <c r="A20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0" s="90" t="s">
        <v>29</v>
      </c>
      <c r="C20" s="63"/>
      <c r="D20" s="63"/>
      <c r="E20" s="59"/>
      <c r="F20" s="68"/>
    </row>
    <row r="21" spans="1:6" s="69" customFormat="1" ht="39" customHeight="1" x14ac:dyDescent="0.35">
      <c r="A21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1" s="90" t="s">
        <v>29</v>
      </c>
      <c r="C21" s="63"/>
      <c r="D21" s="63"/>
      <c r="E21" s="24"/>
      <c r="F21" s="68"/>
    </row>
    <row r="22" spans="1:6" s="69" customFormat="1" ht="39" customHeight="1" x14ac:dyDescent="0.35">
      <c r="A22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2" s="90" t="s">
        <v>29</v>
      </c>
      <c r="C22" s="63"/>
      <c r="D22" s="63"/>
      <c r="E22" s="59"/>
      <c r="F22" s="68"/>
    </row>
    <row r="23" spans="1:6" s="69" customFormat="1" ht="39" customHeight="1" x14ac:dyDescent="0.35">
      <c r="A23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3" s="90" t="s">
        <v>29</v>
      </c>
      <c r="C23" s="63"/>
      <c r="D23" s="63"/>
      <c r="E23" s="24"/>
      <c r="F23" s="68"/>
    </row>
    <row r="24" spans="1:6" s="69" customFormat="1" ht="39" customHeight="1" x14ac:dyDescent="0.35">
      <c r="A24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4" s="90" t="s">
        <v>29</v>
      </c>
      <c r="C24" s="63"/>
      <c r="D24" s="63"/>
      <c r="E24" s="59"/>
      <c r="F24" s="68"/>
    </row>
    <row r="25" spans="1:6" s="69" customFormat="1" ht="39" customHeight="1" x14ac:dyDescent="0.35">
      <c r="A25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5" s="90" t="s">
        <v>29</v>
      </c>
      <c r="C25" s="63"/>
      <c r="D25" s="63"/>
      <c r="E25" s="24"/>
      <c r="F25" s="68"/>
    </row>
    <row r="26" spans="1:6" s="69" customFormat="1" ht="39" customHeight="1" x14ac:dyDescent="0.35">
      <c r="A26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6" s="90" t="s">
        <v>29</v>
      </c>
      <c r="C26" s="63"/>
      <c r="D26" s="63"/>
      <c r="E26" s="59"/>
      <c r="F26" s="68"/>
    </row>
    <row r="27" spans="1:6" s="69" customFormat="1" ht="39" customHeight="1" x14ac:dyDescent="0.35">
      <c r="A27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7" s="90" t="s">
        <v>29</v>
      </c>
      <c r="C27" s="63"/>
      <c r="D27" s="63"/>
      <c r="E27" s="24"/>
      <c r="F27" s="68"/>
    </row>
    <row r="28" spans="1:6" s="69" customFormat="1" ht="39" customHeight="1" x14ac:dyDescent="0.35">
      <c r="A28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8" s="90" t="s">
        <v>29</v>
      </c>
      <c r="C28" s="63"/>
      <c r="D28" s="63"/>
      <c r="E28" s="59"/>
      <c r="F28" s="68"/>
    </row>
    <row r="29" spans="1:6" s="69" customFormat="1" ht="39" customHeight="1" x14ac:dyDescent="0.35">
      <c r="A29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9" s="90" t="s">
        <v>29</v>
      </c>
      <c r="C29" s="63"/>
      <c r="D29" s="72"/>
      <c r="E29" s="24"/>
      <c r="F29" s="68"/>
    </row>
    <row r="30" spans="1:6" s="69" customFormat="1" ht="39" customHeight="1" x14ac:dyDescent="0.35">
      <c r="A30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0" s="90" t="s">
        <v>29</v>
      </c>
      <c r="C30" s="63"/>
      <c r="D30" s="72"/>
      <c r="E30" s="59"/>
      <c r="F30" s="68"/>
    </row>
    <row r="31" spans="1:6" s="69" customFormat="1" ht="39" customHeight="1" x14ac:dyDescent="0.35">
      <c r="A31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1" s="90" t="s">
        <v>29</v>
      </c>
      <c r="C31" s="63"/>
      <c r="D31" s="72"/>
      <c r="E31" s="24"/>
      <c r="F31" s="68"/>
    </row>
    <row r="32" spans="1:6" s="69" customFormat="1" ht="39" customHeight="1" x14ac:dyDescent="0.35">
      <c r="A32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2" s="90" t="s">
        <v>29</v>
      </c>
      <c r="C32" s="63"/>
      <c r="D32" s="72"/>
      <c r="E32" s="59"/>
      <c r="F32" s="68"/>
    </row>
    <row r="33" spans="1:6" s="69" customFormat="1" ht="39" customHeight="1" x14ac:dyDescent="0.35">
      <c r="A33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3" s="90" t="s">
        <v>29</v>
      </c>
      <c r="C33" s="63"/>
      <c r="D33" s="72"/>
      <c r="E33" s="24"/>
      <c r="F33" s="68"/>
    </row>
    <row r="34" spans="1:6" s="69" customFormat="1" ht="39" customHeight="1" thickBot="1" x14ac:dyDescent="0.4">
      <c r="A34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4" s="90" t="s">
        <v>29</v>
      </c>
      <c r="C34" s="96"/>
      <c r="D34" s="73"/>
      <c r="E34" s="95"/>
      <c r="F34" s="68"/>
    </row>
    <row r="35" spans="1:6" s="69" customFormat="1" ht="39" customHeight="1" x14ac:dyDescent="0.35">
      <c r="A35" s="9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-30µg/L</v>
      </c>
      <c r="B35" s="60" t="s">
        <v>45</v>
      </c>
      <c r="C35" s="64">
        <v>30</v>
      </c>
      <c r="D35" s="74" t="s">
        <v>19</v>
      </c>
      <c r="E35" s="86" t="s">
        <v>8</v>
      </c>
      <c r="F35" s="98"/>
    </row>
    <row r="36" spans="1:6" s="69" customFormat="1" ht="39" customHeight="1" x14ac:dyDescent="0.35">
      <c r="A36" s="99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30µg/L + EE2 -64ng/L</v>
      </c>
      <c r="B36" s="61" t="s">
        <v>45</v>
      </c>
      <c r="C36" s="65">
        <v>64</v>
      </c>
      <c r="D36" s="75" t="s">
        <v>17</v>
      </c>
      <c r="E36" s="87" t="s">
        <v>20</v>
      </c>
      <c r="F36" s="100"/>
    </row>
    <row r="37" spans="1:6" s="69" customFormat="1" ht="39" customHeight="1" thickBot="1" x14ac:dyDescent="0.4">
      <c r="A37" s="10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30µg/L + FAD-10mg/L</v>
      </c>
      <c r="B37" s="102" t="s">
        <v>45</v>
      </c>
      <c r="C37" s="103">
        <v>10</v>
      </c>
      <c r="D37" s="104" t="s">
        <v>21</v>
      </c>
      <c r="E37" s="105" t="s">
        <v>22</v>
      </c>
      <c r="F37" s="106"/>
    </row>
    <row r="38" spans="1:6" s="69" customFormat="1" ht="39" customHeight="1" x14ac:dyDescent="0.35">
      <c r="A38" s="3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Anastrozole-0,032µg/L + Testostérone</v>
      </c>
      <c r="B38" s="110" t="str">
        <f>B14</f>
        <v>test chemical</v>
      </c>
      <c r="C38" s="110">
        <f t="shared" ref="C38:E38" si="0">C14</f>
        <v>3.2000000000000001E-2</v>
      </c>
      <c r="D38" s="110" t="str">
        <f t="shared" si="0"/>
        <v>µg/L</v>
      </c>
      <c r="E38" s="110" t="str">
        <f t="shared" si="0"/>
        <v>Anastrozole</v>
      </c>
      <c r="F38" s="70" t="s">
        <v>13</v>
      </c>
    </row>
    <row r="39" spans="1:6" s="69" customFormat="1" ht="39" customHeight="1" x14ac:dyDescent="0.35">
      <c r="A39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Anastrozole-0,16µg/L + Testostérone</v>
      </c>
      <c r="B39" s="112" t="str">
        <f t="shared" ref="B39:E39" si="1">B15</f>
        <v>test chemical</v>
      </c>
      <c r="C39" s="112">
        <f t="shared" si="1"/>
        <v>0.16</v>
      </c>
      <c r="D39" s="112" t="str">
        <f t="shared" si="1"/>
        <v>µg/L</v>
      </c>
      <c r="E39" s="112" t="str">
        <f t="shared" si="1"/>
        <v>Anastrozole</v>
      </c>
      <c r="F39" s="71" t="s">
        <v>13</v>
      </c>
    </row>
    <row r="40" spans="1:6" s="69" customFormat="1" ht="39" customHeight="1" x14ac:dyDescent="0.35">
      <c r="A40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Anastrozole-0,8µg/L + Testostérone</v>
      </c>
      <c r="B40" s="112" t="str">
        <f t="shared" ref="B40:E40" si="2">B16</f>
        <v>test chemical</v>
      </c>
      <c r="C40" s="112">
        <f t="shared" si="2"/>
        <v>0.8</v>
      </c>
      <c r="D40" s="112" t="str">
        <f t="shared" si="2"/>
        <v>µg/L</v>
      </c>
      <c r="E40" s="112" t="str">
        <f t="shared" si="2"/>
        <v>Anastrozole</v>
      </c>
      <c r="F40" s="71" t="s">
        <v>13</v>
      </c>
    </row>
    <row r="41" spans="1:6" s="69" customFormat="1" ht="39" customHeight="1" x14ac:dyDescent="0.35">
      <c r="A41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Anastrozole-4µg/L + Testostérone</v>
      </c>
      <c r="B41" s="112" t="str">
        <f t="shared" ref="B41:E41" si="3">B17</f>
        <v>test chemical</v>
      </c>
      <c r="C41" s="112">
        <f t="shared" si="3"/>
        <v>4</v>
      </c>
      <c r="D41" s="112" t="str">
        <f t="shared" si="3"/>
        <v>µg/L</v>
      </c>
      <c r="E41" s="112" t="str">
        <f t="shared" si="3"/>
        <v>Anastrozole</v>
      </c>
      <c r="F41" s="71" t="s">
        <v>13</v>
      </c>
    </row>
    <row r="42" spans="1:6" s="69" customFormat="1" ht="39" customHeight="1" x14ac:dyDescent="0.35">
      <c r="A42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Anastrozole-20µg/L + Testostérone</v>
      </c>
      <c r="B42" s="112" t="str">
        <f t="shared" ref="B42:E42" si="4">B18</f>
        <v>test chemical</v>
      </c>
      <c r="C42" s="112">
        <f t="shared" si="4"/>
        <v>20</v>
      </c>
      <c r="D42" s="112" t="str">
        <f t="shared" si="4"/>
        <v>µg/L</v>
      </c>
      <c r="E42" s="112" t="str">
        <f t="shared" si="4"/>
        <v>Anastrozole</v>
      </c>
      <c r="F42" s="71" t="s">
        <v>13</v>
      </c>
    </row>
    <row r="43" spans="1:6" s="69" customFormat="1" ht="39" customHeight="1" x14ac:dyDescent="0.35">
      <c r="A43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3" s="112" t="str">
        <f t="shared" ref="B43:E43" si="5">B19</f>
        <v>test chemical</v>
      </c>
      <c r="C43" s="112">
        <f t="shared" si="5"/>
        <v>0</v>
      </c>
      <c r="D43" s="112">
        <f t="shared" si="5"/>
        <v>0</v>
      </c>
      <c r="E43" s="112">
        <f t="shared" si="5"/>
        <v>0</v>
      </c>
      <c r="F43" s="71" t="s">
        <v>13</v>
      </c>
    </row>
    <row r="44" spans="1:6" s="69" customFormat="1" ht="39" customHeight="1" x14ac:dyDescent="0.35">
      <c r="A44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4" s="112" t="str">
        <f t="shared" ref="B44:E44" si="6">B20</f>
        <v>test chemical</v>
      </c>
      <c r="C44" s="112">
        <f t="shared" si="6"/>
        <v>0</v>
      </c>
      <c r="D44" s="112">
        <f t="shared" si="6"/>
        <v>0</v>
      </c>
      <c r="E44" s="112">
        <f t="shared" si="6"/>
        <v>0</v>
      </c>
      <c r="F44" s="71" t="s">
        <v>13</v>
      </c>
    </row>
    <row r="45" spans="1:6" s="69" customFormat="1" ht="39" customHeight="1" x14ac:dyDescent="0.35">
      <c r="A45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5" s="112" t="str">
        <f t="shared" ref="B45:E45" si="7">B21</f>
        <v>test chemical</v>
      </c>
      <c r="C45" s="112">
        <f t="shared" si="7"/>
        <v>0</v>
      </c>
      <c r="D45" s="112">
        <f t="shared" si="7"/>
        <v>0</v>
      </c>
      <c r="E45" s="112">
        <f t="shared" si="7"/>
        <v>0</v>
      </c>
      <c r="F45" s="71" t="s">
        <v>13</v>
      </c>
    </row>
    <row r="46" spans="1:6" s="69" customFormat="1" ht="39" customHeight="1" x14ac:dyDescent="0.35">
      <c r="A46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6" s="112" t="str">
        <f t="shared" ref="B46:E46" si="8">B22</f>
        <v>test chemical</v>
      </c>
      <c r="C46" s="112">
        <f t="shared" si="8"/>
        <v>0</v>
      </c>
      <c r="D46" s="112">
        <f t="shared" si="8"/>
        <v>0</v>
      </c>
      <c r="E46" s="112">
        <f t="shared" si="8"/>
        <v>0</v>
      </c>
      <c r="F46" s="71" t="s">
        <v>13</v>
      </c>
    </row>
    <row r="47" spans="1:6" s="69" customFormat="1" ht="39" customHeight="1" x14ac:dyDescent="0.35">
      <c r="A47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7" s="112" t="str">
        <f t="shared" ref="B47:E47" si="9">B23</f>
        <v>test chemical</v>
      </c>
      <c r="C47" s="112">
        <f t="shared" si="9"/>
        <v>0</v>
      </c>
      <c r="D47" s="112">
        <f t="shared" si="9"/>
        <v>0</v>
      </c>
      <c r="E47" s="112">
        <f t="shared" si="9"/>
        <v>0</v>
      </c>
      <c r="F47" s="71" t="s">
        <v>13</v>
      </c>
    </row>
    <row r="48" spans="1:6" s="69" customFormat="1" ht="39" customHeight="1" x14ac:dyDescent="0.35">
      <c r="A48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8" s="112" t="str">
        <f t="shared" ref="B48:E48" si="10">B24</f>
        <v>test chemical</v>
      </c>
      <c r="C48" s="112">
        <f t="shared" si="10"/>
        <v>0</v>
      </c>
      <c r="D48" s="112">
        <f t="shared" si="10"/>
        <v>0</v>
      </c>
      <c r="E48" s="112">
        <f t="shared" si="10"/>
        <v>0</v>
      </c>
      <c r="F48" s="71" t="s">
        <v>13</v>
      </c>
    </row>
    <row r="49" spans="1:6" s="69" customFormat="1" ht="39" customHeight="1" x14ac:dyDescent="0.35">
      <c r="A49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9" s="112" t="str">
        <f t="shared" ref="B49:E49" si="11">B25</f>
        <v>test chemical</v>
      </c>
      <c r="C49" s="112">
        <f t="shared" si="11"/>
        <v>0</v>
      </c>
      <c r="D49" s="112">
        <f t="shared" si="11"/>
        <v>0</v>
      </c>
      <c r="E49" s="112">
        <f t="shared" si="11"/>
        <v>0</v>
      </c>
      <c r="F49" s="71" t="s">
        <v>13</v>
      </c>
    </row>
    <row r="50" spans="1:6" s="69" customFormat="1" ht="39" customHeight="1" x14ac:dyDescent="0.35">
      <c r="A50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0" s="112" t="str">
        <f t="shared" ref="B50:E50" si="12">B26</f>
        <v>test chemical</v>
      </c>
      <c r="C50" s="112">
        <f t="shared" si="12"/>
        <v>0</v>
      </c>
      <c r="D50" s="112">
        <f t="shared" si="12"/>
        <v>0</v>
      </c>
      <c r="E50" s="112">
        <f t="shared" si="12"/>
        <v>0</v>
      </c>
      <c r="F50" s="71" t="s">
        <v>13</v>
      </c>
    </row>
    <row r="51" spans="1:6" s="69" customFormat="1" ht="39" customHeight="1" x14ac:dyDescent="0.35">
      <c r="A51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1" s="112" t="str">
        <f t="shared" ref="B51:E51" si="13">B27</f>
        <v>test chemical</v>
      </c>
      <c r="C51" s="112">
        <f t="shared" si="13"/>
        <v>0</v>
      </c>
      <c r="D51" s="112">
        <f t="shared" si="13"/>
        <v>0</v>
      </c>
      <c r="E51" s="112">
        <f t="shared" si="13"/>
        <v>0</v>
      </c>
      <c r="F51" s="71" t="s">
        <v>13</v>
      </c>
    </row>
    <row r="52" spans="1:6" s="69" customFormat="1" ht="39" customHeight="1" x14ac:dyDescent="0.35">
      <c r="A52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2" s="112" t="str">
        <f t="shared" ref="B52:E52" si="14">B28</f>
        <v>test chemical</v>
      </c>
      <c r="C52" s="112">
        <f t="shared" si="14"/>
        <v>0</v>
      </c>
      <c r="D52" s="112">
        <f t="shared" si="14"/>
        <v>0</v>
      </c>
      <c r="E52" s="112">
        <f t="shared" si="14"/>
        <v>0</v>
      </c>
      <c r="F52" s="71" t="s">
        <v>13</v>
      </c>
    </row>
    <row r="53" spans="1:6" s="69" customFormat="1" ht="39" customHeight="1" x14ac:dyDescent="0.35">
      <c r="A53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3" s="112" t="str">
        <f t="shared" ref="B53:E53" si="15">B29</f>
        <v>test chemical</v>
      </c>
      <c r="C53" s="112">
        <f t="shared" si="15"/>
        <v>0</v>
      </c>
      <c r="D53" s="112">
        <f t="shared" si="15"/>
        <v>0</v>
      </c>
      <c r="E53" s="112">
        <f t="shared" si="15"/>
        <v>0</v>
      </c>
      <c r="F53" s="71" t="s">
        <v>13</v>
      </c>
    </row>
    <row r="54" spans="1:6" s="69" customFormat="1" ht="39" customHeight="1" x14ac:dyDescent="0.35">
      <c r="A54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4" s="112" t="str">
        <f t="shared" ref="B54:E54" si="16">B30</f>
        <v>test chemical</v>
      </c>
      <c r="C54" s="112">
        <f t="shared" si="16"/>
        <v>0</v>
      </c>
      <c r="D54" s="112">
        <f t="shared" si="16"/>
        <v>0</v>
      </c>
      <c r="E54" s="112">
        <f t="shared" si="16"/>
        <v>0</v>
      </c>
      <c r="F54" s="71" t="s">
        <v>13</v>
      </c>
    </row>
    <row r="55" spans="1:6" s="69" customFormat="1" ht="39" customHeight="1" x14ac:dyDescent="0.35">
      <c r="A55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5" s="112" t="str">
        <f t="shared" ref="B55:E55" si="17">B31</f>
        <v>test chemical</v>
      </c>
      <c r="C55" s="112">
        <f t="shared" si="17"/>
        <v>0</v>
      </c>
      <c r="D55" s="112">
        <f t="shared" si="17"/>
        <v>0</v>
      </c>
      <c r="E55" s="112">
        <f t="shared" si="17"/>
        <v>0</v>
      </c>
      <c r="F55" s="71" t="s">
        <v>13</v>
      </c>
    </row>
    <row r="56" spans="1:6" s="69" customFormat="1" ht="39" customHeight="1" x14ac:dyDescent="0.35">
      <c r="A56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6" s="112" t="str">
        <f t="shared" ref="B56:E56" si="18">B32</f>
        <v>test chemical</v>
      </c>
      <c r="C56" s="112">
        <f t="shared" si="18"/>
        <v>0</v>
      </c>
      <c r="D56" s="112">
        <f t="shared" si="18"/>
        <v>0</v>
      </c>
      <c r="E56" s="112">
        <f t="shared" si="18"/>
        <v>0</v>
      </c>
      <c r="F56" s="71" t="s">
        <v>13</v>
      </c>
    </row>
    <row r="57" spans="1:6" s="69" customFormat="1" ht="39" customHeight="1" x14ac:dyDescent="0.35">
      <c r="A57" s="62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7" s="111" t="str">
        <f t="shared" ref="B57:E57" si="19">B33</f>
        <v>test chemical</v>
      </c>
      <c r="C57" s="111">
        <f t="shared" si="19"/>
        <v>0</v>
      </c>
      <c r="D57" s="111">
        <f t="shared" si="19"/>
        <v>0</v>
      </c>
      <c r="E57" s="111">
        <f t="shared" si="19"/>
        <v>0</v>
      </c>
      <c r="F57" s="71" t="s">
        <v>13</v>
      </c>
    </row>
  </sheetData>
  <protectedRanges>
    <protectedRange sqref="C19:D37 A15:A51" name="Plage1_1"/>
    <protectedRange sqref="C15:C18" name="Plage1_1_1"/>
  </protectedRanges>
  <mergeCells count="8">
    <mergeCell ref="A5:I5"/>
    <mergeCell ref="A1:I1"/>
    <mergeCell ref="C2:D2"/>
    <mergeCell ref="C3:D3"/>
    <mergeCell ref="C4:D4"/>
    <mergeCell ref="F4:I4"/>
    <mergeCell ref="F3:I3"/>
    <mergeCell ref="F2:I2"/>
  </mergeCells>
  <dataValidations count="1">
    <dataValidation type="custom" allowBlank="1" showInputMessage="1" showErrorMessage="1" sqref="E7:E37" xr:uid="{E0A8F951-ED76-4488-98E3-F13AD7875916}">
      <formula1>ISERROR(SEARCH("-",E7))=TRUE</formula1>
    </dataValidation>
  </dataValidations>
  <pageMargins left="0.7" right="0.7" top="0.75" bottom="0.75" header="0.3" footer="0.3"/>
  <pageSetup paperSize="9" scale="35" orientation="landscape" r:id="rId1"/>
  <headerFooter>
    <oddHeader>&amp;C&amp;"-,Gras"&amp;20Résultats&amp;R&amp;"-,Gras"&amp;20Page : &amp;P/&amp;P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4"/>
  <sheetViews>
    <sheetView showGridLines="0" topLeftCell="A55" zoomScale="85" zoomScaleNormal="85" zoomScaleSheetLayoutView="40" zoomScalePageLayoutView="30" workbookViewId="0">
      <pane xSplit="1" topLeftCell="F1" activePane="topRight" state="frozen"/>
      <selection pane="topRight" activeCell="M70" sqref="I70:M70"/>
    </sheetView>
  </sheetViews>
  <sheetFormatPr baseColWidth="10" defaultColWidth="9.1796875" defaultRowHeight="14.5" x14ac:dyDescent="0.35"/>
  <cols>
    <col min="1" max="1" width="29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8.26953125" bestFit="1" customWidth="1"/>
    <col min="15" max="15" width="14.81640625" customWidth="1"/>
    <col min="16" max="16" width="17.7265625" customWidth="1"/>
    <col min="17" max="18" width="25.81640625" bestFit="1" customWidth="1"/>
    <col min="19" max="22" width="25.81640625" style="1" customWidth="1"/>
  </cols>
  <sheetData>
    <row r="1" spans="1:22" s="1" customFormat="1" ht="26.5" thickBot="1" x14ac:dyDescent="0.65">
      <c r="A1" s="136"/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</row>
    <row r="2" spans="1:22" ht="15" thickBot="1" x14ac:dyDescent="0.4">
      <c r="A2"/>
      <c r="B2"/>
      <c r="C2"/>
      <c r="D2"/>
      <c r="E2"/>
      <c r="F2"/>
      <c r="G2"/>
      <c r="H2"/>
      <c r="I2"/>
      <c r="J2"/>
      <c r="K2"/>
      <c r="L2"/>
      <c r="M2"/>
      <c r="S2"/>
      <c r="T2"/>
      <c r="U2"/>
      <c r="V2"/>
    </row>
    <row r="3" spans="1:22" ht="15" thickBot="1" x14ac:dyDescent="0.4">
      <c r="A3" s="34" t="s">
        <v>5</v>
      </c>
      <c r="B3" s="144" t="s">
        <v>41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O3" s="144" t="s">
        <v>42</v>
      </c>
      <c r="P3" s="145"/>
      <c r="Q3" s="145"/>
      <c r="R3" s="145"/>
      <c r="S3" s="145"/>
      <c r="T3" s="145"/>
      <c r="U3" s="145"/>
      <c r="V3" s="145"/>
    </row>
    <row r="4" spans="1:22" x14ac:dyDescent="0.35">
      <c r="A4" s="18" t="s">
        <v>36</v>
      </c>
      <c r="B4" s="19" t="str">
        <f>'Front page'!A7</f>
        <v>Solvent control</v>
      </c>
      <c r="C4" s="19" t="str">
        <f>'Front page'!A8</f>
        <v>EE2-33.8ng/L</v>
      </c>
      <c r="D4" s="19" t="str">
        <f>'Front page'!A9</f>
        <v>EE2-50.6ng/L</v>
      </c>
      <c r="E4" s="19" t="str">
        <f>'Front page'!A10</f>
        <v>EE2-76ng/L</v>
      </c>
      <c r="F4" s="19" t="str">
        <f>'Front page'!A11</f>
        <v>EE2-114ng/L</v>
      </c>
      <c r="G4" s="19" t="str">
        <f>'Front page'!A12</f>
        <v>EE2-170.9ng/L</v>
      </c>
      <c r="H4" s="19" t="str">
        <f>'Front page'!A13</f>
        <v>EE2-488ng/L</v>
      </c>
      <c r="I4" s="19" t="str">
        <f>'Front page'!A14</f>
        <v>Anastrozole-0,032µg/L</v>
      </c>
      <c r="J4" s="19" t="str">
        <f>'Front page'!A15</f>
        <v>Anastrozole-0,16µg/L</v>
      </c>
      <c r="K4" s="19" t="str">
        <f>'Front page'!A16</f>
        <v>Anastrozole-0,8µg/L</v>
      </c>
      <c r="L4" s="19" t="str">
        <f>'Front page'!A17</f>
        <v>Anastrozole-4µg/L</v>
      </c>
      <c r="M4" s="19" t="str">
        <f>'Front page'!A18</f>
        <v>Anastrozole-20µg/L</v>
      </c>
      <c r="N4" s="3"/>
      <c r="O4" s="20" t="str">
        <f>'Front page'!A35</f>
        <v>Testo -30µg/L</v>
      </c>
      <c r="P4" s="20" t="str">
        <f>'Front page'!A36</f>
        <v>Testo 30µg/L + EE2 -64ng/L</v>
      </c>
      <c r="Q4" s="20" t="str">
        <f>'Front page'!A37</f>
        <v>Testo 30µg/L + FAD-10mg/L</v>
      </c>
      <c r="R4" s="20" t="str">
        <f>'Front page'!A38</f>
        <v>Anastrozole-0,032µg/L + Testostérone</v>
      </c>
      <c r="S4" s="20" t="str">
        <f>'Front page'!A39</f>
        <v>Anastrozole-0,16µg/L + Testostérone</v>
      </c>
      <c r="T4" s="20" t="str">
        <f>'Front page'!A40</f>
        <v>Anastrozole-0,8µg/L + Testostérone</v>
      </c>
      <c r="U4" s="20" t="str">
        <f>'Front page'!A41</f>
        <v>Anastrozole-4µg/L + Testostérone</v>
      </c>
      <c r="V4" s="20" t="str">
        <f>'Front page'!A42</f>
        <v>Anastrozole-20µg/L + Testostérone</v>
      </c>
    </row>
    <row r="5" spans="1:22" x14ac:dyDescent="0.35">
      <c r="A5" s="140" t="s">
        <v>34</v>
      </c>
      <c r="B5" s="1">
        <v>7574</v>
      </c>
      <c r="C5" s="1">
        <v>82</v>
      </c>
      <c r="D5" s="1">
        <v>0</v>
      </c>
      <c r="E5" s="1">
        <v>0</v>
      </c>
      <c r="F5" s="1">
        <v>60330</v>
      </c>
      <c r="G5" s="1">
        <v>145832</v>
      </c>
      <c r="H5" s="1">
        <v>282472</v>
      </c>
      <c r="I5" s="16">
        <v>44096</v>
      </c>
      <c r="J5" s="16">
        <v>28475</v>
      </c>
      <c r="K5" s="12">
        <v>31974</v>
      </c>
      <c r="L5" s="12">
        <v>16918</v>
      </c>
      <c r="M5" s="12">
        <v>13807</v>
      </c>
      <c r="N5" s="3"/>
      <c r="O5" s="16">
        <v>172281</v>
      </c>
      <c r="P5" s="1">
        <v>198002</v>
      </c>
      <c r="Q5" s="12">
        <v>27119</v>
      </c>
      <c r="R5" s="16">
        <v>260232</v>
      </c>
      <c r="S5" s="16">
        <v>186904</v>
      </c>
      <c r="T5" s="16">
        <v>51717</v>
      </c>
      <c r="U5" s="16">
        <v>406</v>
      </c>
      <c r="V5" s="16">
        <v>15531</v>
      </c>
    </row>
    <row r="6" spans="1:22" x14ac:dyDescent="0.35">
      <c r="A6" s="141"/>
      <c r="B6" s="1">
        <v>11751</v>
      </c>
      <c r="C6" s="1">
        <v>655</v>
      </c>
      <c r="D6" s="1">
        <v>0</v>
      </c>
      <c r="E6" s="1">
        <v>1335</v>
      </c>
      <c r="F6" s="1">
        <v>100992</v>
      </c>
      <c r="G6" s="1">
        <v>154554</v>
      </c>
      <c r="H6" s="1">
        <v>355490</v>
      </c>
      <c r="I6" s="16">
        <v>17930</v>
      </c>
      <c r="J6" s="16">
        <v>3936</v>
      </c>
      <c r="K6" s="12">
        <v>5164</v>
      </c>
      <c r="L6" s="12">
        <v>19813</v>
      </c>
      <c r="M6" s="12">
        <v>15790</v>
      </c>
      <c r="N6" s="3"/>
      <c r="O6" s="16">
        <v>128040</v>
      </c>
      <c r="P6" s="1">
        <v>323262</v>
      </c>
      <c r="Q6" s="12">
        <v>3872</v>
      </c>
      <c r="R6" s="16">
        <v>254043</v>
      </c>
      <c r="S6" s="16">
        <v>221737</v>
      </c>
      <c r="T6" s="16">
        <v>59531</v>
      </c>
      <c r="U6" s="16">
        <v>20988</v>
      </c>
      <c r="V6" s="16">
        <v>496</v>
      </c>
    </row>
    <row r="7" spans="1:22" x14ac:dyDescent="0.35">
      <c r="A7" s="141"/>
      <c r="B7" s="1">
        <v>162</v>
      </c>
      <c r="C7" s="1">
        <v>23174</v>
      </c>
      <c r="D7" s="1">
        <v>1389</v>
      </c>
      <c r="E7" s="1">
        <v>2316</v>
      </c>
      <c r="F7" s="1">
        <v>84855</v>
      </c>
      <c r="G7" s="1">
        <v>317638</v>
      </c>
      <c r="H7" s="1">
        <v>332296</v>
      </c>
      <c r="I7" s="16">
        <v>20870</v>
      </c>
      <c r="J7" s="16">
        <v>12347</v>
      </c>
      <c r="K7" s="12">
        <v>27815</v>
      </c>
      <c r="L7" s="12">
        <v>9764</v>
      </c>
      <c r="M7" s="12">
        <v>324</v>
      </c>
      <c r="N7" s="3"/>
      <c r="O7" s="16">
        <v>199921</v>
      </c>
      <c r="P7" s="1">
        <v>284172</v>
      </c>
      <c r="Q7" s="12">
        <v>29937</v>
      </c>
      <c r="R7" s="16">
        <v>183759</v>
      </c>
      <c r="S7" s="16">
        <v>219538</v>
      </c>
      <c r="T7" s="16">
        <v>31368</v>
      </c>
      <c r="U7" s="16">
        <v>1945</v>
      </c>
      <c r="V7" s="16">
        <v>22580</v>
      </c>
    </row>
    <row r="8" spans="1:22" x14ac:dyDescent="0.35">
      <c r="A8" s="141"/>
      <c r="B8" s="1">
        <v>580</v>
      </c>
      <c r="C8" s="1">
        <v>3501</v>
      </c>
      <c r="D8" s="1">
        <v>0</v>
      </c>
      <c r="E8" s="1">
        <v>12172</v>
      </c>
      <c r="F8" s="1">
        <v>68163</v>
      </c>
      <c r="G8" s="1">
        <v>0</v>
      </c>
      <c r="H8" s="1">
        <v>267879</v>
      </c>
      <c r="I8" s="16">
        <v>16849</v>
      </c>
      <c r="J8" s="16">
        <v>14571</v>
      </c>
      <c r="K8" s="12">
        <v>9157</v>
      </c>
      <c r="L8" s="12">
        <v>14578</v>
      </c>
      <c r="M8" s="12">
        <v>9470</v>
      </c>
      <c r="N8" s="3"/>
      <c r="O8" s="16">
        <v>299017</v>
      </c>
      <c r="P8" s="1">
        <v>220277</v>
      </c>
      <c r="Q8" s="12">
        <v>11648</v>
      </c>
      <c r="R8" s="16">
        <v>417453</v>
      </c>
      <c r="S8" s="16">
        <v>283027</v>
      </c>
      <c r="T8" s="16">
        <v>80</v>
      </c>
      <c r="U8" s="16">
        <v>0</v>
      </c>
      <c r="V8" s="16">
        <v>0</v>
      </c>
    </row>
    <row r="9" spans="1:22" x14ac:dyDescent="0.35">
      <c r="A9" s="141"/>
      <c r="B9" s="1">
        <v>0</v>
      </c>
      <c r="C9" s="1">
        <v>14657</v>
      </c>
      <c r="D9" s="1">
        <v>323</v>
      </c>
      <c r="E9" s="1">
        <v>0</v>
      </c>
      <c r="F9" s="1">
        <v>9320</v>
      </c>
      <c r="G9" s="1">
        <v>166263</v>
      </c>
      <c r="H9" s="1">
        <v>222123</v>
      </c>
      <c r="I9" s="16">
        <v>162</v>
      </c>
      <c r="J9" s="16">
        <v>20606</v>
      </c>
      <c r="K9" s="12">
        <v>165</v>
      </c>
      <c r="L9" s="12">
        <v>5177</v>
      </c>
      <c r="M9" s="12">
        <v>83</v>
      </c>
      <c r="N9" s="3"/>
      <c r="O9" s="16">
        <v>293168</v>
      </c>
      <c r="P9" s="1">
        <v>227768</v>
      </c>
      <c r="Q9" s="12">
        <v>0</v>
      </c>
      <c r="R9" s="16">
        <v>266081</v>
      </c>
      <c r="S9" s="16">
        <v>271118</v>
      </c>
      <c r="T9" s="16">
        <v>8241</v>
      </c>
      <c r="U9" s="16">
        <v>47323</v>
      </c>
      <c r="V9" s="16">
        <v>0</v>
      </c>
    </row>
    <row r="10" spans="1:22" x14ac:dyDescent="0.35">
      <c r="A10" s="141"/>
      <c r="B10" s="1">
        <v>0</v>
      </c>
      <c r="C10" s="1">
        <v>8073</v>
      </c>
      <c r="D10" s="1">
        <v>0</v>
      </c>
      <c r="E10" s="1">
        <v>10502</v>
      </c>
      <c r="F10" s="1">
        <v>2124</v>
      </c>
      <c r="G10" s="1">
        <v>189187</v>
      </c>
      <c r="H10" s="1">
        <v>271945</v>
      </c>
      <c r="I10" s="16">
        <v>6282</v>
      </c>
      <c r="J10" s="16">
        <v>18128</v>
      </c>
      <c r="K10" s="12">
        <v>16715</v>
      </c>
      <c r="L10" s="12">
        <v>6744</v>
      </c>
      <c r="M10" s="12">
        <v>5957</v>
      </c>
      <c r="N10" s="3"/>
      <c r="O10" s="16">
        <v>263047</v>
      </c>
      <c r="P10" s="1">
        <v>310299</v>
      </c>
      <c r="Q10" s="12">
        <v>653</v>
      </c>
      <c r="R10" s="16">
        <v>267050</v>
      </c>
      <c r="S10" s="16">
        <v>291428</v>
      </c>
      <c r="T10" s="16">
        <v>135992</v>
      </c>
      <c r="U10" s="16">
        <v>1644</v>
      </c>
      <c r="V10" s="16">
        <v>19275</v>
      </c>
    </row>
    <row r="11" spans="1:22" x14ac:dyDescent="0.35">
      <c r="A11" s="141"/>
      <c r="B11" s="1">
        <v>0</v>
      </c>
      <c r="C11" s="1">
        <v>25630</v>
      </c>
      <c r="D11" s="1">
        <v>2305</v>
      </c>
      <c r="E11" s="1">
        <v>0</v>
      </c>
      <c r="F11" s="1">
        <v>57863</v>
      </c>
      <c r="G11" s="1">
        <v>193517</v>
      </c>
      <c r="H11" s="1">
        <v>273730</v>
      </c>
      <c r="I11" s="16">
        <v>687</v>
      </c>
      <c r="J11" s="16">
        <v>1097</v>
      </c>
      <c r="K11" s="12">
        <v>595</v>
      </c>
      <c r="L11" s="12">
        <v>28731</v>
      </c>
      <c r="M11" s="12">
        <v>10564</v>
      </c>
      <c r="N11" s="3"/>
      <c r="O11" s="16">
        <v>240050</v>
      </c>
      <c r="P11" s="1">
        <v>343734</v>
      </c>
      <c r="Q11" s="12">
        <v>12802</v>
      </c>
      <c r="R11" s="16">
        <v>160912</v>
      </c>
      <c r="S11" s="16">
        <v>356810</v>
      </c>
      <c r="T11" s="16">
        <v>90803</v>
      </c>
      <c r="U11" s="16">
        <v>19617</v>
      </c>
      <c r="V11" s="16">
        <v>17128</v>
      </c>
    </row>
    <row r="12" spans="1:22" x14ac:dyDescent="0.35">
      <c r="A12" s="141"/>
      <c r="B12" s="1">
        <v>15089</v>
      </c>
      <c r="C12" s="1">
        <v>5564</v>
      </c>
      <c r="D12" s="1">
        <v>0</v>
      </c>
      <c r="E12" s="1">
        <v>8937</v>
      </c>
      <c r="F12" s="1">
        <v>246728</v>
      </c>
      <c r="G12" s="1">
        <v>191812</v>
      </c>
      <c r="H12" s="1">
        <v>333391</v>
      </c>
      <c r="I12" s="16">
        <v>7078</v>
      </c>
      <c r="J12" s="16">
        <v>1139</v>
      </c>
      <c r="K12" s="12">
        <v>10205</v>
      </c>
      <c r="L12" s="12">
        <v>24216</v>
      </c>
      <c r="M12" s="12">
        <v>12018</v>
      </c>
      <c r="N12" s="3"/>
      <c r="O12" s="16">
        <v>214068</v>
      </c>
      <c r="P12" s="1">
        <v>361870</v>
      </c>
      <c r="Q12" s="12">
        <v>12855</v>
      </c>
      <c r="R12" s="16">
        <v>199490</v>
      </c>
      <c r="S12" s="16">
        <v>175399</v>
      </c>
      <c r="T12" s="16">
        <v>2864</v>
      </c>
      <c r="U12" s="16">
        <v>1643</v>
      </c>
      <c r="V12" s="16">
        <v>19543</v>
      </c>
    </row>
    <row r="13" spans="1:22" ht="16.5" x14ac:dyDescent="0.35">
      <c r="A13" s="141"/>
      <c r="B13" s="13"/>
      <c r="C13" s="12"/>
      <c r="D13" s="15"/>
      <c r="E13" s="15"/>
      <c r="F13" s="15"/>
      <c r="G13" s="15"/>
      <c r="H13" s="15"/>
      <c r="I13" s="16"/>
      <c r="J13" s="15"/>
      <c r="K13" s="12"/>
      <c r="L13" s="12"/>
      <c r="M13" s="12"/>
      <c r="N13" s="3"/>
      <c r="O13" s="16">
        <v>237103</v>
      </c>
      <c r="P13" s="12"/>
      <c r="Q13" s="12"/>
      <c r="R13" s="16"/>
      <c r="S13" s="16"/>
      <c r="T13" s="16"/>
      <c r="U13" s="16"/>
      <c r="V13" s="16"/>
    </row>
    <row r="14" spans="1:22" ht="16.5" x14ac:dyDescent="0.35">
      <c r="A14" s="141"/>
      <c r="B14" s="13"/>
      <c r="C14" s="15"/>
      <c r="D14" s="15"/>
      <c r="E14" s="15"/>
      <c r="F14" s="15"/>
      <c r="G14" s="15"/>
      <c r="H14" s="15"/>
      <c r="I14" s="16"/>
      <c r="J14" s="15"/>
      <c r="K14" s="12"/>
      <c r="L14" s="12"/>
      <c r="M14" s="12"/>
      <c r="N14" s="3"/>
      <c r="O14" s="16">
        <v>172986</v>
      </c>
      <c r="P14" s="12"/>
      <c r="Q14" s="12"/>
      <c r="R14" s="16"/>
      <c r="S14" s="16"/>
      <c r="T14" s="16"/>
      <c r="U14" s="16"/>
      <c r="V14" s="16"/>
    </row>
    <row r="15" spans="1:22" ht="16.5" x14ac:dyDescent="0.35">
      <c r="A15" s="141"/>
      <c r="B15" s="13"/>
      <c r="C15" s="15"/>
      <c r="D15" s="15"/>
      <c r="E15" s="15"/>
      <c r="F15" s="15"/>
      <c r="G15" s="15"/>
      <c r="H15" s="15"/>
      <c r="I15" s="16"/>
      <c r="J15" s="15"/>
      <c r="K15" s="12"/>
      <c r="L15" s="12"/>
      <c r="M15" s="12"/>
      <c r="N15" s="3"/>
      <c r="O15" s="16">
        <v>159684</v>
      </c>
      <c r="P15" s="12"/>
      <c r="Q15" s="12"/>
      <c r="R15" s="16"/>
      <c r="S15" s="16"/>
      <c r="T15" s="16"/>
      <c r="U15" s="16"/>
      <c r="V15" s="16"/>
    </row>
    <row r="16" spans="1:22" ht="16.5" x14ac:dyDescent="0.35">
      <c r="A16" s="141"/>
      <c r="B16" s="13"/>
      <c r="C16" s="15"/>
      <c r="D16" s="15"/>
      <c r="E16" s="15"/>
      <c r="F16" s="15"/>
      <c r="G16" s="15"/>
      <c r="H16" s="15"/>
      <c r="I16" s="16"/>
      <c r="J16" s="15"/>
      <c r="K16" s="12"/>
      <c r="L16" s="12"/>
      <c r="M16" s="12"/>
      <c r="N16" s="3"/>
      <c r="O16" s="16">
        <v>165832</v>
      </c>
      <c r="P16" s="12"/>
      <c r="Q16" s="12"/>
      <c r="R16" s="16"/>
      <c r="S16" s="16"/>
      <c r="T16" s="16"/>
      <c r="U16" s="16"/>
      <c r="V16" s="16"/>
    </row>
    <row r="17" spans="1:22" s="1" customFormat="1" ht="16.5" x14ac:dyDescent="0.35">
      <c r="A17" s="141"/>
      <c r="B17" s="13"/>
      <c r="C17" s="16"/>
      <c r="D17" s="16"/>
      <c r="E17" s="16"/>
      <c r="F17" s="16"/>
      <c r="G17" s="16"/>
      <c r="H17" s="16"/>
      <c r="I17" s="16"/>
      <c r="J17" s="16"/>
      <c r="K17" s="12"/>
      <c r="L17" s="12"/>
      <c r="M17" s="12"/>
      <c r="N17" s="3"/>
      <c r="O17" s="16">
        <v>275246</v>
      </c>
      <c r="P17" s="12"/>
      <c r="Q17" s="12"/>
      <c r="R17" s="16"/>
      <c r="S17" s="16"/>
      <c r="T17" s="16"/>
      <c r="U17" s="16"/>
      <c r="V17" s="16"/>
    </row>
    <row r="18" spans="1:22" s="1" customFormat="1" ht="16.5" x14ac:dyDescent="0.35">
      <c r="A18" s="141"/>
      <c r="B18" s="13"/>
      <c r="C18" s="16"/>
      <c r="D18" s="16"/>
      <c r="E18" s="16"/>
      <c r="F18" s="16"/>
      <c r="G18" s="16"/>
      <c r="H18" s="16"/>
      <c r="I18" s="16"/>
      <c r="J18" s="16"/>
      <c r="K18" s="12"/>
      <c r="L18" s="12"/>
      <c r="M18" s="12"/>
      <c r="N18" s="3"/>
      <c r="O18" s="16">
        <v>97199</v>
      </c>
      <c r="P18" s="12"/>
      <c r="Q18" s="12"/>
      <c r="R18" s="16"/>
      <c r="S18" s="16"/>
      <c r="T18" s="16"/>
      <c r="U18" s="16"/>
      <c r="V18" s="16"/>
    </row>
    <row r="19" spans="1:22" s="1" customFormat="1" ht="16.5" x14ac:dyDescent="0.35">
      <c r="A19" s="141"/>
      <c r="B19" s="13"/>
      <c r="C19" s="16"/>
      <c r="D19" s="16"/>
      <c r="E19" s="16"/>
      <c r="F19" s="16"/>
      <c r="G19" s="16"/>
      <c r="H19" s="16"/>
      <c r="I19" s="16"/>
      <c r="J19" s="16"/>
      <c r="K19" s="12"/>
      <c r="L19" s="12"/>
      <c r="M19" s="12"/>
      <c r="N19" s="3"/>
      <c r="O19" s="16">
        <v>245544</v>
      </c>
      <c r="P19" s="12"/>
      <c r="Q19" s="12"/>
      <c r="R19" s="16"/>
      <c r="S19" s="16"/>
      <c r="T19" s="16"/>
      <c r="U19" s="16"/>
      <c r="V19" s="16"/>
    </row>
    <row r="20" spans="1:22" ht="16.5" x14ac:dyDescent="0.35">
      <c r="A20" s="141"/>
      <c r="B20" s="13"/>
      <c r="C20" s="15"/>
      <c r="D20" s="15"/>
      <c r="E20" s="15"/>
      <c r="F20" s="15"/>
      <c r="G20" s="15"/>
      <c r="H20" s="15"/>
      <c r="I20" s="16"/>
      <c r="J20" s="15"/>
      <c r="K20" s="12"/>
      <c r="L20" s="12"/>
      <c r="M20" s="12"/>
      <c r="N20" s="3"/>
      <c r="O20" s="16">
        <v>275586</v>
      </c>
      <c r="P20" s="12"/>
      <c r="Q20" s="12"/>
      <c r="R20" s="16"/>
      <c r="S20" s="16"/>
      <c r="T20" s="16"/>
      <c r="U20" s="16"/>
      <c r="V20" s="16"/>
    </row>
    <row r="21" spans="1:22" s="1" customFormat="1" ht="16.5" x14ac:dyDescent="0.35">
      <c r="A21" s="48"/>
      <c r="B21" s="49"/>
      <c r="C21" s="6"/>
      <c r="D21" s="6"/>
      <c r="E21" s="6"/>
      <c r="F21" s="6"/>
      <c r="G21" s="6"/>
      <c r="H21" s="6"/>
      <c r="I21" s="6"/>
      <c r="J21" s="6"/>
      <c r="K21" s="17"/>
      <c r="L21" s="17"/>
      <c r="M21" s="17"/>
      <c r="N21" s="3"/>
      <c r="O21" s="6"/>
      <c r="P21" s="17"/>
      <c r="Q21" s="17"/>
      <c r="R21" s="6"/>
      <c r="S21" s="6"/>
      <c r="T21" s="6"/>
      <c r="U21" s="6"/>
      <c r="V21" s="6"/>
    </row>
    <row r="22" spans="1:22" s="51" customFormat="1" x14ac:dyDescent="0.35">
      <c r="A22" s="50" t="str">
        <f t="shared" ref="A22:M22" si="0">A4</f>
        <v>Group names</v>
      </c>
      <c r="B22" s="50" t="str">
        <f t="shared" si="0"/>
        <v>Solvent control</v>
      </c>
      <c r="C22" s="50" t="str">
        <f t="shared" si="0"/>
        <v>EE2-33.8ng/L</v>
      </c>
      <c r="D22" s="50" t="str">
        <f t="shared" si="0"/>
        <v>EE2-50.6ng/L</v>
      </c>
      <c r="E22" s="50" t="str">
        <f t="shared" si="0"/>
        <v>EE2-76ng/L</v>
      </c>
      <c r="F22" s="50" t="str">
        <f t="shared" si="0"/>
        <v>EE2-114ng/L</v>
      </c>
      <c r="G22" s="50" t="str">
        <f t="shared" si="0"/>
        <v>EE2-170.9ng/L</v>
      </c>
      <c r="H22" s="50" t="str">
        <f t="shared" si="0"/>
        <v>EE2-488ng/L</v>
      </c>
      <c r="I22" s="50" t="str">
        <f t="shared" si="0"/>
        <v>Anastrozole-0,032µg/L</v>
      </c>
      <c r="J22" s="50" t="str">
        <f t="shared" si="0"/>
        <v>Anastrozole-0,16µg/L</v>
      </c>
      <c r="K22" s="50" t="str">
        <f t="shared" si="0"/>
        <v>Anastrozole-0,8µg/L</v>
      </c>
      <c r="L22" s="50" t="str">
        <f t="shared" si="0"/>
        <v>Anastrozole-4µg/L</v>
      </c>
      <c r="M22" s="50" t="str">
        <f t="shared" si="0"/>
        <v>Anastrozole-20µg/L</v>
      </c>
      <c r="N22" s="50" t="s">
        <v>12</v>
      </c>
      <c r="O22" s="50" t="str">
        <f t="shared" ref="O22:V22" si="1">O4</f>
        <v>Testo -30µg/L</v>
      </c>
      <c r="P22" s="50" t="str">
        <f t="shared" si="1"/>
        <v>Testo 30µg/L + EE2 -64ng/L</v>
      </c>
      <c r="Q22" s="50" t="str">
        <f t="shared" si="1"/>
        <v>Testo 30µg/L + FAD-10mg/L</v>
      </c>
      <c r="R22" s="50" t="str">
        <f t="shared" si="1"/>
        <v>Anastrozole-0,032µg/L + Testostérone</v>
      </c>
      <c r="S22" s="50" t="str">
        <f t="shared" si="1"/>
        <v>Anastrozole-0,16µg/L + Testostérone</v>
      </c>
      <c r="T22" s="50" t="str">
        <f t="shared" si="1"/>
        <v>Anastrozole-0,8µg/L + Testostérone</v>
      </c>
      <c r="U22" s="50" t="str">
        <f t="shared" si="1"/>
        <v>Anastrozole-4µg/L + Testostérone</v>
      </c>
      <c r="V22" s="50" t="str">
        <f t="shared" si="1"/>
        <v>Anastrozole-20µg/L + Testostérone</v>
      </c>
    </row>
    <row r="23" spans="1:22" x14ac:dyDescent="0.35">
      <c r="A23" s="4" t="s">
        <v>0</v>
      </c>
      <c r="B23" s="4">
        <f t="shared" ref="B23:M23" si="2">AVERAGE(B5:B20)</f>
        <v>4394.5</v>
      </c>
      <c r="C23" s="4">
        <f t="shared" si="2"/>
        <v>10167</v>
      </c>
      <c r="D23" s="4">
        <f t="shared" si="2"/>
        <v>502.125</v>
      </c>
      <c r="E23" s="4">
        <f t="shared" si="2"/>
        <v>4407.75</v>
      </c>
      <c r="F23" s="4">
        <f t="shared" si="2"/>
        <v>78796.875</v>
      </c>
      <c r="G23" s="4">
        <f t="shared" si="2"/>
        <v>169850.375</v>
      </c>
      <c r="H23" s="4">
        <f t="shared" si="2"/>
        <v>292415.75</v>
      </c>
      <c r="I23" s="4">
        <f t="shared" si="2"/>
        <v>14244.25</v>
      </c>
      <c r="J23" s="4">
        <f t="shared" si="2"/>
        <v>12537.375</v>
      </c>
      <c r="K23" s="4">
        <f t="shared" si="2"/>
        <v>12723.75</v>
      </c>
      <c r="L23" s="4">
        <f t="shared" si="2"/>
        <v>15742.625</v>
      </c>
      <c r="M23" s="4">
        <f t="shared" si="2"/>
        <v>8501.625</v>
      </c>
      <c r="N23" s="4" t="s">
        <v>0</v>
      </c>
      <c r="O23" s="4">
        <f t="shared" ref="O23:V23" si="3">AVERAGE(O5:O20)</f>
        <v>214923.25</v>
      </c>
      <c r="P23" s="4">
        <f t="shared" si="3"/>
        <v>283673</v>
      </c>
      <c r="Q23" s="4">
        <f t="shared" si="3"/>
        <v>12360.75</v>
      </c>
      <c r="R23" s="4">
        <f t="shared" si="3"/>
        <v>251127.5</v>
      </c>
      <c r="S23" s="4">
        <f t="shared" si="3"/>
        <v>250745.125</v>
      </c>
      <c r="T23" s="4">
        <f t="shared" si="3"/>
        <v>47574.5</v>
      </c>
      <c r="U23" s="4">
        <f t="shared" si="3"/>
        <v>11695.75</v>
      </c>
      <c r="V23" s="4">
        <f t="shared" si="3"/>
        <v>11819.125</v>
      </c>
    </row>
    <row r="24" spans="1:22" x14ac:dyDescent="0.35">
      <c r="A24" s="3" t="s">
        <v>1</v>
      </c>
      <c r="B24" s="3">
        <f t="shared" ref="B24:M24" si="4">STDEV(B5:B20)</f>
        <v>6199.0667500381514</v>
      </c>
      <c r="C24" s="3">
        <f t="shared" si="4"/>
        <v>9932.9170510408039</v>
      </c>
      <c r="D24" s="3">
        <f t="shared" si="4"/>
        <v>872.56918473142127</v>
      </c>
      <c r="E24" s="3">
        <f t="shared" si="4"/>
        <v>5210.4230360197926</v>
      </c>
      <c r="F24" s="3">
        <f t="shared" si="4"/>
        <v>75902.460913309187</v>
      </c>
      <c r="G24" s="3">
        <f t="shared" si="4"/>
        <v>86956.795391960521</v>
      </c>
      <c r="H24" s="3">
        <f t="shared" si="4"/>
        <v>44171.704406942299</v>
      </c>
      <c r="I24" s="3">
        <f t="shared" si="4"/>
        <v>14403.662101305052</v>
      </c>
      <c r="J24" s="3">
        <f t="shared" si="4"/>
        <v>9923.4667464478935</v>
      </c>
      <c r="K24" s="3">
        <f t="shared" si="4"/>
        <v>11924.119814776388</v>
      </c>
      <c r="L24" s="3">
        <f t="shared" si="4"/>
        <v>8350.8204889870376</v>
      </c>
      <c r="M24" s="3">
        <f t="shared" si="4"/>
        <v>5892.4329425240694</v>
      </c>
      <c r="N24" s="3" t="s">
        <v>1</v>
      </c>
      <c r="O24" s="3">
        <f t="shared" ref="O24:V24" si="5">STDEV(O5:O20)</f>
        <v>60861.340073427018</v>
      </c>
      <c r="P24" s="3">
        <f t="shared" si="5"/>
        <v>61507.86060101819</v>
      </c>
      <c r="Q24" s="3">
        <f t="shared" si="5"/>
        <v>11273.20420605555</v>
      </c>
      <c r="R24" s="3">
        <f t="shared" si="5"/>
        <v>78900.00888828485</v>
      </c>
      <c r="S24" s="3">
        <f t="shared" si="5"/>
        <v>60862.97405633529</v>
      </c>
      <c r="T24" s="3">
        <f t="shared" si="5"/>
        <v>47676.00013483873</v>
      </c>
      <c r="U24" s="3">
        <f t="shared" si="5"/>
        <v>16817.570163798508</v>
      </c>
      <c r="V24" s="3">
        <f t="shared" si="5"/>
        <v>9860.4803481589352</v>
      </c>
    </row>
    <row r="25" spans="1:22" ht="15" thickBot="1" x14ac:dyDescent="0.4"/>
    <row r="26" spans="1:22" ht="15" thickBot="1" x14ac:dyDescent="0.4">
      <c r="B26" s="144" t="s">
        <v>41</v>
      </c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"/>
      <c r="O26" s="144" t="s">
        <v>42</v>
      </c>
      <c r="P26" s="145"/>
      <c r="Q26" s="145"/>
      <c r="R26" s="145"/>
      <c r="S26" s="145"/>
      <c r="T26" s="145"/>
      <c r="U26" s="145"/>
      <c r="V26" s="145"/>
    </row>
    <row r="27" spans="1:22" s="1" customFormat="1" x14ac:dyDescent="0.35">
      <c r="A27" s="18" t="str">
        <f>A4</f>
        <v>Group names</v>
      </c>
      <c r="B27" s="19" t="str">
        <f t="shared" ref="B27:M27" si="6">B4</f>
        <v>Solvent control</v>
      </c>
      <c r="C27" s="19" t="str">
        <f t="shared" si="6"/>
        <v>EE2-33.8ng/L</v>
      </c>
      <c r="D27" s="19" t="str">
        <f t="shared" si="6"/>
        <v>EE2-50.6ng/L</v>
      </c>
      <c r="E27" s="19" t="str">
        <f t="shared" si="6"/>
        <v>EE2-76ng/L</v>
      </c>
      <c r="F27" s="19" t="str">
        <f t="shared" si="6"/>
        <v>EE2-114ng/L</v>
      </c>
      <c r="G27" s="19" t="str">
        <f t="shared" si="6"/>
        <v>EE2-170.9ng/L</v>
      </c>
      <c r="H27" s="19" t="str">
        <f t="shared" si="6"/>
        <v>EE2-488ng/L</v>
      </c>
      <c r="I27" s="19" t="str">
        <f t="shared" si="6"/>
        <v>Anastrozole-0,032µg/L</v>
      </c>
      <c r="J27" s="19" t="str">
        <f t="shared" si="6"/>
        <v>Anastrozole-0,16µg/L</v>
      </c>
      <c r="K27" s="19" t="str">
        <f t="shared" si="6"/>
        <v>Anastrozole-0,8µg/L</v>
      </c>
      <c r="L27" s="19" t="str">
        <f t="shared" si="6"/>
        <v>Anastrozole-4µg/L</v>
      </c>
      <c r="M27" s="19" t="str">
        <f t="shared" si="6"/>
        <v>Anastrozole-20µg/L</v>
      </c>
      <c r="N27" s="3"/>
      <c r="O27" s="20" t="str">
        <f t="shared" ref="O27:V27" si="7">O4</f>
        <v>Testo -30µg/L</v>
      </c>
      <c r="P27" s="20" t="str">
        <f t="shared" si="7"/>
        <v>Testo 30µg/L + EE2 -64ng/L</v>
      </c>
      <c r="Q27" s="20" t="str">
        <f t="shared" si="7"/>
        <v>Testo 30µg/L + FAD-10mg/L</v>
      </c>
      <c r="R27" s="20" t="str">
        <f t="shared" si="7"/>
        <v>Anastrozole-0,032µg/L + Testostérone</v>
      </c>
      <c r="S27" s="20" t="str">
        <f t="shared" si="7"/>
        <v>Anastrozole-0,16µg/L + Testostérone</v>
      </c>
      <c r="T27" s="20" t="str">
        <f t="shared" si="7"/>
        <v>Anastrozole-0,8µg/L + Testostérone</v>
      </c>
      <c r="U27" s="20" t="str">
        <f t="shared" si="7"/>
        <v>Anastrozole-4µg/L + Testostérone</v>
      </c>
      <c r="V27" s="20" t="str">
        <f t="shared" si="7"/>
        <v>Anastrozole-20µg/L + Testostérone</v>
      </c>
    </row>
    <row r="28" spans="1:22" x14ac:dyDescent="0.35">
      <c r="A28" s="142" t="s">
        <v>35</v>
      </c>
      <c r="B28" s="10">
        <f t="shared" ref="B28:M28" si="8">IF(B5="","",(B5/$O$23))</f>
        <v>3.5240487011060924E-2</v>
      </c>
      <c r="C28" s="10">
        <f t="shared" si="8"/>
        <v>3.8153154672656404E-4</v>
      </c>
      <c r="D28" s="10">
        <f t="shared" si="8"/>
        <v>0</v>
      </c>
      <c r="E28" s="10">
        <f t="shared" si="8"/>
        <v>0</v>
      </c>
      <c r="F28" s="10">
        <f t="shared" si="8"/>
        <v>0.28070485626845865</v>
      </c>
      <c r="G28" s="10">
        <f t="shared" si="8"/>
        <v>0.67853059173449126</v>
      </c>
      <c r="H28" s="10">
        <f t="shared" si="8"/>
        <v>1.3142924276456829</v>
      </c>
      <c r="I28" s="10">
        <f t="shared" si="8"/>
        <v>0.20517091566408008</v>
      </c>
      <c r="J28" s="10">
        <f t="shared" si="8"/>
        <v>0.13248915601266964</v>
      </c>
      <c r="K28" s="10">
        <f t="shared" si="8"/>
        <v>0.14876938628091657</v>
      </c>
      <c r="L28" s="10">
        <f t="shared" si="8"/>
        <v>7.8716472042926949E-2</v>
      </c>
      <c r="M28" s="10">
        <f t="shared" si="8"/>
        <v>6.4241537386020356E-2</v>
      </c>
      <c r="N28" s="5"/>
      <c r="O28" s="10">
        <f t="shared" ref="O28:V37" si="9">IF(O5="","",(O5/$O$23))</f>
        <v>0.80159312684877049</v>
      </c>
      <c r="P28" s="10">
        <f t="shared" si="9"/>
        <v>0.92126840627991624</v>
      </c>
      <c r="Q28" s="10">
        <f t="shared" si="9"/>
        <v>0.12617992702045963</v>
      </c>
      <c r="R28" s="10">
        <f t="shared" si="9"/>
        <v>1.2108136276554538</v>
      </c>
      <c r="S28" s="10">
        <f t="shared" si="9"/>
        <v>0.86963136840709421</v>
      </c>
      <c r="T28" s="10">
        <f t="shared" si="9"/>
        <v>0.24063008539094771</v>
      </c>
      <c r="U28" s="10">
        <f t="shared" si="9"/>
        <v>1.8890464386705486E-3</v>
      </c>
      <c r="V28" s="10">
        <f t="shared" si="9"/>
        <v>7.2263005514759338E-2</v>
      </c>
    </row>
    <row r="29" spans="1:22" x14ac:dyDescent="0.35">
      <c r="A29" s="143"/>
      <c r="B29" s="10">
        <f t="shared" ref="B29:M29" si="10">IF(B6="","",(B6/$O$23))</f>
        <v>5.4675331775412853E-2</v>
      </c>
      <c r="C29" s="10">
        <f t="shared" si="10"/>
        <v>3.0475995500719444E-3</v>
      </c>
      <c r="D29" s="10">
        <f t="shared" si="10"/>
        <v>0</v>
      </c>
      <c r="E29" s="10">
        <f t="shared" si="10"/>
        <v>6.2115196936580845E-3</v>
      </c>
      <c r="F29" s="10">
        <f t="shared" si="10"/>
        <v>0.46989797520742871</v>
      </c>
      <c r="G29" s="10">
        <f t="shared" si="10"/>
        <v>0.71911252039972406</v>
      </c>
      <c r="H29" s="10">
        <f t="shared" si="10"/>
        <v>1.6540323115344664</v>
      </c>
      <c r="I29" s="10">
        <f t="shared" si="10"/>
        <v>8.3425129668381615E-2</v>
      </c>
      <c r="J29" s="10">
        <f t="shared" si="10"/>
        <v>1.8313514242875074E-2</v>
      </c>
      <c r="K29" s="10">
        <f t="shared" si="10"/>
        <v>2.4027181796292398E-2</v>
      </c>
      <c r="L29" s="10">
        <f t="shared" si="10"/>
        <v>9.218639677187089E-2</v>
      </c>
      <c r="M29" s="10">
        <f t="shared" si="10"/>
        <v>7.3468086863566415E-2</v>
      </c>
      <c r="N29" s="5"/>
      <c r="O29" s="10">
        <f t="shared" si="9"/>
        <v>0.59574755174230798</v>
      </c>
      <c r="P29" s="10">
        <f t="shared" si="9"/>
        <v>1.5040811080234455</v>
      </c>
      <c r="Q29" s="10">
        <f t="shared" si="9"/>
        <v>1.8015733523478732E-2</v>
      </c>
      <c r="R29" s="10">
        <f t="shared" si="9"/>
        <v>1.1820173015250792</v>
      </c>
      <c r="S29" s="10">
        <f t="shared" si="9"/>
        <v>1.0317031777622943</v>
      </c>
      <c r="T29" s="10">
        <f t="shared" si="9"/>
        <v>0.2769872500997449</v>
      </c>
      <c r="U29" s="10">
        <f t="shared" si="9"/>
        <v>9.7653464667038115E-2</v>
      </c>
      <c r="V29" s="10">
        <f t="shared" si="9"/>
        <v>2.3078005753216554E-3</v>
      </c>
    </row>
    <row r="30" spans="1:22" x14ac:dyDescent="0.35">
      <c r="A30" s="143"/>
      <c r="B30" s="10">
        <f t="shared" ref="B30:M30" si="11">IF(B7="","",(B7/$O$23))</f>
        <v>7.5375744597199238E-4</v>
      </c>
      <c r="C30" s="10">
        <f t="shared" si="11"/>
        <v>0.10782453736391945</v>
      </c>
      <c r="D30" s="10">
        <f t="shared" si="11"/>
        <v>6.4627721756487493E-3</v>
      </c>
      <c r="E30" s="10">
        <f t="shared" si="11"/>
        <v>1.077593978315515E-2</v>
      </c>
      <c r="F30" s="10">
        <f t="shared" si="11"/>
        <v>0.39481535850588523</v>
      </c>
      <c r="G30" s="10">
        <f t="shared" si="11"/>
        <v>1.4779136273064919</v>
      </c>
      <c r="H30" s="10">
        <f t="shared" si="11"/>
        <v>1.5461147176957355</v>
      </c>
      <c r="I30" s="10">
        <f t="shared" si="11"/>
        <v>9.7104431465651106E-2</v>
      </c>
      <c r="J30" s="10">
        <f t="shared" si="11"/>
        <v>5.7448414724791293E-2</v>
      </c>
      <c r="K30" s="10">
        <f t="shared" si="11"/>
        <v>0.12941829234389485</v>
      </c>
      <c r="L30" s="10">
        <f t="shared" si="11"/>
        <v>4.5430171002904522E-2</v>
      </c>
      <c r="M30" s="10">
        <f t="shared" si="11"/>
        <v>1.5075148919439848E-3</v>
      </c>
      <c r="N30" s="5"/>
      <c r="O30" s="10">
        <f t="shared" si="9"/>
        <v>0.93019717503806587</v>
      </c>
      <c r="P30" s="10">
        <f t="shared" si="9"/>
        <v>1.3222022280046482</v>
      </c>
      <c r="Q30" s="10">
        <f t="shared" si="9"/>
        <v>0.13929158432137984</v>
      </c>
      <c r="R30" s="10">
        <f t="shared" si="9"/>
        <v>0.8549982377430082</v>
      </c>
      <c r="S30" s="10">
        <f t="shared" si="9"/>
        <v>1.0214716183567856</v>
      </c>
      <c r="T30" s="10">
        <f t="shared" si="9"/>
        <v>0.14594977509413243</v>
      </c>
      <c r="U30" s="10">
        <f t="shared" si="9"/>
        <v>9.0497421754044752E-3</v>
      </c>
      <c r="V30" s="10">
        <f t="shared" si="9"/>
        <v>0.10506076006202214</v>
      </c>
    </row>
    <row r="31" spans="1:22" x14ac:dyDescent="0.35">
      <c r="A31" s="143"/>
      <c r="B31" s="10">
        <f t="shared" ref="B31:M31" si="12">IF(B8="","",(B8/$O$23))</f>
        <v>2.6986377695293554E-3</v>
      </c>
      <c r="C31" s="10">
        <f t="shared" si="12"/>
        <v>1.6289535915728057E-2</v>
      </c>
      <c r="D31" s="10">
        <f t="shared" si="12"/>
        <v>0</v>
      </c>
      <c r="E31" s="10">
        <f t="shared" si="12"/>
        <v>5.6634170570191919E-2</v>
      </c>
      <c r="F31" s="10">
        <f t="shared" si="12"/>
        <v>0.3171504246283266</v>
      </c>
      <c r="G31" s="10">
        <f t="shared" si="12"/>
        <v>0</v>
      </c>
      <c r="H31" s="10">
        <f t="shared" si="12"/>
        <v>1.246393770799576</v>
      </c>
      <c r="I31" s="10">
        <f t="shared" si="12"/>
        <v>7.8395427204827769E-2</v>
      </c>
      <c r="J31" s="10">
        <f t="shared" si="12"/>
        <v>6.7796294723814196E-2</v>
      </c>
      <c r="K31" s="10">
        <f t="shared" si="12"/>
        <v>4.2605906992379837E-2</v>
      </c>
      <c r="L31" s="10">
        <f t="shared" si="12"/>
        <v>6.782886448999817E-2</v>
      </c>
      <c r="M31" s="10">
        <f t="shared" si="12"/>
        <v>4.4062240823177577E-2</v>
      </c>
      <c r="N31" s="5"/>
      <c r="O31" s="10">
        <f t="shared" si="9"/>
        <v>1.3912733964333779</v>
      </c>
      <c r="P31" s="10">
        <f t="shared" si="9"/>
        <v>1.0249100551010653</v>
      </c>
      <c r="Q31" s="10">
        <f t="shared" si="9"/>
        <v>5.4196090930134361E-2</v>
      </c>
      <c r="R31" s="10">
        <f t="shared" si="9"/>
        <v>1.9423352289712723</v>
      </c>
      <c r="S31" s="10">
        <f t="shared" si="9"/>
        <v>1.316874744821698</v>
      </c>
      <c r="T31" s="10">
        <f t="shared" si="9"/>
        <v>3.7222589924542829E-4</v>
      </c>
      <c r="U31" s="10">
        <f t="shared" si="9"/>
        <v>0</v>
      </c>
      <c r="V31" s="10">
        <f t="shared" si="9"/>
        <v>0</v>
      </c>
    </row>
    <row r="32" spans="1:22" x14ac:dyDescent="0.35">
      <c r="A32" s="143"/>
      <c r="B32" s="10">
        <f t="shared" ref="B32:M32" si="13">IF(B9="","",(B9/$O$23))</f>
        <v>0</v>
      </c>
      <c r="C32" s="10">
        <f t="shared" si="13"/>
        <v>6.8196437565503032E-2</v>
      </c>
      <c r="D32" s="10">
        <f t="shared" si="13"/>
        <v>1.5028620682034169E-3</v>
      </c>
      <c r="E32" s="10">
        <f t="shared" si="13"/>
        <v>0</v>
      </c>
      <c r="F32" s="10">
        <f t="shared" si="13"/>
        <v>4.3364317262092396E-2</v>
      </c>
      <c r="G32" s="10">
        <f t="shared" si="13"/>
        <v>0.77359243357803309</v>
      </c>
      <c r="H32" s="10">
        <f t="shared" si="13"/>
        <v>1.0334991677261534</v>
      </c>
      <c r="I32" s="10">
        <f t="shared" si="13"/>
        <v>7.5375744597199238E-4</v>
      </c>
      <c r="J32" s="10">
        <f t="shared" si="13"/>
        <v>9.5876085998141194E-2</v>
      </c>
      <c r="K32" s="10">
        <f t="shared" si="13"/>
        <v>7.6771591719369586E-4</v>
      </c>
      <c r="L32" s="10">
        <f t="shared" si="13"/>
        <v>2.4087668504919779E-2</v>
      </c>
      <c r="M32" s="10">
        <f t="shared" si="13"/>
        <v>3.8618437046713188E-4</v>
      </c>
      <c r="N32" s="5"/>
      <c r="O32" s="10">
        <f t="shared" si="9"/>
        <v>1.3640590303747966</v>
      </c>
      <c r="P32" s="10">
        <f t="shared" si="9"/>
        <v>1.0597643577416589</v>
      </c>
      <c r="Q32" s="10">
        <f t="shared" si="9"/>
        <v>0</v>
      </c>
      <c r="R32" s="10">
        <f t="shared" si="9"/>
        <v>1.238027993714035</v>
      </c>
      <c r="S32" s="10">
        <f t="shared" si="9"/>
        <v>1.2614642668952754</v>
      </c>
      <c r="T32" s="10">
        <f t="shared" si="9"/>
        <v>3.8343920446019683E-2</v>
      </c>
      <c r="U32" s="10">
        <f t="shared" si="9"/>
        <v>0.22018557787489254</v>
      </c>
      <c r="V32" s="10">
        <f t="shared" si="9"/>
        <v>0</v>
      </c>
    </row>
    <row r="33" spans="1:22" x14ac:dyDescent="0.35">
      <c r="A33" s="143"/>
      <c r="B33" s="10">
        <f t="shared" ref="B33:M33" si="14">IF(B10="","",(B10/$O$23))</f>
        <v>0</v>
      </c>
      <c r="C33" s="10">
        <f t="shared" si="14"/>
        <v>3.7562246057604283E-2</v>
      </c>
      <c r="D33" s="10">
        <f t="shared" si="14"/>
        <v>0</v>
      </c>
      <c r="E33" s="10">
        <f t="shared" si="14"/>
        <v>4.88639549234436E-2</v>
      </c>
      <c r="F33" s="10">
        <f t="shared" si="14"/>
        <v>9.8825976249661222E-3</v>
      </c>
      <c r="G33" s="10">
        <f t="shared" si="14"/>
        <v>0.88025376500681052</v>
      </c>
      <c r="H33" s="10">
        <f t="shared" si="14"/>
        <v>1.2653121521287249</v>
      </c>
      <c r="I33" s="10">
        <f t="shared" si="14"/>
        <v>2.9229038738247257E-2</v>
      </c>
      <c r="J33" s="10">
        <f t="shared" si="14"/>
        <v>8.4346388769014055E-2</v>
      </c>
      <c r="K33" s="10">
        <f t="shared" si="14"/>
        <v>7.7771948823591674E-2</v>
      </c>
      <c r="L33" s="10">
        <f t="shared" si="14"/>
        <v>3.1378643306389606E-2</v>
      </c>
      <c r="M33" s="10">
        <f t="shared" si="14"/>
        <v>2.7716871022562706E-2</v>
      </c>
      <c r="N33" s="5"/>
      <c r="O33" s="10">
        <f t="shared" si="9"/>
        <v>1.2239113264851522</v>
      </c>
      <c r="P33" s="10">
        <f t="shared" si="9"/>
        <v>1.4437665538744644</v>
      </c>
      <c r="Q33" s="10">
        <f t="shared" si="9"/>
        <v>3.0382939025908086E-3</v>
      </c>
      <c r="R33" s="10">
        <f t="shared" si="9"/>
        <v>1.2425365799186454</v>
      </c>
      <c r="S33" s="10">
        <f t="shared" si="9"/>
        <v>1.3559631170662085</v>
      </c>
      <c r="T33" s="10">
        <f t="shared" si="9"/>
        <v>0.63274680612730361</v>
      </c>
      <c r="U33" s="10">
        <f t="shared" si="9"/>
        <v>7.6492422294935514E-3</v>
      </c>
      <c r="V33" s="10">
        <f t="shared" si="9"/>
        <v>8.9683177599445385E-2</v>
      </c>
    </row>
    <row r="34" spans="1:22" x14ac:dyDescent="0.35">
      <c r="A34" s="143"/>
      <c r="B34" s="10">
        <f t="shared" ref="B34:M34" si="15">IF(B11="","",(B11/$O$23))</f>
        <v>0</v>
      </c>
      <c r="C34" s="10">
        <f t="shared" si="15"/>
        <v>0.1192518724707541</v>
      </c>
      <c r="D34" s="10">
        <f t="shared" si="15"/>
        <v>1.0724758722008903E-2</v>
      </c>
      <c r="E34" s="10">
        <f t="shared" si="15"/>
        <v>0</v>
      </c>
      <c r="F34" s="10">
        <f t="shared" si="15"/>
        <v>0.26922634010047775</v>
      </c>
      <c r="G34" s="10">
        <f t="shared" si="15"/>
        <v>0.90040049180346937</v>
      </c>
      <c r="H34" s="10">
        <f t="shared" si="15"/>
        <v>1.2736174425056386</v>
      </c>
      <c r="I34" s="10">
        <f t="shared" si="15"/>
        <v>3.1964899097701154E-3</v>
      </c>
      <c r="J34" s="10">
        <f t="shared" si="15"/>
        <v>5.1041476434029358E-3</v>
      </c>
      <c r="K34" s="10">
        <f t="shared" si="15"/>
        <v>2.768430125637873E-3</v>
      </c>
      <c r="L34" s="10">
        <f t="shared" si="15"/>
        <v>0.13368027889025502</v>
      </c>
      <c r="M34" s="10">
        <f t="shared" si="15"/>
        <v>4.9152429995358807E-2</v>
      </c>
      <c r="N34" s="5"/>
      <c r="O34" s="10">
        <f t="shared" si="9"/>
        <v>1.1169103389233133</v>
      </c>
      <c r="P34" s="10">
        <f t="shared" si="9"/>
        <v>1.5993337156403507</v>
      </c>
      <c r="Q34" s="10">
        <f t="shared" si="9"/>
        <v>5.9565449526749664E-2</v>
      </c>
      <c r="R34" s="10">
        <f t="shared" si="9"/>
        <v>0.74869517374225447</v>
      </c>
      <c r="S34" s="10">
        <f t="shared" si="9"/>
        <v>1.6601740388720159</v>
      </c>
      <c r="T34" s="10">
        <f t="shared" si="9"/>
        <v>0.42249035411478286</v>
      </c>
      <c r="U34" s="10">
        <f t="shared" si="9"/>
        <v>9.1274443318719589E-2</v>
      </c>
      <c r="V34" s="10">
        <f t="shared" si="9"/>
        <v>7.9693565028446198E-2</v>
      </c>
    </row>
    <row r="35" spans="1:22" x14ac:dyDescent="0.35">
      <c r="A35" s="143"/>
      <c r="B35" s="10">
        <f t="shared" ref="B35:M35" si="16">IF(B12="","",(B12/$O$23))</f>
        <v>7.020645742142835E-2</v>
      </c>
      <c r="C35" s="10">
        <f t="shared" si="16"/>
        <v>2.588831129251954E-2</v>
      </c>
      <c r="D35" s="10">
        <f t="shared" si="16"/>
        <v>0</v>
      </c>
      <c r="E35" s="10">
        <f t="shared" si="16"/>
        <v>4.1582285769454913E-2</v>
      </c>
      <c r="F35" s="10">
        <f t="shared" si="16"/>
        <v>1.1479818958628254</v>
      </c>
      <c r="G35" s="10">
        <f t="shared" si="16"/>
        <v>0.8924674273258012</v>
      </c>
      <c r="H35" s="10">
        <f t="shared" si="16"/>
        <v>1.5512095596916573</v>
      </c>
      <c r="I35" s="10">
        <f t="shared" si="16"/>
        <v>3.2932686435739267E-2</v>
      </c>
      <c r="J35" s="10">
        <f t="shared" si="16"/>
        <v>5.2995662405067858E-3</v>
      </c>
      <c r="K35" s="10">
        <f t="shared" si="16"/>
        <v>4.7482066272494947E-2</v>
      </c>
      <c r="L35" s="10">
        <f t="shared" si="16"/>
        <v>0.11267277970159115</v>
      </c>
      <c r="M35" s="10">
        <f t="shared" si="16"/>
        <v>5.5917635714144466E-2</v>
      </c>
      <c r="N35" s="5"/>
      <c r="O35" s="10">
        <f t="shared" si="9"/>
        <v>0.99602067249587933</v>
      </c>
      <c r="P35" s="10">
        <f t="shared" si="9"/>
        <v>1.6837173269992893</v>
      </c>
      <c r="Q35" s="10">
        <f t="shared" si="9"/>
        <v>5.9812049184999765E-2</v>
      </c>
      <c r="R35" s="10">
        <f t="shared" si="9"/>
        <v>0.92819180800588119</v>
      </c>
      <c r="S35" s="10">
        <f t="shared" si="9"/>
        <v>0.81610063127186105</v>
      </c>
      <c r="T35" s="10">
        <f t="shared" si="9"/>
        <v>1.3325687192986333E-2</v>
      </c>
      <c r="U35" s="10">
        <f t="shared" si="9"/>
        <v>7.6445894057529835E-3</v>
      </c>
      <c r="V35" s="10">
        <f t="shared" si="9"/>
        <v>9.0930134361917575E-2</v>
      </c>
    </row>
    <row r="36" spans="1:22" s="1" customFormat="1" x14ac:dyDescent="0.35">
      <c r="A36" s="143"/>
      <c r="B36" s="10" t="str">
        <f t="shared" ref="B36:M36" si="17">IF(B13="","",(B13/$O$23))</f>
        <v/>
      </c>
      <c r="C36" s="10" t="str">
        <f t="shared" si="17"/>
        <v/>
      </c>
      <c r="D36" s="10" t="str">
        <f t="shared" si="17"/>
        <v/>
      </c>
      <c r="E36" s="10" t="str">
        <f t="shared" si="17"/>
        <v/>
      </c>
      <c r="F36" s="10" t="str">
        <f t="shared" si="17"/>
        <v/>
      </c>
      <c r="G36" s="10" t="str">
        <f t="shared" si="17"/>
        <v/>
      </c>
      <c r="H36" s="10" t="str">
        <f t="shared" si="17"/>
        <v/>
      </c>
      <c r="I36" s="10" t="str">
        <f t="shared" si="17"/>
        <v/>
      </c>
      <c r="J36" s="10" t="str">
        <f t="shared" si="17"/>
        <v/>
      </c>
      <c r="K36" s="10" t="str">
        <f t="shared" si="17"/>
        <v/>
      </c>
      <c r="L36" s="10" t="str">
        <f t="shared" si="17"/>
        <v/>
      </c>
      <c r="M36" s="10" t="str">
        <f t="shared" si="17"/>
        <v/>
      </c>
      <c r="N36" s="5"/>
      <c r="O36" s="10">
        <f t="shared" si="9"/>
        <v>1.1031984673598598</v>
      </c>
      <c r="P36" s="10" t="str">
        <f t="shared" si="9"/>
        <v/>
      </c>
      <c r="Q36" s="10" t="str">
        <f t="shared" si="9"/>
        <v/>
      </c>
      <c r="R36" s="10" t="str">
        <f t="shared" si="9"/>
        <v/>
      </c>
      <c r="S36" s="10" t="str">
        <f t="shared" si="9"/>
        <v/>
      </c>
      <c r="T36" s="10" t="str">
        <f t="shared" si="9"/>
        <v/>
      </c>
      <c r="U36" s="10" t="str">
        <f t="shared" si="9"/>
        <v/>
      </c>
      <c r="V36" s="10" t="str">
        <f t="shared" si="9"/>
        <v/>
      </c>
    </row>
    <row r="37" spans="1:22" s="1" customFormat="1" x14ac:dyDescent="0.35">
      <c r="A37" s="143"/>
      <c r="B37" s="10" t="str">
        <f t="shared" ref="B37:M37" si="18">IF(B14="","",(B14/$O$23))</f>
        <v/>
      </c>
      <c r="C37" s="10" t="str">
        <f t="shared" si="18"/>
        <v/>
      </c>
      <c r="D37" s="10" t="str">
        <f t="shared" si="18"/>
        <v/>
      </c>
      <c r="E37" s="10" t="str">
        <f t="shared" si="18"/>
        <v/>
      </c>
      <c r="F37" s="10" t="str">
        <f t="shared" si="18"/>
        <v/>
      </c>
      <c r="G37" s="10" t="str">
        <f t="shared" si="18"/>
        <v/>
      </c>
      <c r="H37" s="10" t="str">
        <f t="shared" si="18"/>
        <v/>
      </c>
      <c r="I37" s="10" t="str">
        <f t="shared" si="18"/>
        <v/>
      </c>
      <c r="J37" s="10" t="str">
        <f t="shared" si="18"/>
        <v/>
      </c>
      <c r="K37" s="10" t="str">
        <f t="shared" si="18"/>
        <v/>
      </c>
      <c r="L37" s="10" t="str">
        <f t="shared" si="18"/>
        <v/>
      </c>
      <c r="M37" s="10" t="str">
        <f t="shared" si="18"/>
        <v/>
      </c>
      <c r="N37" s="5"/>
      <c r="O37" s="10">
        <f t="shared" si="9"/>
        <v>0.8048733675858708</v>
      </c>
      <c r="P37" s="10" t="str">
        <f t="shared" si="9"/>
        <v/>
      </c>
      <c r="Q37" s="10" t="str">
        <f t="shared" si="9"/>
        <v/>
      </c>
      <c r="R37" s="10" t="str">
        <f t="shared" si="9"/>
        <v/>
      </c>
      <c r="S37" s="10" t="str">
        <f t="shared" si="9"/>
        <v/>
      </c>
      <c r="T37" s="10" t="str">
        <f t="shared" si="9"/>
        <v/>
      </c>
      <c r="U37" s="10" t="str">
        <f t="shared" si="9"/>
        <v/>
      </c>
      <c r="V37" s="10" t="str">
        <f t="shared" si="9"/>
        <v/>
      </c>
    </row>
    <row r="38" spans="1:22" s="1" customFormat="1" x14ac:dyDescent="0.35">
      <c r="A38" s="143"/>
      <c r="B38" s="10" t="str">
        <f t="shared" ref="B38:M38" si="19">IF(B15="","",(B15/$O$23))</f>
        <v/>
      </c>
      <c r="C38" s="10" t="str">
        <f t="shared" si="19"/>
        <v/>
      </c>
      <c r="D38" s="10" t="str">
        <f t="shared" si="19"/>
        <v/>
      </c>
      <c r="E38" s="10" t="str">
        <f t="shared" si="19"/>
        <v/>
      </c>
      <c r="F38" s="10" t="str">
        <f t="shared" si="19"/>
        <v/>
      </c>
      <c r="G38" s="10" t="str">
        <f t="shared" si="19"/>
        <v/>
      </c>
      <c r="H38" s="10" t="str">
        <f t="shared" si="19"/>
        <v/>
      </c>
      <c r="I38" s="10" t="str">
        <f t="shared" si="19"/>
        <v/>
      </c>
      <c r="J38" s="10" t="str">
        <f t="shared" si="19"/>
        <v/>
      </c>
      <c r="K38" s="10" t="str">
        <f t="shared" si="19"/>
        <v/>
      </c>
      <c r="L38" s="10" t="str">
        <f t="shared" si="19"/>
        <v/>
      </c>
      <c r="M38" s="10" t="str">
        <f t="shared" si="19"/>
        <v/>
      </c>
      <c r="N38" s="5"/>
      <c r="O38" s="10">
        <f t="shared" ref="O38:R38" si="20">IF(O15="","",(O15/$O$23))</f>
        <v>0.74298150618883718</v>
      </c>
      <c r="P38" s="10" t="str">
        <f t="shared" si="20"/>
        <v/>
      </c>
      <c r="Q38" s="10" t="str">
        <f t="shared" si="20"/>
        <v/>
      </c>
      <c r="R38" s="10" t="str">
        <f t="shared" si="20"/>
        <v/>
      </c>
      <c r="S38" s="10" t="str">
        <f t="shared" ref="S38:V43" si="21">IF(S15="","",(S15/$O$23))</f>
        <v/>
      </c>
      <c r="T38" s="10" t="str">
        <f t="shared" si="21"/>
        <v/>
      </c>
      <c r="U38" s="10" t="str">
        <f t="shared" si="21"/>
        <v/>
      </c>
      <c r="V38" s="10" t="str">
        <f t="shared" si="21"/>
        <v/>
      </c>
    </row>
    <row r="39" spans="1:22" s="1" customFormat="1" x14ac:dyDescent="0.35">
      <c r="A39" s="143"/>
      <c r="B39" s="10" t="str">
        <f t="shared" ref="B39:M39" si="22">IF(B16="","",(B16/$O$23))</f>
        <v/>
      </c>
      <c r="C39" s="10" t="str">
        <f t="shared" si="22"/>
        <v/>
      </c>
      <c r="D39" s="10" t="str">
        <f t="shared" si="22"/>
        <v/>
      </c>
      <c r="E39" s="10" t="str">
        <f t="shared" si="22"/>
        <v/>
      </c>
      <c r="F39" s="10" t="str">
        <f t="shared" si="22"/>
        <v/>
      </c>
      <c r="G39" s="10" t="str">
        <f t="shared" si="22"/>
        <v/>
      </c>
      <c r="H39" s="10" t="str">
        <f t="shared" si="22"/>
        <v/>
      </c>
      <c r="I39" s="10" t="str">
        <f t="shared" si="22"/>
        <v/>
      </c>
      <c r="J39" s="10" t="str">
        <f t="shared" si="22"/>
        <v/>
      </c>
      <c r="K39" s="10" t="str">
        <f t="shared" si="22"/>
        <v/>
      </c>
      <c r="L39" s="10" t="str">
        <f t="shared" si="22"/>
        <v/>
      </c>
      <c r="M39" s="10" t="str">
        <f t="shared" si="22"/>
        <v/>
      </c>
      <c r="N39" s="5"/>
      <c r="O39" s="10">
        <f t="shared" ref="O39:R39" si="23">IF(O16="","",(O16/$O$23))</f>
        <v>0.7715870665458483</v>
      </c>
      <c r="P39" s="10" t="str">
        <f t="shared" si="23"/>
        <v/>
      </c>
      <c r="Q39" s="10" t="str">
        <f t="shared" si="23"/>
        <v/>
      </c>
      <c r="R39" s="10" t="str">
        <f t="shared" si="23"/>
        <v/>
      </c>
      <c r="S39" s="10" t="str">
        <f t="shared" si="21"/>
        <v/>
      </c>
      <c r="T39" s="10" t="str">
        <f t="shared" si="21"/>
        <v/>
      </c>
      <c r="U39" s="10" t="str">
        <f t="shared" si="21"/>
        <v/>
      </c>
      <c r="V39" s="10" t="str">
        <f t="shared" si="21"/>
        <v/>
      </c>
    </row>
    <row r="40" spans="1:22" s="1" customFormat="1" x14ac:dyDescent="0.35">
      <c r="A40" s="143"/>
      <c r="B40" s="10" t="str">
        <f t="shared" ref="B40:M40" si="24">IF(B17="","",(B17/$O$23))</f>
        <v/>
      </c>
      <c r="C40" s="10" t="str">
        <f t="shared" si="24"/>
        <v/>
      </c>
      <c r="D40" s="10" t="str">
        <f t="shared" si="24"/>
        <v/>
      </c>
      <c r="E40" s="10" t="str">
        <f t="shared" si="24"/>
        <v/>
      </c>
      <c r="F40" s="10" t="str">
        <f t="shared" si="24"/>
        <v/>
      </c>
      <c r="G40" s="10" t="str">
        <f t="shared" si="24"/>
        <v/>
      </c>
      <c r="H40" s="10" t="str">
        <f t="shared" si="24"/>
        <v/>
      </c>
      <c r="I40" s="10" t="str">
        <f t="shared" si="24"/>
        <v/>
      </c>
      <c r="J40" s="10" t="str">
        <f t="shared" si="24"/>
        <v/>
      </c>
      <c r="K40" s="10" t="str">
        <f t="shared" si="24"/>
        <v/>
      </c>
      <c r="L40" s="10" t="str">
        <f t="shared" si="24"/>
        <v/>
      </c>
      <c r="M40" s="10" t="str">
        <f t="shared" si="24"/>
        <v/>
      </c>
      <c r="N40" s="5"/>
      <c r="O40" s="10">
        <f t="shared" ref="O40:R40" si="25">IF(O17="","",(O17/$O$23))</f>
        <v>1.2806711232963395</v>
      </c>
      <c r="P40" s="10" t="str">
        <f t="shared" si="25"/>
        <v/>
      </c>
      <c r="Q40" s="10" t="str">
        <f t="shared" si="25"/>
        <v/>
      </c>
      <c r="R40" s="10" t="str">
        <f t="shared" si="25"/>
        <v/>
      </c>
      <c r="S40" s="10" t="str">
        <f t="shared" si="21"/>
        <v/>
      </c>
      <c r="T40" s="10" t="str">
        <f t="shared" si="21"/>
        <v/>
      </c>
      <c r="U40" s="10" t="str">
        <f t="shared" si="21"/>
        <v/>
      </c>
      <c r="V40" s="10" t="str">
        <f t="shared" si="21"/>
        <v/>
      </c>
    </row>
    <row r="41" spans="1:22" s="1" customFormat="1" x14ac:dyDescent="0.35">
      <c r="A41" s="143"/>
      <c r="B41" s="10" t="str">
        <f t="shared" ref="B41:M41" si="26">IF(B18="","",(B18/$O$23))</f>
        <v/>
      </c>
      <c r="C41" s="10" t="str">
        <f t="shared" si="26"/>
        <v/>
      </c>
      <c r="D41" s="10" t="str">
        <f t="shared" si="26"/>
        <v/>
      </c>
      <c r="E41" s="10" t="str">
        <f t="shared" si="26"/>
        <v/>
      </c>
      <c r="F41" s="10" t="str">
        <f t="shared" si="26"/>
        <v/>
      </c>
      <c r="G41" s="10" t="str">
        <f t="shared" si="26"/>
        <v/>
      </c>
      <c r="H41" s="10" t="str">
        <f t="shared" si="26"/>
        <v/>
      </c>
      <c r="I41" s="10" t="str">
        <f t="shared" si="26"/>
        <v/>
      </c>
      <c r="J41" s="10" t="str">
        <f t="shared" si="26"/>
        <v/>
      </c>
      <c r="K41" s="10" t="str">
        <f t="shared" si="26"/>
        <v/>
      </c>
      <c r="L41" s="10" t="str">
        <f t="shared" si="26"/>
        <v/>
      </c>
      <c r="M41" s="10" t="str">
        <f t="shared" si="26"/>
        <v/>
      </c>
      <c r="N41" s="5"/>
      <c r="O41" s="10">
        <f t="shared" ref="O41:R41" si="27">IF(O18="","",(O18/$O$23))</f>
        <v>0.4522498147594548</v>
      </c>
      <c r="P41" s="10" t="str">
        <f t="shared" si="27"/>
        <v/>
      </c>
      <c r="Q41" s="10" t="str">
        <f t="shared" si="27"/>
        <v/>
      </c>
      <c r="R41" s="10" t="str">
        <f t="shared" si="27"/>
        <v/>
      </c>
      <c r="S41" s="10" t="str">
        <f t="shared" si="21"/>
        <v/>
      </c>
      <c r="T41" s="10" t="str">
        <f t="shared" si="21"/>
        <v/>
      </c>
      <c r="U41" s="10" t="str">
        <f t="shared" si="21"/>
        <v/>
      </c>
      <c r="V41" s="10" t="str">
        <f t="shared" si="21"/>
        <v/>
      </c>
    </row>
    <row r="42" spans="1:22" s="1" customFormat="1" x14ac:dyDescent="0.35">
      <c r="A42" s="143"/>
      <c r="B42" s="10" t="str">
        <f t="shared" ref="B42:M42" si="28">IF(B19="","",(B19/$O$23))</f>
        <v/>
      </c>
      <c r="C42" s="10" t="str">
        <f t="shared" si="28"/>
        <v/>
      </c>
      <c r="D42" s="10" t="str">
        <f t="shared" si="28"/>
        <v/>
      </c>
      <c r="E42" s="10" t="str">
        <f t="shared" si="28"/>
        <v/>
      </c>
      <c r="F42" s="10" t="str">
        <f t="shared" si="28"/>
        <v/>
      </c>
      <c r="G42" s="10" t="str">
        <f t="shared" si="28"/>
        <v/>
      </c>
      <c r="H42" s="10" t="str">
        <f t="shared" si="28"/>
        <v/>
      </c>
      <c r="I42" s="10" t="str">
        <f t="shared" si="28"/>
        <v/>
      </c>
      <c r="J42" s="10" t="str">
        <f t="shared" si="28"/>
        <v/>
      </c>
      <c r="K42" s="10" t="str">
        <f t="shared" si="28"/>
        <v/>
      </c>
      <c r="L42" s="10" t="str">
        <f t="shared" si="28"/>
        <v/>
      </c>
      <c r="M42" s="10" t="str">
        <f t="shared" si="28"/>
        <v/>
      </c>
      <c r="N42" s="5"/>
      <c r="O42" s="10">
        <f t="shared" ref="O42:R42" si="29">IF(O19="","",(O19/$O$23))</f>
        <v>1.1424729525539932</v>
      </c>
      <c r="P42" s="10" t="str">
        <f t="shared" si="29"/>
        <v/>
      </c>
      <c r="Q42" s="10" t="str">
        <f t="shared" si="29"/>
        <v/>
      </c>
      <c r="R42" s="10" t="str">
        <f t="shared" si="29"/>
        <v/>
      </c>
      <c r="S42" s="10" t="str">
        <f t="shared" si="21"/>
        <v/>
      </c>
      <c r="T42" s="10" t="str">
        <f t="shared" si="21"/>
        <v/>
      </c>
      <c r="U42" s="10" t="str">
        <f t="shared" si="21"/>
        <v/>
      </c>
      <c r="V42" s="10" t="str">
        <f t="shared" si="21"/>
        <v/>
      </c>
    </row>
    <row r="43" spans="1:22" s="1" customFormat="1" x14ac:dyDescent="0.35">
      <c r="A43" s="143"/>
      <c r="B43" s="10" t="str">
        <f t="shared" ref="B43:M43" si="30">IF(B20="","",(B20/$O$23))</f>
        <v/>
      </c>
      <c r="C43" s="10" t="str">
        <f t="shared" si="30"/>
        <v/>
      </c>
      <c r="D43" s="10" t="str">
        <f t="shared" si="30"/>
        <v/>
      </c>
      <c r="E43" s="10" t="str">
        <f t="shared" si="30"/>
        <v/>
      </c>
      <c r="F43" s="10" t="str">
        <f t="shared" si="30"/>
        <v/>
      </c>
      <c r="G43" s="10" t="str">
        <f t="shared" si="30"/>
        <v/>
      </c>
      <c r="H43" s="10" t="str">
        <f t="shared" si="30"/>
        <v/>
      </c>
      <c r="I43" s="10" t="str">
        <f t="shared" si="30"/>
        <v/>
      </c>
      <c r="J43" s="10" t="str">
        <f t="shared" si="30"/>
        <v/>
      </c>
      <c r="K43" s="10" t="str">
        <f t="shared" si="30"/>
        <v/>
      </c>
      <c r="L43" s="10" t="str">
        <f t="shared" si="30"/>
        <v/>
      </c>
      <c r="M43" s="10" t="str">
        <f t="shared" si="30"/>
        <v/>
      </c>
      <c r="N43" s="5"/>
      <c r="O43" s="10">
        <f t="shared" ref="O43:R43" si="31">IF(O20="","",(O20/$O$23))</f>
        <v>1.2822530833681325</v>
      </c>
      <c r="P43" s="10" t="str">
        <f t="shared" si="31"/>
        <v/>
      </c>
      <c r="Q43" s="10" t="str">
        <f t="shared" si="31"/>
        <v/>
      </c>
      <c r="R43" s="10" t="str">
        <f t="shared" si="31"/>
        <v/>
      </c>
      <c r="S43" s="10" t="str">
        <f t="shared" si="21"/>
        <v/>
      </c>
      <c r="T43" s="10" t="str">
        <f t="shared" si="21"/>
        <v/>
      </c>
      <c r="U43" s="10" t="str">
        <f t="shared" si="21"/>
        <v/>
      </c>
      <c r="V43" s="10" t="str">
        <f t="shared" si="21"/>
        <v/>
      </c>
    </row>
    <row r="44" spans="1:22" x14ac:dyDescent="0.35">
      <c r="A44" s="6"/>
      <c r="B44" s="3"/>
      <c r="C44" s="3"/>
      <c r="D44" s="3"/>
      <c r="E44" s="3"/>
      <c r="F44" s="3"/>
      <c r="G44" s="3"/>
      <c r="H44" s="3"/>
      <c r="I44" s="3"/>
      <c r="J44" s="3"/>
      <c r="N44" s="6"/>
      <c r="O44" s="3"/>
      <c r="P44" s="3"/>
      <c r="Q44" s="3"/>
      <c r="R44" s="3"/>
      <c r="S44" s="3"/>
      <c r="T44" s="3"/>
      <c r="U44" s="3"/>
      <c r="V44" s="3"/>
    </row>
    <row r="45" spans="1:22" s="51" customFormat="1" x14ac:dyDescent="0.35">
      <c r="A45" s="52" t="str">
        <f t="shared" ref="A45:M45" si="32">A4</f>
        <v>Group names</v>
      </c>
      <c r="B45" s="52" t="str">
        <f t="shared" si="32"/>
        <v>Solvent control</v>
      </c>
      <c r="C45" s="52" t="str">
        <f t="shared" si="32"/>
        <v>EE2-33.8ng/L</v>
      </c>
      <c r="D45" s="52" t="str">
        <f t="shared" si="32"/>
        <v>EE2-50.6ng/L</v>
      </c>
      <c r="E45" s="52" t="str">
        <f t="shared" si="32"/>
        <v>EE2-76ng/L</v>
      </c>
      <c r="F45" s="52" t="str">
        <f t="shared" si="32"/>
        <v>EE2-114ng/L</v>
      </c>
      <c r="G45" s="52" t="str">
        <f t="shared" si="32"/>
        <v>EE2-170.9ng/L</v>
      </c>
      <c r="H45" s="52" t="str">
        <f t="shared" si="32"/>
        <v>EE2-488ng/L</v>
      </c>
      <c r="I45" s="52" t="str">
        <f t="shared" si="32"/>
        <v>Anastrozole-0,032µg/L</v>
      </c>
      <c r="J45" s="52" t="str">
        <f t="shared" si="32"/>
        <v>Anastrozole-0,16µg/L</v>
      </c>
      <c r="K45" s="52" t="str">
        <f t="shared" si="32"/>
        <v>Anastrozole-0,8µg/L</v>
      </c>
      <c r="L45" s="52" t="str">
        <f t="shared" si="32"/>
        <v>Anastrozole-4µg/L</v>
      </c>
      <c r="M45" s="52" t="str">
        <f t="shared" si="32"/>
        <v>Anastrozole-20µg/L</v>
      </c>
      <c r="N45" s="52" t="str">
        <f>N22</f>
        <v>Nom des groupes</v>
      </c>
      <c r="O45" s="52" t="str">
        <f t="shared" ref="O45:V45" si="33">O4</f>
        <v>Testo -30µg/L</v>
      </c>
      <c r="P45" s="52" t="str">
        <f t="shared" si="33"/>
        <v>Testo 30µg/L + EE2 -64ng/L</v>
      </c>
      <c r="Q45" s="52" t="str">
        <f t="shared" si="33"/>
        <v>Testo 30µg/L + FAD-10mg/L</v>
      </c>
      <c r="R45" s="52" t="str">
        <f t="shared" si="33"/>
        <v>Anastrozole-0,032µg/L + Testostérone</v>
      </c>
      <c r="S45" s="52" t="str">
        <f t="shared" si="33"/>
        <v>Anastrozole-0,16µg/L + Testostérone</v>
      </c>
      <c r="T45" s="52" t="str">
        <f t="shared" si="33"/>
        <v>Anastrozole-0,8µg/L + Testostérone</v>
      </c>
      <c r="U45" s="52" t="str">
        <f t="shared" si="33"/>
        <v>Anastrozole-4µg/L + Testostérone</v>
      </c>
      <c r="V45" s="52" t="str">
        <f t="shared" si="33"/>
        <v>Anastrozole-20µg/L + Testostérone</v>
      </c>
    </row>
    <row r="46" spans="1:22" x14ac:dyDescent="0.35">
      <c r="A46" s="7" t="s">
        <v>0</v>
      </c>
      <c r="B46" s="9">
        <f t="shared" ref="B46:H46" si="34">AVERAGE(B28:B43)</f>
        <v>2.0446833927925435E-2</v>
      </c>
      <c r="C46" s="9">
        <f t="shared" si="34"/>
        <v>4.730525897035337E-2</v>
      </c>
      <c r="D46" s="9">
        <f t="shared" si="34"/>
        <v>2.336299120732634E-3</v>
      </c>
      <c r="E46" s="9">
        <f t="shared" si="34"/>
        <v>2.0508483842487959E-2</v>
      </c>
      <c r="F46" s="9">
        <f t="shared" si="34"/>
        <v>0.36662797068255759</v>
      </c>
      <c r="G46" s="9">
        <f t="shared" si="34"/>
        <v>0.79028385714435267</v>
      </c>
      <c r="H46" s="9">
        <f t="shared" si="34"/>
        <v>1.3605589437159544</v>
      </c>
      <c r="I46" s="9">
        <f>AVERAGE(I28:I43)</f>
        <v>6.6275984566583651E-2</v>
      </c>
      <c r="J46" s="8">
        <f>AVERAGE(J28:J43)</f>
        <v>5.8334196044401897E-2</v>
      </c>
      <c r="K46" s="8">
        <f>AVERAGE(K28:K43)</f>
        <v>5.9201366069050229E-2</v>
      </c>
      <c r="L46" s="8">
        <f t="shared" ref="L46:M46" si="35">AVERAGE(L28:L43)</f>
        <v>7.3247659338857005E-2</v>
      </c>
      <c r="M46" s="8">
        <f t="shared" si="35"/>
        <v>3.9556562633405186E-2</v>
      </c>
      <c r="N46" s="7" t="s">
        <v>0</v>
      </c>
      <c r="O46" s="9">
        <f>AVERAGE(O28:O43)</f>
        <v>1</v>
      </c>
      <c r="P46" s="9">
        <f>AVERAGE(P28:P43)</f>
        <v>1.319880468958105</v>
      </c>
      <c r="Q46" s="9">
        <f>AVERAGE(Q28:Q43)</f>
        <v>5.7512391051224097E-2</v>
      </c>
      <c r="R46" s="9">
        <f>AVERAGE(R28:R43)</f>
        <v>1.1684519939094535</v>
      </c>
      <c r="S46" s="9">
        <f t="shared" ref="S46:V46" si="36">AVERAGE(S28:S43)</f>
        <v>1.166672870431654</v>
      </c>
      <c r="T46" s="9">
        <f t="shared" si="36"/>
        <v>0.22135576304564536</v>
      </c>
      <c r="U46" s="9">
        <f t="shared" si="36"/>
        <v>5.4418263263746471E-2</v>
      </c>
      <c r="V46" s="9">
        <f t="shared" si="36"/>
        <v>5.4992305392739041E-2</v>
      </c>
    </row>
    <row r="47" spans="1:22" x14ac:dyDescent="0.35">
      <c r="A47" s="7" t="s">
        <v>1</v>
      </c>
      <c r="B47" s="7">
        <f t="shared" ref="B47:K47" si="37">STDEV(B28:B43)</f>
        <v>2.8843164943942321E-2</v>
      </c>
      <c r="C47" s="7">
        <f t="shared" si="37"/>
        <v>4.6216112268173896E-2</v>
      </c>
      <c r="D47" s="7">
        <f t="shared" si="37"/>
        <v>4.0599106180062945E-3</v>
      </c>
      <c r="E47" s="7">
        <f t="shared" si="37"/>
        <v>2.4243180000394528E-2</v>
      </c>
      <c r="F47" s="7">
        <f t="shared" si="37"/>
        <v>0.35316077210496855</v>
      </c>
      <c r="G47" s="7">
        <f t="shared" si="37"/>
        <v>0.40459464200341522</v>
      </c>
      <c r="H47" s="7">
        <f t="shared" si="37"/>
        <v>0.20552315492596751</v>
      </c>
      <c r="I47" s="7">
        <f>STDEV(I28:I43)</f>
        <v>6.7017700976069586E-2</v>
      </c>
      <c r="J47" s="7">
        <f t="shared" si="37"/>
        <v>4.6172141666608393E-2</v>
      </c>
      <c r="K47" s="7">
        <f t="shared" si="37"/>
        <v>5.5480827759567135E-2</v>
      </c>
      <c r="L47" s="7">
        <f t="shared" ref="L47:M47" si="38">STDEV(L28:L43)</f>
        <v>3.8854895824379371E-2</v>
      </c>
      <c r="M47" s="7">
        <f t="shared" si="38"/>
        <v>2.741645188468007E-2</v>
      </c>
      <c r="N47" s="7" t="s">
        <v>1</v>
      </c>
      <c r="O47" s="7">
        <f>STDEV(O28:O43)</f>
        <v>0.28317708797641433</v>
      </c>
      <c r="P47" s="7">
        <f>STDEV(P28:P43)</f>
        <v>0.28618523403595475</v>
      </c>
      <c r="Q47" s="7">
        <f>STDEV(Q28:Q43)</f>
        <v>5.2452232162204661E-2</v>
      </c>
      <c r="R47" s="7">
        <f>STDEV(R28:R43)</f>
        <v>0.36710783448642686</v>
      </c>
      <c r="S47" s="7">
        <f t="shared" ref="S47:V47" si="39">STDEV(S28:S43)</f>
        <v>0.28318469061088242</v>
      </c>
      <c r="T47" s="7">
        <f t="shared" si="39"/>
        <v>0.22182802528269385</v>
      </c>
      <c r="U47" s="7">
        <f t="shared" si="39"/>
        <v>7.8249189716787307E-2</v>
      </c>
      <c r="V47" s="7">
        <f t="shared" si="39"/>
        <v>4.587907705731667E-2</v>
      </c>
    </row>
    <row r="48" spans="1:22" x14ac:dyDescent="0.35">
      <c r="A48" s="7" t="s">
        <v>2</v>
      </c>
      <c r="B48" s="7">
        <f t="shared" ref="B48:K48" si="40" xml:space="preserve"> B47/SQRT(COUNT(B28:B43))</f>
        <v>1.019759876137186E-2</v>
      </c>
      <c r="C48" s="7">
        <f t="shared" si="40"/>
        <v>1.6339863192452276E-2</v>
      </c>
      <c r="D48" s="7">
        <f t="shared" si="40"/>
        <v>1.4353951645017589E-3</v>
      </c>
      <c r="E48" s="7">
        <f t="shared" si="40"/>
        <v>8.5712584879025291E-3</v>
      </c>
      <c r="F48" s="7">
        <f t="shared" si="40"/>
        <v>0.12486118840225008</v>
      </c>
      <c r="G48" s="7">
        <f t="shared" si="40"/>
        <v>0.14304580749617921</v>
      </c>
      <c r="H48" s="7">
        <f t="shared" si="40"/>
        <v>7.2663408269502502E-2</v>
      </c>
      <c r="I48" s="7">
        <f xml:space="preserve"> I47/SQRT(COUNT(I28:I43))</f>
        <v>2.3694335409855553E-2</v>
      </c>
      <c r="J48" s="7">
        <f t="shared" si="40"/>
        <v>1.6324317237182365E-2</v>
      </c>
      <c r="K48" s="7">
        <f t="shared" si="40"/>
        <v>1.9615434767316385E-2</v>
      </c>
      <c r="L48" s="7">
        <f t="shared" ref="L48:M48" si="41" xml:space="preserve"> L47/SQRT(COUNT(L28:L43))</f>
        <v>1.373728015985776E-2</v>
      </c>
      <c r="M48" s="7">
        <f t="shared" si="41"/>
        <v>9.6931795218659893E-3</v>
      </c>
      <c r="N48" s="7" t="s">
        <v>2</v>
      </c>
      <c r="O48" s="7">
        <f xml:space="preserve"> O47/SQRT(COUNT(O28:O43))</f>
        <v>7.0794271994103583E-2</v>
      </c>
      <c r="P48" s="7">
        <f xml:space="preserve"> P47/SQRT(COUNT(P28:P43))</f>
        <v>0.10118175983114137</v>
      </c>
      <c r="Q48" s="7">
        <f xml:space="preserve"> Q47/SQRT(COUNT(Q28:Q43))</f>
        <v>1.8544664525133019E-2</v>
      </c>
      <c r="R48" s="7">
        <f xml:space="preserve"> R47/SQRT(COUNT(R28:R43))</f>
        <v>0.12979221959603057</v>
      </c>
      <c r="S48" s="7">
        <f t="shared" ref="S48:V48" si="42" xml:space="preserve"> S47/SQRT(COUNT(S28:S43))</f>
        <v>0.10012090752958469</v>
      </c>
      <c r="T48" s="7">
        <f t="shared" si="42"/>
        <v>7.8428050467306859E-2</v>
      </c>
      <c r="U48" s="7">
        <f t="shared" si="42"/>
        <v>2.766526633554648E-2</v>
      </c>
      <c r="V48" s="7">
        <f t="shared" si="42"/>
        <v>1.6220703250904384E-2</v>
      </c>
    </row>
    <row r="49" spans="1:22" s="1" customFormat="1" ht="15" thickBot="1" x14ac:dyDescent="0.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26.5" thickBot="1" x14ac:dyDescent="0.65">
      <c r="A50" s="138"/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</row>
    <row r="51" spans="1:22" ht="15" thickBot="1" x14ac:dyDescent="0.4">
      <c r="A51"/>
      <c r="B51"/>
      <c r="C51"/>
      <c r="D51"/>
      <c r="E51"/>
      <c r="F51"/>
      <c r="G51"/>
      <c r="H51"/>
      <c r="I51"/>
      <c r="J51"/>
      <c r="K51"/>
      <c r="L51"/>
      <c r="M51"/>
      <c r="S51"/>
      <c r="T51"/>
      <c r="U51"/>
      <c r="V51"/>
    </row>
    <row r="52" spans="1:22" x14ac:dyDescent="0.35">
      <c r="A52" s="28" t="str">
        <f t="shared" ref="A52:H52" si="43">A27</f>
        <v>Group names</v>
      </c>
      <c r="B52" s="29" t="str">
        <f t="shared" si="43"/>
        <v>Solvent control</v>
      </c>
      <c r="C52" s="29" t="str">
        <f t="shared" si="43"/>
        <v>EE2-33.8ng/L</v>
      </c>
      <c r="D52" s="29" t="str">
        <f t="shared" si="43"/>
        <v>EE2-50.6ng/L</v>
      </c>
      <c r="E52" s="29" t="str">
        <f t="shared" si="43"/>
        <v>EE2-76ng/L</v>
      </c>
      <c r="F52" s="29" t="str">
        <f t="shared" si="43"/>
        <v>EE2-114ng/L</v>
      </c>
      <c r="G52" s="29" t="str">
        <f t="shared" si="43"/>
        <v>EE2-170.9ng/L</v>
      </c>
      <c r="H52" s="29" t="str">
        <f t="shared" si="43"/>
        <v>EE2-488ng/L</v>
      </c>
      <c r="I52" s="29" t="str">
        <f>I4</f>
        <v>Anastrozole-0,032µg/L</v>
      </c>
      <c r="J52" s="29" t="str">
        <f>J4</f>
        <v>Anastrozole-0,16µg/L</v>
      </c>
      <c r="K52" s="29" t="str">
        <f>K27</f>
        <v>Anastrozole-0,8µg/L</v>
      </c>
      <c r="L52" s="29" t="str">
        <f t="shared" ref="L52:M52" si="44">L27</f>
        <v>Anastrozole-4µg/L</v>
      </c>
      <c r="M52" s="29" t="str">
        <f t="shared" si="44"/>
        <v>Anastrozole-20µg/L</v>
      </c>
      <c r="N52" s="30"/>
      <c r="O52" s="29" t="str">
        <f>O27</f>
        <v>Testo -30µg/L</v>
      </c>
      <c r="P52" s="29" t="str">
        <f>P27</f>
        <v>Testo 30µg/L + EE2 -64ng/L</v>
      </c>
      <c r="Q52" s="29" t="str">
        <f>Q27</f>
        <v>Testo 30µg/L + FAD-10mg/L</v>
      </c>
      <c r="R52" s="29" t="str">
        <f>R27</f>
        <v>Anastrozole-0,032µg/L + Testostérone</v>
      </c>
      <c r="S52" s="29" t="str">
        <f t="shared" ref="S52:V52" si="45">S27</f>
        <v>Anastrozole-0,16µg/L + Testostérone</v>
      </c>
      <c r="T52" s="29" t="str">
        <f t="shared" si="45"/>
        <v>Anastrozole-0,8µg/L + Testostérone</v>
      </c>
      <c r="U52" s="29" t="str">
        <f t="shared" si="45"/>
        <v>Anastrozole-4µg/L + Testostérone</v>
      </c>
      <c r="V52" s="29" t="str">
        <f t="shared" si="45"/>
        <v>Anastrozole-20µg/L + Testostérone</v>
      </c>
    </row>
    <row r="53" spans="1:22" s="3" customFormat="1" x14ac:dyDescent="0.35">
      <c r="A53" s="44" t="s">
        <v>10</v>
      </c>
      <c r="B53" s="76">
        <f t="shared" ref="B53:M53" si="46">B46</f>
        <v>2.0446833927925435E-2</v>
      </c>
      <c r="C53" s="76">
        <f t="shared" si="46"/>
        <v>4.730525897035337E-2</v>
      </c>
      <c r="D53" s="76">
        <f t="shared" si="46"/>
        <v>2.336299120732634E-3</v>
      </c>
      <c r="E53" s="76">
        <f t="shared" si="46"/>
        <v>2.0508483842487959E-2</v>
      </c>
      <c r="F53" s="76">
        <f t="shared" si="46"/>
        <v>0.36662797068255759</v>
      </c>
      <c r="G53" s="76">
        <f t="shared" si="46"/>
        <v>0.79028385714435267</v>
      </c>
      <c r="H53" s="76">
        <f t="shared" si="46"/>
        <v>1.3605589437159544</v>
      </c>
      <c r="I53" s="76">
        <f t="shared" si="46"/>
        <v>6.6275984566583651E-2</v>
      </c>
      <c r="J53" s="76">
        <f t="shared" si="46"/>
        <v>5.8334196044401897E-2</v>
      </c>
      <c r="K53" s="76">
        <f t="shared" si="46"/>
        <v>5.9201366069050229E-2</v>
      </c>
      <c r="L53" s="76">
        <f t="shared" si="46"/>
        <v>7.3247659338857005E-2</v>
      </c>
      <c r="M53" s="76">
        <f t="shared" si="46"/>
        <v>3.9556562633405186E-2</v>
      </c>
      <c r="N53" s="76"/>
      <c r="O53" s="76">
        <f t="shared" ref="O53:V53" si="47">O46</f>
        <v>1</v>
      </c>
      <c r="P53" s="76">
        <f t="shared" si="47"/>
        <v>1.319880468958105</v>
      </c>
      <c r="Q53" s="76">
        <f t="shared" si="47"/>
        <v>5.7512391051224097E-2</v>
      </c>
      <c r="R53" s="76">
        <f t="shared" si="47"/>
        <v>1.1684519939094535</v>
      </c>
      <c r="S53" s="76">
        <f t="shared" si="47"/>
        <v>1.166672870431654</v>
      </c>
      <c r="T53" s="76">
        <f t="shared" si="47"/>
        <v>0.22135576304564536</v>
      </c>
      <c r="U53" s="76">
        <f t="shared" si="47"/>
        <v>5.4418263263746471E-2</v>
      </c>
      <c r="V53" s="76">
        <f t="shared" si="47"/>
        <v>5.4992305392739041E-2</v>
      </c>
    </row>
    <row r="54" spans="1:22" s="3" customFormat="1" x14ac:dyDescent="0.35">
      <c r="A54" s="44" t="s">
        <v>2</v>
      </c>
      <c r="B54" s="76">
        <f t="shared" ref="B54:M54" si="48">B48</f>
        <v>1.019759876137186E-2</v>
      </c>
      <c r="C54" s="76">
        <f t="shared" si="48"/>
        <v>1.6339863192452276E-2</v>
      </c>
      <c r="D54" s="76">
        <f t="shared" si="48"/>
        <v>1.4353951645017589E-3</v>
      </c>
      <c r="E54" s="76">
        <f t="shared" si="48"/>
        <v>8.5712584879025291E-3</v>
      </c>
      <c r="F54" s="76">
        <f t="shared" si="48"/>
        <v>0.12486118840225008</v>
      </c>
      <c r="G54" s="76">
        <f t="shared" si="48"/>
        <v>0.14304580749617921</v>
      </c>
      <c r="H54" s="76">
        <f t="shared" si="48"/>
        <v>7.2663408269502502E-2</v>
      </c>
      <c r="I54" s="76">
        <f t="shared" si="48"/>
        <v>2.3694335409855553E-2</v>
      </c>
      <c r="J54" s="76">
        <f t="shared" si="48"/>
        <v>1.6324317237182365E-2</v>
      </c>
      <c r="K54" s="76">
        <f t="shared" si="48"/>
        <v>1.9615434767316385E-2</v>
      </c>
      <c r="L54" s="76">
        <f t="shared" si="48"/>
        <v>1.373728015985776E-2</v>
      </c>
      <c r="M54" s="76">
        <f t="shared" si="48"/>
        <v>9.6931795218659893E-3</v>
      </c>
      <c r="N54" s="76"/>
      <c r="O54" s="76">
        <f t="shared" ref="O54:V54" si="49">O48</f>
        <v>7.0794271994103583E-2</v>
      </c>
      <c r="P54" s="76">
        <f t="shared" si="49"/>
        <v>0.10118175983114137</v>
      </c>
      <c r="Q54" s="76">
        <f t="shared" si="49"/>
        <v>1.8544664525133019E-2</v>
      </c>
      <c r="R54" s="76">
        <f t="shared" si="49"/>
        <v>0.12979221959603057</v>
      </c>
      <c r="S54" s="76">
        <f t="shared" si="49"/>
        <v>0.10012090752958469</v>
      </c>
      <c r="T54" s="76">
        <f t="shared" si="49"/>
        <v>7.8428050467306859E-2</v>
      </c>
      <c r="U54" s="76">
        <f t="shared" si="49"/>
        <v>2.766526633554648E-2</v>
      </c>
      <c r="V54" s="76">
        <f t="shared" si="49"/>
        <v>1.6220703250904384E-2</v>
      </c>
    </row>
    <row r="55" spans="1:22" s="3" customFormat="1" x14ac:dyDescent="0.35">
      <c r="A55" s="44" t="s">
        <v>14</v>
      </c>
      <c r="B55" s="76">
        <f t="shared" ref="B55:M55" si="50">(B53*100/$B$53)-100</f>
        <v>0</v>
      </c>
      <c r="C55" s="76">
        <f t="shared" si="50"/>
        <v>131.35737854135849</v>
      </c>
      <c r="D55" s="76">
        <f t="shared" si="50"/>
        <v>-88.573785413585171</v>
      </c>
      <c r="E55" s="76">
        <f t="shared" si="50"/>
        <v>0.30151325520535011</v>
      </c>
      <c r="F55" s="76">
        <f t="shared" si="50"/>
        <v>1693.0794174536347</v>
      </c>
      <c r="G55" s="76">
        <f t="shared" si="50"/>
        <v>3765.0671293662531</v>
      </c>
      <c r="H55" s="76">
        <f t="shared" si="50"/>
        <v>6554.130162703379</v>
      </c>
      <c r="I55" s="76">
        <f t="shared" si="50"/>
        <v>224.13812720446009</v>
      </c>
      <c r="J55" s="76">
        <f t="shared" si="50"/>
        <v>185.29696211173052</v>
      </c>
      <c r="K55" s="76">
        <f t="shared" si="50"/>
        <v>189.53805893730794</v>
      </c>
      <c r="L55" s="76">
        <f t="shared" si="50"/>
        <v>258.23472522471263</v>
      </c>
      <c r="M55" s="76">
        <f t="shared" si="50"/>
        <v>93.460575719649569</v>
      </c>
      <c r="N55" s="76"/>
      <c r="O55" s="76">
        <f t="shared" ref="O55:V55" si="51">(O53*100/$O$53)-100</f>
        <v>0</v>
      </c>
      <c r="P55" s="76">
        <f t="shared" si="51"/>
        <v>31.988046895810498</v>
      </c>
      <c r="Q55" s="76">
        <f t="shared" si="51"/>
        <v>-94.248760894877591</v>
      </c>
      <c r="R55" s="76">
        <f t="shared" si="51"/>
        <v>16.845199390945353</v>
      </c>
      <c r="S55" s="76">
        <f t="shared" si="51"/>
        <v>16.667287043165402</v>
      </c>
      <c r="T55" s="76">
        <f t="shared" si="51"/>
        <v>-77.864423695435462</v>
      </c>
      <c r="U55" s="76">
        <f t="shared" si="51"/>
        <v>-94.558173673625348</v>
      </c>
      <c r="V55" s="76">
        <f t="shared" si="51"/>
        <v>-94.50076946072609</v>
      </c>
    </row>
    <row r="56" spans="1:22" s="3" customFormat="1" x14ac:dyDescent="0.35">
      <c r="A56" s="44" t="s">
        <v>37</v>
      </c>
      <c r="B56" s="76">
        <f>[1]!SWTEST(B28:B43)</f>
        <v>8.0092373679470086E-3</v>
      </c>
      <c r="C56" s="76">
        <f>[1]!SWTEST(C28:C43)</f>
        <v>0.19534407082615046</v>
      </c>
      <c r="D56" s="76">
        <f>[1]!SWTEST(D28:D43)</f>
        <v>1.0439822770831331E-3</v>
      </c>
      <c r="E56" s="76">
        <f>[1]!SWTEST(E28:E43)</f>
        <v>2.6583666961966346E-2</v>
      </c>
      <c r="F56" s="76">
        <f>[1]!SWTEST(F28:F43)</f>
        <v>4.9994718276445083E-2</v>
      </c>
      <c r="G56" s="76">
        <f>[1]!SWTEST(G28:G43)</f>
        <v>0.16511828536010975</v>
      </c>
      <c r="H56" s="76">
        <f>[1]!SWTEST(H28:H43)</f>
        <v>0.48306464687228023</v>
      </c>
      <c r="I56" s="76">
        <f>[1]!SWTEST(I28:I43)</f>
        <v>0.15290736359855894</v>
      </c>
      <c r="J56" s="76">
        <f>[1]!SWTEST(J28:J43)</f>
        <v>0.52560178636288735</v>
      </c>
      <c r="K56" s="76">
        <f>[1]!SWTEST(K28:K43)</f>
        <v>0.29211643089599282</v>
      </c>
      <c r="L56" s="76">
        <f>[1]!SWTEST(L28:L43)</f>
        <v>0.82855849649218127</v>
      </c>
      <c r="M56" s="76">
        <f>[1]!SWTEST(M28:M43)</f>
        <v>0.37137136585652741</v>
      </c>
      <c r="N56" s="76"/>
      <c r="O56" s="76">
        <f>[1]!SWTEST(O28:O43)</f>
        <v>0.53500340029381555</v>
      </c>
      <c r="P56" s="76">
        <f>[1]!SWTEST(P28:P43)</f>
        <v>0.46005614751156076</v>
      </c>
      <c r="Q56" s="76">
        <f>[1]!SWTEST(Q28:Q43)</f>
        <v>0.22940474901344454</v>
      </c>
      <c r="R56" s="76">
        <f>[1]!SWTEST(R28:R43)</f>
        <v>0.1198743720742268</v>
      </c>
      <c r="S56" s="76">
        <f>[1]!SWTEST(S28:S43)</f>
        <v>0.68459672133243266</v>
      </c>
      <c r="T56" s="76">
        <f>[1]!SWTEST(T28:T43)</f>
        <v>0.33861756475453408</v>
      </c>
      <c r="U56" s="76">
        <f>[1]!SWTEST(U28:U43)</f>
        <v>6.5299819914477197E-3</v>
      </c>
      <c r="V56" s="76">
        <f>[1]!SWTEST(V28:V43)</f>
        <v>2.3694974625285359E-2</v>
      </c>
    </row>
    <row r="57" spans="1:22" s="3" customFormat="1" x14ac:dyDescent="0.35">
      <c r="A57" s="44" t="s">
        <v>38</v>
      </c>
      <c r="B57" s="76" t="str">
        <f t="shared" ref="B57:M57" si="52">IF(B56&gt;0.05,"Oui","Non")</f>
        <v>Non</v>
      </c>
      <c r="C57" s="76" t="str">
        <f t="shared" si="52"/>
        <v>Oui</v>
      </c>
      <c r="D57" s="76" t="str">
        <f t="shared" si="52"/>
        <v>Non</v>
      </c>
      <c r="E57" s="76" t="str">
        <f t="shared" si="52"/>
        <v>Non</v>
      </c>
      <c r="F57" s="76" t="str">
        <f t="shared" si="52"/>
        <v>Non</v>
      </c>
      <c r="G57" s="76" t="str">
        <f t="shared" si="52"/>
        <v>Oui</v>
      </c>
      <c r="H57" s="76" t="str">
        <f t="shared" si="52"/>
        <v>Oui</v>
      </c>
      <c r="I57" s="76" t="str">
        <f t="shared" si="52"/>
        <v>Oui</v>
      </c>
      <c r="J57" s="76" t="str">
        <f t="shared" si="52"/>
        <v>Oui</v>
      </c>
      <c r="K57" s="76" t="str">
        <f t="shared" si="52"/>
        <v>Oui</v>
      </c>
      <c r="L57" s="76" t="str">
        <f t="shared" si="52"/>
        <v>Oui</v>
      </c>
      <c r="M57" s="76" t="str">
        <f t="shared" si="52"/>
        <v>Oui</v>
      </c>
      <c r="N57" s="76"/>
      <c r="O57" s="76" t="str">
        <f t="shared" ref="O57:V57" si="53">IF(O56&gt;0.05,"Oui","Non")</f>
        <v>Oui</v>
      </c>
      <c r="P57" s="76" t="str">
        <f t="shared" si="53"/>
        <v>Oui</v>
      </c>
      <c r="Q57" s="76" t="str">
        <f t="shared" si="53"/>
        <v>Oui</v>
      </c>
      <c r="R57" s="76" t="str">
        <f t="shared" si="53"/>
        <v>Oui</v>
      </c>
      <c r="S57" s="76" t="str">
        <f t="shared" si="53"/>
        <v>Oui</v>
      </c>
      <c r="T57" s="76" t="str">
        <f t="shared" si="53"/>
        <v>Oui</v>
      </c>
      <c r="U57" s="76" t="str">
        <f t="shared" si="53"/>
        <v>Non</v>
      </c>
      <c r="V57" s="76" t="str">
        <f t="shared" si="53"/>
        <v>Non</v>
      </c>
    </row>
    <row r="58" spans="1:22" s="3" customFormat="1" x14ac:dyDescent="0.35">
      <c r="A58" s="44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8"/>
      <c r="O58" s="79"/>
      <c r="P58" s="76"/>
      <c r="Q58" s="76"/>
      <c r="R58" s="76"/>
      <c r="S58" s="76"/>
      <c r="T58" s="76"/>
      <c r="U58" s="76"/>
      <c r="V58" s="76"/>
    </row>
    <row r="59" spans="1:22" s="3" customFormat="1" x14ac:dyDescent="0.35">
      <c r="A59" s="44" t="s">
        <v>39</v>
      </c>
      <c r="B59" s="80"/>
      <c r="C59" s="80" t="str">
        <f t="shared" ref="C59:M59" si="54">IF($B57="Non",IF(C$57="Non","Mann Withney",IF(C$57="Oui","Mann Withney","")),IF($B$57="Oui",IF(C$57="Oui","T-Test Welch",IF(C$57="Non","Mann Withney",""))))</f>
        <v>Mann Withney</v>
      </c>
      <c r="D59" s="80" t="str">
        <f t="shared" si="54"/>
        <v>Mann Withney</v>
      </c>
      <c r="E59" s="80" t="str">
        <f t="shared" si="54"/>
        <v>Mann Withney</v>
      </c>
      <c r="F59" s="80" t="str">
        <f t="shared" si="54"/>
        <v>Mann Withney</v>
      </c>
      <c r="G59" s="80" t="str">
        <f t="shared" si="54"/>
        <v>Mann Withney</v>
      </c>
      <c r="H59" s="80" t="str">
        <f t="shared" si="54"/>
        <v>Mann Withney</v>
      </c>
      <c r="I59" s="80" t="str">
        <f t="shared" si="54"/>
        <v>Mann Withney</v>
      </c>
      <c r="J59" s="80" t="str">
        <f t="shared" si="54"/>
        <v>Mann Withney</v>
      </c>
      <c r="K59" s="80" t="str">
        <f t="shared" si="54"/>
        <v>Mann Withney</v>
      </c>
      <c r="L59" s="80" t="str">
        <f t="shared" si="54"/>
        <v>Mann Withney</v>
      </c>
      <c r="M59" s="80" t="str">
        <f t="shared" si="54"/>
        <v>Mann Withney</v>
      </c>
      <c r="N59" s="80"/>
      <c r="O59" s="80" t="str">
        <f>IF($B57="Non",IF(O$57="Non","Mann Withney",IF(O$57="Oui","Mann Withney","")),IF($B$57="Oui",IF(O$57="Oui","T-Test Welch",IF(O$57="Non","Mann Withney",""))))</f>
        <v>Mann Withney</v>
      </c>
      <c r="P59" s="80" t="str">
        <f t="shared" ref="P59:V59" si="55">IF($O57="Non",IF(P$57="Non","Mann Withney",IF(P$57="Oui","Mann Withney","")),IF($O$57="Oui",IF(P$57="Oui","T-Test Welch",IF(P$57="Non","Mann Withney",""))))</f>
        <v>T-Test Welch</v>
      </c>
      <c r="Q59" s="80" t="str">
        <f t="shared" si="55"/>
        <v>T-Test Welch</v>
      </c>
      <c r="R59" s="80" t="str">
        <f t="shared" si="55"/>
        <v>T-Test Welch</v>
      </c>
      <c r="S59" s="80" t="str">
        <f t="shared" si="55"/>
        <v>T-Test Welch</v>
      </c>
      <c r="T59" s="80" t="str">
        <f t="shared" si="55"/>
        <v>T-Test Welch</v>
      </c>
      <c r="U59" s="80" t="str">
        <f t="shared" si="55"/>
        <v>Mann Withney</v>
      </c>
      <c r="V59" s="80" t="str">
        <f t="shared" si="55"/>
        <v>Mann Withney</v>
      </c>
    </row>
    <row r="60" spans="1:22" s="3" customFormat="1" x14ac:dyDescent="0.35">
      <c r="A60" s="44" t="s">
        <v>40</v>
      </c>
      <c r="B60" s="81"/>
      <c r="C60" s="81">
        <f>IF(C59="Mann Withney",[1]!MTEST($B28:$B43,C28:C43,2), IF(C59="T-Test Welch",_xlfn.T.TEST($B28:$B43,C28:C43,2,3),""))</f>
        <v>0.11518373151505124</v>
      </c>
      <c r="D60" s="81">
        <f>IF(D59="Mann Withney",[1]!MTEST($B28:$B43,D28:D43,2), IF(D59="T-Test Welch",_xlfn.T.TEST($B28:$B43,D28:D43,2,3),""))</f>
        <v>0.27014853272850603</v>
      </c>
      <c r="E60" s="81">
        <f>IF(E59="Mann Withney",[1]!MTEST($B28:$B43,E28:E43,2), IF(E59="T-Test Welch",_xlfn.T.TEST($B28:$B43,E28:E43,2,3),""))</f>
        <v>0.87482597694924369</v>
      </c>
      <c r="F60" s="81">
        <f>IF(F59="Mann Withney",[1]!MTEST($B28:$B43,F28:F43,2), IF(F59="T-Test Welch",_xlfn.T.TEST($B28:$B43,F28:F43,2,3),""))</f>
        <v>4.5744394562106105E-3</v>
      </c>
      <c r="G60" s="81">
        <f>IF(G59="Mann Withney",[1]!MTEST($B28:$B43,G28:G43,2), IF(G59="T-Test Welch",_xlfn.T.TEST($B28:$B43,G28:G43,2,3),""))</f>
        <v>7.4055333405003143E-3</v>
      </c>
      <c r="H60" s="81">
        <f>IF(H59="Mann Withney",[1]!MTEST($B28:$B43,H28:H43,2), IF(H59="T-Test Welch",_xlfn.T.TEST($B28:$B43,H28:H43,2,3),""))</f>
        <v>7.7753044694039986E-4</v>
      </c>
      <c r="I60" s="81">
        <f>IF(I59="Mann Withney",[1]!MTEST($B28:$B43,I28:I43,2), IF(I59="T-Test Welch",_xlfn.T.TEST($B28:$B43,I28:I43,2,3),""))</f>
        <v>5.2029617622225244E-2</v>
      </c>
      <c r="J60" s="81">
        <f>IF(J59="Mann Withney",[1]!MTEST($B28:$B43,J28:J43,2), IF(J59="T-Test Welch",_xlfn.T.TEST($B28:$B43,J28:J43,2,3),""))</f>
        <v>2.7423154381354564E-2</v>
      </c>
      <c r="K60" s="81">
        <f>IF(K59="Mann Withney",[1]!MTEST($B28:$B43,K28:K43,2), IF(K59="T-Test Welch",_xlfn.T.TEST($B28:$B43,K28:K43,2,3),""))</f>
        <v>5.8707408431204922E-2</v>
      </c>
      <c r="L60" s="81">
        <f>IF(L59="Mann Withney",[1]!MTEST($B28:$B43,L28:L43,2), IF(L59="T-Test Welch",_xlfn.T.TEST($B28:$B43,L28:L43,2,3),""))</f>
        <v>1.5714349772218972E-2</v>
      </c>
      <c r="M60" s="81">
        <f>IF(M59="Mann Withney",[1]!MTEST($B28:$B43,M28:M43,2), IF(M59="T-Test Welch",_xlfn.T.TEST($B28:$B43,M28:M43,2,3),""))</f>
        <v>0.14148212148279327</v>
      </c>
      <c r="N60" s="81"/>
      <c r="O60" s="81">
        <f>IF(O59="Mann Withney",[1]!MTEST($B28:$B43,O28:O43,2), IF(O59="T-Test Welch",_xlfn.T.TEST($B28:$B43,O28:O43,2,3),""))</f>
        <v>8.884941911446731E-5</v>
      </c>
      <c r="P60" s="81">
        <f>IF(P59="Mann Withney",[1]!MTEST($O28:$O43,P28:P43,2), IF(P59="T-Test Welch",_xlfn.T.TEST($O28:$O43,P28:P43,2,3),""))</f>
        <v>2.1404591661175726E-2</v>
      </c>
      <c r="Q60" s="81">
        <f>IF(Q59="Mann Withney",[1]!MTEST($O28:$O43,Q28:Q43,2), IF(Q59="T-Test Welch",_xlfn.T.TEST($O28:$O43,Q28:Q43,2,3),""))</f>
        <v>3.4988956884540813E-10</v>
      </c>
      <c r="R60" s="81">
        <f>IF(R59="Mann Withney",[1]!MTEST($O28:$O43,R28:R43,2), IF(R59="T-Test Welch",_xlfn.T.TEST($O28:$O43,R28:R43,2,3),""))</f>
        <v>0.27808266561455697</v>
      </c>
      <c r="S60" s="81">
        <f>IF(S59="Mann Withney",[1]!MTEST($O28:$O43,S28:S43,2), IF(S59="T-Test Welch",_xlfn.T.TEST($O28:$O43,S28:S43,2,3),""))</f>
        <v>0.1954061672006632</v>
      </c>
      <c r="T60" s="81">
        <f>IF(T59="Mann Withney",[1]!MTEST($O28:$O43,T28:T43,2), IF(T59="T-Test Welch",_xlfn.T.TEST($O28:$O43,T28:T43,2,3),""))</f>
        <v>8.8600100649890221E-7</v>
      </c>
      <c r="U60" s="81">
        <f>IF(U59="Mann Withney",[1]!MTEST($O28:$O43,U28:U43,2), IF(U59="T-Test Welch",_xlfn.T.TEST($O28:$O43,U28:U43,2,3),""))</f>
        <v>8.884941911446731E-5</v>
      </c>
      <c r="V60" s="81">
        <f>IF(V59="Mann Withney",[1]!MTEST($O28:$O43,V28:V43,2), IF(V59="T-Test Welch",_xlfn.T.TEST($O28:$O43,V28:V43,2,3),""))</f>
        <v>8.884941911446731E-5</v>
      </c>
    </row>
    <row r="61" spans="1:22" s="3" customFormat="1" ht="15" thickBot="1" x14ac:dyDescent="0.4">
      <c r="A61" s="45" t="s">
        <v>15</v>
      </c>
      <c r="B61" s="77"/>
      <c r="C61" s="77" t="str">
        <f t="shared" ref="C61:M61" si="56">IF(C60&gt;0.05,"NS",IF(C60&gt;0.01,"*",IF(C60&gt;0.001,"**","***")))</f>
        <v>NS</v>
      </c>
      <c r="D61" s="77" t="str">
        <f t="shared" si="56"/>
        <v>NS</v>
      </c>
      <c r="E61" s="77" t="str">
        <f t="shared" si="56"/>
        <v>NS</v>
      </c>
      <c r="F61" s="77" t="str">
        <f t="shared" si="56"/>
        <v>**</v>
      </c>
      <c r="G61" s="77" t="str">
        <f t="shared" si="56"/>
        <v>**</v>
      </c>
      <c r="H61" s="77" t="str">
        <f t="shared" si="56"/>
        <v>***</v>
      </c>
      <c r="I61" s="77" t="str">
        <f t="shared" si="56"/>
        <v>NS</v>
      </c>
      <c r="J61" s="77" t="str">
        <f t="shared" si="56"/>
        <v>*</v>
      </c>
      <c r="K61" s="77" t="str">
        <f t="shared" si="56"/>
        <v>NS</v>
      </c>
      <c r="L61" s="77" t="str">
        <f t="shared" si="56"/>
        <v>*</v>
      </c>
      <c r="M61" s="77" t="str">
        <f t="shared" si="56"/>
        <v>NS</v>
      </c>
      <c r="N61" s="77"/>
      <c r="O61" s="77" t="str">
        <f>IF(O60&gt;0.05,"NS",IF(O60&gt;0.01,"*",IF(O60&gt;0.001,"**","***")))</f>
        <v>***</v>
      </c>
      <c r="P61" s="77" t="str">
        <f>IF(P60&gt;0.05,"NS",IF(P60&gt;0.01,"*",IF(P60&gt;0.001,"**","***")))</f>
        <v>*</v>
      </c>
      <c r="Q61" s="77" t="str">
        <f t="shared" ref="Q61" si="57">IF(Q60&gt;0.05,"NS",IF(Q60&gt;0.01,"*",IF(Q60&gt;0.001,"**","***")))</f>
        <v>***</v>
      </c>
      <c r="R61" s="77" t="str">
        <f t="shared" ref="R61" si="58">IF(R60&gt;0.05,"NS",IF(R60&gt;0.01,"*",IF(R60&gt;0.001,"**","***")))</f>
        <v>NS</v>
      </c>
      <c r="S61" s="77" t="str">
        <f t="shared" ref="S61" si="59">IF(S60&gt;0.05,"NS",IF(S60&gt;0.01,"*",IF(S60&gt;0.001,"**","***")))</f>
        <v>NS</v>
      </c>
      <c r="T61" s="77" t="str">
        <f t="shared" ref="T61" si="60">IF(T60&gt;0.05,"NS",IF(T60&gt;0.01,"*",IF(T60&gt;0.001,"**","***")))</f>
        <v>***</v>
      </c>
      <c r="U61" s="77" t="str">
        <f t="shared" ref="U61" si="61">IF(U60&gt;0.05,"NS",IF(U60&gt;0.01,"*",IF(U60&gt;0.001,"**","***")))</f>
        <v>***</v>
      </c>
      <c r="V61" s="77" t="str">
        <f t="shared" ref="V61" si="62">IF(V60&gt;0.05,"NS",IF(V60&gt;0.01,"*",IF(V60&gt;0.001,"**","***")))</f>
        <v>***</v>
      </c>
    </row>
    <row r="63" spans="1:22" x14ac:dyDescent="0.35">
      <c r="A63" s="2"/>
    </row>
    <row r="66" spans="1:22" ht="15" thickBot="1" x14ac:dyDescent="0.4"/>
    <row r="67" spans="1:22" s="1" customFormat="1" ht="26.5" thickBot="1" x14ac:dyDescent="0.65">
      <c r="A67" s="138"/>
      <c r="B67" s="139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</row>
    <row r="68" spans="1:22" ht="16.5" x14ac:dyDescent="0.35">
      <c r="A68" s="11"/>
      <c r="B68" s="11"/>
      <c r="C68" s="11"/>
      <c r="D68" s="11"/>
      <c r="E68" s="11"/>
      <c r="F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ht="16.5" x14ac:dyDescent="0.35">
      <c r="A69" s="11"/>
      <c r="B69" s="11"/>
      <c r="C69" s="11"/>
      <c r="D69" s="11"/>
      <c r="E69" s="11"/>
      <c r="F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ht="16.5" x14ac:dyDescent="0.35">
      <c r="A70" s="11"/>
      <c r="B70" s="11"/>
      <c r="C70" s="11"/>
      <c r="D70" s="11"/>
      <c r="E70" s="11"/>
      <c r="F70" s="11"/>
      <c r="N70" s="11"/>
      <c r="O70" s="11"/>
      <c r="P70" s="11"/>
      <c r="Q70" s="11"/>
    </row>
    <row r="71" spans="1:22" ht="16.5" x14ac:dyDescent="0.35">
      <c r="A71" s="11"/>
      <c r="B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ht="16.5" x14ac:dyDescent="0.35">
      <c r="A72" s="11"/>
      <c r="B72" s="11"/>
      <c r="C72" s="11"/>
      <c r="D72" s="11"/>
      <c r="E72" s="11"/>
      <c r="F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 ht="16.5" x14ac:dyDescent="0.35">
      <c r="A73" s="11"/>
      <c r="B73" s="11"/>
      <c r="C73" s="11"/>
      <c r="D73" s="11"/>
      <c r="E73" s="11"/>
      <c r="F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ht="16.5" x14ac:dyDescent="0.35">
      <c r="A74" s="11"/>
      <c r="B74" s="11"/>
      <c r="C74" s="11"/>
      <c r="D74" s="11"/>
      <c r="E74" s="11"/>
      <c r="F74" s="11"/>
      <c r="N74" s="11"/>
      <c r="O74" s="11"/>
      <c r="P74" s="11"/>
      <c r="Q74" s="11"/>
      <c r="R74" s="11"/>
      <c r="S74" s="11"/>
      <c r="T74" s="11"/>
      <c r="U74" s="11"/>
      <c r="V74" s="11"/>
    </row>
  </sheetData>
  <protectedRanges>
    <protectedRange sqref="O51:V51" name="Plage2"/>
    <protectedRange sqref="R21:V21" name="Plage1"/>
    <protectedRange sqref="B51:J51" name="Plage2_1"/>
    <protectedRange sqref="B13:J21 O21" name="Plage1_1"/>
    <protectedRange sqref="B5:J12" name="Plage1_1_2"/>
    <protectedRange sqref="R5:V20" name="Plage1_2"/>
    <protectedRange sqref="O5:O20" name="Plage1_1_3"/>
  </protectedRanges>
  <mergeCells count="9">
    <mergeCell ref="A1:V1"/>
    <mergeCell ref="A67:V67"/>
    <mergeCell ref="A50:V50"/>
    <mergeCell ref="A5:A20"/>
    <mergeCell ref="A28:A43"/>
    <mergeCell ref="B3:M3"/>
    <mergeCell ref="B26:M26"/>
    <mergeCell ref="O26:V26"/>
    <mergeCell ref="O3:V3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74"/>
  <sheetViews>
    <sheetView showGridLines="0" topLeftCell="G52" zoomScale="70" zoomScaleNormal="70" zoomScaleSheetLayoutView="40" zoomScalePageLayoutView="30" workbookViewId="0">
      <selection activeCell="N72" sqref="I70:N72"/>
    </sheetView>
  </sheetViews>
  <sheetFormatPr baseColWidth="10" defaultColWidth="9.1796875" defaultRowHeight="14.5" x14ac:dyDescent="0.35"/>
  <cols>
    <col min="1" max="1" width="33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1.7265625" style="1" customWidth="1"/>
    <col min="15" max="15" width="14.81640625" style="1" customWidth="1"/>
    <col min="16" max="16" width="17.7265625" style="1" customWidth="1"/>
    <col min="17" max="18" width="25.81640625" style="1" bestFit="1" customWidth="1"/>
    <col min="19" max="22" width="25.81640625" style="1" customWidth="1"/>
    <col min="23" max="16384" width="9.1796875" style="1"/>
  </cols>
  <sheetData>
    <row r="1" spans="1:22" ht="26.5" thickBot="1" x14ac:dyDescent="0.65">
      <c r="A1" s="136"/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</row>
    <row r="2" spans="1:22" customFormat="1" ht="15" thickBot="1" x14ac:dyDescent="0.4"/>
    <row r="3" spans="1:22" ht="15" thickBot="1" x14ac:dyDescent="0.4">
      <c r="A3" s="82" t="s">
        <v>6</v>
      </c>
      <c r="B3" s="144" t="s">
        <v>41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O3" s="144" t="s">
        <v>42</v>
      </c>
      <c r="P3" s="145"/>
      <c r="Q3" s="145"/>
      <c r="R3" s="145"/>
      <c r="S3" s="145"/>
      <c r="T3" s="145"/>
      <c r="U3" s="145"/>
      <c r="V3" s="145"/>
    </row>
    <row r="4" spans="1:22" x14ac:dyDescent="0.35">
      <c r="A4" s="18" t="s">
        <v>36</v>
      </c>
      <c r="B4" s="19" t="str">
        <f>'Front page'!A7</f>
        <v>Solvent control</v>
      </c>
      <c r="C4" s="19" t="str">
        <f>'Front page'!A8</f>
        <v>EE2-33.8ng/L</v>
      </c>
      <c r="D4" s="19" t="str">
        <f>'Front page'!A9</f>
        <v>EE2-50.6ng/L</v>
      </c>
      <c r="E4" s="19" t="str">
        <f>'Front page'!A10</f>
        <v>EE2-76ng/L</v>
      </c>
      <c r="F4" s="19" t="str">
        <f>'Front page'!A11</f>
        <v>EE2-114ng/L</v>
      </c>
      <c r="G4" s="19" t="str">
        <f>'Front page'!A12</f>
        <v>EE2-170.9ng/L</v>
      </c>
      <c r="H4" s="19" t="str">
        <f>'Front page'!A13</f>
        <v>EE2-488ng/L</v>
      </c>
      <c r="I4" s="19" t="str">
        <f>'Front page'!A14</f>
        <v>Anastrozole-0,032µg/L</v>
      </c>
      <c r="J4" s="19" t="str">
        <f>'Front page'!A15</f>
        <v>Anastrozole-0,16µg/L</v>
      </c>
      <c r="K4" s="19" t="str">
        <f>'Front page'!A16</f>
        <v>Anastrozole-0,8µg/L</v>
      </c>
      <c r="L4" s="19" t="str">
        <f>'Front page'!A17</f>
        <v>Anastrozole-4µg/L</v>
      </c>
      <c r="M4" s="19" t="str">
        <f>'Front page'!A18</f>
        <v>Anastrozole-20µg/L</v>
      </c>
      <c r="N4" s="3"/>
      <c r="O4" s="20" t="str">
        <f>'Front page'!A35</f>
        <v>Testo -30µg/L</v>
      </c>
      <c r="P4" s="20" t="str">
        <f>'Front page'!A36</f>
        <v>Testo 30µg/L + EE2 -64ng/L</v>
      </c>
      <c r="Q4" s="20" t="str">
        <f>'Front page'!A37</f>
        <v>Testo 30µg/L + FAD-10mg/L</v>
      </c>
      <c r="R4" s="20" t="str">
        <f>'Front page'!A38</f>
        <v>Anastrozole-0,032µg/L + Testostérone</v>
      </c>
      <c r="S4" s="20" t="str">
        <f>'Front page'!A39</f>
        <v>Anastrozole-0,16µg/L + Testostérone</v>
      </c>
      <c r="T4" s="20" t="str">
        <f>'Front page'!A40</f>
        <v>Anastrozole-0,8µg/L + Testostérone</v>
      </c>
      <c r="U4" s="20" t="str">
        <f>'Front page'!A41</f>
        <v>Anastrozole-4µg/L + Testostérone</v>
      </c>
      <c r="V4" s="20" t="str">
        <f>'Front page'!A42</f>
        <v>Anastrozole-20µg/L + Testostérone</v>
      </c>
    </row>
    <row r="5" spans="1:22" x14ac:dyDescent="0.35">
      <c r="A5" s="140" t="s">
        <v>34</v>
      </c>
      <c r="B5" s="1">
        <v>0</v>
      </c>
      <c r="C5" s="1">
        <v>0</v>
      </c>
      <c r="D5" s="1">
        <v>0</v>
      </c>
      <c r="E5" s="1">
        <v>0</v>
      </c>
      <c r="F5" s="1">
        <v>52475</v>
      </c>
      <c r="G5" s="1">
        <v>54307</v>
      </c>
      <c r="H5" s="1">
        <v>106122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3"/>
      <c r="O5" s="1">
        <v>47835</v>
      </c>
      <c r="P5" s="1">
        <v>5883</v>
      </c>
      <c r="Q5" s="1">
        <v>0</v>
      </c>
      <c r="R5" s="1">
        <v>971</v>
      </c>
      <c r="S5" s="1">
        <v>38021</v>
      </c>
      <c r="T5" s="1">
        <v>0</v>
      </c>
      <c r="U5" s="1">
        <v>0</v>
      </c>
      <c r="V5" s="1">
        <v>0</v>
      </c>
    </row>
    <row r="6" spans="1:22" x14ac:dyDescent="0.35">
      <c r="A6" s="141"/>
      <c r="B6" s="1">
        <v>0</v>
      </c>
      <c r="C6" s="1">
        <v>0</v>
      </c>
      <c r="D6" s="1">
        <v>0</v>
      </c>
      <c r="E6" s="1">
        <v>0</v>
      </c>
      <c r="F6" s="1">
        <v>211081</v>
      </c>
      <c r="G6" s="1">
        <v>92689</v>
      </c>
      <c r="H6" s="1">
        <v>192967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3"/>
      <c r="O6" s="1">
        <v>10534</v>
      </c>
      <c r="P6" s="1">
        <v>1529</v>
      </c>
      <c r="Q6" s="1">
        <v>0</v>
      </c>
      <c r="R6" s="1">
        <v>27414</v>
      </c>
      <c r="S6" s="1">
        <v>81</v>
      </c>
      <c r="T6" s="1">
        <v>0</v>
      </c>
      <c r="U6" s="1">
        <v>0</v>
      </c>
      <c r="V6" s="1">
        <v>0</v>
      </c>
    </row>
    <row r="7" spans="1:22" x14ac:dyDescent="0.35">
      <c r="A7" s="141"/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136990</v>
      </c>
      <c r="H7" s="1">
        <v>172745</v>
      </c>
      <c r="I7" s="1">
        <v>564</v>
      </c>
      <c r="J7" s="1">
        <v>0</v>
      </c>
      <c r="K7" s="1">
        <v>0</v>
      </c>
      <c r="L7" s="1">
        <v>0</v>
      </c>
      <c r="M7" s="1">
        <v>0</v>
      </c>
      <c r="N7" s="3"/>
      <c r="O7" s="1">
        <v>44609</v>
      </c>
      <c r="P7" s="1">
        <v>126357</v>
      </c>
      <c r="Q7" s="1">
        <v>0</v>
      </c>
      <c r="R7" s="1">
        <v>7205</v>
      </c>
      <c r="S7" s="1">
        <v>2263</v>
      </c>
      <c r="T7" s="1">
        <v>0</v>
      </c>
      <c r="U7" s="1">
        <v>0</v>
      </c>
      <c r="V7" s="1">
        <v>0</v>
      </c>
    </row>
    <row r="8" spans="1:22" x14ac:dyDescent="0.35">
      <c r="A8" s="141"/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70243</v>
      </c>
      <c r="H8" s="1">
        <v>209811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3"/>
      <c r="O8" s="1">
        <v>57787</v>
      </c>
      <c r="P8" s="1">
        <v>90174</v>
      </c>
      <c r="Q8" s="1">
        <v>0</v>
      </c>
      <c r="R8" s="1">
        <v>1046</v>
      </c>
      <c r="S8" s="1">
        <v>0</v>
      </c>
      <c r="T8" s="1">
        <v>0</v>
      </c>
      <c r="U8" s="1">
        <v>0</v>
      </c>
      <c r="V8" s="1">
        <v>0</v>
      </c>
    </row>
    <row r="9" spans="1:22" x14ac:dyDescent="0.35">
      <c r="A9" s="141"/>
      <c r="B9" s="1">
        <v>0</v>
      </c>
      <c r="C9" s="1">
        <v>81</v>
      </c>
      <c r="D9" s="1">
        <v>0</v>
      </c>
      <c r="E9" s="1">
        <v>0</v>
      </c>
      <c r="F9" s="1">
        <v>106698</v>
      </c>
      <c r="G9" s="1">
        <v>69626</v>
      </c>
      <c r="H9" s="1">
        <v>172250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3"/>
      <c r="O9" s="1">
        <v>0</v>
      </c>
      <c r="P9" s="1">
        <v>153928</v>
      </c>
      <c r="Q9" s="1">
        <v>0</v>
      </c>
      <c r="R9" s="1">
        <v>58392</v>
      </c>
      <c r="S9" s="1">
        <v>52979</v>
      </c>
      <c r="T9" s="1">
        <v>0</v>
      </c>
      <c r="U9" s="1">
        <v>0</v>
      </c>
      <c r="V9" s="1">
        <v>0</v>
      </c>
    </row>
    <row r="10" spans="1:22" x14ac:dyDescent="0.35">
      <c r="A10" s="141"/>
      <c r="B10" s="1">
        <v>0</v>
      </c>
      <c r="C10" s="1">
        <v>0</v>
      </c>
      <c r="D10" s="1">
        <v>83</v>
      </c>
      <c r="E10" s="1">
        <v>82</v>
      </c>
      <c r="F10" s="1">
        <v>123728</v>
      </c>
      <c r="G10" s="1">
        <v>157763</v>
      </c>
      <c r="H10" s="1">
        <v>259945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3"/>
      <c r="O10" s="1">
        <v>60007</v>
      </c>
      <c r="P10" s="1">
        <v>129585</v>
      </c>
      <c r="Q10" s="1">
        <v>0</v>
      </c>
      <c r="R10" s="1">
        <v>3438</v>
      </c>
      <c r="S10" s="1">
        <v>0</v>
      </c>
      <c r="T10" s="1">
        <v>0</v>
      </c>
      <c r="U10" s="1">
        <v>0</v>
      </c>
      <c r="V10" s="1">
        <v>0</v>
      </c>
    </row>
    <row r="11" spans="1:22" x14ac:dyDescent="0.35">
      <c r="A11" s="141"/>
      <c r="B11" s="1">
        <v>0</v>
      </c>
      <c r="C11" s="1">
        <v>0</v>
      </c>
      <c r="D11" s="1">
        <v>0</v>
      </c>
      <c r="E11" s="1">
        <v>0</v>
      </c>
      <c r="F11" s="1">
        <v>3823</v>
      </c>
      <c r="G11" s="1">
        <v>149843</v>
      </c>
      <c r="H11" s="1">
        <v>103603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3"/>
      <c r="O11" s="1">
        <v>2507</v>
      </c>
      <c r="P11" s="1">
        <v>145089</v>
      </c>
      <c r="Q11" s="1">
        <v>0</v>
      </c>
      <c r="R11" s="1">
        <v>14887</v>
      </c>
      <c r="S11" s="1">
        <v>2196</v>
      </c>
      <c r="T11" s="1">
        <v>0</v>
      </c>
      <c r="U11" s="1">
        <v>1385</v>
      </c>
      <c r="V11" s="1">
        <v>0</v>
      </c>
    </row>
    <row r="12" spans="1:22" x14ac:dyDescent="0.35">
      <c r="A12" s="141"/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159596</v>
      </c>
      <c r="H12" s="1">
        <v>208410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3"/>
      <c r="O12" s="1">
        <v>40737</v>
      </c>
      <c r="P12" s="1">
        <v>90735</v>
      </c>
      <c r="Q12" s="1">
        <v>4885</v>
      </c>
      <c r="R12" s="1">
        <v>160</v>
      </c>
      <c r="S12" s="1">
        <v>3819</v>
      </c>
      <c r="T12" s="1">
        <v>0</v>
      </c>
      <c r="U12" s="1">
        <v>0</v>
      </c>
      <c r="V12" s="1">
        <v>0</v>
      </c>
    </row>
    <row r="13" spans="1:22" ht="16.5" x14ac:dyDescent="0.35">
      <c r="A13" s="141"/>
      <c r="B13" s="13"/>
      <c r="C13" s="12"/>
      <c r="D13" s="16"/>
      <c r="E13" s="16"/>
      <c r="F13" s="16"/>
      <c r="G13" s="16"/>
      <c r="H13" s="16"/>
      <c r="I13" s="16"/>
      <c r="J13" s="16"/>
      <c r="K13" s="12"/>
      <c r="L13" s="12"/>
      <c r="M13" s="12"/>
      <c r="N13" s="3"/>
      <c r="O13" s="1">
        <v>322</v>
      </c>
      <c r="P13" s="12"/>
      <c r="Q13" s="12"/>
      <c r="R13" s="16"/>
      <c r="S13" s="16"/>
      <c r="T13" s="16"/>
      <c r="U13" s="16"/>
      <c r="V13" s="16"/>
    </row>
    <row r="14" spans="1:22" ht="16.5" x14ac:dyDescent="0.35">
      <c r="A14" s="141"/>
      <c r="B14" s="13"/>
      <c r="C14" s="16"/>
      <c r="D14" s="16"/>
      <c r="E14" s="16"/>
      <c r="F14" s="16"/>
      <c r="G14" s="16"/>
      <c r="H14" s="16"/>
      <c r="I14" s="16"/>
      <c r="J14" s="16"/>
      <c r="K14" s="12"/>
      <c r="L14" s="12"/>
      <c r="M14" s="12"/>
      <c r="N14" s="3"/>
      <c r="O14" s="1">
        <v>44157</v>
      </c>
      <c r="P14" s="12"/>
      <c r="Q14" s="12"/>
      <c r="R14" s="16"/>
      <c r="S14" s="16"/>
      <c r="T14" s="16"/>
      <c r="U14" s="16"/>
      <c r="V14" s="16"/>
    </row>
    <row r="15" spans="1:22" ht="16.5" x14ac:dyDescent="0.35">
      <c r="A15" s="141"/>
      <c r="B15" s="13"/>
      <c r="C15" s="16"/>
      <c r="D15" s="16"/>
      <c r="E15" s="16"/>
      <c r="F15" s="16"/>
      <c r="G15" s="16"/>
      <c r="H15" s="16"/>
      <c r="I15" s="16"/>
      <c r="J15" s="16"/>
      <c r="K15" s="12"/>
      <c r="L15" s="12"/>
      <c r="M15" s="12"/>
      <c r="N15" s="3"/>
      <c r="O15" s="1">
        <v>15081</v>
      </c>
      <c r="P15" s="12"/>
      <c r="Q15" s="12"/>
      <c r="R15" s="16"/>
      <c r="S15" s="16"/>
      <c r="T15" s="16"/>
      <c r="U15" s="16"/>
      <c r="V15" s="16"/>
    </row>
    <row r="16" spans="1:22" ht="16.5" x14ac:dyDescent="0.35">
      <c r="A16" s="141"/>
      <c r="B16" s="13"/>
      <c r="C16" s="16"/>
      <c r="D16" s="16"/>
      <c r="E16" s="16"/>
      <c r="F16" s="16"/>
      <c r="G16" s="16"/>
      <c r="H16" s="16"/>
      <c r="I16" s="16"/>
      <c r="J16" s="16"/>
      <c r="K16" s="12"/>
      <c r="L16" s="12"/>
      <c r="M16" s="12"/>
      <c r="N16" s="3"/>
      <c r="O16" s="1">
        <v>94613</v>
      </c>
      <c r="P16" s="12"/>
      <c r="Q16" s="12"/>
      <c r="R16" s="16"/>
      <c r="S16" s="16"/>
      <c r="T16" s="16"/>
      <c r="U16" s="16"/>
      <c r="V16" s="16"/>
    </row>
    <row r="17" spans="1:22" ht="16.5" x14ac:dyDescent="0.35">
      <c r="A17" s="141"/>
      <c r="B17" s="13"/>
      <c r="C17" s="16"/>
      <c r="D17" s="16"/>
      <c r="E17" s="16"/>
      <c r="F17" s="16"/>
      <c r="G17" s="16"/>
      <c r="H17" s="16"/>
      <c r="I17" s="16"/>
      <c r="J17" s="16"/>
      <c r="K17" s="12"/>
      <c r="L17" s="12"/>
      <c r="M17" s="12"/>
      <c r="N17" s="3"/>
      <c r="O17" s="1">
        <v>100512</v>
      </c>
      <c r="P17" s="12"/>
      <c r="Q17" s="12"/>
      <c r="R17" s="16"/>
      <c r="S17" s="16"/>
      <c r="T17" s="16"/>
      <c r="U17" s="16"/>
      <c r="V17" s="16"/>
    </row>
    <row r="18" spans="1:22" ht="16.5" x14ac:dyDescent="0.35">
      <c r="A18" s="141"/>
      <c r="B18" s="13"/>
      <c r="C18" s="16"/>
      <c r="D18" s="16"/>
      <c r="E18" s="16"/>
      <c r="F18" s="16"/>
      <c r="G18" s="16"/>
      <c r="H18" s="16"/>
      <c r="I18" s="16"/>
      <c r="J18" s="16"/>
      <c r="K18" s="12"/>
      <c r="L18" s="12"/>
      <c r="M18" s="12"/>
      <c r="N18" s="3"/>
      <c r="O18" s="1">
        <v>405</v>
      </c>
      <c r="P18" s="12"/>
      <c r="Q18" s="12"/>
      <c r="R18" s="16"/>
      <c r="S18" s="16"/>
      <c r="T18" s="16"/>
      <c r="U18" s="16"/>
      <c r="V18" s="16"/>
    </row>
    <row r="19" spans="1:22" ht="16.5" x14ac:dyDescent="0.35">
      <c r="A19" s="141"/>
      <c r="B19" s="13"/>
      <c r="C19" s="16"/>
      <c r="D19" s="16"/>
      <c r="E19" s="16"/>
      <c r="F19" s="16"/>
      <c r="G19" s="16"/>
      <c r="H19" s="16"/>
      <c r="I19" s="16"/>
      <c r="J19" s="16"/>
      <c r="K19" s="12"/>
      <c r="L19" s="12"/>
      <c r="M19" s="12"/>
      <c r="N19" s="3"/>
      <c r="O19" s="1">
        <v>77951</v>
      </c>
      <c r="P19" s="12"/>
      <c r="Q19" s="12"/>
      <c r="R19" s="16"/>
      <c r="S19" s="16"/>
      <c r="T19" s="16"/>
      <c r="U19" s="16"/>
      <c r="V19" s="16"/>
    </row>
    <row r="20" spans="1:22" ht="16.5" x14ac:dyDescent="0.35">
      <c r="A20" s="141"/>
      <c r="B20" s="13"/>
      <c r="C20" s="16"/>
      <c r="D20" s="16"/>
      <c r="E20" s="16"/>
      <c r="F20" s="16"/>
      <c r="G20" s="16"/>
      <c r="H20" s="16"/>
      <c r="I20" s="16"/>
      <c r="J20" s="16"/>
      <c r="K20" s="12"/>
      <c r="L20" s="12"/>
      <c r="M20" s="12"/>
      <c r="N20" s="3"/>
      <c r="O20" s="1">
        <v>97388</v>
      </c>
      <c r="P20" s="12"/>
      <c r="Q20" s="12"/>
      <c r="R20" s="16"/>
      <c r="S20" s="16"/>
      <c r="T20" s="16"/>
      <c r="U20" s="16"/>
      <c r="V20" s="16"/>
    </row>
    <row r="21" spans="1:22" x14ac:dyDescent="0.35">
      <c r="A21" s="48"/>
      <c r="B21" s="6"/>
      <c r="C21" s="6"/>
      <c r="D21" s="6"/>
      <c r="E21" s="6"/>
      <c r="F21" s="6"/>
      <c r="G21" s="6"/>
      <c r="H21" s="6"/>
      <c r="I21" s="6"/>
      <c r="J21" s="6"/>
      <c r="N21" s="3"/>
      <c r="O21" s="6"/>
      <c r="R21" s="6"/>
      <c r="S21" s="6"/>
      <c r="T21" s="6"/>
      <c r="U21" s="6"/>
      <c r="V21" s="6"/>
    </row>
    <row r="22" spans="1:22" x14ac:dyDescent="0.35">
      <c r="A22" s="50" t="str">
        <f t="shared" ref="A22" si="0">A4</f>
        <v>Group names</v>
      </c>
      <c r="B22" s="3" t="str">
        <f t="shared" ref="B22:V22" si="1">B4</f>
        <v>Solvent control</v>
      </c>
      <c r="C22" s="3" t="str">
        <f t="shared" si="1"/>
        <v>EE2-33.8ng/L</v>
      </c>
      <c r="D22" s="3" t="str">
        <f t="shared" si="1"/>
        <v>EE2-50.6ng/L</v>
      </c>
      <c r="E22" s="3" t="str">
        <f t="shared" si="1"/>
        <v>EE2-76ng/L</v>
      </c>
      <c r="F22" s="3" t="str">
        <f t="shared" si="1"/>
        <v>EE2-114ng/L</v>
      </c>
      <c r="G22" s="3" t="str">
        <f t="shared" si="1"/>
        <v>EE2-170.9ng/L</v>
      </c>
      <c r="H22" s="3" t="str">
        <f t="shared" si="1"/>
        <v>EE2-488ng/L</v>
      </c>
      <c r="I22" s="3" t="str">
        <f t="shared" si="1"/>
        <v>Anastrozole-0,032µg/L</v>
      </c>
      <c r="J22" s="3" t="str">
        <f t="shared" si="1"/>
        <v>Anastrozole-0,16µg/L</v>
      </c>
      <c r="K22" s="3" t="str">
        <f t="shared" si="1"/>
        <v>Anastrozole-0,8µg/L</v>
      </c>
      <c r="L22" s="3" t="str">
        <f t="shared" si="1"/>
        <v>Anastrozole-4µg/L</v>
      </c>
      <c r="M22" s="3" t="str">
        <f t="shared" si="1"/>
        <v>Anastrozole-20µg/L</v>
      </c>
      <c r="N22" s="3" t="s">
        <v>11</v>
      </c>
      <c r="O22" s="3" t="str">
        <f t="shared" si="1"/>
        <v>Testo -30µg/L</v>
      </c>
      <c r="P22" s="3" t="str">
        <f t="shared" si="1"/>
        <v>Testo 30µg/L + EE2 -64ng/L</v>
      </c>
      <c r="Q22" s="3" t="str">
        <f t="shared" si="1"/>
        <v>Testo 30µg/L + FAD-10mg/L</v>
      </c>
      <c r="R22" s="3" t="str">
        <f t="shared" si="1"/>
        <v>Anastrozole-0,032µg/L + Testostérone</v>
      </c>
      <c r="S22" s="3" t="str">
        <f t="shared" si="1"/>
        <v>Anastrozole-0,16µg/L + Testostérone</v>
      </c>
      <c r="T22" s="3" t="str">
        <f t="shared" si="1"/>
        <v>Anastrozole-0,8µg/L + Testostérone</v>
      </c>
      <c r="U22" s="3" t="str">
        <f t="shared" si="1"/>
        <v>Anastrozole-4µg/L + Testostérone</v>
      </c>
      <c r="V22" s="3" t="str">
        <f t="shared" si="1"/>
        <v>Anastrozole-20µg/L + Testostérone</v>
      </c>
    </row>
    <row r="23" spans="1:22" x14ac:dyDescent="0.35">
      <c r="A23" s="4" t="s">
        <v>0</v>
      </c>
      <c r="B23" s="4">
        <f t="shared" ref="B23:J23" si="2">AVERAGE(B5:B20)</f>
        <v>0</v>
      </c>
      <c r="C23" s="4">
        <f t="shared" si="2"/>
        <v>10.125</v>
      </c>
      <c r="D23" s="4">
        <f t="shared" si="2"/>
        <v>10.375</v>
      </c>
      <c r="E23" s="4">
        <f t="shared" si="2"/>
        <v>10.25</v>
      </c>
      <c r="F23" s="4">
        <f t="shared" si="2"/>
        <v>62225.625</v>
      </c>
      <c r="G23" s="4">
        <f t="shared" si="2"/>
        <v>111382.125</v>
      </c>
      <c r="H23" s="4">
        <f t="shared" si="2"/>
        <v>178231.625</v>
      </c>
      <c r="I23" s="4">
        <f t="shared" si="2"/>
        <v>70.5</v>
      </c>
      <c r="J23" s="4">
        <f t="shared" si="2"/>
        <v>0</v>
      </c>
      <c r="K23" s="4"/>
      <c r="L23" s="4">
        <f>AVERAGE(L5:L20)</f>
        <v>0</v>
      </c>
      <c r="M23" s="4"/>
      <c r="N23" s="4" t="s">
        <v>0</v>
      </c>
      <c r="O23" s="4">
        <f>AVERAGE(O5:O20)</f>
        <v>43402.8125</v>
      </c>
      <c r="P23" s="4">
        <f>AVERAGE(P5:P20)</f>
        <v>92910</v>
      </c>
      <c r="Q23" s="4">
        <f>AVERAGE(Q5:Q20)</f>
        <v>610.625</v>
      </c>
      <c r="R23" s="4">
        <f>AVERAGE(R5:R20)</f>
        <v>14189.125</v>
      </c>
      <c r="S23" s="4">
        <f>AVERAGE(S5:S20)</f>
        <v>12419.875</v>
      </c>
      <c r="T23" s="4">
        <f t="shared" ref="T23:V23" si="3">AVERAGE(T5:T20)</f>
        <v>0</v>
      </c>
      <c r="U23" s="4">
        <f t="shared" si="3"/>
        <v>173.125</v>
      </c>
      <c r="V23" s="4">
        <f t="shared" si="3"/>
        <v>0</v>
      </c>
    </row>
    <row r="24" spans="1:22" x14ac:dyDescent="0.35">
      <c r="A24" s="3" t="s">
        <v>1</v>
      </c>
      <c r="B24" s="3">
        <f t="shared" ref="B24:J24" si="4">STDEV(B5:B20)</f>
        <v>0</v>
      </c>
      <c r="C24" s="3">
        <f t="shared" si="4"/>
        <v>28.637824638055175</v>
      </c>
      <c r="D24" s="3">
        <f t="shared" si="4"/>
        <v>29.344931419241721</v>
      </c>
      <c r="E24" s="3">
        <f t="shared" si="4"/>
        <v>28.991378028648448</v>
      </c>
      <c r="F24" s="3">
        <f t="shared" si="4"/>
        <v>78413.085141516494</v>
      </c>
      <c r="G24" s="3">
        <f t="shared" si="4"/>
        <v>44164.901825633635</v>
      </c>
      <c r="H24" s="3">
        <f t="shared" si="4"/>
        <v>52965.367056320058</v>
      </c>
      <c r="I24" s="3">
        <f t="shared" si="4"/>
        <v>199.40411229460639</v>
      </c>
      <c r="J24" s="3">
        <f t="shared" si="4"/>
        <v>0</v>
      </c>
      <c r="K24" s="3"/>
      <c r="L24" s="3">
        <f>STDEV(L5:L20)</f>
        <v>0</v>
      </c>
      <c r="M24" s="3"/>
      <c r="N24" s="3" t="s">
        <v>1</v>
      </c>
      <c r="O24" s="3">
        <f>STDEV(O5:O20)</f>
        <v>36190.995701912281</v>
      </c>
      <c r="P24" s="3">
        <f>STDEV(P5:P20)</f>
        <v>59577.085731728388</v>
      </c>
      <c r="Q24" s="3">
        <f>STDEV(Q5:Q20)</f>
        <v>1727.1083130481422</v>
      </c>
      <c r="R24" s="3">
        <f>STDEV(R5:R20)</f>
        <v>20134.973514030611</v>
      </c>
      <c r="S24" s="3">
        <f>STDEV(S5:S20)</f>
        <v>20849.389949537064</v>
      </c>
      <c r="T24" s="3">
        <f t="shared" ref="T24:V24" si="5">STDEV(T5:T20)</f>
        <v>0</v>
      </c>
      <c r="U24" s="3">
        <f t="shared" si="5"/>
        <v>489.67144597168414</v>
      </c>
      <c r="V24" s="3">
        <f t="shared" si="5"/>
        <v>0</v>
      </c>
    </row>
    <row r="25" spans="1:22" ht="15" thickBot="1" x14ac:dyDescent="0.4"/>
    <row r="26" spans="1:22" ht="15" thickBot="1" x14ac:dyDescent="0.4">
      <c r="B26" s="144" t="s">
        <v>41</v>
      </c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O26" s="144" t="s">
        <v>42</v>
      </c>
      <c r="P26" s="145"/>
      <c r="Q26" s="145"/>
      <c r="R26" s="145"/>
      <c r="S26" s="145"/>
      <c r="T26" s="145"/>
      <c r="U26" s="145"/>
      <c r="V26" s="145"/>
    </row>
    <row r="27" spans="1:22" x14ac:dyDescent="0.35">
      <c r="A27" s="18" t="str">
        <f>A4</f>
        <v>Group names</v>
      </c>
      <c r="B27" s="19" t="str">
        <f>B4</f>
        <v>Solvent control</v>
      </c>
      <c r="C27" s="19" t="str">
        <f t="shared" ref="C27:M27" si="6">C4</f>
        <v>EE2-33.8ng/L</v>
      </c>
      <c r="D27" s="19" t="str">
        <f t="shared" si="6"/>
        <v>EE2-50.6ng/L</v>
      </c>
      <c r="E27" s="19" t="str">
        <f t="shared" si="6"/>
        <v>EE2-76ng/L</v>
      </c>
      <c r="F27" s="19" t="str">
        <f t="shared" si="6"/>
        <v>EE2-114ng/L</v>
      </c>
      <c r="G27" s="19" t="str">
        <f t="shared" si="6"/>
        <v>EE2-170.9ng/L</v>
      </c>
      <c r="H27" s="19" t="str">
        <f t="shared" si="6"/>
        <v>EE2-488ng/L</v>
      </c>
      <c r="I27" s="19" t="str">
        <f t="shared" si="6"/>
        <v>Anastrozole-0,032µg/L</v>
      </c>
      <c r="J27" s="19" t="str">
        <f t="shared" si="6"/>
        <v>Anastrozole-0,16µg/L</v>
      </c>
      <c r="K27" s="19" t="str">
        <f t="shared" si="6"/>
        <v>Anastrozole-0,8µg/L</v>
      </c>
      <c r="L27" s="19" t="str">
        <f t="shared" si="6"/>
        <v>Anastrozole-4µg/L</v>
      </c>
      <c r="M27" s="19" t="str">
        <f t="shared" si="6"/>
        <v>Anastrozole-20µg/L</v>
      </c>
      <c r="N27" s="3"/>
      <c r="O27" s="20" t="str">
        <f>O4</f>
        <v>Testo -30µg/L</v>
      </c>
      <c r="P27" s="20" t="str">
        <f t="shared" ref="P27:R27" si="7">P4</f>
        <v>Testo 30µg/L + EE2 -64ng/L</v>
      </c>
      <c r="Q27" s="20" t="str">
        <f t="shared" si="7"/>
        <v>Testo 30µg/L + FAD-10mg/L</v>
      </c>
      <c r="R27" s="20" t="str">
        <f t="shared" si="7"/>
        <v>Anastrozole-0,032µg/L + Testostérone</v>
      </c>
      <c r="S27" s="20" t="str">
        <f t="shared" ref="S27:V27" si="8">S4</f>
        <v>Anastrozole-0,16µg/L + Testostérone</v>
      </c>
      <c r="T27" s="20" t="str">
        <f t="shared" si="8"/>
        <v>Anastrozole-0,8µg/L + Testostérone</v>
      </c>
      <c r="U27" s="20" t="str">
        <f t="shared" si="8"/>
        <v>Anastrozole-4µg/L + Testostérone</v>
      </c>
      <c r="V27" s="20" t="str">
        <f t="shared" si="8"/>
        <v>Anastrozole-20µg/L + Testostérone</v>
      </c>
    </row>
    <row r="28" spans="1:22" ht="14.5" customHeight="1" x14ac:dyDescent="0.35">
      <c r="A28" s="142" t="s">
        <v>35</v>
      </c>
      <c r="B28" s="10">
        <f t="shared" ref="B28:M28" si="9">IF(B5="","",(B5/$O$23))</f>
        <v>0</v>
      </c>
      <c r="C28" s="10">
        <f t="shared" si="9"/>
        <v>0</v>
      </c>
      <c r="D28" s="10">
        <f t="shared" si="9"/>
        <v>0</v>
      </c>
      <c r="E28" s="10">
        <f t="shared" si="9"/>
        <v>0</v>
      </c>
      <c r="F28" s="10">
        <f t="shared" si="9"/>
        <v>1.2090230327815739</v>
      </c>
      <c r="G28" s="10">
        <f t="shared" si="9"/>
        <v>1.2512322790141768</v>
      </c>
      <c r="H28" s="10">
        <f t="shared" si="9"/>
        <v>2.445048923960861</v>
      </c>
      <c r="I28" s="10">
        <f t="shared" si="9"/>
        <v>0</v>
      </c>
      <c r="J28" s="10">
        <f t="shared" si="9"/>
        <v>0</v>
      </c>
      <c r="K28" s="10">
        <f t="shared" si="9"/>
        <v>0</v>
      </c>
      <c r="L28" s="10">
        <f t="shared" si="9"/>
        <v>0</v>
      </c>
      <c r="M28" s="10">
        <f t="shared" si="9"/>
        <v>0</v>
      </c>
      <c r="N28" s="5"/>
      <c r="O28" s="10">
        <f t="shared" ref="O28:S37" si="10">IF(O5="","",(O5/$O$23))</f>
        <v>1.1021175183059853</v>
      </c>
      <c r="P28" s="10">
        <f t="shared" si="10"/>
        <v>0.13554421156463076</v>
      </c>
      <c r="Q28" s="10">
        <f t="shared" si="10"/>
        <v>0</v>
      </c>
      <c r="R28" s="10">
        <f t="shared" si="10"/>
        <v>2.2371822102542318E-2</v>
      </c>
      <c r="S28" s="10">
        <f t="shared" si="10"/>
        <v>0.87600313919748862</v>
      </c>
      <c r="T28" s="10">
        <f t="shared" ref="T28:V43" si="11">IF(T5="","",(T5/$O$23))</f>
        <v>0</v>
      </c>
      <c r="U28" s="10">
        <f t="shared" si="11"/>
        <v>0</v>
      </c>
      <c r="V28" s="10">
        <f t="shared" si="11"/>
        <v>0</v>
      </c>
    </row>
    <row r="29" spans="1:22" x14ac:dyDescent="0.35">
      <c r="A29" s="143"/>
      <c r="B29" s="10">
        <f t="shared" ref="B29:M29" si="12">IF(B6="","",(B6/$O$23))</f>
        <v>0</v>
      </c>
      <c r="C29" s="10">
        <f t="shared" si="12"/>
        <v>0</v>
      </c>
      <c r="D29" s="10">
        <f t="shared" si="12"/>
        <v>0</v>
      </c>
      <c r="E29" s="10">
        <f t="shared" si="12"/>
        <v>0</v>
      </c>
      <c r="F29" s="10">
        <f t="shared" si="12"/>
        <v>4.8633023493581202</v>
      </c>
      <c r="G29" s="10">
        <f t="shared" si="12"/>
        <v>2.1355528515577187</v>
      </c>
      <c r="H29" s="10">
        <f t="shared" si="12"/>
        <v>4.445956123235101</v>
      </c>
      <c r="I29" s="10">
        <f t="shared" si="12"/>
        <v>0</v>
      </c>
      <c r="J29" s="10">
        <f t="shared" si="12"/>
        <v>0</v>
      </c>
      <c r="K29" s="10">
        <f t="shared" si="12"/>
        <v>0</v>
      </c>
      <c r="L29" s="10">
        <f t="shared" si="12"/>
        <v>0</v>
      </c>
      <c r="M29" s="10">
        <f t="shared" si="12"/>
        <v>0</v>
      </c>
      <c r="N29" s="5"/>
      <c r="O29" s="10">
        <f t="shared" si="10"/>
        <v>0.24270316583746732</v>
      </c>
      <c r="P29" s="10">
        <f t="shared" si="10"/>
        <v>3.5228131817494547E-2</v>
      </c>
      <c r="Q29" s="10">
        <f t="shared" si="10"/>
        <v>0</v>
      </c>
      <c r="R29" s="10">
        <f t="shared" si="10"/>
        <v>0.63161805470555621</v>
      </c>
      <c r="S29" s="10">
        <f t="shared" si="10"/>
        <v>1.8662385070091945E-3</v>
      </c>
      <c r="T29" s="10">
        <f t="shared" si="11"/>
        <v>0</v>
      </c>
      <c r="U29" s="10">
        <f t="shared" si="11"/>
        <v>0</v>
      </c>
      <c r="V29" s="10">
        <f t="shared" si="11"/>
        <v>0</v>
      </c>
    </row>
    <row r="30" spans="1:22" x14ac:dyDescent="0.35">
      <c r="A30" s="143"/>
      <c r="B30" s="10">
        <f t="shared" ref="B30:M30" si="13">IF(B7="","",(B7/$O$23))</f>
        <v>0</v>
      </c>
      <c r="C30" s="10">
        <f t="shared" si="13"/>
        <v>0</v>
      </c>
      <c r="D30" s="10">
        <f t="shared" si="13"/>
        <v>0</v>
      </c>
      <c r="E30" s="10">
        <f t="shared" si="13"/>
        <v>0</v>
      </c>
      <c r="F30" s="10">
        <f t="shared" si="13"/>
        <v>0</v>
      </c>
      <c r="G30" s="10">
        <f t="shared" si="13"/>
        <v>3.1562470750023399</v>
      </c>
      <c r="H30" s="10">
        <f t="shared" si="13"/>
        <v>3.9800416159667074</v>
      </c>
      <c r="I30" s="10">
        <f t="shared" si="13"/>
        <v>1.2994549604360316E-2</v>
      </c>
      <c r="J30" s="10">
        <f t="shared" si="13"/>
        <v>0</v>
      </c>
      <c r="K30" s="10">
        <f t="shared" si="13"/>
        <v>0</v>
      </c>
      <c r="L30" s="10">
        <f t="shared" si="13"/>
        <v>0</v>
      </c>
      <c r="M30" s="10">
        <f t="shared" si="13"/>
        <v>0</v>
      </c>
      <c r="N30" s="5"/>
      <c r="O30" s="10">
        <f t="shared" si="10"/>
        <v>1.0277905377675698</v>
      </c>
      <c r="P30" s="10">
        <f t="shared" si="10"/>
        <v>2.9112629509896393</v>
      </c>
      <c r="Q30" s="10">
        <f t="shared" si="10"/>
        <v>0</v>
      </c>
      <c r="R30" s="10">
        <f t="shared" si="10"/>
        <v>0.16600306719754623</v>
      </c>
      <c r="S30" s="10">
        <f t="shared" si="10"/>
        <v>5.2139478288417369E-2</v>
      </c>
      <c r="T30" s="10">
        <f t="shared" si="11"/>
        <v>0</v>
      </c>
      <c r="U30" s="10">
        <f t="shared" si="11"/>
        <v>0</v>
      </c>
      <c r="V30" s="10">
        <f t="shared" si="11"/>
        <v>0</v>
      </c>
    </row>
    <row r="31" spans="1:22" x14ac:dyDescent="0.35">
      <c r="A31" s="143"/>
      <c r="B31" s="10">
        <f t="shared" ref="B31:M31" si="14">IF(B8="","",(B8/$O$23))</f>
        <v>0</v>
      </c>
      <c r="C31" s="10">
        <f t="shared" si="14"/>
        <v>0</v>
      </c>
      <c r="D31" s="10">
        <f t="shared" si="14"/>
        <v>0</v>
      </c>
      <c r="E31" s="10">
        <f t="shared" si="14"/>
        <v>0</v>
      </c>
      <c r="F31" s="10">
        <f t="shared" si="14"/>
        <v>0</v>
      </c>
      <c r="G31" s="10">
        <f t="shared" si="14"/>
        <v>1.6183974252820599</v>
      </c>
      <c r="H31" s="10">
        <f t="shared" si="14"/>
        <v>4.8340415727667416</v>
      </c>
      <c r="I31" s="10">
        <f t="shared" si="14"/>
        <v>0</v>
      </c>
      <c r="J31" s="10">
        <f t="shared" si="14"/>
        <v>0</v>
      </c>
      <c r="K31" s="10">
        <f t="shared" si="14"/>
        <v>0</v>
      </c>
      <c r="L31" s="10">
        <f t="shared" si="14"/>
        <v>0</v>
      </c>
      <c r="M31" s="10">
        <f t="shared" si="14"/>
        <v>0</v>
      </c>
      <c r="N31" s="5"/>
      <c r="O31" s="10">
        <f t="shared" si="10"/>
        <v>1.331411414870868</v>
      </c>
      <c r="P31" s="10">
        <f t="shared" si="10"/>
        <v>2.0776072979141618</v>
      </c>
      <c r="Q31" s="10">
        <f t="shared" si="10"/>
        <v>0</v>
      </c>
      <c r="R31" s="10">
        <f t="shared" si="10"/>
        <v>2.4099820720143425E-2</v>
      </c>
      <c r="S31" s="10">
        <f t="shared" si="10"/>
        <v>0</v>
      </c>
      <c r="T31" s="10">
        <f t="shared" si="11"/>
        <v>0</v>
      </c>
      <c r="U31" s="10">
        <f t="shared" si="11"/>
        <v>0</v>
      </c>
      <c r="V31" s="10">
        <f t="shared" si="11"/>
        <v>0</v>
      </c>
    </row>
    <row r="32" spans="1:22" x14ac:dyDescent="0.35">
      <c r="A32" s="143"/>
      <c r="B32" s="10">
        <f t="shared" ref="B32:M32" si="15">IF(B9="","",(B9/$O$23))</f>
        <v>0</v>
      </c>
      <c r="C32" s="10">
        <f t="shared" si="15"/>
        <v>1.8662385070091945E-3</v>
      </c>
      <c r="D32" s="10">
        <f t="shared" si="15"/>
        <v>0</v>
      </c>
      <c r="E32" s="10">
        <f t="shared" si="15"/>
        <v>0</v>
      </c>
      <c r="F32" s="10">
        <f t="shared" si="15"/>
        <v>2.4583199533440374</v>
      </c>
      <c r="G32" s="10">
        <f t="shared" si="15"/>
        <v>1.6041817566545946</v>
      </c>
      <c r="H32" s="10">
        <f t="shared" si="15"/>
        <v>3.9686368250905399</v>
      </c>
      <c r="I32" s="10">
        <f t="shared" si="15"/>
        <v>0</v>
      </c>
      <c r="J32" s="10">
        <f t="shared" si="15"/>
        <v>0</v>
      </c>
      <c r="K32" s="10">
        <f t="shared" si="15"/>
        <v>0</v>
      </c>
      <c r="L32" s="10">
        <f t="shared" si="15"/>
        <v>0</v>
      </c>
      <c r="M32" s="10">
        <f t="shared" si="15"/>
        <v>0</v>
      </c>
      <c r="N32" s="5"/>
      <c r="O32" s="10">
        <f t="shared" si="10"/>
        <v>0</v>
      </c>
      <c r="P32" s="10">
        <f t="shared" si="10"/>
        <v>3.5464982828013736</v>
      </c>
      <c r="Q32" s="10">
        <f t="shared" si="10"/>
        <v>0</v>
      </c>
      <c r="R32" s="10">
        <f t="shared" si="10"/>
        <v>1.3453506037195171</v>
      </c>
      <c r="S32" s="10">
        <f t="shared" si="10"/>
        <v>1.2206351834918532</v>
      </c>
      <c r="T32" s="10">
        <f t="shared" si="11"/>
        <v>0</v>
      </c>
      <c r="U32" s="10">
        <f t="shared" si="11"/>
        <v>0</v>
      </c>
      <c r="V32" s="10">
        <f t="shared" si="11"/>
        <v>0</v>
      </c>
    </row>
    <row r="33" spans="1:22" x14ac:dyDescent="0.35">
      <c r="A33" s="143"/>
      <c r="B33" s="10">
        <f t="shared" ref="B33:M33" si="16">IF(B10="","",(B10/$O$23))</f>
        <v>0</v>
      </c>
      <c r="C33" s="10">
        <f t="shared" si="16"/>
        <v>0</v>
      </c>
      <c r="D33" s="10">
        <f t="shared" si="16"/>
        <v>1.9123184701452238E-3</v>
      </c>
      <c r="E33" s="10">
        <f t="shared" si="16"/>
        <v>1.8892784885772092E-3</v>
      </c>
      <c r="F33" s="10">
        <f t="shared" si="16"/>
        <v>2.8506908394473283</v>
      </c>
      <c r="G33" s="10">
        <f t="shared" si="16"/>
        <v>3.6348566121147101</v>
      </c>
      <c r="H33" s="10">
        <f t="shared" si="16"/>
        <v>5.9891280086975929</v>
      </c>
      <c r="I33" s="10">
        <f t="shared" si="16"/>
        <v>0</v>
      </c>
      <c r="J33" s="10">
        <f t="shared" si="16"/>
        <v>0</v>
      </c>
      <c r="K33" s="10">
        <f t="shared" si="16"/>
        <v>0</v>
      </c>
      <c r="L33" s="10">
        <f t="shared" si="16"/>
        <v>0</v>
      </c>
      <c r="M33" s="10">
        <f t="shared" si="16"/>
        <v>0</v>
      </c>
      <c r="N33" s="5"/>
      <c r="O33" s="10">
        <f t="shared" si="10"/>
        <v>1.3825601739518609</v>
      </c>
      <c r="P33" s="10">
        <f t="shared" si="10"/>
        <v>2.9856360114911906</v>
      </c>
      <c r="Q33" s="10">
        <f t="shared" si="10"/>
        <v>0</v>
      </c>
      <c r="R33" s="10">
        <f t="shared" si="10"/>
        <v>7.921145663083469E-2</v>
      </c>
      <c r="S33" s="10">
        <f t="shared" si="10"/>
        <v>0</v>
      </c>
      <c r="T33" s="10">
        <f t="shared" si="11"/>
        <v>0</v>
      </c>
      <c r="U33" s="10">
        <f t="shared" si="11"/>
        <v>0</v>
      </c>
      <c r="V33" s="10">
        <f t="shared" si="11"/>
        <v>0</v>
      </c>
    </row>
    <row r="34" spans="1:22" x14ac:dyDescent="0.35">
      <c r="A34" s="143"/>
      <c r="B34" s="10">
        <f t="shared" ref="B34:M34" si="17">IF(B11="","",(B11/$O$23))</f>
        <v>0</v>
      </c>
      <c r="C34" s="10">
        <f t="shared" si="17"/>
        <v>0</v>
      </c>
      <c r="D34" s="10">
        <f t="shared" si="17"/>
        <v>0</v>
      </c>
      <c r="E34" s="10">
        <f t="shared" si="17"/>
        <v>0</v>
      </c>
      <c r="F34" s="10">
        <f t="shared" si="17"/>
        <v>8.8081849534520376E-2</v>
      </c>
      <c r="G34" s="10">
        <f t="shared" si="17"/>
        <v>3.4523799580960337</v>
      </c>
      <c r="H34" s="10">
        <f t="shared" si="17"/>
        <v>2.3870112103910315</v>
      </c>
      <c r="I34" s="10">
        <f t="shared" si="17"/>
        <v>0</v>
      </c>
      <c r="J34" s="10">
        <f t="shared" si="17"/>
        <v>0</v>
      </c>
      <c r="K34" s="10">
        <f t="shared" si="17"/>
        <v>0</v>
      </c>
      <c r="L34" s="10">
        <f t="shared" si="17"/>
        <v>0</v>
      </c>
      <c r="M34" s="10">
        <f t="shared" si="17"/>
        <v>0</v>
      </c>
      <c r="N34" s="5"/>
      <c r="O34" s="10">
        <f t="shared" si="10"/>
        <v>5.7761233791012966E-2</v>
      </c>
      <c r="P34" s="10">
        <f t="shared" si="10"/>
        <v>3.3428478857216914</v>
      </c>
      <c r="Q34" s="10">
        <f t="shared" si="10"/>
        <v>0</v>
      </c>
      <c r="R34" s="10">
        <f t="shared" si="10"/>
        <v>0.34299620560303551</v>
      </c>
      <c r="S34" s="10">
        <f t="shared" si="10"/>
        <v>5.059579952336038E-2</v>
      </c>
      <c r="T34" s="10">
        <f t="shared" si="11"/>
        <v>0</v>
      </c>
      <c r="U34" s="10">
        <f t="shared" si="11"/>
        <v>3.191037447170042E-2</v>
      </c>
      <c r="V34" s="10">
        <f t="shared" si="11"/>
        <v>0</v>
      </c>
    </row>
    <row r="35" spans="1:22" x14ac:dyDescent="0.35">
      <c r="A35" s="143"/>
      <c r="B35" s="10">
        <f t="shared" ref="B35:M35" si="18">IF(B12="","",(B12/$O$23))</f>
        <v>0</v>
      </c>
      <c r="C35" s="10">
        <f t="shared" si="18"/>
        <v>0</v>
      </c>
      <c r="D35" s="10">
        <f t="shared" si="18"/>
        <v>0</v>
      </c>
      <c r="E35" s="10">
        <f t="shared" si="18"/>
        <v>0</v>
      </c>
      <c r="F35" s="10">
        <f t="shared" si="18"/>
        <v>0</v>
      </c>
      <c r="G35" s="10">
        <f t="shared" si="18"/>
        <v>3.6770888983288814</v>
      </c>
      <c r="H35" s="10">
        <f t="shared" si="18"/>
        <v>4.801762558589953</v>
      </c>
      <c r="I35" s="10">
        <f t="shared" si="18"/>
        <v>0</v>
      </c>
      <c r="J35" s="10">
        <f t="shared" si="18"/>
        <v>0</v>
      </c>
      <c r="K35" s="10">
        <f t="shared" si="18"/>
        <v>0</v>
      </c>
      <c r="L35" s="10">
        <f t="shared" si="18"/>
        <v>0</v>
      </c>
      <c r="M35" s="10">
        <f t="shared" si="18"/>
        <v>0</v>
      </c>
      <c r="N35" s="5"/>
      <c r="O35" s="10">
        <f t="shared" si="10"/>
        <v>0.93857972913621668</v>
      </c>
      <c r="P35" s="10">
        <f t="shared" si="10"/>
        <v>2.0905327275738181</v>
      </c>
      <c r="Q35" s="10">
        <f t="shared" si="10"/>
        <v>0.11255030995975203</v>
      </c>
      <c r="R35" s="10">
        <f t="shared" si="10"/>
        <v>3.6863970508823592E-3</v>
      </c>
      <c r="S35" s="10">
        <f t="shared" si="10"/>
        <v>8.7989689608248309E-2</v>
      </c>
      <c r="T35" s="10">
        <f t="shared" si="11"/>
        <v>0</v>
      </c>
      <c r="U35" s="10">
        <f t="shared" si="11"/>
        <v>0</v>
      </c>
      <c r="V35" s="10">
        <f t="shared" si="11"/>
        <v>0</v>
      </c>
    </row>
    <row r="36" spans="1:22" x14ac:dyDescent="0.35">
      <c r="A36" s="143"/>
      <c r="B36" s="10" t="str">
        <f t="shared" ref="B36:M36" si="19">IF(B13="","",(B13/$O$23))</f>
        <v/>
      </c>
      <c r="C36" s="10" t="str">
        <f t="shared" si="19"/>
        <v/>
      </c>
      <c r="D36" s="10" t="str">
        <f t="shared" si="19"/>
        <v/>
      </c>
      <c r="E36" s="10" t="str">
        <f t="shared" si="19"/>
        <v/>
      </c>
      <c r="F36" s="10" t="str">
        <f t="shared" si="19"/>
        <v/>
      </c>
      <c r="G36" s="10" t="str">
        <f t="shared" si="19"/>
        <v/>
      </c>
      <c r="H36" s="10" t="str">
        <f t="shared" si="19"/>
        <v/>
      </c>
      <c r="I36" s="10" t="str">
        <f t="shared" si="19"/>
        <v/>
      </c>
      <c r="J36" s="10" t="str">
        <f t="shared" si="19"/>
        <v/>
      </c>
      <c r="K36" s="10" t="str">
        <f t="shared" si="19"/>
        <v/>
      </c>
      <c r="L36" s="10" t="str">
        <f t="shared" si="19"/>
        <v/>
      </c>
      <c r="M36" s="10" t="str">
        <f t="shared" si="19"/>
        <v/>
      </c>
      <c r="N36" s="5"/>
      <c r="O36" s="10">
        <f t="shared" si="10"/>
        <v>7.4188740649007478E-3</v>
      </c>
      <c r="P36" s="10" t="str">
        <f t="shared" si="10"/>
        <v/>
      </c>
      <c r="Q36" s="10" t="str">
        <f t="shared" si="10"/>
        <v/>
      </c>
      <c r="R36" s="10" t="str">
        <f t="shared" si="10"/>
        <v/>
      </c>
      <c r="S36" s="10" t="str">
        <f t="shared" si="10"/>
        <v/>
      </c>
      <c r="T36" s="10" t="str">
        <f t="shared" si="11"/>
        <v/>
      </c>
      <c r="U36" s="10" t="str">
        <f t="shared" si="11"/>
        <v/>
      </c>
      <c r="V36" s="10" t="str">
        <f t="shared" si="11"/>
        <v/>
      </c>
    </row>
    <row r="37" spans="1:22" x14ac:dyDescent="0.35">
      <c r="A37" s="143"/>
      <c r="B37" s="10" t="str">
        <f t="shared" ref="B37:M37" si="20">IF(B14="","",(B14/$O$23))</f>
        <v/>
      </c>
      <c r="C37" s="10" t="str">
        <f t="shared" si="20"/>
        <v/>
      </c>
      <c r="D37" s="10" t="str">
        <f t="shared" si="20"/>
        <v/>
      </c>
      <c r="E37" s="10" t="str">
        <f t="shared" si="20"/>
        <v/>
      </c>
      <c r="F37" s="10" t="str">
        <f t="shared" si="20"/>
        <v/>
      </c>
      <c r="G37" s="10" t="str">
        <f t="shared" si="20"/>
        <v/>
      </c>
      <c r="H37" s="10" t="str">
        <f t="shared" si="20"/>
        <v/>
      </c>
      <c r="I37" s="10" t="str">
        <f t="shared" si="20"/>
        <v/>
      </c>
      <c r="J37" s="10" t="str">
        <f t="shared" si="20"/>
        <v/>
      </c>
      <c r="K37" s="10" t="str">
        <f t="shared" si="20"/>
        <v/>
      </c>
      <c r="L37" s="10" t="str">
        <f t="shared" si="20"/>
        <v/>
      </c>
      <c r="M37" s="10" t="str">
        <f t="shared" si="20"/>
        <v/>
      </c>
      <c r="N37" s="5"/>
      <c r="O37" s="10">
        <f t="shared" si="10"/>
        <v>1.0173764660988271</v>
      </c>
      <c r="P37" s="10" t="str">
        <f t="shared" si="10"/>
        <v/>
      </c>
      <c r="Q37" s="10" t="str">
        <f t="shared" si="10"/>
        <v/>
      </c>
      <c r="R37" s="10" t="str">
        <f t="shared" si="10"/>
        <v/>
      </c>
      <c r="S37" s="10" t="str">
        <f t="shared" si="10"/>
        <v/>
      </c>
      <c r="T37" s="10" t="str">
        <f t="shared" si="11"/>
        <v/>
      </c>
      <c r="U37" s="10" t="str">
        <f t="shared" si="11"/>
        <v/>
      </c>
      <c r="V37" s="10" t="str">
        <f t="shared" si="11"/>
        <v/>
      </c>
    </row>
    <row r="38" spans="1:22" x14ac:dyDescent="0.35">
      <c r="A38" s="143"/>
      <c r="B38" s="10" t="str">
        <f t="shared" ref="B38:M38" si="21">IF(B15="","",(B15/$O$23))</f>
        <v/>
      </c>
      <c r="C38" s="10" t="str">
        <f t="shared" si="21"/>
        <v/>
      </c>
      <c r="D38" s="10" t="str">
        <f t="shared" si="21"/>
        <v/>
      </c>
      <c r="E38" s="10" t="str">
        <f t="shared" si="21"/>
        <v/>
      </c>
      <c r="F38" s="10" t="str">
        <f t="shared" si="21"/>
        <v/>
      </c>
      <c r="G38" s="10" t="str">
        <f t="shared" si="21"/>
        <v/>
      </c>
      <c r="H38" s="10" t="str">
        <f t="shared" si="21"/>
        <v/>
      </c>
      <c r="I38" s="10" t="str">
        <f t="shared" si="21"/>
        <v/>
      </c>
      <c r="J38" s="10" t="str">
        <f t="shared" si="21"/>
        <v/>
      </c>
      <c r="K38" s="10" t="str">
        <f t="shared" si="21"/>
        <v/>
      </c>
      <c r="L38" s="10" t="str">
        <f t="shared" si="21"/>
        <v/>
      </c>
      <c r="M38" s="10" t="str">
        <f t="shared" si="21"/>
        <v/>
      </c>
      <c r="N38" s="5"/>
      <c r="O38" s="10">
        <f t="shared" ref="O38:S43" si="22">IF(O15="","",(O15/$O$23))</f>
        <v>0.3474659620272304</v>
      </c>
      <c r="P38" s="10" t="str">
        <f t="shared" si="22"/>
        <v/>
      </c>
      <c r="Q38" s="10" t="str">
        <f t="shared" si="22"/>
        <v/>
      </c>
      <c r="R38" s="10" t="str">
        <f t="shared" si="22"/>
        <v/>
      </c>
      <c r="S38" s="10" t="str">
        <f t="shared" si="22"/>
        <v/>
      </c>
      <c r="T38" s="10" t="str">
        <f t="shared" si="11"/>
        <v/>
      </c>
      <c r="U38" s="10" t="str">
        <f t="shared" si="11"/>
        <v/>
      </c>
      <c r="V38" s="10" t="str">
        <f t="shared" si="11"/>
        <v/>
      </c>
    </row>
    <row r="39" spans="1:22" x14ac:dyDescent="0.35">
      <c r="A39" s="143"/>
      <c r="B39" s="10" t="str">
        <f t="shared" ref="B39:M39" si="23">IF(B16="","",(B16/$O$23))</f>
        <v/>
      </c>
      <c r="C39" s="10" t="str">
        <f t="shared" si="23"/>
        <v/>
      </c>
      <c r="D39" s="10" t="str">
        <f t="shared" si="23"/>
        <v/>
      </c>
      <c r="E39" s="10" t="str">
        <f t="shared" si="23"/>
        <v/>
      </c>
      <c r="F39" s="10" t="str">
        <f t="shared" si="23"/>
        <v/>
      </c>
      <c r="G39" s="10" t="str">
        <f t="shared" si="23"/>
        <v/>
      </c>
      <c r="H39" s="10" t="str">
        <f t="shared" si="23"/>
        <v/>
      </c>
      <c r="I39" s="10" t="str">
        <f t="shared" si="23"/>
        <v/>
      </c>
      <c r="J39" s="10" t="str">
        <f t="shared" si="23"/>
        <v/>
      </c>
      <c r="K39" s="10" t="str">
        <f t="shared" si="23"/>
        <v/>
      </c>
      <c r="L39" s="10" t="str">
        <f t="shared" si="23"/>
        <v/>
      </c>
      <c r="M39" s="10" t="str">
        <f t="shared" si="23"/>
        <v/>
      </c>
      <c r="N39" s="5"/>
      <c r="O39" s="10">
        <f t="shared" si="22"/>
        <v>2.1798817760945792</v>
      </c>
      <c r="P39" s="10" t="str">
        <f t="shared" si="22"/>
        <v/>
      </c>
      <c r="Q39" s="10" t="str">
        <f t="shared" si="22"/>
        <v/>
      </c>
      <c r="R39" s="10" t="str">
        <f t="shared" si="22"/>
        <v/>
      </c>
      <c r="S39" s="10" t="str">
        <f t="shared" si="22"/>
        <v/>
      </c>
      <c r="T39" s="10" t="str">
        <f t="shared" si="11"/>
        <v/>
      </c>
      <c r="U39" s="10" t="str">
        <f t="shared" si="11"/>
        <v/>
      </c>
      <c r="V39" s="10" t="str">
        <f t="shared" si="11"/>
        <v/>
      </c>
    </row>
    <row r="40" spans="1:22" x14ac:dyDescent="0.35">
      <c r="A40" s="143"/>
      <c r="B40" s="10" t="str">
        <f t="shared" ref="B40:M40" si="24">IF(B17="","",(B17/$O$23))</f>
        <v/>
      </c>
      <c r="C40" s="10" t="str">
        <f t="shared" si="24"/>
        <v/>
      </c>
      <c r="D40" s="10" t="str">
        <f t="shared" si="24"/>
        <v/>
      </c>
      <c r="E40" s="10" t="str">
        <f t="shared" si="24"/>
        <v/>
      </c>
      <c r="F40" s="10" t="str">
        <f t="shared" si="24"/>
        <v/>
      </c>
      <c r="G40" s="10" t="str">
        <f t="shared" si="24"/>
        <v/>
      </c>
      <c r="H40" s="10" t="str">
        <f t="shared" si="24"/>
        <v/>
      </c>
      <c r="I40" s="10" t="str">
        <f t="shared" si="24"/>
        <v/>
      </c>
      <c r="J40" s="10" t="str">
        <f t="shared" si="24"/>
        <v/>
      </c>
      <c r="K40" s="10" t="str">
        <f t="shared" si="24"/>
        <v/>
      </c>
      <c r="L40" s="10" t="str">
        <f t="shared" si="24"/>
        <v/>
      </c>
      <c r="M40" s="10" t="str">
        <f t="shared" si="24"/>
        <v/>
      </c>
      <c r="N40" s="5"/>
      <c r="O40" s="10">
        <f t="shared" si="22"/>
        <v>2.3157946273642982</v>
      </c>
      <c r="P40" s="10" t="str">
        <f t="shared" si="22"/>
        <v/>
      </c>
      <c r="Q40" s="10" t="str">
        <f t="shared" si="22"/>
        <v/>
      </c>
      <c r="R40" s="10" t="str">
        <f t="shared" si="22"/>
        <v/>
      </c>
      <c r="S40" s="10" t="str">
        <f t="shared" si="22"/>
        <v/>
      </c>
      <c r="T40" s="10" t="str">
        <f t="shared" si="11"/>
        <v/>
      </c>
      <c r="U40" s="10" t="str">
        <f t="shared" si="11"/>
        <v/>
      </c>
      <c r="V40" s="10" t="str">
        <f t="shared" si="11"/>
        <v/>
      </c>
    </row>
    <row r="41" spans="1:22" x14ac:dyDescent="0.35">
      <c r="A41" s="143"/>
      <c r="B41" s="10" t="str">
        <f t="shared" ref="B41:M41" si="25">IF(B18="","",(B18/$O$23))</f>
        <v/>
      </c>
      <c r="C41" s="10" t="str">
        <f t="shared" si="25"/>
        <v/>
      </c>
      <c r="D41" s="10" t="str">
        <f t="shared" si="25"/>
        <v/>
      </c>
      <c r="E41" s="10" t="str">
        <f t="shared" si="25"/>
        <v/>
      </c>
      <c r="F41" s="10" t="str">
        <f t="shared" si="25"/>
        <v/>
      </c>
      <c r="G41" s="10" t="str">
        <f t="shared" si="25"/>
        <v/>
      </c>
      <c r="H41" s="10" t="str">
        <f t="shared" si="25"/>
        <v/>
      </c>
      <c r="I41" s="10" t="str">
        <f t="shared" si="25"/>
        <v/>
      </c>
      <c r="J41" s="10" t="str">
        <f t="shared" si="25"/>
        <v/>
      </c>
      <c r="K41" s="10" t="str">
        <f t="shared" si="25"/>
        <v/>
      </c>
      <c r="L41" s="10" t="str">
        <f t="shared" si="25"/>
        <v/>
      </c>
      <c r="M41" s="10" t="str">
        <f t="shared" si="25"/>
        <v/>
      </c>
      <c r="N41" s="5"/>
      <c r="O41" s="10">
        <f t="shared" si="22"/>
        <v>9.3311925350459714E-3</v>
      </c>
      <c r="P41" s="10" t="str">
        <f t="shared" si="22"/>
        <v/>
      </c>
      <c r="Q41" s="10" t="str">
        <f t="shared" si="22"/>
        <v/>
      </c>
      <c r="R41" s="10" t="str">
        <f t="shared" si="22"/>
        <v/>
      </c>
      <c r="S41" s="10" t="str">
        <f t="shared" si="22"/>
        <v/>
      </c>
      <c r="T41" s="10" t="str">
        <f t="shared" si="11"/>
        <v/>
      </c>
      <c r="U41" s="10" t="str">
        <f t="shared" si="11"/>
        <v/>
      </c>
      <c r="V41" s="10" t="str">
        <f t="shared" si="11"/>
        <v/>
      </c>
    </row>
    <row r="42" spans="1:22" x14ac:dyDescent="0.35">
      <c r="A42" s="143"/>
      <c r="B42" s="10" t="str">
        <f t="shared" ref="B42:M42" si="26">IF(B19="","",(B19/$O$23))</f>
        <v/>
      </c>
      <c r="C42" s="10" t="str">
        <f t="shared" si="26"/>
        <v/>
      </c>
      <c r="D42" s="10" t="str">
        <f t="shared" si="26"/>
        <v/>
      </c>
      <c r="E42" s="10" t="str">
        <f t="shared" si="26"/>
        <v/>
      </c>
      <c r="F42" s="10" t="str">
        <f t="shared" si="26"/>
        <v/>
      </c>
      <c r="G42" s="10" t="str">
        <f t="shared" si="26"/>
        <v/>
      </c>
      <c r="H42" s="10" t="str">
        <f t="shared" si="26"/>
        <v/>
      </c>
      <c r="I42" s="10" t="str">
        <f t="shared" si="26"/>
        <v/>
      </c>
      <c r="J42" s="10" t="str">
        <f t="shared" si="26"/>
        <v/>
      </c>
      <c r="K42" s="10" t="str">
        <f t="shared" si="26"/>
        <v/>
      </c>
      <c r="L42" s="10" t="str">
        <f t="shared" si="26"/>
        <v/>
      </c>
      <c r="M42" s="10" t="str">
        <f t="shared" si="26"/>
        <v/>
      </c>
      <c r="N42" s="5"/>
      <c r="O42" s="10">
        <f t="shared" si="22"/>
        <v>1.7959896032083174</v>
      </c>
      <c r="P42" s="10" t="str">
        <f t="shared" si="22"/>
        <v/>
      </c>
      <c r="Q42" s="10" t="str">
        <f t="shared" si="22"/>
        <v/>
      </c>
      <c r="R42" s="10" t="str">
        <f t="shared" si="22"/>
        <v/>
      </c>
      <c r="S42" s="10" t="str">
        <f t="shared" si="22"/>
        <v/>
      </c>
      <c r="T42" s="10" t="str">
        <f t="shared" si="11"/>
        <v/>
      </c>
      <c r="U42" s="10" t="str">
        <f t="shared" si="11"/>
        <v/>
      </c>
      <c r="V42" s="10" t="str">
        <f t="shared" si="11"/>
        <v/>
      </c>
    </row>
    <row r="43" spans="1:22" x14ac:dyDescent="0.35">
      <c r="A43" s="143"/>
      <c r="B43" s="10" t="str">
        <f t="shared" ref="B43:M43" si="27">IF(B20="","",(B20/$O$23))</f>
        <v/>
      </c>
      <c r="C43" s="10" t="str">
        <f t="shared" si="27"/>
        <v/>
      </c>
      <c r="D43" s="10" t="str">
        <f t="shared" si="27"/>
        <v/>
      </c>
      <c r="E43" s="10" t="str">
        <f t="shared" si="27"/>
        <v/>
      </c>
      <c r="F43" s="10" t="str">
        <f t="shared" si="27"/>
        <v/>
      </c>
      <c r="G43" s="10" t="str">
        <f t="shared" si="27"/>
        <v/>
      </c>
      <c r="H43" s="10" t="str">
        <f t="shared" si="27"/>
        <v/>
      </c>
      <c r="I43" s="10" t="str">
        <f t="shared" si="27"/>
        <v/>
      </c>
      <c r="J43" s="10" t="str">
        <f t="shared" si="27"/>
        <v/>
      </c>
      <c r="K43" s="10" t="str">
        <f t="shared" si="27"/>
        <v/>
      </c>
      <c r="L43" s="10" t="str">
        <f t="shared" si="27"/>
        <v/>
      </c>
      <c r="M43" s="10" t="str">
        <f t="shared" si="27"/>
        <v/>
      </c>
      <c r="N43" s="5"/>
      <c r="O43" s="10">
        <f t="shared" si="22"/>
        <v>2.2438177249458202</v>
      </c>
      <c r="P43" s="10" t="str">
        <f t="shared" si="22"/>
        <v/>
      </c>
      <c r="Q43" s="10" t="str">
        <f t="shared" si="22"/>
        <v/>
      </c>
      <c r="R43" s="10" t="str">
        <f t="shared" si="22"/>
        <v/>
      </c>
      <c r="S43" s="10" t="str">
        <f t="shared" si="22"/>
        <v/>
      </c>
      <c r="T43" s="10" t="str">
        <f t="shared" si="11"/>
        <v/>
      </c>
      <c r="U43" s="10" t="str">
        <f t="shared" si="11"/>
        <v/>
      </c>
      <c r="V43" s="10" t="str">
        <f t="shared" si="11"/>
        <v/>
      </c>
    </row>
    <row r="44" spans="1:22" x14ac:dyDescent="0.35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6"/>
      <c r="O44" s="3"/>
      <c r="P44" s="3"/>
      <c r="Q44" s="3"/>
      <c r="R44" s="3"/>
      <c r="S44" s="3"/>
      <c r="T44" s="3"/>
      <c r="U44" s="3"/>
      <c r="V44" s="3"/>
    </row>
    <row r="45" spans="1:22" x14ac:dyDescent="0.35">
      <c r="A45" s="52" t="str">
        <f t="shared" ref="A45" si="28">A4</f>
        <v>Group names</v>
      </c>
      <c r="B45" s="6" t="str">
        <f t="shared" ref="B45:R45" si="29">B4</f>
        <v>Solvent control</v>
      </c>
      <c r="C45" s="6" t="str">
        <f t="shared" si="29"/>
        <v>EE2-33.8ng/L</v>
      </c>
      <c r="D45" s="6" t="str">
        <f t="shared" si="29"/>
        <v>EE2-50.6ng/L</v>
      </c>
      <c r="E45" s="6" t="str">
        <f t="shared" si="29"/>
        <v>EE2-76ng/L</v>
      </c>
      <c r="F45" s="6" t="str">
        <f t="shared" si="29"/>
        <v>EE2-114ng/L</v>
      </c>
      <c r="G45" s="6" t="str">
        <f t="shared" si="29"/>
        <v>EE2-170.9ng/L</v>
      </c>
      <c r="H45" s="6" t="str">
        <f t="shared" si="29"/>
        <v>EE2-488ng/L</v>
      </c>
      <c r="I45" s="6" t="str">
        <f t="shared" si="29"/>
        <v>Anastrozole-0,032µg/L</v>
      </c>
      <c r="J45" s="6" t="str">
        <f t="shared" si="29"/>
        <v>Anastrozole-0,16µg/L</v>
      </c>
      <c r="K45" s="6" t="str">
        <f t="shared" ref="K45:M45" si="30">K4</f>
        <v>Anastrozole-0,8µg/L</v>
      </c>
      <c r="L45" s="6" t="str">
        <f t="shared" si="30"/>
        <v>Anastrozole-4µg/L</v>
      </c>
      <c r="M45" s="6" t="str">
        <f t="shared" si="30"/>
        <v>Anastrozole-20µg/L</v>
      </c>
      <c r="N45" s="6"/>
      <c r="O45" s="6" t="str">
        <f t="shared" si="29"/>
        <v>Testo -30µg/L</v>
      </c>
      <c r="P45" s="6" t="str">
        <f t="shared" si="29"/>
        <v>Testo 30µg/L + EE2 -64ng/L</v>
      </c>
      <c r="Q45" s="6" t="str">
        <f t="shared" si="29"/>
        <v>Testo 30µg/L + FAD-10mg/L</v>
      </c>
      <c r="R45" s="6" t="str">
        <f t="shared" si="29"/>
        <v>Anastrozole-0,032µg/L + Testostérone</v>
      </c>
      <c r="S45" s="6" t="str">
        <f t="shared" ref="S45:V45" si="31">S4</f>
        <v>Anastrozole-0,16µg/L + Testostérone</v>
      </c>
      <c r="T45" s="6" t="str">
        <f t="shared" si="31"/>
        <v>Anastrozole-0,8µg/L + Testostérone</v>
      </c>
      <c r="U45" s="6" t="str">
        <f t="shared" si="31"/>
        <v>Anastrozole-4µg/L + Testostérone</v>
      </c>
      <c r="V45" s="6" t="str">
        <f t="shared" si="31"/>
        <v>Anastrozole-20µg/L + Testostérone</v>
      </c>
    </row>
    <row r="46" spans="1:22" x14ac:dyDescent="0.35">
      <c r="A46" s="7" t="s">
        <v>0</v>
      </c>
      <c r="B46" s="9">
        <f t="shared" ref="B46:H46" si="32">AVERAGE(B28:B43)</f>
        <v>0</v>
      </c>
      <c r="C46" s="9">
        <f t="shared" si="32"/>
        <v>2.3327981337614931E-4</v>
      </c>
      <c r="D46" s="9">
        <f t="shared" si="32"/>
        <v>2.3903980876815298E-4</v>
      </c>
      <c r="E46" s="9">
        <f t="shared" si="32"/>
        <v>2.3615981107215115E-4</v>
      </c>
      <c r="F46" s="9">
        <f t="shared" si="32"/>
        <v>1.4336772530581974</v>
      </c>
      <c r="G46" s="9">
        <f t="shared" si="32"/>
        <v>2.5662421070063148</v>
      </c>
      <c r="H46" s="9">
        <f t="shared" si="32"/>
        <v>4.1064533548373152</v>
      </c>
      <c r="I46" s="9">
        <f>AVERAGE(I28:I43)</f>
        <v>1.6243187005450395E-3</v>
      </c>
      <c r="J46" s="8">
        <f>AVERAGE(J28:J43)</f>
        <v>0</v>
      </c>
      <c r="K46" s="8">
        <f t="shared" ref="K46:M46" si="33">AVERAGE(K28:K43)</f>
        <v>0</v>
      </c>
      <c r="L46" s="8">
        <f t="shared" si="33"/>
        <v>0</v>
      </c>
      <c r="M46" s="8">
        <f t="shared" si="33"/>
        <v>0</v>
      </c>
      <c r="N46" s="7" t="s">
        <v>0</v>
      </c>
      <c r="O46" s="9">
        <f t="shared" ref="O46:R46" si="34">AVERAGE(O28:O43)</f>
        <v>1</v>
      </c>
      <c r="P46" s="9">
        <f t="shared" si="34"/>
        <v>2.1406446874842504</v>
      </c>
      <c r="Q46" s="9">
        <f t="shared" si="34"/>
        <v>1.4068788744969004E-2</v>
      </c>
      <c r="R46" s="9">
        <f t="shared" si="34"/>
        <v>0.32691717846625723</v>
      </c>
      <c r="S46" s="9">
        <f t="shared" ref="S46:V46" si="35">AVERAGE(S28:S43)</f>
        <v>0.28615369107704708</v>
      </c>
      <c r="T46" s="9">
        <f t="shared" si="35"/>
        <v>0</v>
      </c>
      <c r="U46" s="9">
        <f t="shared" si="35"/>
        <v>3.9887968089625525E-3</v>
      </c>
      <c r="V46" s="9">
        <f t="shared" si="35"/>
        <v>0</v>
      </c>
    </row>
    <row r="47" spans="1:22" x14ac:dyDescent="0.35">
      <c r="A47" s="7" t="s">
        <v>1</v>
      </c>
      <c r="B47" s="7">
        <f t="shared" ref="B47:J47" si="36">STDEV(B28:B43)</f>
        <v>0</v>
      </c>
      <c r="C47" s="7">
        <f t="shared" si="36"/>
        <v>6.5981495180882977E-4</v>
      </c>
      <c r="D47" s="7">
        <f t="shared" si="36"/>
        <v>6.7610667901398609E-4</v>
      </c>
      <c r="E47" s="7">
        <f t="shared" si="36"/>
        <v>6.6796081541140799E-4</v>
      </c>
      <c r="F47" s="7">
        <f t="shared" si="36"/>
        <v>1.8066360363517107</v>
      </c>
      <c r="G47" s="7">
        <f t="shared" si="36"/>
        <v>1.0175585240157785</v>
      </c>
      <c r="H47" s="7">
        <f t="shared" si="36"/>
        <v>1.2203210807207532</v>
      </c>
      <c r="I47" s="7">
        <f t="shared" si="36"/>
        <v>4.5942670718540739E-3</v>
      </c>
      <c r="J47" s="7">
        <f t="shared" si="36"/>
        <v>0</v>
      </c>
      <c r="K47" s="7">
        <f t="shared" ref="K47:M47" si="37">STDEV(K28:K43)</f>
        <v>0</v>
      </c>
      <c r="L47" s="7">
        <f t="shared" si="37"/>
        <v>0</v>
      </c>
      <c r="M47" s="7">
        <f t="shared" si="37"/>
        <v>0</v>
      </c>
      <c r="N47" s="7" t="s">
        <v>1</v>
      </c>
      <c r="O47" s="7">
        <f t="shared" ref="O47:R47" si="38">STDEV(O28:O43)</f>
        <v>0.8338398739001599</v>
      </c>
      <c r="P47" s="7">
        <f t="shared" si="38"/>
        <v>1.3726549571350557</v>
      </c>
      <c r="Q47" s="7">
        <f t="shared" si="38"/>
        <v>3.9792543698594238E-2</v>
      </c>
      <c r="R47" s="7">
        <f t="shared" si="38"/>
        <v>0.46390941863573038</v>
      </c>
      <c r="S47" s="7">
        <f t="shared" ref="S47:V47" si="39">STDEV(S28:S43)</f>
        <v>0.48036956014168586</v>
      </c>
      <c r="T47" s="7">
        <f t="shared" si="39"/>
        <v>0</v>
      </c>
      <c r="U47" s="7">
        <f t="shared" si="39"/>
        <v>1.1282021089570731E-2</v>
      </c>
      <c r="V47" s="7">
        <f t="shared" si="39"/>
        <v>0</v>
      </c>
    </row>
    <row r="48" spans="1:22" x14ac:dyDescent="0.35">
      <c r="A48" s="7" t="s">
        <v>2</v>
      </c>
      <c r="B48" s="7">
        <f t="shared" ref="B48:J48" si="40" xml:space="preserve"> B47/SQRT(COUNT(B28:B43))</f>
        <v>0</v>
      </c>
      <c r="C48" s="7">
        <f t="shared" si="40"/>
        <v>2.3327981337614928E-4</v>
      </c>
      <c r="D48" s="7">
        <f t="shared" si="40"/>
        <v>2.3903980876815298E-4</v>
      </c>
      <c r="E48" s="7">
        <f t="shared" si="40"/>
        <v>2.3615981107215115E-4</v>
      </c>
      <c r="F48" s="7">
        <f t="shared" si="40"/>
        <v>0.63874229622014023</v>
      </c>
      <c r="G48" s="7">
        <f t="shared" si="40"/>
        <v>0.35976126629286564</v>
      </c>
      <c r="H48" s="7">
        <f t="shared" si="40"/>
        <v>0.43144865570127039</v>
      </c>
      <c r="I48" s="7">
        <f t="shared" si="40"/>
        <v>1.6243187005450393E-3</v>
      </c>
      <c r="J48" s="7">
        <f t="shared" si="40"/>
        <v>0</v>
      </c>
      <c r="K48" s="7">
        <f t="shared" ref="K48:M48" si="41" xml:space="preserve"> K47/SQRT(COUNT(K28:K43))</f>
        <v>0</v>
      </c>
      <c r="L48" s="7">
        <f t="shared" si="41"/>
        <v>0</v>
      </c>
      <c r="M48" s="7">
        <f t="shared" si="41"/>
        <v>0</v>
      </c>
      <c r="N48" s="7" t="s">
        <v>2</v>
      </c>
      <c r="O48" s="7">
        <f t="shared" ref="O48:R48" si="42" xml:space="preserve"> O47/SQRT(COUNT(O28:O43))</f>
        <v>0.20845996847503998</v>
      </c>
      <c r="P48" s="7">
        <f t="shared" si="42"/>
        <v>0.48530681420976379</v>
      </c>
      <c r="Q48" s="7">
        <f t="shared" si="42"/>
        <v>1.4068788744969002E-2</v>
      </c>
      <c r="R48" s="7">
        <f t="shared" si="42"/>
        <v>0.16401674788681692</v>
      </c>
      <c r="S48" s="7">
        <f t="shared" ref="S48:V48" si="43" xml:space="preserve"> S47/SQRT(COUNT(S28:S43))</f>
        <v>0.16983628672589257</v>
      </c>
      <c r="T48" s="7">
        <f t="shared" si="43"/>
        <v>0</v>
      </c>
      <c r="U48" s="7">
        <f t="shared" si="43"/>
        <v>3.9887968089625525E-3</v>
      </c>
      <c r="V48" s="7">
        <f t="shared" si="43"/>
        <v>0</v>
      </c>
    </row>
    <row r="49" spans="1:22" ht="15" thickBot="1" x14ac:dyDescent="0.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26.5" thickBot="1" x14ac:dyDescent="0.65">
      <c r="A50" s="138"/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</row>
    <row r="51" spans="1:22" customFormat="1" ht="15" thickBot="1" x14ac:dyDescent="0.4"/>
    <row r="52" spans="1:22" x14ac:dyDescent="0.35">
      <c r="A52" s="28" t="str">
        <f t="shared" ref="A52" si="44">A27</f>
        <v>Group names</v>
      </c>
      <c r="B52" s="29" t="str">
        <f t="shared" ref="B52:H52" si="45">B27</f>
        <v>Solvent control</v>
      </c>
      <c r="C52" s="29" t="str">
        <f t="shared" si="45"/>
        <v>EE2-33.8ng/L</v>
      </c>
      <c r="D52" s="29" t="str">
        <f t="shared" si="45"/>
        <v>EE2-50.6ng/L</v>
      </c>
      <c r="E52" s="29" t="str">
        <f t="shared" si="45"/>
        <v>EE2-76ng/L</v>
      </c>
      <c r="F52" s="29" t="str">
        <f t="shared" si="45"/>
        <v>EE2-114ng/L</v>
      </c>
      <c r="G52" s="29" t="str">
        <f t="shared" si="45"/>
        <v>EE2-170.9ng/L</v>
      </c>
      <c r="H52" s="29" t="str">
        <f t="shared" si="45"/>
        <v>EE2-488ng/L</v>
      </c>
      <c r="I52" s="29" t="str">
        <f>I4</f>
        <v>Anastrozole-0,032µg/L</v>
      </c>
      <c r="J52" s="29" t="str">
        <f>J4</f>
        <v>Anastrozole-0,16µg/L</v>
      </c>
      <c r="K52" s="29" t="str">
        <f t="shared" ref="K52:M52" si="46">K4</f>
        <v>Anastrozole-0,8µg/L</v>
      </c>
      <c r="L52" s="29" t="str">
        <f t="shared" si="46"/>
        <v>Anastrozole-4µg/L</v>
      </c>
      <c r="M52" s="29" t="str">
        <f t="shared" si="46"/>
        <v>Anastrozole-20µg/L</v>
      </c>
      <c r="N52" s="30"/>
      <c r="O52" s="29" t="str">
        <f>O27</f>
        <v>Testo -30µg/L</v>
      </c>
      <c r="P52" s="29" t="str">
        <f>P27</f>
        <v>Testo 30µg/L + EE2 -64ng/L</v>
      </c>
      <c r="Q52" s="29" t="str">
        <f>Q27</f>
        <v>Testo 30µg/L + FAD-10mg/L</v>
      </c>
      <c r="R52" s="29" t="str">
        <f>R27</f>
        <v>Anastrozole-0,032µg/L + Testostérone</v>
      </c>
      <c r="S52" s="29" t="str">
        <f t="shared" ref="S52:V52" si="47">S27</f>
        <v>Anastrozole-0,16µg/L + Testostérone</v>
      </c>
      <c r="T52" s="29" t="str">
        <f t="shared" si="47"/>
        <v>Anastrozole-0,8µg/L + Testostérone</v>
      </c>
      <c r="U52" s="29" t="str">
        <f t="shared" si="47"/>
        <v>Anastrozole-4µg/L + Testostérone</v>
      </c>
      <c r="V52" s="29" t="str">
        <f t="shared" si="47"/>
        <v>Anastrozole-20µg/L + Testostérone</v>
      </c>
    </row>
    <row r="53" spans="1:22" s="3" customFormat="1" x14ac:dyDescent="0.35">
      <c r="A53" s="44" t="s">
        <v>10</v>
      </c>
      <c r="B53" s="76">
        <f t="shared" ref="B53" si="48">B46</f>
        <v>0</v>
      </c>
      <c r="C53" s="76">
        <f t="shared" ref="C53:V53" si="49">C46</f>
        <v>2.3327981337614931E-4</v>
      </c>
      <c r="D53" s="76">
        <f t="shared" si="49"/>
        <v>2.3903980876815298E-4</v>
      </c>
      <c r="E53" s="76">
        <f t="shared" si="49"/>
        <v>2.3615981107215115E-4</v>
      </c>
      <c r="F53" s="76">
        <f t="shared" si="49"/>
        <v>1.4336772530581974</v>
      </c>
      <c r="G53" s="76">
        <f t="shared" si="49"/>
        <v>2.5662421070063148</v>
      </c>
      <c r="H53" s="76">
        <f t="shared" si="49"/>
        <v>4.1064533548373152</v>
      </c>
      <c r="I53" s="76">
        <f t="shared" si="49"/>
        <v>1.6243187005450395E-3</v>
      </c>
      <c r="J53" s="76">
        <f t="shared" si="49"/>
        <v>0</v>
      </c>
      <c r="K53" s="76">
        <f t="shared" si="49"/>
        <v>0</v>
      </c>
      <c r="L53" s="76">
        <f t="shared" si="49"/>
        <v>0</v>
      </c>
      <c r="M53" s="76">
        <f t="shared" si="49"/>
        <v>0</v>
      </c>
      <c r="N53" s="76"/>
      <c r="O53" s="76">
        <f t="shared" si="49"/>
        <v>1</v>
      </c>
      <c r="P53" s="76">
        <f t="shared" si="49"/>
        <v>2.1406446874842504</v>
      </c>
      <c r="Q53" s="76">
        <f t="shared" si="49"/>
        <v>1.4068788744969004E-2</v>
      </c>
      <c r="R53" s="76">
        <f t="shared" si="49"/>
        <v>0.32691717846625723</v>
      </c>
      <c r="S53" s="76">
        <f t="shared" si="49"/>
        <v>0.28615369107704708</v>
      </c>
      <c r="T53" s="76">
        <f t="shared" si="49"/>
        <v>0</v>
      </c>
      <c r="U53" s="76">
        <f t="shared" si="49"/>
        <v>3.9887968089625525E-3</v>
      </c>
      <c r="V53" s="76">
        <f t="shared" si="49"/>
        <v>0</v>
      </c>
    </row>
    <row r="54" spans="1:22" s="3" customFormat="1" x14ac:dyDescent="0.35">
      <c r="A54" s="44" t="s">
        <v>2</v>
      </c>
      <c r="B54" s="76">
        <f t="shared" ref="B54" si="50">B48</f>
        <v>0</v>
      </c>
      <c r="C54" s="76">
        <f t="shared" ref="C54:V54" si="51">C48</f>
        <v>2.3327981337614928E-4</v>
      </c>
      <c r="D54" s="76">
        <f t="shared" si="51"/>
        <v>2.3903980876815298E-4</v>
      </c>
      <c r="E54" s="76">
        <f t="shared" si="51"/>
        <v>2.3615981107215115E-4</v>
      </c>
      <c r="F54" s="76">
        <f t="shared" si="51"/>
        <v>0.63874229622014023</v>
      </c>
      <c r="G54" s="76">
        <f t="shared" si="51"/>
        <v>0.35976126629286564</v>
      </c>
      <c r="H54" s="76">
        <f t="shared" si="51"/>
        <v>0.43144865570127039</v>
      </c>
      <c r="I54" s="76">
        <f t="shared" si="51"/>
        <v>1.6243187005450393E-3</v>
      </c>
      <c r="J54" s="76">
        <f t="shared" si="51"/>
        <v>0</v>
      </c>
      <c r="K54" s="76">
        <f t="shared" si="51"/>
        <v>0</v>
      </c>
      <c r="L54" s="76">
        <f t="shared" si="51"/>
        <v>0</v>
      </c>
      <c r="M54" s="76">
        <f t="shared" si="51"/>
        <v>0</v>
      </c>
      <c r="N54" s="76"/>
      <c r="O54" s="76">
        <f t="shared" si="51"/>
        <v>0.20845996847503998</v>
      </c>
      <c r="P54" s="76">
        <f t="shared" si="51"/>
        <v>0.48530681420976379</v>
      </c>
      <c r="Q54" s="76">
        <f t="shared" si="51"/>
        <v>1.4068788744969002E-2</v>
      </c>
      <c r="R54" s="76">
        <f t="shared" si="51"/>
        <v>0.16401674788681692</v>
      </c>
      <c r="S54" s="76">
        <f t="shared" si="51"/>
        <v>0.16983628672589257</v>
      </c>
      <c r="T54" s="76">
        <f t="shared" si="51"/>
        <v>0</v>
      </c>
      <c r="U54" s="76">
        <f t="shared" si="51"/>
        <v>3.9887968089625525E-3</v>
      </c>
      <c r="V54" s="76">
        <f t="shared" si="51"/>
        <v>0</v>
      </c>
    </row>
    <row r="55" spans="1:22" s="3" customFormat="1" x14ac:dyDescent="0.35">
      <c r="A55" s="44" t="s">
        <v>14</v>
      </c>
      <c r="B55" s="76" t="e">
        <f>(B53*100/$B53)-100</f>
        <v>#DIV/0!</v>
      </c>
      <c r="C55" s="76" t="e">
        <f t="shared" ref="C55:M55" si="52">(C53*100/$B53)-100</f>
        <v>#DIV/0!</v>
      </c>
      <c r="D55" s="76" t="e">
        <f t="shared" si="52"/>
        <v>#DIV/0!</v>
      </c>
      <c r="E55" s="76" t="e">
        <f t="shared" si="52"/>
        <v>#DIV/0!</v>
      </c>
      <c r="F55" s="76" t="e">
        <f t="shared" si="52"/>
        <v>#DIV/0!</v>
      </c>
      <c r="G55" s="76" t="e">
        <f t="shared" si="52"/>
        <v>#DIV/0!</v>
      </c>
      <c r="H55" s="76" t="e">
        <f t="shared" si="52"/>
        <v>#DIV/0!</v>
      </c>
      <c r="I55" s="76" t="e">
        <f t="shared" si="52"/>
        <v>#DIV/0!</v>
      </c>
      <c r="J55" s="76" t="e">
        <f t="shared" si="52"/>
        <v>#DIV/0!</v>
      </c>
      <c r="K55" s="76" t="e">
        <f t="shared" si="52"/>
        <v>#DIV/0!</v>
      </c>
      <c r="L55" s="76" t="e">
        <f t="shared" si="52"/>
        <v>#DIV/0!</v>
      </c>
      <c r="M55" s="76" t="e">
        <f t="shared" si="52"/>
        <v>#DIV/0!</v>
      </c>
      <c r="N55" s="76"/>
      <c r="O55" s="76">
        <f t="shared" ref="O55:V55" si="53">(O53*100/$O53)-100</f>
        <v>0</v>
      </c>
      <c r="P55" s="76">
        <f t="shared" si="53"/>
        <v>114.06446874842504</v>
      </c>
      <c r="Q55" s="76">
        <f t="shared" si="53"/>
        <v>-98.593121125503103</v>
      </c>
      <c r="R55" s="76">
        <f t="shared" si="53"/>
        <v>-67.308282153374279</v>
      </c>
      <c r="S55" s="76">
        <f t="shared" si="53"/>
        <v>-71.384630892295291</v>
      </c>
      <c r="T55" s="76">
        <f t="shared" si="53"/>
        <v>-100</v>
      </c>
      <c r="U55" s="76">
        <f t="shared" si="53"/>
        <v>-99.601120319103742</v>
      </c>
      <c r="V55" s="76">
        <f t="shared" si="53"/>
        <v>-100</v>
      </c>
    </row>
    <row r="56" spans="1:22" s="3" customFormat="1" x14ac:dyDescent="0.35">
      <c r="A56" s="44" t="s">
        <v>37</v>
      </c>
      <c r="B56" s="76" t="e">
        <f>[1]!SWTEST(B28:B43)</f>
        <v>#VALUE!</v>
      </c>
      <c r="C56" s="76">
        <f>[1]!SWTEST(C28:C43)</f>
        <v>1.0472313157761093E-6</v>
      </c>
      <c r="D56" s="76">
        <f>[1]!SWTEST(D28:D43)</f>
        <v>1.0472313157761093E-6</v>
      </c>
      <c r="E56" s="76">
        <f>[1]!SWTEST(E28:E43)</f>
        <v>1.0472313157761093E-6</v>
      </c>
      <c r="F56" s="76">
        <f>[1]!SWTEST(F28:F43)</f>
        <v>5.0989782498721214E-2</v>
      </c>
      <c r="G56" s="76">
        <f>[1]!SWTEST(G28:G43)</f>
        <v>0.10619025318803921</v>
      </c>
      <c r="H56" s="76">
        <f>[1]!SWTEST(H28:H43)</f>
        <v>0.4827027408648048</v>
      </c>
      <c r="I56" s="76">
        <f>[1]!SWTEST(I28:I43)</f>
        <v>1.0472313157761093E-6</v>
      </c>
      <c r="J56" s="76" t="e">
        <f>[1]!SWTEST(J28:J43)</f>
        <v>#VALUE!</v>
      </c>
      <c r="K56" s="76" t="e">
        <f>[1]!SWTEST(K28:K43)</f>
        <v>#VALUE!</v>
      </c>
      <c r="L56" s="76" t="e">
        <f>[1]!SWTEST(L28:L43)</f>
        <v>#VALUE!</v>
      </c>
      <c r="M56" s="76" t="e">
        <f>[1]!SWTEST(M28:M43)</f>
        <v>#VALUE!</v>
      </c>
      <c r="N56" s="76"/>
      <c r="O56" s="76">
        <f>[1]!SWTEST(O28:O43)</f>
        <v>8.1699168356525353E-2</v>
      </c>
      <c r="P56" s="76">
        <f>[1]!SWTEST(P28:P43)</f>
        <v>9.0975201756447022E-2</v>
      </c>
      <c r="Q56" s="76">
        <f>[1]!SWTEST(Q28:Q43)</f>
        <v>1.0472313157761093E-6</v>
      </c>
      <c r="R56" s="76">
        <f>[1]!SWTEST(R28:R43)</f>
        <v>8.8686971730421726E-3</v>
      </c>
      <c r="S56" s="76">
        <f>[1]!SWTEST(S28:S43)</f>
        <v>7.4438962966127953E-4</v>
      </c>
      <c r="T56" s="76" t="e">
        <f>[1]!SWTEST(T28:T43)</f>
        <v>#VALUE!</v>
      </c>
      <c r="U56" s="76">
        <f>[1]!SWTEST(U28:U43)</f>
        <v>1.0472313157761093E-6</v>
      </c>
      <c r="V56" s="76" t="e">
        <f>[1]!SWTEST(V28:V43)</f>
        <v>#VALUE!</v>
      </c>
    </row>
    <row r="57" spans="1:22" s="3" customFormat="1" x14ac:dyDescent="0.35">
      <c r="A57" s="44" t="s">
        <v>38</v>
      </c>
      <c r="B57" s="76" t="e">
        <f>IF(B56&gt;0.05,"Oui","Non")</f>
        <v>#VALUE!</v>
      </c>
      <c r="C57" s="76" t="str">
        <f t="shared" ref="C57:V57" si="54">IF(C56&gt;0.05,"Oui","Non")</f>
        <v>Non</v>
      </c>
      <c r="D57" s="76" t="str">
        <f t="shared" si="54"/>
        <v>Non</v>
      </c>
      <c r="E57" s="76" t="str">
        <f t="shared" si="54"/>
        <v>Non</v>
      </c>
      <c r="F57" s="76" t="str">
        <f t="shared" si="54"/>
        <v>Oui</v>
      </c>
      <c r="G57" s="76" t="str">
        <f t="shared" si="54"/>
        <v>Oui</v>
      </c>
      <c r="H57" s="76" t="str">
        <f t="shared" si="54"/>
        <v>Oui</v>
      </c>
      <c r="I57" s="76" t="str">
        <f t="shared" si="54"/>
        <v>Non</v>
      </c>
      <c r="J57" s="76" t="e">
        <f t="shared" si="54"/>
        <v>#VALUE!</v>
      </c>
      <c r="K57" s="76" t="e">
        <f t="shared" si="54"/>
        <v>#VALUE!</v>
      </c>
      <c r="L57" s="76" t="e">
        <f t="shared" si="54"/>
        <v>#VALUE!</v>
      </c>
      <c r="M57" s="76" t="e">
        <f t="shared" si="54"/>
        <v>#VALUE!</v>
      </c>
      <c r="N57" s="76"/>
      <c r="O57" s="76" t="str">
        <f t="shared" si="54"/>
        <v>Oui</v>
      </c>
      <c r="P57" s="76" t="str">
        <f t="shared" si="54"/>
        <v>Oui</v>
      </c>
      <c r="Q57" s="76" t="str">
        <f t="shared" si="54"/>
        <v>Non</v>
      </c>
      <c r="R57" s="76" t="str">
        <f t="shared" si="54"/>
        <v>Non</v>
      </c>
      <c r="S57" s="76" t="str">
        <f t="shared" si="54"/>
        <v>Non</v>
      </c>
      <c r="T57" s="76" t="e">
        <f t="shared" si="54"/>
        <v>#VALUE!</v>
      </c>
      <c r="U57" s="76" t="str">
        <f t="shared" si="54"/>
        <v>Non</v>
      </c>
      <c r="V57" s="76" t="e">
        <f t="shared" si="54"/>
        <v>#VALUE!</v>
      </c>
    </row>
    <row r="58" spans="1:22" s="3" customFormat="1" x14ac:dyDescent="0.35">
      <c r="A58" s="44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8"/>
      <c r="O58" s="79"/>
      <c r="P58" s="76"/>
      <c r="Q58" s="76"/>
      <c r="R58" s="76"/>
      <c r="S58" s="76"/>
      <c r="T58" s="76"/>
      <c r="U58" s="76"/>
      <c r="V58" s="76"/>
    </row>
    <row r="59" spans="1:22" s="3" customFormat="1" x14ac:dyDescent="0.35">
      <c r="A59" s="44" t="s">
        <v>39</v>
      </c>
      <c r="B59" s="80"/>
      <c r="C59" s="80" t="e">
        <f t="shared" ref="C59:O59" si="55">IF($B57="Non",IF(C57="Non","MW",IF(C57="Oui","MW","")),IF($B57="Oui",IF(C57="Oui","T-Test Welch",IF(C57="Non","MW",""))))</f>
        <v>#VALUE!</v>
      </c>
      <c r="D59" s="80" t="e">
        <f t="shared" si="55"/>
        <v>#VALUE!</v>
      </c>
      <c r="E59" s="80" t="e">
        <f t="shared" si="55"/>
        <v>#VALUE!</v>
      </c>
      <c r="F59" s="80" t="e">
        <f t="shared" si="55"/>
        <v>#VALUE!</v>
      </c>
      <c r="G59" s="80" t="e">
        <f t="shared" si="55"/>
        <v>#VALUE!</v>
      </c>
      <c r="H59" s="80" t="e">
        <f t="shared" si="55"/>
        <v>#VALUE!</v>
      </c>
      <c r="I59" s="80" t="e">
        <f t="shared" si="55"/>
        <v>#VALUE!</v>
      </c>
      <c r="J59" s="80" t="e">
        <f t="shared" si="55"/>
        <v>#VALUE!</v>
      </c>
      <c r="K59" s="80" t="e">
        <f t="shared" si="55"/>
        <v>#VALUE!</v>
      </c>
      <c r="L59" s="80" t="e">
        <f t="shared" si="55"/>
        <v>#VALUE!</v>
      </c>
      <c r="M59" s="80" t="e">
        <f t="shared" si="55"/>
        <v>#VALUE!</v>
      </c>
      <c r="N59" s="80"/>
      <c r="O59" s="80" t="e">
        <f t="shared" si="55"/>
        <v>#VALUE!</v>
      </c>
      <c r="P59" s="80" t="str">
        <f t="shared" ref="P59:V59" si="56">IF($O57="Non",IF(P57="Non","MW",IF(P57="Oui","MW","")),IF($O57="Oui",IF(P57="Oui","T-Test Welch",IF(P57="Non","MW",""))))</f>
        <v>T-Test Welch</v>
      </c>
      <c r="Q59" s="80" t="str">
        <f t="shared" si="56"/>
        <v>MW</v>
      </c>
      <c r="R59" s="80" t="str">
        <f t="shared" si="56"/>
        <v>MW</v>
      </c>
      <c r="S59" s="80" t="str">
        <f t="shared" si="56"/>
        <v>MW</v>
      </c>
      <c r="T59" s="80" t="e">
        <f t="shared" si="56"/>
        <v>#VALUE!</v>
      </c>
      <c r="U59" s="80" t="str">
        <f t="shared" si="56"/>
        <v>MW</v>
      </c>
      <c r="V59" s="80" t="e">
        <f t="shared" si="56"/>
        <v>#VALUE!</v>
      </c>
    </row>
    <row r="60" spans="1:22" s="3" customFormat="1" x14ac:dyDescent="0.35">
      <c r="A60" s="44" t="s">
        <v>40</v>
      </c>
      <c r="B60" s="81"/>
      <c r="C60" s="81" t="e">
        <f>IF(C59="MW",[1]!MTEST($B28:$B43,C28:C43,2), IF(C59="T-Test Welch",_xlfn.T.TEST($B28:$B43,C28:C43,2,3),""))</f>
        <v>#VALUE!</v>
      </c>
      <c r="D60" s="81" t="e">
        <f>IF(D59="MW",[1]!MTEST($B28:$B43,D28:D43,2), IF(D59="T-Test Welch",_xlfn.T.TEST($B28:$B43,D28:D43,2,3),""))</f>
        <v>#VALUE!</v>
      </c>
      <c r="E60" s="81" t="e">
        <f>IF(E59="MW",[1]!MTEST($B28:$B43,E28:E43,2), IF(E59="T-Test Welch",_xlfn.T.TEST($B28:$B43,E28:E43,2,3),""))</f>
        <v>#VALUE!</v>
      </c>
      <c r="F60" s="81" t="e">
        <f>IF(F59="MW",[1]!MTEST($B28:$B43,F28:F43,2), IF(F59="T-Test Welch",_xlfn.T.TEST($B28:$B43,F28:F43,2,3),""))</f>
        <v>#VALUE!</v>
      </c>
      <c r="G60" s="81" t="e">
        <f>IF(G59="MW",[1]!MTEST($B28:$B43,G28:G43,2), IF(G59="T-Test Welch",_xlfn.T.TEST($B28:$B43,G28:G43,2,3),""))</f>
        <v>#VALUE!</v>
      </c>
      <c r="H60" s="81" t="e">
        <f>IF(H59="MW",[1]!MTEST($B28:$B43,H28:H43,2), IF(H59="T-Test Welch",_xlfn.T.TEST($B28:$B43,H28:H43,2,3),""))</f>
        <v>#VALUE!</v>
      </c>
      <c r="I60" s="81" t="e">
        <f>IF(I59="MW",[1]!MTEST($B28:$B43,I28:I43,2), IF(I59="T-Test Welch",_xlfn.T.TEST($B28:$B43,I28:I43,2,3),""))</f>
        <v>#VALUE!</v>
      </c>
      <c r="J60" s="81" t="e">
        <f>IF(J59="MW",[1]!MTEST($B28:$B43,J28:J43,2), IF(J59="T-Test Welch",_xlfn.T.TEST($B28:$B43,J28:J43,2,3),""))</f>
        <v>#VALUE!</v>
      </c>
      <c r="K60" s="81" t="e">
        <f>IF(K59="MW",[1]!MTEST($B28:$B43,K28:K43,2), IF(K59="T-Test Welch",_xlfn.T.TEST($B28:$B43,K28:K43,2,3),""))</f>
        <v>#VALUE!</v>
      </c>
      <c r="L60" s="81" t="e">
        <f>IF(L59="MW",[1]!MTEST($B28:$B43,L28:L43,2), IF(L59="T-Test Welch",_xlfn.T.TEST($B28:$B43,L28:L43,2,3),""))</f>
        <v>#VALUE!</v>
      </c>
      <c r="M60" s="81" t="e">
        <f>IF(M59="MW",[1]!MTEST($B28:$B43,M28:M43,2), IF(M59="T-Test Welch",_xlfn.T.TEST($B28:$B43,M28:M43,2,3),""))</f>
        <v>#VALUE!</v>
      </c>
      <c r="N60" s="81"/>
      <c r="O60" s="81" t="e">
        <f>IF(O59="MW",[1]!MTEST($B28:$B43,O28:O43,2), IF(O59="T-Test Welch",_xlfn.T.TEST($B28:$B43,O28:O43,2,3),""))</f>
        <v>#VALUE!</v>
      </c>
      <c r="P60" s="81">
        <f>IF(P59="MW",[1]!MTEST($O28:$O43,P28:P43,2), IF(P59="T-Test Welch",_xlfn.T.TEST($O28:$O43,P28:P43,2,3),""))</f>
        <v>5.7064161337545903E-2</v>
      </c>
      <c r="Q60" s="81">
        <f>IF(Q59="MW",[1]!MTEST($O28:$O43,Q28:Q43,2), IF(Q59="T-Test Welch",_xlfn.T.TEST($O28:$O43,Q28:Q43,2,3),""))</f>
        <v>5.4036747488583892E-4</v>
      </c>
      <c r="R60" s="81">
        <f>IF(R59="MW",[1]!MTEST($O28:$O43,R28:R43,2), IF(R59="T-Test Welch",_xlfn.T.TEST($O28:$O43,R28:R43,2,3),""))</f>
        <v>9.8248348729491175E-2</v>
      </c>
      <c r="S60" s="81">
        <f>IF(S59="MW",[1]!MTEST($O28:$O43,S28:S43,2), IF(S59="T-Test Welch",_xlfn.T.TEST($O28:$O43,S28:S43,2,3),""))</f>
        <v>2.7486336111510301E-2</v>
      </c>
      <c r="T60" s="81" t="e">
        <f>IF(T59="MW",[1]!MTEST($O28:$O43,T28:T43,2), IF(T59="T-Test Welch",_xlfn.T.TEST($O28:$O43,T28:T43,2,3),""))</f>
        <v>#VALUE!</v>
      </c>
      <c r="U60" s="81">
        <f>IF(U59="MW",[1]!MTEST($O28:$O43,U28:U43,2), IF(U59="T-Test Welch",_xlfn.T.TEST($O28:$O43,U28:U43,2,3),""))</f>
        <v>4.2969324784714047E-4</v>
      </c>
      <c r="V60" s="81" t="e">
        <f>IF(V59="MW",[1]!MTEST($O28:$O43,V28:V43,2), IF(V59="T-Test Welch",_xlfn.T.TEST($O28:$O43,V28:V43,2,3),""))</f>
        <v>#VALUE!</v>
      </c>
    </row>
    <row r="61" spans="1:22" s="3" customFormat="1" ht="15" thickBot="1" x14ac:dyDescent="0.4">
      <c r="A61" s="45" t="s">
        <v>15</v>
      </c>
      <c r="B61" s="77"/>
      <c r="C61" s="77" t="e">
        <f t="shared" ref="C61:O61" si="57">IF(C60&gt;0.05,"NS",IF(C60&gt;0.01,"*",IF(C60&gt;0.001,"**","***")))</f>
        <v>#VALUE!</v>
      </c>
      <c r="D61" s="77" t="e">
        <f t="shared" si="57"/>
        <v>#VALUE!</v>
      </c>
      <c r="E61" s="77" t="e">
        <f t="shared" si="57"/>
        <v>#VALUE!</v>
      </c>
      <c r="F61" s="77" t="e">
        <f t="shared" si="57"/>
        <v>#VALUE!</v>
      </c>
      <c r="G61" s="77" t="e">
        <f t="shared" si="57"/>
        <v>#VALUE!</v>
      </c>
      <c r="H61" s="77" t="e">
        <f t="shared" si="57"/>
        <v>#VALUE!</v>
      </c>
      <c r="I61" s="77" t="e">
        <f t="shared" si="57"/>
        <v>#VALUE!</v>
      </c>
      <c r="J61" s="77" t="e">
        <f t="shared" si="57"/>
        <v>#VALUE!</v>
      </c>
      <c r="K61" s="77" t="e">
        <f t="shared" si="57"/>
        <v>#VALUE!</v>
      </c>
      <c r="L61" s="77" t="e">
        <f t="shared" si="57"/>
        <v>#VALUE!</v>
      </c>
      <c r="M61" s="77" t="e">
        <f t="shared" si="57"/>
        <v>#VALUE!</v>
      </c>
      <c r="N61" s="77"/>
      <c r="O61" s="77" t="e">
        <f t="shared" si="57"/>
        <v>#VALUE!</v>
      </c>
      <c r="P61" s="77" t="str">
        <f>IF(P60&gt;0.05,"NS",IF(P60&gt;0.01,"*",IF(P60&gt;0.001,"**","***")))</f>
        <v>NS</v>
      </c>
      <c r="Q61" s="77" t="str">
        <f t="shared" ref="Q61:V61" si="58">IF(Q60&gt;0.05,"NS",IF(Q60&gt;0.01,"*",IF(Q60&gt;0.001,"**","***")))</f>
        <v>***</v>
      </c>
      <c r="R61" s="77" t="str">
        <f t="shared" si="58"/>
        <v>NS</v>
      </c>
      <c r="S61" s="77" t="str">
        <f t="shared" si="58"/>
        <v>*</v>
      </c>
      <c r="T61" s="77" t="e">
        <f t="shared" si="58"/>
        <v>#VALUE!</v>
      </c>
      <c r="U61" s="77" t="str">
        <f t="shared" si="58"/>
        <v>***</v>
      </c>
      <c r="V61" s="77" t="e">
        <f t="shared" si="58"/>
        <v>#VALUE!</v>
      </c>
    </row>
    <row r="63" spans="1:22" x14ac:dyDescent="0.35">
      <c r="A63" s="2"/>
    </row>
    <row r="66" spans="1:22" ht="15" thickBot="1" x14ac:dyDescent="0.4"/>
    <row r="67" spans="1:22" ht="26.5" thickBot="1" x14ac:dyDescent="0.65">
      <c r="A67" s="138"/>
      <c r="B67" s="139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</row>
    <row r="68" spans="1:22" ht="16.5" x14ac:dyDescent="0.35">
      <c r="A68" s="11"/>
      <c r="B68" s="11"/>
      <c r="C68" s="11"/>
      <c r="D68" s="11"/>
      <c r="E68" s="11"/>
      <c r="F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ht="16.5" x14ac:dyDescent="0.35">
      <c r="A69" s="11"/>
      <c r="B69" s="11"/>
      <c r="C69" s="11"/>
      <c r="D69" s="11"/>
      <c r="E69" s="11"/>
      <c r="F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ht="16.5" x14ac:dyDescent="0.35">
      <c r="A70" s="11"/>
      <c r="B70" s="11"/>
      <c r="C70" s="11"/>
      <c r="D70" s="11"/>
      <c r="E70" s="11"/>
      <c r="F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 ht="16.5" x14ac:dyDescent="0.35">
      <c r="A71" s="11"/>
      <c r="B71" s="11"/>
      <c r="C71" s="11"/>
      <c r="D71" s="11"/>
      <c r="E71" s="11"/>
      <c r="F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ht="16.5" x14ac:dyDescent="0.35">
      <c r="A72" s="11"/>
      <c r="B72" s="11"/>
      <c r="C72" s="11"/>
      <c r="D72" s="11"/>
      <c r="E72" s="11"/>
      <c r="F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 ht="16.5" x14ac:dyDescent="0.35">
      <c r="A73" s="11"/>
      <c r="B73" s="11"/>
      <c r="C73" s="11"/>
      <c r="D73" s="11"/>
      <c r="E73" s="11"/>
      <c r="F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ht="16.5" x14ac:dyDescent="0.35">
      <c r="A74" s="11"/>
      <c r="B74" s="11"/>
      <c r="C74" s="11"/>
      <c r="D74" s="11"/>
      <c r="E74" s="11"/>
      <c r="F74" s="11"/>
      <c r="N74" s="11"/>
      <c r="O74" s="11"/>
      <c r="P74" s="11"/>
      <c r="Q74" s="11"/>
      <c r="R74" s="11"/>
      <c r="S74" s="11"/>
      <c r="T74" s="11"/>
      <c r="U74" s="11"/>
      <c r="V74" s="11"/>
    </row>
  </sheetData>
  <protectedRanges>
    <protectedRange sqref="O51:V51" name="Plage2"/>
    <protectedRange sqref="R5:V20" name="Plage1"/>
    <protectedRange sqref="B51:J51" name="Plage2_1"/>
    <protectedRange sqref="B13:J20 I5:J12" name="Plage1_1"/>
    <protectedRange sqref="B5:H12" name="Plage1_1_1"/>
    <protectedRange sqref="O5:O20" name="Plage1_1_2"/>
  </protectedRanges>
  <mergeCells count="9">
    <mergeCell ref="A1:V1"/>
    <mergeCell ref="A67:V67"/>
    <mergeCell ref="A5:A20"/>
    <mergeCell ref="B3:M3"/>
    <mergeCell ref="O3:V3"/>
    <mergeCell ref="B26:M26"/>
    <mergeCell ref="O26:V26"/>
    <mergeCell ref="A28:A43"/>
    <mergeCell ref="A50:V50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74"/>
  <sheetViews>
    <sheetView showGridLines="0" topLeftCell="M1" zoomScale="70" zoomScaleNormal="70" zoomScaleSheetLayoutView="40" zoomScalePageLayoutView="30" workbookViewId="0">
      <selection activeCell="R5" sqref="R5:R12"/>
    </sheetView>
  </sheetViews>
  <sheetFormatPr baseColWidth="10" defaultColWidth="9.1796875" defaultRowHeight="14.5" x14ac:dyDescent="0.35"/>
  <cols>
    <col min="1" max="1" width="33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1.7265625" style="1" customWidth="1"/>
    <col min="15" max="15" width="14.81640625" style="1" customWidth="1"/>
    <col min="16" max="16" width="17.7265625" style="1" customWidth="1"/>
    <col min="17" max="18" width="25.81640625" style="1" bestFit="1" customWidth="1"/>
    <col min="19" max="22" width="25.81640625" style="1" customWidth="1"/>
    <col min="23" max="16384" width="9.1796875" style="1"/>
  </cols>
  <sheetData>
    <row r="1" spans="1:22" ht="26.5" thickBot="1" x14ac:dyDescent="0.65">
      <c r="A1" s="136"/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</row>
    <row r="2" spans="1:22" ht="15" thickBot="1" x14ac:dyDescent="0.4"/>
    <row r="3" spans="1:22" ht="15" thickBot="1" x14ac:dyDescent="0.4">
      <c r="A3" s="82" t="s">
        <v>9</v>
      </c>
      <c r="B3" s="144" t="s">
        <v>41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O3" s="144" t="s">
        <v>42</v>
      </c>
      <c r="P3" s="145"/>
      <c r="Q3" s="145"/>
      <c r="R3" s="145"/>
      <c r="S3" s="145"/>
      <c r="T3" s="145"/>
      <c r="U3" s="145"/>
      <c r="V3" s="145"/>
    </row>
    <row r="4" spans="1:22" x14ac:dyDescent="0.35">
      <c r="A4" s="18" t="s">
        <v>36</v>
      </c>
      <c r="B4" s="19" t="str">
        <f>'Front page'!A7</f>
        <v>Solvent control</v>
      </c>
      <c r="C4" s="19" t="str">
        <f>'Front page'!A8</f>
        <v>EE2-33.8ng/L</v>
      </c>
      <c r="D4" s="19" t="str">
        <f>'Front page'!A9</f>
        <v>EE2-50.6ng/L</v>
      </c>
      <c r="E4" s="19" t="str">
        <f>'Front page'!A10</f>
        <v>EE2-76ng/L</v>
      </c>
      <c r="F4" s="19" t="str">
        <f>'Front page'!A11</f>
        <v>EE2-114ng/L</v>
      </c>
      <c r="G4" s="19" t="str">
        <f>'Front page'!A12</f>
        <v>EE2-170.9ng/L</v>
      </c>
      <c r="H4" s="19" t="str">
        <f>'Front page'!A13</f>
        <v>EE2-488ng/L</v>
      </c>
      <c r="I4" s="19" t="str">
        <f>'Front page'!A14</f>
        <v>Anastrozole-0,032µg/L</v>
      </c>
      <c r="J4" s="19" t="str">
        <f>'Front page'!A15</f>
        <v>Anastrozole-0,16µg/L</v>
      </c>
      <c r="K4" s="19" t="str">
        <f>'Front page'!A16</f>
        <v>Anastrozole-0,8µg/L</v>
      </c>
      <c r="L4" s="19" t="str">
        <f>'Front page'!A17</f>
        <v>Anastrozole-4µg/L</v>
      </c>
      <c r="M4" s="19" t="str">
        <f>'Front page'!A18</f>
        <v>Anastrozole-20µg/L</v>
      </c>
      <c r="N4" s="3"/>
      <c r="O4" s="20" t="str">
        <f>'Front page'!A35</f>
        <v>Testo -30µg/L</v>
      </c>
      <c r="P4" s="20" t="str">
        <f>'Front page'!A36</f>
        <v>Testo 30µg/L + EE2 -64ng/L</v>
      </c>
      <c r="Q4" s="20" t="str">
        <f>'Front page'!A37</f>
        <v>Testo 30µg/L + FAD-10mg/L</v>
      </c>
      <c r="R4" s="20" t="str">
        <f>'Front page'!A38</f>
        <v>Anastrozole-0,032µg/L + Testostérone</v>
      </c>
      <c r="S4" s="20" t="str">
        <f>'Front page'!A39</f>
        <v>Anastrozole-0,16µg/L + Testostérone</v>
      </c>
      <c r="T4" s="20" t="str">
        <f>'Front page'!A40</f>
        <v>Anastrozole-0,8µg/L + Testostérone</v>
      </c>
      <c r="U4" s="20" t="str">
        <f>'Front page'!A41</f>
        <v>Anastrozole-4µg/L + Testostérone</v>
      </c>
      <c r="V4" s="20" t="str">
        <f>'Front page'!A42</f>
        <v>Anastrozole-20µg/L + Testostérone</v>
      </c>
    </row>
    <row r="5" spans="1:22" x14ac:dyDescent="0.35">
      <c r="A5" s="140" t="s">
        <v>34</v>
      </c>
      <c r="B5" s="1">
        <v>0</v>
      </c>
      <c r="C5" s="1">
        <v>84</v>
      </c>
      <c r="D5" s="1">
        <v>4759</v>
      </c>
      <c r="E5" s="1">
        <v>0</v>
      </c>
      <c r="F5" s="1">
        <v>57136</v>
      </c>
      <c r="G5" s="1">
        <v>229945</v>
      </c>
      <c r="H5" s="1">
        <v>384323</v>
      </c>
      <c r="I5" s="16">
        <v>0</v>
      </c>
      <c r="J5" s="16">
        <v>8689</v>
      </c>
      <c r="K5" s="12">
        <v>0</v>
      </c>
      <c r="L5" s="12">
        <v>0</v>
      </c>
      <c r="M5" s="12">
        <v>0</v>
      </c>
      <c r="N5" s="3"/>
      <c r="O5" s="1">
        <v>145592</v>
      </c>
      <c r="P5" s="1">
        <v>221521</v>
      </c>
      <c r="Q5" s="1">
        <v>0</v>
      </c>
      <c r="R5" s="1">
        <v>80</v>
      </c>
      <c r="S5" s="1">
        <v>115062</v>
      </c>
      <c r="T5" s="1">
        <v>47549</v>
      </c>
      <c r="U5" s="1">
        <v>169</v>
      </c>
      <c r="V5" s="1">
        <v>0</v>
      </c>
    </row>
    <row r="6" spans="1:22" x14ac:dyDescent="0.35">
      <c r="A6" s="141"/>
      <c r="B6" s="1">
        <v>5397</v>
      </c>
      <c r="C6" s="1">
        <v>492</v>
      </c>
      <c r="D6" s="1">
        <v>0</v>
      </c>
      <c r="E6" s="1">
        <v>0</v>
      </c>
      <c r="F6" s="1">
        <v>63447</v>
      </c>
      <c r="G6" s="1">
        <v>192857</v>
      </c>
      <c r="H6" s="1">
        <v>72031</v>
      </c>
      <c r="I6" s="16">
        <v>0</v>
      </c>
      <c r="J6" s="16">
        <v>0</v>
      </c>
      <c r="K6" s="12">
        <v>169</v>
      </c>
      <c r="L6" s="12">
        <v>0</v>
      </c>
      <c r="M6" s="12">
        <v>809</v>
      </c>
      <c r="N6" s="3"/>
      <c r="O6" s="1">
        <v>90357</v>
      </c>
      <c r="P6" s="1">
        <v>225212</v>
      </c>
      <c r="Q6" s="1">
        <v>0</v>
      </c>
      <c r="R6" s="1">
        <v>184300</v>
      </c>
      <c r="S6" s="1">
        <v>2412</v>
      </c>
      <c r="T6" s="1">
        <v>5840</v>
      </c>
      <c r="U6" s="1">
        <v>0</v>
      </c>
      <c r="V6" s="1">
        <v>0</v>
      </c>
    </row>
    <row r="7" spans="1:22" x14ac:dyDescent="0.35">
      <c r="A7" s="141"/>
      <c r="B7" s="1">
        <v>0</v>
      </c>
      <c r="C7" s="1">
        <v>1805</v>
      </c>
      <c r="D7" s="1">
        <v>5374</v>
      </c>
      <c r="E7" s="1">
        <v>0</v>
      </c>
      <c r="F7" s="1">
        <v>187549</v>
      </c>
      <c r="G7" s="1">
        <v>272985</v>
      </c>
      <c r="H7" s="1">
        <v>200773</v>
      </c>
      <c r="I7" s="16">
        <v>0</v>
      </c>
      <c r="J7" s="16">
        <v>249</v>
      </c>
      <c r="K7" s="12">
        <v>405</v>
      </c>
      <c r="L7" s="12">
        <v>9862</v>
      </c>
      <c r="M7" s="12">
        <v>4838</v>
      </c>
      <c r="N7" s="3"/>
      <c r="O7" s="1">
        <v>117170</v>
      </c>
      <c r="P7" s="1">
        <v>222596</v>
      </c>
      <c r="Q7" s="1">
        <v>0</v>
      </c>
      <c r="R7" s="1">
        <v>232371</v>
      </c>
      <c r="S7" s="1">
        <v>136537</v>
      </c>
      <c r="T7" s="1">
        <v>25124</v>
      </c>
      <c r="U7" s="1">
        <v>0</v>
      </c>
      <c r="V7" s="1">
        <v>0</v>
      </c>
    </row>
    <row r="8" spans="1:22" x14ac:dyDescent="0.35">
      <c r="A8" s="141"/>
      <c r="B8" s="1">
        <v>9899</v>
      </c>
      <c r="C8" s="1">
        <v>7695</v>
      </c>
      <c r="D8" s="1">
        <v>0</v>
      </c>
      <c r="E8" s="1">
        <v>14620</v>
      </c>
      <c r="F8" s="1">
        <v>184605</v>
      </c>
      <c r="G8" s="1">
        <v>303430</v>
      </c>
      <c r="H8" s="1">
        <v>188124</v>
      </c>
      <c r="I8" s="16">
        <v>2303</v>
      </c>
      <c r="J8" s="16">
        <v>0</v>
      </c>
      <c r="K8" s="12">
        <v>2116</v>
      </c>
      <c r="L8" s="12">
        <v>0</v>
      </c>
      <c r="M8" s="12">
        <v>0</v>
      </c>
      <c r="N8" s="3"/>
      <c r="O8" s="1">
        <v>177409</v>
      </c>
      <c r="P8" s="1">
        <v>326862</v>
      </c>
      <c r="Q8" s="1">
        <v>0</v>
      </c>
      <c r="R8" s="1">
        <v>46711</v>
      </c>
      <c r="S8" s="1">
        <v>75161</v>
      </c>
      <c r="T8" s="1">
        <v>13489</v>
      </c>
      <c r="U8" s="1">
        <v>0</v>
      </c>
      <c r="V8" s="1">
        <v>9684</v>
      </c>
    </row>
    <row r="9" spans="1:22" x14ac:dyDescent="0.35">
      <c r="A9" s="141"/>
      <c r="B9" s="1">
        <v>161</v>
      </c>
      <c r="C9" s="1">
        <v>0</v>
      </c>
      <c r="D9" s="1">
        <v>11228</v>
      </c>
      <c r="E9" s="1">
        <v>11917</v>
      </c>
      <c r="F9" s="1">
        <v>170630</v>
      </c>
      <c r="G9" s="1">
        <v>186030</v>
      </c>
      <c r="H9" s="1">
        <v>387356</v>
      </c>
      <c r="I9" s="16">
        <v>0</v>
      </c>
      <c r="J9" s="16">
        <v>4306</v>
      </c>
      <c r="K9" s="12">
        <v>0</v>
      </c>
      <c r="L9" s="12">
        <v>1053</v>
      </c>
      <c r="M9" s="12">
        <v>9788</v>
      </c>
      <c r="N9" s="3"/>
      <c r="O9" s="1">
        <v>138120</v>
      </c>
      <c r="P9" s="1">
        <v>69256</v>
      </c>
      <c r="Q9" s="1">
        <v>10598</v>
      </c>
      <c r="R9" s="1">
        <v>65646</v>
      </c>
      <c r="S9" s="1">
        <v>184534</v>
      </c>
      <c r="T9" s="1">
        <v>80</v>
      </c>
      <c r="U9" s="1">
        <v>3620</v>
      </c>
      <c r="V9" s="1">
        <v>161</v>
      </c>
    </row>
    <row r="10" spans="1:22" x14ac:dyDescent="0.35">
      <c r="A10" s="141"/>
      <c r="B10" s="1">
        <v>0</v>
      </c>
      <c r="C10" s="1">
        <v>10828</v>
      </c>
      <c r="D10" s="1">
        <v>1092</v>
      </c>
      <c r="E10" s="1">
        <v>1105</v>
      </c>
      <c r="F10" s="1">
        <v>197231</v>
      </c>
      <c r="G10" s="1">
        <v>122923</v>
      </c>
      <c r="H10" s="1">
        <v>331581</v>
      </c>
      <c r="I10" s="16">
        <v>16120</v>
      </c>
      <c r="J10" s="16">
        <v>0</v>
      </c>
      <c r="K10" s="12">
        <v>0</v>
      </c>
      <c r="L10" s="12">
        <v>5548</v>
      </c>
      <c r="M10" s="12">
        <v>9375</v>
      </c>
      <c r="N10" s="3"/>
      <c r="O10" s="1">
        <v>221462</v>
      </c>
      <c r="P10" s="1">
        <v>223783</v>
      </c>
      <c r="Q10" s="1">
        <v>0</v>
      </c>
      <c r="R10" s="1">
        <v>187221</v>
      </c>
      <c r="S10" s="1">
        <v>122961</v>
      </c>
      <c r="T10" s="1">
        <v>22730</v>
      </c>
      <c r="U10" s="1">
        <v>28597</v>
      </c>
      <c r="V10" s="1">
        <v>1623</v>
      </c>
    </row>
    <row r="11" spans="1:22" x14ac:dyDescent="0.35">
      <c r="A11" s="141"/>
      <c r="B11" s="1">
        <v>8350</v>
      </c>
      <c r="C11" s="1">
        <v>0</v>
      </c>
      <c r="D11" s="1">
        <v>10125</v>
      </c>
      <c r="E11" s="1">
        <v>100739</v>
      </c>
      <c r="F11" s="1">
        <v>95417</v>
      </c>
      <c r="G11" s="1">
        <v>214037</v>
      </c>
      <c r="H11" s="1">
        <v>214956</v>
      </c>
      <c r="I11" s="16">
        <v>3833</v>
      </c>
      <c r="J11" s="16">
        <v>326</v>
      </c>
      <c r="K11" s="12">
        <v>729</v>
      </c>
      <c r="L11" s="12">
        <v>0</v>
      </c>
      <c r="M11" s="12">
        <v>9029</v>
      </c>
      <c r="N11" s="3"/>
      <c r="O11" s="1">
        <v>5491</v>
      </c>
      <c r="P11" s="1">
        <v>227020</v>
      </c>
      <c r="Q11" s="1">
        <v>2972</v>
      </c>
      <c r="R11" s="1">
        <v>36118</v>
      </c>
      <c r="S11" s="1">
        <v>66549</v>
      </c>
      <c r="T11" s="1">
        <v>11758</v>
      </c>
      <c r="U11" s="1">
        <v>0</v>
      </c>
      <c r="V11" s="1">
        <v>0</v>
      </c>
    </row>
    <row r="12" spans="1:22" x14ac:dyDescent="0.35">
      <c r="A12" s="141"/>
      <c r="B12" s="1">
        <v>82</v>
      </c>
      <c r="C12" s="1">
        <v>0</v>
      </c>
      <c r="D12" s="1">
        <v>973</v>
      </c>
      <c r="E12" s="1">
        <v>4135</v>
      </c>
      <c r="F12" s="1">
        <v>22555</v>
      </c>
      <c r="G12" s="1">
        <v>116713</v>
      </c>
      <c r="H12" s="1">
        <v>229325</v>
      </c>
      <c r="I12" s="16">
        <v>400</v>
      </c>
      <c r="J12" s="16">
        <v>5209</v>
      </c>
      <c r="K12" s="12">
        <v>7534</v>
      </c>
      <c r="L12" s="12">
        <v>25095</v>
      </c>
      <c r="M12" s="12">
        <v>584</v>
      </c>
      <c r="N12" s="3"/>
      <c r="O12" s="1">
        <v>128140</v>
      </c>
      <c r="P12" s="1">
        <v>209035</v>
      </c>
      <c r="Q12" s="1">
        <v>333</v>
      </c>
      <c r="R12" s="1">
        <v>68595</v>
      </c>
      <c r="S12" s="1">
        <v>53711</v>
      </c>
      <c r="T12" s="1">
        <v>0</v>
      </c>
      <c r="U12" s="1">
        <v>0</v>
      </c>
      <c r="V12" s="1">
        <v>12491</v>
      </c>
    </row>
    <row r="13" spans="1:22" ht="16.5" x14ac:dyDescent="0.35">
      <c r="A13" s="141"/>
      <c r="B13" s="13"/>
      <c r="C13" s="12"/>
      <c r="D13" s="16"/>
      <c r="E13" s="16"/>
      <c r="F13" s="16"/>
      <c r="G13" s="16"/>
      <c r="H13" s="16"/>
      <c r="I13" s="16"/>
      <c r="J13" s="16"/>
      <c r="K13" s="12"/>
      <c r="L13" s="12"/>
      <c r="M13" s="12"/>
      <c r="N13" s="3"/>
      <c r="O13" s="1">
        <v>485</v>
      </c>
      <c r="P13" s="12"/>
      <c r="Q13" s="12"/>
      <c r="R13" s="16"/>
      <c r="S13" s="16"/>
      <c r="T13" s="16"/>
      <c r="U13" s="16"/>
      <c r="V13" s="16"/>
    </row>
    <row r="14" spans="1:22" ht="16.5" x14ac:dyDescent="0.35">
      <c r="A14" s="141"/>
      <c r="B14" s="13"/>
      <c r="C14" s="16"/>
      <c r="D14" s="16"/>
      <c r="E14" s="16"/>
      <c r="F14" s="16"/>
      <c r="G14" s="16"/>
      <c r="H14" s="16"/>
      <c r="I14" s="16"/>
      <c r="J14" s="16"/>
      <c r="K14" s="12"/>
      <c r="L14" s="12"/>
      <c r="M14" s="12"/>
      <c r="N14" s="3"/>
      <c r="O14" s="1">
        <v>155407</v>
      </c>
      <c r="P14" s="12"/>
      <c r="Q14" s="12"/>
      <c r="R14" s="16"/>
      <c r="S14" s="16"/>
      <c r="T14" s="16"/>
      <c r="U14" s="16"/>
      <c r="V14" s="16"/>
    </row>
    <row r="15" spans="1:22" ht="16.5" x14ac:dyDescent="0.35">
      <c r="A15" s="141"/>
      <c r="B15" s="13"/>
      <c r="C15" s="16"/>
      <c r="D15" s="16"/>
      <c r="E15" s="16"/>
      <c r="F15" s="16"/>
      <c r="G15" s="16"/>
      <c r="H15" s="16"/>
      <c r="I15" s="16"/>
      <c r="J15" s="16"/>
      <c r="K15" s="12"/>
      <c r="L15" s="12"/>
      <c r="M15" s="12"/>
      <c r="N15" s="3"/>
      <c r="O15" s="1">
        <v>74129</v>
      </c>
      <c r="P15" s="12"/>
      <c r="Q15" s="12"/>
      <c r="R15" s="16"/>
      <c r="S15" s="16"/>
      <c r="T15" s="16"/>
      <c r="U15" s="16"/>
      <c r="V15" s="16"/>
    </row>
    <row r="16" spans="1:22" ht="16.5" x14ac:dyDescent="0.35">
      <c r="A16" s="141"/>
      <c r="B16" s="13"/>
      <c r="C16" s="16"/>
      <c r="D16" s="16"/>
      <c r="E16" s="16"/>
      <c r="F16" s="16"/>
      <c r="G16" s="16"/>
      <c r="H16" s="16"/>
      <c r="I16" s="16"/>
      <c r="J16" s="16"/>
      <c r="K16" s="12"/>
      <c r="L16" s="12"/>
      <c r="M16" s="12"/>
      <c r="N16" s="3"/>
      <c r="O16" s="1">
        <v>105381</v>
      </c>
      <c r="P16" s="12"/>
      <c r="Q16" s="12"/>
      <c r="R16" s="16"/>
      <c r="S16" s="16"/>
      <c r="T16" s="16"/>
      <c r="U16" s="16"/>
      <c r="V16" s="16"/>
    </row>
    <row r="17" spans="1:22" ht="16.5" x14ac:dyDescent="0.35">
      <c r="A17" s="141"/>
      <c r="B17" s="13"/>
      <c r="C17" s="16"/>
      <c r="D17" s="16"/>
      <c r="E17" s="16"/>
      <c r="F17" s="16"/>
      <c r="G17" s="16"/>
      <c r="H17" s="16"/>
      <c r="I17" s="16"/>
      <c r="J17" s="16"/>
      <c r="K17" s="12"/>
      <c r="L17" s="12"/>
      <c r="M17" s="12"/>
      <c r="N17" s="3"/>
      <c r="O17" s="1">
        <v>160847</v>
      </c>
      <c r="P17" s="12"/>
      <c r="Q17" s="12"/>
      <c r="R17" s="16"/>
      <c r="S17" s="16"/>
      <c r="T17" s="16"/>
      <c r="U17" s="16"/>
      <c r="V17" s="16"/>
    </row>
    <row r="18" spans="1:22" ht="16.5" x14ac:dyDescent="0.35">
      <c r="A18" s="141"/>
      <c r="B18" s="13"/>
      <c r="C18" s="16"/>
      <c r="D18" s="16"/>
      <c r="E18" s="16"/>
      <c r="F18" s="16"/>
      <c r="G18" s="16"/>
      <c r="H18" s="16"/>
      <c r="I18" s="16"/>
      <c r="J18" s="16"/>
      <c r="K18" s="12"/>
      <c r="L18" s="12"/>
      <c r="M18" s="12"/>
      <c r="N18" s="3"/>
      <c r="O18" s="1">
        <v>205835</v>
      </c>
      <c r="P18" s="12"/>
      <c r="Q18" s="12"/>
      <c r="R18" s="16"/>
      <c r="S18" s="16"/>
      <c r="T18" s="16"/>
      <c r="U18" s="16"/>
      <c r="V18" s="16"/>
    </row>
    <row r="19" spans="1:22" ht="16.5" x14ac:dyDescent="0.35">
      <c r="A19" s="141"/>
      <c r="B19" s="13"/>
      <c r="C19" s="16"/>
      <c r="D19" s="16"/>
      <c r="E19" s="16"/>
      <c r="F19" s="16"/>
      <c r="G19" s="16"/>
      <c r="H19" s="16"/>
      <c r="I19" s="16"/>
      <c r="J19" s="16"/>
      <c r="K19" s="12"/>
      <c r="L19" s="12"/>
      <c r="M19" s="12"/>
      <c r="N19" s="3"/>
      <c r="O19" s="1">
        <v>22222</v>
      </c>
      <c r="P19" s="12"/>
      <c r="Q19" s="12"/>
      <c r="R19" s="16"/>
      <c r="S19" s="16"/>
      <c r="T19" s="16"/>
      <c r="U19" s="16"/>
      <c r="V19" s="16"/>
    </row>
    <row r="20" spans="1:22" ht="16.5" x14ac:dyDescent="0.35">
      <c r="A20" s="141"/>
      <c r="B20" s="13"/>
      <c r="C20" s="16"/>
      <c r="D20" s="16"/>
      <c r="E20" s="16"/>
      <c r="F20" s="16"/>
      <c r="G20" s="16"/>
      <c r="H20" s="16"/>
      <c r="I20" s="16"/>
      <c r="J20" s="16"/>
      <c r="K20" s="12"/>
      <c r="L20" s="12"/>
      <c r="M20" s="12"/>
      <c r="N20" s="3"/>
      <c r="O20" s="1">
        <v>136204</v>
      </c>
      <c r="P20" s="12"/>
      <c r="Q20" s="12"/>
      <c r="R20" s="16"/>
      <c r="S20" s="16"/>
      <c r="T20" s="16"/>
      <c r="U20" s="16"/>
      <c r="V20" s="16"/>
    </row>
    <row r="21" spans="1:22" x14ac:dyDescent="0.35">
      <c r="A21" s="48"/>
      <c r="B21" s="6"/>
      <c r="C21" s="6"/>
      <c r="D21" s="6"/>
      <c r="E21" s="6"/>
      <c r="F21" s="6"/>
      <c r="G21" s="6"/>
      <c r="H21" s="6"/>
      <c r="I21" s="6"/>
      <c r="J21" s="6"/>
      <c r="N21" s="3"/>
      <c r="O21" s="6"/>
      <c r="R21" s="6"/>
      <c r="S21" s="6"/>
      <c r="T21" s="6"/>
      <c r="U21" s="6"/>
      <c r="V21" s="6"/>
    </row>
    <row r="22" spans="1:22" x14ac:dyDescent="0.35">
      <c r="A22" s="50" t="str">
        <f t="shared" ref="A22" si="0">A4</f>
        <v>Group names</v>
      </c>
      <c r="B22" s="3" t="str">
        <f t="shared" ref="B22:V22" si="1">B4</f>
        <v>Solvent control</v>
      </c>
      <c r="C22" s="3" t="str">
        <f t="shared" si="1"/>
        <v>EE2-33.8ng/L</v>
      </c>
      <c r="D22" s="3" t="str">
        <f t="shared" si="1"/>
        <v>EE2-50.6ng/L</v>
      </c>
      <c r="E22" s="3" t="str">
        <f t="shared" si="1"/>
        <v>EE2-76ng/L</v>
      </c>
      <c r="F22" s="3" t="str">
        <f t="shared" si="1"/>
        <v>EE2-114ng/L</v>
      </c>
      <c r="G22" s="3" t="str">
        <f t="shared" si="1"/>
        <v>EE2-170.9ng/L</v>
      </c>
      <c r="H22" s="3" t="str">
        <f t="shared" si="1"/>
        <v>EE2-488ng/L</v>
      </c>
      <c r="I22" s="3" t="str">
        <f t="shared" si="1"/>
        <v>Anastrozole-0,032µg/L</v>
      </c>
      <c r="J22" s="3" t="str">
        <f t="shared" si="1"/>
        <v>Anastrozole-0,16µg/L</v>
      </c>
      <c r="K22" s="3" t="str">
        <f t="shared" si="1"/>
        <v>Anastrozole-0,8µg/L</v>
      </c>
      <c r="L22" s="3" t="str">
        <f t="shared" si="1"/>
        <v>Anastrozole-4µg/L</v>
      </c>
      <c r="M22" s="3" t="str">
        <f t="shared" si="1"/>
        <v>Anastrozole-20µg/L</v>
      </c>
      <c r="N22" s="3" t="s">
        <v>11</v>
      </c>
      <c r="O22" s="3" t="str">
        <f t="shared" si="1"/>
        <v>Testo -30µg/L</v>
      </c>
      <c r="P22" s="3" t="str">
        <f t="shared" si="1"/>
        <v>Testo 30µg/L + EE2 -64ng/L</v>
      </c>
      <c r="Q22" s="3" t="str">
        <f t="shared" si="1"/>
        <v>Testo 30µg/L + FAD-10mg/L</v>
      </c>
      <c r="R22" s="3" t="str">
        <f t="shared" si="1"/>
        <v>Anastrozole-0,032µg/L + Testostérone</v>
      </c>
      <c r="S22" s="3" t="str">
        <f t="shared" si="1"/>
        <v>Anastrozole-0,16µg/L + Testostérone</v>
      </c>
      <c r="T22" s="3" t="str">
        <f t="shared" si="1"/>
        <v>Anastrozole-0,8µg/L + Testostérone</v>
      </c>
      <c r="U22" s="3" t="str">
        <f t="shared" si="1"/>
        <v>Anastrozole-4µg/L + Testostérone</v>
      </c>
      <c r="V22" s="3" t="str">
        <f t="shared" si="1"/>
        <v>Anastrozole-20µg/L + Testostérone</v>
      </c>
    </row>
    <row r="23" spans="1:22" x14ac:dyDescent="0.35">
      <c r="A23" s="4" t="s">
        <v>0</v>
      </c>
      <c r="B23" s="4">
        <f t="shared" ref="B23:J23" si="2">AVERAGE(B5:B20)</f>
        <v>2986.125</v>
      </c>
      <c r="C23" s="4">
        <f t="shared" si="2"/>
        <v>2613</v>
      </c>
      <c r="D23" s="4">
        <f t="shared" si="2"/>
        <v>4193.875</v>
      </c>
      <c r="E23" s="4">
        <f t="shared" si="2"/>
        <v>16564.5</v>
      </c>
      <c r="F23" s="4">
        <f t="shared" si="2"/>
        <v>122321.25</v>
      </c>
      <c r="G23" s="4">
        <f t="shared" si="2"/>
        <v>204865</v>
      </c>
      <c r="H23" s="4">
        <f t="shared" si="2"/>
        <v>251058.625</v>
      </c>
      <c r="I23" s="4">
        <f t="shared" si="2"/>
        <v>2832</v>
      </c>
      <c r="J23" s="4">
        <f t="shared" si="2"/>
        <v>2347.375</v>
      </c>
      <c r="K23" s="4"/>
      <c r="L23" s="4">
        <f>AVERAGE(L5:L20)</f>
        <v>5194.75</v>
      </c>
      <c r="M23" s="4"/>
      <c r="N23" s="4" t="s">
        <v>0</v>
      </c>
      <c r="O23" s="4">
        <f>AVERAGE(O5:O20)</f>
        <v>117765.6875</v>
      </c>
      <c r="P23" s="4">
        <f>AVERAGE(P5:P20)</f>
        <v>215660.625</v>
      </c>
      <c r="Q23" s="4">
        <f>AVERAGE(Q5:Q20)</f>
        <v>1737.875</v>
      </c>
      <c r="R23" s="4">
        <f>AVERAGE(R5:R20)</f>
        <v>102630.25</v>
      </c>
      <c r="S23" s="4">
        <f>AVERAGE(S5:S20)</f>
        <v>94615.875</v>
      </c>
      <c r="T23" s="4">
        <f t="shared" ref="T23:V23" si="3">AVERAGE(T5:T20)</f>
        <v>15821.25</v>
      </c>
      <c r="U23" s="4">
        <f t="shared" si="3"/>
        <v>4048.25</v>
      </c>
      <c r="V23" s="4">
        <f t="shared" si="3"/>
        <v>2994.875</v>
      </c>
    </row>
    <row r="24" spans="1:22" x14ac:dyDescent="0.35">
      <c r="A24" s="3" t="s">
        <v>1</v>
      </c>
      <c r="B24" s="3">
        <f t="shared" ref="B24:J24" si="4">STDEV(B5:B20)</f>
        <v>4234.8455002177216</v>
      </c>
      <c r="C24" s="3">
        <f t="shared" si="4"/>
        <v>4231.5752217280578</v>
      </c>
      <c r="D24" s="3">
        <f t="shared" si="4"/>
        <v>4496.6981358547964</v>
      </c>
      <c r="E24" s="3">
        <f t="shared" si="4"/>
        <v>34490.916771148397</v>
      </c>
      <c r="F24" s="3">
        <f t="shared" si="4"/>
        <v>70174.851308814934</v>
      </c>
      <c r="G24" s="3">
        <f t="shared" si="4"/>
        <v>65522.887349165474</v>
      </c>
      <c r="H24" s="3">
        <f t="shared" si="4"/>
        <v>108979.86220128338</v>
      </c>
      <c r="I24" s="3">
        <f t="shared" si="4"/>
        <v>5552.9696816851329</v>
      </c>
      <c r="J24" s="3">
        <f t="shared" si="4"/>
        <v>3322.2402053648766</v>
      </c>
      <c r="K24" s="3"/>
      <c r="L24" s="3">
        <f>STDEV(L5:L20)</f>
        <v>8807.6570704943188</v>
      </c>
      <c r="M24" s="3"/>
      <c r="N24" s="3" t="s">
        <v>1</v>
      </c>
      <c r="O24" s="3">
        <f>STDEV(O5:O20)</f>
        <v>65966.463394383201</v>
      </c>
      <c r="P24" s="3">
        <f>STDEV(P5:P20)</f>
        <v>69910.799790952995</v>
      </c>
      <c r="Q24" s="3">
        <f>STDEV(Q5:Q20)</f>
        <v>3724.429023833241</v>
      </c>
      <c r="R24" s="3">
        <f>STDEV(R5:R20)</f>
        <v>85566.877726890161</v>
      </c>
      <c r="S24" s="3">
        <f>STDEV(S5:S20)</f>
        <v>56575.038742332545</v>
      </c>
      <c r="T24" s="3">
        <f t="shared" ref="T24:V24" si="5">STDEV(T5:T20)</f>
        <v>15859.18278159376</v>
      </c>
      <c r="U24" s="3">
        <f t="shared" si="5"/>
        <v>9998.676666010786</v>
      </c>
      <c r="V24" s="3">
        <f t="shared" si="5"/>
        <v>5080.9275991552113</v>
      </c>
    </row>
    <row r="25" spans="1:22" ht="15" thickBot="1" x14ac:dyDescent="0.4"/>
    <row r="26" spans="1:22" ht="15" thickBot="1" x14ac:dyDescent="0.4">
      <c r="B26" s="144" t="s">
        <v>41</v>
      </c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O26" s="144" t="s">
        <v>42</v>
      </c>
      <c r="P26" s="145"/>
      <c r="Q26" s="145"/>
      <c r="R26" s="145"/>
      <c r="S26" s="145"/>
      <c r="T26" s="145"/>
      <c r="U26" s="145"/>
      <c r="V26" s="145"/>
    </row>
    <row r="27" spans="1:22" x14ac:dyDescent="0.35">
      <c r="A27" s="18" t="str">
        <f>A4</f>
        <v>Group names</v>
      </c>
      <c r="B27" s="19" t="str">
        <f>B4</f>
        <v>Solvent control</v>
      </c>
      <c r="C27" s="19" t="str">
        <f t="shared" ref="C27:M27" si="6">C4</f>
        <v>EE2-33.8ng/L</v>
      </c>
      <c r="D27" s="19" t="str">
        <f t="shared" si="6"/>
        <v>EE2-50.6ng/L</v>
      </c>
      <c r="E27" s="19" t="str">
        <f t="shared" si="6"/>
        <v>EE2-76ng/L</v>
      </c>
      <c r="F27" s="19" t="str">
        <f t="shared" si="6"/>
        <v>EE2-114ng/L</v>
      </c>
      <c r="G27" s="19" t="str">
        <f t="shared" si="6"/>
        <v>EE2-170.9ng/L</v>
      </c>
      <c r="H27" s="19" t="str">
        <f t="shared" si="6"/>
        <v>EE2-488ng/L</v>
      </c>
      <c r="I27" s="19" t="str">
        <f t="shared" si="6"/>
        <v>Anastrozole-0,032µg/L</v>
      </c>
      <c r="J27" s="19" t="str">
        <f t="shared" si="6"/>
        <v>Anastrozole-0,16µg/L</v>
      </c>
      <c r="K27" s="19" t="str">
        <f t="shared" si="6"/>
        <v>Anastrozole-0,8µg/L</v>
      </c>
      <c r="L27" s="19" t="str">
        <f t="shared" si="6"/>
        <v>Anastrozole-4µg/L</v>
      </c>
      <c r="M27" s="19" t="str">
        <f t="shared" si="6"/>
        <v>Anastrozole-20µg/L</v>
      </c>
      <c r="N27" s="3"/>
      <c r="O27" s="20" t="str">
        <f>O4</f>
        <v>Testo -30µg/L</v>
      </c>
      <c r="P27" s="20" t="str">
        <f t="shared" ref="P27:V27" si="7">P4</f>
        <v>Testo 30µg/L + EE2 -64ng/L</v>
      </c>
      <c r="Q27" s="20" t="str">
        <f t="shared" si="7"/>
        <v>Testo 30µg/L + FAD-10mg/L</v>
      </c>
      <c r="R27" s="20" t="str">
        <f t="shared" si="7"/>
        <v>Anastrozole-0,032µg/L + Testostérone</v>
      </c>
      <c r="S27" s="20" t="str">
        <f t="shared" si="7"/>
        <v>Anastrozole-0,16µg/L + Testostérone</v>
      </c>
      <c r="T27" s="20" t="str">
        <f t="shared" si="7"/>
        <v>Anastrozole-0,8µg/L + Testostérone</v>
      </c>
      <c r="U27" s="20" t="str">
        <f t="shared" si="7"/>
        <v>Anastrozole-4µg/L + Testostérone</v>
      </c>
      <c r="V27" s="20" t="str">
        <f t="shared" si="7"/>
        <v>Anastrozole-20µg/L + Testostérone</v>
      </c>
    </row>
    <row r="28" spans="1:22" ht="14.5" customHeight="1" x14ac:dyDescent="0.35">
      <c r="A28" s="142" t="s">
        <v>35</v>
      </c>
      <c r="B28" s="10">
        <f t="shared" ref="B28:M28" si="8">IF(B5="","",(B5/$O$23))</f>
        <v>0</v>
      </c>
      <c r="C28" s="10">
        <f t="shared" si="8"/>
        <v>7.1328076779579792E-4</v>
      </c>
      <c r="D28" s="10">
        <f t="shared" si="8"/>
        <v>4.0410752070716691E-2</v>
      </c>
      <c r="E28" s="10">
        <f t="shared" si="8"/>
        <v>0</v>
      </c>
      <c r="F28" s="10">
        <f t="shared" si="8"/>
        <v>0.48516678510453226</v>
      </c>
      <c r="G28" s="10">
        <f t="shared" si="8"/>
        <v>1.9525636446524375</v>
      </c>
      <c r="H28" s="10">
        <f t="shared" si="8"/>
        <v>3.263454815733148</v>
      </c>
      <c r="I28" s="10">
        <f t="shared" si="8"/>
        <v>0</v>
      </c>
      <c r="J28" s="10">
        <f t="shared" si="8"/>
        <v>7.3782102278305811E-2</v>
      </c>
      <c r="K28" s="10">
        <f t="shared" si="8"/>
        <v>0</v>
      </c>
      <c r="L28" s="10">
        <f t="shared" si="8"/>
        <v>0</v>
      </c>
      <c r="M28" s="10">
        <f t="shared" si="8"/>
        <v>0</v>
      </c>
      <c r="N28" s="5"/>
      <c r="O28" s="10">
        <f t="shared" ref="O28:V37" si="9">IF(O5="","",(O5/$O$23))</f>
        <v>1.2362853993443548</v>
      </c>
      <c r="P28" s="10">
        <f t="shared" si="9"/>
        <v>1.8810317733677733</v>
      </c>
      <c r="Q28" s="10">
        <f t="shared" si="9"/>
        <v>0</v>
      </c>
      <c r="R28" s="10">
        <f t="shared" si="9"/>
        <v>6.79315016948379E-4</v>
      </c>
      <c r="S28" s="10">
        <f t="shared" si="9"/>
        <v>0.97704180600142976</v>
      </c>
      <c r="T28" s="10">
        <f t="shared" si="9"/>
        <v>0.40375937176098087</v>
      </c>
      <c r="U28" s="10">
        <f t="shared" si="9"/>
        <v>1.4350529733034505E-3</v>
      </c>
      <c r="V28" s="10">
        <f t="shared" si="9"/>
        <v>0</v>
      </c>
    </row>
    <row r="29" spans="1:22" x14ac:dyDescent="0.35">
      <c r="A29" s="143"/>
      <c r="B29" s="10">
        <f t="shared" ref="B29:M29" si="10">IF(B6="","",(B6/$O$23))</f>
        <v>4.5828289330880012E-2</v>
      </c>
      <c r="C29" s="10">
        <f t="shared" si="10"/>
        <v>4.177787354232531E-3</v>
      </c>
      <c r="D29" s="10">
        <f t="shared" si="10"/>
        <v>0</v>
      </c>
      <c r="E29" s="10">
        <f t="shared" si="10"/>
        <v>0</v>
      </c>
      <c r="F29" s="10">
        <f t="shared" si="10"/>
        <v>0.53875624850404746</v>
      </c>
      <c r="G29" s="10">
        <f t="shared" si="10"/>
        <v>1.637633202795169</v>
      </c>
      <c r="H29" s="10">
        <f t="shared" si="10"/>
        <v>0.61164674982260858</v>
      </c>
      <c r="I29" s="10">
        <f t="shared" si="10"/>
        <v>0</v>
      </c>
      <c r="J29" s="10">
        <f t="shared" si="10"/>
        <v>0</v>
      </c>
      <c r="K29" s="10">
        <f t="shared" si="10"/>
        <v>1.4350529733034505E-3</v>
      </c>
      <c r="L29" s="10">
        <f t="shared" si="10"/>
        <v>0</v>
      </c>
      <c r="M29" s="10">
        <f t="shared" si="10"/>
        <v>6.869573108890482E-3</v>
      </c>
      <c r="N29" s="5"/>
      <c r="O29" s="10">
        <f t="shared" si="9"/>
        <v>0.76726083733005845</v>
      </c>
      <c r="P29" s="10">
        <f t="shared" si="9"/>
        <v>1.9123736699622291</v>
      </c>
      <c r="Q29" s="10">
        <f t="shared" si="9"/>
        <v>0</v>
      </c>
      <c r="R29" s="10">
        <f t="shared" si="9"/>
        <v>1.5649719702948279</v>
      </c>
      <c r="S29" s="10">
        <f t="shared" si="9"/>
        <v>2.0481347760993626E-2</v>
      </c>
      <c r="T29" s="10">
        <f t="shared" si="9"/>
        <v>4.9589996237231662E-2</v>
      </c>
      <c r="U29" s="10">
        <f t="shared" si="9"/>
        <v>0</v>
      </c>
      <c r="V29" s="10">
        <f t="shared" si="9"/>
        <v>0</v>
      </c>
    </row>
    <row r="30" spans="1:22" x14ac:dyDescent="0.35">
      <c r="A30" s="143"/>
      <c r="B30" s="10">
        <f t="shared" ref="B30:M30" si="11">IF(B7="","",(B7/$O$23))</f>
        <v>0</v>
      </c>
      <c r="C30" s="10">
        <f t="shared" si="11"/>
        <v>1.53270450698978E-2</v>
      </c>
      <c r="D30" s="10">
        <f t="shared" si="11"/>
        <v>4.5632986263507355E-2</v>
      </c>
      <c r="E30" s="10">
        <f t="shared" si="11"/>
        <v>0</v>
      </c>
      <c r="F30" s="10">
        <f t="shared" si="11"/>
        <v>1.5925606514206441</v>
      </c>
      <c r="G30" s="10">
        <f t="shared" si="11"/>
        <v>2.3180351237706653</v>
      </c>
      <c r="H30" s="10">
        <f t="shared" si="11"/>
        <v>1.7048514237222112</v>
      </c>
      <c r="I30" s="10">
        <f t="shared" si="11"/>
        <v>0</v>
      </c>
      <c r="J30" s="10">
        <f t="shared" si="11"/>
        <v>2.1143679902518296E-3</v>
      </c>
      <c r="K30" s="10">
        <f t="shared" si="11"/>
        <v>3.4390322733011684E-3</v>
      </c>
      <c r="L30" s="10">
        <f t="shared" si="11"/>
        <v>8.374255871431141E-2</v>
      </c>
      <c r="M30" s="10">
        <f t="shared" si="11"/>
        <v>4.1081575649953218E-2</v>
      </c>
      <c r="N30" s="5"/>
      <c r="O30" s="10">
        <f t="shared" si="9"/>
        <v>0.99494175669801954</v>
      </c>
      <c r="P30" s="10">
        <f t="shared" si="9"/>
        <v>1.8901600689080171</v>
      </c>
      <c r="Q30" s="10">
        <f t="shared" si="9"/>
        <v>0</v>
      </c>
      <c r="R30" s="10">
        <f t="shared" si="9"/>
        <v>1.9731638725413971</v>
      </c>
      <c r="S30" s="10">
        <f t="shared" si="9"/>
        <v>1.1593954308635102</v>
      </c>
      <c r="T30" s="10">
        <f t="shared" si="9"/>
        <v>0.2133388810726384</v>
      </c>
      <c r="U30" s="10">
        <f t="shared" si="9"/>
        <v>0</v>
      </c>
      <c r="V30" s="10">
        <f t="shared" si="9"/>
        <v>0</v>
      </c>
    </row>
    <row r="31" spans="1:22" x14ac:dyDescent="0.35">
      <c r="A31" s="143"/>
      <c r="B31" s="10">
        <f t="shared" ref="B31:M31" si="12">IF(B8="","",(B8/$O$23))</f>
        <v>8.405674190965004E-2</v>
      </c>
      <c r="C31" s="10">
        <f t="shared" si="12"/>
        <v>6.5341613192722206E-2</v>
      </c>
      <c r="D31" s="10">
        <f t="shared" si="12"/>
        <v>0</v>
      </c>
      <c r="E31" s="10">
        <f t="shared" si="12"/>
        <v>0.12414481934731625</v>
      </c>
      <c r="F31" s="10">
        <f t="shared" si="12"/>
        <v>1.5675618587969438</v>
      </c>
      <c r="G31" s="10">
        <f t="shared" si="12"/>
        <v>2.576556944908083</v>
      </c>
      <c r="H31" s="10">
        <f t="shared" si="12"/>
        <v>1.5974432281049606</v>
      </c>
      <c r="I31" s="10">
        <f t="shared" si="12"/>
        <v>1.9555781050401459E-2</v>
      </c>
      <c r="J31" s="10">
        <f t="shared" si="12"/>
        <v>0</v>
      </c>
      <c r="K31" s="10">
        <f t="shared" si="12"/>
        <v>1.7967882198284622E-2</v>
      </c>
      <c r="L31" s="10">
        <f t="shared" si="12"/>
        <v>0</v>
      </c>
      <c r="M31" s="10">
        <f t="shared" si="12"/>
        <v>0</v>
      </c>
      <c r="N31" s="5"/>
      <c r="O31" s="10">
        <f t="shared" si="9"/>
        <v>1.5064574730224369</v>
      </c>
      <c r="P31" s="10">
        <f t="shared" si="9"/>
        <v>2.7755283133722632</v>
      </c>
      <c r="Q31" s="10">
        <f t="shared" si="9"/>
        <v>0</v>
      </c>
      <c r="R31" s="10">
        <f t="shared" si="9"/>
        <v>0.39664354695844661</v>
      </c>
      <c r="S31" s="10">
        <f t="shared" si="9"/>
        <v>0.63822494986071387</v>
      </c>
      <c r="T31" s="10">
        <f t="shared" si="9"/>
        <v>0.11454100329520854</v>
      </c>
      <c r="U31" s="10">
        <f t="shared" si="9"/>
        <v>0</v>
      </c>
      <c r="V31" s="10">
        <f t="shared" si="9"/>
        <v>8.2231082801601268E-2</v>
      </c>
    </row>
    <row r="32" spans="1:22" x14ac:dyDescent="0.35">
      <c r="A32" s="143"/>
      <c r="B32" s="10">
        <f t="shared" ref="B32:M32" si="13">IF(B9="","",(B9/$O$23))</f>
        <v>1.3671214716086126E-3</v>
      </c>
      <c r="C32" s="10">
        <f t="shared" si="13"/>
        <v>0</v>
      </c>
      <c r="D32" s="10">
        <f t="shared" si="13"/>
        <v>9.534186262870499E-2</v>
      </c>
      <c r="E32" s="10">
        <f t="shared" si="13"/>
        <v>0.1011924632121729</v>
      </c>
      <c r="F32" s="10">
        <f t="shared" si="13"/>
        <v>1.4488940167737738</v>
      </c>
      <c r="G32" s="10">
        <f t="shared" si="13"/>
        <v>1.5796621575363368</v>
      </c>
      <c r="H32" s="10">
        <f t="shared" si="13"/>
        <v>3.2892093463132035</v>
      </c>
      <c r="I32" s="10">
        <f t="shared" si="13"/>
        <v>0</v>
      </c>
      <c r="J32" s="10">
        <f t="shared" si="13"/>
        <v>3.6564130787246497E-2</v>
      </c>
      <c r="K32" s="10">
        <f t="shared" si="13"/>
        <v>0</v>
      </c>
      <c r="L32" s="10">
        <f t="shared" si="13"/>
        <v>8.9414839105830379E-3</v>
      </c>
      <c r="M32" s="10">
        <f t="shared" si="13"/>
        <v>8.3114192323634165E-2</v>
      </c>
      <c r="N32" s="5"/>
      <c r="O32" s="10">
        <f t="shared" si="9"/>
        <v>1.1728373767613762</v>
      </c>
      <c r="P32" s="10">
        <f t="shared" si="9"/>
        <v>0.58808301017221165</v>
      </c>
      <c r="Q32" s="10">
        <f t="shared" si="9"/>
        <v>8.9992256870236501E-2</v>
      </c>
      <c r="R32" s="10">
        <f t="shared" si="9"/>
        <v>0.55742892003241606</v>
      </c>
      <c r="S32" s="10">
        <f t="shared" si="9"/>
        <v>1.5669589667194019</v>
      </c>
      <c r="T32" s="10">
        <f t="shared" si="9"/>
        <v>6.79315016948379E-4</v>
      </c>
      <c r="U32" s="10">
        <f t="shared" si="9"/>
        <v>3.0739004516914147E-2</v>
      </c>
      <c r="V32" s="10">
        <f t="shared" si="9"/>
        <v>1.3671214716086126E-3</v>
      </c>
    </row>
    <row r="33" spans="1:22" x14ac:dyDescent="0.35">
      <c r="A33" s="143"/>
      <c r="B33" s="10">
        <f t="shared" ref="B33:M33" si="14">IF(B10="","",(B10/$O$23))</f>
        <v>0</v>
      </c>
      <c r="C33" s="10">
        <f t="shared" si="14"/>
        <v>9.1945287543963097E-2</v>
      </c>
      <c r="D33" s="10">
        <f t="shared" si="14"/>
        <v>9.2726499813453721E-3</v>
      </c>
      <c r="E33" s="10">
        <f t="shared" si="14"/>
        <v>9.3830386715994842E-3</v>
      </c>
      <c r="F33" s="10">
        <f t="shared" si="14"/>
        <v>1.6747747513468216</v>
      </c>
      <c r="G33" s="10">
        <f t="shared" si="14"/>
        <v>1.0437929978543199</v>
      </c>
      <c r="H33" s="10">
        <f t="shared" si="14"/>
        <v>2.8155994079345055</v>
      </c>
      <c r="I33" s="10">
        <f t="shared" si="14"/>
        <v>0.13688197591509835</v>
      </c>
      <c r="J33" s="10">
        <f t="shared" si="14"/>
        <v>0</v>
      </c>
      <c r="K33" s="10">
        <f t="shared" si="14"/>
        <v>0</v>
      </c>
      <c r="L33" s="10">
        <f t="shared" si="14"/>
        <v>4.7110496425370081E-2</v>
      </c>
      <c r="M33" s="10">
        <f t="shared" si="14"/>
        <v>7.9607228548638165E-2</v>
      </c>
      <c r="N33" s="5"/>
      <c r="O33" s="10">
        <f t="shared" si="9"/>
        <v>1.8805307785427738</v>
      </c>
      <c r="P33" s="10">
        <f t="shared" si="9"/>
        <v>1.9002394054719887</v>
      </c>
      <c r="Q33" s="10">
        <f t="shared" si="9"/>
        <v>0</v>
      </c>
      <c r="R33" s="10">
        <f t="shared" si="9"/>
        <v>1.5897754598511558</v>
      </c>
      <c r="S33" s="10">
        <f t="shared" si="9"/>
        <v>1.0441156724873704</v>
      </c>
      <c r="T33" s="10">
        <f t="shared" si="9"/>
        <v>0.19301037919045816</v>
      </c>
      <c r="U33" s="10">
        <f t="shared" si="9"/>
        <v>0.24282964424590991</v>
      </c>
      <c r="V33" s="10">
        <f t="shared" si="9"/>
        <v>1.3781603406340237E-2</v>
      </c>
    </row>
    <row r="34" spans="1:22" x14ac:dyDescent="0.35">
      <c r="A34" s="143"/>
      <c r="B34" s="10">
        <f t="shared" ref="B34:M34" si="15">IF(B11="","",(B11/$O$23))</f>
        <v>7.0903504893987057E-2</v>
      </c>
      <c r="C34" s="10">
        <f t="shared" si="15"/>
        <v>0</v>
      </c>
      <c r="D34" s="10">
        <f t="shared" si="15"/>
        <v>8.5975806832529214E-2</v>
      </c>
      <c r="E34" s="10">
        <f t="shared" si="15"/>
        <v>0.8554189436545343</v>
      </c>
      <c r="F34" s="10">
        <f t="shared" si="15"/>
        <v>0.81022751215204347</v>
      </c>
      <c r="G34" s="10">
        <f t="shared" si="15"/>
        <v>1.8174818535322523</v>
      </c>
      <c r="H34" s="10">
        <f t="shared" si="15"/>
        <v>1.8252854847894469</v>
      </c>
      <c r="I34" s="10">
        <f t="shared" si="15"/>
        <v>3.2547680749539204E-2</v>
      </c>
      <c r="J34" s="10">
        <f t="shared" si="15"/>
        <v>2.7682086940646442E-3</v>
      </c>
      <c r="K34" s="10">
        <f t="shared" si="15"/>
        <v>6.1902580919421029E-3</v>
      </c>
      <c r="L34" s="10">
        <f t="shared" si="15"/>
        <v>0</v>
      </c>
      <c r="M34" s="10">
        <f t="shared" si="15"/>
        <v>7.6669191100336417E-2</v>
      </c>
      <c r="N34" s="5"/>
      <c r="O34" s="10">
        <f t="shared" si="9"/>
        <v>4.6626484475794358E-2</v>
      </c>
      <c r="P34" s="10">
        <f t="shared" si="9"/>
        <v>1.9277261893452624</v>
      </c>
      <c r="Q34" s="10">
        <f t="shared" si="9"/>
        <v>2.5236552879632279E-2</v>
      </c>
      <c r="R34" s="10">
        <f t="shared" si="9"/>
        <v>0.3066937472767694</v>
      </c>
      <c r="S34" s="10">
        <f t="shared" si="9"/>
        <v>0.56509668828622084</v>
      </c>
      <c r="T34" s="10">
        <f t="shared" si="9"/>
        <v>9.9842324615987993E-2</v>
      </c>
      <c r="U34" s="10">
        <f t="shared" si="9"/>
        <v>0</v>
      </c>
      <c r="V34" s="10">
        <f t="shared" si="9"/>
        <v>0</v>
      </c>
    </row>
    <row r="35" spans="1:22" x14ac:dyDescent="0.35">
      <c r="A35" s="143"/>
      <c r="B35" s="10">
        <f t="shared" ref="B35:M35" si="16">IF(B12="","",(B12/$O$23))</f>
        <v>6.9629789237208846E-4</v>
      </c>
      <c r="C35" s="10">
        <f t="shared" si="16"/>
        <v>0</v>
      </c>
      <c r="D35" s="10">
        <f t="shared" si="16"/>
        <v>8.2621688936346596E-3</v>
      </c>
      <c r="E35" s="10">
        <f t="shared" si="16"/>
        <v>3.5112094938519335E-2</v>
      </c>
      <c r="F35" s="10">
        <f t="shared" si="16"/>
        <v>0.19152437759088359</v>
      </c>
      <c r="G35" s="10">
        <f t="shared" si="16"/>
        <v>0.99106116966370195</v>
      </c>
      <c r="H35" s="10">
        <f t="shared" si="16"/>
        <v>1.9472989532710876</v>
      </c>
      <c r="I35" s="10">
        <f t="shared" si="16"/>
        <v>3.3965750847418947E-3</v>
      </c>
      <c r="J35" s="10">
        <f t="shared" si="16"/>
        <v>4.4231899041051327E-2</v>
      </c>
      <c r="K35" s="10">
        <f t="shared" si="16"/>
        <v>6.3974491721113594E-2</v>
      </c>
      <c r="L35" s="10">
        <f t="shared" si="16"/>
        <v>0.21309262937899462</v>
      </c>
      <c r="M35" s="10">
        <f t="shared" si="16"/>
        <v>4.9589996237231664E-3</v>
      </c>
      <c r="N35" s="5"/>
      <c r="O35" s="10">
        <f t="shared" si="9"/>
        <v>1.0880928283970659</v>
      </c>
      <c r="P35" s="10">
        <f t="shared" si="9"/>
        <v>1.7750076820975549</v>
      </c>
      <c r="Q35" s="10">
        <f t="shared" si="9"/>
        <v>2.8276487580476276E-3</v>
      </c>
      <c r="R35" s="10">
        <f t="shared" si="9"/>
        <v>0.5824701698446757</v>
      </c>
      <c r="S35" s="10">
        <f t="shared" si="9"/>
        <v>0.4560836109414298</v>
      </c>
      <c r="T35" s="10">
        <f t="shared" si="9"/>
        <v>0</v>
      </c>
      <c r="U35" s="10">
        <f t="shared" si="9"/>
        <v>0</v>
      </c>
      <c r="V35" s="10">
        <f t="shared" si="9"/>
        <v>0.10606654845877753</v>
      </c>
    </row>
    <row r="36" spans="1:22" x14ac:dyDescent="0.35">
      <c r="A36" s="143"/>
      <c r="B36" s="10" t="str">
        <f t="shared" ref="B36:M36" si="17">IF(B13="","",(B13/$O$23))</f>
        <v/>
      </c>
      <c r="C36" s="10" t="str">
        <f t="shared" si="17"/>
        <v/>
      </c>
      <c r="D36" s="10" t="str">
        <f t="shared" si="17"/>
        <v/>
      </c>
      <c r="E36" s="10" t="str">
        <f t="shared" si="17"/>
        <v/>
      </c>
      <c r="F36" s="10" t="str">
        <f t="shared" si="17"/>
        <v/>
      </c>
      <c r="G36" s="10" t="str">
        <f t="shared" si="17"/>
        <v/>
      </c>
      <c r="H36" s="10" t="str">
        <f t="shared" si="17"/>
        <v/>
      </c>
      <c r="I36" s="10" t="str">
        <f t="shared" si="17"/>
        <v/>
      </c>
      <c r="J36" s="10" t="str">
        <f t="shared" si="17"/>
        <v/>
      </c>
      <c r="K36" s="10" t="str">
        <f t="shared" si="17"/>
        <v/>
      </c>
      <c r="L36" s="10" t="str">
        <f t="shared" si="17"/>
        <v/>
      </c>
      <c r="M36" s="10" t="str">
        <f t="shared" si="17"/>
        <v/>
      </c>
      <c r="N36" s="5"/>
      <c r="O36" s="10">
        <f t="shared" si="9"/>
        <v>4.1183472902495471E-3</v>
      </c>
      <c r="P36" s="10" t="str">
        <f t="shared" si="9"/>
        <v/>
      </c>
      <c r="Q36" s="10" t="str">
        <f t="shared" si="9"/>
        <v/>
      </c>
      <c r="R36" s="10" t="str">
        <f t="shared" si="9"/>
        <v/>
      </c>
      <c r="S36" s="10" t="str">
        <f t="shared" si="9"/>
        <v/>
      </c>
      <c r="T36" s="10" t="str">
        <f t="shared" si="9"/>
        <v/>
      </c>
      <c r="U36" s="10" t="str">
        <f t="shared" si="9"/>
        <v/>
      </c>
      <c r="V36" s="10" t="str">
        <f t="shared" si="9"/>
        <v/>
      </c>
    </row>
    <row r="37" spans="1:22" x14ac:dyDescent="0.35">
      <c r="A37" s="143"/>
      <c r="B37" s="10" t="str">
        <f t="shared" ref="B37:M37" si="18">IF(B14="","",(B14/$O$23))</f>
        <v/>
      </c>
      <c r="C37" s="10" t="str">
        <f t="shared" si="18"/>
        <v/>
      </c>
      <c r="D37" s="10" t="str">
        <f t="shared" si="18"/>
        <v/>
      </c>
      <c r="E37" s="10" t="str">
        <f t="shared" si="18"/>
        <v/>
      </c>
      <c r="F37" s="10" t="str">
        <f t="shared" si="18"/>
        <v/>
      </c>
      <c r="G37" s="10" t="str">
        <f t="shared" si="18"/>
        <v/>
      </c>
      <c r="H37" s="10" t="str">
        <f t="shared" si="18"/>
        <v/>
      </c>
      <c r="I37" s="10" t="str">
        <f t="shared" si="18"/>
        <v/>
      </c>
      <c r="J37" s="10" t="str">
        <f t="shared" si="18"/>
        <v/>
      </c>
      <c r="K37" s="10" t="str">
        <f t="shared" si="18"/>
        <v/>
      </c>
      <c r="L37" s="10" t="str">
        <f t="shared" si="18"/>
        <v/>
      </c>
      <c r="M37" s="10" t="str">
        <f t="shared" si="18"/>
        <v/>
      </c>
      <c r="N37" s="5"/>
      <c r="O37" s="10">
        <f t="shared" si="9"/>
        <v>1.3196288604862092</v>
      </c>
      <c r="P37" s="10" t="str">
        <f t="shared" si="9"/>
        <v/>
      </c>
      <c r="Q37" s="10" t="str">
        <f t="shared" si="9"/>
        <v/>
      </c>
      <c r="R37" s="10" t="str">
        <f t="shared" si="9"/>
        <v/>
      </c>
      <c r="S37" s="10" t="str">
        <f t="shared" si="9"/>
        <v/>
      </c>
      <c r="T37" s="10" t="str">
        <f t="shared" si="9"/>
        <v/>
      </c>
      <c r="U37" s="10" t="str">
        <f t="shared" si="9"/>
        <v/>
      </c>
      <c r="V37" s="10" t="str">
        <f t="shared" si="9"/>
        <v/>
      </c>
    </row>
    <row r="38" spans="1:22" x14ac:dyDescent="0.35">
      <c r="A38" s="143"/>
      <c r="B38" s="10" t="str">
        <f t="shared" ref="B38:M38" si="19">IF(B15="","",(B15/$O$23))</f>
        <v/>
      </c>
      <c r="C38" s="10" t="str">
        <f t="shared" si="19"/>
        <v/>
      </c>
      <c r="D38" s="10" t="str">
        <f t="shared" si="19"/>
        <v/>
      </c>
      <c r="E38" s="10" t="str">
        <f t="shared" si="19"/>
        <v/>
      </c>
      <c r="F38" s="10" t="str">
        <f t="shared" si="19"/>
        <v/>
      </c>
      <c r="G38" s="10" t="str">
        <f t="shared" si="19"/>
        <v/>
      </c>
      <c r="H38" s="10" t="str">
        <f t="shared" si="19"/>
        <v/>
      </c>
      <c r="I38" s="10" t="str">
        <f t="shared" si="19"/>
        <v/>
      </c>
      <c r="J38" s="10" t="str">
        <f t="shared" si="19"/>
        <v/>
      </c>
      <c r="K38" s="10" t="str">
        <f t="shared" si="19"/>
        <v/>
      </c>
      <c r="L38" s="10" t="str">
        <f t="shared" si="19"/>
        <v/>
      </c>
      <c r="M38" s="10" t="str">
        <f t="shared" si="19"/>
        <v/>
      </c>
      <c r="N38" s="5"/>
      <c r="O38" s="10">
        <f t="shared" ref="O38:V43" si="20">IF(O15="","",(O15/$O$23))</f>
        <v>0.62946178614207982</v>
      </c>
      <c r="P38" s="10" t="str">
        <f t="shared" si="20"/>
        <v/>
      </c>
      <c r="Q38" s="10" t="str">
        <f t="shared" si="20"/>
        <v/>
      </c>
      <c r="R38" s="10" t="str">
        <f t="shared" si="20"/>
        <v/>
      </c>
      <c r="S38" s="10" t="str">
        <f t="shared" si="20"/>
        <v/>
      </c>
      <c r="T38" s="10" t="str">
        <f t="shared" si="20"/>
        <v/>
      </c>
      <c r="U38" s="10" t="str">
        <f t="shared" si="20"/>
        <v/>
      </c>
      <c r="V38" s="10" t="str">
        <f t="shared" si="20"/>
        <v/>
      </c>
    </row>
    <row r="39" spans="1:22" x14ac:dyDescent="0.35">
      <c r="A39" s="143"/>
      <c r="B39" s="10" t="str">
        <f t="shared" ref="B39:M39" si="21">IF(B16="","",(B16/$O$23))</f>
        <v/>
      </c>
      <c r="C39" s="10" t="str">
        <f t="shared" si="21"/>
        <v/>
      </c>
      <c r="D39" s="10" t="str">
        <f t="shared" si="21"/>
        <v/>
      </c>
      <c r="E39" s="10" t="str">
        <f t="shared" si="21"/>
        <v/>
      </c>
      <c r="F39" s="10" t="str">
        <f t="shared" si="21"/>
        <v/>
      </c>
      <c r="G39" s="10" t="str">
        <f t="shared" si="21"/>
        <v/>
      </c>
      <c r="H39" s="10" t="str">
        <f t="shared" si="21"/>
        <v/>
      </c>
      <c r="I39" s="10" t="str">
        <f t="shared" si="21"/>
        <v/>
      </c>
      <c r="J39" s="10" t="str">
        <f t="shared" si="21"/>
        <v/>
      </c>
      <c r="K39" s="10" t="str">
        <f t="shared" si="21"/>
        <v/>
      </c>
      <c r="L39" s="10" t="str">
        <f t="shared" si="21"/>
        <v/>
      </c>
      <c r="M39" s="10" t="str">
        <f t="shared" si="21"/>
        <v/>
      </c>
      <c r="N39" s="5"/>
      <c r="O39" s="10">
        <f t="shared" si="20"/>
        <v>0.89483619751296406</v>
      </c>
      <c r="P39" s="10" t="str">
        <f t="shared" si="20"/>
        <v/>
      </c>
      <c r="Q39" s="10" t="str">
        <f t="shared" si="20"/>
        <v/>
      </c>
      <c r="R39" s="10" t="str">
        <f t="shared" si="20"/>
        <v/>
      </c>
      <c r="S39" s="10" t="str">
        <f t="shared" si="20"/>
        <v/>
      </c>
      <c r="T39" s="10" t="str">
        <f t="shared" si="20"/>
        <v/>
      </c>
      <c r="U39" s="10" t="str">
        <f t="shared" si="20"/>
        <v/>
      </c>
      <c r="V39" s="10" t="str">
        <f t="shared" si="20"/>
        <v/>
      </c>
    </row>
    <row r="40" spans="1:22" x14ac:dyDescent="0.35">
      <c r="A40" s="143"/>
      <c r="B40" s="10" t="str">
        <f t="shared" ref="B40:M40" si="22">IF(B17="","",(B17/$O$23))</f>
        <v/>
      </c>
      <c r="C40" s="10" t="str">
        <f t="shared" si="22"/>
        <v/>
      </c>
      <c r="D40" s="10" t="str">
        <f t="shared" si="22"/>
        <v/>
      </c>
      <c r="E40" s="10" t="str">
        <f t="shared" si="22"/>
        <v/>
      </c>
      <c r="F40" s="10" t="str">
        <f t="shared" si="22"/>
        <v/>
      </c>
      <c r="G40" s="10" t="str">
        <f t="shared" si="22"/>
        <v/>
      </c>
      <c r="H40" s="10" t="str">
        <f t="shared" si="22"/>
        <v/>
      </c>
      <c r="I40" s="10" t="str">
        <f t="shared" si="22"/>
        <v/>
      </c>
      <c r="J40" s="10" t="str">
        <f t="shared" si="22"/>
        <v/>
      </c>
      <c r="K40" s="10" t="str">
        <f t="shared" si="22"/>
        <v/>
      </c>
      <c r="L40" s="10" t="str">
        <f t="shared" si="22"/>
        <v/>
      </c>
      <c r="M40" s="10" t="str">
        <f t="shared" si="22"/>
        <v/>
      </c>
      <c r="N40" s="5"/>
      <c r="O40" s="10">
        <f t="shared" si="20"/>
        <v>1.3658222816386989</v>
      </c>
      <c r="P40" s="10" t="str">
        <f t="shared" si="20"/>
        <v/>
      </c>
      <c r="Q40" s="10" t="str">
        <f t="shared" si="20"/>
        <v/>
      </c>
      <c r="R40" s="10" t="str">
        <f t="shared" si="20"/>
        <v/>
      </c>
      <c r="S40" s="10" t="str">
        <f t="shared" si="20"/>
        <v/>
      </c>
      <c r="T40" s="10" t="str">
        <f t="shared" si="20"/>
        <v/>
      </c>
      <c r="U40" s="10" t="str">
        <f t="shared" si="20"/>
        <v/>
      </c>
      <c r="V40" s="10" t="str">
        <f t="shared" si="20"/>
        <v/>
      </c>
    </row>
    <row r="41" spans="1:22" x14ac:dyDescent="0.35">
      <c r="A41" s="143"/>
      <c r="B41" s="10" t="str">
        <f t="shared" ref="B41:M41" si="23">IF(B18="","",(B18/$O$23))</f>
        <v/>
      </c>
      <c r="C41" s="10" t="str">
        <f t="shared" si="23"/>
        <v/>
      </c>
      <c r="D41" s="10" t="str">
        <f t="shared" si="23"/>
        <v/>
      </c>
      <c r="E41" s="10" t="str">
        <f t="shared" si="23"/>
        <v/>
      </c>
      <c r="F41" s="10" t="str">
        <f t="shared" si="23"/>
        <v/>
      </c>
      <c r="G41" s="10" t="str">
        <f t="shared" si="23"/>
        <v/>
      </c>
      <c r="H41" s="10" t="str">
        <f t="shared" si="23"/>
        <v/>
      </c>
      <c r="I41" s="10" t="str">
        <f t="shared" si="23"/>
        <v/>
      </c>
      <c r="J41" s="10" t="str">
        <f t="shared" si="23"/>
        <v/>
      </c>
      <c r="K41" s="10" t="str">
        <f t="shared" si="23"/>
        <v/>
      </c>
      <c r="L41" s="10" t="str">
        <f t="shared" si="23"/>
        <v/>
      </c>
      <c r="M41" s="10" t="str">
        <f t="shared" si="23"/>
        <v/>
      </c>
      <c r="N41" s="5"/>
      <c r="O41" s="10">
        <f t="shared" si="20"/>
        <v>1.7478350814196197</v>
      </c>
      <c r="P41" s="10" t="str">
        <f t="shared" si="20"/>
        <v/>
      </c>
      <c r="Q41" s="10" t="str">
        <f t="shared" si="20"/>
        <v/>
      </c>
      <c r="R41" s="10" t="str">
        <f t="shared" si="20"/>
        <v/>
      </c>
      <c r="S41" s="10" t="str">
        <f t="shared" si="20"/>
        <v/>
      </c>
      <c r="T41" s="10" t="str">
        <f t="shared" si="20"/>
        <v/>
      </c>
      <c r="U41" s="10" t="str">
        <f t="shared" si="20"/>
        <v/>
      </c>
      <c r="V41" s="10" t="str">
        <f t="shared" si="20"/>
        <v/>
      </c>
    </row>
    <row r="42" spans="1:22" x14ac:dyDescent="0.35">
      <c r="A42" s="143"/>
      <c r="B42" s="10" t="str">
        <f t="shared" ref="B42:M42" si="24">IF(B19="","",(B19/$O$23))</f>
        <v/>
      </c>
      <c r="C42" s="10" t="str">
        <f t="shared" si="24"/>
        <v/>
      </c>
      <c r="D42" s="10" t="str">
        <f t="shared" si="24"/>
        <v/>
      </c>
      <c r="E42" s="10" t="str">
        <f t="shared" si="24"/>
        <v/>
      </c>
      <c r="F42" s="10" t="str">
        <f t="shared" si="24"/>
        <v/>
      </c>
      <c r="G42" s="10" t="str">
        <f t="shared" si="24"/>
        <v/>
      </c>
      <c r="H42" s="10" t="str">
        <f t="shared" si="24"/>
        <v/>
      </c>
      <c r="I42" s="10" t="str">
        <f t="shared" si="24"/>
        <v/>
      </c>
      <c r="J42" s="10" t="str">
        <f t="shared" si="24"/>
        <v/>
      </c>
      <c r="K42" s="10" t="str">
        <f t="shared" si="24"/>
        <v/>
      </c>
      <c r="L42" s="10" t="str">
        <f t="shared" si="24"/>
        <v/>
      </c>
      <c r="M42" s="10" t="str">
        <f t="shared" si="24"/>
        <v/>
      </c>
      <c r="N42" s="5"/>
      <c r="O42" s="10">
        <f t="shared" si="20"/>
        <v>0.18869672883283597</v>
      </c>
      <c r="P42" s="10" t="str">
        <f t="shared" si="20"/>
        <v/>
      </c>
      <c r="Q42" s="10" t="str">
        <f t="shared" si="20"/>
        <v/>
      </c>
      <c r="R42" s="10" t="str">
        <f t="shared" si="20"/>
        <v/>
      </c>
      <c r="S42" s="10" t="str">
        <f t="shared" si="20"/>
        <v/>
      </c>
      <c r="T42" s="10" t="str">
        <f t="shared" si="20"/>
        <v/>
      </c>
      <c r="U42" s="10" t="str">
        <f t="shared" si="20"/>
        <v/>
      </c>
      <c r="V42" s="10" t="str">
        <f t="shared" si="20"/>
        <v/>
      </c>
    </row>
    <row r="43" spans="1:22" x14ac:dyDescent="0.35">
      <c r="A43" s="143"/>
      <c r="B43" s="10" t="str">
        <f t="shared" ref="B43:M43" si="25">IF(B20="","",(B20/$O$23))</f>
        <v/>
      </c>
      <c r="C43" s="10" t="str">
        <f t="shared" si="25"/>
        <v/>
      </c>
      <c r="D43" s="10" t="str">
        <f t="shared" si="25"/>
        <v/>
      </c>
      <c r="E43" s="10" t="str">
        <f t="shared" si="25"/>
        <v/>
      </c>
      <c r="F43" s="10" t="str">
        <f t="shared" si="25"/>
        <v/>
      </c>
      <c r="G43" s="10" t="str">
        <f t="shared" si="25"/>
        <v/>
      </c>
      <c r="H43" s="10" t="str">
        <f t="shared" si="25"/>
        <v/>
      </c>
      <c r="I43" s="10" t="str">
        <f t="shared" si="25"/>
        <v/>
      </c>
      <c r="J43" s="10" t="str">
        <f t="shared" si="25"/>
        <v/>
      </c>
      <c r="K43" s="10" t="str">
        <f t="shared" si="25"/>
        <v/>
      </c>
      <c r="L43" s="10" t="str">
        <f t="shared" si="25"/>
        <v/>
      </c>
      <c r="M43" s="10" t="str">
        <f t="shared" si="25"/>
        <v/>
      </c>
      <c r="N43" s="5"/>
      <c r="O43" s="10">
        <f t="shared" si="20"/>
        <v>1.1565677821054625</v>
      </c>
      <c r="P43" s="10" t="str">
        <f t="shared" si="20"/>
        <v/>
      </c>
      <c r="Q43" s="10" t="str">
        <f t="shared" si="20"/>
        <v/>
      </c>
      <c r="R43" s="10" t="str">
        <f t="shared" si="20"/>
        <v/>
      </c>
      <c r="S43" s="10" t="str">
        <f t="shared" si="20"/>
        <v/>
      </c>
      <c r="T43" s="10" t="str">
        <f t="shared" si="20"/>
        <v/>
      </c>
      <c r="U43" s="10" t="str">
        <f t="shared" si="20"/>
        <v/>
      </c>
      <c r="V43" s="10" t="str">
        <f t="shared" si="20"/>
        <v/>
      </c>
    </row>
    <row r="44" spans="1:22" x14ac:dyDescent="0.35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6"/>
      <c r="O44" s="3"/>
      <c r="P44" s="3"/>
      <c r="Q44" s="3"/>
      <c r="R44" s="3"/>
      <c r="S44" s="3"/>
      <c r="T44" s="3"/>
      <c r="U44" s="3"/>
      <c r="V44" s="3"/>
    </row>
    <row r="45" spans="1:22" x14ac:dyDescent="0.35">
      <c r="A45" s="52" t="str">
        <f t="shared" ref="A45" si="26">A4</f>
        <v>Group names</v>
      </c>
      <c r="B45" s="6" t="str">
        <f t="shared" ref="B45:V45" si="27">B4</f>
        <v>Solvent control</v>
      </c>
      <c r="C45" s="6" t="str">
        <f t="shared" si="27"/>
        <v>EE2-33.8ng/L</v>
      </c>
      <c r="D45" s="6" t="str">
        <f t="shared" si="27"/>
        <v>EE2-50.6ng/L</v>
      </c>
      <c r="E45" s="6" t="str">
        <f t="shared" si="27"/>
        <v>EE2-76ng/L</v>
      </c>
      <c r="F45" s="6" t="str">
        <f t="shared" si="27"/>
        <v>EE2-114ng/L</v>
      </c>
      <c r="G45" s="6" t="str">
        <f t="shared" si="27"/>
        <v>EE2-170.9ng/L</v>
      </c>
      <c r="H45" s="6" t="str">
        <f t="shared" si="27"/>
        <v>EE2-488ng/L</v>
      </c>
      <c r="I45" s="6" t="str">
        <f t="shared" si="27"/>
        <v>Anastrozole-0,032µg/L</v>
      </c>
      <c r="J45" s="6" t="str">
        <f t="shared" si="27"/>
        <v>Anastrozole-0,16µg/L</v>
      </c>
      <c r="K45" s="6" t="str">
        <f t="shared" si="27"/>
        <v>Anastrozole-0,8µg/L</v>
      </c>
      <c r="L45" s="6" t="str">
        <f t="shared" si="27"/>
        <v>Anastrozole-4µg/L</v>
      </c>
      <c r="M45" s="6" t="str">
        <f t="shared" si="27"/>
        <v>Anastrozole-20µg/L</v>
      </c>
      <c r="N45" s="6"/>
      <c r="O45" s="6" t="str">
        <f t="shared" si="27"/>
        <v>Testo -30µg/L</v>
      </c>
      <c r="P45" s="6" t="str">
        <f t="shared" si="27"/>
        <v>Testo 30µg/L + EE2 -64ng/L</v>
      </c>
      <c r="Q45" s="6" t="str">
        <f t="shared" si="27"/>
        <v>Testo 30µg/L + FAD-10mg/L</v>
      </c>
      <c r="R45" s="6" t="str">
        <f t="shared" si="27"/>
        <v>Anastrozole-0,032µg/L + Testostérone</v>
      </c>
      <c r="S45" s="6" t="str">
        <f t="shared" si="27"/>
        <v>Anastrozole-0,16µg/L + Testostérone</v>
      </c>
      <c r="T45" s="6" t="str">
        <f t="shared" si="27"/>
        <v>Anastrozole-0,8µg/L + Testostérone</v>
      </c>
      <c r="U45" s="6" t="str">
        <f t="shared" si="27"/>
        <v>Anastrozole-4µg/L + Testostérone</v>
      </c>
      <c r="V45" s="6" t="str">
        <f t="shared" si="27"/>
        <v>Anastrozole-20µg/L + Testostérone</v>
      </c>
    </row>
    <row r="46" spans="1:22" x14ac:dyDescent="0.35">
      <c r="A46" s="7" t="s">
        <v>0</v>
      </c>
      <c r="B46" s="9">
        <f t="shared" ref="B46:H46" si="28">AVERAGE(B28:B43)</f>
        <v>2.5356494437312225E-2</v>
      </c>
      <c r="C46" s="9">
        <f t="shared" si="28"/>
        <v>2.2188126741076432E-2</v>
      </c>
      <c r="D46" s="9">
        <f t="shared" si="28"/>
        <v>3.5612028333804786E-2</v>
      </c>
      <c r="E46" s="9">
        <f t="shared" si="28"/>
        <v>0.14065641997801778</v>
      </c>
      <c r="F46" s="9">
        <f t="shared" si="28"/>
        <v>1.0386832752112112</v>
      </c>
      <c r="G46" s="9">
        <f t="shared" si="28"/>
        <v>1.7395983868391207</v>
      </c>
      <c r="H46" s="9">
        <f t="shared" si="28"/>
        <v>2.1318486762113964</v>
      </c>
      <c r="I46" s="9">
        <f>AVERAGE(I28:I43)</f>
        <v>2.4047751599972612E-2</v>
      </c>
      <c r="J46" s="8">
        <f>AVERAGE(J28:J43)</f>
        <v>1.9932588598865014E-2</v>
      </c>
      <c r="K46" s="8">
        <f t="shared" ref="K46:M46" si="29">AVERAGE(K28:K43)</f>
        <v>1.1625839657243116E-2</v>
      </c>
      <c r="L46" s="8">
        <f t="shared" si="29"/>
        <v>4.4110896053657395E-2</v>
      </c>
      <c r="M46" s="8">
        <f t="shared" si="29"/>
        <v>3.653759504439695E-2</v>
      </c>
      <c r="N46" s="7" t="s">
        <v>0</v>
      </c>
      <c r="O46" s="9">
        <f t="shared" ref="O46:V46" si="30">AVERAGE(O28:O43)</f>
        <v>1</v>
      </c>
      <c r="P46" s="9">
        <f t="shared" si="30"/>
        <v>1.8312687640871625</v>
      </c>
      <c r="Q46" s="9">
        <f t="shared" si="30"/>
        <v>1.4757057313489551E-2</v>
      </c>
      <c r="R46" s="9">
        <f t="shared" si="30"/>
        <v>0.87147837522707972</v>
      </c>
      <c r="S46" s="9">
        <f t="shared" si="30"/>
        <v>0.8034248091151337</v>
      </c>
      <c r="T46" s="9">
        <f t="shared" si="30"/>
        <v>0.13434515889868176</v>
      </c>
      <c r="U46" s="9">
        <f t="shared" si="30"/>
        <v>3.4375462717015942E-2</v>
      </c>
      <c r="V46" s="9">
        <f t="shared" si="30"/>
        <v>2.5430794517290956E-2</v>
      </c>
    </row>
    <row r="47" spans="1:22" x14ac:dyDescent="0.35">
      <c r="A47" s="7" t="s">
        <v>1</v>
      </c>
      <c r="B47" s="7">
        <f t="shared" ref="B47:M47" si="31">STDEV(B28:B43)</f>
        <v>3.5959926784427103E-2</v>
      </c>
      <c r="C47" s="7">
        <f t="shared" si="31"/>
        <v>3.5932157418331695E-2</v>
      </c>
      <c r="D47" s="7">
        <f t="shared" si="31"/>
        <v>3.8183432129624315E-2</v>
      </c>
      <c r="E47" s="7">
        <f t="shared" si="31"/>
        <v>0.29287747138697251</v>
      </c>
      <c r="F47" s="7">
        <f t="shared" si="31"/>
        <v>0.59588537882747017</v>
      </c>
      <c r="G47" s="7">
        <f t="shared" si="31"/>
        <v>0.55638351662631258</v>
      </c>
      <c r="H47" s="7">
        <f t="shared" si="31"/>
        <v>0.92539571172871027</v>
      </c>
      <c r="I47" s="7">
        <f t="shared" si="31"/>
        <v>4.7152696167847126E-2</v>
      </c>
      <c r="J47" s="7">
        <f t="shared" si="31"/>
        <v>2.8210595767675338E-2</v>
      </c>
      <c r="K47" s="7">
        <f t="shared" si="31"/>
        <v>2.1995144967653656E-2</v>
      </c>
      <c r="L47" s="7">
        <f t="shared" si="31"/>
        <v>7.4789671401479477E-2</v>
      </c>
      <c r="M47" s="7">
        <f t="shared" si="31"/>
        <v>3.817807228465734E-2</v>
      </c>
      <c r="N47" s="7" t="s">
        <v>1</v>
      </c>
      <c r="O47" s="7">
        <f t="shared" ref="O47:V47" si="32">STDEV(O28:O43)</f>
        <v>0.56015011498475076</v>
      </c>
      <c r="P47" s="7">
        <f t="shared" si="32"/>
        <v>0.59364320181082464</v>
      </c>
      <c r="Q47" s="7">
        <f t="shared" si="32"/>
        <v>3.1625757068103909E-2</v>
      </c>
      <c r="R47" s="7">
        <f t="shared" si="32"/>
        <v>0.72658581241577813</v>
      </c>
      <c r="S47" s="7">
        <f t="shared" si="32"/>
        <v>0.48040341752628546</v>
      </c>
      <c r="T47" s="7">
        <f t="shared" si="32"/>
        <v>0.13466726275082253</v>
      </c>
      <c r="U47" s="7">
        <f t="shared" si="32"/>
        <v>8.4903140110405978E-2</v>
      </c>
      <c r="V47" s="7">
        <f t="shared" si="32"/>
        <v>4.3144380226670109E-2</v>
      </c>
    </row>
    <row r="48" spans="1:22" x14ac:dyDescent="0.35">
      <c r="A48" s="7" t="s">
        <v>2</v>
      </c>
      <c r="B48" s="7">
        <f t="shared" ref="B48:M48" si="33" xml:space="preserve"> B47/SQRT(COUNT(B28:B43))</f>
        <v>1.2713754040120082E-2</v>
      </c>
      <c r="C48" s="7">
        <f t="shared" si="33"/>
        <v>1.2703936086582424E-2</v>
      </c>
      <c r="D48" s="7">
        <f t="shared" si="33"/>
        <v>1.3499881893916823E-2</v>
      </c>
      <c r="E48" s="7">
        <f t="shared" si="33"/>
        <v>0.10354782303724865</v>
      </c>
      <c r="F48" s="7">
        <f t="shared" si="33"/>
        <v>0.21067729608940944</v>
      </c>
      <c r="G48" s="7">
        <f t="shared" si="33"/>
        <v>0.19671127877344191</v>
      </c>
      <c r="H48" s="7">
        <f t="shared" si="33"/>
        <v>0.32717679152216123</v>
      </c>
      <c r="I48" s="7">
        <f t="shared" si="33"/>
        <v>1.6670995605756817E-2</v>
      </c>
      <c r="J48" s="7">
        <f t="shared" si="33"/>
        <v>9.9739517843178745E-3</v>
      </c>
      <c r="K48" s="7">
        <f t="shared" si="33"/>
        <v>7.7764580799045326E-3</v>
      </c>
      <c r="L48" s="7">
        <f t="shared" si="33"/>
        <v>2.6442141905349867E-2</v>
      </c>
      <c r="M48" s="7">
        <f t="shared" si="33"/>
        <v>1.3497986902555695E-2</v>
      </c>
      <c r="N48" s="7" t="s">
        <v>2</v>
      </c>
      <c r="O48" s="7">
        <f t="shared" ref="O48:V48" si="34" xml:space="preserve"> O47/SQRT(COUNT(O28:O43))</f>
        <v>0.14003752874618769</v>
      </c>
      <c r="P48" s="7">
        <f t="shared" si="34"/>
        <v>0.2098845668028641</v>
      </c>
      <c r="Q48" s="7">
        <f t="shared" si="34"/>
        <v>1.1181393641507329E-2</v>
      </c>
      <c r="R48" s="7">
        <f t="shared" si="34"/>
        <v>0.25688687753656675</v>
      </c>
      <c r="S48" s="7">
        <f t="shared" si="34"/>
        <v>0.16984825711901436</v>
      </c>
      <c r="T48" s="7">
        <f t="shared" si="34"/>
        <v>4.7612067347468583E-2</v>
      </c>
      <c r="U48" s="7">
        <f t="shared" si="34"/>
        <v>3.0017793058049812E-2</v>
      </c>
      <c r="V48" s="7">
        <f t="shared" si="34"/>
        <v>1.5253841914184614E-2</v>
      </c>
    </row>
    <row r="49" spans="1:22" ht="15" thickBot="1" x14ac:dyDescent="0.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26.5" thickBot="1" x14ac:dyDescent="0.65">
      <c r="A50" s="138"/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</row>
    <row r="51" spans="1:22" ht="15" thickBot="1" x14ac:dyDescent="0.4"/>
    <row r="52" spans="1:22" x14ac:dyDescent="0.35">
      <c r="A52" s="28" t="str">
        <f t="shared" ref="A52" si="35">A27</f>
        <v>Group names</v>
      </c>
      <c r="B52" s="29" t="str">
        <f t="shared" ref="B52:H52" si="36">B27</f>
        <v>Solvent control</v>
      </c>
      <c r="C52" s="29" t="str">
        <f t="shared" si="36"/>
        <v>EE2-33.8ng/L</v>
      </c>
      <c r="D52" s="29" t="str">
        <f t="shared" si="36"/>
        <v>EE2-50.6ng/L</v>
      </c>
      <c r="E52" s="29" t="str">
        <f t="shared" si="36"/>
        <v>EE2-76ng/L</v>
      </c>
      <c r="F52" s="29" t="str">
        <f t="shared" si="36"/>
        <v>EE2-114ng/L</v>
      </c>
      <c r="G52" s="29" t="str">
        <f t="shared" si="36"/>
        <v>EE2-170.9ng/L</v>
      </c>
      <c r="H52" s="29" t="str">
        <f t="shared" si="36"/>
        <v>EE2-488ng/L</v>
      </c>
      <c r="I52" s="29" t="str">
        <f>I4</f>
        <v>Anastrozole-0,032µg/L</v>
      </c>
      <c r="J52" s="29" t="str">
        <f>J4</f>
        <v>Anastrozole-0,16µg/L</v>
      </c>
      <c r="K52" s="29" t="str">
        <f t="shared" ref="K52:M52" si="37">K4</f>
        <v>Anastrozole-0,8µg/L</v>
      </c>
      <c r="L52" s="29" t="str">
        <f t="shared" si="37"/>
        <v>Anastrozole-4µg/L</v>
      </c>
      <c r="M52" s="29" t="str">
        <f t="shared" si="37"/>
        <v>Anastrozole-20µg/L</v>
      </c>
      <c r="N52" s="30"/>
      <c r="O52" s="29" t="str">
        <f>O27</f>
        <v>Testo -30µg/L</v>
      </c>
      <c r="P52" s="29" t="str">
        <f>P27</f>
        <v>Testo 30µg/L + EE2 -64ng/L</v>
      </c>
      <c r="Q52" s="29" t="str">
        <f>Q27</f>
        <v>Testo 30µg/L + FAD-10mg/L</v>
      </c>
      <c r="R52" s="29" t="str">
        <f>R27</f>
        <v>Anastrozole-0,032µg/L + Testostérone</v>
      </c>
      <c r="S52" s="29" t="str">
        <f t="shared" ref="S52:V52" si="38">S27</f>
        <v>Anastrozole-0,16µg/L + Testostérone</v>
      </c>
      <c r="T52" s="29" t="str">
        <f t="shared" si="38"/>
        <v>Anastrozole-0,8µg/L + Testostérone</v>
      </c>
      <c r="U52" s="29" t="str">
        <f t="shared" si="38"/>
        <v>Anastrozole-4µg/L + Testostérone</v>
      </c>
      <c r="V52" s="29" t="str">
        <f t="shared" si="38"/>
        <v>Anastrozole-20µg/L + Testostérone</v>
      </c>
    </row>
    <row r="53" spans="1:22" s="3" customFormat="1" x14ac:dyDescent="0.35">
      <c r="A53" s="44" t="s">
        <v>10</v>
      </c>
      <c r="B53" s="76">
        <f t="shared" ref="B53:V53" si="39">B46</f>
        <v>2.5356494437312225E-2</v>
      </c>
      <c r="C53" s="76">
        <f t="shared" si="39"/>
        <v>2.2188126741076432E-2</v>
      </c>
      <c r="D53" s="76">
        <f t="shared" si="39"/>
        <v>3.5612028333804786E-2</v>
      </c>
      <c r="E53" s="76">
        <f t="shared" si="39"/>
        <v>0.14065641997801778</v>
      </c>
      <c r="F53" s="76">
        <f t="shared" si="39"/>
        <v>1.0386832752112112</v>
      </c>
      <c r="G53" s="76">
        <f t="shared" si="39"/>
        <v>1.7395983868391207</v>
      </c>
      <c r="H53" s="76">
        <f t="shared" si="39"/>
        <v>2.1318486762113964</v>
      </c>
      <c r="I53" s="76">
        <f t="shared" si="39"/>
        <v>2.4047751599972612E-2</v>
      </c>
      <c r="J53" s="76">
        <f t="shared" si="39"/>
        <v>1.9932588598865014E-2</v>
      </c>
      <c r="K53" s="76">
        <f t="shared" si="39"/>
        <v>1.1625839657243116E-2</v>
      </c>
      <c r="L53" s="76">
        <f t="shared" si="39"/>
        <v>4.4110896053657395E-2</v>
      </c>
      <c r="M53" s="76">
        <f t="shared" si="39"/>
        <v>3.653759504439695E-2</v>
      </c>
      <c r="N53" s="76"/>
      <c r="O53" s="76">
        <f t="shared" si="39"/>
        <v>1</v>
      </c>
      <c r="P53" s="76">
        <f t="shared" si="39"/>
        <v>1.8312687640871625</v>
      </c>
      <c r="Q53" s="76">
        <f t="shared" si="39"/>
        <v>1.4757057313489551E-2</v>
      </c>
      <c r="R53" s="76">
        <f t="shared" si="39"/>
        <v>0.87147837522707972</v>
      </c>
      <c r="S53" s="76">
        <f t="shared" si="39"/>
        <v>0.8034248091151337</v>
      </c>
      <c r="T53" s="76">
        <f t="shared" si="39"/>
        <v>0.13434515889868176</v>
      </c>
      <c r="U53" s="76">
        <f t="shared" si="39"/>
        <v>3.4375462717015942E-2</v>
      </c>
      <c r="V53" s="76">
        <f t="shared" si="39"/>
        <v>2.5430794517290956E-2</v>
      </c>
    </row>
    <row r="54" spans="1:22" s="3" customFormat="1" x14ac:dyDescent="0.35">
      <c r="A54" s="44" t="s">
        <v>2</v>
      </c>
      <c r="B54" s="76">
        <f t="shared" ref="B54:V54" si="40">B48</f>
        <v>1.2713754040120082E-2</v>
      </c>
      <c r="C54" s="76">
        <f t="shared" si="40"/>
        <v>1.2703936086582424E-2</v>
      </c>
      <c r="D54" s="76">
        <f t="shared" si="40"/>
        <v>1.3499881893916823E-2</v>
      </c>
      <c r="E54" s="76">
        <f t="shared" si="40"/>
        <v>0.10354782303724865</v>
      </c>
      <c r="F54" s="76">
        <f t="shared" si="40"/>
        <v>0.21067729608940944</v>
      </c>
      <c r="G54" s="76">
        <f t="shared" si="40"/>
        <v>0.19671127877344191</v>
      </c>
      <c r="H54" s="76">
        <f t="shared" si="40"/>
        <v>0.32717679152216123</v>
      </c>
      <c r="I54" s="76">
        <f t="shared" si="40"/>
        <v>1.6670995605756817E-2</v>
      </c>
      <c r="J54" s="76">
        <f t="shared" si="40"/>
        <v>9.9739517843178745E-3</v>
      </c>
      <c r="K54" s="76">
        <f t="shared" si="40"/>
        <v>7.7764580799045326E-3</v>
      </c>
      <c r="L54" s="76">
        <f t="shared" si="40"/>
        <v>2.6442141905349867E-2</v>
      </c>
      <c r="M54" s="76">
        <f t="shared" si="40"/>
        <v>1.3497986902555695E-2</v>
      </c>
      <c r="N54" s="76"/>
      <c r="O54" s="76">
        <f t="shared" si="40"/>
        <v>0.14003752874618769</v>
      </c>
      <c r="P54" s="76">
        <f t="shared" si="40"/>
        <v>0.2098845668028641</v>
      </c>
      <c r="Q54" s="76">
        <f t="shared" si="40"/>
        <v>1.1181393641507329E-2</v>
      </c>
      <c r="R54" s="76">
        <f t="shared" si="40"/>
        <v>0.25688687753656675</v>
      </c>
      <c r="S54" s="76">
        <f t="shared" si="40"/>
        <v>0.16984825711901436</v>
      </c>
      <c r="T54" s="76">
        <f t="shared" si="40"/>
        <v>4.7612067347468583E-2</v>
      </c>
      <c r="U54" s="76">
        <f t="shared" si="40"/>
        <v>3.0017793058049812E-2</v>
      </c>
      <c r="V54" s="76">
        <f t="shared" si="40"/>
        <v>1.5253841914184614E-2</v>
      </c>
    </row>
    <row r="55" spans="1:22" s="3" customFormat="1" x14ac:dyDescent="0.35">
      <c r="A55" s="44" t="s">
        <v>14</v>
      </c>
      <c r="B55" s="76">
        <f>(B53*100/$B53)-100</f>
        <v>0</v>
      </c>
      <c r="C55" s="76">
        <f t="shared" ref="C55:M55" si="41">(C53*100/$B53)-100</f>
        <v>-12.495290719578023</v>
      </c>
      <c r="D55" s="76">
        <f t="shared" si="41"/>
        <v>40.445393277240584</v>
      </c>
      <c r="E55" s="76">
        <f t="shared" si="41"/>
        <v>454.71555946251408</v>
      </c>
      <c r="F55" s="76">
        <f t="shared" si="41"/>
        <v>3996.3204822303151</v>
      </c>
      <c r="G55" s="76">
        <f t="shared" si="41"/>
        <v>6760.5634392398179</v>
      </c>
      <c r="H55" s="76">
        <f t="shared" si="41"/>
        <v>8307.5055464858306</v>
      </c>
      <c r="I55" s="76">
        <f t="shared" si="41"/>
        <v>-5.1613713424588781</v>
      </c>
      <c r="J55" s="76">
        <f t="shared" si="41"/>
        <v>-21.390598183264245</v>
      </c>
      <c r="K55" s="76">
        <f t="shared" si="41"/>
        <v>-54.150445811879948</v>
      </c>
      <c r="L55" s="76">
        <f t="shared" si="41"/>
        <v>73.962911800410239</v>
      </c>
      <c r="M55" s="76">
        <f t="shared" si="41"/>
        <v>44.095608857633209</v>
      </c>
      <c r="N55" s="76"/>
      <c r="O55" s="76">
        <f t="shared" ref="O55:V55" si="42">(O53*100/$O53)-100</f>
        <v>0</v>
      </c>
      <c r="P55" s="76">
        <f t="shared" si="42"/>
        <v>83.126876408716242</v>
      </c>
      <c r="Q55" s="76">
        <f t="shared" si="42"/>
        <v>-98.524294268651047</v>
      </c>
      <c r="R55" s="76">
        <f t="shared" si="42"/>
        <v>-12.852162477292026</v>
      </c>
      <c r="S55" s="76">
        <f t="shared" si="42"/>
        <v>-19.657519088486623</v>
      </c>
      <c r="T55" s="76">
        <f t="shared" si="42"/>
        <v>-86.56548411013182</v>
      </c>
      <c r="U55" s="76">
        <f t="shared" si="42"/>
        <v>-96.562453728298408</v>
      </c>
      <c r="V55" s="76">
        <f t="shared" si="42"/>
        <v>-97.456920548270901</v>
      </c>
    </row>
    <row r="56" spans="1:22" s="3" customFormat="1" x14ac:dyDescent="0.35">
      <c r="A56" s="44" t="s">
        <v>37</v>
      </c>
      <c r="B56" s="76">
        <f>[2]!SWTEST(B28:B43)</f>
        <v>5.0357289262618066E-3</v>
      </c>
      <c r="C56" s="76">
        <f>[2]!SWTEST(C28:C43)</f>
        <v>1.9106762814293798E-3</v>
      </c>
      <c r="D56" s="76">
        <f>[2]!SWTEST(D28:D43)</f>
        <v>9.7128913340374545E-2</v>
      </c>
      <c r="E56" s="76">
        <f>[2]!SWTEST(E28:E43)</f>
        <v>4.3943928811684962E-5</v>
      </c>
      <c r="F56" s="76">
        <f>[2]!SWTEST(F28:F43)</f>
        <v>0.12642473561584944</v>
      </c>
      <c r="G56" s="76">
        <f>[2]!SWTEST(G28:G43)</f>
        <v>0.75177904396703799</v>
      </c>
      <c r="H56" s="76">
        <f>[2]!SWTEST(H28:H43)</f>
        <v>0.43021951414805759</v>
      </c>
      <c r="I56" s="76" t="e">
        <f ca="1">[2]!SWTEST(I28:I43)</f>
        <v>#NAME?</v>
      </c>
      <c r="J56" s="76" t="e">
        <f ca="1">[2]!SWTEST(J28:J43)</f>
        <v>#NAME?</v>
      </c>
      <c r="K56" s="76" t="e">
        <f ca="1">[2]!SWTEST(K28:K43)</f>
        <v>#NAME?</v>
      </c>
      <c r="L56" s="76" t="e">
        <f ca="1">[2]!SWTEST(L28:L43)</f>
        <v>#NAME?</v>
      </c>
      <c r="M56" s="76" t="e">
        <f ca="1">[2]!SWTEST(M28:M43)</f>
        <v>#NAME?</v>
      </c>
      <c r="N56" s="76"/>
      <c r="O56" s="76">
        <f>[2]!SWTEST(O28:O43)</f>
        <v>0.4226458556245809</v>
      </c>
      <c r="P56" s="76">
        <f>[2]!SWTEST(P28:P43)</f>
        <v>1.3430905232544421E-2</v>
      </c>
      <c r="Q56" s="76">
        <f>[2]!SWTEST(Q28:Q43)</f>
        <v>6.2653365523690496E-5</v>
      </c>
      <c r="R56" s="76" t="e">
        <f ca="1">[2]!SWTEST(R28:R43)</f>
        <v>#NAME?</v>
      </c>
      <c r="S56" s="76" t="e">
        <f ca="1">[2]!SWTEST(S28:S43)</f>
        <v>#NAME?</v>
      </c>
      <c r="T56" s="76" t="e">
        <f ca="1">[2]!SWTEST(T28:T43)</f>
        <v>#NAME?</v>
      </c>
      <c r="U56" s="76" t="e">
        <f ca="1">[2]!SWTEST(U28:U43)</f>
        <v>#NAME?</v>
      </c>
      <c r="V56" s="76" t="e">
        <f ca="1">[2]!SWTEST(V28:V43)</f>
        <v>#NAME?</v>
      </c>
    </row>
    <row r="57" spans="1:22" s="3" customFormat="1" x14ac:dyDescent="0.35">
      <c r="A57" s="44" t="s">
        <v>38</v>
      </c>
      <c r="B57" s="76" t="str">
        <f>IF(B56&gt;0.05,"Oui","Non")</f>
        <v>Non</v>
      </c>
      <c r="C57" s="76" t="str">
        <f t="shared" ref="C57:V57" si="43">IF(C56&gt;0.05,"Oui","Non")</f>
        <v>Non</v>
      </c>
      <c r="D57" s="76" t="str">
        <f t="shared" si="43"/>
        <v>Oui</v>
      </c>
      <c r="E57" s="76" t="str">
        <f t="shared" si="43"/>
        <v>Non</v>
      </c>
      <c r="F57" s="76" t="str">
        <f t="shared" si="43"/>
        <v>Oui</v>
      </c>
      <c r="G57" s="76" t="str">
        <f t="shared" si="43"/>
        <v>Oui</v>
      </c>
      <c r="H57" s="76" t="str">
        <f t="shared" si="43"/>
        <v>Oui</v>
      </c>
      <c r="I57" s="76" t="e">
        <f t="shared" ca="1" si="43"/>
        <v>#NAME?</v>
      </c>
      <c r="J57" s="76" t="e">
        <f t="shared" ca="1" si="43"/>
        <v>#NAME?</v>
      </c>
      <c r="K57" s="76" t="e">
        <f t="shared" ca="1" si="43"/>
        <v>#NAME?</v>
      </c>
      <c r="L57" s="76" t="e">
        <f t="shared" ca="1" si="43"/>
        <v>#NAME?</v>
      </c>
      <c r="M57" s="76" t="e">
        <f t="shared" ca="1" si="43"/>
        <v>#NAME?</v>
      </c>
      <c r="N57" s="76"/>
      <c r="O57" s="76" t="str">
        <f t="shared" si="43"/>
        <v>Oui</v>
      </c>
      <c r="P57" s="76" t="str">
        <f t="shared" si="43"/>
        <v>Non</v>
      </c>
      <c r="Q57" s="76" t="str">
        <f t="shared" si="43"/>
        <v>Non</v>
      </c>
      <c r="R57" s="76" t="e">
        <f t="shared" ca="1" si="43"/>
        <v>#NAME?</v>
      </c>
      <c r="S57" s="76" t="e">
        <f t="shared" ca="1" si="43"/>
        <v>#NAME?</v>
      </c>
      <c r="T57" s="76" t="e">
        <f t="shared" ca="1" si="43"/>
        <v>#NAME?</v>
      </c>
      <c r="U57" s="76" t="e">
        <f t="shared" ca="1" si="43"/>
        <v>#NAME?</v>
      </c>
      <c r="V57" s="76" t="e">
        <f t="shared" ca="1" si="43"/>
        <v>#NAME?</v>
      </c>
    </row>
    <row r="58" spans="1:22" s="3" customFormat="1" x14ac:dyDescent="0.35">
      <c r="A58" s="44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8"/>
      <c r="O58" s="79"/>
      <c r="P58" s="76"/>
      <c r="Q58" s="76"/>
      <c r="R58" s="76"/>
      <c r="S58" s="76"/>
      <c r="T58" s="76"/>
      <c r="U58" s="76"/>
      <c r="V58" s="76"/>
    </row>
    <row r="59" spans="1:22" s="3" customFormat="1" x14ac:dyDescent="0.35">
      <c r="A59" s="44" t="s">
        <v>39</v>
      </c>
      <c r="B59" s="80"/>
      <c r="C59" s="80" t="str">
        <f t="shared" ref="C59:O59" si="44">IF($B57="Non",IF(C57="Non","MW",IF(C57="Oui","MW","")),IF($B57="Oui",IF(C57="Oui","T-Test Welch",IF(C57="Non","MW",""))))</f>
        <v>MW</v>
      </c>
      <c r="D59" s="80" t="str">
        <f t="shared" si="44"/>
        <v>MW</v>
      </c>
      <c r="E59" s="80" t="str">
        <f t="shared" si="44"/>
        <v>MW</v>
      </c>
      <c r="F59" s="80" t="str">
        <f t="shared" si="44"/>
        <v>MW</v>
      </c>
      <c r="G59" s="80" t="str">
        <f t="shared" si="44"/>
        <v>MW</v>
      </c>
      <c r="H59" s="80" t="str">
        <f t="shared" si="44"/>
        <v>MW</v>
      </c>
      <c r="I59" s="80" t="e">
        <f t="shared" ca="1" si="44"/>
        <v>#NAME?</v>
      </c>
      <c r="J59" s="80" t="e">
        <f t="shared" ca="1" si="44"/>
        <v>#NAME?</v>
      </c>
      <c r="K59" s="80" t="e">
        <f t="shared" ca="1" si="44"/>
        <v>#NAME?</v>
      </c>
      <c r="L59" s="80" t="e">
        <f t="shared" ca="1" si="44"/>
        <v>#NAME?</v>
      </c>
      <c r="M59" s="80" t="e">
        <f t="shared" ca="1" si="44"/>
        <v>#NAME?</v>
      </c>
      <c r="N59" s="80"/>
      <c r="O59" s="80" t="str">
        <f t="shared" si="44"/>
        <v>MW</v>
      </c>
      <c r="P59" s="80" t="str">
        <f t="shared" ref="P59:V59" si="45">IF($O57="Non",IF(P57="Non","MW",IF(P57="Oui","MW","")),IF($O57="Oui",IF(P57="Oui","T-Test Welch",IF(P57="Non","MW",""))))</f>
        <v>MW</v>
      </c>
      <c r="Q59" s="80" t="str">
        <f t="shared" si="45"/>
        <v>MW</v>
      </c>
      <c r="R59" s="80" t="e">
        <f t="shared" ca="1" si="45"/>
        <v>#NAME?</v>
      </c>
      <c r="S59" s="80" t="e">
        <f t="shared" ca="1" si="45"/>
        <v>#NAME?</v>
      </c>
      <c r="T59" s="80" t="e">
        <f t="shared" ca="1" si="45"/>
        <v>#NAME?</v>
      </c>
      <c r="U59" s="80" t="e">
        <f t="shared" ca="1" si="45"/>
        <v>#NAME?</v>
      </c>
      <c r="V59" s="80" t="e">
        <f t="shared" ca="1" si="45"/>
        <v>#NAME?</v>
      </c>
    </row>
    <row r="60" spans="1:22" s="3" customFormat="1" x14ac:dyDescent="0.35">
      <c r="A60" s="44" t="s">
        <v>40</v>
      </c>
      <c r="B60" s="81"/>
      <c r="C60" s="81">
        <f>IF(C59="MW",[2]!MTEST($B28:$B43,C28:C43,2), IF(C59="T-Test Welch",_xlfn.T.TEST($B28:$B43,C28:C43,2,3),""))</f>
        <v>0.95812192657774276</v>
      </c>
      <c r="D60" s="81">
        <f>IF(D59="MW",[2]!MTEST($B28:$B43,D28:D43,2), IF(D59="T-Test Welch",_xlfn.T.TEST($B28:$B43,D28:D43,2,3),""))</f>
        <v>0.46224994612554271</v>
      </c>
      <c r="E60" s="81">
        <f>IF(E59="MW",[2]!MTEST($B28:$B43,E28:E43,2), IF(E59="T-Test Welch",_xlfn.T.TEST($B28:$B43,E28:E43,2,3),""))</f>
        <v>0.49483653811309747</v>
      </c>
      <c r="F60" s="81">
        <f>IF(F59="MW",[2]!MTEST($B28:$B43,F28:F43,2), IF(F59="T-Test Welch",_xlfn.T.TEST($B28:$B43,F28:F43,2,3),""))</f>
        <v>7.7753044694039986E-4</v>
      </c>
      <c r="G60" s="81">
        <f>IF(G59="MW",[2]!MTEST($B28:$B43,G28:G43,2), IF(G59="T-Test Welch",_xlfn.T.TEST($B28:$B43,G28:G43,2,3),""))</f>
        <v>7.7753044694039986E-4</v>
      </c>
      <c r="H60" s="81">
        <f>IF(H59="MW",[2]!MTEST($B28:$B43,H28:H43,2), IF(H59="T-Test Welch",_xlfn.T.TEST($B28:$B43,H28:H43,2,3),""))</f>
        <v>7.7753044694039986E-4</v>
      </c>
      <c r="I60" s="81" t="e">
        <f ca="1">IF(I59="MW",[2]!MTEST($B28:$B43,I28:I43,2), IF(I59="T-Test Welch",_xlfn.T.TEST($B28:$B43,I28:I43,2,3),""))</f>
        <v>#NAME?</v>
      </c>
      <c r="J60" s="81" t="e">
        <f ca="1">IF(J59="MW",[2]!MTEST($B28:$B43,J28:J43,2), IF(J59="T-Test Welch",_xlfn.T.TEST($B28:$B43,J28:J43,2,3),""))</f>
        <v>#NAME?</v>
      </c>
      <c r="K60" s="81" t="e">
        <f ca="1">IF(K59="MW",[2]!MTEST($B28:$B43,K28:K43,2), IF(K59="T-Test Welch",_xlfn.T.TEST($B28:$B43,K28:K43,2,3),""))</f>
        <v>#NAME?</v>
      </c>
      <c r="L60" s="81" t="e">
        <f ca="1">IF(L59="MW",[2]!MTEST($B28:$B43,L28:L43,2), IF(L59="T-Test Welch",_xlfn.T.TEST($B28:$B43,L28:L43,2,3),""))</f>
        <v>#NAME?</v>
      </c>
      <c r="M60" s="81" t="e">
        <f ca="1">IF(M59="MW",[2]!MTEST($B28:$B43,M28:M43,2), IF(M59="T-Test Welch",_xlfn.T.TEST($B28:$B43,M28:M43,2,3),""))</f>
        <v>#NAME?</v>
      </c>
      <c r="N60" s="81"/>
      <c r="O60" s="81">
        <f>IF(O59="MW",[2]!MTEST($B28:$B43,O28:O43,2), IF(O59="T-Test Welch",_xlfn.T.TEST($B28:$B43,O28:O43,2,3),""))</f>
        <v>3.0267777415771135E-4</v>
      </c>
      <c r="P60" s="81">
        <f>IF(P59="MW",[2]!MTEST($O28:$O43,P28:P43,2), IF(P59="T-Test Welch",_xlfn.T.TEST($O28:$O43,P28:P43,2,3),""))</f>
        <v>2.1996470611129748E-3</v>
      </c>
      <c r="Q60" s="81">
        <f>IF(Q59="MW",[2]!MTEST($O28:$O43,Q28:Q43,2), IF(Q59="T-Test Welch",_xlfn.T.TEST($O28:$O43,Q28:Q43,2,3),""))</f>
        <v>1.8736353316595178E-4</v>
      </c>
      <c r="R60" s="81" t="e">
        <f ca="1">IF(R59="MW",[2]!MTEST($O28:$O43,R28:R43,2), IF(R59="T-Test Welch",_xlfn.T.TEST($O28:$O43,R28:R43,2,3),""))</f>
        <v>#NAME?</v>
      </c>
      <c r="S60" s="81" t="e">
        <f ca="1">IF(S59="MW",[2]!MTEST($O28:$O43,S28:S43,2), IF(S59="T-Test Welch",_xlfn.T.TEST($O28:$O43,S28:S43,2,3),""))</f>
        <v>#NAME?</v>
      </c>
      <c r="T60" s="81" t="e">
        <f ca="1">IF(T59="MW",[2]!MTEST($O28:$O43,T28:T43,2), IF(T59="T-Test Welch",_xlfn.T.TEST($O28:$O43,T28:T43,2,3),""))</f>
        <v>#NAME?</v>
      </c>
      <c r="U60" s="81" t="e">
        <f ca="1">IF(U59="MW",[2]!MTEST($O28:$O43,U28:U43,2), IF(U59="T-Test Welch",_xlfn.T.TEST($O28:$O43,U28:U43,2,3),""))</f>
        <v>#NAME?</v>
      </c>
      <c r="V60" s="81" t="e">
        <f ca="1">IF(V59="MW",[2]!MTEST($O28:$O43,V28:V43,2), IF(V59="T-Test Welch",_xlfn.T.TEST($O28:$O43,V28:V43,2,3),""))</f>
        <v>#NAME?</v>
      </c>
    </row>
    <row r="61" spans="1:22" s="3" customFormat="1" ht="15" thickBot="1" x14ac:dyDescent="0.4">
      <c r="A61" s="45" t="s">
        <v>15</v>
      </c>
      <c r="B61" s="77"/>
      <c r="C61" s="77" t="str">
        <f t="shared" ref="C61:O61" si="46">IF(C60&gt;0.05,"NS",IF(C60&gt;0.01,"*",IF(C60&gt;0.001,"**","***")))</f>
        <v>NS</v>
      </c>
      <c r="D61" s="77" t="str">
        <f t="shared" si="46"/>
        <v>NS</v>
      </c>
      <c r="E61" s="77" t="str">
        <f t="shared" si="46"/>
        <v>NS</v>
      </c>
      <c r="F61" s="77" t="str">
        <f t="shared" si="46"/>
        <v>***</v>
      </c>
      <c r="G61" s="77" t="str">
        <f t="shared" si="46"/>
        <v>***</v>
      </c>
      <c r="H61" s="77" t="str">
        <f t="shared" si="46"/>
        <v>***</v>
      </c>
      <c r="I61" s="77" t="e">
        <f t="shared" ca="1" si="46"/>
        <v>#NAME?</v>
      </c>
      <c r="J61" s="77" t="e">
        <f t="shared" ca="1" si="46"/>
        <v>#NAME?</v>
      </c>
      <c r="K61" s="77" t="e">
        <f t="shared" ca="1" si="46"/>
        <v>#NAME?</v>
      </c>
      <c r="L61" s="77" t="e">
        <f t="shared" ca="1" si="46"/>
        <v>#NAME?</v>
      </c>
      <c r="M61" s="77" t="e">
        <f t="shared" ca="1" si="46"/>
        <v>#NAME?</v>
      </c>
      <c r="N61" s="77"/>
      <c r="O61" s="77" t="str">
        <f t="shared" si="46"/>
        <v>***</v>
      </c>
      <c r="P61" s="77" t="str">
        <f>IF(P60&gt;0.05,"NS",IF(P60&gt;0.01,"*",IF(P60&gt;0.001,"**","***")))</f>
        <v>**</v>
      </c>
      <c r="Q61" s="77" t="str">
        <f t="shared" ref="Q61:V61" si="47">IF(Q60&gt;0.05,"NS",IF(Q60&gt;0.01,"*",IF(Q60&gt;0.001,"**","***")))</f>
        <v>***</v>
      </c>
      <c r="R61" s="77" t="e">
        <f t="shared" ca="1" si="47"/>
        <v>#NAME?</v>
      </c>
      <c r="S61" s="77" t="e">
        <f t="shared" ca="1" si="47"/>
        <v>#NAME?</v>
      </c>
      <c r="T61" s="77" t="e">
        <f t="shared" ca="1" si="47"/>
        <v>#NAME?</v>
      </c>
      <c r="U61" s="77" t="e">
        <f t="shared" ca="1" si="47"/>
        <v>#NAME?</v>
      </c>
      <c r="V61" s="77" t="e">
        <f t="shared" ca="1" si="47"/>
        <v>#NAME?</v>
      </c>
    </row>
    <row r="63" spans="1:22" x14ac:dyDescent="0.35">
      <c r="A63" s="2"/>
    </row>
    <row r="66" spans="1:22" ht="15" thickBot="1" x14ac:dyDescent="0.4"/>
    <row r="67" spans="1:22" ht="26.5" thickBot="1" x14ac:dyDescent="0.65">
      <c r="A67" s="138"/>
      <c r="B67" s="139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</row>
    <row r="68" spans="1:22" ht="16.5" x14ac:dyDescent="0.35">
      <c r="A68" s="11"/>
      <c r="B68" s="11"/>
      <c r="C68" s="11"/>
      <c r="D68" s="11"/>
      <c r="E68" s="11"/>
      <c r="F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ht="16.5" x14ac:dyDescent="0.35">
      <c r="A69" s="11"/>
      <c r="B69" s="11"/>
      <c r="C69" s="11"/>
      <c r="D69" s="11"/>
      <c r="E69" s="11"/>
      <c r="F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ht="16.5" x14ac:dyDescent="0.35">
      <c r="A70" s="11"/>
      <c r="B70" s="11"/>
      <c r="C70" s="11"/>
      <c r="D70" s="11"/>
      <c r="E70" s="11"/>
      <c r="F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 ht="16.5" x14ac:dyDescent="0.35">
      <c r="A71" s="11"/>
      <c r="B71" s="11"/>
      <c r="C71" s="11"/>
      <c r="D71" s="11"/>
      <c r="E71" s="11"/>
      <c r="F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ht="16.5" x14ac:dyDescent="0.35">
      <c r="A72" s="11"/>
      <c r="B72" s="11"/>
      <c r="C72" s="11"/>
      <c r="D72" s="11"/>
      <c r="E72" s="11"/>
      <c r="F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 ht="16.5" x14ac:dyDescent="0.35">
      <c r="A73" s="11"/>
      <c r="B73" s="11"/>
      <c r="C73" s="11"/>
      <c r="D73" s="11"/>
      <c r="E73" s="11"/>
      <c r="F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ht="16.5" x14ac:dyDescent="0.35">
      <c r="A74" s="11"/>
      <c r="B74" s="11"/>
      <c r="C74" s="11"/>
      <c r="D74" s="11"/>
      <c r="E74" s="11"/>
      <c r="F74" s="11"/>
      <c r="N74" s="11"/>
      <c r="O74" s="11"/>
      <c r="P74" s="11"/>
      <c r="Q74" s="11"/>
      <c r="R74" s="11"/>
      <c r="S74" s="11"/>
      <c r="T74" s="11"/>
      <c r="U74" s="11"/>
      <c r="V74" s="11"/>
    </row>
  </sheetData>
  <protectedRanges>
    <protectedRange sqref="O51:V51" name="Plage2"/>
    <protectedRange sqref="R5:V20" name="Plage1"/>
    <protectedRange sqref="B51:J51" name="Plage2_1"/>
    <protectedRange sqref="O5:O20 B5:J20" name="Plage1_1"/>
  </protectedRanges>
  <mergeCells count="9">
    <mergeCell ref="A28:A43"/>
    <mergeCell ref="A50:V50"/>
    <mergeCell ref="A67:V67"/>
    <mergeCell ref="A1:V1"/>
    <mergeCell ref="B3:M3"/>
    <mergeCell ref="O3:V3"/>
    <mergeCell ref="A5:A20"/>
    <mergeCell ref="B26:M26"/>
    <mergeCell ref="O26:V26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08"/>
  <sheetViews>
    <sheetView showGridLines="0" tabSelected="1" topLeftCell="F72" zoomScale="70" zoomScaleNormal="70" workbookViewId="0">
      <selection activeCell="B94" sqref="B94:V94"/>
    </sheetView>
  </sheetViews>
  <sheetFormatPr baseColWidth="10" defaultColWidth="11.453125" defaultRowHeight="14.5" x14ac:dyDescent="0.35"/>
  <cols>
    <col min="1" max="1" width="42.81640625" customWidth="1"/>
    <col min="2" max="2" width="14" bestFit="1" customWidth="1"/>
    <col min="3" max="13" width="22.7265625" bestFit="1" customWidth="1"/>
    <col min="14" max="14" width="8.453125" customWidth="1"/>
    <col min="15" max="15" width="22.7265625" customWidth="1"/>
    <col min="18" max="22" width="29.1796875" customWidth="1"/>
  </cols>
  <sheetData>
    <row r="1" spans="1:22" s="1" customFormat="1" ht="21.5" thickBot="1" x14ac:dyDescent="0.4">
      <c r="A1" s="21"/>
      <c r="B1" s="38"/>
      <c r="C1" s="22"/>
      <c r="D1" s="22"/>
      <c r="E1" s="22"/>
      <c r="F1" s="22"/>
      <c r="G1" s="22"/>
      <c r="H1" s="39"/>
      <c r="I1" s="38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</row>
    <row r="2" spans="1:22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22" s="17" customFormat="1" ht="15" thickBot="1" x14ac:dyDescent="0.4">
      <c r="B3" s="144" t="s">
        <v>41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54"/>
      <c r="O3" s="144" t="s">
        <v>42</v>
      </c>
      <c r="P3" s="145"/>
      <c r="Q3" s="145"/>
      <c r="R3" s="145"/>
      <c r="S3" s="145"/>
      <c r="T3" s="145"/>
      <c r="U3" s="145"/>
      <c r="V3" s="145"/>
    </row>
    <row r="4" spans="1:22" x14ac:dyDescent="0.35">
      <c r="A4" s="18"/>
      <c r="B4" s="19" t="str">
        <f>'R1'!B4</f>
        <v>Solvent control</v>
      </c>
      <c r="C4" s="19" t="str">
        <f>'R1'!C4</f>
        <v>EE2-33.8ng/L</v>
      </c>
      <c r="D4" s="19" t="str">
        <f>'R1'!D4</f>
        <v>EE2-50.6ng/L</v>
      </c>
      <c r="E4" s="19" t="str">
        <f>'R1'!E4</f>
        <v>EE2-76ng/L</v>
      </c>
      <c r="F4" s="19" t="str">
        <f>'R1'!F4</f>
        <v>EE2-114ng/L</v>
      </c>
      <c r="G4" s="19" t="str">
        <f>'R1'!G4</f>
        <v>EE2-170.9ng/L</v>
      </c>
      <c r="H4" s="19" t="str">
        <f>'R1'!H4</f>
        <v>EE2-488ng/L</v>
      </c>
      <c r="I4" s="19" t="str">
        <f>'R1'!I4</f>
        <v>Anastrozole-0,032µg/L</v>
      </c>
      <c r="J4" s="19" t="str">
        <f>'R1'!J4</f>
        <v>Anastrozole-0,16µg/L</v>
      </c>
      <c r="K4" s="19" t="str">
        <f>'R1'!K4</f>
        <v>Anastrozole-0,8µg/L</v>
      </c>
      <c r="L4" s="19" t="str">
        <f>'R1'!L4</f>
        <v>Anastrozole-4µg/L</v>
      </c>
      <c r="M4" s="19" t="str">
        <f>'R1'!M4</f>
        <v>Anastrozole-20µg/L</v>
      </c>
      <c r="O4" s="19" t="str">
        <f>'R1'!O4</f>
        <v>Testo -30µg/L</v>
      </c>
      <c r="P4" s="19" t="str">
        <f>'R1'!P4</f>
        <v>Testo 30µg/L + EE2 -64ng/L</v>
      </c>
      <c r="Q4" s="19" t="str">
        <f>'R1'!Q4</f>
        <v>Testo 30µg/L + FAD-10mg/L</v>
      </c>
      <c r="R4" s="19" t="str">
        <f>'R1'!R4</f>
        <v>Anastrozole-0,032µg/L + Testostérone</v>
      </c>
      <c r="S4" s="19" t="str">
        <f>'R1'!S4</f>
        <v>Anastrozole-0,16µg/L + Testostérone</v>
      </c>
      <c r="T4" s="19" t="str">
        <f>'R1'!T4</f>
        <v>Anastrozole-0,8µg/L + Testostérone</v>
      </c>
      <c r="U4" s="19" t="str">
        <f>'R1'!U4</f>
        <v>Anastrozole-4µg/L + Testostérone</v>
      </c>
      <c r="V4" s="19" t="str">
        <f>'R1'!V4</f>
        <v>Anastrozole-20µg/L + Testostérone</v>
      </c>
    </row>
    <row r="5" spans="1:22" s="1" customFormat="1" x14ac:dyDescent="0.35">
      <c r="A5" s="18"/>
      <c r="B5" s="19"/>
      <c r="C5" s="113"/>
      <c r="D5" s="19"/>
      <c r="E5" s="19"/>
      <c r="F5" s="19"/>
      <c r="G5" s="19"/>
      <c r="H5" s="19"/>
      <c r="I5" s="19"/>
      <c r="J5" s="19"/>
      <c r="K5" s="19"/>
      <c r="L5" s="19"/>
      <c r="M5" s="19"/>
      <c r="O5" s="19"/>
      <c r="P5" s="19"/>
      <c r="Q5" s="19"/>
      <c r="R5" s="19"/>
      <c r="S5" s="19"/>
      <c r="T5" s="19"/>
      <c r="U5" s="19"/>
      <c r="V5" s="19"/>
    </row>
    <row r="6" spans="1:22" s="1" customFormat="1" x14ac:dyDescent="0.35">
      <c r="A6" s="53" t="s">
        <v>3</v>
      </c>
      <c r="B6" s="36">
        <f>'R1'!B28</f>
        <v>3.5240487011060924E-2</v>
      </c>
      <c r="C6" s="36">
        <f>'R1'!C28</f>
        <v>3.8153154672656404E-4</v>
      </c>
      <c r="D6" s="36">
        <f>'R1'!D28</f>
        <v>0</v>
      </c>
      <c r="E6" s="36">
        <f>'R1'!E28</f>
        <v>0</v>
      </c>
      <c r="F6" s="36">
        <f>'R1'!F28</f>
        <v>0.28070485626845865</v>
      </c>
      <c r="G6" s="36">
        <f>'R1'!G28</f>
        <v>0.67853059173449126</v>
      </c>
      <c r="H6" s="36">
        <f>'R1'!H28</f>
        <v>1.3142924276456829</v>
      </c>
      <c r="I6" s="36">
        <f>'R1'!I28</f>
        <v>0.20517091566408008</v>
      </c>
      <c r="J6" s="36">
        <f>'R1'!J28</f>
        <v>0.13248915601266964</v>
      </c>
      <c r="K6" s="36">
        <f>'R1'!K28</f>
        <v>0.14876938628091657</v>
      </c>
      <c r="L6" s="36">
        <f>'R1'!L28</f>
        <v>7.8716472042926949E-2</v>
      </c>
      <c r="M6" s="36">
        <f>'R1'!M28</f>
        <v>6.4241537386020356E-2</v>
      </c>
      <c r="N6"/>
      <c r="O6" s="36">
        <f>'R1'!O28</f>
        <v>0.80159312684877049</v>
      </c>
      <c r="P6" s="36">
        <f>'R1'!P28</f>
        <v>0.92126840627991624</v>
      </c>
      <c r="Q6" s="36">
        <f>'R1'!Q28</f>
        <v>0.12617992702045963</v>
      </c>
      <c r="R6" s="36">
        <f>'R1'!R28</f>
        <v>1.2108136276554538</v>
      </c>
      <c r="S6" s="36">
        <f>'R1'!S28</f>
        <v>0.86963136840709421</v>
      </c>
      <c r="T6" s="36">
        <f>'R1'!T28</f>
        <v>0.24063008539094771</v>
      </c>
      <c r="U6" s="36">
        <f>'R1'!U28</f>
        <v>1.8890464386705486E-3</v>
      </c>
      <c r="V6" s="36">
        <f>'R1'!V28</f>
        <v>7.2263005514759338E-2</v>
      </c>
    </row>
    <row r="7" spans="1:22" s="1" customFormat="1" x14ac:dyDescent="0.35">
      <c r="A7" s="146"/>
      <c r="B7" s="36">
        <f>'R1'!B29</f>
        <v>5.4675331775412853E-2</v>
      </c>
      <c r="C7" s="36">
        <f>'R1'!C29</f>
        <v>3.0475995500719444E-3</v>
      </c>
      <c r="D7" s="36">
        <f>'R1'!D29</f>
        <v>0</v>
      </c>
      <c r="E7" s="36">
        <f>'R1'!E29</f>
        <v>6.2115196936580845E-3</v>
      </c>
      <c r="F7" s="36">
        <f>'R1'!F29</f>
        <v>0.46989797520742871</v>
      </c>
      <c r="G7" s="36">
        <f>'R1'!G29</f>
        <v>0.71911252039972406</v>
      </c>
      <c r="H7" s="36">
        <f>'R1'!H29</f>
        <v>1.6540323115344664</v>
      </c>
      <c r="I7" s="36">
        <f>'R1'!I29</f>
        <v>8.3425129668381615E-2</v>
      </c>
      <c r="J7" s="36">
        <f>'R1'!J29</f>
        <v>1.8313514242875074E-2</v>
      </c>
      <c r="K7" s="36">
        <f>'R1'!K29</f>
        <v>2.4027181796292398E-2</v>
      </c>
      <c r="L7" s="36">
        <f>'R1'!L29</f>
        <v>9.218639677187089E-2</v>
      </c>
      <c r="M7" s="36">
        <f>'R1'!M29</f>
        <v>7.3468086863566415E-2</v>
      </c>
      <c r="N7"/>
      <c r="O7" s="36">
        <f>'R1'!O29</f>
        <v>0.59574755174230798</v>
      </c>
      <c r="P7" s="36">
        <f>'R1'!P29</f>
        <v>1.5040811080234455</v>
      </c>
      <c r="Q7" s="36">
        <f>'R1'!Q29</f>
        <v>1.8015733523478732E-2</v>
      </c>
      <c r="R7" s="36">
        <f>'R1'!R29</f>
        <v>1.1820173015250792</v>
      </c>
      <c r="S7" s="36">
        <f>'R1'!S29</f>
        <v>1.0317031777622943</v>
      </c>
      <c r="T7" s="36">
        <f>'R1'!T29</f>
        <v>0.2769872500997449</v>
      </c>
      <c r="U7" s="36">
        <f>'R1'!U29</f>
        <v>9.7653464667038115E-2</v>
      </c>
      <c r="V7" s="36">
        <f>'R1'!V29</f>
        <v>2.3078005753216554E-3</v>
      </c>
    </row>
    <row r="8" spans="1:22" s="1" customFormat="1" x14ac:dyDescent="0.35">
      <c r="A8" s="147"/>
      <c r="B8" s="36">
        <f>'R1'!B30</f>
        <v>7.5375744597199238E-4</v>
      </c>
      <c r="C8" s="36">
        <f>'R1'!C30</f>
        <v>0.10782453736391945</v>
      </c>
      <c r="D8" s="36">
        <f>'R1'!D30</f>
        <v>6.4627721756487493E-3</v>
      </c>
      <c r="E8" s="36">
        <f>'R1'!E30</f>
        <v>1.077593978315515E-2</v>
      </c>
      <c r="F8" s="36">
        <f>'R1'!F30</f>
        <v>0.39481535850588523</v>
      </c>
      <c r="G8" s="36">
        <f>'R1'!G30</f>
        <v>1.4779136273064919</v>
      </c>
      <c r="H8" s="36">
        <f>'R1'!H30</f>
        <v>1.5461147176957355</v>
      </c>
      <c r="I8" s="36">
        <f>'R1'!I30</f>
        <v>9.7104431465651106E-2</v>
      </c>
      <c r="J8" s="36">
        <f>'R1'!J30</f>
        <v>5.7448414724791293E-2</v>
      </c>
      <c r="K8" s="36">
        <f>'R1'!K30</f>
        <v>0.12941829234389485</v>
      </c>
      <c r="L8" s="36">
        <f>'R1'!L30</f>
        <v>4.5430171002904522E-2</v>
      </c>
      <c r="M8" s="36">
        <f>'R1'!M30</f>
        <v>1.5075148919439848E-3</v>
      </c>
      <c r="N8"/>
      <c r="O8" s="36">
        <f>'R1'!O30</f>
        <v>0.93019717503806587</v>
      </c>
      <c r="P8" s="36">
        <f>'R1'!P30</f>
        <v>1.3222022280046482</v>
      </c>
      <c r="Q8" s="36">
        <f>'R1'!Q30</f>
        <v>0.13929158432137984</v>
      </c>
      <c r="R8" s="36">
        <f>'R1'!R30</f>
        <v>0.8549982377430082</v>
      </c>
      <c r="S8" s="36">
        <f>'R1'!S30</f>
        <v>1.0214716183567856</v>
      </c>
      <c r="T8" s="36">
        <f>'R1'!T30</f>
        <v>0.14594977509413243</v>
      </c>
      <c r="U8" s="36">
        <f>'R1'!U30</f>
        <v>9.0497421754044752E-3</v>
      </c>
      <c r="V8" s="36">
        <f>'R1'!V30</f>
        <v>0.10506076006202214</v>
      </c>
    </row>
    <row r="9" spans="1:22" s="1" customFormat="1" x14ac:dyDescent="0.35">
      <c r="A9" s="147"/>
      <c r="B9" s="36">
        <f>'R1'!B31</f>
        <v>2.6986377695293554E-3</v>
      </c>
      <c r="C9" s="36">
        <f>'R1'!C31</f>
        <v>1.6289535915728057E-2</v>
      </c>
      <c r="D9" s="36">
        <f>'R1'!D31</f>
        <v>0</v>
      </c>
      <c r="E9" s="36">
        <f>'R1'!E31</f>
        <v>5.6634170570191919E-2</v>
      </c>
      <c r="F9" s="36">
        <f>'R1'!F31</f>
        <v>0.3171504246283266</v>
      </c>
      <c r="G9" s="36">
        <f>'R1'!G31</f>
        <v>0</v>
      </c>
      <c r="H9" s="36">
        <f>'R1'!H31</f>
        <v>1.246393770799576</v>
      </c>
      <c r="I9" s="36">
        <f>'R1'!I31</f>
        <v>7.8395427204827769E-2</v>
      </c>
      <c r="J9" s="36">
        <f>'R1'!J31</f>
        <v>6.7796294723814196E-2</v>
      </c>
      <c r="K9" s="36">
        <f>'R1'!K31</f>
        <v>4.2605906992379837E-2</v>
      </c>
      <c r="L9" s="36">
        <f>'R1'!L31</f>
        <v>6.782886448999817E-2</v>
      </c>
      <c r="M9" s="36">
        <f>'R1'!M31</f>
        <v>4.4062240823177577E-2</v>
      </c>
      <c r="N9"/>
      <c r="O9" s="36">
        <f>'R1'!O31</f>
        <v>1.3912733964333779</v>
      </c>
      <c r="P9" s="36">
        <f>'R1'!P31</f>
        <v>1.0249100551010653</v>
      </c>
      <c r="Q9" s="36">
        <f>'R1'!Q31</f>
        <v>5.4196090930134361E-2</v>
      </c>
      <c r="R9" s="36">
        <f>'R1'!R31</f>
        <v>1.9423352289712723</v>
      </c>
      <c r="S9" s="36">
        <f>'R1'!S31</f>
        <v>1.316874744821698</v>
      </c>
      <c r="T9" s="36">
        <f>'R1'!T31</f>
        <v>3.7222589924542829E-4</v>
      </c>
      <c r="U9" s="36">
        <f>'R1'!U31</f>
        <v>0</v>
      </c>
      <c r="V9" s="36">
        <f>'R1'!V31</f>
        <v>0</v>
      </c>
    </row>
    <row r="10" spans="1:22" s="1" customFormat="1" x14ac:dyDescent="0.35">
      <c r="A10" s="147"/>
      <c r="B10" s="36">
        <f>'R1'!B32</f>
        <v>0</v>
      </c>
      <c r="C10" s="36">
        <f>'R1'!C32</f>
        <v>6.8196437565503032E-2</v>
      </c>
      <c r="D10" s="36">
        <f>'R1'!D32</f>
        <v>1.5028620682034169E-3</v>
      </c>
      <c r="E10" s="36">
        <f>'R1'!E32</f>
        <v>0</v>
      </c>
      <c r="F10" s="36">
        <f>'R1'!F32</f>
        <v>4.3364317262092396E-2</v>
      </c>
      <c r="G10" s="36">
        <f>'R1'!G32</f>
        <v>0.77359243357803309</v>
      </c>
      <c r="H10" s="36">
        <f>'R1'!H32</f>
        <v>1.0334991677261534</v>
      </c>
      <c r="I10" s="36">
        <f>'R1'!I32</f>
        <v>7.5375744597199238E-4</v>
      </c>
      <c r="J10" s="36">
        <f>'R1'!J32</f>
        <v>9.5876085998141194E-2</v>
      </c>
      <c r="K10" s="36">
        <f>'R1'!K32</f>
        <v>7.6771591719369586E-4</v>
      </c>
      <c r="L10" s="36">
        <f>'R1'!L32</f>
        <v>2.4087668504919779E-2</v>
      </c>
      <c r="M10" s="36">
        <f>'R1'!M32</f>
        <v>3.8618437046713188E-4</v>
      </c>
      <c r="N10"/>
      <c r="O10" s="36">
        <f>'R1'!O32</f>
        <v>1.3640590303747966</v>
      </c>
      <c r="P10" s="36">
        <f>'R1'!P32</f>
        <v>1.0597643577416589</v>
      </c>
      <c r="Q10" s="36">
        <f>'R1'!Q32</f>
        <v>0</v>
      </c>
      <c r="R10" s="36">
        <f>'R1'!R32</f>
        <v>1.238027993714035</v>
      </c>
      <c r="S10" s="36">
        <f>'R1'!S32</f>
        <v>1.2614642668952754</v>
      </c>
      <c r="T10" s="36">
        <f>'R1'!T32</f>
        <v>3.8343920446019683E-2</v>
      </c>
      <c r="U10" s="36">
        <f>'R1'!U32</f>
        <v>0.22018557787489254</v>
      </c>
      <c r="V10" s="36">
        <f>'R1'!V32</f>
        <v>0</v>
      </c>
    </row>
    <row r="11" spans="1:22" s="1" customFormat="1" x14ac:dyDescent="0.35">
      <c r="A11" s="147"/>
      <c r="B11" s="36">
        <f>'R1'!B33</f>
        <v>0</v>
      </c>
      <c r="C11" s="36">
        <f>'R1'!C33</f>
        <v>3.7562246057604283E-2</v>
      </c>
      <c r="D11" s="36">
        <f>'R1'!D33</f>
        <v>0</v>
      </c>
      <c r="E11" s="36">
        <f>'R1'!E33</f>
        <v>4.88639549234436E-2</v>
      </c>
      <c r="F11" s="36">
        <f>'R1'!F33</f>
        <v>9.8825976249661222E-3</v>
      </c>
      <c r="G11" s="36">
        <f>'R1'!G33</f>
        <v>0.88025376500681052</v>
      </c>
      <c r="H11" s="36">
        <f>'R1'!H33</f>
        <v>1.2653121521287249</v>
      </c>
      <c r="I11" s="36">
        <f>'R1'!I33</f>
        <v>2.9229038738247257E-2</v>
      </c>
      <c r="J11" s="36">
        <f>'R1'!J33</f>
        <v>8.4346388769014055E-2</v>
      </c>
      <c r="K11" s="36">
        <f>'R1'!K33</f>
        <v>7.7771948823591674E-2</v>
      </c>
      <c r="L11" s="36">
        <f>'R1'!L33</f>
        <v>3.1378643306389606E-2</v>
      </c>
      <c r="M11" s="36">
        <f>'R1'!M33</f>
        <v>2.7716871022562706E-2</v>
      </c>
      <c r="N11"/>
      <c r="O11" s="36">
        <f>'R1'!O33</f>
        <v>1.2239113264851522</v>
      </c>
      <c r="P11" s="36">
        <f>'R1'!P33</f>
        <v>1.4437665538744644</v>
      </c>
      <c r="Q11" s="36">
        <f>'R1'!Q33</f>
        <v>3.0382939025908086E-3</v>
      </c>
      <c r="R11" s="36">
        <f>'R1'!R33</f>
        <v>1.2425365799186454</v>
      </c>
      <c r="S11" s="36">
        <f>'R1'!S33</f>
        <v>1.3559631170662085</v>
      </c>
      <c r="T11" s="36">
        <f>'R1'!T33</f>
        <v>0.63274680612730361</v>
      </c>
      <c r="U11" s="36">
        <f>'R1'!U33</f>
        <v>7.6492422294935514E-3</v>
      </c>
      <c r="V11" s="36">
        <f>'R1'!V33</f>
        <v>8.9683177599445385E-2</v>
      </c>
    </row>
    <row r="12" spans="1:22" s="1" customFormat="1" x14ac:dyDescent="0.35">
      <c r="A12" s="147"/>
      <c r="B12" s="36">
        <f>'R1'!B34</f>
        <v>0</v>
      </c>
      <c r="C12" s="36">
        <f>'R1'!C34</f>
        <v>0.1192518724707541</v>
      </c>
      <c r="D12" s="36">
        <f>'R1'!D34</f>
        <v>1.0724758722008903E-2</v>
      </c>
      <c r="E12" s="36">
        <f>'R1'!E34</f>
        <v>0</v>
      </c>
      <c r="F12" s="36">
        <f>'R1'!F34</f>
        <v>0.26922634010047775</v>
      </c>
      <c r="G12" s="36">
        <f>'R1'!G34</f>
        <v>0.90040049180346937</v>
      </c>
      <c r="H12" s="36">
        <f>'R1'!H34</f>
        <v>1.2736174425056386</v>
      </c>
      <c r="I12" s="36">
        <f>'R1'!I34</f>
        <v>3.1964899097701154E-3</v>
      </c>
      <c r="J12" s="36">
        <f>'R1'!J34</f>
        <v>5.1041476434029358E-3</v>
      </c>
      <c r="K12" s="36">
        <f>'R1'!K34</f>
        <v>2.768430125637873E-3</v>
      </c>
      <c r="L12" s="36">
        <f>'R1'!L34</f>
        <v>0.13368027889025502</v>
      </c>
      <c r="M12" s="36">
        <f>'R1'!M34</f>
        <v>4.9152429995358807E-2</v>
      </c>
      <c r="N12"/>
      <c r="O12" s="36">
        <f>'R1'!O34</f>
        <v>1.1169103389233133</v>
      </c>
      <c r="P12" s="36">
        <f>'R1'!P34</f>
        <v>1.5993337156403507</v>
      </c>
      <c r="Q12" s="36">
        <f>'R1'!Q34</f>
        <v>5.9565449526749664E-2</v>
      </c>
      <c r="R12" s="36">
        <f>'R1'!R34</f>
        <v>0.74869517374225447</v>
      </c>
      <c r="S12" s="36">
        <f>'R1'!S34</f>
        <v>1.6601740388720159</v>
      </c>
      <c r="T12" s="36">
        <f>'R1'!T34</f>
        <v>0.42249035411478286</v>
      </c>
      <c r="U12" s="36">
        <f>'R1'!U34</f>
        <v>9.1274443318719589E-2</v>
      </c>
      <c r="V12" s="36">
        <f>'R1'!V34</f>
        <v>7.9693565028446198E-2</v>
      </c>
    </row>
    <row r="13" spans="1:22" s="1" customFormat="1" x14ac:dyDescent="0.35">
      <c r="A13" s="147"/>
      <c r="B13" s="36">
        <f>'R1'!B35</f>
        <v>7.020645742142835E-2</v>
      </c>
      <c r="C13" s="36">
        <f>'R1'!C35</f>
        <v>2.588831129251954E-2</v>
      </c>
      <c r="D13" s="36">
        <f>'R1'!D35</f>
        <v>0</v>
      </c>
      <c r="E13" s="36">
        <f>'R1'!E35</f>
        <v>4.1582285769454913E-2</v>
      </c>
      <c r="F13" s="36">
        <f>'R1'!F35</f>
        <v>1.1479818958628254</v>
      </c>
      <c r="G13" s="36">
        <f>'R1'!G35</f>
        <v>0.8924674273258012</v>
      </c>
      <c r="H13" s="36">
        <f>'R1'!H35</f>
        <v>1.5512095596916573</v>
      </c>
      <c r="I13" s="36">
        <f>'R1'!I35</f>
        <v>3.2932686435739267E-2</v>
      </c>
      <c r="J13" s="36">
        <f>'R1'!J35</f>
        <v>5.2995662405067858E-3</v>
      </c>
      <c r="K13" s="36">
        <f>'R1'!K35</f>
        <v>4.7482066272494947E-2</v>
      </c>
      <c r="L13" s="36">
        <f>'R1'!L35</f>
        <v>0.11267277970159115</v>
      </c>
      <c r="M13" s="36">
        <f>'R1'!M35</f>
        <v>5.5917635714144466E-2</v>
      </c>
      <c r="N13"/>
      <c r="O13" s="36">
        <f>'R1'!O35</f>
        <v>0.99602067249587933</v>
      </c>
      <c r="P13" s="36">
        <f>'R1'!P35</f>
        <v>1.6837173269992893</v>
      </c>
      <c r="Q13" s="36">
        <f>'R1'!Q35</f>
        <v>5.9812049184999765E-2</v>
      </c>
      <c r="R13" s="36">
        <f>'R1'!R35</f>
        <v>0.92819180800588119</v>
      </c>
      <c r="S13" s="36">
        <f>'R1'!S35</f>
        <v>0.81610063127186105</v>
      </c>
      <c r="T13" s="36">
        <f>'R1'!T35</f>
        <v>1.3325687192986333E-2</v>
      </c>
      <c r="U13" s="36">
        <f>'R1'!U35</f>
        <v>7.6445894057529835E-3</v>
      </c>
      <c r="V13" s="36">
        <f>'R1'!V35</f>
        <v>9.0930134361917575E-2</v>
      </c>
    </row>
    <row r="14" spans="1:22" s="1" customFormat="1" x14ac:dyDescent="0.35">
      <c r="A14" s="147"/>
      <c r="B14" s="36" t="str">
        <f>'R1'!B36</f>
        <v/>
      </c>
      <c r="C14" s="36" t="str">
        <f>'R1'!C36</f>
        <v/>
      </c>
      <c r="D14" s="36" t="str">
        <f>'R1'!D36</f>
        <v/>
      </c>
      <c r="E14" s="36" t="str">
        <f>'R1'!E36</f>
        <v/>
      </c>
      <c r="F14" s="36" t="str">
        <f>'R1'!F36</f>
        <v/>
      </c>
      <c r="G14" s="36" t="str">
        <f>'R1'!G36</f>
        <v/>
      </c>
      <c r="H14" s="36" t="str">
        <f>'R1'!H36</f>
        <v/>
      </c>
      <c r="I14" s="36" t="str">
        <f>'R1'!I36</f>
        <v/>
      </c>
      <c r="J14" s="36" t="str">
        <f>'R1'!J36</f>
        <v/>
      </c>
      <c r="K14" s="36" t="str">
        <f>'R1'!K36</f>
        <v/>
      </c>
      <c r="L14" s="36" t="str">
        <f>'R1'!L36</f>
        <v/>
      </c>
      <c r="M14" s="36" t="str">
        <f>'R1'!M36</f>
        <v/>
      </c>
      <c r="N14"/>
      <c r="O14" s="36">
        <f>'R1'!O36</f>
        <v>1.1031984673598598</v>
      </c>
      <c r="P14" s="36" t="str">
        <f>'R1'!P36</f>
        <v/>
      </c>
      <c r="Q14" s="36" t="str">
        <f>'R1'!Q36</f>
        <v/>
      </c>
      <c r="R14" s="36" t="str">
        <f>'R1'!R36</f>
        <v/>
      </c>
      <c r="S14" s="36" t="str">
        <f>'R1'!S36</f>
        <v/>
      </c>
      <c r="T14" s="36" t="str">
        <f>'R1'!T36</f>
        <v/>
      </c>
      <c r="U14" s="36" t="str">
        <f>'R1'!U36</f>
        <v/>
      </c>
      <c r="V14" s="36" t="str">
        <f>'R1'!V36</f>
        <v/>
      </c>
    </row>
    <row r="15" spans="1:22" s="1" customFormat="1" x14ac:dyDescent="0.35">
      <c r="A15" s="147"/>
      <c r="B15" s="36" t="str">
        <f>'R1'!B37</f>
        <v/>
      </c>
      <c r="C15" s="36" t="str">
        <f>'R1'!C37</f>
        <v/>
      </c>
      <c r="D15" s="36" t="str">
        <f>'R1'!D37</f>
        <v/>
      </c>
      <c r="E15" s="36" t="str">
        <f>'R1'!E37</f>
        <v/>
      </c>
      <c r="F15" s="36" t="str">
        <f>'R1'!F37</f>
        <v/>
      </c>
      <c r="G15" s="36" t="str">
        <f>'R1'!G37</f>
        <v/>
      </c>
      <c r="H15" s="36" t="str">
        <f>'R1'!H37</f>
        <v/>
      </c>
      <c r="I15" s="36" t="str">
        <f>'R1'!I37</f>
        <v/>
      </c>
      <c r="J15" s="36" t="str">
        <f>'R1'!J37</f>
        <v/>
      </c>
      <c r="K15" s="36" t="str">
        <f>'R1'!K37</f>
        <v/>
      </c>
      <c r="L15" s="36" t="str">
        <f>'R1'!L37</f>
        <v/>
      </c>
      <c r="M15" s="36" t="str">
        <f>'R1'!M37</f>
        <v/>
      </c>
      <c r="N15"/>
      <c r="O15" s="36">
        <f>'R1'!O37</f>
        <v>0.8048733675858708</v>
      </c>
      <c r="P15" s="36" t="str">
        <f>'R1'!P37</f>
        <v/>
      </c>
      <c r="Q15" s="36" t="str">
        <f>'R1'!Q37</f>
        <v/>
      </c>
      <c r="R15" s="36" t="str">
        <f>'R1'!R37</f>
        <v/>
      </c>
      <c r="S15" s="36" t="str">
        <f>'R1'!S37</f>
        <v/>
      </c>
      <c r="T15" s="36" t="str">
        <f>'R1'!T37</f>
        <v/>
      </c>
      <c r="U15" s="36" t="str">
        <f>'R1'!U37</f>
        <v/>
      </c>
      <c r="V15" s="36" t="str">
        <f>'R1'!V37</f>
        <v/>
      </c>
    </row>
    <row r="16" spans="1:22" s="1" customFormat="1" x14ac:dyDescent="0.35">
      <c r="A16" s="147"/>
      <c r="B16" s="36" t="str">
        <f>'R1'!B38</f>
        <v/>
      </c>
      <c r="C16" s="36" t="str">
        <f>'R1'!C38</f>
        <v/>
      </c>
      <c r="D16" s="36" t="str">
        <f>'R1'!D38</f>
        <v/>
      </c>
      <c r="E16" s="36" t="str">
        <f>'R1'!E38</f>
        <v/>
      </c>
      <c r="F16" s="36" t="str">
        <f>'R1'!F38</f>
        <v/>
      </c>
      <c r="G16" s="36" t="str">
        <f>'R1'!G38</f>
        <v/>
      </c>
      <c r="H16" s="36" t="str">
        <f>'R1'!H38</f>
        <v/>
      </c>
      <c r="I16" s="36" t="str">
        <f>'R1'!I38</f>
        <v/>
      </c>
      <c r="J16" s="36" t="str">
        <f>'R1'!J38</f>
        <v/>
      </c>
      <c r="K16" s="36" t="str">
        <f>'R1'!K38</f>
        <v/>
      </c>
      <c r="L16" s="36" t="str">
        <f>'R1'!L38</f>
        <v/>
      </c>
      <c r="M16" s="36" t="str">
        <f>'R1'!M38</f>
        <v/>
      </c>
      <c r="N16"/>
      <c r="O16" s="36">
        <f>'R1'!O38</f>
        <v>0.74298150618883718</v>
      </c>
      <c r="P16" s="36" t="str">
        <f>'R1'!P38</f>
        <v/>
      </c>
      <c r="Q16" s="36" t="str">
        <f>'R1'!Q38</f>
        <v/>
      </c>
      <c r="R16" s="36" t="str">
        <f>'R1'!R38</f>
        <v/>
      </c>
      <c r="S16" s="36" t="str">
        <f>'R1'!S38</f>
        <v/>
      </c>
      <c r="T16" s="36" t="str">
        <f>'R1'!T38</f>
        <v/>
      </c>
      <c r="U16" s="36" t="str">
        <f>'R1'!U38</f>
        <v/>
      </c>
      <c r="V16" s="36" t="str">
        <f>'R1'!V38</f>
        <v/>
      </c>
    </row>
    <row r="17" spans="1:22" s="1" customFormat="1" x14ac:dyDescent="0.35">
      <c r="A17" s="147"/>
      <c r="B17" s="36" t="str">
        <f>'R1'!B39</f>
        <v/>
      </c>
      <c r="C17" s="36" t="str">
        <f>'R1'!C39</f>
        <v/>
      </c>
      <c r="D17" s="36" t="str">
        <f>'R1'!D39</f>
        <v/>
      </c>
      <c r="E17" s="36" t="str">
        <f>'R1'!E39</f>
        <v/>
      </c>
      <c r="F17" s="36" t="str">
        <f>'R1'!F39</f>
        <v/>
      </c>
      <c r="G17" s="36" t="str">
        <f>'R1'!G39</f>
        <v/>
      </c>
      <c r="H17" s="36" t="str">
        <f>'R1'!H39</f>
        <v/>
      </c>
      <c r="I17" s="36" t="str">
        <f>'R1'!I39</f>
        <v/>
      </c>
      <c r="J17" s="36" t="str">
        <f>'R1'!J39</f>
        <v/>
      </c>
      <c r="K17" s="36" t="str">
        <f>'R1'!K39</f>
        <v/>
      </c>
      <c r="L17" s="36" t="str">
        <f>'R1'!L39</f>
        <v/>
      </c>
      <c r="M17" s="36" t="str">
        <f>'R1'!M39</f>
        <v/>
      </c>
      <c r="N17"/>
      <c r="O17" s="36">
        <f>'R1'!O39</f>
        <v>0.7715870665458483</v>
      </c>
      <c r="P17" s="36" t="str">
        <f>'R1'!P39</f>
        <v/>
      </c>
      <c r="Q17" s="36" t="str">
        <f>'R1'!Q39</f>
        <v/>
      </c>
      <c r="R17" s="36" t="str">
        <f>'R1'!R39</f>
        <v/>
      </c>
      <c r="S17" s="36" t="str">
        <f>'R1'!S39</f>
        <v/>
      </c>
      <c r="T17" s="36" t="str">
        <f>'R1'!T39</f>
        <v/>
      </c>
      <c r="U17" s="36" t="str">
        <f>'R1'!U39</f>
        <v/>
      </c>
      <c r="V17" s="36" t="str">
        <f>'R1'!V39</f>
        <v/>
      </c>
    </row>
    <row r="18" spans="1:22" s="1" customFormat="1" x14ac:dyDescent="0.35">
      <c r="A18" s="147"/>
      <c r="B18" s="36" t="str">
        <f>'R1'!B40</f>
        <v/>
      </c>
      <c r="C18" s="36" t="str">
        <f>'R1'!C40</f>
        <v/>
      </c>
      <c r="D18" s="36" t="str">
        <f>'R1'!D40</f>
        <v/>
      </c>
      <c r="E18" s="36" t="str">
        <f>'R1'!E40</f>
        <v/>
      </c>
      <c r="F18" s="36" t="str">
        <f>'R1'!F40</f>
        <v/>
      </c>
      <c r="G18" s="36" t="str">
        <f>'R1'!G40</f>
        <v/>
      </c>
      <c r="H18" s="36" t="str">
        <f>'R1'!H40</f>
        <v/>
      </c>
      <c r="I18" s="36" t="str">
        <f>'R1'!I40</f>
        <v/>
      </c>
      <c r="J18" s="36" t="str">
        <f>'R1'!J40</f>
        <v/>
      </c>
      <c r="K18" s="36" t="str">
        <f>'R1'!K40</f>
        <v/>
      </c>
      <c r="L18" s="36" t="str">
        <f>'R1'!L40</f>
        <v/>
      </c>
      <c r="M18" s="36" t="str">
        <f>'R1'!M40</f>
        <v/>
      </c>
      <c r="N18"/>
      <c r="O18" s="36">
        <f>'R1'!O40</f>
        <v>1.2806711232963395</v>
      </c>
      <c r="P18" s="36" t="str">
        <f>'R1'!P40</f>
        <v/>
      </c>
      <c r="Q18" s="36" t="str">
        <f>'R1'!Q40</f>
        <v/>
      </c>
      <c r="R18" s="36" t="str">
        <f>'R1'!R40</f>
        <v/>
      </c>
      <c r="S18" s="36" t="str">
        <f>'R1'!S40</f>
        <v/>
      </c>
      <c r="T18" s="36" t="str">
        <f>'R1'!T40</f>
        <v/>
      </c>
      <c r="U18" s="36" t="str">
        <f>'R1'!U40</f>
        <v/>
      </c>
      <c r="V18" s="36" t="str">
        <f>'R1'!V40</f>
        <v/>
      </c>
    </row>
    <row r="19" spans="1:22" s="1" customFormat="1" x14ac:dyDescent="0.35">
      <c r="A19" s="147"/>
      <c r="B19" s="36" t="str">
        <f>'R1'!B41</f>
        <v/>
      </c>
      <c r="C19" s="36" t="str">
        <f>'R1'!C41</f>
        <v/>
      </c>
      <c r="D19" s="36" t="str">
        <f>'R1'!D41</f>
        <v/>
      </c>
      <c r="E19" s="36" t="str">
        <f>'R1'!E41</f>
        <v/>
      </c>
      <c r="F19" s="36" t="str">
        <f>'R1'!F41</f>
        <v/>
      </c>
      <c r="G19" s="36" t="str">
        <f>'R1'!G41</f>
        <v/>
      </c>
      <c r="H19" s="36" t="str">
        <f>'R1'!H41</f>
        <v/>
      </c>
      <c r="I19" s="36" t="str">
        <f>'R1'!I41</f>
        <v/>
      </c>
      <c r="J19" s="36" t="str">
        <f>'R1'!J41</f>
        <v/>
      </c>
      <c r="K19" s="36" t="str">
        <f>'R1'!K41</f>
        <v/>
      </c>
      <c r="L19" s="36" t="str">
        <f>'R1'!L41</f>
        <v/>
      </c>
      <c r="M19" s="36" t="str">
        <f>'R1'!M41</f>
        <v/>
      </c>
      <c r="N19"/>
      <c r="O19" s="36">
        <f>'R1'!O41</f>
        <v>0.4522498147594548</v>
      </c>
      <c r="P19" s="36" t="str">
        <f>'R1'!P41</f>
        <v/>
      </c>
      <c r="Q19" s="36" t="str">
        <f>'R1'!Q41</f>
        <v/>
      </c>
      <c r="R19" s="36" t="str">
        <f>'R1'!R41</f>
        <v/>
      </c>
      <c r="S19" s="36" t="str">
        <f>'R1'!S41</f>
        <v/>
      </c>
      <c r="T19" s="36" t="str">
        <f>'R1'!T41</f>
        <v/>
      </c>
      <c r="U19" s="36" t="str">
        <f>'R1'!U41</f>
        <v/>
      </c>
      <c r="V19" s="36" t="str">
        <f>'R1'!V41</f>
        <v/>
      </c>
    </row>
    <row r="20" spans="1:22" s="1" customFormat="1" x14ac:dyDescent="0.35">
      <c r="A20" s="147"/>
      <c r="B20" s="36" t="str">
        <f>'R1'!B42</f>
        <v/>
      </c>
      <c r="C20" s="36" t="str">
        <f>'R1'!C42</f>
        <v/>
      </c>
      <c r="D20" s="36" t="str">
        <f>'R1'!D42</f>
        <v/>
      </c>
      <c r="E20" s="36" t="str">
        <f>'R1'!E42</f>
        <v/>
      </c>
      <c r="F20" s="36" t="str">
        <f>'R1'!F42</f>
        <v/>
      </c>
      <c r="G20" s="36" t="str">
        <f>'R1'!G42</f>
        <v/>
      </c>
      <c r="H20" s="36" t="str">
        <f>'R1'!H42</f>
        <v/>
      </c>
      <c r="I20" s="36" t="str">
        <f>'R1'!I42</f>
        <v/>
      </c>
      <c r="J20" s="36" t="str">
        <f>'R1'!J42</f>
        <v/>
      </c>
      <c r="K20" s="36" t="str">
        <f>'R1'!K42</f>
        <v/>
      </c>
      <c r="L20" s="36" t="str">
        <f>'R1'!L42</f>
        <v/>
      </c>
      <c r="M20" s="36" t="str">
        <f>'R1'!M42</f>
        <v/>
      </c>
      <c r="N20"/>
      <c r="O20" s="36">
        <f>'R1'!O42</f>
        <v>1.1424729525539932</v>
      </c>
      <c r="P20" s="36" t="str">
        <f>'R1'!P42</f>
        <v/>
      </c>
      <c r="Q20" s="36" t="str">
        <f>'R1'!Q42</f>
        <v/>
      </c>
      <c r="R20" s="36" t="str">
        <f>'R1'!R42</f>
        <v/>
      </c>
      <c r="S20" s="36" t="str">
        <f>'R1'!S42</f>
        <v/>
      </c>
      <c r="T20" s="36" t="str">
        <f>'R1'!T42</f>
        <v/>
      </c>
      <c r="U20" s="36" t="str">
        <f>'R1'!U42</f>
        <v/>
      </c>
      <c r="V20" s="36" t="str">
        <f>'R1'!V42</f>
        <v/>
      </c>
    </row>
    <row r="21" spans="1:22" s="1" customFormat="1" x14ac:dyDescent="0.35">
      <c r="A21" s="148"/>
      <c r="B21" s="36" t="str">
        <f>'R1'!B43</f>
        <v/>
      </c>
      <c r="C21" s="36" t="str">
        <f>'R1'!C43</f>
        <v/>
      </c>
      <c r="D21" s="36" t="str">
        <f>'R1'!D43</f>
        <v/>
      </c>
      <c r="E21" s="36" t="str">
        <f>'R1'!E43</f>
        <v/>
      </c>
      <c r="F21" s="36" t="str">
        <f>'R1'!F43</f>
        <v/>
      </c>
      <c r="G21" s="36" t="str">
        <f>'R1'!G43</f>
        <v/>
      </c>
      <c r="H21" s="36" t="str">
        <f>'R1'!H43</f>
        <v/>
      </c>
      <c r="I21" s="36" t="str">
        <f>'R1'!I43</f>
        <v/>
      </c>
      <c r="J21" s="36" t="str">
        <f>'R1'!J43</f>
        <v/>
      </c>
      <c r="K21" s="36" t="str">
        <f>'R1'!K43</f>
        <v/>
      </c>
      <c r="L21" s="36" t="str">
        <f>'R1'!L43</f>
        <v/>
      </c>
      <c r="M21" s="36" t="str">
        <f>'R1'!M43</f>
        <v/>
      </c>
      <c r="N21"/>
      <c r="O21" s="36">
        <f>'R1'!O43</f>
        <v>1.2822530833681325</v>
      </c>
      <c r="P21" s="36" t="str">
        <f>'R1'!P43</f>
        <v/>
      </c>
      <c r="Q21" s="36" t="str">
        <f>'R1'!Q43</f>
        <v/>
      </c>
      <c r="R21" s="36" t="str">
        <f>'R1'!R43</f>
        <v/>
      </c>
      <c r="S21" s="36" t="str">
        <f>'R1'!S43</f>
        <v/>
      </c>
      <c r="T21" s="36" t="str">
        <f>'R1'!T43</f>
        <v/>
      </c>
      <c r="U21" s="36" t="str">
        <f>'R1'!U43</f>
        <v/>
      </c>
      <c r="V21" s="36" t="str">
        <f>'R1'!V43</f>
        <v/>
      </c>
    </row>
    <row r="22" spans="1:22" x14ac:dyDescent="0.35">
      <c r="A22" s="23" t="s">
        <v>4</v>
      </c>
      <c r="B22" s="37">
        <f>'R2'!B28</f>
        <v>0</v>
      </c>
      <c r="C22" s="37">
        <f>'R2'!C28</f>
        <v>0</v>
      </c>
      <c r="D22" s="37">
        <f>'R2'!D28</f>
        <v>0</v>
      </c>
      <c r="E22" s="37">
        <f>'R2'!E28</f>
        <v>0</v>
      </c>
      <c r="F22" s="37">
        <f>'R2'!F28</f>
        <v>1.2090230327815739</v>
      </c>
      <c r="G22" s="37">
        <f>'R2'!G28</f>
        <v>1.2512322790141768</v>
      </c>
      <c r="H22" s="37">
        <f>'R2'!H28</f>
        <v>2.445048923960861</v>
      </c>
      <c r="I22" s="37">
        <f>'R2'!I28</f>
        <v>0</v>
      </c>
      <c r="J22" s="37">
        <f>'R2'!J28</f>
        <v>0</v>
      </c>
      <c r="K22" s="37">
        <f>'R2'!K28</f>
        <v>0</v>
      </c>
      <c r="L22" s="37">
        <f>'R2'!L28</f>
        <v>0</v>
      </c>
      <c r="M22" s="37">
        <f>'R2'!M28</f>
        <v>0</v>
      </c>
      <c r="O22" s="37">
        <f>'R2'!O28</f>
        <v>1.1021175183059853</v>
      </c>
      <c r="P22" s="37">
        <f>'R2'!P28</f>
        <v>0.13554421156463076</v>
      </c>
      <c r="Q22" s="37">
        <f>'R2'!Q28</f>
        <v>0</v>
      </c>
      <c r="R22" s="37">
        <f>'R2'!R28</f>
        <v>2.2371822102542318E-2</v>
      </c>
      <c r="S22" s="37">
        <f>'R2'!S28</f>
        <v>0.87600313919748862</v>
      </c>
      <c r="T22" s="37">
        <f>'R2'!T28</f>
        <v>0</v>
      </c>
      <c r="U22" s="37">
        <f>'R2'!U28</f>
        <v>0</v>
      </c>
      <c r="V22" s="37">
        <f>'R2'!V28</f>
        <v>0</v>
      </c>
    </row>
    <row r="23" spans="1:22" x14ac:dyDescent="0.35">
      <c r="A23" s="146"/>
      <c r="B23" s="37">
        <f>'R2'!B29</f>
        <v>0</v>
      </c>
      <c r="C23" s="37">
        <f>'R2'!C29</f>
        <v>0</v>
      </c>
      <c r="D23" s="37">
        <f>'R2'!D29</f>
        <v>0</v>
      </c>
      <c r="E23" s="37">
        <f>'R2'!E29</f>
        <v>0</v>
      </c>
      <c r="F23" s="37">
        <f>'R2'!F29</f>
        <v>4.8633023493581202</v>
      </c>
      <c r="G23" s="37">
        <f>'R2'!G29</f>
        <v>2.1355528515577187</v>
      </c>
      <c r="H23" s="37">
        <f>'R2'!H29</f>
        <v>4.445956123235101</v>
      </c>
      <c r="I23" s="37">
        <f>'R2'!I29</f>
        <v>0</v>
      </c>
      <c r="J23" s="37">
        <f>'R2'!J29</f>
        <v>0</v>
      </c>
      <c r="K23" s="37">
        <f>'R2'!K29</f>
        <v>0</v>
      </c>
      <c r="L23" s="37">
        <f>'R2'!L29</f>
        <v>0</v>
      </c>
      <c r="M23" s="37">
        <f>'R2'!M29</f>
        <v>0</v>
      </c>
      <c r="O23" s="37">
        <f>'R2'!O29</f>
        <v>0.24270316583746732</v>
      </c>
      <c r="P23" s="37">
        <f>'R2'!P29</f>
        <v>3.5228131817494547E-2</v>
      </c>
      <c r="Q23" s="37">
        <f>'R2'!Q29</f>
        <v>0</v>
      </c>
      <c r="R23" s="37">
        <f>'R2'!R29</f>
        <v>0.63161805470555621</v>
      </c>
      <c r="S23" s="37">
        <f>'R2'!S29</f>
        <v>1.8662385070091945E-3</v>
      </c>
      <c r="T23" s="37">
        <f>'R2'!T29</f>
        <v>0</v>
      </c>
      <c r="U23" s="37">
        <f>'R2'!U29</f>
        <v>0</v>
      </c>
      <c r="V23" s="37">
        <f>'R2'!V29</f>
        <v>0</v>
      </c>
    </row>
    <row r="24" spans="1:22" x14ac:dyDescent="0.35">
      <c r="A24" s="147"/>
      <c r="B24" s="37">
        <f>'R2'!B30</f>
        <v>0</v>
      </c>
      <c r="C24" s="37">
        <f>'R2'!C30</f>
        <v>0</v>
      </c>
      <c r="D24" s="37">
        <f>'R2'!D30</f>
        <v>0</v>
      </c>
      <c r="E24" s="37">
        <f>'R2'!E30</f>
        <v>0</v>
      </c>
      <c r="F24" s="37">
        <f>'R2'!F30</f>
        <v>0</v>
      </c>
      <c r="G24" s="37">
        <f>'R2'!G30</f>
        <v>3.1562470750023399</v>
      </c>
      <c r="H24" s="37">
        <f>'R2'!H30</f>
        <v>3.9800416159667074</v>
      </c>
      <c r="I24" s="37">
        <f>'R2'!I30</f>
        <v>1.2994549604360316E-2</v>
      </c>
      <c r="J24" s="37">
        <f>'R2'!J30</f>
        <v>0</v>
      </c>
      <c r="K24" s="37">
        <f>'R2'!K30</f>
        <v>0</v>
      </c>
      <c r="L24" s="37">
        <f>'R2'!L30</f>
        <v>0</v>
      </c>
      <c r="M24" s="37">
        <f>'R2'!M30</f>
        <v>0</v>
      </c>
      <c r="O24" s="37">
        <f>'R2'!O30</f>
        <v>1.0277905377675698</v>
      </c>
      <c r="P24" s="37">
        <f>'R2'!P30</f>
        <v>2.9112629509896393</v>
      </c>
      <c r="Q24" s="37">
        <f>'R2'!Q30</f>
        <v>0</v>
      </c>
      <c r="R24" s="37">
        <f>'R2'!R30</f>
        <v>0.16600306719754623</v>
      </c>
      <c r="S24" s="37">
        <f>'R2'!S30</f>
        <v>5.2139478288417369E-2</v>
      </c>
      <c r="T24" s="37">
        <f>'R2'!T30</f>
        <v>0</v>
      </c>
      <c r="U24" s="37">
        <f>'R2'!U30</f>
        <v>0</v>
      </c>
      <c r="V24" s="37">
        <f>'R2'!V30</f>
        <v>0</v>
      </c>
    </row>
    <row r="25" spans="1:22" x14ac:dyDescent="0.35">
      <c r="A25" s="147"/>
      <c r="B25" s="37">
        <f>'R2'!B31</f>
        <v>0</v>
      </c>
      <c r="C25" s="37">
        <f>'R2'!C31</f>
        <v>0</v>
      </c>
      <c r="D25" s="37">
        <f>'R2'!D31</f>
        <v>0</v>
      </c>
      <c r="E25" s="37">
        <f>'R2'!E31</f>
        <v>0</v>
      </c>
      <c r="F25" s="37">
        <f>'R2'!F31</f>
        <v>0</v>
      </c>
      <c r="G25" s="37">
        <f>'R2'!G31</f>
        <v>1.6183974252820599</v>
      </c>
      <c r="H25" s="37">
        <f>'R2'!H31</f>
        <v>4.8340415727667416</v>
      </c>
      <c r="I25" s="37">
        <f>'R2'!I31</f>
        <v>0</v>
      </c>
      <c r="J25" s="37">
        <f>'R2'!J31</f>
        <v>0</v>
      </c>
      <c r="K25" s="37">
        <f>'R2'!K31</f>
        <v>0</v>
      </c>
      <c r="L25" s="37">
        <f>'R2'!L31</f>
        <v>0</v>
      </c>
      <c r="M25" s="37">
        <f>'R2'!M31</f>
        <v>0</v>
      </c>
      <c r="O25" s="37">
        <f>'R2'!O31</f>
        <v>1.331411414870868</v>
      </c>
      <c r="P25" s="37">
        <f>'R2'!P31</f>
        <v>2.0776072979141618</v>
      </c>
      <c r="Q25" s="37">
        <f>'R2'!Q31</f>
        <v>0</v>
      </c>
      <c r="R25" s="37">
        <f>'R2'!R31</f>
        <v>2.4099820720143425E-2</v>
      </c>
      <c r="S25" s="37">
        <f>'R2'!S31</f>
        <v>0</v>
      </c>
      <c r="T25" s="37">
        <f>'R2'!T31</f>
        <v>0</v>
      </c>
      <c r="U25" s="37">
        <f>'R2'!U31</f>
        <v>0</v>
      </c>
      <c r="V25" s="37">
        <f>'R2'!V31</f>
        <v>0</v>
      </c>
    </row>
    <row r="26" spans="1:22" x14ac:dyDescent="0.35">
      <c r="A26" s="147"/>
      <c r="B26" s="37">
        <f>'R2'!B32</f>
        <v>0</v>
      </c>
      <c r="C26" s="37">
        <f>'R2'!C32</f>
        <v>1.8662385070091945E-3</v>
      </c>
      <c r="D26" s="37">
        <f>'R2'!D32</f>
        <v>0</v>
      </c>
      <c r="E26" s="37">
        <f>'R2'!E32</f>
        <v>0</v>
      </c>
      <c r="F26" s="37">
        <f>'R2'!F32</f>
        <v>2.4583199533440374</v>
      </c>
      <c r="G26" s="37">
        <f>'R2'!G32</f>
        <v>1.6041817566545946</v>
      </c>
      <c r="H26" s="37">
        <f>'R2'!H32</f>
        <v>3.9686368250905399</v>
      </c>
      <c r="I26" s="37">
        <f>'R2'!I32</f>
        <v>0</v>
      </c>
      <c r="J26" s="37">
        <f>'R2'!J32</f>
        <v>0</v>
      </c>
      <c r="K26" s="37">
        <f>'R2'!K32</f>
        <v>0</v>
      </c>
      <c r="L26" s="37">
        <f>'R2'!L32</f>
        <v>0</v>
      </c>
      <c r="M26" s="37">
        <f>'R2'!M32</f>
        <v>0</v>
      </c>
      <c r="O26" s="37">
        <f>'R2'!O32</f>
        <v>0</v>
      </c>
      <c r="P26" s="37">
        <f>'R2'!P32</f>
        <v>3.5464982828013736</v>
      </c>
      <c r="Q26" s="37">
        <f>'R2'!Q32</f>
        <v>0</v>
      </c>
      <c r="R26" s="37">
        <f>'R2'!R32</f>
        <v>1.3453506037195171</v>
      </c>
      <c r="S26" s="37">
        <f>'R2'!S32</f>
        <v>1.2206351834918532</v>
      </c>
      <c r="T26" s="37">
        <f>'R2'!T32</f>
        <v>0</v>
      </c>
      <c r="U26" s="37">
        <f>'R2'!U32</f>
        <v>0</v>
      </c>
      <c r="V26" s="37">
        <f>'R2'!V32</f>
        <v>0</v>
      </c>
    </row>
    <row r="27" spans="1:22" x14ac:dyDescent="0.35">
      <c r="A27" s="147"/>
      <c r="B27" s="37">
        <f>'R2'!B33</f>
        <v>0</v>
      </c>
      <c r="C27" s="37">
        <f>'R2'!C33</f>
        <v>0</v>
      </c>
      <c r="D27" s="37">
        <f>'R2'!D33</f>
        <v>1.9123184701452238E-3</v>
      </c>
      <c r="E27" s="37">
        <f>'R2'!E33</f>
        <v>1.8892784885772092E-3</v>
      </c>
      <c r="F27" s="37">
        <f>'R2'!F33</f>
        <v>2.8506908394473283</v>
      </c>
      <c r="G27" s="37">
        <f>'R2'!G33</f>
        <v>3.6348566121147101</v>
      </c>
      <c r="H27" s="37">
        <f>'R2'!H33</f>
        <v>5.9891280086975929</v>
      </c>
      <c r="I27" s="37">
        <f>'R2'!I33</f>
        <v>0</v>
      </c>
      <c r="J27" s="37">
        <f>'R2'!J33</f>
        <v>0</v>
      </c>
      <c r="K27" s="37">
        <f>'R2'!K33</f>
        <v>0</v>
      </c>
      <c r="L27" s="37">
        <f>'R2'!L33</f>
        <v>0</v>
      </c>
      <c r="M27" s="37">
        <f>'R2'!M33</f>
        <v>0</v>
      </c>
      <c r="O27" s="37">
        <f>'R2'!O33</f>
        <v>1.3825601739518609</v>
      </c>
      <c r="P27" s="37">
        <f>'R2'!P33</f>
        <v>2.9856360114911906</v>
      </c>
      <c r="Q27" s="37">
        <f>'R2'!Q33</f>
        <v>0</v>
      </c>
      <c r="R27" s="37">
        <f>'R2'!R33</f>
        <v>7.921145663083469E-2</v>
      </c>
      <c r="S27" s="37">
        <f>'R2'!S33</f>
        <v>0</v>
      </c>
      <c r="T27" s="37">
        <f>'R2'!T33</f>
        <v>0</v>
      </c>
      <c r="U27" s="37">
        <f>'R2'!U33</f>
        <v>0</v>
      </c>
      <c r="V27" s="37">
        <f>'R2'!V33</f>
        <v>0</v>
      </c>
    </row>
    <row r="28" spans="1:22" x14ac:dyDescent="0.35">
      <c r="A28" s="147"/>
      <c r="B28" s="37">
        <f>'R2'!B34</f>
        <v>0</v>
      </c>
      <c r="C28" s="37">
        <f>'R2'!C34</f>
        <v>0</v>
      </c>
      <c r="D28" s="37">
        <f>'R2'!D34</f>
        <v>0</v>
      </c>
      <c r="E28" s="37">
        <f>'R2'!E34</f>
        <v>0</v>
      </c>
      <c r="F28" s="37">
        <f>'R2'!F34</f>
        <v>8.8081849534520376E-2</v>
      </c>
      <c r="G28" s="37">
        <f>'R2'!G34</f>
        <v>3.4523799580960337</v>
      </c>
      <c r="H28" s="37">
        <f>'R2'!H34</f>
        <v>2.3870112103910315</v>
      </c>
      <c r="I28" s="37">
        <f>'R2'!I34</f>
        <v>0</v>
      </c>
      <c r="J28" s="37">
        <f>'R2'!J34</f>
        <v>0</v>
      </c>
      <c r="K28" s="37">
        <f>'R2'!K34</f>
        <v>0</v>
      </c>
      <c r="L28" s="37">
        <f>'R2'!L34</f>
        <v>0</v>
      </c>
      <c r="M28" s="37">
        <f>'R2'!M34</f>
        <v>0</v>
      </c>
      <c r="O28" s="37">
        <f>'R2'!O34</f>
        <v>5.7761233791012966E-2</v>
      </c>
      <c r="P28" s="37">
        <f>'R2'!P34</f>
        <v>3.3428478857216914</v>
      </c>
      <c r="Q28" s="37">
        <f>'R2'!Q34</f>
        <v>0</v>
      </c>
      <c r="R28" s="37">
        <f>'R2'!R34</f>
        <v>0.34299620560303551</v>
      </c>
      <c r="S28" s="37">
        <f>'R2'!S34</f>
        <v>5.059579952336038E-2</v>
      </c>
      <c r="T28" s="37">
        <f>'R2'!T34</f>
        <v>0</v>
      </c>
      <c r="U28" s="37">
        <f>'R2'!U34</f>
        <v>3.191037447170042E-2</v>
      </c>
      <c r="V28" s="37">
        <f>'R2'!V34</f>
        <v>0</v>
      </c>
    </row>
    <row r="29" spans="1:22" x14ac:dyDescent="0.35">
      <c r="A29" s="147"/>
      <c r="B29" s="37">
        <f>'R2'!B35</f>
        <v>0</v>
      </c>
      <c r="C29" s="37">
        <f>'R2'!C35</f>
        <v>0</v>
      </c>
      <c r="D29" s="37">
        <f>'R2'!D35</f>
        <v>0</v>
      </c>
      <c r="E29" s="37">
        <f>'R2'!E35</f>
        <v>0</v>
      </c>
      <c r="F29" s="37">
        <f>'R2'!F35</f>
        <v>0</v>
      </c>
      <c r="G29" s="37">
        <f>'R2'!G35</f>
        <v>3.6770888983288814</v>
      </c>
      <c r="H29" s="37">
        <f>'R2'!H35</f>
        <v>4.801762558589953</v>
      </c>
      <c r="I29" s="37">
        <f>'R2'!I35</f>
        <v>0</v>
      </c>
      <c r="J29" s="37">
        <f>'R2'!J35</f>
        <v>0</v>
      </c>
      <c r="K29" s="37">
        <f>'R2'!K35</f>
        <v>0</v>
      </c>
      <c r="L29" s="37">
        <f>'R2'!L35</f>
        <v>0</v>
      </c>
      <c r="M29" s="37">
        <f>'R2'!M35</f>
        <v>0</v>
      </c>
      <c r="O29" s="37">
        <f>'R2'!O35</f>
        <v>0.93857972913621668</v>
      </c>
      <c r="P29" s="37">
        <f>'R2'!P35</f>
        <v>2.0905327275738181</v>
      </c>
      <c r="Q29" s="37">
        <f>'R2'!Q35</f>
        <v>0.11255030995975203</v>
      </c>
      <c r="R29" s="37">
        <f>'R2'!R35</f>
        <v>3.6863970508823592E-3</v>
      </c>
      <c r="S29" s="37">
        <f>'R2'!S35</f>
        <v>8.7989689608248309E-2</v>
      </c>
      <c r="T29" s="37">
        <f>'R2'!T35</f>
        <v>0</v>
      </c>
      <c r="U29" s="37">
        <f>'R2'!U35</f>
        <v>0</v>
      </c>
      <c r="V29" s="37">
        <f>'R2'!V35</f>
        <v>0</v>
      </c>
    </row>
    <row r="30" spans="1:22" x14ac:dyDescent="0.35">
      <c r="A30" s="147"/>
      <c r="B30" s="37" t="str">
        <f>'R2'!B36</f>
        <v/>
      </c>
      <c r="C30" s="37" t="str">
        <f>'R2'!C36</f>
        <v/>
      </c>
      <c r="D30" s="37" t="str">
        <f>'R2'!D36</f>
        <v/>
      </c>
      <c r="E30" s="37" t="str">
        <f>'R2'!E36</f>
        <v/>
      </c>
      <c r="F30" s="37" t="str">
        <f>'R2'!F36</f>
        <v/>
      </c>
      <c r="G30" s="37" t="str">
        <f>'R2'!G36</f>
        <v/>
      </c>
      <c r="H30" s="37" t="str">
        <f>'R2'!H36</f>
        <v/>
      </c>
      <c r="I30" s="37" t="str">
        <f>'R2'!I36</f>
        <v/>
      </c>
      <c r="J30" s="37" t="str">
        <f>'R2'!J36</f>
        <v/>
      </c>
      <c r="K30" s="37" t="str">
        <f>'R2'!K36</f>
        <v/>
      </c>
      <c r="L30" s="37" t="str">
        <f>'R2'!L36</f>
        <v/>
      </c>
      <c r="M30" s="37" t="str">
        <f>'R2'!M36</f>
        <v/>
      </c>
      <c r="O30" s="37">
        <f>'R2'!O36</f>
        <v>7.4188740649007478E-3</v>
      </c>
      <c r="P30" s="37" t="str">
        <f>'R2'!P36</f>
        <v/>
      </c>
      <c r="Q30" s="37" t="str">
        <f>'R2'!Q36</f>
        <v/>
      </c>
      <c r="R30" s="37" t="str">
        <f>'R2'!R36</f>
        <v/>
      </c>
      <c r="S30" s="37" t="str">
        <f>'R2'!S36</f>
        <v/>
      </c>
      <c r="T30" s="37" t="str">
        <f>'R2'!T36</f>
        <v/>
      </c>
      <c r="U30" s="37" t="str">
        <f>'R2'!U36</f>
        <v/>
      </c>
      <c r="V30" s="37" t="str">
        <f>'R2'!V36</f>
        <v/>
      </c>
    </row>
    <row r="31" spans="1:22" s="1" customFormat="1" x14ac:dyDescent="0.35">
      <c r="A31" s="147"/>
      <c r="B31" s="37" t="str">
        <f>'R2'!B37</f>
        <v/>
      </c>
      <c r="C31" s="37" t="str">
        <f>'R2'!C37</f>
        <v/>
      </c>
      <c r="D31" s="37" t="str">
        <f>'R2'!D37</f>
        <v/>
      </c>
      <c r="E31" s="37" t="str">
        <f>'R2'!E37</f>
        <v/>
      </c>
      <c r="F31" s="37" t="str">
        <f>'R2'!F37</f>
        <v/>
      </c>
      <c r="G31" s="37" t="str">
        <f>'R2'!G37</f>
        <v/>
      </c>
      <c r="H31" s="37" t="str">
        <f>'R2'!H37</f>
        <v/>
      </c>
      <c r="I31" s="37" t="str">
        <f>'R2'!I37</f>
        <v/>
      </c>
      <c r="J31" s="37" t="str">
        <f>'R2'!J37</f>
        <v/>
      </c>
      <c r="K31" s="37" t="str">
        <f>'R2'!K37</f>
        <v/>
      </c>
      <c r="L31" s="37" t="str">
        <f>'R2'!L37</f>
        <v/>
      </c>
      <c r="M31" s="37" t="str">
        <f>'R2'!M37</f>
        <v/>
      </c>
      <c r="N31"/>
      <c r="O31" s="37">
        <f>'R2'!O37</f>
        <v>1.0173764660988271</v>
      </c>
      <c r="P31" s="37" t="str">
        <f>'R2'!P37</f>
        <v/>
      </c>
      <c r="Q31" s="37" t="str">
        <f>'R2'!Q37</f>
        <v/>
      </c>
      <c r="R31" s="37" t="str">
        <f>'R2'!R37</f>
        <v/>
      </c>
      <c r="S31" s="37" t="str">
        <f>'R2'!S37</f>
        <v/>
      </c>
      <c r="T31" s="37" t="str">
        <f>'R2'!T37</f>
        <v/>
      </c>
      <c r="U31" s="37" t="str">
        <f>'R2'!U37</f>
        <v/>
      </c>
      <c r="V31" s="37" t="str">
        <f>'R2'!V37</f>
        <v/>
      </c>
    </row>
    <row r="32" spans="1:22" s="1" customFormat="1" x14ac:dyDescent="0.35">
      <c r="A32" s="147"/>
      <c r="B32" s="37" t="str">
        <f>'R2'!B38</f>
        <v/>
      </c>
      <c r="C32" s="37" t="str">
        <f>'R2'!C38</f>
        <v/>
      </c>
      <c r="D32" s="37" t="str">
        <f>'R2'!D38</f>
        <v/>
      </c>
      <c r="E32" s="37" t="str">
        <f>'R2'!E38</f>
        <v/>
      </c>
      <c r="F32" s="37" t="str">
        <f>'R2'!F38</f>
        <v/>
      </c>
      <c r="G32" s="37" t="str">
        <f>'R2'!G38</f>
        <v/>
      </c>
      <c r="H32" s="37" t="str">
        <f>'R2'!H38</f>
        <v/>
      </c>
      <c r="I32" s="37" t="str">
        <f>'R2'!I38</f>
        <v/>
      </c>
      <c r="J32" s="37" t="str">
        <f>'R2'!J38</f>
        <v/>
      </c>
      <c r="K32" s="37" t="str">
        <f>'R2'!K38</f>
        <v/>
      </c>
      <c r="L32" s="37" t="str">
        <f>'R2'!L38</f>
        <v/>
      </c>
      <c r="M32" s="37" t="str">
        <f>'R2'!M38</f>
        <v/>
      </c>
      <c r="N32"/>
      <c r="O32" s="37">
        <f>'R2'!O38</f>
        <v>0.3474659620272304</v>
      </c>
      <c r="P32" s="37" t="str">
        <f>'R2'!P38</f>
        <v/>
      </c>
      <c r="Q32" s="37" t="str">
        <f>'R2'!Q38</f>
        <v/>
      </c>
      <c r="R32" s="37" t="str">
        <f>'R2'!R38</f>
        <v/>
      </c>
      <c r="S32" s="37" t="str">
        <f>'R2'!S38</f>
        <v/>
      </c>
      <c r="T32" s="37" t="str">
        <f>'R2'!T38</f>
        <v/>
      </c>
      <c r="U32" s="37" t="str">
        <f>'R2'!U38</f>
        <v/>
      </c>
      <c r="V32" s="37" t="str">
        <f>'R2'!V38</f>
        <v/>
      </c>
    </row>
    <row r="33" spans="1:22" s="1" customFormat="1" x14ac:dyDescent="0.35">
      <c r="A33" s="147"/>
      <c r="B33" s="37" t="str">
        <f>'R2'!B39</f>
        <v/>
      </c>
      <c r="C33" s="37" t="str">
        <f>'R2'!C39</f>
        <v/>
      </c>
      <c r="D33" s="37" t="str">
        <f>'R2'!D39</f>
        <v/>
      </c>
      <c r="E33" s="37" t="str">
        <f>'R2'!E39</f>
        <v/>
      </c>
      <c r="F33" s="37" t="str">
        <f>'R2'!F39</f>
        <v/>
      </c>
      <c r="G33" s="37" t="str">
        <f>'R2'!G39</f>
        <v/>
      </c>
      <c r="H33" s="37" t="str">
        <f>'R2'!H39</f>
        <v/>
      </c>
      <c r="I33" s="37" t="str">
        <f>'R2'!I39</f>
        <v/>
      </c>
      <c r="J33" s="37" t="str">
        <f>'R2'!J39</f>
        <v/>
      </c>
      <c r="K33" s="37" t="str">
        <f>'R2'!K39</f>
        <v/>
      </c>
      <c r="L33" s="37" t="str">
        <f>'R2'!L39</f>
        <v/>
      </c>
      <c r="M33" s="37" t="str">
        <f>'R2'!M39</f>
        <v/>
      </c>
      <c r="N33"/>
      <c r="O33" s="37">
        <f>'R2'!O39</f>
        <v>2.1798817760945792</v>
      </c>
      <c r="P33" s="37" t="str">
        <f>'R2'!P39</f>
        <v/>
      </c>
      <c r="Q33" s="37" t="str">
        <f>'R2'!Q39</f>
        <v/>
      </c>
      <c r="R33" s="37" t="str">
        <f>'R2'!R39</f>
        <v/>
      </c>
      <c r="S33" s="37" t="str">
        <f>'R2'!S39</f>
        <v/>
      </c>
      <c r="T33" s="37" t="str">
        <f>'R2'!T39</f>
        <v/>
      </c>
      <c r="U33" s="37" t="str">
        <f>'R2'!U39</f>
        <v/>
      </c>
      <c r="V33" s="37" t="str">
        <f>'R2'!V39</f>
        <v/>
      </c>
    </row>
    <row r="34" spans="1:22" s="1" customFormat="1" x14ac:dyDescent="0.35">
      <c r="A34" s="147"/>
      <c r="B34" s="37" t="str">
        <f>'R2'!B40</f>
        <v/>
      </c>
      <c r="C34" s="37" t="str">
        <f>'R2'!C40</f>
        <v/>
      </c>
      <c r="D34" s="37" t="str">
        <f>'R2'!D40</f>
        <v/>
      </c>
      <c r="E34" s="37" t="str">
        <f>'R2'!E40</f>
        <v/>
      </c>
      <c r="F34" s="37" t="str">
        <f>'R2'!F40</f>
        <v/>
      </c>
      <c r="G34" s="37" t="str">
        <f>'R2'!G40</f>
        <v/>
      </c>
      <c r="H34" s="37" t="str">
        <f>'R2'!H40</f>
        <v/>
      </c>
      <c r="I34" s="37" t="str">
        <f>'R2'!I40</f>
        <v/>
      </c>
      <c r="J34" s="37" t="str">
        <f>'R2'!J40</f>
        <v/>
      </c>
      <c r="K34" s="37" t="str">
        <f>'R2'!K40</f>
        <v/>
      </c>
      <c r="L34" s="37" t="str">
        <f>'R2'!L40</f>
        <v/>
      </c>
      <c r="M34" s="37" t="str">
        <f>'R2'!M40</f>
        <v/>
      </c>
      <c r="N34"/>
      <c r="O34" s="37">
        <f>'R2'!O40</f>
        <v>2.3157946273642982</v>
      </c>
      <c r="P34" s="37" t="str">
        <f>'R2'!P40</f>
        <v/>
      </c>
      <c r="Q34" s="37" t="str">
        <f>'R2'!Q40</f>
        <v/>
      </c>
      <c r="R34" s="37" t="str">
        <f>'R2'!R40</f>
        <v/>
      </c>
      <c r="S34" s="37" t="str">
        <f>'R2'!S40</f>
        <v/>
      </c>
      <c r="T34" s="37" t="str">
        <f>'R2'!T40</f>
        <v/>
      </c>
      <c r="U34" s="37" t="str">
        <f>'R2'!U40</f>
        <v/>
      </c>
      <c r="V34" s="37" t="str">
        <f>'R2'!V40</f>
        <v/>
      </c>
    </row>
    <row r="35" spans="1:22" s="1" customFormat="1" x14ac:dyDescent="0.35">
      <c r="A35" s="147"/>
      <c r="B35" s="37" t="str">
        <f>'R2'!B41</f>
        <v/>
      </c>
      <c r="C35" s="37" t="str">
        <f>'R2'!C41</f>
        <v/>
      </c>
      <c r="D35" s="37" t="str">
        <f>'R2'!D41</f>
        <v/>
      </c>
      <c r="E35" s="37" t="str">
        <f>'R2'!E41</f>
        <v/>
      </c>
      <c r="F35" s="37" t="str">
        <f>'R2'!F41</f>
        <v/>
      </c>
      <c r="G35" s="37" t="str">
        <f>'R2'!G41</f>
        <v/>
      </c>
      <c r="H35" s="37" t="str">
        <f>'R2'!H41</f>
        <v/>
      </c>
      <c r="I35" s="37" t="str">
        <f>'R2'!I41</f>
        <v/>
      </c>
      <c r="J35" s="37" t="str">
        <f>'R2'!J41</f>
        <v/>
      </c>
      <c r="K35" s="37" t="str">
        <f>'R2'!K41</f>
        <v/>
      </c>
      <c r="L35" s="37" t="str">
        <f>'R2'!L41</f>
        <v/>
      </c>
      <c r="M35" s="37" t="str">
        <f>'R2'!M41</f>
        <v/>
      </c>
      <c r="N35"/>
      <c r="O35" s="37">
        <f>'R2'!O41</f>
        <v>9.3311925350459714E-3</v>
      </c>
      <c r="P35" s="37" t="str">
        <f>'R2'!P41</f>
        <v/>
      </c>
      <c r="Q35" s="37" t="str">
        <f>'R2'!Q41</f>
        <v/>
      </c>
      <c r="R35" s="37" t="str">
        <f>'R2'!R41</f>
        <v/>
      </c>
      <c r="S35" s="37" t="str">
        <f>'R2'!S41</f>
        <v/>
      </c>
      <c r="T35" s="37" t="str">
        <f>'R2'!T41</f>
        <v/>
      </c>
      <c r="U35" s="37" t="str">
        <f>'R2'!U41</f>
        <v/>
      </c>
      <c r="V35" s="37" t="str">
        <f>'R2'!V41</f>
        <v/>
      </c>
    </row>
    <row r="36" spans="1:22" x14ac:dyDescent="0.35">
      <c r="A36" s="147"/>
      <c r="B36" s="37" t="str">
        <f>'R2'!B42</f>
        <v/>
      </c>
      <c r="C36" s="37" t="str">
        <f>'R2'!C42</f>
        <v/>
      </c>
      <c r="D36" s="37" t="str">
        <f>'R2'!D42</f>
        <v/>
      </c>
      <c r="E36" s="37" t="str">
        <f>'R2'!E42</f>
        <v/>
      </c>
      <c r="F36" s="37" t="str">
        <f>'R2'!F42</f>
        <v/>
      </c>
      <c r="G36" s="37" t="str">
        <f>'R2'!G42</f>
        <v/>
      </c>
      <c r="H36" s="37" t="str">
        <f>'R2'!H42</f>
        <v/>
      </c>
      <c r="I36" s="37" t="str">
        <f>'R2'!I42</f>
        <v/>
      </c>
      <c r="J36" s="37" t="str">
        <f>'R2'!J42</f>
        <v/>
      </c>
      <c r="K36" s="37" t="str">
        <f>'R2'!K42</f>
        <v/>
      </c>
      <c r="L36" s="37" t="str">
        <f>'R2'!L42</f>
        <v/>
      </c>
      <c r="M36" s="37" t="str">
        <f>'R2'!M42</f>
        <v/>
      </c>
      <c r="O36" s="37">
        <f>'R2'!O42</f>
        <v>1.7959896032083174</v>
      </c>
      <c r="P36" s="37" t="str">
        <f>'R2'!P42</f>
        <v/>
      </c>
      <c r="Q36" s="37" t="str">
        <f>'R2'!Q42</f>
        <v/>
      </c>
      <c r="R36" s="37" t="str">
        <f>'R2'!R42</f>
        <v/>
      </c>
      <c r="S36" s="37" t="str">
        <f>'R2'!S42</f>
        <v/>
      </c>
      <c r="T36" s="37" t="str">
        <f>'R2'!T42</f>
        <v/>
      </c>
      <c r="U36" s="37" t="str">
        <f>'R2'!U42</f>
        <v/>
      </c>
      <c r="V36" s="37" t="str">
        <f>'R2'!V42</f>
        <v/>
      </c>
    </row>
    <row r="37" spans="1:22" x14ac:dyDescent="0.35">
      <c r="A37" s="148"/>
      <c r="B37" s="37" t="str">
        <f>'R2'!B43</f>
        <v/>
      </c>
      <c r="C37" s="37" t="str">
        <f>'R2'!C43</f>
        <v/>
      </c>
      <c r="D37" s="37" t="str">
        <f>'R2'!D43</f>
        <v/>
      </c>
      <c r="E37" s="37" t="str">
        <f>'R2'!E43</f>
        <v/>
      </c>
      <c r="F37" s="37" t="str">
        <f>'R2'!F43</f>
        <v/>
      </c>
      <c r="G37" s="37" t="str">
        <f>'R2'!G43</f>
        <v/>
      </c>
      <c r="H37" s="37" t="str">
        <f>'R2'!H43</f>
        <v/>
      </c>
      <c r="I37" s="37" t="str">
        <f>'R2'!I43</f>
        <v/>
      </c>
      <c r="J37" s="37" t="str">
        <f>'R2'!J43</f>
        <v/>
      </c>
      <c r="K37" s="37" t="str">
        <f>'R2'!K43</f>
        <v/>
      </c>
      <c r="L37" s="37" t="str">
        <f>'R2'!L43</f>
        <v/>
      </c>
      <c r="M37" s="37" t="str">
        <f>'R2'!M43</f>
        <v/>
      </c>
      <c r="O37" s="37">
        <f>'R2'!O43</f>
        <v>2.2438177249458202</v>
      </c>
      <c r="P37" s="37" t="str">
        <f>'R2'!P43</f>
        <v/>
      </c>
      <c r="Q37" s="37" t="str">
        <f>'R2'!Q43</f>
        <v/>
      </c>
      <c r="R37" s="37" t="str">
        <f>'R2'!R43</f>
        <v/>
      </c>
      <c r="S37" s="37" t="str">
        <f>'R2'!S43</f>
        <v/>
      </c>
      <c r="T37" s="37" t="str">
        <f>'R2'!T43</f>
        <v/>
      </c>
      <c r="U37" s="37" t="str">
        <f>'R2'!U43</f>
        <v/>
      </c>
      <c r="V37" s="37" t="str">
        <f>'R2'!V43</f>
        <v/>
      </c>
    </row>
    <row r="38" spans="1:22" s="1" customFormat="1" x14ac:dyDescent="0.35">
      <c r="A38" s="83" t="s">
        <v>16</v>
      </c>
      <c r="B38" s="84">
        <f>'R3'!B28</f>
        <v>0</v>
      </c>
      <c r="C38" s="84">
        <f>'R3'!C28</f>
        <v>7.1328076779579792E-4</v>
      </c>
      <c r="D38" s="84">
        <f>'R3'!D28</f>
        <v>4.0410752070716691E-2</v>
      </c>
      <c r="E38" s="84">
        <f>'R3'!E28</f>
        <v>0</v>
      </c>
      <c r="F38" s="84">
        <f>'R3'!F28</f>
        <v>0.48516678510453226</v>
      </c>
      <c r="G38" s="84">
        <f>'R3'!G28</f>
        <v>1.9525636446524375</v>
      </c>
      <c r="H38" s="84">
        <f>'R3'!H28</f>
        <v>3.263454815733148</v>
      </c>
      <c r="I38" s="84">
        <f>'R3'!I28</f>
        <v>0</v>
      </c>
      <c r="J38" s="84">
        <f>'R3'!J28</f>
        <v>7.3782102278305811E-2</v>
      </c>
      <c r="K38" s="84">
        <f>'R3'!K28</f>
        <v>0</v>
      </c>
      <c r="L38" s="84">
        <f>'R3'!L28</f>
        <v>0</v>
      </c>
      <c r="M38" s="84">
        <f>'R3'!M28</f>
        <v>0</v>
      </c>
      <c r="N38"/>
      <c r="O38" s="84">
        <f>'R3'!O28</f>
        <v>1.2362853993443548</v>
      </c>
      <c r="P38" s="84">
        <f>'R3'!P28</f>
        <v>1.8810317733677733</v>
      </c>
      <c r="Q38" s="84">
        <f>'R3'!Q28</f>
        <v>0</v>
      </c>
      <c r="R38" s="84">
        <f>'R3'!R28</f>
        <v>6.79315016948379E-4</v>
      </c>
      <c r="S38" s="84">
        <f>'R3'!S28</f>
        <v>0.97704180600142976</v>
      </c>
      <c r="T38" s="84">
        <f>'R3'!T28</f>
        <v>0.40375937176098087</v>
      </c>
      <c r="U38" s="84">
        <f>'R3'!U28</f>
        <v>1.4350529733034505E-3</v>
      </c>
      <c r="V38" s="84">
        <f>'R3'!V28</f>
        <v>0</v>
      </c>
    </row>
    <row r="39" spans="1:22" s="1" customFormat="1" x14ac:dyDescent="0.35">
      <c r="A39" s="146"/>
      <c r="B39" s="84">
        <f>'R3'!B29</f>
        <v>4.5828289330880012E-2</v>
      </c>
      <c r="C39" s="84">
        <f>'R3'!C29</f>
        <v>4.177787354232531E-3</v>
      </c>
      <c r="D39" s="84">
        <f>'R3'!D29</f>
        <v>0</v>
      </c>
      <c r="E39" s="84">
        <f>'R3'!E29</f>
        <v>0</v>
      </c>
      <c r="F39" s="84">
        <f>'R3'!F29</f>
        <v>0.53875624850404746</v>
      </c>
      <c r="G39" s="84">
        <f>'R3'!G29</f>
        <v>1.637633202795169</v>
      </c>
      <c r="H39" s="84">
        <f>'R3'!H29</f>
        <v>0.61164674982260858</v>
      </c>
      <c r="I39" s="84">
        <f>'R3'!I29</f>
        <v>0</v>
      </c>
      <c r="J39" s="84">
        <f>'R3'!J29</f>
        <v>0</v>
      </c>
      <c r="K39" s="84">
        <f>'R3'!K29</f>
        <v>1.4350529733034505E-3</v>
      </c>
      <c r="L39" s="84">
        <f>'R3'!L29</f>
        <v>0</v>
      </c>
      <c r="M39" s="84">
        <f>'R3'!M29</f>
        <v>6.869573108890482E-3</v>
      </c>
      <c r="N39"/>
      <c r="O39" s="84">
        <f>'R3'!O29</f>
        <v>0.76726083733005845</v>
      </c>
      <c r="P39" s="84">
        <f>'R3'!P29</f>
        <v>1.9123736699622291</v>
      </c>
      <c r="Q39" s="84">
        <f>'R3'!Q29</f>
        <v>0</v>
      </c>
      <c r="R39" s="84">
        <f>'R3'!R29</f>
        <v>1.5649719702948279</v>
      </c>
      <c r="S39" s="84">
        <f>'R3'!S29</f>
        <v>2.0481347760993626E-2</v>
      </c>
      <c r="T39" s="84">
        <f>'R3'!T29</f>
        <v>4.9589996237231662E-2</v>
      </c>
      <c r="U39" s="84">
        <f>'R3'!U29</f>
        <v>0</v>
      </c>
      <c r="V39" s="84">
        <f>'R3'!V29</f>
        <v>0</v>
      </c>
    </row>
    <row r="40" spans="1:22" s="1" customFormat="1" x14ac:dyDescent="0.35">
      <c r="A40" s="147"/>
      <c r="B40" s="84">
        <f>'R3'!B30</f>
        <v>0</v>
      </c>
      <c r="C40" s="84">
        <f>'R3'!C30</f>
        <v>1.53270450698978E-2</v>
      </c>
      <c r="D40" s="84">
        <f>'R3'!D30</f>
        <v>4.5632986263507355E-2</v>
      </c>
      <c r="E40" s="84">
        <f>'R3'!E30</f>
        <v>0</v>
      </c>
      <c r="F40" s="84">
        <f>'R3'!F30</f>
        <v>1.5925606514206441</v>
      </c>
      <c r="G40" s="84">
        <f>'R3'!G30</f>
        <v>2.3180351237706653</v>
      </c>
      <c r="H40" s="84">
        <f>'R3'!H30</f>
        <v>1.7048514237222112</v>
      </c>
      <c r="I40" s="84">
        <f>'R3'!I30</f>
        <v>0</v>
      </c>
      <c r="J40" s="84">
        <f>'R3'!J30</f>
        <v>2.1143679902518296E-3</v>
      </c>
      <c r="K40" s="84">
        <f>'R3'!K30</f>
        <v>3.4390322733011684E-3</v>
      </c>
      <c r="L40" s="84">
        <f>'R3'!L30</f>
        <v>8.374255871431141E-2</v>
      </c>
      <c r="M40" s="84">
        <f>'R3'!M30</f>
        <v>4.1081575649953218E-2</v>
      </c>
      <c r="N40"/>
      <c r="O40" s="84">
        <f>'R3'!O30</f>
        <v>0.99494175669801954</v>
      </c>
      <c r="P40" s="84">
        <f>'R3'!P30</f>
        <v>1.8901600689080171</v>
      </c>
      <c r="Q40" s="84">
        <f>'R3'!Q30</f>
        <v>0</v>
      </c>
      <c r="R40" s="84">
        <f>'R3'!R30</f>
        <v>1.9731638725413971</v>
      </c>
      <c r="S40" s="84">
        <f>'R3'!S30</f>
        <v>1.1593954308635102</v>
      </c>
      <c r="T40" s="84">
        <f>'R3'!T30</f>
        <v>0.2133388810726384</v>
      </c>
      <c r="U40" s="84">
        <f>'R3'!U30</f>
        <v>0</v>
      </c>
      <c r="V40" s="84">
        <f>'R3'!V30</f>
        <v>0</v>
      </c>
    </row>
    <row r="41" spans="1:22" s="1" customFormat="1" x14ac:dyDescent="0.35">
      <c r="A41" s="147"/>
      <c r="B41" s="84">
        <f>'R3'!B31</f>
        <v>8.405674190965004E-2</v>
      </c>
      <c r="C41" s="84">
        <f>'R3'!C31</f>
        <v>6.5341613192722206E-2</v>
      </c>
      <c r="D41" s="84">
        <f>'R3'!D31</f>
        <v>0</v>
      </c>
      <c r="E41" s="84">
        <f>'R3'!E31</f>
        <v>0.12414481934731625</v>
      </c>
      <c r="F41" s="84">
        <f>'R3'!F31</f>
        <v>1.5675618587969438</v>
      </c>
      <c r="G41" s="84">
        <f>'R3'!G31</f>
        <v>2.576556944908083</v>
      </c>
      <c r="H41" s="84">
        <f>'R3'!H31</f>
        <v>1.5974432281049606</v>
      </c>
      <c r="I41" s="84">
        <f>'R3'!I31</f>
        <v>1.9555781050401459E-2</v>
      </c>
      <c r="J41" s="84">
        <f>'R3'!J31</f>
        <v>0</v>
      </c>
      <c r="K41" s="84">
        <f>'R3'!K31</f>
        <v>1.7967882198284622E-2</v>
      </c>
      <c r="L41" s="84">
        <f>'R3'!L31</f>
        <v>0</v>
      </c>
      <c r="M41" s="84">
        <f>'R3'!M31</f>
        <v>0</v>
      </c>
      <c r="N41"/>
      <c r="O41" s="84">
        <f>'R3'!O31</f>
        <v>1.5064574730224369</v>
      </c>
      <c r="P41" s="84">
        <f>'R3'!P31</f>
        <v>2.7755283133722632</v>
      </c>
      <c r="Q41" s="84">
        <f>'R3'!Q31</f>
        <v>0</v>
      </c>
      <c r="R41" s="84">
        <f>'R3'!R31</f>
        <v>0.39664354695844661</v>
      </c>
      <c r="S41" s="84">
        <f>'R3'!S31</f>
        <v>0.63822494986071387</v>
      </c>
      <c r="T41" s="84">
        <f>'R3'!T31</f>
        <v>0.11454100329520854</v>
      </c>
      <c r="U41" s="84">
        <f>'R3'!U31</f>
        <v>0</v>
      </c>
      <c r="V41" s="84">
        <f>'R3'!V31</f>
        <v>8.2231082801601268E-2</v>
      </c>
    </row>
    <row r="42" spans="1:22" s="1" customFormat="1" x14ac:dyDescent="0.35">
      <c r="A42" s="147"/>
      <c r="B42" s="84">
        <f>'R3'!B32</f>
        <v>1.3671214716086126E-3</v>
      </c>
      <c r="C42" s="84">
        <f>'R3'!C32</f>
        <v>0</v>
      </c>
      <c r="D42" s="84">
        <f>'R3'!D32</f>
        <v>9.534186262870499E-2</v>
      </c>
      <c r="E42" s="84">
        <f>'R3'!E32</f>
        <v>0.1011924632121729</v>
      </c>
      <c r="F42" s="84">
        <f>'R3'!F32</f>
        <v>1.4488940167737738</v>
      </c>
      <c r="G42" s="84">
        <f>'R3'!G32</f>
        <v>1.5796621575363368</v>
      </c>
      <c r="H42" s="84">
        <f>'R3'!H32</f>
        <v>3.2892093463132035</v>
      </c>
      <c r="I42" s="84">
        <f>'R3'!I32</f>
        <v>0</v>
      </c>
      <c r="J42" s="84">
        <f>'R3'!J32</f>
        <v>3.6564130787246497E-2</v>
      </c>
      <c r="K42" s="84">
        <f>'R3'!K32</f>
        <v>0</v>
      </c>
      <c r="L42" s="84">
        <f>'R3'!L32</f>
        <v>8.9414839105830379E-3</v>
      </c>
      <c r="M42" s="84">
        <f>'R3'!M32</f>
        <v>8.3114192323634165E-2</v>
      </c>
      <c r="N42"/>
      <c r="O42" s="84">
        <f>'R3'!O32</f>
        <v>1.1728373767613762</v>
      </c>
      <c r="P42" s="84">
        <f>'R3'!P32</f>
        <v>0.58808301017221165</v>
      </c>
      <c r="Q42" s="84">
        <f>'R3'!Q32</f>
        <v>8.9992256870236501E-2</v>
      </c>
      <c r="R42" s="84">
        <f>'R3'!R32</f>
        <v>0.55742892003241606</v>
      </c>
      <c r="S42" s="84">
        <f>'R3'!S32</f>
        <v>1.5669589667194019</v>
      </c>
      <c r="T42" s="84">
        <f>'R3'!T32</f>
        <v>6.79315016948379E-4</v>
      </c>
      <c r="U42" s="84">
        <f>'R3'!U32</f>
        <v>3.0739004516914147E-2</v>
      </c>
      <c r="V42" s="84">
        <f>'R3'!V32</f>
        <v>1.3671214716086126E-3</v>
      </c>
    </row>
    <row r="43" spans="1:22" s="1" customFormat="1" x14ac:dyDescent="0.35">
      <c r="A43" s="147"/>
      <c r="B43" s="84">
        <f>'R3'!B33</f>
        <v>0</v>
      </c>
      <c r="C43" s="84">
        <f>'R3'!C33</f>
        <v>9.1945287543963097E-2</v>
      </c>
      <c r="D43" s="84">
        <f>'R3'!D33</f>
        <v>9.2726499813453721E-3</v>
      </c>
      <c r="E43" s="84">
        <f>'R3'!E33</f>
        <v>9.3830386715994842E-3</v>
      </c>
      <c r="F43" s="84">
        <f>'R3'!F33</f>
        <v>1.6747747513468216</v>
      </c>
      <c r="G43" s="84">
        <f>'R3'!G33</f>
        <v>1.0437929978543199</v>
      </c>
      <c r="H43" s="84">
        <f>'R3'!H33</f>
        <v>2.8155994079345055</v>
      </c>
      <c r="I43" s="84">
        <f>'R3'!I33</f>
        <v>0.13688197591509835</v>
      </c>
      <c r="J43" s="84">
        <f>'R3'!J33</f>
        <v>0</v>
      </c>
      <c r="K43" s="84">
        <f>'R3'!K33</f>
        <v>0</v>
      </c>
      <c r="L43" s="84">
        <f>'R3'!L33</f>
        <v>4.7110496425370081E-2</v>
      </c>
      <c r="M43" s="84">
        <f>'R3'!M33</f>
        <v>7.9607228548638165E-2</v>
      </c>
      <c r="N43"/>
      <c r="O43" s="84">
        <f>'R3'!O33</f>
        <v>1.8805307785427738</v>
      </c>
      <c r="P43" s="84">
        <f>'R3'!P33</f>
        <v>1.9002394054719887</v>
      </c>
      <c r="Q43" s="84">
        <f>'R3'!Q33</f>
        <v>0</v>
      </c>
      <c r="R43" s="84">
        <f>'R3'!R33</f>
        <v>1.5897754598511558</v>
      </c>
      <c r="S43" s="84">
        <f>'R3'!S33</f>
        <v>1.0441156724873704</v>
      </c>
      <c r="T43" s="84">
        <f>'R3'!T33</f>
        <v>0.19301037919045816</v>
      </c>
      <c r="U43" s="84">
        <f>'R3'!U33</f>
        <v>0.24282964424590991</v>
      </c>
      <c r="V43" s="84">
        <f>'R3'!V33</f>
        <v>1.3781603406340237E-2</v>
      </c>
    </row>
    <row r="44" spans="1:22" s="1" customFormat="1" x14ac:dyDescent="0.35">
      <c r="A44" s="147"/>
      <c r="B44" s="84">
        <f>'R3'!B34</f>
        <v>7.0903504893987057E-2</v>
      </c>
      <c r="C44" s="84">
        <f>'R3'!C34</f>
        <v>0</v>
      </c>
      <c r="D44" s="84">
        <f>'R3'!D34</f>
        <v>8.5975806832529214E-2</v>
      </c>
      <c r="E44" s="84">
        <f>'R3'!E34</f>
        <v>0.8554189436545343</v>
      </c>
      <c r="F44" s="84">
        <f>'R3'!F34</f>
        <v>0.81022751215204347</v>
      </c>
      <c r="G44" s="84">
        <f>'R3'!G34</f>
        <v>1.8174818535322523</v>
      </c>
      <c r="H44" s="84">
        <f>'R3'!H34</f>
        <v>1.8252854847894469</v>
      </c>
      <c r="I44" s="84">
        <f>'R3'!I34</f>
        <v>3.2547680749539204E-2</v>
      </c>
      <c r="J44" s="84">
        <f>'R3'!J34</f>
        <v>2.7682086940646442E-3</v>
      </c>
      <c r="K44" s="84">
        <f>'R3'!K34</f>
        <v>6.1902580919421029E-3</v>
      </c>
      <c r="L44" s="84">
        <f>'R3'!L34</f>
        <v>0</v>
      </c>
      <c r="M44" s="84">
        <f>'R3'!M34</f>
        <v>7.6669191100336417E-2</v>
      </c>
      <c r="N44"/>
      <c r="O44" s="84">
        <f>'R3'!O34</f>
        <v>4.6626484475794358E-2</v>
      </c>
      <c r="P44" s="84">
        <f>'R3'!P34</f>
        <v>1.9277261893452624</v>
      </c>
      <c r="Q44" s="84">
        <f>'R3'!Q34</f>
        <v>2.5236552879632279E-2</v>
      </c>
      <c r="R44" s="84">
        <f>'R3'!R34</f>
        <v>0.3066937472767694</v>
      </c>
      <c r="S44" s="84">
        <f>'R3'!S34</f>
        <v>0.56509668828622084</v>
      </c>
      <c r="T44" s="84">
        <f>'R3'!T34</f>
        <v>9.9842324615987993E-2</v>
      </c>
      <c r="U44" s="84">
        <f>'R3'!U34</f>
        <v>0</v>
      </c>
      <c r="V44" s="84">
        <f>'R3'!V34</f>
        <v>0</v>
      </c>
    </row>
    <row r="45" spans="1:22" s="1" customFormat="1" x14ac:dyDescent="0.35">
      <c r="A45" s="147"/>
      <c r="B45" s="84">
        <f>'R3'!B35</f>
        <v>6.9629789237208846E-4</v>
      </c>
      <c r="C45" s="84">
        <f>'R3'!C35</f>
        <v>0</v>
      </c>
      <c r="D45" s="84">
        <f>'R3'!D35</f>
        <v>8.2621688936346596E-3</v>
      </c>
      <c r="E45" s="84">
        <f>'R3'!E35</f>
        <v>3.5112094938519335E-2</v>
      </c>
      <c r="F45" s="84">
        <f>'R3'!F35</f>
        <v>0.19152437759088359</v>
      </c>
      <c r="G45" s="84">
        <f>'R3'!G35</f>
        <v>0.99106116966370195</v>
      </c>
      <c r="H45" s="84">
        <f>'R3'!H35</f>
        <v>1.9472989532710876</v>
      </c>
      <c r="I45" s="84">
        <f>'R3'!I35</f>
        <v>3.3965750847418947E-3</v>
      </c>
      <c r="J45" s="84">
        <f>'R3'!J35</f>
        <v>4.4231899041051327E-2</v>
      </c>
      <c r="K45" s="84">
        <f>'R3'!K35</f>
        <v>6.3974491721113594E-2</v>
      </c>
      <c r="L45" s="84">
        <f>'R3'!L35</f>
        <v>0.21309262937899462</v>
      </c>
      <c r="M45" s="84">
        <f>'R3'!M35</f>
        <v>4.9589996237231664E-3</v>
      </c>
      <c r="N45"/>
      <c r="O45" s="84">
        <f>'R3'!O35</f>
        <v>1.0880928283970659</v>
      </c>
      <c r="P45" s="84">
        <f>'R3'!P35</f>
        <v>1.7750076820975549</v>
      </c>
      <c r="Q45" s="84">
        <f>'R3'!Q35</f>
        <v>2.8276487580476276E-3</v>
      </c>
      <c r="R45" s="84">
        <f>'R3'!R35</f>
        <v>0.5824701698446757</v>
      </c>
      <c r="S45" s="84">
        <f>'R3'!S35</f>
        <v>0.4560836109414298</v>
      </c>
      <c r="T45" s="84">
        <f>'R3'!T35</f>
        <v>0</v>
      </c>
      <c r="U45" s="84">
        <f>'R3'!U35</f>
        <v>0</v>
      </c>
      <c r="V45" s="84">
        <f>'R3'!V35</f>
        <v>0.10606654845877753</v>
      </c>
    </row>
    <row r="46" spans="1:22" s="1" customFormat="1" x14ac:dyDescent="0.35">
      <c r="A46" s="147"/>
      <c r="B46" s="84" t="str">
        <f>'R3'!B36</f>
        <v/>
      </c>
      <c r="C46" s="84" t="str">
        <f>'R3'!C36</f>
        <v/>
      </c>
      <c r="D46" s="84" t="str">
        <f>'R3'!D36</f>
        <v/>
      </c>
      <c r="E46" s="84" t="str">
        <f>'R3'!E36</f>
        <v/>
      </c>
      <c r="F46" s="84" t="str">
        <f>'R3'!F36</f>
        <v/>
      </c>
      <c r="G46" s="84" t="str">
        <f>'R3'!G36</f>
        <v/>
      </c>
      <c r="H46" s="84" t="str">
        <f>'R3'!H36</f>
        <v/>
      </c>
      <c r="I46" s="84" t="str">
        <f>'R3'!I36</f>
        <v/>
      </c>
      <c r="J46" s="84" t="str">
        <f>'R3'!J36</f>
        <v/>
      </c>
      <c r="K46" s="84" t="str">
        <f>'R3'!K36</f>
        <v/>
      </c>
      <c r="L46" s="84" t="str">
        <f>'R3'!L36</f>
        <v/>
      </c>
      <c r="M46" s="84" t="str">
        <f>'R3'!M36</f>
        <v/>
      </c>
      <c r="N46"/>
      <c r="O46" s="84">
        <f>'R3'!O36</f>
        <v>4.1183472902495471E-3</v>
      </c>
      <c r="P46" s="84" t="str">
        <f>'R3'!P36</f>
        <v/>
      </c>
      <c r="Q46" s="84" t="str">
        <f>'R3'!Q36</f>
        <v/>
      </c>
      <c r="R46" s="84" t="str">
        <f>'R3'!R36</f>
        <v/>
      </c>
      <c r="S46" s="84" t="str">
        <f>'R3'!S36</f>
        <v/>
      </c>
      <c r="T46" s="84" t="str">
        <f>'R3'!T36</f>
        <v/>
      </c>
      <c r="U46" s="84" t="str">
        <f>'R3'!U36</f>
        <v/>
      </c>
      <c r="V46" s="84" t="str">
        <f>'R3'!V36</f>
        <v/>
      </c>
    </row>
    <row r="47" spans="1:22" s="1" customFormat="1" x14ac:dyDescent="0.35">
      <c r="A47" s="147"/>
      <c r="B47" s="84" t="str">
        <f>'R3'!B37</f>
        <v/>
      </c>
      <c r="C47" s="84" t="str">
        <f>'R3'!C37</f>
        <v/>
      </c>
      <c r="D47" s="84" t="str">
        <f>'R3'!D37</f>
        <v/>
      </c>
      <c r="E47" s="84" t="str">
        <f>'R3'!E37</f>
        <v/>
      </c>
      <c r="F47" s="84" t="str">
        <f>'R3'!F37</f>
        <v/>
      </c>
      <c r="G47" s="84" t="str">
        <f>'R3'!G37</f>
        <v/>
      </c>
      <c r="H47" s="84" t="str">
        <f>'R3'!H37</f>
        <v/>
      </c>
      <c r="I47" s="84" t="str">
        <f>'R3'!I37</f>
        <v/>
      </c>
      <c r="J47" s="84" t="str">
        <f>'R3'!J37</f>
        <v/>
      </c>
      <c r="K47" s="84" t="str">
        <f>'R3'!K37</f>
        <v/>
      </c>
      <c r="L47" s="84" t="str">
        <f>'R3'!L37</f>
        <v/>
      </c>
      <c r="M47" s="84" t="str">
        <f>'R3'!M37</f>
        <v/>
      </c>
      <c r="N47"/>
      <c r="O47" s="84">
        <f>'R3'!O37</f>
        <v>1.3196288604862092</v>
      </c>
      <c r="P47" s="84" t="str">
        <f>'R3'!P37</f>
        <v/>
      </c>
      <c r="Q47" s="84" t="str">
        <f>'R3'!Q37</f>
        <v/>
      </c>
      <c r="R47" s="84" t="str">
        <f>'R3'!R37</f>
        <v/>
      </c>
      <c r="S47" s="84" t="str">
        <f>'R3'!S37</f>
        <v/>
      </c>
      <c r="T47" s="84" t="str">
        <f>'R3'!T37</f>
        <v/>
      </c>
      <c r="U47" s="84" t="str">
        <f>'R3'!U37</f>
        <v/>
      </c>
      <c r="V47" s="84" t="str">
        <f>'R3'!V37</f>
        <v/>
      </c>
    </row>
    <row r="48" spans="1:22" s="1" customFormat="1" x14ac:dyDescent="0.35">
      <c r="A48" s="147"/>
      <c r="B48" s="84" t="str">
        <f>'R3'!B38</f>
        <v/>
      </c>
      <c r="C48" s="84" t="str">
        <f>'R3'!C38</f>
        <v/>
      </c>
      <c r="D48" s="84" t="str">
        <f>'R3'!D38</f>
        <v/>
      </c>
      <c r="E48" s="84" t="str">
        <f>'R3'!E38</f>
        <v/>
      </c>
      <c r="F48" s="84" t="str">
        <f>'R3'!F38</f>
        <v/>
      </c>
      <c r="G48" s="84" t="str">
        <f>'R3'!G38</f>
        <v/>
      </c>
      <c r="H48" s="84" t="str">
        <f>'R3'!H38</f>
        <v/>
      </c>
      <c r="I48" s="84" t="str">
        <f>'R3'!I38</f>
        <v/>
      </c>
      <c r="J48" s="84" t="str">
        <f>'R3'!J38</f>
        <v/>
      </c>
      <c r="K48" s="84" t="str">
        <f>'R3'!K38</f>
        <v/>
      </c>
      <c r="L48" s="84" t="str">
        <f>'R3'!L38</f>
        <v/>
      </c>
      <c r="M48" s="84" t="str">
        <f>'R3'!M38</f>
        <v/>
      </c>
      <c r="N48"/>
      <c r="O48" s="84">
        <f>'R3'!O38</f>
        <v>0.62946178614207982</v>
      </c>
      <c r="P48" s="84" t="str">
        <f>'R3'!P38</f>
        <v/>
      </c>
      <c r="Q48" s="84" t="str">
        <f>'R3'!Q38</f>
        <v/>
      </c>
      <c r="R48" s="84" t="str">
        <f>'R3'!R38</f>
        <v/>
      </c>
      <c r="S48" s="84" t="str">
        <f>'R3'!S38</f>
        <v/>
      </c>
      <c r="T48" s="84" t="str">
        <f>'R3'!T38</f>
        <v/>
      </c>
      <c r="U48" s="84" t="str">
        <f>'R3'!U38</f>
        <v/>
      </c>
      <c r="V48" s="84" t="str">
        <f>'R3'!V38</f>
        <v/>
      </c>
    </row>
    <row r="49" spans="1:24" s="1" customFormat="1" x14ac:dyDescent="0.35">
      <c r="A49" s="147"/>
      <c r="B49" s="84" t="str">
        <f>'R3'!B39</f>
        <v/>
      </c>
      <c r="C49" s="84" t="str">
        <f>'R3'!C39</f>
        <v/>
      </c>
      <c r="D49" s="84" t="str">
        <f>'R3'!D39</f>
        <v/>
      </c>
      <c r="E49" s="84" t="str">
        <f>'R3'!E39</f>
        <v/>
      </c>
      <c r="F49" s="84" t="str">
        <f>'R3'!F39</f>
        <v/>
      </c>
      <c r="G49" s="84" t="str">
        <f>'R3'!G39</f>
        <v/>
      </c>
      <c r="H49" s="84" t="str">
        <f>'R3'!H39</f>
        <v/>
      </c>
      <c r="I49" s="84" t="str">
        <f>'R3'!I39</f>
        <v/>
      </c>
      <c r="J49" s="84" t="str">
        <f>'R3'!J39</f>
        <v/>
      </c>
      <c r="K49" s="84" t="str">
        <f>'R3'!K39</f>
        <v/>
      </c>
      <c r="L49" s="84" t="str">
        <f>'R3'!L39</f>
        <v/>
      </c>
      <c r="M49" s="84" t="str">
        <f>'R3'!M39</f>
        <v/>
      </c>
      <c r="N49"/>
      <c r="O49" s="84">
        <f>'R3'!O39</f>
        <v>0.89483619751296406</v>
      </c>
      <c r="P49" s="84" t="str">
        <f>'R3'!P39</f>
        <v/>
      </c>
      <c r="Q49" s="84" t="str">
        <f>'R3'!Q39</f>
        <v/>
      </c>
      <c r="R49" s="84" t="str">
        <f>'R3'!R39</f>
        <v/>
      </c>
      <c r="S49" s="84" t="str">
        <f>'R3'!S39</f>
        <v/>
      </c>
      <c r="T49" s="84" t="str">
        <f>'R3'!T39</f>
        <v/>
      </c>
      <c r="U49" s="84" t="str">
        <f>'R3'!U39</f>
        <v/>
      </c>
      <c r="V49" s="84" t="str">
        <f>'R3'!V39</f>
        <v/>
      </c>
    </row>
    <row r="50" spans="1:24" s="1" customFormat="1" x14ac:dyDescent="0.35">
      <c r="A50" s="147"/>
      <c r="B50" s="84" t="str">
        <f>'R3'!B40</f>
        <v/>
      </c>
      <c r="C50" s="84" t="str">
        <f>'R3'!C40</f>
        <v/>
      </c>
      <c r="D50" s="84" t="str">
        <f>'R3'!D40</f>
        <v/>
      </c>
      <c r="E50" s="84" t="str">
        <f>'R3'!E40</f>
        <v/>
      </c>
      <c r="F50" s="84" t="str">
        <f>'R3'!F40</f>
        <v/>
      </c>
      <c r="G50" s="84" t="str">
        <f>'R3'!G40</f>
        <v/>
      </c>
      <c r="H50" s="84" t="str">
        <f>'R3'!H40</f>
        <v/>
      </c>
      <c r="I50" s="84" t="str">
        <f>'R3'!I40</f>
        <v/>
      </c>
      <c r="J50" s="84" t="str">
        <f>'R3'!J40</f>
        <v/>
      </c>
      <c r="K50" s="84" t="str">
        <f>'R3'!K40</f>
        <v/>
      </c>
      <c r="L50" s="84" t="str">
        <f>'R3'!L40</f>
        <v/>
      </c>
      <c r="M50" s="84" t="str">
        <f>'R3'!M40</f>
        <v/>
      </c>
      <c r="N50"/>
      <c r="O50" s="84">
        <f>'R3'!O40</f>
        <v>1.3658222816386989</v>
      </c>
      <c r="P50" s="84" t="str">
        <f>'R3'!P40</f>
        <v/>
      </c>
      <c r="Q50" s="84" t="str">
        <f>'R3'!Q40</f>
        <v/>
      </c>
      <c r="R50" s="84" t="str">
        <f>'R3'!R40</f>
        <v/>
      </c>
      <c r="S50" s="84" t="str">
        <f>'R3'!S40</f>
        <v/>
      </c>
      <c r="T50" s="84" t="str">
        <f>'R3'!T40</f>
        <v/>
      </c>
      <c r="U50" s="84" t="str">
        <f>'R3'!U40</f>
        <v/>
      </c>
      <c r="V50" s="84" t="str">
        <f>'R3'!V40</f>
        <v/>
      </c>
    </row>
    <row r="51" spans="1:24" s="1" customFormat="1" x14ac:dyDescent="0.35">
      <c r="A51" s="147"/>
      <c r="B51" s="84" t="str">
        <f>'R3'!B41</f>
        <v/>
      </c>
      <c r="C51" s="84" t="str">
        <f>'R3'!C41</f>
        <v/>
      </c>
      <c r="D51" s="84" t="str">
        <f>'R3'!D41</f>
        <v/>
      </c>
      <c r="E51" s="84" t="str">
        <f>'R3'!E41</f>
        <v/>
      </c>
      <c r="F51" s="84" t="str">
        <f>'R3'!F41</f>
        <v/>
      </c>
      <c r="G51" s="84" t="str">
        <f>'R3'!G41</f>
        <v/>
      </c>
      <c r="H51" s="84" t="str">
        <f>'R3'!H41</f>
        <v/>
      </c>
      <c r="I51" s="84" t="str">
        <f>'R3'!I41</f>
        <v/>
      </c>
      <c r="J51" s="84" t="str">
        <f>'R3'!J41</f>
        <v/>
      </c>
      <c r="K51" s="84" t="str">
        <f>'R3'!K41</f>
        <v/>
      </c>
      <c r="L51" s="84" t="str">
        <f>'R3'!L41</f>
        <v/>
      </c>
      <c r="M51" s="84" t="str">
        <f>'R3'!M41</f>
        <v/>
      </c>
      <c r="N51"/>
      <c r="O51" s="84">
        <f>'R3'!O41</f>
        <v>1.7478350814196197</v>
      </c>
      <c r="P51" s="84" t="str">
        <f>'R3'!P41</f>
        <v/>
      </c>
      <c r="Q51" s="84" t="str">
        <f>'R3'!Q41</f>
        <v/>
      </c>
      <c r="R51" s="84" t="str">
        <f>'R3'!R41</f>
        <v/>
      </c>
      <c r="S51" s="84" t="str">
        <f>'R3'!S41</f>
        <v/>
      </c>
      <c r="T51" s="84" t="str">
        <f>'R3'!T41</f>
        <v/>
      </c>
      <c r="U51" s="84" t="str">
        <f>'R3'!U41</f>
        <v/>
      </c>
      <c r="V51" s="84" t="str">
        <f>'R3'!V41</f>
        <v/>
      </c>
    </row>
    <row r="52" spans="1:24" s="1" customFormat="1" x14ac:dyDescent="0.35">
      <c r="A52" s="147"/>
      <c r="B52" s="84" t="str">
        <f>'R3'!B42</f>
        <v/>
      </c>
      <c r="C52" s="84" t="str">
        <f>'R3'!C42</f>
        <v/>
      </c>
      <c r="D52" s="84" t="str">
        <f>'R3'!D42</f>
        <v/>
      </c>
      <c r="E52" s="84" t="str">
        <f>'R3'!E42</f>
        <v/>
      </c>
      <c r="F52" s="84" t="str">
        <f>'R3'!F42</f>
        <v/>
      </c>
      <c r="G52" s="84" t="str">
        <f>'R3'!G42</f>
        <v/>
      </c>
      <c r="H52" s="84" t="str">
        <f>'R3'!H42</f>
        <v/>
      </c>
      <c r="I52" s="84" t="str">
        <f>'R3'!I42</f>
        <v/>
      </c>
      <c r="J52" s="84" t="str">
        <f>'R3'!J42</f>
        <v/>
      </c>
      <c r="K52" s="84" t="str">
        <f>'R3'!K42</f>
        <v/>
      </c>
      <c r="L52" s="84" t="str">
        <f>'R3'!L42</f>
        <v/>
      </c>
      <c r="M52" s="84" t="str">
        <f>'R3'!M42</f>
        <v/>
      </c>
      <c r="N52"/>
      <c r="O52" s="84">
        <f>'R3'!O42</f>
        <v>0.18869672883283597</v>
      </c>
      <c r="P52" s="84" t="str">
        <f>'R3'!P42</f>
        <v/>
      </c>
      <c r="Q52" s="84" t="str">
        <f>'R3'!Q42</f>
        <v/>
      </c>
      <c r="R52" s="84" t="str">
        <f>'R3'!R42</f>
        <v/>
      </c>
      <c r="S52" s="84" t="str">
        <f>'R3'!S42</f>
        <v/>
      </c>
      <c r="T52" s="84" t="str">
        <f>'R3'!T42</f>
        <v/>
      </c>
      <c r="U52" s="84" t="str">
        <f>'R3'!U42</f>
        <v/>
      </c>
      <c r="V52" s="84" t="str">
        <f>'R3'!V42</f>
        <v/>
      </c>
    </row>
    <row r="53" spans="1:24" s="1" customFormat="1" x14ac:dyDescent="0.35">
      <c r="A53" s="148"/>
      <c r="B53" s="84" t="str">
        <f>'R3'!B43</f>
        <v/>
      </c>
      <c r="C53" s="84" t="str">
        <f>'R3'!C43</f>
        <v/>
      </c>
      <c r="D53" s="84" t="str">
        <f>'R3'!D43</f>
        <v/>
      </c>
      <c r="E53" s="84" t="str">
        <f>'R3'!E43</f>
        <v/>
      </c>
      <c r="F53" s="84" t="str">
        <f>'R3'!F43</f>
        <v/>
      </c>
      <c r="G53" s="84" t="str">
        <f>'R3'!G43</f>
        <v/>
      </c>
      <c r="H53" s="84" t="str">
        <f>'R3'!H43</f>
        <v/>
      </c>
      <c r="I53" s="84" t="str">
        <f>'R3'!I43</f>
        <v/>
      </c>
      <c r="J53" s="84" t="str">
        <f>'R3'!J43</f>
        <v/>
      </c>
      <c r="K53" s="84" t="str">
        <f>'R3'!K43</f>
        <v/>
      </c>
      <c r="L53" s="84" t="str">
        <f>'R3'!L43</f>
        <v/>
      </c>
      <c r="M53" s="84" t="str">
        <f>'R3'!M43</f>
        <v/>
      </c>
      <c r="N53"/>
      <c r="O53" s="84">
        <f>'R3'!O43</f>
        <v>1.1565677821054625</v>
      </c>
      <c r="P53" s="84" t="str">
        <f>'R3'!P43</f>
        <v/>
      </c>
      <c r="Q53" s="84" t="str">
        <f>'R3'!Q43</f>
        <v/>
      </c>
      <c r="R53" s="84" t="str">
        <f>'R3'!R43</f>
        <v/>
      </c>
      <c r="S53" s="84" t="str">
        <f>'R3'!S43</f>
        <v/>
      </c>
      <c r="T53" s="84" t="str">
        <f>'R3'!T43</f>
        <v/>
      </c>
      <c r="U53" s="84" t="str">
        <f>'R3'!U43</f>
        <v/>
      </c>
      <c r="V53" s="84" t="str">
        <f>'R3'!V43</f>
        <v/>
      </c>
    </row>
    <row r="54" spans="1:24" s="43" customFormat="1" x14ac:dyDescent="0.35">
      <c r="A54" s="41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/>
      <c r="O54" s="42"/>
      <c r="P54" s="42"/>
      <c r="Q54" s="42"/>
      <c r="R54" s="42"/>
      <c r="S54" s="42"/>
      <c r="T54" s="42"/>
      <c r="U54" s="42"/>
      <c r="V54" s="42"/>
    </row>
    <row r="55" spans="1:24" s="25" customFormat="1" x14ac:dyDescent="0.35">
      <c r="A55" s="25" t="s">
        <v>36</v>
      </c>
      <c r="B55" s="14" t="str">
        <f t="shared" ref="B55:M55" si="0">B4</f>
        <v>Solvent control</v>
      </c>
      <c r="C55" s="14" t="str">
        <f t="shared" si="0"/>
        <v>EE2-33.8ng/L</v>
      </c>
      <c r="D55" s="14" t="str">
        <f t="shared" si="0"/>
        <v>EE2-50.6ng/L</v>
      </c>
      <c r="E55" s="14" t="str">
        <f t="shared" si="0"/>
        <v>EE2-76ng/L</v>
      </c>
      <c r="F55" s="14" t="str">
        <f t="shared" si="0"/>
        <v>EE2-114ng/L</v>
      </c>
      <c r="G55" s="14" t="str">
        <f t="shared" si="0"/>
        <v>EE2-170.9ng/L</v>
      </c>
      <c r="H55" s="14" t="str">
        <f t="shared" si="0"/>
        <v>EE2-488ng/L</v>
      </c>
      <c r="I55" s="14" t="str">
        <f t="shared" si="0"/>
        <v>Anastrozole-0,032µg/L</v>
      </c>
      <c r="J55" s="14" t="str">
        <f t="shared" si="0"/>
        <v>Anastrozole-0,16µg/L</v>
      </c>
      <c r="K55" s="14" t="str">
        <f t="shared" si="0"/>
        <v>Anastrozole-0,8µg/L</v>
      </c>
      <c r="L55" s="14" t="str">
        <f t="shared" si="0"/>
        <v>Anastrozole-4µg/L</v>
      </c>
      <c r="M55" s="14" t="str">
        <f t="shared" si="0"/>
        <v>Anastrozole-20µg/L</v>
      </c>
      <c r="O55" s="14" t="str">
        <f t="shared" ref="O55:V55" si="1">O4</f>
        <v>Testo -30µg/L</v>
      </c>
      <c r="P55" s="14" t="str">
        <f t="shared" si="1"/>
        <v>Testo 30µg/L + EE2 -64ng/L</v>
      </c>
      <c r="Q55" s="14" t="str">
        <f t="shared" si="1"/>
        <v>Testo 30µg/L + FAD-10mg/L</v>
      </c>
      <c r="R55" s="14" t="str">
        <f t="shared" si="1"/>
        <v>Anastrozole-0,032µg/L + Testostérone</v>
      </c>
      <c r="S55" s="14" t="str">
        <f t="shared" si="1"/>
        <v>Anastrozole-0,16µg/L + Testostérone</v>
      </c>
      <c r="T55" s="14" t="str">
        <f t="shared" si="1"/>
        <v>Anastrozole-0,8µg/L + Testostérone</v>
      </c>
      <c r="U55" s="14" t="str">
        <f t="shared" si="1"/>
        <v>Anastrozole-4µg/L + Testostérone</v>
      </c>
      <c r="V55" s="14" t="str">
        <f t="shared" si="1"/>
        <v>Anastrozole-20µg/L + Testostérone</v>
      </c>
    </row>
    <row r="56" spans="1:24" x14ac:dyDescent="0.35">
      <c r="A56" t="s">
        <v>10</v>
      </c>
      <c r="B56" s="8">
        <f t="shared" ref="B56:V56" si="2">AVERAGE(B6:B53)</f>
        <v>1.5267776121745886E-2</v>
      </c>
      <c r="C56" s="8">
        <f t="shared" si="2"/>
        <v>2.3242221841601979E-2</v>
      </c>
      <c r="D56" s="8">
        <f t="shared" si="2"/>
        <v>1.2729122421101857E-2</v>
      </c>
      <c r="E56" s="8">
        <f t="shared" si="2"/>
        <v>5.3800354543859293E-2</v>
      </c>
      <c r="F56" s="8">
        <f t="shared" si="2"/>
        <v>0.94632949965065538</v>
      </c>
      <c r="G56" s="8">
        <f t="shared" si="2"/>
        <v>1.6987081169965956</v>
      </c>
      <c r="H56" s="8">
        <f t="shared" si="2"/>
        <v>2.5329536582548888</v>
      </c>
      <c r="I56" s="8">
        <f t="shared" si="2"/>
        <v>3.0649351622367097E-2</v>
      </c>
      <c r="J56" s="8">
        <f t="shared" si="2"/>
        <v>2.60889282144223E-2</v>
      </c>
      <c r="K56" s="8">
        <f t="shared" si="2"/>
        <v>2.3609068575431113E-2</v>
      </c>
      <c r="L56" s="8">
        <f t="shared" si="2"/>
        <v>3.9119518464171464E-2</v>
      </c>
      <c r="M56" s="8">
        <f t="shared" si="2"/>
        <v>2.5364719225934043E-2</v>
      </c>
      <c r="N56" s="8"/>
      <c r="O56" s="8">
        <f t="shared" si="2"/>
        <v>1.0000000000000002</v>
      </c>
      <c r="P56" s="8">
        <f t="shared" si="2"/>
        <v>1.7639313068431726</v>
      </c>
      <c r="Q56" s="8">
        <f t="shared" si="2"/>
        <v>2.877941236989422E-2</v>
      </c>
      <c r="R56" s="8">
        <f t="shared" si="2"/>
        <v>0.78894918253426349</v>
      </c>
      <c r="S56" s="8">
        <f t="shared" si="2"/>
        <v>0.7520837902079448</v>
      </c>
      <c r="T56" s="8">
        <f t="shared" si="2"/>
        <v>0.11856697398144235</v>
      </c>
      <c r="U56" s="8">
        <f t="shared" si="2"/>
        <v>3.0927507596574987E-2</v>
      </c>
      <c r="V56" s="8">
        <f t="shared" si="2"/>
        <v>2.6807699970010004E-2</v>
      </c>
    </row>
    <row r="57" spans="1:24" x14ac:dyDescent="0.35">
      <c r="A57" t="s">
        <v>1</v>
      </c>
      <c r="B57" s="3">
        <f>STDEV(B6:B53)</f>
        <v>2.779504992368912E-2</v>
      </c>
      <c r="C57" s="3">
        <f t="shared" ref="C57:V57" si="3">STDEV(C6:C53)</f>
        <v>3.7803156392616902E-2</v>
      </c>
      <c r="D57" s="3">
        <f t="shared" si="3"/>
        <v>2.6885848846282541E-2</v>
      </c>
      <c r="E57" s="3">
        <f t="shared" si="3"/>
        <v>0.17404763466891798</v>
      </c>
      <c r="F57" s="3">
        <f t="shared" si="3"/>
        <v>1.1583886316943113</v>
      </c>
      <c r="G57" s="3">
        <f t="shared" si="3"/>
        <v>1.0042727962362521</v>
      </c>
      <c r="H57" s="3">
        <f t="shared" si="3"/>
        <v>1.4566911680897843</v>
      </c>
      <c r="I57" s="3">
        <f t="shared" si="3"/>
        <v>5.2912281429979328E-2</v>
      </c>
      <c r="J57" s="3">
        <f t="shared" si="3"/>
        <v>3.876363747664173E-2</v>
      </c>
      <c r="K57" s="3">
        <f t="shared" si="3"/>
        <v>4.2053661805447076E-2</v>
      </c>
      <c r="L57" s="3">
        <f t="shared" si="3"/>
        <v>5.5748749154393165E-2</v>
      </c>
      <c r="M57" s="3">
        <f t="shared" si="3"/>
        <v>3.1774664298409361E-2</v>
      </c>
      <c r="N57" s="3"/>
      <c r="O57" s="3">
        <f t="shared" si="3"/>
        <v>0.5896030984984364</v>
      </c>
      <c r="P57" s="3">
        <f t="shared" si="3"/>
        <v>0.90837884027381011</v>
      </c>
      <c r="Q57" s="3">
        <f t="shared" si="3"/>
        <v>4.5326355487941318E-2</v>
      </c>
      <c r="R57" s="3">
        <f t="shared" si="3"/>
        <v>0.62761818806186864</v>
      </c>
      <c r="S57" s="3">
        <f t="shared" si="3"/>
        <v>0.54871543237307863</v>
      </c>
      <c r="T57" s="3">
        <f t="shared" si="3"/>
        <v>0.17072499116221729</v>
      </c>
      <c r="U57" s="3">
        <f t="shared" si="3"/>
        <v>6.7413882367401104E-2</v>
      </c>
      <c r="V57" s="3">
        <f t="shared" si="3"/>
        <v>4.1642190055678437E-2</v>
      </c>
      <c r="W57" s="3"/>
      <c r="X57" s="3"/>
    </row>
    <row r="58" spans="1:24" x14ac:dyDescent="0.35">
      <c r="A58" t="s">
        <v>2</v>
      </c>
      <c r="B58" s="3">
        <f xml:space="preserve"> B57/SQRT(COUNT(B6:B53))</f>
        <v>5.6736408073519056E-3</v>
      </c>
      <c r="C58" s="3">
        <f t="shared" ref="C58:V58" si="4" xml:space="preserve"> C57/SQRT(COUNT(C6:C53))</f>
        <v>7.7165369857119534E-3</v>
      </c>
      <c r="D58" s="3">
        <f t="shared" si="4"/>
        <v>5.4880509145823365E-3</v>
      </c>
      <c r="E58" s="3">
        <f t="shared" si="4"/>
        <v>3.5527324656432373E-2</v>
      </c>
      <c r="F58" s="3">
        <f t="shared" si="4"/>
        <v>0.23645508929098805</v>
      </c>
      <c r="G58" s="3">
        <f t="shared" si="4"/>
        <v>0.2049963261114067</v>
      </c>
      <c r="H58" s="3">
        <f t="shared" si="4"/>
        <v>0.29734583955323113</v>
      </c>
      <c r="I58" s="3">
        <f t="shared" si="4"/>
        <v>1.0800674219165933E-2</v>
      </c>
      <c r="J58" s="3">
        <f t="shared" si="4"/>
        <v>7.9125943659999597E-3</v>
      </c>
      <c r="K58" s="3">
        <f t="shared" si="4"/>
        <v>8.5841677699096102E-3</v>
      </c>
      <c r="L58" s="3">
        <f t="shared" si="4"/>
        <v>1.1379665768889871E-2</v>
      </c>
      <c r="M58" s="3">
        <f t="shared" si="4"/>
        <v>6.4859761899443823E-3</v>
      </c>
      <c r="N58" s="3"/>
      <c r="O58" s="3">
        <f t="shared" si="4"/>
        <v>8.5101876908277432E-2</v>
      </c>
      <c r="P58" s="3">
        <f t="shared" si="4"/>
        <v>0.18542205431766476</v>
      </c>
      <c r="Q58" s="3">
        <f t="shared" si="4"/>
        <v>9.2522035704546909E-3</v>
      </c>
      <c r="R58" s="3">
        <f t="shared" si="4"/>
        <v>0.12811202617014258</v>
      </c>
      <c r="S58" s="3">
        <f t="shared" si="4"/>
        <v>0.1120060686087244</v>
      </c>
      <c r="T58" s="3">
        <f t="shared" si="4"/>
        <v>3.4849092890716665E-2</v>
      </c>
      <c r="U58" s="3">
        <f t="shared" si="4"/>
        <v>1.3760801115011731E-2</v>
      </c>
      <c r="V58" s="3">
        <f t="shared" si="4"/>
        <v>8.5001764507010007E-3</v>
      </c>
      <c r="W58" s="3"/>
      <c r="X58" s="3"/>
    </row>
    <row r="59" spans="1:24" s="1" customFormat="1" ht="15" thickBot="1" x14ac:dyDescent="0.4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4" s="31" customFormat="1" ht="26.5" thickBot="1" x14ac:dyDescent="0.4">
      <c r="A60" s="149"/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</row>
    <row r="61" spans="1:24" s="1" customFormat="1" x14ac:dyDescent="0.3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4" s="1" customFormat="1" x14ac:dyDescent="0.35">
      <c r="A62" s="1" t="s">
        <v>36</v>
      </c>
      <c r="B62" s="3" t="str">
        <f t="shared" ref="B62" si="5">B4</f>
        <v>Solvent control</v>
      </c>
      <c r="C62" s="3" t="str">
        <f t="shared" ref="C62:V62" si="6">C4</f>
        <v>EE2-33.8ng/L</v>
      </c>
      <c r="D62" s="3" t="str">
        <f t="shared" si="6"/>
        <v>EE2-50.6ng/L</v>
      </c>
      <c r="E62" s="3" t="str">
        <f t="shared" si="6"/>
        <v>EE2-76ng/L</v>
      </c>
      <c r="F62" s="3" t="str">
        <f t="shared" si="6"/>
        <v>EE2-114ng/L</v>
      </c>
      <c r="G62" s="3" t="str">
        <f t="shared" si="6"/>
        <v>EE2-170.9ng/L</v>
      </c>
      <c r="H62" s="3" t="str">
        <f t="shared" si="6"/>
        <v>EE2-488ng/L</v>
      </c>
      <c r="I62" s="3" t="str">
        <f t="shared" si="6"/>
        <v>Anastrozole-0,032µg/L</v>
      </c>
      <c r="J62" s="3" t="str">
        <f t="shared" si="6"/>
        <v>Anastrozole-0,16µg/L</v>
      </c>
      <c r="K62" s="3" t="str">
        <f t="shared" si="6"/>
        <v>Anastrozole-0,8µg/L</v>
      </c>
      <c r="L62" s="3" t="str">
        <f t="shared" si="6"/>
        <v>Anastrozole-4µg/L</v>
      </c>
      <c r="M62" s="3" t="str">
        <f t="shared" si="6"/>
        <v>Anastrozole-20µg/L</v>
      </c>
      <c r="N62" s="3"/>
      <c r="O62" s="3" t="str">
        <f t="shared" si="6"/>
        <v>Testo -30µg/L</v>
      </c>
      <c r="P62" s="3" t="str">
        <f t="shared" si="6"/>
        <v>Testo 30µg/L + EE2 -64ng/L</v>
      </c>
      <c r="Q62" s="3" t="str">
        <f t="shared" si="6"/>
        <v>Testo 30µg/L + FAD-10mg/L</v>
      </c>
      <c r="R62" s="3" t="str">
        <f t="shared" si="6"/>
        <v>Anastrozole-0,032µg/L + Testostérone</v>
      </c>
      <c r="S62" s="3" t="str">
        <f t="shared" si="6"/>
        <v>Anastrozole-0,16µg/L + Testostérone</v>
      </c>
      <c r="T62" s="3" t="str">
        <f t="shared" si="6"/>
        <v>Anastrozole-0,8µg/L + Testostérone</v>
      </c>
      <c r="U62" s="3" t="str">
        <f t="shared" si="6"/>
        <v>Anastrozole-4µg/L + Testostérone</v>
      </c>
      <c r="V62" s="3" t="str">
        <f t="shared" si="6"/>
        <v>Anastrozole-20µg/L + Testostérone</v>
      </c>
    </row>
    <row r="63" spans="1:24" s="1" customFormat="1" x14ac:dyDescent="0.35">
      <c r="A63" s="1" t="s">
        <v>43</v>
      </c>
      <c r="B63" s="3">
        <f>COUNT(B6:B53)</f>
        <v>24</v>
      </c>
      <c r="C63" s="3">
        <f t="shared" ref="C63:V63" si="7">COUNT(C6:C53)</f>
        <v>24</v>
      </c>
      <c r="D63" s="3">
        <f t="shared" si="7"/>
        <v>24</v>
      </c>
      <c r="E63" s="3">
        <f t="shared" si="7"/>
        <v>24</v>
      </c>
      <c r="F63" s="3">
        <f t="shared" si="7"/>
        <v>24</v>
      </c>
      <c r="G63" s="3">
        <f t="shared" si="7"/>
        <v>24</v>
      </c>
      <c r="H63" s="3">
        <f t="shared" si="7"/>
        <v>24</v>
      </c>
      <c r="I63" s="3">
        <f t="shared" si="7"/>
        <v>24</v>
      </c>
      <c r="J63" s="3">
        <f t="shared" si="7"/>
        <v>24</v>
      </c>
      <c r="K63" s="3">
        <f t="shared" si="7"/>
        <v>24</v>
      </c>
      <c r="L63" s="3">
        <f t="shared" si="7"/>
        <v>24</v>
      </c>
      <c r="M63" s="3">
        <f t="shared" si="7"/>
        <v>24</v>
      </c>
      <c r="N63" s="3"/>
      <c r="O63" s="3">
        <f t="shared" si="7"/>
        <v>48</v>
      </c>
      <c r="P63" s="3">
        <f t="shared" si="7"/>
        <v>24</v>
      </c>
      <c r="Q63" s="3">
        <f t="shared" si="7"/>
        <v>24</v>
      </c>
      <c r="R63" s="3">
        <f t="shared" si="7"/>
        <v>24</v>
      </c>
      <c r="S63" s="3">
        <f t="shared" si="7"/>
        <v>24</v>
      </c>
      <c r="T63" s="3">
        <f t="shared" si="7"/>
        <v>24</v>
      </c>
      <c r="U63" s="3">
        <f t="shared" si="7"/>
        <v>24</v>
      </c>
      <c r="V63" s="3">
        <f t="shared" si="7"/>
        <v>24</v>
      </c>
    </row>
    <row r="64" spans="1:24" s="1" customFormat="1" ht="15" thickBot="1" x14ac:dyDescent="0.4">
      <c r="B64" s="3" t="str">
        <f>IF(B63&gt;=21,"OK","ATTENTION")</f>
        <v>OK</v>
      </c>
      <c r="C64" s="3" t="str">
        <f t="shared" ref="C64:V64" si="8">IF(C63&gt;=21,"OK","ATTENTION")</f>
        <v>OK</v>
      </c>
      <c r="D64" s="3" t="str">
        <f t="shared" si="8"/>
        <v>OK</v>
      </c>
      <c r="E64" s="3" t="str">
        <f t="shared" si="8"/>
        <v>OK</v>
      </c>
      <c r="F64" s="3" t="str">
        <f t="shared" si="8"/>
        <v>OK</v>
      </c>
      <c r="G64" s="3" t="str">
        <f t="shared" si="8"/>
        <v>OK</v>
      </c>
      <c r="H64" s="3" t="str">
        <f t="shared" si="8"/>
        <v>OK</v>
      </c>
      <c r="I64" s="3" t="str">
        <f t="shared" si="8"/>
        <v>OK</v>
      </c>
      <c r="J64" s="3" t="str">
        <f t="shared" si="8"/>
        <v>OK</v>
      </c>
      <c r="K64" s="3" t="str">
        <f t="shared" si="8"/>
        <v>OK</v>
      </c>
      <c r="L64" s="3" t="str">
        <f t="shared" si="8"/>
        <v>OK</v>
      </c>
      <c r="M64" s="3" t="str">
        <f t="shared" si="8"/>
        <v>OK</v>
      </c>
      <c r="N64" s="3"/>
      <c r="O64" s="3" t="str">
        <f>IF(O63&gt;=41,"OK","ATTENTION")</f>
        <v>OK</v>
      </c>
      <c r="P64" s="3" t="str">
        <f t="shared" si="8"/>
        <v>OK</v>
      </c>
      <c r="Q64" s="3" t="str">
        <f t="shared" si="8"/>
        <v>OK</v>
      </c>
      <c r="R64" s="3" t="str">
        <f t="shared" si="8"/>
        <v>OK</v>
      </c>
      <c r="S64" s="3" t="str">
        <f t="shared" si="8"/>
        <v>OK</v>
      </c>
      <c r="T64" s="3" t="str">
        <f t="shared" si="8"/>
        <v>OK</v>
      </c>
      <c r="U64" s="3" t="str">
        <f t="shared" si="8"/>
        <v>OK</v>
      </c>
      <c r="V64" s="3" t="str">
        <f t="shared" si="8"/>
        <v>OK</v>
      </c>
    </row>
    <row r="65" spans="1:22" s="31" customFormat="1" ht="26.5" thickBot="1" x14ac:dyDescent="0.4">
      <c r="A65" s="149"/>
      <c r="B65" s="150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0"/>
      <c r="T65" s="150"/>
      <c r="U65" s="150"/>
      <c r="V65" s="150"/>
    </row>
    <row r="66" spans="1:22" s="1" customFormat="1" x14ac:dyDescent="0.35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s="1" customFormat="1" x14ac:dyDescent="0.3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s="1" customFormat="1" x14ac:dyDescent="0.3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s="1" customFormat="1" ht="15" thickBot="1" x14ac:dyDescent="0.4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s="31" customFormat="1" ht="26.5" thickBot="1" x14ac:dyDescent="0.4">
      <c r="A70" s="149"/>
      <c r="B70" s="150"/>
      <c r="C70" s="150"/>
      <c r="D70" s="150"/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0"/>
      <c r="S70" s="150"/>
      <c r="T70" s="150"/>
      <c r="U70" s="150"/>
      <c r="V70" s="150"/>
    </row>
    <row r="71" spans="1:22" ht="15" thickBot="1" x14ac:dyDescent="0.4"/>
    <row r="72" spans="1:22" s="31" customFormat="1" ht="26.5" thickBot="1" x14ac:dyDescent="0.4">
      <c r="A72" s="149"/>
      <c r="B72" s="150"/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</row>
    <row r="73" spans="1:22" ht="15" thickBot="1" x14ac:dyDescent="0.4">
      <c r="J73" s="3">
        <v>1</v>
      </c>
      <c r="K73" s="3">
        <v>2</v>
      </c>
      <c r="L73" s="3">
        <v>3</v>
      </c>
      <c r="M73" s="3">
        <v>4</v>
      </c>
      <c r="R73" s="3">
        <v>1</v>
      </c>
      <c r="S73" s="3">
        <v>2</v>
      </c>
      <c r="T73" s="3">
        <v>3</v>
      </c>
      <c r="U73" s="3">
        <v>4</v>
      </c>
      <c r="V73" s="3">
        <v>5</v>
      </c>
    </row>
    <row r="74" spans="1:22" s="1" customFormat="1" x14ac:dyDescent="0.35">
      <c r="A74" s="28" t="s">
        <v>44</v>
      </c>
      <c r="B74" s="29" t="str">
        <f t="shared" ref="B74:M74" si="9">B4</f>
        <v>Solvent control</v>
      </c>
      <c r="C74" s="29" t="str">
        <f t="shared" si="9"/>
        <v>EE2-33.8ng/L</v>
      </c>
      <c r="D74" s="29" t="str">
        <f t="shared" si="9"/>
        <v>EE2-50.6ng/L</v>
      </c>
      <c r="E74" s="29" t="str">
        <f t="shared" si="9"/>
        <v>EE2-76ng/L</v>
      </c>
      <c r="F74" s="29" t="str">
        <f t="shared" si="9"/>
        <v>EE2-114ng/L</v>
      </c>
      <c r="G74" s="29" t="str">
        <f t="shared" si="9"/>
        <v>EE2-170.9ng/L</v>
      </c>
      <c r="H74" s="29" t="str">
        <f t="shared" si="9"/>
        <v>EE2-488ng/L</v>
      </c>
      <c r="I74" s="29" t="str">
        <f t="shared" si="9"/>
        <v>Anastrozole-0,032µg/L</v>
      </c>
      <c r="J74" s="29" t="str">
        <f t="shared" si="9"/>
        <v>Anastrozole-0,16µg/L</v>
      </c>
      <c r="K74" s="29" t="str">
        <f t="shared" si="9"/>
        <v>Anastrozole-0,8µg/L</v>
      </c>
      <c r="L74" s="29" t="str">
        <f t="shared" si="9"/>
        <v>Anastrozole-4µg/L</v>
      </c>
      <c r="M74" s="29" t="str">
        <f t="shared" si="9"/>
        <v>Anastrozole-20µg/L</v>
      </c>
      <c r="N74" s="29"/>
      <c r="O74" s="29" t="str">
        <f t="shared" ref="O74:V74" si="10">O4</f>
        <v>Testo -30µg/L</v>
      </c>
      <c r="P74" s="29" t="str">
        <f t="shared" si="10"/>
        <v>Testo 30µg/L + EE2 -64ng/L</v>
      </c>
      <c r="Q74" s="29" t="str">
        <f t="shared" si="10"/>
        <v>Testo 30µg/L + FAD-10mg/L</v>
      </c>
      <c r="R74" s="29" t="str">
        <f t="shared" si="10"/>
        <v>Anastrozole-0,032µg/L + Testostérone</v>
      </c>
      <c r="S74" s="29" t="str">
        <f t="shared" si="10"/>
        <v>Anastrozole-0,16µg/L + Testostérone</v>
      </c>
      <c r="T74" s="29" t="str">
        <f t="shared" si="10"/>
        <v>Anastrozole-0,8µg/L + Testostérone</v>
      </c>
      <c r="U74" s="29" t="str">
        <f t="shared" si="10"/>
        <v>Anastrozole-4µg/L + Testostérone</v>
      </c>
      <c r="V74" s="29" t="str">
        <f t="shared" si="10"/>
        <v>Anastrozole-20µg/L + Testostérone</v>
      </c>
    </row>
    <row r="75" spans="1:22" s="3" customFormat="1" x14ac:dyDescent="0.35">
      <c r="A75" s="44" t="s">
        <v>10</v>
      </c>
      <c r="B75" s="76">
        <f>B56</f>
        <v>1.5267776121745886E-2</v>
      </c>
      <c r="C75" s="76">
        <f t="shared" ref="C75:V75" si="11">C56</f>
        <v>2.3242221841601979E-2</v>
      </c>
      <c r="D75" s="76">
        <f t="shared" si="11"/>
        <v>1.2729122421101857E-2</v>
      </c>
      <c r="E75" s="76">
        <f t="shared" si="11"/>
        <v>5.3800354543859293E-2</v>
      </c>
      <c r="F75" s="76">
        <f t="shared" si="11"/>
        <v>0.94632949965065538</v>
      </c>
      <c r="G75" s="76">
        <f t="shared" si="11"/>
        <v>1.6987081169965956</v>
      </c>
      <c r="H75" s="76">
        <f t="shared" si="11"/>
        <v>2.5329536582548888</v>
      </c>
      <c r="I75" s="76">
        <f t="shared" si="11"/>
        <v>3.0649351622367097E-2</v>
      </c>
      <c r="J75" s="76">
        <f t="shared" si="11"/>
        <v>2.60889282144223E-2</v>
      </c>
      <c r="K75" s="76">
        <f t="shared" si="11"/>
        <v>2.3609068575431113E-2</v>
      </c>
      <c r="L75" s="76">
        <f t="shared" si="11"/>
        <v>3.9119518464171464E-2</v>
      </c>
      <c r="M75" s="76">
        <f t="shared" si="11"/>
        <v>2.5364719225934043E-2</v>
      </c>
      <c r="N75" s="76"/>
      <c r="O75" s="76">
        <f t="shared" si="11"/>
        <v>1.0000000000000002</v>
      </c>
      <c r="P75" s="76">
        <f t="shared" si="11"/>
        <v>1.7639313068431726</v>
      </c>
      <c r="Q75" s="76">
        <f t="shared" si="11"/>
        <v>2.877941236989422E-2</v>
      </c>
      <c r="R75" s="76">
        <f t="shared" si="11"/>
        <v>0.78894918253426349</v>
      </c>
      <c r="S75" s="76">
        <f t="shared" si="11"/>
        <v>0.7520837902079448</v>
      </c>
      <c r="T75" s="76">
        <f t="shared" si="11"/>
        <v>0.11856697398144235</v>
      </c>
      <c r="U75" s="76">
        <f t="shared" si="11"/>
        <v>3.0927507596574987E-2</v>
      </c>
      <c r="V75" s="76">
        <f t="shared" si="11"/>
        <v>2.6807699970010004E-2</v>
      </c>
    </row>
    <row r="76" spans="1:22" s="3" customFormat="1" x14ac:dyDescent="0.35">
      <c r="A76" s="44" t="s">
        <v>2</v>
      </c>
      <c r="B76" s="76">
        <f>B58</f>
        <v>5.6736408073519056E-3</v>
      </c>
      <c r="C76" s="76">
        <f t="shared" ref="C76:V76" si="12">C58</f>
        <v>7.7165369857119534E-3</v>
      </c>
      <c r="D76" s="76">
        <f t="shared" si="12"/>
        <v>5.4880509145823365E-3</v>
      </c>
      <c r="E76" s="76">
        <f t="shared" si="12"/>
        <v>3.5527324656432373E-2</v>
      </c>
      <c r="F76" s="76">
        <f t="shared" si="12"/>
        <v>0.23645508929098805</v>
      </c>
      <c r="G76" s="76">
        <f t="shared" si="12"/>
        <v>0.2049963261114067</v>
      </c>
      <c r="H76" s="76">
        <f t="shared" si="12"/>
        <v>0.29734583955323113</v>
      </c>
      <c r="I76" s="76">
        <f t="shared" si="12"/>
        <v>1.0800674219165933E-2</v>
      </c>
      <c r="J76" s="76">
        <f t="shared" si="12"/>
        <v>7.9125943659999597E-3</v>
      </c>
      <c r="K76" s="76">
        <f t="shared" si="12"/>
        <v>8.5841677699096102E-3</v>
      </c>
      <c r="L76" s="76">
        <f t="shared" si="12"/>
        <v>1.1379665768889871E-2</v>
      </c>
      <c r="M76" s="76">
        <f t="shared" si="12"/>
        <v>6.4859761899443823E-3</v>
      </c>
      <c r="N76" s="76"/>
      <c r="O76" s="76">
        <f t="shared" si="12"/>
        <v>8.5101876908277432E-2</v>
      </c>
      <c r="P76" s="76">
        <f t="shared" si="12"/>
        <v>0.18542205431766476</v>
      </c>
      <c r="Q76" s="76">
        <f t="shared" si="12"/>
        <v>9.2522035704546909E-3</v>
      </c>
      <c r="R76" s="76">
        <f t="shared" si="12"/>
        <v>0.12811202617014258</v>
      </c>
      <c r="S76" s="76">
        <f t="shared" si="12"/>
        <v>0.1120060686087244</v>
      </c>
      <c r="T76" s="76">
        <f t="shared" si="12"/>
        <v>3.4849092890716665E-2</v>
      </c>
      <c r="U76" s="76">
        <f t="shared" si="12"/>
        <v>1.3760801115011731E-2</v>
      </c>
      <c r="V76" s="76">
        <f t="shared" si="12"/>
        <v>8.5001764507010007E-3</v>
      </c>
    </row>
    <row r="77" spans="1:22" s="3" customFormat="1" x14ac:dyDescent="0.35">
      <c r="A77" s="44" t="s">
        <v>14</v>
      </c>
      <c r="B77" s="76">
        <f>(B75*100/$B$75)-100</f>
        <v>0</v>
      </c>
      <c r="C77" s="76">
        <f t="shared" ref="C77:M77" si="13">(C75*100/$B$75)-100</f>
        <v>52.230564924894963</v>
      </c>
      <c r="D77" s="76">
        <f t="shared" si="13"/>
        <v>-16.627527679216001</v>
      </c>
      <c r="E77" s="76">
        <f t="shared" si="13"/>
        <v>252.37846111216862</v>
      </c>
      <c r="F77" s="76">
        <f t="shared" si="13"/>
        <v>6098.2144099087145</v>
      </c>
      <c r="G77" s="76">
        <f t="shared" si="13"/>
        <v>11026.100510323349</v>
      </c>
      <c r="H77" s="76">
        <f t="shared" si="13"/>
        <v>16490.193870128893</v>
      </c>
      <c r="I77" s="76">
        <f t="shared" si="13"/>
        <v>100.74535661230479</v>
      </c>
      <c r="J77" s="76">
        <f t="shared" si="13"/>
        <v>70.875758240021952</v>
      </c>
      <c r="K77" s="76">
        <f t="shared" si="13"/>
        <v>54.633316516900749</v>
      </c>
      <c r="L77" s="76">
        <f t="shared" si="13"/>
        <v>156.22276716812445</v>
      </c>
      <c r="M77" s="76">
        <f t="shared" si="13"/>
        <v>66.132375950987949</v>
      </c>
      <c r="N77" s="76"/>
      <c r="O77" s="76">
        <f>(O75*100/$O$75)-100</f>
        <v>0</v>
      </c>
      <c r="P77" s="76">
        <f t="shared" ref="P77:V77" si="14">(P75*100/$O$75)-100</f>
        <v>76.393130684317242</v>
      </c>
      <c r="Q77" s="76">
        <f t="shared" si="14"/>
        <v>-97.122058763010585</v>
      </c>
      <c r="R77" s="76">
        <f t="shared" si="14"/>
        <v>-21.10508174657366</v>
      </c>
      <c r="S77" s="76">
        <f t="shared" si="14"/>
        <v>-24.791620979205533</v>
      </c>
      <c r="T77" s="76">
        <f t="shared" si="14"/>
        <v>-88.143302601855765</v>
      </c>
      <c r="U77" s="76">
        <f t="shared" si="14"/>
        <v>-96.907249240342509</v>
      </c>
      <c r="V77" s="76">
        <f t="shared" si="14"/>
        <v>-97.319230002999007</v>
      </c>
    </row>
    <row r="78" spans="1:22" s="3" customFormat="1" x14ac:dyDescent="0.35">
      <c r="A78" s="44" t="s">
        <v>37</v>
      </c>
      <c r="B78" s="76">
        <f>[1]!DPTEST(B6:B53)</f>
        <v>7.3914642959388432E-3</v>
      </c>
      <c r="C78" s="76">
        <f>[1]!DPTEST(C6:C53)</f>
        <v>4.3975817682275764E-3</v>
      </c>
      <c r="D78" s="76">
        <f>[1]!DPTEST(D6:D53)</f>
        <v>4.9214038058131848E-6</v>
      </c>
      <c r="E78" s="76">
        <f>[1]!DPTEST(E6:E53)</f>
        <v>4.1178171983347056E-13</v>
      </c>
      <c r="F78" s="76">
        <f>[1]!DPTEST(F6:F53)</f>
        <v>3.42029205525618E-5</v>
      </c>
      <c r="G78" s="76">
        <f>[1]!DPTEST(G6:G53)</f>
        <v>0.34004540322102528</v>
      </c>
      <c r="H78" s="76">
        <f>[1]!DPTEST(H6:H53)</f>
        <v>0.19211226609301957</v>
      </c>
      <c r="I78" s="76">
        <f>[1]!DPTEST(I6:I53)</f>
        <v>2.1571726104396838E-5</v>
      </c>
      <c r="J78" s="76">
        <f>[1]!DPTEST(J6:J53)</f>
        <v>1.1741710543028749E-2</v>
      </c>
      <c r="K78" s="76">
        <f>[1]!DPTEST(K6:K53)</f>
        <v>7.2508958382511146E-5</v>
      </c>
      <c r="L78" s="76">
        <f>[1]!DPTEST(L6:L53)</f>
        <v>7.1091927011923683E-4</v>
      </c>
      <c r="M78" s="76">
        <f>[1]!DPTEST(M6:M53)</f>
        <v>4.815531580769794E-2</v>
      </c>
      <c r="N78" s="76"/>
      <c r="O78" s="76">
        <f>[1]!DPTEST(O6:O53)</f>
        <v>0.97110895096935934</v>
      </c>
      <c r="P78" s="76">
        <f>[1]!DPTEST(P6:P53)</f>
        <v>0.97168052551117123</v>
      </c>
      <c r="Q78" s="76">
        <f>[1]!DPTEST(Q6:Q53)</f>
        <v>1.2700290957455285E-2</v>
      </c>
      <c r="R78" s="76">
        <f>[1]!DPTEST(R6:R53)</f>
        <v>0.26757468661011674</v>
      </c>
      <c r="S78" s="76">
        <f>[1]!DPTEST(S6:S53)</f>
        <v>7.7490078629185777E-2</v>
      </c>
      <c r="T78" s="76">
        <f>[1]!DPTEST(T6:T53)</f>
        <v>1.0488366843733887E-3</v>
      </c>
      <c r="U78" s="76">
        <f>[1]!DPTEST(U6:U53)</f>
        <v>1.5489270682733647E-6</v>
      </c>
      <c r="V78" s="76">
        <f>[1]!DPTEST(V6:V53)</f>
        <v>5.6665887578657648E-2</v>
      </c>
    </row>
    <row r="79" spans="1:22" s="3" customFormat="1" x14ac:dyDescent="0.35">
      <c r="A79" s="44" t="s">
        <v>38</v>
      </c>
      <c r="B79" s="76" t="str">
        <f>IF(B78&gt;0.05,"Oui","Non")</f>
        <v>Non</v>
      </c>
      <c r="C79" s="76" t="str">
        <f t="shared" ref="C79:V79" si="15">IF(C78&gt;0.05,"Oui","Non")</f>
        <v>Non</v>
      </c>
      <c r="D79" s="76" t="str">
        <f t="shared" si="15"/>
        <v>Non</v>
      </c>
      <c r="E79" s="76" t="str">
        <f t="shared" si="15"/>
        <v>Non</v>
      </c>
      <c r="F79" s="76" t="str">
        <f t="shared" si="15"/>
        <v>Non</v>
      </c>
      <c r="G79" s="76" t="str">
        <f t="shared" si="15"/>
        <v>Oui</v>
      </c>
      <c r="H79" s="76" t="str">
        <f t="shared" si="15"/>
        <v>Oui</v>
      </c>
      <c r="I79" s="76" t="str">
        <f t="shared" si="15"/>
        <v>Non</v>
      </c>
      <c r="J79" s="76" t="str">
        <f t="shared" si="15"/>
        <v>Non</v>
      </c>
      <c r="K79" s="76" t="str">
        <f t="shared" si="15"/>
        <v>Non</v>
      </c>
      <c r="L79" s="76" t="str">
        <f t="shared" si="15"/>
        <v>Non</v>
      </c>
      <c r="M79" s="76" t="str">
        <f t="shared" si="15"/>
        <v>Non</v>
      </c>
      <c r="N79" s="76"/>
      <c r="O79" s="76" t="str">
        <f t="shared" si="15"/>
        <v>Oui</v>
      </c>
      <c r="P79" s="76" t="str">
        <f t="shared" si="15"/>
        <v>Oui</v>
      </c>
      <c r="Q79" s="76" t="str">
        <f t="shared" si="15"/>
        <v>Non</v>
      </c>
      <c r="R79" s="76" t="str">
        <f t="shared" si="15"/>
        <v>Oui</v>
      </c>
      <c r="S79" s="76" t="str">
        <f t="shared" si="15"/>
        <v>Oui</v>
      </c>
      <c r="T79" s="76" t="str">
        <f t="shared" si="15"/>
        <v>Non</v>
      </c>
      <c r="U79" s="76" t="str">
        <f t="shared" si="15"/>
        <v>Non</v>
      </c>
      <c r="V79" s="76" t="str">
        <f t="shared" si="15"/>
        <v>Oui</v>
      </c>
    </row>
    <row r="80" spans="1:22" s="3" customFormat="1" x14ac:dyDescent="0.35">
      <c r="A80" s="44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</row>
    <row r="81" spans="1:22" s="3" customFormat="1" x14ac:dyDescent="0.35">
      <c r="A81" s="44" t="s">
        <v>39</v>
      </c>
      <c r="B81" s="76"/>
      <c r="C81" s="76" t="s">
        <v>57</v>
      </c>
      <c r="D81" s="76" t="s">
        <v>57</v>
      </c>
      <c r="E81" s="76" t="s">
        <v>57</v>
      </c>
      <c r="F81" s="76" t="s">
        <v>57</v>
      </c>
      <c r="G81" s="76" t="s">
        <v>57</v>
      </c>
      <c r="H81" s="76" t="s">
        <v>57</v>
      </c>
      <c r="I81" s="76" t="s">
        <v>57</v>
      </c>
      <c r="J81" s="76" t="s">
        <v>57</v>
      </c>
      <c r="K81" s="76" t="s">
        <v>57</v>
      </c>
      <c r="L81" s="76" t="s">
        <v>57</v>
      </c>
      <c r="M81" s="76" t="s">
        <v>57</v>
      </c>
      <c r="N81" s="76"/>
      <c r="O81" s="76" t="str">
        <f>IF($B79="Non",IF(O79="Non","Mann Withney",IF(O79="Oui","Mann Withney","")),IF($B79="Oui",IF(O79="Oui","T-Test Welch",IF(O79="Non","Mann Withney",""))))</f>
        <v>Mann Withney</v>
      </c>
      <c r="P81" s="76" t="str">
        <f t="shared" ref="P81:Q81" si="16">IF($O79="Non",IF(P79="Non","Mann Withney",IF(P$79="Oui","Mann Withney","")),IF($O79="Oui",IF(P79="Oui","T-Test Welch",IF(P79="Non","Mann Withney",""))))</f>
        <v>T-Test Welch</v>
      </c>
      <c r="Q81" s="76" t="str">
        <f t="shared" si="16"/>
        <v>Mann Withney</v>
      </c>
      <c r="R81" s="76" t="s">
        <v>57</v>
      </c>
      <c r="S81" s="76" t="s">
        <v>57</v>
      </c>
      <c r="T81" s="76" t="s">
        <v>57</v>
      </c>
      <c r="U81" s="76" t="s">
        <v>57</v>
      </c>
      <c r="V81" s="76" t="s">
        <v>57</v>
      </c>
    </row>
    <row r="82" spans="1:22" s="3" customFormat="1" x14ac:dyDescent="0.35">
      <c r="A82" s="44" t="s">
        <v>40</v>
      </c>
      <c r="B82" s="76"/>
      <c r="C82" s="117">
        <v>0.99990000000000001</v>
      </c>
      <c r="D82" s="117">
        <v>0.99990000000000001</v>
      </c>
      <c r="E82" s="117">
        <v>0.99990000000000001</v>
      </c>
      <c r="F82" s="117">
        <v>1E-4</v>
      </c>
      <c r="G82" s="117">
        <v>1E-4</v>
      </c>
      <c r="H82" s="117">
        <v>1E-4</v>
      </c>
      <c r="I82" s="117" t="s">
        <v>54</v>
      </c>
      <c r="J82" s="117" t="s">
        <v>54</v>
      </c>
      <c r="K82" s="117" t="s">
        <v>54</v>
      </c>
      <c r="L82" s="117">
        <v>0.87960000000000005</v>
      </c>
      <c r="M82" s="117" t="s">
        <v>54</v>
      </c>
      <c r="N82" s="76"/>
      <c r="O82" s="117">
        <v>1E-4</v>
      </c>
      <c r="P82" s="76">
        <f>IF(P81="Mann Withney",[1]!MTEST($O6:$O53,P6:P53,2), IF(P81="T-Test Welch",_xlfn.T.TEST($O6:$O53,P6:P53,2,3),""))</f>
        <v>6.9081876813093944E-4</v>
      </c>
      <c r="Q82" s="117">
        <v>1E-4</v>
      </c>
      <c r="R82" s="117" t="s">
        <v>54</v>
      </c>
      <c r="S82" s="117">
        <v>0.94179999999999997</v>
      </c>
      <c r="T82" s="117" t="s">
        <v>56</v>
      </c>
      <c r="U82" s="117" t="s">
        <v>56</v>
      </c>
      <c r="V82" s="117" t="s">
        <v>56</v>
      </c>
    </row>
    <row r="83" spans="1:22" s="3" customFormat="1" ht="15" thickBot="1" x14ac:dyDescent="0.4">
      <c r="A83" s="45" t="s">
        <v>15</v>
      </c>
      <c r="B83" s="77"/>
      <c r="C83" s="77" t="str">
        <f t="shared" ref="C83:H83" si="17">IF(C82&gt;0.05,"NS",IF(C82&gt;0.01,"*",IF(C82&gt;0.001,"**","***")))</f>
        <v>NS</v>
      </c>
      <c r="D83" s="77" t="str">
        <f t="shared" si="17"/>
        <v>NS</v>
      </c>
      <c r="E83" s="77" t="str">
        <f t="shared" si="17"/>
        <v>NS</v>
      </c>
      <c r="F83" s="77" t="str">
        <f t="shared" si="17"/>
        <v>***</v>
      </c>
      <c r="G83" s="77" t="str">
        <f t="shared" si="17"/>
        <v>***</v>
      </c>
      <c r="H83" s="77" t="str">
        <f t="shared" si="17"/>
        <v>***</v>
      </c>
      <c r="I83" s="77" t="s">
        <v>53</v>
      </c>
      <c r="J83" s="77" t="s">
        <v>53</v>
      </c>
      <c r="K83" s="77" t="s">
        <v>53</v>
      </c>
      <c r="L83" s="77" t="s">
        <v>53</v>
      </c>
      <c r="M83" s="77" t="s">
        <v>53</v>
      </c>
      <c r="N83" s="77"/>
      <c r="O83" s="77" t="str">
        <f t="shared" ref="O83" si="18">IF(O82&gt;0.05,"NS",IF(O82&gt;0.01,"*",IF(O82&gt;0.001,"**","***")))</f>
        <v>***</v>
      </c>
      <c r="P83" s="77" t="str">
        <f t="shared" ref="P83" si="19">IF(P82&gt;0.05,"NS",IF(P82&gt;0.01,"*",IF(P82&gt;0.001,"**","***")))</f>
        <v>***</v>
      </c>
      <c r="Q83" s="77" t="str">
        <f t="shared" ref="Q83" si="20">IF(Q82&gt;0.05,"NS",IF(Q82&gt;0.01,"*",IF(Q82&gt;0.001,"**","***")))</f>
        <v>***</v>
      </c>
      <c r="R83" s="77" t="s">
        <v>53</v>
      </c>
      <c r="S83" s="77" t="s">
        <v>53</v>
      </c>
      <c r="T83" s="77" t="s">
        <v>55</v>
      </c>
      <c r="U83" s="77" t="s">
        <v>55</v>
      </c>
      <c r="V83" s="77" t="s">
        <v>55</v>
      </c>
    </row>
    <row r="84" spans="1:22" s="1" customFormat="1" x14ac:dyDescent="0.35"/>
    <row r="85" spans="1:22" s="1" customFormat="1" x14ac:dyDescent="0.35">
      <c r="A85" s="2"/>
    </row>
    <row r="86" spans="1:22" x14ac:dyDescent="0.35">
      <c r="A86" s="1"/>
      <c r="B86" s="1"/>
    </row>
    <row r="87" spans="1:22" x14ac:dyDescent="0.35">
      <c r="A87" s="1"/>
      <c r="B87" s="1"/>
    </row>
    <row r="88" spans="1:22" ht="15" thickBot="1" x14ac:dyDescent="0.4"/>
    <row r="89" spans="1:22" s="31" customFormat="1" ht="26.5" thickBot="1" x14ac:dyDescent="0.4">
      <c r="A89" s="32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</row>
    <row r="90" spans="1:22" ht="15" thickBot="1" x14ac:dyDescent="0.4"/>
    <row r="91" spans="1:22" s="31" customFormat="1" ht="26.5" thickBot="1" x14ac:dyDescent="0.4">
      <c r="A91" s="32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</row>
    <row r="92" spans="1:22" ht="15" thickBot="1" x14ac:dyDescent="0.4"/>
    <row r="93" spans="1:22" s="31" customFormat="1" ht="26.5" thickBot="1" x14ac:dyDescent="0.4">
      <c r="A93" s="149"/>
      <c r="B93" s="150"/>
      <c r="C93" s="150"/>
      <c r="D93" s="150"/>
      <c r="E93" s="150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/>
      <c r="R93" s="150"/>
      <c r="S93" s="150"/>
      <c r="T93" s="150"/>
      <c r="U93" s="150"/>
      <c r="V93" s="150"/>
    </row>
    <row r="94" spans="1:22" x14ac:dyDescent="0.35">
      <c r="B94" s="1">
        <f t="shared" ref="B94:V94" si="21">B75/$B$75</f>
        <v>1</v>
      </c>
      <c r="C94" s="1">
        <f t="shared" si="21"/>
        <v>1.5223056492489495</v>
      </c>
      <c r="D94" s="1">
        <f t="shared" si="21"/>
        <v>0.83372472320783997</v>
      </c>
      <c r="E94" s="1">
        <f t="shared" si="21"/>
        <v>3.5237846111216862</v>
      </c>
      <c r="F94" s="1">
        <f t="shared" si="21"/>
        <v>61.982144099087144</v>
      </c>
      <c r="G94" s="1">
        <f t="shared" si="21"/>
        <v>111.2610051032335</v>
      </c>
      <c r="H94" s="1">
        <f>H75/$B$75</f>
        <v>165.90193870128894</v>
      </c>
      <c r="I94" s="1">
        <f t="shared" si="21"/>
        <v>2.0074535661230479</v>
      </c>
      <c r="J94" s="1">
        <f t="shared" si="21"/>
        <v>1.7087575824002195</v>
      </c>
      <c r="K94" s="1">
        <f t="shared" si="21"/>
        <v>1.5463331651690078</v>
      </c>
      <c r="L94" s="1">
        <f t="shared" si="21"/>
        <v>2.5622276716812444</v>
      </c>
      <c r="M94" s="1">
        <f t="shared" si="21"/>
        <v>1.6613237595098795</v>
      </c>
      <c r="N94" s="1">
        <f t="shared" si="21"/>
        <v>0</v>
      </c>
      <c r="O94" s="1">
        <f t="shared" si="21"/>
        <v>65.497423595025126</v>
      </c>
      <c r="P94" s="1">
        <f t="shared" si="21"/>
        <v>115.53295599683349</v>
      </c>
      <c r="Q94" s="1">
        <f t="shared" si="21"/>
        <v>1.8849773628068673</v>
      </c>
      <c r="R94" s="1">
        <f t="shared" si="21"/>
        <v>51.674138803395444</v>
      </c>
      <c r="S94" s="1">
        <f t="shared" si="21"/>
        <v>49.259550586201762</v>
      </c>
      <c r="T94" s="1">
        <f t="shared" si="21"/>
        <v>7.7658313192428503</v>
      </c>
      <c r="U94" s="1">
        <f t="shared" si="21"/>
        <v>2.025672065791229</v>
      </c>
      <c r="V94" s="1">
        <f t="shared" si="21"/>
        <v>1.7558352805440871</v>
      </c>
    </row>
    <row r="98" spans="13:20" x14ac:dyDescent="0.35">
      <c r="N98" s="1"/>
      <c r="O98" s="1"/>
    </row>
    <row r="99" spans="13:20" x14ac:dyDescent="0.35">
      <c r="N99" s="1"/>
      <c r="O99" s="1"/>
    </row>
    <row r="100" spans="13:20" x14ac:dyDescent="0.35">
      <c r="N100" s="1"/>
      <c r="O100" s="1"/>
    </row>
    <row r="101" spans="13:20" x14ac:dyDescent="0.35">
      <c r="N101" s="1"/>
      <c r="O101" s="1"/>
      <c r="P101" s="1"/>
      <c r="Q101" s="1"/>
      <c r="R101" s="1"/>
      <c r="S101" s="1"/>
      <c r="T101" s="1"/>
    </row>
    <row r="102" spans="13:20" x14ac:dyDescent="0.35">
      <c r="N102" s="1"/>
      <c r="O102" s="1"/>
      <c r="P102" s="1"/>
      <c r="Q102" s="1"/>
      <c r="R102" s="1"/>
      <c r="S102" s="1"/>
      <c r="T102" s="1"/>
    </row>
    <row r="103" spans="13:20" x14ac:dyDescent="0.35">
      <c r="M103" s="1"/>
      <c r="N103" s="1"/>
    </row>
    <row r="104" spans="13:20" x14ac:dyDescent="0.35">
      <c r="M104" s="1"/>
      <c r="N104" s="1"/>
    </row>
    <row r="105" spans="13:20" x14ac:dyDescent="0.35">
      <c r="M105" s="1"/>
      <c r="N105" s="1"/>
    </row>
    <row r="107" spans="13:20" x14ac:dyDescent="0.35">
      <c r="N107" s="1"/>
      <c r="O107" s="1"/>
      <c r="P107" s="1"/>
      <c r="Q107" s="1"/>
      <c r="R107" s="1"/>
    </row>
    <row r="108" spans="13:20" x14ac:dyDescent="0.35">
      <c r="N108" s="1"/>
      <c r="O108" s="1"/>
      <c r="P108" s="1"/>
      <c r="Q108" s="1"/>
      <c r="R108" s="1"/>
    </row>
  </sheetData>
  <mergeCells count="10">
    <mergeCell ref="A7:A21"/>
    <mergeCell ref="A23:A37"/>
    <mergeCell ref="A93:V93"/>
    <mergeCell ref="O3:V3"/>
    <mergeCell ref="B3:M3"/>
    <mergeCell ref="A60:V60"/>
    <mergeCell ref="A72:V72"/>
    <mergeCell ref="A70:V70"/>
    <mergeCell ref="A65:V65"/>
    <mergeCell ref="A39:A53"/>
  </mergeCells>
  <pageMargins left="0.7" right="0.7" top="0.75" bottom="0.75" header="0.3" footer="0.3"/>
  <pageSetup paperSize="9" orientation="portrait" r:id="rId1"/>
  <headerFooter>
    <oddHeader>&amp;C&amp;"-,Gras"&amp;14Données poolées normalisées&amp;R&amp;"-,Gras"&amp;14Page : &amp;P/&amp;P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C436BD700BD428C1C0C71E54D8B5E" ma:contentTypeVersion="18" ma:contentTypeDescription="Create a new document." ma:contentTypeScope="" ma:versionID="782111b43a65dadfbc410eb6ccb7aa06">
  <xsd:schema xmlns:xsd="http://www.w3.org/2001/XMLSchema" xmlns:xs="http://www.w3.org/2001/XMLSchema" xmlns:p="http://schemas.microsoft.com/office/2006/metadata/properties" xmlns:ns2="cc801401-75a6-4297-ad63-d4d786ff6e7c" xmlns:ns3="508cc0b8-c8e1-4e41-95d2-be8416ed53ba" targetNamespace="http://schemas.microsoft.com/office/2006/metadata/properties" ma:root="true" ma:fieldsID="7f493af8791a6264672b29a70f2a6765" ns2:_="" ns3:_="">
    <xsd:import namespace="cc801401-75a6-4297-ad63-d4d786ff6e7c"/>
    <xsd:import namespace="508cc0b8-c8e1-4e41-95d2-be8416ed53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01401-75a6-4297-ad63-d4d786ff6e7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5" nillable="true" ma:displayName="Taxonomy Catch All Column" ma:hidden="true" ma:list="2e281972-ae1b-43a4-854f-cb1565a95e46" ma:internalName="TaxCatchAll" ma:showField="CatchAllData" ma:web="cc801401-75a6-4297-ad63-d4d786ff6e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8cc0b8-c8e1-4e41-95d2-be8416ed5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4f2cd92-8d93-4e4c-83d3-86703d9155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788614-CECC-44C6-8413-D44F4315FED0}"/>
</file>

<file path=customXml/itemProps2.xml><?xml version="1.0" encoding="utf-8"?>
<ds:datastoreItem xmlns:ds="http://schemas.openxmlformats.org/officeDocument/2006/customXml" ds:itemID="{8888935F-05E4-4A8F-B560-EA88D96219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5</vt:i4>
      </vt:variant>
      <vt:variant>
        <vt:lpstr>Graphiques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10" baseType="lpstr">
      <vt:lpstr>Front page</vt:lpstr>
      <vt:lpstr>R1</vt:lpstr>
      <vt:lpstr>R2</vt:lpstr>
      <vt:lpstr>R3</vt:lpstr>
      <vt:lpstr>pooled normalised values</vt:lpstr>
      <vt:lpstr>Graph R1</vt:lpstr>
      <vt:lpstr>Graph R2</vt:lpstr>
      <vt:lpstr>Graph R3</vt:lpstr>
      <vt:lpstr>pooled normalised graphe</vt:lpstr>
      <vt:lpstr>'Front page'!Zone_d_impression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2022-10-05T14:05:59Z</dcterms:modified>
</cp:coreProperties>
</file>