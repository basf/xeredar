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 hidePivotFieldList="1" defaultThemeVersion="124226"/>
  <xr:revisionPtr revIDLastSave="0" documentId="13_ncr:1_{AB9EAF61-9F12-4C13-A88B-A93BA194C48C}" xr6:coauthVersionLast="47" xr6:coauthVersionMax="47" xr10:uidLastSave="{00000000-0000-0000-0000-000000000000}"/>
  <bookViews>
    <workbookView xWindow="-45" yWindow="0" windowWidth="14055" windowHeight="11085" firstSheet="5" activeTab="7" xr2:uid="{00000000-000D-0000-FFFF-FFFF00000000}"/>
  </bookViews>
  <sheets>
    <sheet name="Front page" sheetId="10" r:id="rId1"/>
    <sheet name="R1" sheetId="1" r:id="rId2"/>
    <sheet name="Graph R1" sheetId="8" r:id="rId3"/>
    <sheet name="R2" sheetId="23" r:id="rId4"/>
    <sheet name="Graph R2" sheetId="19" r:id="rId5"/>
    <sheet name="R3" sheetId="33" r:id="rId6"/>
    <sheet name="Graph R3" sheetId="34" r:id="rId7"/>
    <sheet name="pooled normalised values" sheetId="4" r:id="rId8"/>
    <sheet name="pooled normalised graphe" sheetId="5" r:id="rId9"/>
  </sheets>
  <externalReferences>
    <externalReference r:id="rId10"/>
  </externalReferences>
  <definedNames>
    <definedName name="_xlnm.Print_Area" localSheetId="0">'Front page'!$A$1:$I$51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0" l="1"/>
  <c r="R31" i="1"/>
  <c r="S31" i="1"/>
  <c r="T31" i="1"/>
  <c r="U31" i="1"/>
  <c r="V31" i="1"/>
  <c r="R32" i="1"/>
  <c r="S32" i="1"/>
  <c r="T32" i="1"/>
  <c r="U32" i="1"/>
  <c r="V32" i="1"/>
  <c r="R33" i="1"/>
  <c r="S33" i="1"/>
  <c r="T33" i="1"/>
  <c r="U33" i="1"/>
  <c r="V33" i="1"/>
  <c r="R34" i="1"/>
  <c r="S34" i="1"/>
  <c r="T34" i="1"/>
  <c r="U34" i="1"/>
  <c r="V34" i="1"/>
  <c r="R35" i="1"/>
  <c r="S35" i="1"/>
  <c r="T35" i="1"/>
  <c r="U35" i="1"/>
  <c r="V35" i="1"/>
  <c r="P36" i="1"/>
  <c r="Q36" i="1"/>
  <c r="R36" i="1"/>
  <c r="S36" i="1"/>
  <c r="T36" i="1"/>
  <c r="U36" i="1"/>
  <c r="V36" i="1"/>
  <c r="I34" i="1"/>
  <c r="J34" i="1"/>
  <c r="K34" i="1"/>
  <c r="L34" i="1"/>
  <c r="M34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A52" i="23"/>
  <c r="A45" i="33"/>
  <c r="A27" i="33"/>
  <c r="A52" i="33" s="1"/>
  <c r="A22" i="33"/>
  <c r="A45" i="23"/>
  <c r="A27" i="23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K35" i="33"/>
  <c r="K45" i="4" s="1"/>
  <c r="C35" i="33"/>
  <c r="C45" i="4" s="1"/>
  <c r="G34" i="33"/>
  <c r="G44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K29" i="33"/>
  <c r="K39" i="4" s="1"/>
  <c r="C29" i="33"/>
  <c r="C39" i="4" s="1"/>
  <c r="V28" i="33"/>
  <c r="U28" i="33"/>
  <c r="T28" i="33"/>
  <c r="S28" i="33"/>
  <c r="R28" i="33"/>
  <c r="Q28" i="33"/>
  <c r="P28" i="33"/>
  <c r="K28" i="33"/>
  <c r="G28" i="33"/>
  <c r="C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D29" i="33" l="1"/>
  <c r="D39" i="4" s="1"/>
  <c r="I28" i="33"/>
  <c r="M29" i="33"/>
  <c r="M39" i="4" s="1"/>
  <c r="E35" i="33"/>
  <c r="E45" i="4" s="1"/>
  <c r="B28" i="33"/>
  <c r="J28" i="33"/>
  <c r="F29" i="33"/>
  <c r="F39" i="4" s="1"/>
  <c r="O29" i="33"/>
  <c r="O39" i="4" s="1"/>
  <c r="O30" i="33"/>
  <c r="O40" i="4" s="1"/>
  <c r="B34" i="33"/>
  <c r="B44" i="4" s="1"/>
  <c r="J34" i="33"/>
  <c r="J44" i="4" s="1"/>
  <c r="F35" i="33"/>
  <c r="F45" i="4" s="1"/>
  <c r="O35" i="33"/>
  <c r="O45" i="4" s="1"/>
  <c r="O37" i="33"/>
  <c r="O47" i="4" s="1"/>
  <c r="O39" i="33"/>
  <c r="O49" i="4" s="1"/>
  <c r="O41" i="33"/>
  <c r="O51" i="4" s="1"/>
  <c r="O43" i="33"/>
  <c r="O53" i="4" s="1"/>
  <c r="K34" i="33"/>
  <c r="K44" i="4" s="1"/>
  <c r="L28" i="33"/>
  <c r="H29" i="33"/>
  <c r="H39" i="4" s="1"/>
  <c r="D34" i="33"/>
  <c r="D44" i="4" s="1"/>
  <c r="L34" i="33"/>
  <c r="L44" i="4" s="1"/>
  <c r="H35" i="33"/>
  <c r="H45" i="4" s="1"/>
  <c r="D28" i="33"/>
  <c r="D38" i="4" s="1"/>
  <c r="M28" i="33"/>
  <c r="I35" i="33"/>
  <c r="I45" i="4" s="1"/>
  <c r="G29" i="33"/>
  <c r="G39" i="4" s="1"/>
  <c r="C34" i="33"/>
  <c r="C44" i="4" s="1"/>
  <c r="G35" i="33"/>
  <c r="G45" i="4" s="1"/>
  <c r="E28" i="33"/>
  <c r="I29" i="33"/>
  <c r="I39" i="4" s="1"/>
  <c r="E34" i="33"/>
  <c r="E44" i="4" s="1"/>
  <c r="M34" i="33"/>
  <c r="M44" i="4" s="1"/>
  <c r="F28" i="33"/>
  <c r="O28" i="33"/>
  <c r="B29" i="33"/>
  <c r="B39" i="4" s="1"/>
  <c r="J29" i="33"/>
  <c r="J39" i="4" s="1"/>
  <c r="F34" i="33"/>
  <c r="F44" i="4" s="1"/>
  <c r="B35" i="33"/>
  <c r="B45" i="4" s="1"/>
  <c r="J35" i="33"/>
  <c r="J45" i="4" s="1"/>
  <c r="O36" i="33"/>
  <c r="O46" i="4" s="1"/>
  <c r="O38" i="33"/>
  <c r="O48" i="4" s="1"/>
  <c r="O40" i="33"/>
  <c r="O50" i="4" s="1"/>
  <c r="O42" i="33"/>
  <c r="O52" i="4" s="1"/>
  <c r="H28" i="33"/>
  <c r="L29" i="33"/>
  <c r="L39" i="4" s="1"/>
  <c r="H34" i="33"/>
  <c r="H44" i="4" s="1"/>
  <c r="D35" i="33"/>
  <c r="D45" i="4" s="1"/>
  <c r="L35" i="33"/>
  <c r="L45" i="4" s="1"/>
  <c r="E29" i="33"/>
  <c r="E39" i="4" s="1"/>
  <c r="I34" i="33"/>
  <c r="I44" i="4" s="1"/>
  <c r="M35" i="33"/>
  <c r="M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H38" i="4"/>
  <c r="U38" i="4"/>
  <c r="I38" i="4"/>
  <c r="V38" i="4"/>
  <c r="E38" i="4"/>
  <c r="M38" i="4"/>
  <c r="R38" i="4"/>
  <c r="B38" i="4"/>
  <c r="B22" i="33"/>
  <c r="E22" i="33"/>
  <c r="I45" i="33"/>
  <c r="I52" i="33"/>
  <c r="I27" i="33"/>
  <c r="C38" i="4"/>
  <c r="G38" i="4"/>
  <c r="K47" i="33"/>
  <c r="K38" i="4"/>
  <c r="P38" i="4"/>
  <c r="T38" i="4"/>
  <c r="B27" i="33"/>
  <c r="B52" i="33" s="1"/>
  <c r="L38" i="4"/>
  <c r="Q38" i="4"/>
  <c r="D27" i="33"/>
  <c r="D52" i="33" s="1"/>
  <c r="I22" i="33"/>
  <c r="E27" i="33"/>
  <c r="E52" i="33" s="1"/>
  <c r="F38" i="4"/>
  <c r="J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T56" i="33"/>
  <c r="O56" i="33"/>
  <c r="R56" i="33"/>
  <c r="V56" i="33"/>
  <c r="Q56" i="33"/>
  <c r="P56" i="33"/>
  <c r="U56" i="33"/>
  <c r="S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S47" i="33" l="1"/>
  <c r="S48" i="33" s="1"/>
  <c r="S54" i="33" s="1"/>
  <c r="L47" i="33"/>
  <c r="R47" i="33"/>
  <c r="R48" i="33" s="1"/>
  <c r="R54" i="33" s="1"/>
  <c r="I47" i="33"/>
  <c r="I48" i="33" s="1"/>
  <c r="I54" i="33" s="1"/>
  <c r="G47" i="33"/>
  <c r="G48" i="33" s="1"/>
  <c r="G54" i="33" s="1"/>
  <c r="E46" i="33"/>
  <c r="E53" i="33" s="1"/>
  <c r="C47" i="33"/>
  <c r="C48" i="33" s="1"/>
  <c r="C54" i="33" s="1"/>
  <c r="R46" i="33"/>
  <c r="R53" i="33" s="1"/>
  <c r="Q46" i="33"/>
  <c r="Q53" i="33" s="1"/>
  <c r="I46" i="33"/>
  <c r="I53" i="33" s="1"/>
  <c r="H46" i="33"/>
  <c r="H53" i="33" s="1"/>
  <c r="D46" i="33"/>
  <c r="D53" i="33" s="1"/>
  <c r="H47" i="33"/>
  <c r="H48" i="33" s="1"/>
  <c r="H54" i="33" s="1"/>
  <c r="G46" i="33"/>
  <c r="G53" i="33" s="1"/>
  <c r="S57" i="33"/>
  <c r="V57" i="33"/>
  <c r="U57" i="33"/>
  <c r="P57" i="33"/>
  <c r="O57" i="33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F60" i="33" s="1"/>
  <c r="E57" i="33"/>
  <c r="D57" i="33"/>
  <c r="C57" i="33"/>
  <c r="T57" i="33"/>
  <c r="S41" i="4"/>
  <c r="V41" i="4"/>
  <c r="U41" i="4"/>
  <c r="P41" i="4"/>
  <c r="L48" i="33"/>
  <c r="L54" i="33" s="1"/>
  <c r="K48" i="33"/>
  <c r="K54" i="33" s="1"/>
  <c r="O41" i="4"/>
  <c r="M40" i="4"/>
  <c r="R41" i="4"/>
  <c r="K40" i="4"/>
  <c r="J40" i="4"/>
  <c r="F40" i="4"/>
  <c r="O47" i="33"/>
  <c r="O48" i="33" s="1"/>
  <c r="O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P55" i="33" s="1"/>
  <c r="L46" i="33"/>
  <c r="L53" i="33" s="1"/>
  <c r="K46" i="33"/>
  <c r="K53" i="33" s="1"/>
  <c r="Q59" i="33" l="1"/>
  <c r="Q60" i="33" s="1"/>
  <c r="Q61" i="33" s="1"/>
  <c r="M55" i="33"/>
  <c r="E59" i="33"/>
  <c r="E60" i="33" s="1"/>
  <c r="E61" i="33" s="1"/>
  <c r="J59" i="33"/>
  <c r="J60" i="33" s="1"/>
  <c r="J61" i="33" s="1"/>
  <c r="R59" i="33"/>
  <c r="U59" i="33"/>
  <c r="U60" i="33" s="1"/>
  <c r="U61" i="33" s="1"/>
  <c r="T59" i="33"/>
  <c r="T60" i="33" s="1"/>
  <c r="H59" i="33"/>
  <c r="V59" i="33"/>
  <c r="V60" i="33" s="1"/>
  <c r="P59" i="33"/>
  <c r="P60" i="33" s="1"/>
  <c r="S59" i="33"/>
  <c r="S60" i="33" s="1"/>
  <c r="S55" i="33"/>
  <c r="L59" i="33"/>
  <c r="L60" i="33" s="1"/>
  <c r="D59" i="33"/>
  <c r="O59" i="33"/>
  <c r="O60" i="33" s="1"/>
  <c r="C59" i="33"/>
  <c r="C60" i="33" s="1"/>
  <c r="G59" i="33"/>
  <c r="G60" i="33" s="1"/>
  <c r="I59" i="33"/>
  <c r="I60" i="33" s="1"/>
  <c r="K59" i="33"/>
  <c r="K60" i="33" s="1"/>
  <c r="M59" i="33"/>
  <c r="M60" i="33" s="1"/>
  <c r="F61" i="33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R60" i="33"/>
  <c r="D60" i="33"/>
  <c r="H60" i="33"/>
  <c r="O61" i="33" l="1"/>
  <c r="P61" i="33"/>
  <c r="I61" i="33"/>
  <c r="G61" i="33"/>
  <c r="V61" i="33"/>
  <c r="C61" i="33"/>
  <c r="H61" i="33"/>
  <c r="T61" i="33"/>
  <c r="D61" i="33"/>
  <c r="L61" i="33"/>
  <c r="R61" i="33"/>
  <c r="M61" i="33"/>
  <c r="K61" i="33"/>
  <c r="S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R28" i="23"/>
  <c r="S28" i="23"/>
  <c r="T28" i="23"/>
  <c r="U28" i="23"/>
  <c r="V28" i="23"/>
  <c r="R29" i="23"/>
  <c r="R23" i="4" s="1"/>
  <c r="S29" i="23"/>
  <c r="S23" i="4" s="1"/>
  <c r="T29" i="23"/>
  <c r="T23" i="4" s="1"/>
  <c r="U29" i="23"/>
  <c r="U23" i="4" s="1"/>
  <c r="V29" i="23"/>
  <c r="V23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R31" i="23"/>
  <c r="R25" i="4" s="1"/>
  <c r="S31" i="23"/>
  <c r="S25" i="4" s="1"/>
  <c r="T31" i="23"/>
  <c r="T25" i="4" s="1"/>
  <c r="U31" i="23"/>
  <c r="U25" i="4" s="1"/>
  <c r="V31" i="23"/>
  <c r="V25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O39" i="23"/>
  <c r="O33" i="4" s="1"/>
  <c r="K28" i="23"/>
  <c r="L28" i="23"/>
  <c r="M28" i="23"/>
  <c r="K29" i="23"/>
  <c r="K23" i="4" s="1"/>
  <c r="L29" i="23"/>
  <c r="M29" i="23"/>
  <c r="M23" i="4" s="1"/>
  <c r="K30" i="23"/>
  <c r="K24" i="4" s="1"/>
  <c r="L30" i="23"/>
  <c r="L24" i="4" s="1"/>
  <c r="M30" i="23"/>
  <c r="M24" i="4" s="1"/>
  <c r="K31" i="23"/>
  <c r="K25" i="4" s="1"/>
  <c r="L31" i="23"/>
  <c r="L25" i="4" s="1"/>
  <c r="M31" i="23"/>
  <c r="M25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28" i="1"/>
  <c r="T28" i="1"/>
  <c r="U28" i="1"/>
  <c r="V28" i="1"/>
  <c r="S29" i="1"/>
  <c r="S7" i="4" s="1"/>
  <c r="T29" i="1"/>
  <c r="T7" i="4" s="1"/>
  <c r="U29" i="1"/>
  <c r="U7" i="4" s="1"/>
  <c r="V29" i="1"/>
  <c r="V7" i="4" s="1"/>
  <c r="S30" i="1"/>
  <c r="S8" i="4" s="1"/>
  <c r="T30" i="1"/>
  <c r="T8" i="4" s="1"/>
  <c r="U30" i="1"/>
  <c r="U8" i="4" s="1"/>
  <c r="V30" i="1"/>
  <c r="V8" i="4" s="1"/>
  <c r="S13" i="4"/>
  <c r="T13" i="4"/>
  <c r="U13" i="4"/>
  <c r="V13" i="4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28" i="1"/>
  <c r="L28" i="1"/>
  <c r="M28" i="1"/>
  <c r="K29" i="1"/>
  <c r="K7" i="4" s="1"/>
  <c r="L29" i="1"/>
  <c r="L7" i="4" s="1"/>
  <c r="M29" i="1"/>
  <c r="M7" i="4" s="1"/>
  <c r="K12" i="4"/>
  <c r="L12" i="4"/>
  <c r="M12" i="4"/>
  <c r="K13" i="4"/>
  <c r="L13" i="4"/>
  <c r="M13" i="4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J28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Q31" i="4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C28" i="23"/>
  <c r="J29" i="23"/>
  <c r="J23" i="4" s="1"/>
  <c r="J40" i="23"/>
  <c r="J34" i="4" s="1"/>
  <c r="J36" i="23"/>
  <c r="J30" i="4" s="1"/>
  <c r="G31" i="23"/>
  <c r="G25" i="4" s="1"/>
  <c r="I29" i="23"/>
  <c r="I23" i="4" s="1"/>
  <c r="J28" i="23"/>
  <c r="F28" i="23"/>
  <c r="J42" i="23"/>
  <c r="J36" i="4" s="1"/>
  <c r="J38" i="23"/>
  <c r="J32" i="4" s="1"/>
  <c r="I31" i="23"/>
  <c r="I25" i="4" s="1"/>
  <c r="E31" i="23"/>
  <c r="E25" i="4" s="1"/>
  <c r="J30" i="23"/>
  <c r="J24" i="4" s="1"/>
  <c r="D28" i="23"/>
  <c r="J41" i="23"/>
  <c r="J35" i="4" s="1"/>
  <c r="J37" i="23"/>
  <c r="J31" i="4" s="1"/>
  <c r="I34" i="23"/>
  <c r="I28" i="4" s="1"/>
  <c r="J43" i="23"/>
  <c r="J39" i="23"/>
  <c r="J33" i="4" s="1"/>
  <c r="I32" i="23"/>
  <c r="I26" i="4" s="1"/>
  <c r="J31" i="23"/>
  <c r="J25" i="4" s="1"/>
  <c r="F31" i="23"/>
  <c r="F25" i="4" s="1"/>
  <c r="G30" i="23"/>
  <c r="G24" i="4" s="1"/>
  <c r="C30" i="23"/>
  <c r="C24" i="4" s="1"/>
  <c r="L23" i="4"/>
  <c r="H29" i="23"/>
  <c r="H23" i="4" s="1"/>
  <c r="D29" i="23"/>
  <c r="D23" i="4" s="1"/>
  <c r="I28" i="23"/>
  <c r="G29" i="23"/>
  <c r="G23" i="4" s="1"/>
  <c r="H28" i="23"/>
  <c r="H31" i="23"/>
  <c r="H25" i="4" s="1"/>
  <c r="I30" i="23"/>
  <c r="I24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T22" i="4"/>
  <c r="I23" i="1"/>
  <c r="I24" i="1"/>
  <c r="J29" i="1"/>
  <c r="J7" i="4" s="1"/>
  <c r="J12" i="4"/>
  <c r="J13" i="4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H27" i="1"/>
  <c r="H52" i="1" s="1"/>
  <c r="G27" i="1"/>
  <c r="G52" i="1" s="1"/>
  <c r="F27" i="1"/>
  <c r="F52" i="1" s="1"/>
  <c r="E4" i="4"/>
  <c r="D22" i="1"/>
  <c r="C45" i="1"/>
  <c r="G29" i="1"/>
  <c r="I12" i="4"/>
  <c r="I29" i="1"/>
  <c r="F29" i="1"/>
  <c r="F7" i="4" s="1"/>
  <c r="O39" i="1"/>
  <c r="O17" i="4" s="1"/>
  <c r="O43" i="1"/>
  <c r="O42" i="1"/>
  <c r="O20" i="4" s="1"/>
  <c r="O40" i="1"/>
  <c r="O18" i="4" s="1"/>
  <c r="P28" i="1"/>
  <c r="P30" i="1"/>
  <c r="P8" i="4" s="1"/>
  <c r="O41" i="1"/>
  <c r="O19" i="4" s="1"/>
  <c r="Q28" i="1"/>
  <c r="O38" i="1"/>
  <c r="O16" i="4" s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T56" i="1"/>
  <c r="V56" i="1"/>
  <c r="U56" i="1"/>
  <c r="S56" i="1"/>
  <c r="E28" i="23" l="1"/>
  <c r="C29" i="23"/>
  <c r="C23" i="4" s="1"/>
  <c r="O29" i="23"/>
  <c r="O23" i="4" s="1"/>
  <c r="P32" i="23"/>
  <c r="P26" i="4" s="1"/>
  <c r="F30" i="23"/>
  <c r="F24" i="4" s="1"/>
  <c r="E29" i="23"/>
  <c r="E23" i="4" s="1"/>
  <c r="S22" i="4"/>
  <c r="O43" i="23"/>
  <c r="O37" i="4" s="1"/>
  <c r="Q28" i="23"/>
  <c r="G28" i="23"/>
  <c r="D30" i="23"/>
  <c r="D24" i="4" s="1"/>
  <c r="D31" i="23"/>
  <c r="D25" i="4" s="1"/>
  <c r="O42" i="23"/>
  <c r="O36" i="4" s="1"/>
  <c r="Q29" i="23"/>
  <c r="Q23" i="4" s="1"/>
  <c r="P28" i="23"/>
  <c r="H30" i="23"/>
  <c r="H24" i="4" s="1"/>
  <c r="F29" i="23"/>
  <c r="F23" i="4" s="1"/>
  <c r="O41" i="23"/>
  <c r="O35" i="4" s="1"/>
  <c r="Q30" i="23"/>
  <c r="Q24" i="4" s="1"/>
  <c r="P29" i="23"/>
  <c r="C31" i="23"/>
  <c r="C25" i="4" s="1"/>
  <c r="E30" i="23"/>
  <c r="E24" i="4" s="1"/>
  <c r="O40" i="23"/>
  <c r="O34" i="4" s="1"/>
  <c r="Q31" i="23"/>
  <c r="Q25" i="4" s="1"/>
  <c r="P30" i="23"/>
  <c r="P24" i="4" s="1"/>
  <c r="E35" i="1"/>
  <c r="E13" i="4" s="1"/>
  <c r="F34" i="1"/>
  <c r="F12" i="4" s="1"/>
  <c r="O31" i="1"/>
  <c r="O32" i="1"/>
  <c r="O10" i="4" s="1"/>
  <c r="O33" i="1"/>
  <c r="O34" i="1"/>
  <c r="O35" i="1"/>
  <c r="O13" i="4" s="1"/>
  <c r="O36" i="1"/>
  <c r="B34" i="1"/>
  <c r="F35" i="1"/>
  <c r="F13" i="4" s="1"/>
  <c r="P31" i="1"/>
  <c r="P32" i="1"/>
  <c r="P33" i="1"/>
  <c r="P11" i="4" s="1"/>
  <c r="P34" i="1"/>
  <c r="P35" i="1"/>
  <c r="C34" i="1"/>
  <c r="G35" i="1"/>
  <c r="G13" i="4" s="1"/>
  <c r="D35" i="1"/>
  <c r="D13" i="4" s="1"/>
  <c r="Q31" i="1"/>
  <c r="Q32" i="1"/>
  <c r="Q33" i="1"/>
  <c r="Q34" i="1"/>
  <c r="Q35" i="1"/>
  <c r="Q13" i="4" s="1"/>
  <c r="D34" i="1"/>
  <c r="D12" i="4" s="1"/>
  <c r="H35" i="1"/>
  <c r="H13" i="4" s="1"/>
  <c r="E34" i="1"/>
  <c r="H34" i="1"/>
  <c r="H12" i="4" s="1"/>
  <c r="B35" i="1"/>
  <c r="G34" i="1"/>
  <c r="G12" i="4" s="1"/>
  <c r="C35" i="1"/>
  <c r="C13" i="4" s="1"/>
  <c r="E29" i="1"/>
  <c r="E7" i="4" s="1"/>
  <c r="C34" i="23"/>
  <c r="C28" i="4" s="1"/>
  <c r="C33" i="23"/>
  <c r="C27" i="4" s="1"/>
  <c r="U22" i="4"/>
  <c r="K22" i="4"/>
  <c r="C29" i="1"/>
  <c r="C7" i="4" s="1"/>
  <c r="B30" i="1"/>
  <c r="F30" i="1"/>
  <c r="F8" i="4" s="1"/>
  <c r="J30" i="1"/>
  <c r="B31" i="1"/>
  <c r="B9" i="4" s="1"/>
  <c r="F31" i="1"/>
  <c r="J31" i="1"/>
  <c r="J9" i="4" s="1"/>
  <c r="B32" i="1"/>
  <c r="F32" i="1"/>
  <c r="J32" i="1"/>
  <c r="J10" i="4" s="1"/>
  <c r="B33" i="1"/>
  <c r="F33" i="1"/>
  <c r="F11" i="4" s="1"/>
  <c r="J33" i="1"/>
  <c r="J11" i="4" s="1"/>
  <c r="C30" i="1"/>
  <c r="G30" i="1"/>
  <c r="K30" i="1"/>
  <c r="C31" i="1"/>
  <c r="G31" i="1"/>
  <c r="G9" i="4" s="1"/>
  <c r="K31" i="1"/>
  <c r="C32" i="1"/>
  <c r="G32" i="1"/>
  <c r="G10" i="4" s="1"/>
  <c r="K32" i="1"/>
  <c r="C33" i="1"/>
  <c r="G33" i="1"/>
  <c r="K33" i="1"/>
  <c r="H30" i="1"/>
  <c r="H8" i="4" s="1"/>
  <c r="L30" i="1"/>
  <c r="D31" i="1"/>
  <c r="D9" i="4" s="1"/>
  <c r="L31" i="1"/>
  <c r="L9" i="4" s="1"/>
  <c r="D32" i="1"/>
  <c r="L32" i="1"/>
  <c r="D33" i="1"/>
  <c r="D11" i="4" s="1"/>
  <c r="L33" i="1"/>
  <c r="D30" i="1"/>
  <c r="H31" i="1"/>
  <c r="H32" i="1"/>
  <c r="H10" i="4" s="1"/>
  <c r="H33" i="1"/>
  <c r="H11" i="4" s="1"/>
  <c r="E30" i="1"/>
  <c r="I30" i="1"/>
  <c r="M30" i="1"/>
  <c r="E31" i="1"/>
  <c r="I31" i="1"/>
  <c r="I9" i="4" s="1"/>
  <c r="M31" i="1"/>
  <c r="E32" i="1"/>
  <c r="E10" i="4" s="1"/>
  <c r="I32" i="1"/>
  <c r="I10" i="4" s="1"/>
  <c r="M32" i="1"/>
  <c r="M10" i="4" s="1"/>
  <c r="E33" i="1"/>
  <c r="I33" i="1"/>
  <c r="I11" i="4" s="1"/>
  <c r="M33" i="1"/>
  <c r="F33" i="23"/>
  <c r="F27" i="4" s="1"/>
  <c r="E35" i="23"/>
  <c r="E29" i="4" s="1"/>
  <c r="H34" i="23"/>
  <c r="H28" i="4" s="1"/>
  <c r="G8" i="4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E8" i="4"/>
  <c r="B11" i="4"/>
  <c r="F10" i="4"/>
  <c r="U11" i="4"/>
  <c r="T10" i="4"/>
  <c r="S9" i="4"/>
  <c r="L10" i="4"/>
  <c r="V12" i="4"/>
  <c r="M11" i="4"/>
  <c r="R11" i="4"/>
  <c r="U12" i="4"/>
  <c r="K11" i="4"/>
  <c r="M9" i="4"/>
  <c r="L8" i="4"/>
  <c r="T12" i="4"/>
  <c r="S11" i="4"/>
  <c r="V10" i="4"/>
  <c r="U9" i="4"/>
  <c r="L11" i="4"/>
  <c r="K10" i="4"/>
  <c r="T11" i="4"/>
  <c r="S10" i="4"/>
  <c r="V9" i="4"/>
  <c r="Q12" i="4"/>
  <c r="E11" i="4"/>
  <c r="Q11" i="4"/>
  <c r="P12" i="4"/>
  <c r="Q9" i="4"/>
  <c r="I8" i="4"/>
  <c r="C11" i="4"/>
  <c r="S12" i="4"/>
  <c r="V11" i="4"/>
  <c r="U10" i="4"/>
  <c r="T9" i="4"/>
  <c r="D22" i="4"/>
  <c r="L22" i="4"/>
  <c r="E22" i="4"/>
  <c r="M22" i="4"/>
  <c r="H22" i="4"/>
  <c r="I22" i="4"/>
  <c r="C22" i="4"/>
  <c r="G22" i="4"/>
  <c r="Q22" i="4"/>
  <c r="F22" i="4"/>
  <c r="J22" i="4"/>
  <c r="P22" i="4"/>
  <c r="T6" i="4"/>
  <c r="J6" i="4"/>
  <c r="K6" i="4"/>
  <c r="S6" i="4"/>
  <c r="Q6" i="4"/>
  <c r="L6" i="4"/>
  <c r="P6" i="4"/>
  <c r="M6" i="4"/>
  <c r="U6" i="4"/>
  <c r="T4" i="33"/>
  <c r="T22" i="33" s="1"/>
  <c r="Q22" i="1"/>
  <c r="R13" i="4"/>
  <c r="H29" i="1"/>
  <c r="E28" i="1"/>
  <c r="F28" i="1"/>
  <c r="R41" i="1"/>
  <c r="R19" i="4" s="1"/>
  <c r="R37" i="1"/>
  <c r="R15" i="4" s="1"/>
  <c r="Q29" i="1"/>
  <c r="O37" i="1"/>
  <c r="O15" i="4" s="1"/>
  <c r="P29" i="1"/>
  <c r="B12" i="4"/>
  <c r="B13" i="4"/>
  <c r="C12" i="4"/>
  <c r="I28" i="1"/>
  <c r="H28" i="1"/>
  <c r="G28" i="1"/>
  <c r="E9" i="4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O21" i="4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P9" i="4"/>
  <c r="H22" i="23"/>
  <c r="P37" i="1"/>
  <c r="F22" i="23"/>
  <c r="H45" i="23"/>
  <c r="R9" i="4"/>
  <c r="R22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11" i="4"/>
  <c r="O30" i="1"/>
  <c r="O8" i="4" s="1"/>
  <c r="O9" i="4"/>
  <c r="K9" i="4"/>
  <c r="D28" i="1"/>
  <c r="B28" i="1"/>
  <c r="B8" i="4"/>
  <c r="C28" i="1"/>
  <c r="O28" i="1"/>
  <c r="C8" i="4"/>
  <c r="C9" i="4"/>
  <c r="D29" i="1"/>
  <c r="D7" i="4" s="1"/>
  <c r="S47" i="1"/>
  <c r="S48" i="1" s="1"/>
  <c r="S54" i="1" s="1"/>
  <c r="V6" i="4"/>
  <c r="G21" i="4"/>
  <c r="I21" i="4"/>
  <c r="F21" i="4"/>
  <c r="H21" i="4"/>
  <c r="E21" i="4"/>
  <c r="L52" i="23"/>
  <c r="D17" i="4"/>
  <c r="H9" i="4"/>
  <c r="G7" i="4"/>
  <c r="C4" i="4"/>
  <c r="E47" i="23"/>
  <c r="E48" i="23" s="1"/>
  <c r="E54" i="23" s="1"/>
  <c r="G27" i="23"/>
  <c r="G52" i="23" s="1"/>
  <c r="K27" i="23"/>
  <c r="L22" i="1"/>
  <c r="I7" i="4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Q56" i="23"/>
  <c r="J56" i="23"/>
  <c r="L56" i="23"/>
  <c r="S56" i="23"/>
  <c r="M56" i="23"/>
  <c r="K56" i="23"/>
  <c r="V56" i="23"/>
  <c r="O56" i="23"/>
  <c r="R56" i="23"/>
  <c r="P56" i="23"/>
  <c r="U56" i="23"/>
  <c r="T56" i="23"/>
  <c r="I56" i="23"/>
  <c r="D56" i="23"/>
  <c r="G56" i="23"/>
  <c r="H56" i="23"/>
  <c r="C56" i="23"/>
  <c r="E56" i="23"/>
  <c r="B56" i="23"/>
  <c r="F56" i="23"/>
  <c r="I56" i="1"/>
  <c r="O56" i="1"/>
  <c r="J56" i="1"/>
  <c r="G56" i="1"/>
  <c r="K56" i="1"/>
  <c r="P56" i="1"/>
  <c r="E56" i="1"/>
  <c r="M56" i="1"/>
  <c r="B56" i="1"/>
  <c r="Q56" i="1"/>
  <c r="H56" i="1"/>
  <c r="R56" i="1"/>
  <c r="L56" i="1"/>
  <c r="F56" i="1"/>
  <c r="C56" i="1"/>
  <c r="D56" i="1"/>
  <c r="M46" i="23" l="1"/>
  <c r="M53" i="23" s="1"/>
  <c r="T27" i="4"/>
  <c r="J8" i="4"/>
  <c r="M8" i="4"/>
  <c r="K8" i="4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I27" i="4"/>
  <c r="U27" i="4"/>
  <c r="M26" i="4"/>
  <c r="M63" i="4" s="1"/>
  <c r="M64" i="4" s="1"/>
  <c r="G26" i="4"/>
  <c r="Q27" i="4"/>
  <c r="S27" i="4"/>
  <c r="S56" i="4" s="1"/>
  <c r="S75" i="4" s="1"/>
  <c r="F26" i="4"/>
  <c r="P27" i="4"/>
  <c r="D26" i="4"/>
  <c r="L26" i="4"/>
  <c r="H26" i="4"/>
  <c r="K26" i="4"/>
  <c r="K56" i="4" s="1"/>
  <c r="K75" i="4" s="1"/>
  <c r="V46" i="23"/>
  <c r="V53" i="23" s="1"/>
  <c r="V47" i="23"/>
  <c r="V48" i="23" s="1"/>
  <c r="V54" i="23" s="1"/>
  <c r="R27" i="4"/>
  <c r="J26" i="4"/>
  <c r="J57" i="4" s="1"/>
  <c r="J58" i="4" s="1"/>
  <c r="J76" i="4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L63" i="4"/>
  <c r="L64" i="4" s="1"/>
  <c r="G6" i="4"/>
  <c r="Q7" i="4"/>
  <c r="V63" i="4"/>
  <c r="V64" i="4" s="1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7" i="4"/>
  <c r="V58" i="4" s="1"/>
  <c r="V76" i="4" s="1"/>
  <c r="V56" i="4"/>
  <c r="V75" i="4" s="1"/>
  <c r="L56" i="4"/>
  <c r="L75" i="4" s="1"/>
  <c r="O55" i="4"/>
  <c r="O62" i="4"/>
  <c r="F55" i="4"/>
  <c r="F62" i="4"/>
  <c r="M55" i="4"/>
  <c r="M62" i="4"/>
  <c r="J55" i="4"/>
  <c r="J62" i="4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T56" i="4"/>
  <c r="T75" i="4" s="1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T78" i="4"/>
  <c r="V78" i="4"/>
  <c r="U78" i="4"/>
  <c r="L78" i="4"/>
  <c r="S78" i="4"/>
  <c r="Q78" i="4"/>
  <c r="C78" i="4"/>
  <c r="O78" i="4"/>
  <c r="G78" i="4"/>
  <c r="F78" i="4"/>
  <c r="K78" i="4"/>
  <c r="P78" i="4"/>
  <c r="E78" i="4"/>
  <c r="B78" i="4"/>
  <c r="H78" i="4"/>
  <c r="R78" i="4"/>
  <c r="I78" i="4"/>
  <c r="J78" i="4"/>
  <c r="M78" i="4"/>
  <c r="D78" i="4"/>
  <c r="S57" i="4" l="1"/>
  <c r="S58" i="4" s="1"/>
  <c r="S76" i="4" s="1"/>
  <c r="S63" i="4"/>
  <c r="S64" i="4" s="1"/>
  <c r="K57" i="4"/>
  <c r="K58" i="4" s="1"/>
  <c r="K76" i="4" s="1"/>
  <c r="T79" i="4"/>
  <c r="L57" i="4"/>
  <c r="L58" i="4" s="1"/>
  <c r="L76" i="4" s="1"/>
  <c r="U56" i="4"/>
  <c r="U75" i="4" s="1"/>
  <c r="J63" i="4"/>
  <c r="J64" i="4" s="1"/>
  <c r="J56" i="4"/>
  <c r="J75" i="4" s="1"/>
  <c r="U57" i="4"/>
  <c r="U58" i="4" s="1"/>
  <c r="U76" i="4" s="1"/>
  <c r="U63" i="4"/>
  <c r="U64" i="4" s="1"/>
  <c r="M56" i="4"/>
  <c r="M75" i="4" s="1"/>
  <c r="M57" i="4"/>
  <c r="M58" i="4" s="1"/>
  <c r="M76" i="4" s="1"/>
  <c r="K63" i="4"/>
  <c r="K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R60" i="23" s="1"/>
  <c r="O79" i="4"/>
  <c r="B79" i="4"/>
  <c r="L59" i="23"/>
  <c r="F59" i="23"/>
  <c r="F60" i="23" s="1"/>
  <c r="Q59" i="23"/>
  <c r="V59" i="23"/>
  <c r="V60" i="23" s="1"/>
  <c r="P59" i="23"/>
  <c r="P60" i="23" s="1"/>
  <c r="T59" i="23"/>
  <c r="T60" i="23" s="1"/>
  <c r="U59" i="23"/>
  <c r="U60" i="23" s="1"/>
  <c r="S59" i="23"/>
  <c r="S60" i="23" s="1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C60" i="23" s="1"/>
  <c r="E59" i="23"/>
  <c r="E60" i="23" s="1"/>
  <c r="J59" i="23"/>
  <c r="K59" i="23"/>
  <c r="K60" i="23" s="1"/>
  <c r="D59" i="23"/>
  <c r="D60" i="23" s="1"/>
  <c r="I59" i="23"/>
  <c r="I60" i="23" s="1"/>
  <c r="O59" i="23"/>
  <c r="O60" i="23" s="1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O60" i="1" s="1"/>
  <c r="J59" i="1"/>
  <c r="J60" i="1" s="1"/>
  <c r="F59" i="1"/>
  <c r="F60" i="1" s="1"/>
  <c r="M59" i="1"/>
  <c r="M60" i="1" s="1"/>
  <c r="I59" i="1"/>
  <c r="I60" i="1" s="1"/>
  <c r="E59" i="1"/>
  <c r="E60" i="1" s="1"/>
  <c r="L59" i="1"/>
  <c r="L60" i="1" s="1"/>
  <c r="H59" i="1"/>
  <c r="H60" i="1" s="1"/>
  <c r="D59" i="1"/>
  <c r="D60" i="1" s="1"/>
  <c r="K59" i="1"/>
  <c r="K60" i="1" s="1"/>
  <c r="C59" i="1"/>
  <c r="C60" i="1" s="1"/>
  <c r="G59" i="1"/>
  <c r="G60" i="1" s="1"/>
  <c r="M55" i="1"/>
  <c r="T59" i="1"/>
  <c r="T60" i="1" s="1"/>
  <c r="P59" i="1"/>
  <c r="P60" i="1" s="1"/>
  <c r="S59" i="1"/>
  <c r="S60" i="1" s="1"/>
  <c r="V59" i="1"/>
  <c r="V60" i="1" s="1"/>
  <c r="R59" i="1"/>
  <c r="R60" i="1" s="1"/>
  <c r="U59" i="1"/>
  <c r="U60" i="1" s="1"/>
  <c r="Q59" i="1"/>
  <c r="Q60" i="1" s="1"/>
  <c r="B55" i="1"/>
  <c r="T27" i="23"/>
  <c r="T52" i="23" s="1"/>
  <c r="T45" i="23"/>
  <c r="T22" i="23"/>
  <c r="T27" i="1"/>
  <c r="T52" i="1" s="1"/>
  <c r="T45" i="1"/>
  <c r="T4" i="4"/>
  <c r="T62" i="4" s="1"/>
  <c r="T22" i="1"/>
  <c r="L60" i="23"/>
  <c r="J60" i="23"/>
  <c r="Q60" i="23"/>
  <c r="V74" i="4" l="1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C83" i="4" l="1"/>
  <c r="F83" i="4"/>
  <c r="D83" i="4"/>
  <c r="V83" i="4"/>
  <c r="I83" i="4"/>
  <c r="G83" i="4"/>
  <c r="U83" i="4"/>
  <c r="E83" i="4"/>
  <c r="S83" i="4"/>
  <c r="H83" i="4"/>
  <c r="R83" i="4"/>
  <c r="T83" i="4"/>
  <c r="K77" i="4"/>
  <c r="J77" i="4"/>
  <c r="G77" i="4"/>
  <c r="F77" i="4"/>
  <c r="L77" i="4"/>
  <c r="B77" i="4"/>
  <c r="M77" i="4"/>
  <c r="I77" i="4"/>
  <c r="H77" i="4"/>
  <c r="D77" i="4"/>
  <c r="C77" i="4"/>
  <c r="E77" i="4"/>
  <c r="L83" i="4"/>
  <c r="M83" i="4"/>
  <c r="P83" i="4"/>
  <c r="Q83" i="4"/>
  <c r="K83" i="4"/>
  <c r="J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<sst xmlns="http://schemas.openxmlformats.org/spreadsheetml/2006/main" count="219" uniqueCount="56">
  <si>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</si>
  <si>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</si>
  <si>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</si>
  <si>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</si>
  <si>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</si>
  <si>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</si>
  <si>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</si>
  <si>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</si>
  <si>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</si>
  <si>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</si>
  <si>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</si>
  <si>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</si>
  <si>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</si>
  <si>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</si>
  <si>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</si>
  <si>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</si>
  <si>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</si>
  <si>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</si>
  <si>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</si>
  <si>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</si>
  <si>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</si>
  <si>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</si>
  <si>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</si>
  <si>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</si>
  <si>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</si>
  <si>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</si>
  <si>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</si>
  <si>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</si>
  <si>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</si>
  <si>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</si>
  <si>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</si>
  <si>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</si>
  <si>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</si>
  <si>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</si>
  <si>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</si>
  <si>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</si>
  <si>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</si>
  <si>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</si>
  <si>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</si>
  <si>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</si>
  <si>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</si>
  <si>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</si>
  <si>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</si>
  <si>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</si>
  <si>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</si>
  <si>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</si>
  <si>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testosterone</t>
  </si>
  <si>
    <t>3.7</t>
  </si>
  <si>
    <t>Testosterone_02</t>
  </si>
  <si>
    <t>Date performed : 20-10-2021</t>
  </si>
  <si>
    <t>Testosterone_03</t>
  </si>
  <si>
    <t>Date performed : 27-10-2021</t>
  </si>
  <si>
    <t>Testosterone_04</t>
  </si>
  <si>
    <t>Date performed : 03-11-2021</t>
  </si>
  <si>
    <t>Kruskal-Wallis</t>
  </si>
  <si>
    <t>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</si>
</sst>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9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1" fillId="0" borderId="0" xfId="0" applyFont="1"/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theme" Target="theme/theme1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1.8563336533329002E-2</c:v>
                  </c:pt>
                  <c:pt idx="2">
                    <c:v>0.19686709696165758</c:v>
                  </c:pt>
                  <c:pt idx="3">
                    <c:v>8.2383026499864884E-2</c:v>
                  </c:pt>
                  <c:pt idx="4">
                    <c:v>0.12584118343707856</c:v>
                  </c:pt>
                  <c:pt idx="5">
                    <c:v>0.17267790291232038</c:v>
                  </c:pt>
                  <c:pt idx="6">
                    <c:v>7.0482866062248531E-2</c:v>
                  </c:pt>
                  <c:pt idx="7">
                    <c:v>1.9228654293768976E-2</c:v>
                  </c:pt>
                  <c:pt idx="8">
                    <c:v>0.14861607399294144</c:v>
                  </c:pt>
                  <c:pt idx="9">
                    <c:v>3.3002220443934568E-2</c:v>
                  </c:pt>
                  <c:pt idx="10">
                    <c:v>0.10907608645623094</c:v>
                  </c:pt>
                  <c:pt idx="11">
                    <c:v>5.7322836094288732E-2</c:v>
                  </c:pt>
                  <c:pt idx="13">
                    <c:v>3.8371706009729944E-2</c:v>
                  </c:pt>
                  <c:pt idx="14">
                    <c:v>6.998295225153893E-2</c:v>
                  </c:pt>
                  <c:pt idx="15">
                    <c:v>2.0633506512508611E-2</c:v>
                  </c:pt>
                  <c:pt idx="16">
                    <c:v>6.3743745711924149E-2</c:v>
                  </c:pt>
                  <c:pt idx="17">
                    <c:v>6.5275789470856035E-2</c:v>
                  </c:pt>
                  <c:pt idx="18">
                    <c:v>8.2232309903139442E-2</c:v>
                  </c:pt>
                  <c:pt idx="19">
                    <c:v>5.3698187228138836E-2</c:v>
                  </c:pt>
                  <c:pt idx="20">
                    <c:v>9.3388364242892291E-2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testosterone-3.7µg/L</c:v>
                </c:pt>
                <c:pt idx="8">
                  <c:v>testosterone-11µg/L</c:v>
                </c:pt>
                <c:pt idx="9">
                  <c:v>testosterone-33µg/L</c:v>
                </c:pt>
                <c:pt idx="10">
                  <c:v>testosterone-100µg/L</c:v>
                </c:pt>
                <c:pt idx="11">
                  <c:v>testosterone-300µg/L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testosterone-3.7µg/L + Testostérone</c:v>
                </c:pt>
                <c:pt idx="17">
                  <c:v>testosterone-11µg/L + Testostérone</c:v>
                </c:pt>
                <c:pt idx="18">
                  <c:v>testosterone-33µg/L + Testostérone</c:v>
                </c:pt>
                <c:pt idx="19">
                  <c:v>testosterone-100µg/L + Testostérone</c:v>
                </c:pt>
                <c:pt idx="20">
                  <c:v>testosterone-300µg/L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0</c:v>
                </c:pt>
                <c:pt idx="1">
                  <c:v>8.8277999849631583E-2</c:v>
                </c:pt>
                <c:pt idx="2">
                  <c:v>0.34276571349807033</c:v>
                </c:pt>
                <c:pt idx="3">
                  <c:v>0.49485536439276229</c:v>
                </c:pt>
                <c:pt idx="4">
                  <c:v>0.94061262593353723</c:v>
                </c:pt>
                <c:pt idx="5">
                  <c:v>1.2369215515513008</c:v>
                </c:pt>
                <c:pt idx="6">
                  <c:v>1.4352927171570351</c:v>
                </c:pt>
                <c:pt idx="7">
                  <c:v>7.0981404440880164E-2</c:v>
                </c:pt>
                <c:pt idx="8">
                  <c:v>0.66648726880858111</c:v>
                </c:pt>
                <c:pt idx="9">
                  <c:v>1.1230508495814746</c:v>
                </c:pt>
                <c:pt idx="10">
                  <c:v>1.1049864355170167</c:v>
                </c:pt>
                <c:pt idx="11">
                  <c:v>1.2549901947270816</c:v>
                </c:pt>
                <c:pt idx="13">
                  <c:v>1.0000000000000002</c:v>
                </c:pt>
                <c:pt idx="14">
                  <c:v>1.2483847927422185</c:v>
                </c:pt>
                <c:pt idx="15">
                  <c:v>7.3714820059144912E-2</c:v>
                </c:pt>
                <c:pt idx="16">
                  <c:v>1.2738022216931484</c:v>
                </c:pt>
                <c:pt idx="17">
                  <c:v>1.2634625144103051</c:v>
                </c:pt>
                <c:pt idx="18">
                  <c:v>1.134179990977896</c:v>
                </c:pt>
                <c:pt idx="19">
                  <c:v>1.1113686344042906</c:v>
                </c:pt>
                <c:pt idx="20">
                  <c:v>1.239229236629743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1.1502360952818851E-2</c:v>
                  </c:pt>
                  <c:pt idx="1">
                    <c:v>1.7151401382605434E-2</c:v>
                  </c:pt>
                  <c:pt idx="2">
                    <c:v>1.9144047313835223E-2</c:v>
                  </c:pt>
                  <c:pt idx="3">
                    <c:v>5.3224020939504152E-2</c:v>
                  </c:pt>
                  <c:pt idx="4">
                    <c:v>0.14574278974824731</c:v>
                  </c:pt>
                  <c:pt idx="5">
                    <c:v>4.4029340979246503E-2</c:v>
                  </c:pt>
                  <c:pt idx="6">
                    <c:v>0.13632246766574047</c:v>
                  </c:pt>
                  <c:pt idx="7">
                    <c:v>9.8774603126839198E-3</c:v>
                  </c:pt>
                  <c:pt idx="8">
                    <c:v>0.11159654376273948</c:v>
                  </c:pt>
                  <c:pt idx="9">
                    <c:v>6.3622945163818778E-2</c:v>
                  </c:pt>
                  <c:pt idx="10">
                    <c:v>0.16821387639921037</c:v>
                  </c:pt>
                  <c:pt idx="11">
                    <c:v>0.13797265001712003</c:v>
                  </c:pt>
                  <c:pt idx="13">
                    <c:v>7.4638445214714799E-2</c:v>
                  </c:pt>
                  <c:pt idx="14">
                    <c:v>6.4213226161770942E-2</c:v>
                  </c:pt>
                  <c:pt idx="15">
                    <c:v>3.0933903647938722E-2</c:v>
                  </c:pt>
                  <c:pt idx="16">
                    <c:v>6.9554926479065582E-2</c:v>
                  </c:pt>
                  <c:pt idx="17">
                    <c:v>0.11937428588057798</c:v>
                  </c:pt>
                  <c:pt idx="18">
                    <c:v>0.12302555551261757</c:v>
                  </c:pt>
                  <c:pt idx="19">
                    <c:v>0.11323666410646793</c:v>
                  </c:pt>
                  <c:pt idx="20">
                    <c:v>7.599440516464237E-2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3.8371706009729944E-2</c:v>
                  </c:pt>
                  <c:pt idx="2">
                    <c:v>6.998295225153893E-2</c:v>
                  </c:pt>
                  <c:pt idx="3">
                    <c:v>2.0633506512508611E-2</c:v>
                  </c:pt>
                  <c:pt idx="4">
                    <c:v>6.3743745711924149E-2</c:v>
                  </c:pt>
                  <c:pt idx="5">
                    <c:v>6.5275789470856035E-2</c:v>
                  </c:pt>
                  <c:pt idx="6">
                    <c:v>8.2232309903139442E-2</c:v>
                  </c:pt>
                  <c:pt idx="7">
                    <c:v>5.3698187228138836E-2</c:v>
                  </c:pt>
                  <c:pt idx="8">
                    <c:v>9.3388364242892291E-2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testosterone-3.7µg/L</c:v>
                </c:pt>
                <c:pt idx="8">
                  <c:v>testosterone-11µg/L</c:v>
                </c:pt>
                <c:pt idx="9">
                  <c:v>testosterone-33µg/L</c:v>
                </c:pt>
                <c:pt idx="10">
                  <c:v>testosterone-100µg/L</c:v>
                </c:pt>
                <c:pt idx="11">
                  <c:v>testosterone-300µg/L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testosterone-3.7µg/L + Testostérone</c:v>
                </c:pt>
                <c:pt idx="17">
                  <c:v>testosterone-11µg/L + Testostérone</c:v>
                </c:pt>
                <c:pt idx="18">
                  <c:v>testosterone-33µg/L + Testostérone</c:v>
                </c:pt>
                <c:pt idx="19">
                  <c:v>testosterone-100µg/L + Testostérone</c:v>
                </c:pt>
                <c:pt idx="20">
                  <c:v>testosterone-300µg/L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5.6348237215009124E-2</c:v>
                </c:pt>
                <c:pt idx="1">
                  <c:v>0.10540813755185856</c:v>
                </c:pt>
                <c:pt idx="2">
                  <c:v>5.7012942053331253E-2</c:v>
                </c:pt>
                <c:pt idx="3">
                  <c:v>0.34082168481122838</c:v>
                </c:pt>
                <c:pt idx="4">
                  <c:v>0.89112704191179537</c:v>
                </c:pt>
                <c:pt idx="5">
                  <c:v>1.2244805097525078</c:v>
                </c:pt>
                <c:pt idx="6">
                  <c:v>1.4578999424969112</c:v>
                </c:pt>
                <c:pt idx="7">
                  <c:v>5.6279584753725256E-2</c:v>
                </c:pt>
                <c:pt idx="8">
                  <c:v>0.29170484018478687</c:v>
                </c:pt>
                <c:pt idx="9">
                  <c:v>1.2578211252138405</c:v>
                </c:pt>
                <c:pt idx="10">
                  <c:v>1.2117829975527261</c:v>
                </c:pt>
                <c:pt idx="11">
                  <c:v>1.3242059265168535</c:v>
                </c:pt>
                <c:pt idx="13">
                  <c:v>0.99999999999999989</c:v>
                </c:pt>
                <c:pt idx="14">
                  <c:v>1.3190559275413185</c:v>
                </c:pt>
                <c:pt idx="15">
                  <c:v>6.5412490862969422E-2</c:v>
                </c:pt>
                <c:pt idx="16">
                  <c:v>1.25204633562166</c:v>
                </c:pt>
                <c:pt idx="17">
                  <c:v>1.3052621047194841</c:v>
                </c:pt>
                <c:pt idx="18">
                  <c:v>1.1269604867832037</c:v>
                </c:pt>
                <c:pt idx="19">
                  <c:v>1.2722418674108098</c:v>
                </c:pt>
                <c:pt idx="20">
                  <c:v>1.3210761193477802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9.5704097436239647E-3</c:v>
                  </c:pt>
                  <c:pt idx="1">
                    <c:v>1.0166607437386236E-2</c:v>
                  </c:pt>
                  <c:pt idx="2">
                    <c:v>3.2728429263257836E-2</c:v>
                  </c:pt>
                  <c:pt idx="3">
                    <c:v>0.11628743619315929</c:v>
                  </c:pt>
                  <c:pt idx="4">
                    <c:v>7.176509418489635E-2</c:v>
                  </c:pt>
                  <c:pt idx="5">
                    <c:v>4.7081226339460228E-2</c:v>
                  </c:pt>
                  <c:pt idx="6">
                    <c:v>7.9253766789979307E-2</c:v>
                  </c:pt>
                  <c:pt idx="7">
                    <c:v>1.2188705242474396E-2</c:v>
                  </c:pt>
                  <c:pt idx="8">
                    <c:v>1.1205132491932281E-2</c:v>
                  </c:pt>
                  <c:pt idx="9">
                    <c:v>0.10142635834776292</c:v>
                  </c:pt>
                  <c:pt idx="10">
                    <c:v>4.6883798216671387E-2</c:v>
                  </c:pt>
                  <c:pt idx="11">
                    <c:v>7.5986886647016791E-2</c:v>
                  </c:pt>
                  <c:pt idx="13">
                    <c:v>6.2532526372384351E-2</c:v>
                  </c:pt>
                  <c:pt idx="14">
                    <c:v>0.13431044603897685</c:v>
                  </c:pt>
                  <c:pt idx="15">
                    <c:v>2.1466660962011323E-2</c:v>
                  </c:pt>
                  <c:pt idx="16">
                    <c:v>7.034921875877434E-2</c:v>
                  </c:pt>
                  <c:pt idx="17">
                    <c:v>0.12267109137523322</c:v>
                  </c:pt>
                  <c:pt idx="18">
                    <c:v>7.9700450922680119E-2</c:v>
                  </c:pt>
                  <c:pt idx="19">
                    <c:v>6.7947652295276634E-2</c:v>
                  </c:pt>
                  <c:pt idx="20">
                    <c:v>9.1476593204956685E-2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3.8371706009729944E-2</c:v>
                  </c:pt>
                  <c:pt idx="2">
                    <c:v>6.998295225153893E-2</c:v>
                  </c:pt>
                  <c:pt idx="3">
                    <c:v>2.0633506512508611E-2</c:v>
                  </c:pt>
                  <c:pt idx="4">
                    <c:v>6.3743745711924149E-2</c:v>
                  </c:pt>
                  <c:pt idx="5">
                    <c:v>6.5275789470856035E-2</c:v>
                  </c:pt>
                  <c:pt idx="6">
                    <c:v>8.2232309903139442E-2</c:v>
                  </c:pt>
                  <c:pt idx="7">
                    <c:v>5.3698187228138836E-2</c:v>
                  </c:pt>
                  <c:pt idx="8">
                    <c:v>9.3388364242892291E-2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testosterone-3.7µg/L</c:v>
                </c:pt>
                <c:pt idx="8">
                  <c:v>testosterone-11µg/L</c:v>
                </c:pt>
                <c:pt idx="9">
                  <c:v>testosterone-33µg/L</c:v>
                </c:pt>
                <c:pt idx="10">
                  <c:v>testosterone-100µg/L</c:v>
                </c:pt>
                <c:pt idx="11">
                  <c:v>testosterone-300µg/L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testosterone-3.7µg/L + Testostérone</c:v>
                </c:pt>
                <c:pt idx="17">
                  <c:v>testosterone-11µg/L + Testostérone</c:v>
                </c:pt>
                <c:pt idx="18">
                  <c:v>testosterone-33µg/L + Testostérone</c:v>
                </c:pt>
                <c:pt idx="19">
                  <c:v>testosterone-100µg/L + Testostérone</c:v>
                </c:pt>
                <c:pt idx="20">
                  <c:v>testosterone-300µg/L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2.9161576517772389E-2</c:v>
                </c:pt>
                <c:pt idx="1">
                  <c:v>3.7128401668800513E-2</c:v>
                </c:pt>
                <c:pt idx="2">
                  <c:v>5.4355980043123954E-2</c:v>
                </c:pt>
                <c:pt idx="3">
                  <c:v>0.43929067596478832</c:v>
                </c:pt>
                <c:pt idx="4">
                  <c:v>0.98730116987861183</c:v>
                </c:pt>
                <c:pt idx="5">
                  <c:v>1.0617978999599773</c:v>
                </c:pt>
                <c:pt idx="6">
                  <c:v>1.4028013804693347</c:v>
                </c:pt>
                <c:pt idx="7">
                  <c:v>3.4966441687324108E-2</c:v>
                </c:pt>
                <c:pt idx="8">
                  <c:v>3.4269187329353412E-2</c:v>
                </c:pt>
                <c:pt idx="9">
                  <c:v>1.1180727700956983</c:v>
                </c:pt>
                <c:pt idx="10">
                  <c:v>1.0677457782322533</c:v>
                </c:pt>
                <c:pt idx="11">
                  <c:v>1.0536953957114927</c:v>
                </c:pt>
                <c:pt idx="13">
                  <c:v>0.99999999999999978</c:v>
                </c:pt>
                <c:pt idx="14">
                  <c:v>0.81190476689388114</c:v>
                </c:pt>
                <c:pt idx="15">
                  <c:v>6.4546056505367433E-2</c:v>
                </c:pt>
                <c:pt idx="16">
                  <c:v>1.0890693985487052</c:v>
                </c:pt>
                <c:pt idx="17">
                  <c:v>1.0446242789101248</c:v>
                </c:pt>
                <c:pt idx="18">
                  <c:v>0.95382719826330764</c:v>
                </c:pt>
                <c:pt idx="19">
                  <c:v>1.0203493201676463</c:v>
                </c:pt>
                <c:pt idx="20">
                  <c:v>1.1029196674971555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14915B5-7B93-4880-BDB2-A507BEA1307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8CA59F7-8585-4047-9D69-7932C811428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D4DF6B7-D9B2-4F81-981F-50847758DD2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4BD1FD-D35F-46EC-BEAC-28070A06C48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8347FD2-AA59-4BFF-A8F4-0CD7ED5BFF0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264DC4C-A0CF-453C-9F13-0ACABFB2B71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804A0C-9848-4542-A7E9-F4658530C35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2261645-F6AA-446F-B2AA-B41F57839AA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B09BEE-127A-4A2F-AE08-EAED73A4913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2AB38D0-D135-4E24-9CC4-858FEE874D0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AF3E76B-5B6B-4EF3-B6FF-AFA34EF71AA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20ACE60-845B-4C62-BAAC-3A99446B027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9A0E95F-88C1-4826-9E4D-4F06871BF73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F8DB044-CBAE-4ADF-AE10-10604EF7EA5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8640242-5539-4E86-B20D-743238BDAB3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6911058-42BE-433D-B74F-DF156CBFE04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DD9AEB5-5360-4312-8E6A-349B35DFDB8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82692C3-1CA0-4763-93CB-4898810F4F1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166789B-C0E4-4C7D-AFDB-0924C09CA9E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F96E74A-9710-4DD8-92E8-C67DA6E2318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6.7625260249360303E-3</c:v>
                  </c:pt>
                  <c:pt idx="1">
                    <c:v>1.0576734122362702E-2</c:v>
                  </c:pt>
                  <c:pt idx="2">
                    <c:v>6.9814182237784614E-2</c:v>
                  </c:pt>
                  <c:pt idx="3">
                    <c:v>5.024111064081279E-2</c:v>
                  </c:pt>
                  <c:pt idx="4">
                    <c:v>6.5961823174778764E-2</c:v>
                  </c:pt>
                  <c:pt idx="5">
                    <c:v>6.1018696952051164E-2</c:v>
                  </c:pt>
                  <c:pt idx="6">
                    <c:v>5.5215503024461703E-2</c:v>
                  </c:pt>
                  <c:pt idx="7">
                    <c:v>8.4843530575322446E-3</c:v>
                  </c:pt>
                  <c:pt idx="8">
                    <c:v>8.0290005400082715E-2</c:v>
                  </c:pt>
                  <c:pt idx="9">
                    <c:v>4.1797093290841338E-2</c:v>
                  </c:pt>
                  <c:pt idx="10">
                    <c:v>6.3804437978751627E-2</c:v>
                  </c:pt>
                  <c:pt idx="11">
                    <c:v>5.8504306799076623E-2</c:v>
                  </c:pt>
                  <c:pt idx="13">
                    <c:v>3.4576149645141205E-2</c:v>
                  </c:pt>
                  <c:pt idx="14">
                    <c:v>7.0230013012529291E-2</c:v>
                  </c:pt>
                  <c:pt idx="15">
                    <c:v>1.3702590025923091E-2</c:v>
                  </c:pt>
                  <c:pt idx="16">
                    <c:v>4.1237763047208768E-2</c:v>
                  </c:pt>
                  <c:pt idx="17">
                    <c:v>6.3028086308328499E-2</c:v>
                  </c:pt>
                  <c:pt idx="18">
                    <c:v>5.6285848618437072E-2</c:v>
                  </c:pt>
                  <c:pt idx="19">
                    <c:v>5.1077699089236664E-2</c:v>
                  </c:pt>
                  <c:pt idx="20">
                    <c:v>5.1687747805901789E-2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6.7625260249360303E-3</c:v>
                  </c:pt>
                  <c:pt idx="1">
                    <c:v>1.0576734122362702E-2</c:v>
                  </c:pt>
                  <c:pt idx="2">
                    <c:v>6.9814182237784614E-2</c:v>
                  </c:pt>
                  <c:pt idx="3">
                    <c:v>5.024111064081279E-2</c:v>
                  </c:pt>
                  <c:pt idx="4">
                    <c:v>6.5961823174778764E-2</c:v>
                  </c:pt>
                  <c:pt idx="5">
                    <c:v>6.1018696952051164E-2</c:v>
                  </c:pt>
                  <c:pt idx="6">
                    <c:v>5.5215503024461703E-2</c:v>
                  </c:pt>
                  <c:pt idx="7">
                    <c:v>8.4843530575322446E-3</c:v>
                  </c:pt>
                  <c:pt idx="8">
                    <c:v>8.0290005400082715E-2</c:v>
                  </c:pt>
                  <c:pt idx="9">
                    <c:v>4.1797093290841338E-2</c:v>
                  </c:pt>
                  <c:pt idx="10">
                    <c:v>6.3804437978751627E-2</c:v>
                  </c:pt>
                  <c:pt idx="11">
                    <c:v>5.8504306799076623E-2</c:v>
                  </c:pt>
                  <c:pt idx="13">
                    <c:v>3.4576149645141205E-2</c:v>
                  </c:pt>
                  <c:pt idx="14">
                    <c:v>7.0230013012529291E-2</c:v>
                  </c:pt>
                  <c:pt idx="15">
                    <c:v>1.3702590025923091E-2</c:v>
                  </c:pt>
                  <c:pt idx="16">
                    <c:v>4.1237763047208768E-2</c:v>
                  </c:pt>
                  <c:pt idx="17">
                    <c:v>6.3028086308328499E-2</c:v>
                  </c:pt>
                  <c:pt idx="18">
                    <c:v>5.6285848618437072E-2</c:v>
                  </c:pt>
                  <c:pt idx="19">
                    <c:v>5.1077699089236664E-2</c:v>
                  </c:pt>
                  <c:pt idx="20">
                    <c:v>5.1687747805901789E-2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testosterone-3.7µg/L</c:v>
                </c:pt>
                <c:pt idx="8">
                  <c:v>testosterone-11µg/L</c:v>
                </c:pt>
                <c:pt idx="9">
                  <c:v>testosterone-33µg/L</c:v>
                </c:pt>
                <c:pt idx="10">
                  <c:v>testosterone-100µg/L</c:v>
                </c:pt>
                <c:pt idx="11">
                  <c:v>testosterone-300µg/L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testosterone-3.7µg/L + Testostérone</c:v>
                </c:pt>
                <c:pt idx="17">
                  <c:v>testosterone-11µg/L + Testostérone</c:v>
                </c:pt>
                <c:pt idx="18">
                  <c:v>testosterone-33µg/L + Testostérone</c:v>
                </c:pt>
                <c:pt idx="19">
                  <c:v>testosterone-100µg/L + Testostérone</c:v>
                </c:pt>
                <c:pt idx="20">
                  <c:v>testosterone-300µg/L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2.8503271244260501E-2</c:v>
                </c:pt>
                <c:pt idx="1">
                  <c:v>7.6938179690096892E-2</c:v>
                </c:pt>
                <c:pt idx="2">
                  <c:v>0.15137821186484185</c:v>
                </c:pt>
                <c:pt idx="3">
                  <c:v>0.42498924172292624</c:v>
                </c:pt>
                <c:pt idx="4">
                  <c:v>0.9396802792413147</c:v>
                </c:pt>
                <c:pt idx="5">
                  <c:v>1.1743999870879287</c:v>
                </c:pt>
                <c:pt idx="6">
                  <c:v>1.431998013374427</c:v>
                </c:pt>
                <c:pt idx="7">
                  <c:v>5.4075810293976519E-2</c:v>
                </c:pt>
                <c:pt idx="8">
                  <c:v>0.33082043210757378</c:v>
                </c:pt>
                <c:pt idx="9">
                  <c:v>1.1663149149636711</c:v>
                </c:pt>
                <c:pt idx="10">
                  <c:v>1.1245364649070975</c:v>
                </c:pt>
                <c:pt idx="11">
                  <c:v>1.2109638389851427</c:v>
                </c:pt>
                <c:pt idx="13">
                  <c:v>1.0000000000000002</c:v>
                </c:pt>
                <c:pt idx="14">
                  <c:v>1.1264484957258063</c:v>
                </c:pt>
                <c:pt idx="15">
                  <c:v>6.7891122475827251E-2</c:v>
                </c:pt>
                <c:pt idx="16">
                  <c:v>1.2049726519545045</c:v>
                </c:pt>
                <c:pt idx="17">
                  <c:v>1.2044496326799716</c:v>
                </c:pt>
                <c:pt idx="18">
                  <c:v>1.0716558920081358</c:v>
                </c:pt>
                <c:pt idx="19">
                  <c:v>1.139623011117145</c:v>
                </c:pt>
                <c:pt idx="20">
                  <c:v>1.2210750078248929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***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*</c:v>
                  </c:pt>
                  <c:pt idx="9">
                    <c:v>***</c:v>
                  </c:pt>
                  <c:pt idx="10">
                    <c:v>***</c:v>
                  </c:pt>
                  <c:pt idx="11">
                    <c:v>***</c:v>
                  </c:pt>
                  <c:pt idx="13">
                    <c:v>***</c:v>
                  </c:pt>
                  <c:pt idx="14">
                    <c:v>*</c:v>
                  </c:pt>
                  <c:pt idx="15">
                    <c:v>***</c:v>
                  </c:pt>
                  <c:pt idx="16">
                    <c:v>**</c:v>
                  </c:pt>
                  <c:pt idx="17">
                    <c:v>**</c:v>
                  </c:pt>
                  <c:pt idx="18">
                    <c:v>NS</c:v>
                  </c:pt>
                  <c:pt idx="19">
                    <c:v>NS</c:v>
                  </c:pt>
                  <c:pt idx="20">
                    <c:v>**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7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7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134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338" cy="607373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2338" cy="607373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2338" cy="607373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  <sheetName val="RealStats 2013 2016.xlam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zoomScale="55" zoomScaleNormal="55" workbookViewId="0">
      <selection activeCell="E4" sqref="E4"/>
    </sheetView>
  </sheetViews>
  <sheetFormatPr baseColWidth="10" defaultColWidth="11.42578125" defaultRowHeight="39" customHeight="1" x14ac:dyDescent="0.25"/>
  <cols>
    <col min="1" max="1" width="42" bestFit="1" customWidth="1"/>
    <col min="2" max="2" width="33.85546875" style="28" bestFit="1" customWidth="1"/>
    <col min="3" max="3" width="21.28515625" customWidth="1"/>
    <col min="4" max="4" width="30.42578125" customWidth="1"/>
    <col min="5" max="5" width="62.28515625" style="89" bestFit="1" customWidth="1"/>
    <col min="6" max="6" width="56.7109375" bestFit="1" customWidth="1"/>
    <col min="7" max="7" width="19.42578125" customWidth="1"/>
    <col min="8" max="8" width="15.28515625" customWidth="1"/>
    <col min="9" max="9" width="18" customWidth="1"/>
    <col min="10" max="10" width="19.5703125" bestFit="1" customWidth="1"/>
  </cols>
  <sheetData>
    <row r="1" spans="1:9" ht="39" customHeight="1" thickBot="1" x14ac:dyDescent="0.3">
      <c r="A1" s="115"/>
      <c r="B1" s="116"/>
      <c r="C1" s="116"/>
      <c r="D1" s="116"/>
      <c r="E1" s="116"/>
      <c r="F1" s="116"/>
      <c r="G1" s="116"/>
      <c r="H1" s="116"/>
      <c r="I1" s="117"/>
    </row>
    <row r="2" spans="1:9" ht="21.75" thickBot="1" x14ac:dyDescent="0.4">
      <c r="A2" s="108" t="s">
        <v>5</v>
      </c>
      <c r="B2" s="27" t="s">
        <v>23</v>
      </c>
      <c r="C2" s="118" t="s">
        <v>48</v>
      </c>
      <c r="D2" s="119"/>
      <c r="E2" s="27" t="s">
        <v>49</v>
      </c>
      <c r="F2" s="130"/>
      <c r="G2" s="131"/>
      <c r="H2" s="131"/>
      <c r="I2" s="132"/>
    </row>
    <row r="3" spans="1:9" ht="21.75" thickBot="1" x14ac:dyDescent="0.4">
      <c r="A3" s="109" t="s">
        <v>6</v>
      </c>
      <c r="B3" s="27" t="s">
        <v>23</v>
      </c>
      <c r="C3" s="120" t="s">
        <v>50</v>
      </c>
      <c r="D3" s="121"/>
      <c r="E3" s="27" t="s">
        <v>51</v>
      </c>
      <c r="F3" s="127"/>
      <c r="G3" s="128"/>
      <c r="H3" s="128"/>
      <c r="I3" s="129"/>
    </row>
    <row r="4" spans="1:9" ht="21.75" thickBot="1" x14ac:dyDescent="0.4">
      <c r="A4" s="110" t="s">
        <v>9</v>
      </c>
      <c r="B4" s="27" t="s">
        <v>23</v>
      </c>
      <c r="C4" s="122" t="s">
        <v>52</v>
      </c>
      <c r="D4" s="123"/>
      <c r="E4" s="27" t="s">
        <v>53</v>
      </c>
      <c r="F4" s="124"/>
      <c r="G4" s="125"/>
      <c r="H4" s="125"/>
      <c r="I4" s="126"/>
    </row>
    <row r="5" spans="1:9" s="1" customFormat="1" ht="65.25" customHeight="1" thickBot="1" x14ac:dyDescent="0.3">
      <c r="A5" s="115"/>
      <c r="B5" s="116"/>
      <c r="C5" s="116"/>
      <c r="D5" s="116"/>
      <c r="E5" s="116"/>
      <c r="F5" s="116"/>
      <c r="G5" s="116"/>
      <c r="H5" s="116"/>
      <c r="I5" s="117"/>
    </row>
    <row r="6" spans="1:9" s="68" customFormat="1" ht="39" customHeight="1" x14ac:dyDescent="0.35">
      <c r="A6" s="58" t="s">
        <v>24</v>
      </c>
      <c r="B6" s="59" t="s">
        <v>25</v>
      </c>
      <c r="C6" s="47" t="s">
        <v>7</v>
      </c>
      <c r="D6" s="47" t="s">
        <v>26</v>
      </c>
      <c r="E6" s="86" t="s">
        <v>27</v>
      </c>
      <c r="F6" s="67" t="s">
        <v>28</v>
      </c>
    </row>
    <row r="7" spans="1:9" s="95" customFormat="1" ht="39" customHeight="1" x14ac:dyDescent="0.35">
      <c r="A7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1" t="s">
        <v>45</v>
      </c>
      <c r="C7" s="92"/>
      <c r="D7" s="93"/>
      <c r="E7" s="94" t="s">
        <v>30</v>
      </c>
      <c r="F7" s="69"/>
    </row>
    <row r="8" spans="1:9" s="95" customFormat="1" ht="39" customHeight="1" x14ac:dyDescent="0.35">
      <c r="A8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1" t="s">
        <v>45</v>
      </c>
      <c r="C8" s="92" t="s">
        <v>31</v>
      </c>
      <c r="D8" s="93" t="s">
        <v>17</v>
      </c>
      <c r="E8" s="94" t="s">
        <v>18</v>
      </c>
      <c r="F8" s="69"/>
    </row>
    <row r="9" spans="1:9" s="95" customFormat="1" ht="39" customHeight="1" x14ac:dyDescent="0.35">
      <c r="A9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1" t="s">
        <v>45</v>
      </c>
      <c r="C9" s="92" t="s">
        <v>32</v>
      </c>
      <c r="D9" s="93" t="s">
        <v>17</v>
      </c>
      <c r="E9" s="94" t="s">
        <v>18</v>
      </c>
      <c r="F9" s="69"/>
    </row>
    <row r="10" spans="1:9" s="95" customFormat="1" ht="39" customHeight="1" x14ac:dyDescent="0.35">
      <c r="A10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1" t="s">
        <v>45</v>
      </c>
      <c r="C10" s="92">
        <v>76</v>
      </c>
      <c r="D10" s="93" t="s">
        <v>17</v>
      </c>
      <c r="E10" s="94" t="s">
        <v>18</v>
      </c>
      <c r="F10" s="69"/>
    </row>
    <row r="11" spans="1:9" s="95" customFormat="1" ht="39" customHeight="1" x14ac:dyDescent="0.35">
      <c r="A11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1" t="s">
        <v>45</v>
      </c>
      <c r="C11" s="92">
        <v>114</v>
      </c>
      <c r="D11" s="93" t="s">
        <v>17</v>
      </c>
      <c r="E11" s="94" t="s">
        <v>18</v>
      </c>
      <c r="F11" s="69"/>
    </row>
    <row r="12" spans="1:9" s="95" customFormat="1" ht="39" customHeight="1" x14ac:dyDescent="0.35">
      <c r="A12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1" t="s">
        <v>45</v>
      </c>
      <c r="C12" s="92" t="s">
        <v>33</v>
      </c>
      <c r="D12" s="93" t="s">
        <v>17</v>
      </c>
      <c r="E12" s="94" t="s">
        <v>18</v>
      </c>
      <c r="F12" s="69"/>
    </row>
    <row r="13" spans="1:9" s="95" customFormat="1" ht="39" customHeight="1" x14ac:dyDescent="0.35">
      <c r="A13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1" t="s">
        <v>45</v>
      </c>
      <c r="C13" s="92">
        <v>488</v>
      </c>
      <c r="D13" s="93" t="s">
        <v>17</v>
      </c>
      <c r="E13" s="94" t="s">
        <v>18</v>
      </c>
      <c r="F13" s="69"/>
    </row>
    <row r="14" spans="1:9" s="95" customFormat="1" ht="39" customHeight="1" x14ac:dyDescent="0.35">
      <c r="A14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testosterone-3.7µg/L</v>
      </c>
      <c r="B14" s="91" t="s">
        <v>29</v>
      </c>
      <c r="C14" s="92" t="s">
        <v>47</v>
      </c>
      <c r="D14" s="93" t="s">
        <v>19</v>
      </c>
      <c r="E14" s="94" t="s">
        <v>46</v>
      </c>
      <c r="F14" s="69"/>
    </row>
    <row r="15" spans="1:9" s="70" customFormat="1" ht="39" customHeight="1" x14ac:dyDescent="0.2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testosterone-11µg/L</v>
      </c>
      <c r="B15" s="91" t="s">
        <v>29</v>
      </c>
      <c r="C15" s="64">
        <v>11</v>
      </c>
      <c r="D15" s="93" t="s">
        <v>19</v>
      </c>
      <c r="E15" s="94" t="s">
        <v>46</v>
      </c>
      <c r="F15" s="69"/>
    </row>
    <row r="16" spans="1:9" s="70" customFormat="1" ht="39" customHeight="1" x14ac:dyDescent="0.2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testosterone-33µg/L</v>
      </c>
      <c r="B16" s="91" t="s">
        <v>29</v>
      </c>
      <c r="C16" s="64">
        <v>33</v>
      </c>
      <c r="D16" s="93" t="s">
        <v>19</v>
      </c>
      <c r="E16" s="94" t="s">
        <v>46</v>
      </c>
      <c r="F16" s="69"/>
    </row>
    <row r="17" spans="1:6" s="70" customFormat="1" ht="39" customHeight="1" x14ac:dyDescent="0.2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testosterone-100µg/L</v>
      </c>
      <c r="B17" s="91" t="s">
        <v>29</v>
      </c>
      <c r="C17" s="64">
        <v>100</v>
      </c>
      <c r="D17" s="93" t="s">
        <v>19</v>
      </c>
      <c r="E17" s="94" t="s">
        <v>46</v>
      </c>
      <c r="F17" s="69"/>
    </row>
    <row r="18" spans="1:6" s="70" customFormat="1" ht="39" customHeight="1" x14ac:dyDescent="0.2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testosterone-300µg/L</v>
      </c>
      <c r="B18" s="91" t="s">
        <v>29</v>
      </c>
      <c r="C18" s="64">
        <v>300</v>
      </c>
      <c r="D18" s="93" t="s">
        <v>19</v>
      </c>
      <c r="E18" s="94" t="s">
        <v>46</v>
      </c>
      <c r="F18" s="69"/>
    </row>
    <row r="19" spans="1:6" s="70" customFormat="1" ht="39" customHeight="1" x14ac:dyDescent="0.2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1" t="s">
        <v>29</v>
      </c>
      <c r="C19" s="64"/>
      <c r="D19" s="64"/>
      <c r="E19" s="25"/>
      <c r="F19" s="69"/>
    </row>
    <row r="20" spans="1:6" s="70" customFormat="1" ht="39" customHeight="1" x14ac:dyDescent="0.2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1" t="s">
        <v>29</v>
      </c>
      <c r="C20" s="64"/>
      <c r="D20" s="64"/>
      <c r="E20" s="60"/>
      <c r="F20" s="69"/>
    </row>
    <row r="21" spans="1:6" s="70" customFormat="1" ht="39" customHeight="1" x14ac:dyDescent="0.2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1" t="s">
        <v>29</v>
      </c>
      <c r="C21" s="64"/>
      <c r="D21" s="64"/>
      <c r="E21" s="25"/>
      <c r="F21" s="69"/>
    </row>
    <row r="22" spans="1:6" s="70" customFormat="1" ht="39" customHeight="1" x14ac:dyDescent="0.2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1" t="s">
        <v>29</v>
      </c>
      <c r="C22" s="64"/>
      <c r="D22" s="64"/>
      <c r="E22" s="60"/>
      <c r="F22" s="69"/>
    </row>
    <row r="23" spans="1:6" s="70" customFormat="1" ht="39" customHeight="1" x14ac:dyDescent="0.2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1" t="s">
        <v>29</v>
      </c>
      <c r="C23" s="64"/>
      <c r="D23" s="64"/>
      <c r="E23" s="25"/>
      <c r="F23" s="69"/>
    </row>
    <row r="24" spans="1:6" s="70" customFormat="1" ht="39" customHeight="1" x14ac:dyDescent="0.2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1" t="s">
        <v>29</v>
      </c>
      <c r="C24" s="64"/>
      <c r="D24" s="64"/>
      <c r="E24" s="60"/>
      <c r="F24" s="69"/>
    </row>
    <row r="25" spans="1:6" s="70" customFormat="1" ht="39" customHeight="1" x14ac:dyDescent="0.2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1" t="s">
        <v>29</v>
      </c>
      <c r="C25" s="64"/>
      <c r="D25" s="64"/>
      <c r="E25" s="25"/>
      <c r="F25" s="69"/>
    </row>
    <row r="26" spans="1:6" s="70" customFormat="1" ht="39" customHeight="1" x14ac:dyDescent="0.2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1" t="s">
        <v>29</v>
      </c>
      <c r="C26" s="64"/>
      <c r="D26" s="64"/>
      <c r="E26" s="60"/>
      <c r="F26" s="69"/>
    </row>
    <row r="27" spans="1:6" s="70" customFormat="1" ht="39" customHeight="1" x14ac:dyDescent="0.2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1" t="s">
        <v>29</v>
      </c>
      <c r="C27" s="64"/>
      <c r="D27" s="64"/>
      <c r="E27" s="25"/>
      <c r="F27" s="69"/>
    </row>
    <row r="28" spans="1:6" s="70" customFormat="1" ht="39" customHeight="1" x14ac:dyDescent="0.2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1" t="s">
        <v>29</v>
      </c>
      <c r="C28" s="64"/>
      <c r="D28" s="64"/>
      <c r="E28" s="60"/>
      <c r="F28" s="69"/>
    </row>
    <row r="29" spans="1:6" s="70" customFormat="1" ht="39" customHeight="1" x14ac:dyDescent="0.2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1" t="s">
        <v>29</v>
      </c>
      <c r="C29" s="64"/>
      <c r="D29" s="73"/>
      <c r="E29" s="25"/>
      <c r="F29" s="69"/>
    </row>
    <row r="30" spans="1:6" s="70" customFormat="1" ht="39" customHeight="1" x14ac:dyDescent="0.2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1" t="s">
        <v>29</v>
      </c>
      <c r="C30" s="64"/>
      <c r="D30" s="73"/>
      <c r="E30" s="60"/>
      <c r="F30" s="69"/>
    </row>
    <row r="31" spans="1:6" s="70" customFormat="1" ht="39" customHeight="1" x14ac:dyDescent="0.2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1" t="s">
        <v>29</v>
      </c>
      <c r="C31" s="64"/>
      <c r="D31" s="73"/>
      <c r="E31" s="25"/>
      <c r="F31" s="69"/>
    </row>
    <row r="32" spans="1:6" s="70" customFormat="1" ht="39" customHeight="1" x14ac:dyDescent="0.2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1" t="s">
        <v>29</v>
      </c>
      <c r="C32" s="64"/>
      <c r="D32" s="73"/>
      <c r="E32" s="60"/>
      <c r="F32" s="69"/>
    </row>
    <row r="33" spans="1:6" s="70" customFormat="1" ht="39" customHeight="1" x14ac:dyDescent="0.2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1" t="s">
        <v>29</v>
      </c>
      <c r="C33" s="64"/>
      <c r="D33" s="73"/>
      <c r="E33" s="25"/>
      <c r="F33" s="69"/>
    </row>
    <row r="34" spans="1:6" s="70" customFormat="1" ht="39" customHeight="1" thickBot="1" x14ac:dyDescent="0.3">
      <c r="A34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1" t="s">
        <v>29</v>
      </c>
      <c r="C34" s="97"/>
      <c r="D34" s="74"/>
      <c r="E34" s="96"/>
      <c r="F34" s="69"/>
    </row>
    <row r="35" spans="1:6" s="70" customFormat="1" ht="39" customHeight="1" x14ac:dyDescent="0.25">
      <c r="A35" s="9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1" t="s">
        <v>45</v>
      </c>
      <c r="C35" s="65">
        <v>30</v>
      </c>
      <c r="D35" s="75" t="s">
        <v>19</v>
      </c>
      <c r="E35" s="87" t="s">
        <v>8</v>
      </c>
      <c r="F35" s="99"/>
    </row>
    <row r="36" spans="1:6" s="70" customFormat="1" ht="39" customHeight="1" x14ac:dyDescent="0.25">
      <c r="A36" s="10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2" t="s">
        <v>45</v>
      </c>
      <c r="C36" s="66">
        <v>64</v>
      </c>
      <c r="D36" s="76" t="s">
        <v>17</v>
      </c>
      <c r="E36" s="88" t="s">
        <v>20</v>
      </c>
      <c r="F36" s="101"/>
    </row>
    <row r="37" spans="1:6" s="70" customFormat="1" ht="39" customHeight="1" thickBot="1" x14ac:dyDescent="0.3">
      <c r="A37" s="102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3" t="s">
        <v>45</v>
      </c>
      <c r="C37" s="104">
        <v>10</v>
      </c>
      <c r="D37" s="105" t="s">
        <v>21</v>
      </c>
      <c r="E37" s="106" t="s">
        <v>22</v>
      </c>
      <c r="F37" s="107"/>
    </row>
    <row r="38" spans="1:6" s="70" customFormat="1" ht="39" customHeight="1" x14ac:dyDescent="0.2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testosterone-3.7µg/L + Testostérone</v>
      </c>
      <c r="B38" s="111" t="str">
        <f>B14</f>
        <v>test chemical</v>
      </c>
      <c r="C38" s="111" t="str">
        <f t="shared" ref="C38:E38" si="0">C14</f>
        <v>3.7</v>
      </c>
      <c r="D38" s="111" t="str">
        <f t="shared" si="0"/>
        <v>µg/L</v>
      </c>
      <c r="E38" s="111" t="str">
        <f t="shared" si="0"/>
        <v>testosterone</v>
      </c>
      <c r="F38" s="71" t="s">
        <v>13</v>
      </c>
    </row>
    <row r="39" spans="1:6" s="70" customFormat="1" ht="39" customHeight="1" x14ac:dyDescent="0.25">
      <c r="A39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testosterone-11µg/L + Testostérone</v>
      </c>
      <c r="B39" s="113" t="str">
        <f t="shared" ref="B39:E39" si="1">B15</f>
        <v>test chemical</v>
      </c>
      <c r="C39" s="113">
        <f t="shared" si="1"/>
        <v>11</v>
      </c>
      <c r="D39" s="113" t="str">
        <f t="shared" si="1"/>
        <v>µg/L</v>
      </c>
      <c r="E39" s="113" t="str">
        <f t="shared" si="1"/>
        <v>testosterone</v>
      </c>
      <c r="F39" s="72" t="s">
        <v>13</v>
      </c>
    </row>
    <row r="40" spans="1:6" s="70" customFormat="1" ht="39" customHeight="1" x14ac:dyDescent="0.25">
      <c r="A40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testosterone-33µg/L + Testostérone</v>
      </c>
      <c r="B40" s="113" t="str">
        <f t="shared" ref="B40:E40" si="2">B16</f>
        <v>test chemical</v>
      </c>
      <c r="C40" s="113">
        <f t="shared" si="2"/>
        <v>33</v>
      </c>
      <c r="D40" s="113" t="str">
        <f t="shared" si="2"/>
        <v>µg/L</v>
      </c>
      <c r="E40" s="113" t="str">
        <f t="shared" si="2"/>
        <v>testosterone</v>
      </c>
      <c r="F40" s="72" t="s">
        <v>13</v>
      </c>
    </row>
    <row r="41" spans="1:6" s="70" customFormat="1" ht="39" customHeight="1" x14ac:dyDescent="0.25">
      <c r="A41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testosterone-100µg/L + Testostérone</v>
      </c>
      <c r="B41" s="113" t="str">
        <f t="shared" ref="B41:E41" si="3">B17</f>
        <v>test chemical</v>
      </c>
      <c r="C41" s="113">
        <f t="shared" si="3"/>
        <v>100</v>
      </c>
      <c r="D41" s="113" t="str">
        <f t="shared" si="3"/>
        <v>µg/L</v>
      </c>
      <c r="E41" s="113" t="str">
        <f t="shared" si="3"/>
        <v>testosterone</v>
      </c>
      <c r="F41" s="72" t="s">
        <v>13</v>
      </c>
    </row>
    <row r="42" spans="1:6" s="70" customFormat="1" ht="39" customHeight="1" x14ac:dyDescent="0.25">
      <c r="A42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testosterone-300µg/L + Testostérone</v>
      </c>
      <c r="B42" s="113" t="str">
        <f t="shared" ref="B42:E42" si="4">B18</f>
        <v>test chemical</v>
      </c>
      <c r="C42" s="113">
        <f t="shared" si="4"/>
        <v>300</v>
      </c>
      <c r="D42" s="113" t="str">
        <f t="shared" si="4"/>
        <v>µg/L</v>
      </c>
      <c r="E42" s="113" t="str">
        <f t="shared" si="4"/>
        <v>testosterone</v>
      </c>
      <c r="F42" s="72" t="s">
        <v>13</v>
      </c>
    </row>
    <row r="43" spans="1:6" s="70" customFormat="1" ht="39" customHeight="1" x14ac:dyDescent="0.25">
      <c r="A43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3" t="str">
        <f t="shared" ref="B43:E43" si="5">B19</f>
        <v>test chemical</v>
      </c>
      <c r="C43" s="113">
        <f t="shared" si="5"/>
        <v>0</v>
      </c>
      <c r="D43" s="113">
        <f t="shared" si="5"/>
        <v>0</v>
      </c>
      <c r="E43" s="113">
        <f t="shared" si="5"/>
        <v>0</v>
      </c>
      <c r="F43" s="72" t="s">
        <v>13</v>
      </c>
    </row>
    <row r="44" spans="1:6" s="70" customFormat="1" ht="39" customHeight="1" x14ac:dyDescent="0.25">
      <c r="A4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3" t="str">
        <f t="shared" ref="B44:E44" si="6">B20</f>
        <v>test chemical</v>
      </c>
      <c r="C44" s="113">
        <f t="shared" si="6"/>
        <v>0</v>
      </c>
      <c r="D44" s="113">
        <f t="shared" si="6"/>
        <v>0</v>
      </c>
      <c r="E44" s="113">
        <f t="shared" si="6"/>
        <v>0</v>
      </c>
      <c r="F44" s="72" t="s">
        <v>13</v>
      </c>
    </row>
    <row r="45" spans="1:6" s="70" customFormat="1" ht="39" customHeight="1" x14ac:dyDescent="0.25">
      <c r="A45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3" t="str">
        <f t="shared" ref="B45:E45" si="7">B21</f>
        <v>test chemical</v>
      </c>
      <c r="C45" s="113">
        <f t="shared" si="7"/>
        <v>0</v>
      </c>
      <c r="D45" s="113">
        <f t="shared" si="7"/>
        <v>0</v>
      </c>
      <c r="E45" s="113">
        <f t="shared" si="7"/>
        <v>0</v>
      </c>
      <c r="F45" s="72" t="s">
        <v>13</v>
      </c>
    </row>
    <row r="46" spans="1:6" s="70" customFormat="1" ht="39" customHeight="1" x14ac:dyDescent="0.25">
      <c r="A46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3" t="str">
        <f t="shared" ref="B46:E46" si="8">B22</f>
        <v>test chemical</v>
      </c>
      <c r="C46" s="113">
        <f t="shared" si="8"/>
        <v>0</v>
      </c>
      <c r="D46" s="113">
        <f t="shared" si="8"/>
        <v>0</v>
      </c>
      <c r="E46" s="113">
        <f t="shared" si="8"/>
        <v>0</v>
      </c>
      <c r="F46" s="72" t="s">
        <v>13</v>
      </c>
    </row>
    <row r="47" spans="1:6" s="70" customFormat="1" ht="39" customHeight="1" x14ac:dyDescent="0.25">
      <c r="A47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3" t="str">
        <f t="shared" ref="B47:E47" si="9">B23</f>
        <v>test chemical</v>
      </c>
      <c r="C47" s="113">
        <f t="shared" si="9"/>
        <v>0</v>
      </c>
      <c r="D47" s="113">
        <f t="shared" si="9"/>
        <v>0</v>
      </c>
      <c r="E47" s="113">
        <f t="shared" si="9"/>
        <v>0</v>
      </c>
      <c r="F47" s="72" t="s">
        <v>13</v>
      </c>
    </row>
    <row r="48" spans="1:6" s="70" customFormat="1" ht="39" customHeight="1" x14ac:dyDescent="0.25">
      <c r="A48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3" t="str">
        <f t="shared" ref="B48:E48" si="10">B24</f>
        <v>test chemical</v>
      </c>
      <c r="C48" s="113">
        <f t="shared" si="10"/>
        <v>0</v>
      </c>
      <c r="D48" s="113">
        <f t="shared" si="10"/>
        <v>0</v>
      </c>
      <c r="E48" s="113">
        <f t="shared" si="10"/>
        <v>0</v>
      </c>
      <c r="F48" s="72" t="s">
        <v>13</v>
      </c>
    </row>
    <row r="49" spans="1:6" s="70" customFormat="1" ht="39" customHeight="1" x14ac:dyDescent="0.25">
      <c r="A49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3" t="str">
        <f t="shared" ref="B49:E49" si="11">B25</f>
        <v>test chemical</v>
      </c>
      <c r="C49" s="113">
        <f t="shared" si="11"/>
        <v>0</v>
      </c>
      <c r="D49" s="113">
        <f t="shared" si="11"/>
        <v>0</v>
      </c>
      <c r="E49" s="113">
        <f t="shared" si="11"/>
        <v>0</v>
      </c>
      <c r="F49" s="72" t="s">
        <v>13</v>
      </c>
    </row>
    <row r="50" spans="1:6" s="70" customFormat="1" ht="39" customHeight="1" x14ac:dyDescent="0.25">
      <c r="A50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3" t="str">
        <f t="shared" ref="B50:E50" si="12">B26</f>
        <v>test chemical</v>
      </c>
      <c r="C50" s="113">
        <f t="shared" si="12"/>
        <v>0</v>
      </c>
      <c r="D50" s="113">
        <f t="shared" si="12"/>
        <v>0</v>
      </c>
      <c r="E50" s="113">
        <f t="shared" si="12"/>
        <v>0</v>
      </c>
      <c r="F50" s="72" t="s">
        <v>13</v>
      </c>
    </row>
    <row r="51" spans="1:6" s="70" customFormat="1" ht="39" customHeight="1" x14ac:dyDescent="0.25">
      <c r="A51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3" t="str">
        <f t="shared" ref="B51:E51" si="13">B27</f>
        <v>test chemical</v>
      </c>
      <c r="C51" s="113">
        <f t="shared" si="13"/>
        <v>0</v>
      </c>
      <c r="D51" s="113">
        <f t="shared" si="13"/>
        <v>0</v>
      </c>
      <c r="E51" s="113">
        <f t="shared" si="13"/>
        <v>0</v>
      </c>
      <c r="F51" s="72" t="s">
        <v>13</v>
      </c>
    </row>
    <row r="52" spans="1:6" s="70" customFormat="1" ht="39" customHeight="1" x14ac:dyDescent="0.25">
      <c r="A52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3" t="str">
        <f t="shared" ref="B52:E52" si="14">B28</f>
        <v>test chemical</v>
      </c>
      <c r="C52" s="113">
        <f t="shared" si="14"/>
        <v>0</v>
      </c>
      <c r="D52" s="113">
        <f t="shared" si="14"/>
        <v>0</v>
      </c>
      <c r="E52" s="113">
        <f t="shared" si="14"/>
        <v>0</v>
      </c>
      <c r="F52" s="72" t="s">
        <v>13</v>
      </c>
    </row>
    <row r="53" spans="1:6" s="70" customFormat="1" ht="39" customHeight="1" x14ac:dyDescent="0.25">
      <c r="A53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3" t="str">
        <f t="shared" ref="B53:E53" si="15">B29</f>
        <v>test chemical</v>
      </c>
      <c r="C53" s="113">
        <f t="shared" si="15"/>
        <v>0</v>
      </c>
      <c r="D53" s="113">
        <f t="shared" si="15"/>
        <v>0</v>
      </c>
      <c r="E53" s="113">
        <f t="shared" si="15"/>
        <v>0</v>
      </c>
      <c r="F53" s="72" t="s">
        <v>13</v>
      </c>
    </row>
    <row r="54" spans="1:6" s="70" customFormat="1" ht="39" customHeight="1" x14ac:dyDescent="0.25">
      <c r="A5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3" t="str">
        <f t="shared" ref="B54:E54" si="16">B30</f>
        <v>test chemical</v>
      </c>
      <c r="C54" s="113">
        <f t="shared" si="16"/>
        <v>0</v>
      </c>
      <c r="D54" s="113">
        <f t="shared" si="16"/>
        <v>0</v>
      </c>
      <c r="E54" s="113">
        <f t="shared" si="16"/>
        <v>0</v>
      </c>
      <c r="F54" s="72" t="s">
        <v>13</v>
      </c>
    </row>
    <row r="55" spans="1:6" s="70" customFormat="1" ht="39" customHeight="1" x14ac:dyDescent="0.25">
      <c r="A55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3" t="str">
        <f t="shared" ref="B55:E55" si="17">B31</f>
        <v>test chemical</v>
      </c>
      <c r="C55" s="113">
        <f t="shared" si="17"/>
        <v>0</v>
      </c>
      <c r="D55" s="113">
        <f t="shared" si="17"/>
        <v>0</v>
      </c>
      <c r="E55" s="113">
        <f t="shared" si="17"/>
        <v>0</v>
      </c>
      <c r="F55" s="72" t="s">
        <v>13</v>
      </c>
    </row>
    <row r="56" spans="1:6" s="70" customFormat="1" ht="39" customHeight="1" x14ac:dyDescent="0.25">
      <c r="A56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3" t="str">
        <f t="shared" ref="B56:E56" si="18">B32</f>
        <v>test chemical</v>
      </c>
      <c r="C56" s="113">
        <f t="shared" si="18"/>
        <v>0</v>
      </c>
      <c r="D56" s="113">
        <f t="shared" si="18"/>
        <v>0</v>
      </c>
      <c r="E56" s="113">
        <f t="shared" si="18"/>
        <v>0</v>
      </c>
      <c r="F56" s="72" t="s">
        <v>13</v>
      </c>
    </row>
    <row r="57" spans="1:6" s="70" customFormat="1" ht="39" customHeight="1" x14ac:dyDescent="0.25">
      <c r="A57" s="6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2" t="str">
        <f t="shared" ref="B57:E57" si="19">B33</f>
        <v>test chemical</v>
      </c>
      <c r="C57" s="112">
        <f t="shared" si="19"/>
        <v>0</v>
      </c>
      <c r="D57" s="112">
        <f t="shared" si="19"/>
        <v>0</v>
      </c>
      <c r="E57" s="112">
        <f t="shared" si="19"/>
        <v>0</v>
      </c>
      <c r="F57" s="72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85" zoomScaleNormal="85" zoomScaleSheetLayoutView="40" zoomScalePageLayoutView="30" workbookViewId="0">
      <pane xSplit="1" topLeftCell="R1" activePane="topRight" state="frozen"/>
      <selection pane="topRight" activeCell="V5" sqref="V5:V12"/>
    </sheetView>
  </sheetViews>
  <sheetFormatPr baseColWidth="10" defaultColWidth="9.140625" defaultRowHeight="15" x14ac:dyDescent="0.25"/>
  <cols>
    <col min="1" max="1" width="29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8.28515625" bestFit="1" customWidth="1"/>
    <col min="15" max="15" width="14.85546875" customWidth="1"/>
    <col min="16" max="16" width="17.7109375" customWidth="1"/>
    <col min="17" max="18" width="25.85546875" bestFit="1" customWidth="1"/>
    <col min="19" max="22" width="25.85546875" style="1" customWidth="1"/>
  </cols>
  <sheetData>
    <row r="1" spans="1:22" s="1" customFormat="1" ht="27" thickBot="1" x14ac:dyDescent="0.4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ht="15.75" thickBot="1" x14ac:dyDescent="0.3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.75" thickBot="1" x14ac:dyDescent="0.3">
      <c r="A3" s="35" t="s">
        <v>5</v>
      </c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testosterone-3.7µg/L</v>
      </c>
      <c r="J4" s="20" t="str">
        <f>'Front page'!A15</f>
        <v>testosterone-11µg/L</v>
      </c>
      <c r="K4" s="20" t="str">
        <f>'Front page'!A16</f>
        <v>testosterone-33µg/L</v>
      </c>
      <c r="L4" s="20" t="str">
        <f>'Front page'!A17</f>
        <v>testosterone-100µg/L</v>
      </c>
      <c r="M4" s="20" t="str">
        <f>'Front page'!A18</f>
        <v>testosterone-300µg/L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testosterone-3.7µg/L + Testostérone</v>
      </c>
      <c r="S4" s="21" t="str">
        <f>'Front page'!A39</f>
        <v>testosterone-11µg/L + Testostérone</v>
      </c>
      <c r="T4" s="21" t="str">
        <f>'Front page'!A40</f>
        <v>testosterone-33µg/L + Testostérone</v>
      </c>
      <c r="U4" s="21" t="str">
        <f>'Front page'!A41</f>
        <v>testosterone-100µg/L + Testostérone</v>
      </c>
      <c r="V4" s="21" t="str">
        <f>'Front page'!A42</f>
        <v>testosterone-300µg/L + Testostérone</v>
      </c>
    </row>
    <row r="5" spans="1:22" x14ac:dyDescent="0.25">
      <c r="A5" s="137" t="s">
        <v>34</v>
      </c>
      <c r="B5" s="1">
        <v>0</v>
      </c>
      <c r="C5" s="1">
        <v>31029</v>
      </c>
      <c r="D5" s="1">
        <v>421760</v>
      </c>
      <c r="E5" s="1">
        <v>171228</v>
      </c>
      <c r="F5" s="1">
        <v>174477</v>
      </c>
      <c r="G5" s="1">
        <v>409842</v>
      </c>
      <c r="H5" s="1">
        <v>335849</v>
      </c>
      <c r="I5" s="1">
        <v>3195</v>
      </c>
      <c r="J5" s="1">
        <v>30397</v>
      </c>
      <c r="K5" s="1">
        <v>280842</v>
      </c>
      <c r="L5" s="1">
        <v>400599</v>
      </c>
      <c r="M5" s="1">
        <v>387145</v>
      </c>
      <c r="N5" s="3"/>
      <c r="O5" s="1">
        <v>207697</v>
      </c>
      <c r="P5" s="1">
        <v>315900</v>
      </c>
      <c r="Q5" s="1">
        <v>23839</v>
      </c>
      <c r="R5" s="1">
        <v>380272</v>
      </c>
      <c r="S5" s="1">
        <v>408543</v>
      </c>
      <c r="T5" s="1">
        <v>307060</v>
      </c>
      <c r="U5" s="1">
        <v>251457</v>
      </c>
      <c r="V5" s="1">
        <v>233397</v>
      </c>
    </row>
    <row r="6" spans="1:22" x14ac:dyDescent="0.25">
      <c r="A6" s="138"/>
      <c r="B6" s="1">
        <v>0</v>
      </c>
      <c r="C6" s="1">
        <v>22012</v>
      </c>
      <c r="D6" s="1">
        <v>22299</v>
      </c>
      <c r="E6" s="1">
        <v>141088</v>
      </c>
      <c r="F6" s="1">
        <v>337313</v>
      </c>
      <c r="G6" s="1">
        <v>299508</v>
      </c>
      <c r="H6" s="1">
        <v>328421</v>
      </c>
      <c r="I6" s="1">
        <v>7117</v>
      </c>
      <c r="J6" s="1">
        <v>236422</v>
      </c>
      <c r="K6" s="1">
        <v>276279</v>
      </c>
      <c r="L6" s="1">
        <v>265529</v>
      </c>
      <c r="M6" s="1">
        <v>304023</v>
      </c>
      <c r="N6" s="3"/>
      <c r="O6" s="1">
        <v>222430</v>
      </c>
      <c r="P6" s="1">
        <v>378330</v>
      </c>
      <c r="Q6" s="1">
        <v>1305</v>
      </c>
      <c r="R6" s="1">
        <v>373346</v>
      </c>
      <c r="S6" s="1">
        <v>273103</v>
      </c>
      <c r="T6" s="1">
        <v>259371</v>
      </c>
      <c r="U6" s="1">
        <v>349970</v>
      </c>
      <c r="V6" s="1">
        <v>378611</v>
      </c>
    </row>
    <row r="7" spans="1:22" x14ac:dyDescent="0.25">
      <c r="A7" s="138"/>
      <c r="B7" s="1">
        <v>0</v>
      </c>
      <c r="C7" s="1">
        <v>16573</v>
      </c>
      <c r="D7" s="1">
        <v>85653</v>
      </c>
      <c r="E7" s="1">
        <v>38652</v>
      </c>
      <c r="F7" s="1">
        <v>156302</v>
      </c>
      <c r="G7" s="1">
        <v>371422</v>
      </c>
      <c r="H7" s="1">
        <v>335241</v>
      </c>
      <c r="I7" s="1">
        <v>40291</v>
      </c>
      <c r="J7" s="1">
        <v>374036</v>
      </c>
      <c r="K7" s="1">
        <v>318294</v>
      </c>
      <c r="L7" s="1">
        <v>223252</v>
      </c>
      <c r="M7" s="1">
        <v>312271</v>
      </c>
      <c r="N7" s="3"/>
      <c r="O7" s="1">
        <v>282773</v>
      </c>
      <c r="P7" s="1">
        <v>379099</v>
      </c>
      <c r="Q7" s="1">
        <v>485</v>
      </c>
      <c r="R7" s="1">
        <v>416975</v>
      </c>
      <c r="S7" s="1">
        <v>339358</v>
      </c>
      <c r="T7" s="1">
        <v>299207</v>
      </c>
      <c r="U7" s="1">
        <v>326448</v>
      </c>
      <c r="V7" s="1">
        <v>380420</v>
      </c>
    </row>
    <row r="8" spans="1:22" x14ac:dyDescent="0.25">
      <c r="A8" s="138"/>
      <c r="B8" s="1">
        <v>0</v>
      </c>
      <c r="C8" s="1">
        <v>4558</v>
      </c>
      <c r="D8" s="1">
        <v>0</v>
      </c>
      <c r="E8" s="1">
        <v>58439</v>
      </c>
      <c r="F8" s="1">
        <v>408179</v>
      </c>
      <c r="G8" s="1">
        <v>20547</v>
      </c>
      <c r="H8" s="1">
        <v>406670</v>
      </c>
      <c r="I8" s="1">
        <v>28356</v>
      </c>
      <c r="J8" s="1">
        <v>166713</v>
      </c>
      <c r="K8" s="1">
        <v>277455</v>
      </c>
      <c r="L8" s="1">
        <v>376336</v>
      </c>
      <c r="M8" s="1">
        <v>400594</v>
      </c>
      <c r="N8" s="3"/>
      <c r="O8" s="1">
        <v>333083</v>
      </c>
      <c r="P8" s="1">
        <v>320093</v>
      </c>
      <c r="Q8" s="1">
        <v>13601</v>
      </c>
      <c r="R8" s="1">
        <v>303120</v>
      </c>
      <c r="S8" s="1">
        <v>367457</v>
      </c>
      <c r="T8" s="1">
        <v>403295</v>
      </c>
      <c r="U8" s="1">
        <v>257034</v>
      </c>
      <c r="V8" s="1">
        <v>268738</v>
      </c>
    </row>
    <row r="9" spans="1:22" x14ac:dyDescent="0.25">
      <c r="A9" s="138"/>
      <c r="B9" s="1">
        <v>0</v>
      </c>
      <c r="C9" s="1">
        <v>17934</v>
      </c>
      <c r="D9" s="1">
        <v>185166</v>
      </c>
      <c r="E9" s="1">
        <v>198364</v>
      </c>
      <c r="F9" s="1">
        <v>169195</v>
      </c>
      <c r="G9" s="1">
        <v>371363</v>
      </c>
      <c r="H9" s="1">
        <v>483362</v>
      </c>
      <c r="I9" s="1">
        <v>29715</v>
      </c>
      <c r="J9" s="1">
        <v>265805</v>
      </c>
      <c r="K9" s="1">
        <v>298926</v>
      </c>
      <c r="L9" s="1">
        <v>299189</v>
      </c>
      <c r="M9" s="1">
        <v>360778</v>
      </c>
      <c r="N9" s="3"/>
      <c r="O9" s="1">
        <v>316407</v>
      </c>
      <c r="P9" s="1">
        <v>255646</v>
      </c>
      <c r="Q9" s="1">
        <v>39009</v>
      </c>
      <c r="R9" s="1">
        <v>334515</v>
      </c>
      <c r="S9" s="1">
        <v>390904</v>
      </c>
      <c r="T9" s="1">
        <v>232624</v>
      </c>
      <c r="U9" s="1">
        <v>260271</v>
      </c>
      <c r="V9" s="1">
        <v>262022</v>
      </c>
    </row>
    <row r="10" spans="1:22" x14ac:dyDescent="0.25">
      <c r="A10" s="138"/>
      <c r="B10" s="1">
        <v>0</v>
      </c>
      <c r="C10" s="1">
        <v>52483</v>
      </c>
      <c r="D10" s="1">
        <v>2521</v>
      </c>
      <c r="E10" s="1">
        <v>86462</v>
      </c>
      <c r="F10" s="1">
        <v>183384</v>
      </c>
      <c r="G10" s="1">
        <v>352890</v>
      </c>
      <c r="H10" s="1">
        <v>407492</v>
      </c>
      <c r="I10" s="1">
        <v>16290</v>
      </c>
      <c r="J10" s="1">
        <v>81004</v>
      </c>
      <c r="K10" s="1">
        <v>282791</v>
      </c>
      <c r="L10" s="1">
        <v>303598</v>
      </c>
      <c r="M10" s="1">
        <v>287096</v>
      </c>
      <c r="N10" s="3"/>
      <c r="O10" s="1">
        <v>199081</v>
      </c>
      <c r="P10" s="1">
        <v>388979</v>
      </c>
      <c r="Q10" s="1">
        <v>13191</v>
      </c>
      <c r="R10" s="1">
        <v>317932</v>
      </c>
      <c r="S10" s="1">
        <v>319704</v>
      </c>
      <c r="T10" s="1">
        <v>348352</v>
      </c>
      <c r="U10" s="1">
        <v>290257</v>
      </c>
      <c r="V10" s="1">
        <v>432693</v>
      </c>
    </row>
    <row r="11" spans="1:22" x14ac:dyDescent="0.25">
      <c r="A11" s="138"/>
      <c r="B11" s="1">
        <v>0</v>
      </c>
      <c r="C11" s="1">
        <v>24950</v>
      </c>
      <c r="D11" s="1">
        <v>3523</v>
      </c>
      <c r="E11" s="1">
        <v>188689</v>
      </c>
      <c r="F11" s="1">
        <v>318096</v>
      </c>
      <c r="G11" s="1">
        <v>389475</v>
      </c>
      <c r="H11" s="1">
        <v>400449</v>
      </c>
      <c r="I11" s="1">
        <v>0</v>
      </c>
      <c r="J11" s="1">
        <v>97214</v>
      </c>
      <c r="K11" s="1">
        <v>346730</v>
      </c>
      <c r="L11" s="1">
        <v>335214</v>
      </c>
      <c r="M11" s="1">
        <v>297883</v>
      </c>
      <c r="N11" s="3"/>
      <c r="O11" s="1">
        <v>237365</v>
      </c>
      <c r="P11" s="1">
        <v>261694</v>
      </c>
      <c r="Q11" s="1">
        <v>41966</v>
      </c>
      <c r="R11" s="1">
        <v>269641</v>
      </c>
      <c r="S11" s="1">
        <v>294574</v>
      </c>
      <c r="T11" s="1">
        <v>340671</v>
      </c>
      <c r="U11" s="1">
        <v>282696</v>
      </c>
      <c r="V11" s="1">
        <v>316409</v>
      </c>
    </row>
    <row r="12" spans="1:22" x14ac:dyDescent="0.25">
      <c r="A12" s="138"/>
      <c r="B12" s="1">
        <v>0</v>
      </c>
      <c r="C12" s="1">
        <v>18326</v>
      </c>
      <c r="D12" s="1">
        <v>8520</v>
      </c>
      <c r="E12" s="1">
        <v>170183</v>
      </c>
      <c r="F12" s="1">
        <v>254778</v>
      </c>
      <c r="G12" s="1">
        <v>417254</v>
      </c>
      <c r="H12" s="1">
        <v>356972</v>
      </c>
      <c r="I12" s="1">
        <v>26092</v>
      </c>
      <c r="J12" s="1">
        <v>166765</v>
      </c>
      <c r="K12" s="1">
        <v>308655</v>
      </c>
      <c r="L12" s="1">
        <v>147812</v>
      </c>
      <c r="M12" s="1">
        <v>320963</v>
      </c>
      <c r="N12" s="3"/>
      <c r="O12" s="1">
        <v>293019</v>
      </c>
      <c r="P12" s="1">
        <v>356955</v>
      </c>
      <c r="Q12" s="1">
        <v>23477</v>
      </c>
      <c r="R12" s="1">
        <v>314986</v>
      </c>
      <c r="S12" s="1">
        <v>295140</v>
      </c>
      <c r="T12" s="1">
        <v>223076</v>
      </c>
      <c r="U12" s="1">
        <v>346978</v>
      </c>
      <c r="V12" s="1">
        <v>364922</v>
      </c>
    </row>
    <row r="13" spans="1:22" ht="16.5" x14ac:dyDescent="0.25">
      <c r="A13" s="138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">
        <v>288150</v>
      </c>
      <c r="P13" s="13"/>
      <c r="Q13" s="13"/>
      <c r="R13" s="4"/>
      <c r="S13" s="17"/>
      <c r="T13" s="17"/>
      <c r="U13" s="17"/>
      <c r="V13" s="17"/>
    </row>
    <row r="14" spans="1:22" ht="16.5" x14ac:dyDescent="0.25">
      <c r="A14" s="138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">
        <v>282154</v>
      </c>
      <c r="P14" s="13"/>
      <c r="Q14" s="13"/>
      <c r="R14" s="4"/>
      <c r="S14" s="17"/>
      <c r="T14" s="17"/>
      <c r="U14" s="17"/>
      <c r="V14" s="17"/>
    </row>
    <row r="15" spans="1:22" ht="16.5" x14ac:dyDescent="0.25">
      <c r="A15" s="138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">
        <v>277795</v>
      </c>
      <c r="P15" s="13"/>
      <c r="Q15" s="13"/>
      <c r="R15" s="4"/>
      <c r="S15" s="17"/>
      <c r="T15" s="17"/>
      <c r="U15" s="17"/>
      <c r="V15" s="17"/>
    </row>
    <row r="16" spans="1:22" ht="16.5" x14ac:dyDescent="0.25">
      <c r="A16" s="138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">
        <v>285977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25">
      <c r="A17" s="138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">
        <v>250167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25">
      <c r="A18" s="138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">
        <v>229380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25">
      <c r="A19" s="138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">
        <v>284722</v>
      </c>
      <c r="P19" s="13"/>
      <c r="Q19" s="13"/>
      <c r="R19" s="17"/>
      <c r="S19" s="17"/>
      <c r="T19" s="17"/>
      <c r="U19" s="17"/>
      <c r="V19" s="17"/>
    </row>
    <row r="20" spans="1:22" ht="16.5" x14ac:dyDescent="0.25">
      <c r="A20" s="138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7"/>
      <c r="P20" s="13"/>
      <c r="Q20" s="13"/>
      <c r="R20" s="4"/>
      <c r="S20" s="17"/>
      <c r="T20" s="17"/>
      <c r="U20" s="17"/>
      <c r="V20" s="17"/>
    </row>
    <row r="21" spans="1:22" s="1" customFormat="1" ht="16.5" x14ac:dyDescent="0.2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7"/>
      <c r="P21" s="18"/>
      <c r="Q21" s="18"/>
      <c r="R21" s="7"/>
      <c r="S21" s="7"/>
      <c r="T21" s="7"/>
      <c r="U21" s="7"/>
      <c r="V21" s="7"/>
    </row>
    <row r="22" spans="1:22" s="52" customFormat="1" x14ac:dyDescent="0.2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>testosterone-3.7µg/L</v>
      </c>
      <c r="J22" s="51" t="str">
        <f t="shared" si="0"/>
        <v>testosterone-11µg/L</v>
      </c>
      <c r="K22" s="51" t="str">
        <f t="shared" si="0"/>
        <v>testosterone-33µg/L</v>
      </c>
      <c r="L22" s="51" t="str">
        <f t="shared" si="0"/>
        <v>testosterone-100µg/L</v>
      </c>
      <c r="M22" s="51" t="str">
        <f t="shared" si="0"/>
        <v>testosterone-300µg/L</v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testosterone-3.7µg/L + Testostérone</v>
      </c>
      <c r="S22" s="51" t="str">
        <f t="shared" si="1"/>
        <v>testosterone-11µg/L + Testostérone</v>
      </c>
      <c r="T22" s="51" t="str">
        <f t="shared" si="1"/>
        <v>testosterone-33µg/L + Testostérone</v>
      </c>
      <c r="U22" s="51" t="str">
        <f t="shared" si="1"/>
        <v>testosterone-100µg/L + Testostérone</v>
      </c>
      <c r="V22" s="51" t="str">
        <f t="shared" si="1"/>
        <v>testosterone-300µg/L + Testostérone</v>
      </c>
    </row>
    <row r="23" spans="1:22" x14ac:dyDescent="0.25">
      <c r="A23" s="5" t="s">
        <v>0</v>
      </c>
      <c r="B23" s="5">
        <f t="shared" ref="B23:M23" si="2">AVERAGE(B5:B20)</f>
        <v>0</v>
      </c>
      <c r="C23" s="5">
        <f t="shared" si="2"/>
        <v>23483.125</v>
      </c>
      <c r="D23" s="5">
        <f t="shared" si="2"/>
        <v>91180.25</v>
      </c>
      <c r="E23" s="5">
        <f t="shared" si="2"/>
        <v>131638.125</v>
      </c>
      <c r="F23" s="5">
        <f t="shared" si="2"/>
        <v>250215.5</v>
      </c>
      <c r="G23" s="5">
        <f t="shared" si="2"/>
        <v>329037.625</v>
      </c>
      <c r="H23" s="5">
        <f t="shared" si="2"/>
        <v>381807</v>
      </c>
      <c r="I23" s="5">
        <f t="shared" si="2"/>
        <v>18882</v>
      </c>
      <c r="J23" s="5">
        <f t="shared" si="2"/>
        <v>177294.5</v>
      </c>
      <c r="K23" s="5">
        <f t="shared" si="2"/>
        <v>298746.5</v>
      </c>
      <c r="L23" s="5">
        <f t="shared" si="2"/>
        <v>293941.125</v>
      </c>
      <c r="M23" s="5">
        <f t="shared" si="2"/>
        <v>333844.125</v>
      </c>
      <c r="N23" s="5" t="s">
        <v>0</v>
      </c>
      <c r="O23" s="5">
        <f t="shared" ref="O23:V23" si="3">AVERAGE(O5:O20)</f>
        <v>266013.33333333331</v>
      </c>
      <c r="P23" s="5">
        <f t="shared" si="3"/>
        <v>332087</v>
      </c>
      <c r="Q23" s="5">
        <f t="shared" si="3"/>
        <v>19609.125</v>
      </c>
      <c r="R23" s="5">
        <f t="shared" si="3"/>
        <v>338848.375</v>
      </c>
      <c r="S23" s="5">
        <f t="shared" si="3"/>
        <v>336097.875</v>
      </c>
      <c r="T23" s="5">
        <f t="shared" si="3"/>
        <v>301707</v>
      </c>
      <c r="U23" s="5">
        <f t="shared" si="3"/>
        <v>295638.875</v>
      </c>
      <c r="V23" s="5">
        <f t="shared" si="3"/>
        <v>329651.5</v>
      </c>
    </row>
    <row r="24" spans="1:22" x14ac:dyDescent="0.25">
      <c r="A24" s="3" t="s">
        <v>1</v>
      </c>
      <c r="B24" s="3">
        <f t="shared" ref="B24:M24" si="4">STDEV(B5:B20)</f>
        <v>0</v>
      </c>
      <c r="C24" s="3">
        <f t="shared" si="4"/>
        <v>13967.041924652478</v>
      </c>
      <c r="D24" s="3">
        <f t="shared" si="4"/>
        <v>148122.67136952013</v>
      </c>
      <c r="E24" s="3">
        <f t="shared" si="4"/>
        <v>61984.933739550201</v>
      </c>
      <c r="F24" s="3">
        <f t="shared" si="4"/>
        <v>94682.821795417869</v>
      </c>
      <c r="G24" s="3">
        <f t="shared" si="4"/>
        <v>129922.73803296383</v>
      </c>
      <c r="H24" s="3">
        <f t="shared" si="4"/>
        <v>53031.261028620793</v>
      </c>
      <c r="I24" s="3">
        <f t="shared" si="4"/>
        <v>14467.626560210707</v>
      </c>
      <c r="J24" s="3">
        <f t="shared" si="4"/>
        <v>111818.63413454077</v>
      </c>
      <c r="K24" s="3">
        <f t="shared" si="4"/>
        <v>24830.84846948017</v>
      </c>
      <c r="L24" s="3">
        <f t="shared" si="4"/>
        <v>82068.774100815674</v>
      </c>
      <c r="M24" s="3">
        <f t="shared" si="4"/>
        <v>43129.663330266594</v>
      </c>
      <c r="N24" s="3" t="s">
        <v>1</v>
      </c>
      <c r="O24" s="3">
        <f t="shared" ref="O24:V24" si="5">STDEV(O5:O20)</f>
        <v>39533.033745150919</v>
      </c>
      <c r="P24" s="3">
        <f t="shared" si="5"/>
        <v>52655.12621361218</v>
      </c>
      <c r="Q24" s="3">
        <f t="shared" si="5"/>
        <v>15524.636424889311</v>
      </c>
      <c r="R24" s="3">
        <f t="shared" si="5"/>
        <v>47960.751408797056</v>
      </c>
      <c r="S24" s="3">
        <f t="shared" si="5"/>
        <v>49113.460102785029</v>
      </c>
      <c r="T24" s="3">
        <f t="shared" si="5"/>
        <v>61871.534673524489</v>
      </c>
      <c r="U24" s="3">
        <f t="shared" si="5"/>
        <v>40402.479960791301</v>
      </c>
      <c r="V24" s="3">
        <f t="shared" si="5"/>
        <v>70265.342456800339</v>
      </c>
    </row>
    <row r="25" spans="1:22" ht="15.75" thickBot="1" x14ac:dyDescent="0.3"/>
    <row r="26" spans="1:22" ht="15.75" thickBot="1" x14ac:dyDescent="0.3">
      <c r="B26" s="141" t="s">
        <v>41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"/>
      <c r="O26" s="141" t="s">
        <v>42</v>
      </c>
      <c r="P26" s="142"/>
      <c r="Q26" s="142"/>
      <c r="R26" s="142"/>
      <c r="S26" s="142"/>
      <c r="T26" s="142"/>
      <c r="U26" s="142"/>
      <c r="V26" s="142"/>
    </row>
    <row r="27" spans="1:22" s="1" customFormat="1" x14ac:dyDescent="0.2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testosterone-3.7µg/L</v>
      </c>
      <c r="J27" s="20" t="str">
        <f t="shared" si="6"/>
        <v>testosterone-11µg/L</v>
      </c>
      <c r="K27" s="20" t="str">
        <f t="shared" si="6"/>
        <v>testosterone-33µg/L</v>
      </c>
      <c r="L27" s="20" t="str">
        <f t="shared" si="6"/>
        <v>testosterone-100µg/L</v>
      </c>
      <c r="M27" s="20" t="str">
        <f t="shared" si="6"/>
        <v>testosterone-300µg/L</v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testosterone-3.7µg/L + Testostérone</v>
      </c>
      <c r="S27" s="21" t="str">
        <f t="shared" si="7"/>
        <v>testosterone-11µg/L + Testostérone</v>
      </c>
      <c r="T27" s="21" t="str">
        <f t="shared" si="7"/>
        <v>testosterone-33µg/L + Testostérone</v>
      </c>
      <c r="U27" s="21" t="str">
        <f t="shared" si="7"/>
        <v>testosterone-100µg/L + Testostérone</v>
      </c>
      <c r="V27" s="21" t="str">
        <f t="shared" si="7"/>
        <v>testosterone-300µg/L + Testostérone</v>
      </c>
    </row>
    <row r="28" spans="1:22" x14ac:dyDescent="0.25">
      <c r="A28" s="139" t="s">
        <v>35</v>
      </c>
      <c r="B28" s="11">
        <f t="shared" ref="B28:M28" si="8">IF(B5="","",(B5/$O$23))</f>
        <v>0</v>
      </c>
      <c r="C28" s="11">
        <f t="shared" si="8"/>
        <v>0.11664452909628591</v>
      </c>
      <c r="D28" s="11">
        <f t="shared" si="8"/>
        <v>1.5854844368703325</v>
      </c>
      <c r="E28" s="11">
        <f t="shared" si="8"/>
        <v>0.64368202095133076</v>
      </c>
      <c r="F28" s="11">
        <f t="shared" si="8"/>
        <v>0.65589569445140594</v>
      </c>
      <c r="G28" s="11">
        <f t="shared" si="8"/>
        <v>1.5406821713197334</v>
      </c>
      <c r="H28" s="11">
        <f t="shared" si="8"/>
        <v>1.2625269410054636</v>
      </c>
      <c r="I28" s="11">
        <f t="shared" si="8"/>
        <v>1.2010676156583631E-2</v>
      </c>
      <c r="J28" s="11">
        <f t="shared" si="8"/>
        <v>0.1142687083354218</v>
      </c>
      <c r="K28" s="11">
        <f t="shared" si="8"/>
        <v>1.0557440729787981</v>
      </c>
      <c r="L28" s="11">
        <f t="shared" si="8"/>
        <v>1.5059357926920958</v>
      </c>
      <c r="M28" s="11">
        <f t="shared" si="8"/>
        <v>1.4553593804821814</v>
      </c>
      <c r="N28" s="6"/>
      <c r="O28" s="11">
        <f t="shared" ref="O28:V37" si="9">IF(O5="","",(O5/$O$23))</f>
        <v>0.78077665279935848</v>
      </c>
      <c r="P28" s="11">
        <f t="shared" si="9"/>
        <v>1.1875344594255928</v>
      </c>
      <c r="Q28" s="11">
        <f t="shared" si="9"/>
        <v>8.9615808731391911E-2</v>
      </c>
      <c r="R28" s="11">
        <f t="shared" si="9"/>
        <v>1.4295223297077841</v>
      </c>
      <c r="S28" s="11">
        <f t="shared" si="9"/>
        <v>1.5357989574457422</v>
      </c>
      <c r="T28" s="11">
        <f t="shared" si="9"/>
        <v>1.1543030424540124</v>
      </c>
      <c r="U28" s="11">
        <f t="shared" si="9"/>
        <v>0.94527968522881067</v>
      </c>
      <c r="V28" s="11">
        <f t="shared" si="9"/>
        <v>0.87738835146107974</v>
      </c>
    </row>
    <row r="29" spans="1:22" x14ac:dyDescent="0.25">
      <c r="A29" s="140"/>
      <c r="B29" s="11">
        <f t="shared" ref="B29:M29" si="10">IF(B6="","",(B6/$O$23))</f>
        <v>0</v>
      </c>
      <c r="C29" s="11">
        <f t="shared" si="10"/>
        <v>8.2747731943261002E-2</v>
      </c>
      <c r="D29" s="11">
        <f t="shared" si="10"/>
        <v>8.3826625231817956E-2</v>
      </c>
      <c r="E29" s="11">
        <f t="shared" si="10"/>
        <v>0.53037942960252626</v>
      </c>
      <c r="F29" s="11">
        <f t="shared" si="10"/>
        <v>1.2680304245401235</v>
      </c>
      <c r="G29" s="11">
        <f t="shared" si="10"/>
        <v>1.125913488045712</v>
      </c>
      <c r="H29" s="11">
        <f t="shared" si="10"/>
        <v>1.2346035286451809</v>
      </c>
      <c r="I29" s="11">
        <f t="shared" si="10"/>
        <v>2.6754298030173929E-2</v>
      </c>
      <c r="J29" s="11">
        <f t="shared" si="10"/>
        <v>0.88875996190667139</v>
      </c>
      <c r="K29" s="11">
        <f t="shared" si="10"/>
        <v>1.0385907974537618</v>
      </c>
      <c r="L29" s="11">
        <f t="shared" si="10"/>
        <v>0.99817928925868382</v>
      </c>
      <c r="M29" s="11">
        <f t="shared" si="10"/>
        <v>1.1428863214876448</v>
      </c>
      <c r="N29" s="6"/>
      <c r="O29" s="11">
        <f t="shared" si="9"/>
        <v>0.83616109468197086</v>
      </c>
      <c r="P29" s="11">
        <f t="shared" si="9"/>
        <v>1.4222219437622174</v>
      </c>
      <c r="Q29" s="11">
        <f t="shared" si="9"/>
        <v>4.9057691343792299E-3</v>
      </c>
      <c r="R29" s="11">
        <f t="shared" si="9"/>
        <v>1.4034860407999601</v>
      </c>
      <c r="S29" s="11">
        <f t="shared" si="9"/>
        <v>1.0266515462884067</v>
      </c>
      <c r="T29" s="11">
        <f t="shared" si="9"/>
        <v>0.97503007368051731</v>
      </c>
      <c r="U29" s="11">
        <f t="shared" si="9"/>
        <v>1.3156107463285049</v>
      </c>
      <c r="V29" s="11">
        <f t="shared" si="9"/>
        <v>1.4232782817903866</v>
      </c>
    </row>
    <row r="30" spans="1:22" x14ac:dyDescent="0.25">
      <c r="A30" s="140"/>
      <c r="B30" s="11">
        <f t="shared" ref="B30:M30" si="11">IF(B7="","",(B7/$O$23))</f>
        <v>0</v>
      </c>
      <c r="C30" s="11">
        <f t="shared" si="11"/>
        <v>6.2301388401583883E-2</v>
      </c>
      <c r="D30" s="11">
        <f t="shared" si="11"/>
        <v>0.32198761966818706</v>
      </c>
      <c r="E30" s="11">
        <f t="shared" si="11"/>
        <v>0.14530098741917699</v>
      </c>
      <c r="F30" s="11">
        <f t="shared" si="11"/>
        <v>0.58757205152623937</v>
      </c>
      <c r="G30" s="11">
        <f t="shared" si="11"/>
        <v>1.3962533206355572</v>
      </c>
      <c r="H30" s="11">
        <f t="shared" si="11"/>
        <v>1.2602413412861511</v>
      </c>
      <c r="I30" s="11">
        <f t="shared" si="11"/>
        <v>0.15146233271515214</v>
      </c>
      <c r="J30" s="11">
        <f t="shared" si="11"/>
        <v>1.4060798957445744</v>
      </c>
      <c r="K30" s="11">
        <f t="shared" si="11"/>
        <v>1.196534008320385</v>
      </c>
      <c r="L30" s="11">
        <f t="shared" si="11"/>
        <v>0.83925116535512012</v>
      </c>
      <c r="M30" s="11">
        <f t="shared" si="11"/>
        <v>1.1738922861009473</v>
      </c>
      <c r="N30" s="6"/>
      <c r="O30" s="11">
        <f t="shared" si="9"/>
        <v>1.0630031076136535</v>
      </c>
      <c r="P30" s="11">
        <f t="shared" si="9"/>
        <v>1.4251127763019398</v>
      </c>
      <c r="Q30" s="11">
        <f t="shared" si="9"/>
        <v>1.8232168813593305E-3</v>
      </c>
      <c r="R30" s="11">
        <f t="shared" si="9"/>
        <v>1.5674966167109419</v>
      </c>
      <c r="S30" s="11">
        <f t="shared" si="9"/>
        <v>1.2757180091223499</v>
      </c>
      <c r="T30" s="11">
        <f t="shared" si="9"/>
        <v>1.1247819658162499</v>
      </c>
      <c r="U30" s="11">
        <f t="shared" si="9"/>
        <v>1.2271866071876096</v>
      </c>
      <c r="V30" s="11">
        <f t="shared" si="9"/>
        <v>1.4300786927973537</v>
      </c>
    </row>
    <row r="31" spans="1:22" x14ac:dyDescent="0.25">
      <c r="A31" s="140"/>
      <c r="B31" s="11">
        <f t="shared" ref="B31:M31" si="12">IF(B8="","",(B8/$O$23))</f>
        <v>0</v>
      </c>
      <c r="C31" s="11">
        <f t="shared" si="12"/>
        <v>1.7134479474713048E-2</v>
      </c>
      <c r="D31" s="11">
        <f t="shared" si="12"/>
        <v>0</v>
      </c>
      <c r="E31" s="11">
        <f t="shared" si="12"/>
        <v>0.21968447696857302</v>
      </c>
      <c r="F31" s="11">
        <f t="shared" si="12"/>
        <v>1.5344306049822065</v>
      </c>
      <c r="G31" s="11">
        <f t="shared" si="12"/>
        <v>7.7240489198536419E-2</v>
      </c>
      <c r="H31" s="11">
        <f t="shared" si="12"/>
        <v>1.528757956994637</v>
      </c>
      <c r="I31" s="11">
        <f t="shared" si="12"/>
        <v>0.10659616059345398</v>
      </c>
      <c r="J31" s="11">
        <f t="shared" si="12"/>
        <v>0.62670918750939808</v>
      </c>
      <c r="K31" s="11">
        <f t="shared" si="12"/>
        <v>1.0430116284898001</v>
      </c>
      <c r="L31" s="11">
        <f t="shared" si="12"/>
        <v>1.4147260788932887</v>
      </c>
      <c r="M31" s="11">
        <f t="shared" si="12"/>
        <v>1.5059169966417725</v>
      </c>
      <c r="N31" s="6"/>
      <c r="O31" s="11">
        <f t="shared" si="9"/>
        <v>1.2521289659666184</v>
      </c>
      <c r="P31" s="11">
        <f t="shared" si="9"/>
        <v>1.2032968272267055</v>
      </c>
      <c r="Q31" s="11">
        <f t="shared" si="9"/>
        <v>5.1129016089419083E-2</v>
      </c>
      <c r="R31" s="11">
        <f t="shared" si="9"/>
        <v>1.1394917547992582</v>
      </c>
      <c r="S31" s="11">
        <f t="shared" si="9"/>
        <v>1.3813480527291866</v>
      </c>
      <c r="T31" s="11">
        <f t="shared" si="9"/>
        <v>1.5160706230264149</v>
      </c>
      <c r="U31" s="11">
        <f t="shared" si="9"/>
        <v>0.96624479975941058</v>
      </c>
      <c r="V31" s="11">
        <f t="shared" si="9"/>
        <v>1.0102425943561728</v>
      </c>
    </row>
    <row r="32" spans="1:22" x14ac:dyDescent="0.25">
      <c r="A32" s="140"/>
      <c r="B32" s="11">
        <f t="shared" ref="B32:M32" si="13">IF(B9="","",(B9/$O$23))</f>
        <v>0</v>
      </c>
      <c r="C32" s="11">
        <f t="shared" si="13"/>
        <v>6.741767329958398E-2</v>
      </c>
      <c r="D32" s="11">
        <f t="shared" si="13"/>
        <v>0.69607789083253979</v>
      </c>
      <c r="E32" s="11">
        <f t="shared" si="13"/>
        <v>0.74569194526590155</v>
      </c>
      <c r="F32" s="11">
        <f t="shared" si="13"/>
        <v>0.63603954688988029</v>
      </c>
      <c r="G32" s="11">
        <f t="shared" si="13"/>
        <v>1.3960315272417423</v>
      </c>
      <c r="H32" s="11">
        <f t="shared" si="13"/>
        <v>1.8170592952734199</v>
      </c>
      <c r="I32" s="11">
        <f t="shared" si="13"/>
        <v>0.11170492707132475</v>
      </c>
      <c r="J32" s="11">
        <f t="shared" si="13"/>
        <v>0.9992168312365296</v>
      </c>
      <c r="K32" s="11">
        <f t="shared" si="13"/>
        <v>1.1237256277880809</v>
      </c>
      <c r="L32" s="11">
        <f t="shared" si="13"/>
        <v>1.1247143000350861</v>
      </c>
      <c r="M32" s="11">
        <f t="shared" si="13"/>
        <v>1.356240288707333</v>
      </c>
      <c r="N32" s="6"/>
      <c r="O32" s="11">
        <f t="shared" si="9"/>
        <v>1.1894403789283745</v>
      </c>
      <c r="P32" s="11">
        <f t="shared" si="9"/>
        <v>0.9610270161896648</v>
      </c>
      <c r="Q32" s="11">
        <f t="shared" si="9"/>
        <v>0.14664302541226004</v>
      </c>
      <c r="R32" s="11">
        <f t="shared" si="9"/>
        <v>1.2575121547792092</v>
      </c>
      <c r="S32" s="11">
        <f t="shared" si="9"/>
        <v>1.4694902511152323</v>
      </c>
      <c r="T32" s="11">
        <f t="shared" si="9"/>
        <v>0.8744824820810988</v>
      </c>
      <c r="U32" s="11">
        <f t="shared" si="9"/>
        <v>0.97841336273870994</v>
      </c>
      <c r="V32" s="11">
        <f t="shared" si="9"/>
        <v>0.98499573956192676</v>
      </c>
    </row>
    <row r="33" spans="1:22" x14ac:dyDescent="0.25">
      <c r="A33" s="140"/>
      <c r="B33" s="11">
        <f t="shared" ref="B33:M33" si="14">IF(B10="","",(B10/$O$23))</f>
        <v>0</v>
      </c>
      <c r="C33" s="11">
        <f t="shared" si="14"/>
        <v>0.19729462182346752</v>
      </c>
      <c r="D33" s="11">
        <f t="shared" si="14"/>
        <v>9.4769685730038602E-3</v>
      </c>
      <c r="E33" s="11">
        <f t="shared" si="14"/>
        <v>0.32502882061049576</v>
      </c>
      <c r="F33" s="11">
        <f t="shared" si="14"/>
        <v>0.68937897849731844</v>
      </c>
      <c r="G33" s="11">
        <f t="shared" si="14"/>
        <v>1.3265876397173075</v>
      </c>
      <c r="H33" s="11">
        <f t="shared" si="14"/>
        <v>1.5318480276677862</v>
      </c>
      <c r="I33" s="11">
        <f t="shared" si="14"/>
        <v>6.1237531953285552E-2</v>
      </c>
      <c r="J33" s="11">
        <f t="shared" si="14"/>
        <v>0.30451105207759011</v>
      </c>
      <c r="K33" s="11">
        <f t="shared" si="14"/>
        <v>1.0630707733948175</v>
      </c>
      <c r="L33" s="11">
        <f t="shared" si="14"/>
        <v>1.141288657210165</v>
      </c>
      <c r="M33" s="11">
        <f t="shared" si="14"/>
        <v>1.0792541727231719</v>
      </c>
      <c r="N33" s="6"/>
      <c r="O33" s="11">
        <f t="shared" si="9"/>
        <v>0.74838729888226163</v>
      </c>
      <c r="P33" s="11">
        <f t="shared" si="9"/>
        <v>1.4622537717407649</v>
      </c>
      <c r="Q33" s="11">
        <f t="shared" si="9"/>
        <v>4.9587739962909133E-2</v>
      </c>
      <c r="R33" s="11">
        <f t="shared" si="9"/>
        <v>1.1951731742769787</v>
      </c>
      <c r="S33" s="11">
        <f t="shared" si="9"/>
        <v>1.2018344945115533</v>
      </c>
      <c r="T33" s="11">
        <f t="shared" si="9"/>
        <v>1.3095283444438877</v>
      </c>
      <c r="U33" s="11">
        <f t="shared" si="9"/>
        <v>1.0911370357375572</v>
      </c>
      <c r="V33" s="11">
        <f t="shared" si="9"/>
        <v>1.6265838805072428</v>
      </c>
    </row>
    <row r="34" spans="1:22" x14ac:dyDescent="0.25">
      <c r="A34" s="140"/>
      <c r="B34" s="11">
        <f t="shared" ref="B34:M34" si="15">IF(B11="","",(B11/$O$23))</f>
        <v>0</v>
      </c>
      <c r="C34" s="11">
        <f t="shared" si="15"/>
        <v>9.3792291113227413E-2</v>
      </c>
      <c r="D34" s="11">
        <f t="shared" si="15"/>
        <v>1.324369705779159E-2</v>
      </c>
      <c r="E34" s="11">
        <f t="shared" si="15"/>
        <v>0.7093215878903314</v>
      </c>
      <c r="F34" s="11">
        <f t="shared" si="15"/>
        <v>1.1957896847275826</v>
      </c>
      <c r="G34" s="11">
        <f t="shared" si="15"/>
        <v>1.4641183399328355</v>
      </c>
      <c r="H34" s="11">
        <f t="shared" si="15"/>
        <v>1.5053719111823969</v>
      </c>
      <c r="I34" s="11">
        <f t="shared" si="15"/>
        <v>0</v>
      </c>
      <c r="J34" s="11">
        <f t="shared" si="15"/>
        <v>0.365447847225703</v>
      </c>
      <c r="K34" s="11">
        <f t="shared" si="15"/>
        <v>1.3034309057190117</v>
      </c>
      <c r="L34" s="11">
        <f t="shared" si="15"/>
        <v>1.2601398426144055</v>
      </c>
      <c r="M34" s="11">
        <f t="shared" si="15"/>
        <v>1.1198047716906421</v>
      </c>
      <c r="N34" s="6"/>
      <c r="O34" s="11">
        <f t="shared" si="9"/>
        <v>0.89230489699764426</v>
      </c>
      <c r="P34" s="11">
        <f t="shared" si="9"/>
        <v>0.98376271866071885</v>
      </c>
      <c r="Q34" s="11">
        <f t="shared" si="9"/>
        <v>0.15775900957345498</v>
      </c>
      <c r="R34" s="11">
        <f t="shared" si="9"/>
        <v>1.0136371610445591</v>
      </c>
      <c r="S34" s="11">
        <f t="shared" si="9"/>
        <v>1.1073655455866875</v>
      </c>
      <c r="T34" s="11">
        <f t="shared" si="9"/>
        <v>1.2806538519372463</v>
      </c>
      <c r="U34" s="11">
        <f t="shared" si="9"/>
        <v>1.0627136484386748</v>
      </c>
      <c r="V34" s="11">
        <f t="shared" si="9"/>
        <v>1.1894478973485039</v>
      </c>
    </row>
    <row r="35" spans="1:22" x14ac:dyDescent="0.25">
      <c r="A35" s="140"/>
      <c r="B35" s="11">
        <f t="shared" ref="B35:M35" si="16">IF(B12="","",(B12/$O$23))</f>
        <v>0</v>
      </c>
      <c r="C35" s="11">
        <f t="shared" si="16"/>
        <v>6.8891283644930079E-2</v>
      </c>
      <c r="D35" s="11">
        <f t="shared" si="16"/>
        <v>3.2028469750889681E-2</v>
      </c>
      <c r="E35" s="11">
        <f t="shared" si="16"/>
        <v>0.63975364643376276</v>
      </c>
      <c r="F35" s="11">
        <f t="shared" si="16"/>
        <v>0.95776402185354126</v>
      </c>
      <c r="G35" s="11">
        <f t="shared" si="16"/>
        <v>1.5685454363189817</v>
      </c>
      <c r="H35" s="11">
        <f t="shared" si="16"/>
        <v>1.3419327352012431</v>
      </c>
      <c r="I35" s="11">
        <f t="shared" si="16"/>
        <v>9.8085309007067328E-2</v>
      </c>
      <c r="J35" s="11">
        <f t="shared" si="16"/>
        <v>0.62690466643276033</v>
      </c>
      <c r="K35" s="11">
        <f t="shared" si="16"/>
        <v>1.1602989825071426</v>
      </c>
      <c r="L35" s="11">
        <f t="shared" si="16"/>
        <v>0.55565635807728941</v>
      </c>
      <c r="M35" s="11">
        <f t="shared" si="16"/>
        <v>1.2065673399829584</v>
      </c>
      <c r="N35" s="6"/>
      <c r="O35" s="11">
        <f t="shared" si="9"/>
        <v>1.1015199739361436</v>
      </c>
      <c r="P35" s="11">
        <f t="shared" si="9"/>
        <v>1.3418688286301439</v>
      </c>
      <c r="Q35" s="11">
        <f t="shared" si="9"/>
        <v>8.8254974687985571E-2</v>
      </c>
      <c r="R35" s="11">
        <f t="shared" si="9"/>
        <v>1.1840985414264951</v>
      </c>
      <c r="S35" s="11">
        <f t="shared" si="9"/>
        <v>1.1094932584832842</v>
      </c>
      <c r="T35" s="11">
        <f t="shared" si="9"/>
        <v>0.83858954438374023</v>
      </c>
      <c r="U35" s="11">
        <f t="shared" si="9"/>
        <v>1.304363189815047</v>
      </c>
      <c r="V35" s="11">
        <f t="shared" si="9"/>
        <v>1.3718184552152775</v>
      </c>
    </row>
    <row r="36" spans="1:22" s="1" customFormat="1" x14ac:dyDescent="0.25">
      <c r="A36" s="140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1.0832163801313217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s="1" customFormat="1" x14ac:dyDescent="0.25">
      <c r="A37" s="140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1.06067615658363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s="1" customFormat="1" x14ac:dyDescent="0.25">
      <c r="A38" s="140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R38" si="20">IF(O15="","",(O15/$O$23))</f>
        <v>1.044289759911784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ref="S38:V43" si="21">IF(S15="","",(S15/$O$23))</f>
        <v/>
      </c>
      <c r="T38" s="11" t="str">
        <f t="shared" si="21"/>
        <v/>
      </c>
      <c r="U38" s="11" t="str">
        <f t="shared" si="21"/>
        <v/>
      </c>
      <c r="V38" s="11" t="str">
        <f t="shared" si="21"/>
        <v/>
      </c>
    </row>
    <row r="39" spans="1:22" s="1" customFormat="1" x14ac:dyDescent="0.25">
      <c r="A39" s="140"/>
      <c r="B39" s="11" t="str">
        <f t="shared" ref="B39:M39" si="22">IF(B16="","",(B16/$O$23))</f>
        <v/>
      </c>
      <c r="C39" s="11" t="str">
        <f t="shared" si="22"/>
        <v/>
      </c>
      <c r="D39" s="11" t="str">
        <f t="shared" si="22"/>
        <v/>
      </c>
      <c r="E39" s="11" t="str">
        <f t="shared" si="22"/>
        <v/>
      </c>
      <c r="F39" s="11" t="str">
        <f t="shared" si="22"/>
        <v/>
      </c>
      <c r="G39" s="11" t="str">
        <f t="shared" si="22"/>
        <v/>
      </c>
      <c r="H39" s="11" t="str">
        <f t="shared" si="22"/>
        <v/>
      </c>
      <c r="I39" s="11" t="str">
        <f t="shared" si="22"/>
        <v/>
      </c>
      <c r="J39" s="11" t="str">
        <f t="shared" si="22"/>
        <v/>
      </c>
      <c r="K39" s="11" t="str">
        <f t="shared" si="22"/>
        <v/>
      </c>
      <c r="L39" s="11" t="str">
        <f t="shared" si="22"/>
        <v/>
      </c>
      <c r="M39" s="11" t="str">
        <f t="shared" si="22"/>
        <v/>
      </c>
      <c r="N39" s="6"/>
      <c r="O39" s="11">
        <f t="shared" ref="O39:R39" si="23">IF(O16="","",(O16/$O$23))</f>
        <v>1.0750476166608192</v>
      </c>
      <c r="P39" s="11" t="str">
        <f t="shared" si="23"/>
        <v/>
      </c>
      <c r="Q39" s="11" t="str">
        <f t="shared" si="23"/>
        <v/>
      </c>
      <c r="R39" s="11" t="str">
        <f t="shared" si="23"/>
        <v/>
      </c>
      <c r="S39" s="11" t="str">
        <f t="shared" si="21"/>
        <v/>
      </c>
      <c r="T39" s="11" t="str">
        <f t="shared" si="21"/>
        <v/>
      </c>
      <c r="U39" s="11" t="str">
        <f t="shared" si="21"/>
        <v/>
      </c>
      <c r="V39" s="11" t="str">
        <f t="shared" si="21"/>
        <v/>
      </c>
    </row>
    <row r="40" spans="1:22" s="1" customFormat="1" x14ac:dyDescent="0.25">
      <c r="A40" s="140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ref="O40:R40" si="25">IF(O17="","",(O17/$O$23))</f>
        <v>0.94043030424540131</v>
      </c>
      <c r="P40" s="11" t="str">
        <f t="shared" si="25"/>
        <v/>
      </c>
      <c r="Q40" s="11" t="str">
        <f t="shared" si="25"/>
        <v/>
      </c>
      <c r="R40" s="11" t="str">
        <f t="shared" si="25"/>
        <v/>
      </c>
      <c r="S40" s="11" t="str">
        <f t="shared" si="21"/>
        <v/>
      </c>
      <c r="T40" s="11" t="str">
        <f t="shared" si="21"/>
        <v/>
      </c>
      <c r="U40" s="11" t="str">
        <f t="shared" si="21"/>
        <v/>
      </c>
      <c r="V40" s="11" t="str">
        <f t="shared" si="21"/>
        <v/>
      </c>
    </row>
    <row r="41" spans="1:22" s="1" customFormat="1" x14ac:dyDescent="0.25">
      <c r="A41" s="140"/>
      <c r="B41" s="11" t="str">
        <f t="shared" ref="B41:M41" si="26">IF(B18="","",(B18/$O$23))</f>
        <v/>
      </c>
      <c r="C41" s="11" t="str">
        <f t="shared" si="26"/>
        <v/>
      </c>
      <c r="D41" s="11" t="str">
        <f t="shared" si="26"/>
        <v/>
      </c>
      <c r="E41" s="11" t="str">
        <f t="shared" si="26"/>
        <v/>
      </c>
      <c r="F41" s="11" t="str">
        <f t="shared" si="26"/>
        <v/>
      </c>
      <c r="G41" s="11" t="str">
        <f t="shared" si="26"/>
        <v/>
      </c>
      <c r="H41" s="11" t="str">
        <f t="shared" si="26"/>
        <v/>
      </c>
      <c r="I41" s="11" t="str">
        <f t="shared" si="26"/>
        <v/>
      </c>
      <c r="J41" s="11" t="str">
        <f t="shared" si="26"/>
        <v/>
      </c>
      <c r="K41" s="11" t="str">
        <f t="shared" si="26"/>
        <v/>
      </c>
      <c r="L41" s="11" t="str">
        <f t="shared" si="26"/>
        <v/>
      </c>
      <c r="M41" s="11" t="str">
        <f t="shared" si="26"/>
        <v/>
      </c>
      <c r="N41" s="6"/>
      <c r="O41" s="11">
        <f t="shared" ref="O41:R41" si="27">IF(O18="","",(O18/$O$23))</f>
        <v>0.8622876046313469</v>
      </c>
      <c r="P41" s="11" t="str">
        <f t="shared" si="27"/>
        <v/>
      </c>
      <c r="Q41" s="11" t="str">
        <f t="shared" si="27"/>
        <v/>
      </c>
      <c r="R41" s="11" t="str">
        <f t="shared" si="27"/>
        <v/>
      </c>
      <c r="S41" s="11" t="str">
        <f t="shared" si="21"/>
        <v/>
      </c>
      <c r="T41" s="11" t="str">
        <f t="shared" si="21"/>
        <v/>
      </c>
      <c r="U41" s="11" t="str">
        <f t="shared" si="21"/>
        <v/>
      </c>
      <c r="V41" s="11" t="str">
        <f t="shared" si="21"/>
        <v/>
      </c>
    </row>
    <row r="42" spans="1:22" s="1" customFormat="1" x14ac:dyDescent="0.25">
      <c r="A42" s="140"/>
      <c r="B42" s="11" t="str">
        <f t="shared" ref="B42:M42" si="28">IF(B19="","",(B19/$O$23))</f>
        <v/>
      </c>
      <c r="C42" s="11" t="str">
        <f t="shared" si="28"/>
        <v/>
      </c>
      <c r="D42" s="11" t="str">
        <f t="shared" si="28"/>
        <v/>
      </c>
      <c r="E42" s="11" t="str">
        <f t="shared" si="28"/>
        <v/>
      </c>
      <c r="F42" s="11" t="str">
        <f t="shared" si="28"/>
        <v/>
      </c>
      <c r="G42" s="11" t="str">
        <f t="shared" si="28"/>
        <v/>
      </c>
      <c r="H42" s="11" t="str">
        <f t="shared" si="28"/>
        <v/>
      </c>
      <c r="I42" s="11" t="str">
        <f t="shared" si="28"/>
        <v/>
      </c>
      <c r="J42" s="11" t="str">
        <f t="shared" si="28"/>
        <v/>
      </c>
      <c r="K42" s="11" t="str">
        <f t="shared" si="28"/>
        <v/>
      </c>
      <c r="L42" s="11" t="str">
        <f t="shared" si="28"/>
        <v/>
      </c>
      <c r="M42" s="11" t="str">
        <f t="shared" si="28"/>
        <v/>
      </c>
      <c r="N42" s="6"/>
      <c r="O42" s="11">
        <f t="shared" ref="O42:R42" si="29">IF(O19="","",(O19/$O$23))</f>
        <v>1.0703298080296728</v>
      </c>
      <c r="P42" s="11" t="str">
        <f t="shared" si="29"/>
        <v/>
      </c>
      <c r="Q42" s="11" t="str">
        <f t="shared" si="29"/>
        <v/>
      </c>
      <c r="R42" s="11" t="str">
        <f t="shared" si="29"/>
        <v/>
      </c>
      <c r="S42" s="11" t="str">
        <f t="shared" si="21"/>
        <v/>
      </c>
      <c r="T42" s="11" t="str">
        <f t="shared" si="21"/>
        <v/>
      </c>
      <c r="U42" s="11" t="str">
        <f t="shared" si="21"/>
        <v/>
      </c>
      <c r="V42" s="11" t="str">
        <f t="shared" si="21"/>
        <v/>
      </c>
    </row>
    <row r="43" spans="1:22" s="1" customFormat="1" x14ac:dyDescent="0.25">
      <c r="A43" s="140"/>
      <c r="B43" s="11" t="str">
        <f t="shared" ref="B43:M43" si="30">IF(B20="","",(B20/$O$23))</f>
        <v/>
      </c>
      <c r="C43" s="11" t="str">
        <f t="shared" si="30"/>
        <v/>
      </c>
      <c r="D43" s="11" t="str">
        <f t="shared" si="30"/>
        <v/>
      </c>
      <c r="E43" s="11" t="str">
        <f t="shared" si="30"/>
        <v/>
      </c>
      <c r="F43" s="11" t="str">
        <f t="shared" si="30"/>
        <v/>
      </c>
      <c r="G43" s="11" t="str">
        <f t="shared" si="30"/>
        <v/>
      </c>
      <c r="H43" s="11" t="str">
        <f t="shared" si="30"/>
        <v/>
      </c>
      <c r="I43" s="11" t="str">
        <f t="shared" si="30"/>
        <v/>
      </c>
      <c r="J43" s="11" t="str">
        <f t="shared" si="30"/>
        <v/>
      </c>
      <c r="K43" s="11" t="str">
        <f t="shared" si="30"/>
        <v/>
      </c>
      <c r="L43" s="11" t="str">
        <f t="shared" si="30"/>
        <v/>
      </c>
      <c r="M43" s="11" t="str">
        <f t="shared" si="30"/>
        <v/>
      </c>
      <c r="N43" s="6"/>
      <c r="O43" s="11" t="str">
        <f t="shared" ref="O43:R43" si="31">IF(O20="","",(O20/$O$23))</f>
        <v/>
      </c>
      <c r="P43" s="11" t="str">
        <f t="shared" si="31"/>
        <v/>
      </c>
      <c r="Q43" s="11" t="str">
        <f t="shared" si="31"/>
        <v/>
      </c>
      <c r="R43" s="11" t="str">
        <f t="shared" si="31"/>
        <v/>
      </c>
      <c r="S43" s="11" t="str">
        <f t="shared" si="21"/>
        <v/>
      </c>
      <c r="T43" s="11" t="str">
        <f t="shared" si="21"/>
        <v/>
      </c>
      <c r="U43" s="11" t="str">
        <f t="shared" si="21"/>
        <v/>
      </c>
      <c r="V43" s="11" t="str">
        <f t="shared" si="21"/>
        <v/>
      </c>
    </row>
    <row r="44" spans="1:22" x14ac:dyDescent="0.2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25">
      <c r="A45" s="53" t="str">
        <f t="shared" ref="A45:M45" si="32">A4</f>
        <v>Group names</v>
      </c>
      <c r="B45" s="53" t="str">
        <f t="shared" si="32"/>
        <v>Solvent control</v>
      </c>
      <c r="C45" s="53" t="str">
        <f t="shared" si="32"/>
        <v>EE2-33.8ng/L</v>
      </c>
      <c r="D45" s="53" t="str">
        <f t="shared" si="32"/>
        <v>EE2-50.6ng/L</v>
      </c>
      <c r="E45" s="53" t="str">
        <f t="shared" si="32"/>
        <v>EE2-76ng/L</v>
      </c>
      <c r="F45" s="53" t="str">
        <f t="shared" si="32"/>
        <v>EE2-114ng/L</v>
      </c>
      <c r="G45" s="53" t="str">
        <f t="shared" si="32"/>
        <v>EE2-170.9ng/L</v>
      </c>
      <c r="H45" s="53" t="str">
        <f t="shared" si="32"/>
        <v>EE2-488ng/L</v>
      </c>
      <c r="I45" s="53" t="str">
        <f t="shared" si="32"/>
        <v>testosterone-3.7µg/L</v>
      </c>
      <c r="J45" s="53" t="str">
        <f t="shared" si="32"/>
        <v>testosterone-11µg/L</v>
      </c>
      <c r="K45" s="53" t="str">
        <f t="shared" si="32"/>
        <v>testosterone-33µg/L</v>
      </c>
      <c r="L45" s="53" t="str">
        <f t="shared" si="32"/>
        <v>testosterone-100µg/L</v>
      </c>
      <c r="M45" s="53" t="str">
        <f t="shared" si="32"/>
        <v>testosterone-300µg/L</v>
      </c>
      <c r="N45" s="53" t="str">
        <f>N22</f>
        <v>Nom des groupes</v>
      </c>
      <c r="O45" s="53" t="str">
        <f t="shared" ref="O45:V45" si="33">O4</f>
        <v>Testo -30µg/L</v>
      </c>
      <c r="P45" s="53" t="str">
        <f t="shared" si="33"/>
        <v>Testo 30µg/L + EE2 -64ng/L</v>
      </c>
      <c r="Q45" s="53" t="str">
        <f t="shared" si="33"/>
        <v>Testo 30µg/L + FAD-10mg/L</v>
      </c>
      <c r="R45" s="53" t="str">
        <f t="shared" si="33"/>
        <v>testosterone-3.7µg/L + Testostérone</v>
      </c>
      <c r="S45" s="53" t="str">
        <f t="shared" si="33"/>
        <v>testosterone-11µg/L + Testostérone</v>
      </c>
      <c r="T45" s="53" t="str">
        <f t="shared" si="33"/>
        <v>testosterone-33µg/L + Testostérone</v>
      </c>
      <c r="U45" s="53" t="str">
        <f t="shared" si="33"/>
        <v>testosterone-100µg/L + Testostérone</v>
      </c>
      <c r="V45" s="53" t="str">
        <f t="shared" si="33"/>
        <v>testosterone-300µg/L + Testostérone</v>
      </c>
    </row>
    <row r="46" spans="1:22" x14ac:dyDescent="0.25">
      <c r="A46" s="8" t="s">
        <v>0</v>
      </c>
      <c r="B46" s="10">
        <f t="shared" ref="B46:H46" si="34">AVERAGE(B28:B43)</f>
        <v>0</v>
      </c>
      <c r="C46" s="10">
        <f t="shared" si="34"/>
        <v>8.8277999849631583E-2</v>
      </c>
      <c r="D46" s="10">
        <f t="shared" si="34"/>
        <v>0.34276571349807033</v>
      </c>
      <c r="E46" s="10">
        <f t="shared" si="34"/>
        <v>0.49485536439276229</v>
      </c>
      <c r="F46" s="10">
        <f t="shared" si="34"/>
        <v>0.94061262593353723</v>
      </c>
      <c r="G46" s="10">
        <f t="shared" si="34"/>
        <v>1.2369215515513008</v>
      </c>
      <c r="H46" s="10">
        <f t="shared" si="34"/>
        <v>1.4352927171570351</v>
      </c>
      <c r="I46" s="10">
        <f>AVERAGE(I28:I43)</f>
        <v>7.0981404440880164E-2</v>
      </c>
      <c r="J46" s="9">
        <f>AVERAGE(J28:J43)</f>
        <v>0.66648726880858111</v>
      </c>
      <c r="K46" s="9">
        <f>AVERAGE(K28:K43)</f>
        <v>1.1230508495814746</v>
      </c>
      <c r="L46" s="9">
        <f t="shared" ref="L46:M46" si="35">AVERAGE(L28:L43)</f>
        <v>1.1049864355170167</v>
      </c>
      <c r="M46" s="9">
        <f t="shared" si="35"/>
        <v>1.2549901947270816</v>
      </c>
      <c r="N46" s="8" t="s">
        <v>0</v>
      </c>
      <c r="O46" s="10">
        <f>AVERAGE(O28:O43)</f>
        <v>1.0000000000000002</v>
      </c>
      <c r="P46" s="10">
        <f>AVERAGE(P28:P43)</f>
        <v>1.2483847927422185</v>
      </c>
      <c r="Q46" s="10">
        <f>AVERAGE(Q28:Q43)</f>
        <v>7.3714820059144912E-2</v>
      </c>
      <c r="R46" s="10">
        <f>AVERAGE(R28:R43)</f>
        <v>1.2738022216931484</v>
      </c>
      <c r="S46" s="10">
        <f t="shared" ref="S46:V46" si="36">AVERAGE(S28:S43)</f>
        <v>1.2634625144103051</v>
      </c>
      <c r="T46" s="10">
        <f t="shared" si="36"/>
        <v>1.134179990977896</v>
      </c>
      <c r="U46" s="10">
        <f t="shared" si="36"/>
        <v>1.1113686344042906</v>
      </c>
      <c r="V46" s="10">
        <f t="shared" si="36"/>
        <v>1.239229236629743</v>
      </c>
    </row>
    <row r="47" spans="1:22" x14ac:dyDescent="0.25">
      <c r="A47" s="8" t="s">
        <v>1</v>
      </c>
      <c r="B47" s="8">
        <f t="shared" ref="B47:K47" si="37">STDEV(B28:B43)</f>
        <v>0</v>
      </c>
      <c r="C47" s="8">
        <f t="shared" si="37"/>
        <v>5.2505044576659658E-2</v>
      </c>
      <c r="D47" s="8">
        <f t="shared" si="37"/>
        <v>0.55682423701639061</v>
      </c>
      <c r="E47" s="8">
        <f t="shared" si="37"/>
        <v>0.23301438677090203</v>
      </c>
      <c r="F47" s="8">
        <f t="shared" si="37"/>
        <v>0.35593261664359399</v>
      </c>
      <c r="G47" s="8">
        <f t="shared" si="37"/>
        <v>0.48840686444149611</v>
      </c>
      <c r="H47" s="8">
        <f t="shared" si="37"/>
        <v>0.19935565020031645</v>
      </c>
      <c r="I47" s="8">
        <f>STDEV(I28:I43)</f>
        <v>5.4386847376863473E-2</v>
      </c>
      <c r="J47" s="8">
        <f t="shared" si="37"/>
        <v>0.42034973485492239</v>
      </c>
      <c r="K47" s="8">
        <f t="shared" si="37"/>
        <v>9.334437548047779E-2</v>
      </c>
      <c r="L47" s="8">
        <f t="shared" ref="L47:M47" si="38">STDEV(L28:L43)</f>
        <v>0.30851376159396415</v>
      </c>
      <c r="M47" s="8">
        <f t="shared" si="38"/>
        <v>0.1621334644764662</v>
      </c>
      <c r="N47" s="8" t="s">
        <v>1</v>
      </c>
      <c r="O47" s="8">
        <f>STDEV(O28:O43)</f>
        <v>0.14861297834125115</v>
      </c>
      <c r="P47" s="8">
        <f>STDEV(P28:P43)</f>
        <v>0.19794168041807017</v>
      </c>
      <c r="Q47" s="8">
        <f>STDEV(Q28:Q43)</f>
        <v>5.8360369498606519E-2</v>
      </c>
      <c r="R47" s="8">
        <f>STDEV(R28:R43)</f>
        <v>0.18029453940452991</v>
      </c>
      <c r="S47" s="8">
        <f t="shared" ref="S47:V47" si="39">STDEV(S28:S43)</f>
        <v>0.18462781352859098</v>
      </c>
      <c r="T47" s="8">
        <f t="shared" si="39"/>
        <v>0.23258809586057436</v>
      </c>
      <c r="U47" s="8">
        <f t="shared" si="39"/>
        <v>0.15188140930576732</v>
      </c>
      <c r="V47" s="8">
        <f t="shared" si="39"/>
        <v>0.26414218256027377</v>
      </c>
    </row>
    <row r="48" spans="1:22" x14ac:dyDescent="0.25">
      <c r="A48" s="8" t="s">
        <v>2</v>
      </c>
      <c r="B48" s="8">
        <f t="shared" ref="B48:K48" si="40" xml:space="preserve"> B47/SQRT(COUNT(B28:B43))</f>
        <v>0</v>
      </c>
      <c r="C48" s="8">
        <f t="shared" si="40"/>
        <v>1.8563336533329002E-2</v>
      </c>
      <c r="D48" s="8">
        <f t="shared" si="40"/>
        <v>0.19686709696165758</v>
      </c>
      <c r="E48" s="8">
        <f t="shared" si="40"/>
        <v>8.2383026499864884E-2</v>
      </c>
      <c r="F48" s="8">
        <f t="shared" si="40"/>
        <v>0.12584118343707856</v>
      </c>
      <c r="G48" s="8">
        <f t="shared" si="40"/>
        <v>0.17267790291232038</v>
      </c>
      <c r="H48" s="8">
        <f t="shared" si="40"/>
        <v>7.0482866062248531E-2</v>
      </c>
      <c r="I48" s="8">
        <f xml:space="preserve"> I47/SQRT(COUNT(I28:I43))</f>
        <v>1.9228654293768976E-2</v>
      </c>
      <c r="J48" s="8">
        <f t="shared" si="40"/>
        <v>0.14861607399294144</v>
      </c>
      <c r="K48" s="8">
        <f t="shared" si="40"/>
        <v>3.3002220443934568E-2</v>
      </c>
      <c r="L48" s="8">
        <f t="shared" ref="L48:M48" si="41" xml:space="preserve"> L47/SQRT(COUNT(L28:L43))</f>
        <v>0.10907608645623094</v>
      </c>
      <c r="M48" s="8">
        <f t="shared" si="41"/>
        <v>5.7322836094288732E-2</v>
      </c>
      <c r="N48" s="8" t="s">
        <v>2</v>
      </c>
      <c r="O48" s="8">
        <f xml:space="preserve"> O47/SQRT(COUNT(O28:O43))</f>
        <v>3.8371706009729944E-2</v>
      </c>
      <c r="P48" s="8">
        <f xml:space="preserve"> P47/SQRT(COUNT(P28:P43))</f>
        <v>6.998295225153893E-2</v>
      </c>
      <c r="Q48" s="8">
        <f xml:space="preserve"> Q47/SQRT(COUNT(Q28:Q43))</f>
        <v>2.0633506512508611E-2</v>
      </c>
      <c r="R48" s="8">
        <f xml:space="preserve"> R47/SQRT(COUNT(R28:R43))</f>
        <v>6.3743745711924149E-2</v>
      </c>
      <c r="S48" s="8">
        <f t="shared" ref="S48:V48" si="42" xml:space="preserve"> S47/SQRT(COUNT(S28:S43))</f>
        <v>6.5275789470856035E-2</v>
      </c>
      <c r="T48" s="8">
        <f t="shared" si="42"/>
        <v>8.2232309903139442E-2</v>
      </c>
      <c r="U48" s="8">
        <f t="shared" si="42"/>
        <v>5.3698187228138836E-2</v>
      </c>
      <c r="V48" s="8">
        <f t="shared" si="42"/>
        <v>9.3388364242892291E-2</v>
      </c>
    </row>
    <row r="49" spans="1:22" s="1" customFormat="1" ht="15.75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7" thickBot="1" x14ac:dyDescent="0.4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ht="15.75" thickBo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25">
      <c r="A52" s="29" t="str">
        <f t="shared" ref="A52:H52" si="43">A27</f>
        <v>Group names</v>
      </c>
      <c r="B52" s="30" t="str">
        <f t="shared" si="43"/>
        <v>Solvent control</v>
      </c>
      <c r="C52" s="30" t="str">
        <f t="shared" si="43"/>
        <v>EE2-33.8ng/L</v>
      </c>
      <c r="D52" s="30" t="str">
        <f t="shared" si="43"/>
        <v>EE2-50.6ng/L</v>
      </c>
      <c r="E52" s="30" t="str">
        <f t="shared" si="43"/>
        <v>EE2-76ng/L</v>
      </c>
      <c r="F52" s="30" t="str">
        <f t="shared" si="43"/>
        <v>EE2-114ng/L</v>
      </c>
      <c r="G52" s="30" t="str">
        <f t="shared" si="43"/>
        <v>EE2-170.9ng/L</v>
      </c>
      <c r="H52" s="30" t="str">
        <f t="shared" si="43"/>
        <v>EE2-488ng/L</v>
      </c>
      <c r="I52" s="30" t="str">
        <f>I4</f>
        <v>testosterone-3.7µg/L</v>
      </c>
      <c r="J52" s="30" t="str">
        <f>J4</f>
        <v>testosterone-11µg/L</v>
      </c>
      <c r="K52" s="30" t="str">
        <f>K27</f>
        <v>testosterone-33µg/L</v>
      </c>
      <c r="L52" s="30" t="str">
        <f t="shared" ref="L52:M52" si="44">L27</f>
        <v>testosterone-100µg/L</v>
      </c>
      <c r="M52" s="30" t="str">
        <f t="shared" si="44"/>
        <v>testosterone-300µg/L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testosterone-3.7µg/L + Testostérone</v>
      </c>
      <c r="S52" s="30" t="str">
        <f t="shared" ref="S52:V52" si="45">S27</f>
        <v>testosterone-11µg/L + Testostérone</v>
      </c>
      <c r="T52" s="30" t="str">
        <f t="shared" si="45"/>
        <v>testosterone-33µg/L + Testostérone</v>
      </c>
      <c r="U52" s="30" t="str">
        <f t="shared" si="45"/>
        <v>testosterone-100µg/L + Testostérone</v>
      </c>
      <c r="V52" s="30" t="str">
        <f t="shared" si="45"/>
        <v>testosterone-300µg/L + Testostérone</v>
      </c>
    </row>
    <row r="53" spans="1:22" s="3" customFormat="1" x14ac:dyDescent="0.25">
      <c r="A53" s="45" t="s">
        <v>10</v>
      </c>
      <c r="B53" s="77">
        <f t="shared" ref="B53:M53" si="46">B46</f>
        <v>0</v>
      </c>
      <c r="C53" s="77">
        <f t="shared" si="46"/>
        <v>8.8277999849631583E-2</v>
      </c>
      <c r="D53" s="77">
        <f t="shared" si="46"/>
        <v>0.34276571349807033</v>
      </c>
      <c r="E53" s="77">
        <f t="shared" si="46"/>
        <v>0.49485536439276229</v>
      </c>
      <c r="F53" s="77">
        <f t="shared" si="46"/>
        <v>0.94061262593353723</v>
      </c>
      <c r="G53" s="77">
        <f t="shared" si="46"/>
        <v>1.2369215515513008</v>
      </c>
      <c r="H53" s="77">
        <f t="shared" si="46"/>
        <v>1.4352927171570351</v>
      </c>
      <c r="I53" s="77">
        <f t="shared" si="46"/>
        <v>7.0981404440880164E-2</v>
      </c>
      <c r="J53" s="77">
        <f t="shared" si="46"/>
        <v>0.66648726880858111</v>
      </c>
      <c r="K53" s="77">
        <f t="shared" si="46"/>
        <v>1.1230508495814746</v>
      </c>
      <c r="L53" s="77">
        <f t="shared" si="46"/>
        <v>1.1049864355170167</v>
      </c>
      <c r="M53" s="77">
        <f t="shared" si="46"/>
        <v>1.2549901947270816</v>
      </c>
      <c r="N53" s="77"/>
      <c r="O53" s="77">
        <f t="shared" ref="O53:V53" si="47">O46</f>
        <v>1.0000000000000002</v>
      </c>
      <c r="P53" s="77">
        <f t="shared" si="47"/>
        <v>1.2483847927422185</v>
      </c>
      <c r="Q53" s="77">
        <f t="shared" si="47"/>
        <v>7.3714820059144912E-2</v>
      </c>
      <c r="R53" s="77">
        <f t="shared" si="47"/>
        <v>1.2738022216931484</v>
      </c>
      <c r="S53" s="77">
        <f t="shared" si="47"/>
        <v>1.2634625144103051</v>
      </c>
      <c r="T53" s="77">
        <f t="shared" si="47"/>
        <v>1.134179990977896</v>
      </c>
      <c r="U53" s="77">
        <f t="shared" si="47"/>
        <v>1.1113686344042906</v>
      </c>
      <c r="V53" s="77">
        <f t="shared" si="47"/>
        <v>1.239229236629743</v>
      </c>
    </row>
    <row r="54" spans="1:22" s="3" customFormat="1" x14ac:dyDescent="0.25">
      <c r="A54" s="45" t="s">
        <v>2</v>
      </c>
      <c r="B54" s="77">
        <f t="shared" ref="B54:M54" si="48">B48</f>
        <v>0</v>
      </c>
      <c r="C54" s="77">
        <f t="shared" si="48"/>
        <v>1.8563336533329002E-2</v>
      </c>
      <c r="D54" s="77">
        <f t="shared" si="48"/>
        <v>0.19686709696165758</v>
      </c>
      <c r="E54" s="77">
        <f t="shared" si="48"/>
        <v>8.2383026499864884E-2</v>
      </c>
      <c r="F54" s="77">
        <f t="shared" si="48"/>
        <v>0.12584118343707856</v>
      </c>
      <c r="G54" s="77">
        <f t="shared" si="48"/>
        <v>0.17267790291232038</v>
      </c>
      <c r="H54" s="77">
        <f t="shared" si="48"/>
        <v>7.0482866062248531E-2</v>
      </c>
      <c r="I54" s="77">
        <f t="shared" si="48"/>
        <v>1.9228654293768976E-2</v>
      </c>
      <c r="J54" s="77">
        <f t="shared" si="48"/>
        <v>0.14861607399294144</v>
      </c>
      <c r="K54" s="77">
        <f t="shared" si="48"/>
        <v>3.3002220443934568E-2</v>
      </c>
      <c r="L54" s="77">
        <f t="shared" si="48"/>
        <v>0.10907608645623094</v>
      </c>
      <c r="M54" s="77">
        <f t="shared" si="48"/>
        <v>5.7322836094288732E-2</v>
      </c>
      <c r="N54" s="77"/>
      <c r="O54" s="77">
        <f t="shared" ref="O54:V54" si="49">O48</f>
        <v>3.8371706009729944E-2</v>
      </c>
      <c r="P54" s="77">
        <f t="shared" si="49"/>
        <v>6.998295225153893E-2</v>
      </c>
      <c r="Q54" s="77">
        <f t="shared" si="49"/>
        <v>2.0633506512508611E-2</v>
      </c>
      <c r="R54" s="77">
        <f t="shared" si="49"/>
        <v>6.3743745711924149E-2</v>
      </c>
      <c r="S54" s="77">
        <f t="shared" si="49"/>
        <v>6.5275789470856035E-2</v>
      </c>
      <c r="T54" s="77">
        <f t="shared" si="49"/>
        <v>8.2232309903139442E-2</v>
      </c>
      <c r="U54" s="77">
        <f t="shared" si="49"/>
        <v>5.3698187228138836E-2</v>
      </c>
      <c r="V54" s="77">
        <f t="shared" si="49"/>
        <v>9.3388364242892291E-2</v>
      </c>
    </row>
    <row r="55" spans="1:22" s="3" customFormat="1" x14ac:dyDescent="0.25">
      <c r="A55" s="45" t="s">
        <v>14</v>
      </c>
      <c r="B55" s="77" t="e">
        <f t="shared" ref="B55:M55" si="50">(B53*100/$B$53)-100</f>
        <v>#DIV/0!</v>
      </c>
      <c r="C55" s="77" t="e">
        <f t="shared" si="50"/>
        <v>#DIV/0!</v>
      </c>
      <c r="D55" s="77" t="e">
        <f t="shared" si="50"/>
        <v>#DIV/0!</v>
      </c>
      <c r="E55" s="77" t="e">
        <f t="shared" si="50"/>
        <v>#DIV/0!</v>
      </c>
      <c r="F55" s="77" t="e">
        <f t="shared" si="50"/>
        <v>#DIV/0!</v>
      </c>
      <c r="G55" s="77" t="e">
        <f t="shared" si="50"/>
        <v>#DIV/0!</v>
      </c>
      <c r="H55" s="77" t="e">
        <f t="shared" si="50"/>
        <v>#DIV/0!</v>
      </c>
      <c r="I55" s="77" t="e">
        <f t="shared" si="50"/>
        <v>#DIV/0!</v>
      </c>
      <c r="J55" s="77" t="e">
        <f t="shared" si="50"/>
        <v>#DIV/0!</v>
      </c>
      <c r="K55" s="77" t="e">
        <f t="shared" si="50"/>
        <v>#DIV/0!</v>
      </c>
      <c r="L55" s="77" t="e">
        <f t="shared" si="50"/>
        <v>#DIV/0!</v>
      </c>
      <c r="M55" s="77" t="e">
        <f t="shared" si="50"/>
        <v>#DIV/0!</v>
      </c>
      <c r="N55" s="77"/>
      <c r="O55" s="77">
        <f t="shared" ref="O55:V55" si="51">(O53*100/$O$53)-100</f>
        <v>0</v>
      </c>
      <c r="P55" s="77">
        <f t="shared" si="51"/>
        <v>24.838479274221825</v>
      </c>
      <c r="Q55" s="77">
        <f t="shared" si="51"/>
        <v>-92.628517994085513</v>
      </c>
      <c r="R55" s="77">
        <f t="shared" si="51"/>
        <v>27.380222169314806</v>
      </c>
      <c r="S55" s="77">
        <f t="shared" si="51"/>
        <v>26.346251441030489</v>
      </c>
      <c r="T55" s="77">
        <f t="shared" si="51"/>
        <v>13.417999097789576</v>
      </c>
      <c r="U55" s="77">
        <f t="shared" si="51"/>
        <v>11.136863440429025</v>
      </c>
      <c r="V55" s="77">
        <f t="shared" si="51"/>
        <v>23.92292366297427</v>
      </c>
    </row>
    <row r="56" spans="1:22" s="3" customFormat="1" x14ac:dyDescent="0.25">
      <c r="A56" s="45" t="s">
        <v>37</v>
      </c>
      <c r="B56" s="77" t="e">
        <f>[1]!SWTEST(B28:B43)</f>
        <v>#VALUE!</v>
      </c>
      <c r="C56" s="77">
        <f>[1]!SWTEST(C28:C43)</f>
        <v>0.27386744598232315</v>
      </c>
      <c r="D56" s="77">
        <f>[1]!SWTEST(D28:D43)</f>
        <v>2.3129394663604641E-3</v>
      </c>
      <c r="E56" s="77">
        <f>[1]!SWTEST(E28:E43)</f>
        <v>0.21228793524407974</v>
      </c>
      <c r="F56" s="77">
        <f>[1]!SWTEST(F28:F43)</f>
        <v>0.18107858799197885</v>
      </c>
      <c r="G56" s="77">
        <f>[1]!SWTEST(G28:G43)</f>
        <v>1.0233318077778053E-3</v>
      </c>
      <c r="H56" s="77">
        <f>[1]!SWTEST(H28:H43)</f>
        <v>0.17959637101081882</v>
      </c>
      <c r="I56" s="77">
        <f>[1]!SWTEST(I28:I43)</f>
        <v>0.57563368693585004</v>
      </c>
      <c r="J56" s="77">
        <f>[1]!SWTEST(J28:J43)</f>
        <v>0.86396784760612055</v>
      </c>
      <c r="K56" s="77">
        <f>[1]!SWTEST(K28:K43)</f>
        <v>0.1555165817858396</v>
      </c>
      <c r="L56" s="77">
        <f>[1]!SWTEST(L28:L43)</f>
        <v>0.89602272577696207</v>
      </c>
      <c r="M56" s="77">
        <f>[1]!SWTEST(M28:M43)</f>
        <v>0.20916614291915991</v>
      </c>
      <c r="N56" s="77"/>
      <c r="O56" s="77">
        <f>[1]!SWTEST(O28:O43)</f>
        <v>0.38794535965744881</v>
      </c>
      <c r="P56" s="77">
        <f>[1]!SWTEST(P28:P43)</f>
        <v>0.19616473475073781</v>
      </c>
      <c r="Q56" s="77">
        <f>[1]!SWTEST(Q28:Q43)</f>
        <v>0.44899560845373054</v>
      </c>
      <c r="R56" s="77">
        <f>[1]!SWTEST(R28:R43)</f>
        <v>0.86344149819500193</v>
      </c>
      <c r="S56" s="77">
        <f>[1]!SWTEST(S28:S43)</f>
        <v>0.64202941025463411</v>
      </c>
      <c r="T56" s="77">
        <f>[1]!SWTEST(T28:T43)</f>
        <v>0.80313896089313574</v>
      </c>
      <c r="U56" s="77">
        <f>[1]!SWTEST(U28:U43)</f>
        <v>0.17393549486662763</v>
      </c>
      <c r="V56" s="77">
        <f>[1]!SWTEST(V28:V43)</f>
        <v>0.58812754993490568</v>
      </c>
    </row>
    <row r="57" spans="1:22" s="3" customFormat="1" x14ac:dyDescent="0.25">
      <c r="A57" s="45" t="s">
        <v>38</v>
      </c>
      <c r="B57" s="77" t="e">
        <f t="shared" ref="B57:M57" si="52">IF(B56&gt;0.05,"Oui","Non")</f>
        <v>#VALUE!</v>
      </c>
      <c r="C57" s="77" t="str">
        <f t="shared" si="52"/>
        <v>Oui</v>
      </c>
      <c r="D57" s="77" t="str">
        <f t="shared" si="52"/>
        <v>Non</v>
      </c>
      <c r="E57" s="77" t="str">
        <f t="shared" si="52"/>
        <v>Oui</v>
      </c>
      <c r="F57" s="77" t="str">
        <f t="shared" si="52"/>
        <v>Oui</v>
      </c>
      <c r="G57" s="77" t="str">
        <f t="shared" si="52"/>
        <v>Non</v>
      </c>
      <c r="H57" s="77" t="str">
        <f t="shared" si="52"/>
        <v>Oui</v>
      </c>
      <c r="I57" s="77" t="str">
        <f t="shared" si="52"/>
        <v>Oui</v>
      </c>
      <c r="J57" s="77" t="str">
        <f t="shared" si="52"/>
        <v>Oui</v>
      </c>
      <c r="K57" s="77" t="str">
        <f t="shared" si="52"/>
        <v>Oui</v>
      </c>
      <c r="L57" s="77" t="str">
        <f t="shared" si="52"/>
        <v>Oui</v>
      </c>
      <c r="M57" s="77" t="str">
        <f t="shared" si="52"/>
        <v>Oui</v>
      </c>
      <c r="N57" s="77"/>
      <c r="O57" s="77" t="str">
        <f t="shared" ref="O57:V57" si="53">IF(O56&gt;0.05,"Oui","Non")</f>
        <v>Oui</v>
      </c>
      <c r="P57" s="77" t="str">
        <f t="shared" si="53"/>
        <v>Oui</v>
      </c>
      <c r="Q57" s="77" t="str">
        <f t="shared" si="53"/>
        <v>Oui</v>
      </c>
      <c r="R57" s="77" t="str">
        <f t="shared" si="53"/>
        <v>Oui</v>
      </c>
      <c r="S57" s="77" t="str">
        <f t="shared" si="53"/>
        <v>Oui</v>
      </c>
      <c r="T57" s="77" t="str">
        <f t="shared" si="53"/>
        <v>Oui</v>
      </c>
      <c r="U57" s="77" t="str">
        <f t="shared" si="53"/>
        <v>Oui</v>
      </c>
      <c r="V57" s="77" t="str">
        <f t="shared" si="53"/>
        <v>Oui</v>
      </c>
    </row>
    <row r="58" spans="1:22" s="3" customFormat="1" x14ac:dyDescent="0.25">
      <c r="A58" s="45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9"/>
      <c r="O58" s="80"/>
      <c r="P58" s="77"/>
      <c r="Q58" s="77"/>
      <c r="R58" s="77"/>
      <c r="S58" s="77"/>
      <c r="T58" s="77"/>
      <c r="U58" s="77"/>
      <c r="V58" s="77"/>
    </row>
    <row r="59" spans="1:22" s="3" customFormat="1" x14ac:dyDescent="0.25">
      <c r="A59" s="45" t="s">
        <v>39</v>
      </c>
      <c r="B59" s="81"/>
      <c r="C59" s="81" t="e">
        <f t="shared" ref="C59:M59" si="54">IF($B57="Non",IF(C$57="Non","Mann Withney",IF(C$57="Oui","Mann Withney","")),IF($B$57="Oui",IF(C$57="Oui","T-Test Welch",IF(C$57="Non","Mann Withney",""))))</f>
        <v>#VALUE!</v>
      </c>
      <c r="D59" s="81" t="e">
        <f t="shared" si="54"/>
        <v>#VALUE!</v>
      </c>
      <c r="E59" s="81" t="e">
        <f t="shared" si="54"/>
        <v>#VALUE!</v>
      </c>
      <c r="F59" s="81" t="e">
        <f t="shared" si="54"/>
        <v>#VALUE!</v>
      </c>
      <c r="G59" s="81" t="e">
        <f t="shared" si="54"/>
        <v>#VALUE!</v>
      </c>
      <c r="H59" s="81" t="e">
        <f t="shared" si="54"/>
        <v>#VALUE!</v>
      </c>
      <c r="I59" s="81" t="e">
        <f t="shared" si="54"/>
        <v>#VALUE!</v>
      </c>
      <c r="J59" s="81" t="e">
        <f t="shared" si="54"/>
        <v>#VALUE!</v>
      </c>
      <c r="K59" s="81" t="e">
        <f t="shared" si="54"/>
        <v>#VALUE!</v>
      </c>
      <c r="L59" s="81" t="e">
        <f t="shared" si="54"/>
        <v>#VALUE!</v>
      </c>
      <c r="M59" s="81" t="e">
        <f t="shared" si="54"/>
        <v>#VALUE!</v>
      </c>
      <c r="N59" s="81"/>
      <c r="O59" s="81" t="e">
        <f>IF($B57="Non",IF(O$57="Non","Mann Withney",IF(O$57="Oui","Mann Withney","")),IF($B$57="Oui",IF(O$57="Oui","T-Test Welch",IF(O$57="Non","Mann Withney",""))))</f>
        <v>#VALUE!</v>
      </c>
      <c r="P59" s="81" t="str">
        <f t="shared" ref="P59:V59" si="55">IF($O57="Non",IF(P$57="Non","Mann Withney",IF(P$57="Oui","Mann Withney","")),IF($O$57="Oui",IF(P$57="Oui","T-Test Welch",IF(P$57="Non","Mann Withney",""))))</f>
        <v>T-Test Welch</v>
      </c>
      <c r="Q59" s="81" t="str">
        <f t="shared" si="55"/>
        <v>T-Test Welch</v>
      </c>
      <c r="R59" s="81" t="str">
        <f t="shared" si="55"/>
        <v>T-Test Welch</v>
      </c>
      <c r="S59" s="81" t="str">
        <f t="shared" si="55"/>
        <v>T-Test Welch</v>
      </c>
      <c r="T59" s="81" t="str">
        <f t="shared" si="55"/>
        <v>T-Test Welch</v>
      </c>
      <c r="U59" s="81" t="str">
        <f t="shared" si="55"/>
        <v>T-Test Welch</v>
      </c>
      <c r="V59" s="81" t="str">
        <f t="shared" si="55"/>
        <v>T-Test Welch</v>
      </c>
    </row>
    <row r="60" spans="1:22" s="3" customFormat="1" x14ac:dyDescent="0.25">
      <c r="A60" s="45" t="s">
        <v>40</v>
      </c>
      <c r="B60" s="82"/>
      <c r="C60" s="82" t="e">
        <f>IF(C59="Mann Withney",[1]!MTEST($B28:$B43,C28:C43,2), IF(C59="T-Test Welch",_xlfn.T.TEST($B28:$B43,C28:C43,2,3),""))</f>
        <v>#VALUE!</v>
      </c>
      <c r="D60" s="82" t="e">
        <f>IF(D59="Mann Withney",[1]!MTEST($B28:$B43,D28:D43,2), IF(D59="T-Test Welch",_xlfn.T.TEST($B28:$B43,D28:D43,2,3),""))</f>
        <v>#VALUE!</v>
      </c>
      <c r="E60" s="82" t="e">
        <f>IF(E59="Mann Withney",[1]!MTEST($B28:$B43,E28:E43,2), IF(E59="T-Test Welch",_xlfn.T.TEST($B28:$B43,E28:E43,2,3),""))</f>
        <v>#VALUE!</v>
      </c>
      <c r="F60" s="82" t="e">
        <f>IF(F59="Mann Withney",[1]!MTEST($B28:$B43,F28:F43,2), IF(F59="T-Test Welch",_xlfn.T.TEST($B28:$B43,F28:F43,2,3),""))</f>
        <v>#VALUE!</v>
      </c>
      <c r="G60" s="82" t="e">
        <f>IF(G59="Mann Withney",[1]!MTEST($B28:$B43,G28:G43,2), IF(G59="T-Test Welch",_xlfn.T.TEST($B28:$B43,G28:G43,2,3),""))</f>
        <v>#VALUE!</v>
      </c>
      <c r="H60" s="82" t="e">
        <f>IF(H59="Mann Withney",[1]!MTEST($B28:$B43,H28:H43,2), IF(H59="T-Test Welch",_xlfn.T.TEST($B28:$B43,H28:H43,2,3),""))</f>
        <v>#VALUE!</v>
      </c>
      <c r="I60" s="82" t="e">
        <f>IF(I59="Mann Withney",[1]!MTEST($B28:$B43,I28:I43,2), IF(I59="T-Test Welch",_xlfn.T.TEST($B28:$B43,I28:I43,2,3),""))</f>
        <v>#VALUE!</v>
      </c>
      <c r="J60" s="82" t="e">
        <f>IF(J59="Mann Withney",[1]!MTEST($B28:$B43,J28:J43,2), IF(J59="T-Test Welch",_xlfn.T.TEST($B28:$B43,J28:J43,2,3),""))</f>
        <v>#VALUE!</v>
      </c>
      <c r="K60" s="82" t="e">
        <f>IF(K59="Mann Withney",[1]!MTEST($B28:$B43,K28:K43,2), IF(K59="T-Test Welch",_xlfn.T.TEST($B28:$B43,K28:K43,2,3),""))</f>
        <v>#VALUE!</v>
      </c>
      <c r="L60" s="82" t="e">
        <f>IF(L59="Mann Withney",[1]!MTEST($B28:$B43,L28:L43,2), IF(L59="T-Test Welch",_xlfn.T.TEST($B28:$B43,L28:L43,2,3),""))</f>
        <v>#VALUE!</v>
      </c>
      <c r="M60" s="82" t="e">
        <f>IF(M59="Mann Withney",[1]!MTEST($B28:$B43,M28:M43,2), IF(M59="T-Test Welch",_xlfn.T.TEST($B28:$B43,M28:M43,2,3),""))</f>
        <v>#VALUE!</v>
      </c>
      <c r="N60" s="82"/>
      <c r="O60" s="82" t="e">
        <f>IF(O59="Mann Withney",[1]!MTEST($B28:$B43,O28:O43,2), IF(O59="T-Test Welch",_xlfn.T.TEST($B28:$B43,O28:O43,2,3),""))</f>
        <v>#VALUE!</v>
      </c>
      <c r="P60" s="82">
        <f>IF(P59="Mann Withney",[1]!MTEST($O28:$O43,P28:P43,2), IF(P59="T-Test Welch",_xlfn.T.TEST($O28:$O43,P28:P43,2,3),""))</f>
        <v>9.5687298823946797E-3</v>
      </c>
      <c r="Q60" s="82">
        <f>IF(Q59="Mann Withney",[1]!MTEST($O28:$O43,Q28:Q43,2), IF(Q59="T-Test Welch",_xlfn.T.TEST($O28:$O43,Q28:Q43,2,3),""))</f>
        <v>3.6114146129019061E-15</v>
      </c>
      <c r="R60" s="82">
        <f>IF(R59="Mann Withney",[1]!MTEST($O28:$O43,R28:R43,2), IF(R59="T-Test Welch",_xlfn.T.TEST($O28:$O43,R28:R43,2,3),""))</f>
        <v>3.0697640203489356E-3</v>
      </c>
      <c r="S60" s="82">
        <f>IF(S59="Mann Withney",[1]!MTEST($O28:$O43,S28:S43,2), IF(S59="T-Test Welch",_xlfn.T.TEST($O28:$O43,S28:S43,2,3),""))</f>
        <v>4.5723207295401891E-3</v>
      </c>
      <c r="T60" s="82">
        <f>IF(T59="Mann Withney",[1]!MTEST($O28:$O43,T28:T43,2), IF(T59="T-Test Welch",_xlfn.T.TEST($O28:$O43,T28:T43,2,3),""))</f>
        <v>0.16961089867317461</v>
      </c>
      <c r="U60" s="82">
        <f>IF(U59="Mann Withney",[1]!MTEST($O28:$O43,U28:U43,2), IF(U59="T-Test Welch",_xlfn.T.TEST($O28:$O43,U28:U43,2,3),""))</f>
        <v>0.11346009518384823</v>
      </c>
      <c r="V60" s="82">
        <f>IF(V59="Mann Withney",[1]!MTEST($O28:$O43,V28:V43,2), IF(V59="T-Test Welch",_xlfn.T.TEST($O28:$O43,V28:V43,2,3),""))</f>
        <v>4.074563118321415E-2</v>
      </c>
    </row>
    <row r="61" spans="1:22" s="3" customFormat="1" ht="15.75" thickBot="1" x14ac:dyDescent="0.3">
      <c r="A61" s="46" t="s">
        <v>15</v>
      </c>
      <c r="B61" s="78"/>
      <c r="C61" s="78" t="e">
        <f t="shared" ref="C61:M61" si="56">IF(C60&gt;0.05,"NS",IF(C60&gt;0.01,"*",IF(C60&gt;0.001,"**","***")))</f>
        <v>#VALUE!</v>
      </c>
      <c r="D61" s="78" t="e">
        <f t="shared" si="56"/>
        <v>#VALUE!</v>
      </c>
      <c r="E61" s="78" t="e">
        <f t="shared" si="56"/>
        <v>#VALUE!</v>
      </c>
      <c r="F61" s="78" t="e">
        <f t="shared" si="56"/>
        <v>#VALUE!</v>
      </c>
      <c r="G61" s="78" t="e">
        <f t="shared" si="56"/>
        <v>#VALUE!</v>
      </c>
      <c r="H61" s="78" t="e">
        <f t="shared" si="56"/>
        <v>#VALUE!</v>
      </c>
      <c r="I61" s="78" t="e">
        <f t="shared" si="56"/>
        <v>#VALUE!</v>
      </c>
      <c r="J61" s="78" t="e">
        <f t="shared" si="56"/>
        <v>#VALUE!</v>
      </c>
      <c r="K61" s="78" t="e">
        <f t="shared" si="56"/>
        <v>#VALUE!</v>
      </c>
      <c r="L61" s="78" t="e">
        <f t="shared" si="56"/>
        <v>#VALUE!</v>
      </c>
      <c r="M61" s="78" t="e">
        <f t="shared" si="56"/>
        <v>#VALUE!</v>
      </c>
      <c r="N61" s="78"/>
      <c r="O61" s="78" t="e">
        <f>IF(O60&gt;0.05,"NS",IF(O60&gt;0.01,"*",IF(O60&gt;0.001,"**","***")))</f>
        <v>#VALUE!</v>
      </c>
      <c r="P61" s="78" t="str">
        <f>IF(P60&gt;0.05,"NS",IF(P60&gt;0.01,"*",IF(P60&gt;0.001,"**","***")))</f>
        <v>**</v>
      </c>
      <c r="Q61" s="78" t="str">
        <f t="shared" ref="Q61" si="57">IF(Q60&gt;0.05,"NS",IF(Q60&gt;0.01,"*",IF(Q60&gt;0.001,"**","***")))</f>
        <v>***</v>
      </c>
      <c r="R61" s="78" t="str">
        <f t="shared" ref="R61" si="58">IF(R60&gt;0.05,"NS",IF(R60&gt;0.01,"*",IF(R60&gt;0.001,"**","***")))</f>
        <v>**</v>
      </c>
      <c r="S61" s="78" t="str">
        <f t="shared" ref="S61" si="59">IF(S60&gt;0.05,"NS",IF(S60&gt;0.01,"*",IF(S60&gt;0.001,"**","***")))</f>
        <v>**</v>
      </c>
      <c r="T61" s="78" t="str">
        <f t="shared" ref="T61" si="60">IF(T60&gt;0.05,"NS",IF(T60&gt;0.01,"*",IF(T60&gt;0.001,"**","***")))</f>
        <v>NS</v>
      </c>
      <c r="U61" s="78" t="str">
        <f t="shared" ref="U61" si="61">IF(U60&gt;0.05,"NS",IF(U60&gt;0.01,"*",IF(U60&gt;0.001,"**","***")))</f>
        <v>NS</v>
      </c>
      <c r="V61" s="78" t="str">
        <f t="shared" ref="V61" si="62">IF(V60&gt;0.05,"NS",IF(V60&gt;0.01,"*",IF(V60&gt;0.001,"**","***")))</f>
        <v>*</v>
      </c>
    </row>
    <row r="63" spans="1:22" x14ac:dyDescent="0.25">
      <c r="A63" s="2"/>
    </row>
    <row r="66" spans="1:22" ht="15.75" thickBot="1" x14ac:dyDescent="0.3"/>
    <row r="67" spans="1:22" s="1" customFormat="1" ht="27" thickBot="1" x14ac:dyDescent="0.4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ht="16.5" x14ac:dyDescent="0.2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2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2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2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2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2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2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J5:J6 B13:J21 J11:J12 O21" name="Plage1_1"/>
    <protectedRange sqref="I5:I6 I11:I12 R8:V11 I7:M10" name="Plage1_1_1"/>
    <protectedRange sqref="B5:H12" name="Plage1_1_2"/>
    <protectedRange sqref="O5:O20" name="Plage1_1_3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M1" zoomScale="70" zoomScaleNormal="70" zoomScaleSheetLayoutView="40" zoomScalePageLayoutView="30" workbookViewId="0">
      <selection activeCell="V5" sqref="V5:V12"/>
    </sheetView>
  </sheetViews>
  <sheetFormatPr baseColWidth="10" defaultColWidth="9.140625" defaultRowHeight="15" x14ac:dyDescent="0.25"/>
  <cols>
    <col min="1" max="1" width="33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1.7109375" style="1" customWidth="1"/>
    <col min="15" max="15" width="14.85546875" style="1" customWidth="1"/>
    <col min="16" max="16" width="17.7109375" style="1" customWidth="1"/>
    <col min="17" max="18" width="25.85546875" style="1" bestFit="1" customWidth="1"/>
    <col min="19" max="22" width="25.85546875" style="1" customWidth="1"/>
    <col min="23" max="16384" width="9.140625" style="1"/>
  </cols>
  <sheetData>
    <row r="1" spans="1:22" ht="27" thickBot="1" x14ac:dyDescent="0.4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customFormat="1" ht="15.75" thickBot="1" x14ac:dyDescent="0.3"/>
    <row r="3" spans="1:22" ht="15.75" thickBot="1" x14ac:dyDescent="0.3">
      <c r="A3" s="83" t="s">
        <v>6</v>
      </c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testosterone-3.7µg/L</v>
      </c>
      <c r="J4" s="20" t="str">
        <f>'Front page'!A15</f>
        <v>testosterone-11µg/L</v>
      </c>
      <c r="K4" s="20" t="str">
        <f>'Front page'!A16</f>
        <v>testosterone-33µg/L</v>
      </c>
      <c r="L4" s="20" t="str">
        <f>'Front page'!A17</f>
        <v>testosterone-100µg/L</v>
      </c>
      <c r="M4" s="20" t="str">
        <f>'Front page'!A18</f>
        <v>testosterone-300µg/L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testosterone-3.7µg/L + Testostérone</v>
      </c>
      <c r="S4" s="21" t="str">
        <f>'Front page'!A39</f>
        <v>testosterone-11µg/L + Testostérone</v>
      </c>
      <c r="T4" s="21" t="str">
        <f>'Front page'!A40</f>
        <v>testosterone-33µg/L + Testostérone</v>
      </c>
      <c r="U4" s="21" t="str">
        <f>'Front page'!A41</f>
        <v>testosterone-100µg/L + Testostérone</v>
      </c>
      <c r="V4" s="21" t="str">
        <f>'Front page'!A42</f>
        <v>testosterone-300µg/L + Testostérone</v>
      </c>
    </row>
    <row r="5" spans="1:22" x14ac:dyDescent="0.25">
      <c r="A5" s="137" t="s">
        <v>34</v>
      </c>
      <c r="B5" s="1">
        <v>10238</v>
      </c>
      <c r="C5" s="1">
        <v>13351</v>
      </c>
      <c r="D5" s="1">
        <v>0</v>
      </c>
      <c r="E5" s="1">
        <v>46250</v>
      </c>
      <c r="F5" s="1">
        <v>34204</v>
      </c>
      <c r="G5" s="1">
        <v>331861</v>
      </c>
      <c r="H5" s="1">
        <v>341423</v>
      </c>
      <c r="I5" s="1">
        <v>10061</v>
      </c>
      <c r="J5" s="1">
        <v>56821</v>
      </c>
      <c r="K5" s="1">
        <v>330714</v>
      </c>
      <c r="L5" s="1">
        <v>325720</v>
      </c>
      <c r="M5" s="1">
        <v>363295</v>
      </c>
      <c r="N5" s="3"/>
      <c r="O5" s="1">
        <v>406972</v>
      </c>
      <c r="P5" s="1">
        <v>306725</v>
      </c>
      <c r="Q5" s="1">
        <v>16437</v>
      </c>
      <c r="R5" s="1">
        <v>307065</v>
      </c>
      <c r="S5" s="1">
        <v>312272</v>
      </c>
      <c r="T5" s="1">
        <v>195479</v>
      </c>
      <c r="U5" s="1">
        <v>270038</v>
      </c>
      <c r="V5" s="1">
        <v>240496</v>
      </c>
    </row>
    <row r="6" spans="1:22" x14ac:dyDescent="0.25">
      <c r="A6" s="138"/>
      <c r="B6" s="1">
        <v>22109</v>
      </c>
      <c r="C6" s="1">
        <v>27627</v>
      </c>
      <c r="D6" s="1">
        <v>18083</v>
      </c>
      <c r="E6" s="1">
        <v>103417</v>
      </c>
      <c r="F6" s="1">
        <v>194143</v>
      </c>
      <c r="G6" s="1">
        <v>257863</v>
      </c>
      <c r="H6" s="1">
        <v>201649</v>
      </c>
      <c r="I6" s="1">
        <v>13342</v>
      </c>
      <c r="J6" s="1">
        <v>4776</v>
      </c>
      <c r="K6" s="1">
        <v>316691</v>
      </c>
      <c r="L6" s="1">
        <v>358682</v>
      </c>
      <c r="M6" s="1">
        <v>129182</v>
      </c>
      <c r="N6" s="3"/>
      <c r="O6" s="1">
        <v>183568</v>
      </c>
      <c r="P6" s="1">
        <v>290405</v>
      </c>
      <c r="Q6" s="1">
        <v>11020</v>
      </c>
      <c r="R6" s="1">
        <v>232496</v>
      </c>
      <c r="S6" s="1">
        <v>349053</v>
      </c>
      <c r="T6" s="1">
        <v>200725</v>
      </c>
      <c r="U6" s="1">
        <v>322588</v>
      </c>
      <c r="V6" s="1">
        <v>343275</v>
      </c>
    </row>
    <row r="7" spans="1:22" x14ac:dyDescent="0.25">
      <c r="A7" s="138"/>
      <c r="B7" s="1">
        <v>16646</v>
      </c>
      <c r="C7" s="1">
        <v>30752</v>
      </c>
      <c r="D7" s="1">
        <v>37997</v>
      </c>
      <c r="E7" s="1">
        <v>96896</v>
      </c>
      <c r="F7" s="1">
        <v>258667</v>
      </c>
      <c r="G7" s="1">
        <v>283044</v>
      </c>
      <c r="H7" s="1">
        <v>383136</v>
      </c>
      <c r="I7" s="1">
        <v>21407</v>
      </c>
      <c r="J7" s="1">
        <v>40709</v>
      </c>
      <c r="K7" s="1">
        <v>287346</v>
      </c>
      <c r="L7" s="1">
        <v>322755</v>
      </c>
      <c r="M7" s="1">
        <v>257225</v>
      </c>
      <c r="N7" s="3"/>
      <c r="O7" s="1">
        <v>168690</v>
      </c>
      <c r="P7" s="1">
        <v>354092</v>
      </c>
      <c r="Q7" s="1">
        <v>9426</v>
      </c>
      <c r="R7" s="1">
        <v>281221</v>
      </c>
      <c r="S7" s="1">
        <v>148751</v>
      </c>
      <c r="T7" s="1">
        <v>184928</v>
      </c>
      <c r="U7" s="1">
        <v>283294</v>
      </c>
      <c r="V7" s="1">
        <v>308182</v>
      </c>
    </row>
    <row r="8" spans="1:22" x14ac:dyDescent="0.25">
      <c r="A8" s="138"/>
      <c r="B8" s="1">
        <v>8574</v>
      </c>
      <c r="C8" s="1">
        <v>9960</v>
      </c>
      <c r="D8" s="1">
        <v>3604</v>
      </c>
      <c r="E8" s="1">
        <v>126624</v>
      </c>
      <c r="F8" s="1">
        <v>324462</v>
      </c>
      <c r="G8" s="1">
        <v>303536</v>
      </c>
      <c r="H8" s="1">
        <v>445498</v>
      </c>
      <c r="I8" s="1">
        <v>11021</v>
      </c>
      <c r="J8" s="1">
        <v>137877</v>
      </c>
      <c r="K8" s="1">
        <v>234534</v>
      </c>
      <c r="L8" s="1">
        <v>68669</v>
      </c>
      <c r="M8" s="1">
        <v>303596</v>
      </c>
      <c r="N8" s="3"/>
      <c r="O8" s="1">
        <v>225403</v>
      </c>
      <c r="P8" s="1">
        <v>288775</v>
      </c>
      <c r="Q8" s="1">
        <v>8079</v>
      </c>
      <c r="R8" s="1">
        <v>288751</v>
      </c>
      <c r="S8" s="1">
        <v>335908</v>
      </c>
      <c r="T8" s="1">
        <v>357105</v>
      </c>
      <c r="U8" s="1">
        <v>465418</v>
      </c>
      <c r="V8" s="1">
        <v>352734</v>
      </c>
    </row>
    <row r="9" spans="1:22" x14ac:dyDescent="0.25">
      <c r="A9" s="138"/>
      <c r="B9" s="1">
        <v>26008</v>
      </c>
      <c r="C9" s="1">
        <v>27898</v>
      </c>
      <c r="D9" s="1">
        <v>22392</v>
      </c>
      <c r="E9" s="1">
        <v>14643</v>
      </c>
      <c r="F9" s="1">
        <v>299173</v>
      </c>
      <c r="G9" s="1">
        <v>297305</v>
      </c>
      <c r="H9" s="1">
        <v>358328</v>
      </c>
      <c r="I9" s="1">
        <v>12320</v>
      </c>
      <c r="J9" s="1">
        <v>24898</v>
      </c>
      <c r="K9" s="1">
        <v>361736</v>
      </c>
      <c r="L9" s="1">
        <v>365958</v>
      </c>
      <c r="M9" s="1">
        <v>329641</v>
      </c>
      <c r="N9" s="3"/>
      <c r="O9" s="1">
        <v>190696</v>
      </c>
      <c r="P9" s="1">
        <v>329143</v>
      </c>
      <c r="Q9" s="1">
        <v>10123</v>
      </c>
      <c r="R9" s="1">
        <v>282585</v>
      </c>
      <c r="S9" s="1">
        <v>390351</v>
      </c>
      <c r="T9" s="1">
        <v>336933</v>
      </c>
      <c r="U9" s="1">
        <v>297319</v>
      </c>
      <c r="V9" s="1">
        <v>303669</v>
      </c>
    </row>
    <row r="10" spans="1:22" x14ac:dyDescent="0.25">
      <c r="A10" s="138"/>
      <c r="B10" s="1">
        <v>3592</v>
      </c>
      <c r="C10" s="1">
        <v>28288</v>
      </c>
      <c r="D10" s="1">
        <v>1751</v>
      </c>
      <c r="E10" s="1">
        <v>87412</v>
      </c>
      <c r="F10" s="1">
        <v>168956</v>
      </c>
      <c r="G10" s="1">
        <v>266745</v>
      </c>
      <c r="H10" s="1">
        <v>463354</v>
      </c>
      <c r="I10" s="1">
        <v>1370</v>
      </c>
      <c r="J10" s="1">
        <v>43366</v>
      </c>
      <c r="K10" s="1">
        <v>258263</v>
      </c>
      <c r="L10" s="1">
        <v>317175</v>
      </c>
      <c r="M10" s="1">
        <v>415154</v>
      </c>
      <c r="N10" s="3"/>
      <c r="O10" s="1">
        <v>183294</v>
      </c>
      <c r="P10" s="1">
        <v>224200</v>
      </c>
      <c r="Q10" s="1">
        <v>3122</v>
      </c>
      <c r="R10" s="1">
        <v>364190</v>
      </c>
      <c r="S10" s="1">
        <v>273723</v>
      </c>
      <c r="T10" s="1">
        <v>205769</v>
      </c>
      <c r="U10" s="1">
        <v>205580</v>
      </c>
      <c r="V10" s="1">
        <v>259894</v>
      </c>
    </row>
    <row r="11" spans="1:22" x14ac:dyDescent="0.25">
      <c r="A11" s="138"/>
      <c r="B11" s="1">
        <v>8511</v>
      </c>
      <c r="C11" s="1">
        <v>15325</v>
      </c>
      <c r="D11" s="1">
        <v>13537</v>
      </c>
      <c r="E11" s="1">
        <v>71072</v>
      </c>
      <c r="F11" s="1">
        <v>264683</v>
      </c>
      <c r="G11" s="1">
        <v>313659</v>
      </c>
      <c r="H11" s="1">
        <v>252986</v>
      </c>
      <c r="I11" s="1">
        <v>14216</v>
      </c>
      <c r="J11" s="1">
        <v>17641</v>
      </c>
      <c r="K11" s="1">
        <v>263454</v>
      </c>
      <c r="L11" s="1">
        <v>233395</v>
      </c>
      <c r="M11" s="1">
        <v>402318</v>
      </c>
      <c r="N11" s="3"/>
      <c r="O11" s="1">
        <v>233152</v>
      </c>
      <c r="P11" s="1">
        <v>335685</v>
      </c>
      <c r="Q11" s="1">
        <v>64705</v>
      </c>
      <c r="R11" s="1">
        <v>351596</v>
      </c>
      <c r="S11" s="1">
        <v>384088</v>
      </c>
      <c r="T11" s="1">
        <v>253018</v>
      </c>
      <c r="U11" s="1">
        <v>262848</v>
      </c>
      <c r="V11" s="1">
        <v>392097</v>
      </c>
    </row>
    <row r="12" spans="1:22" x14ac:dyDescent="0.25">
      <c r="A12" s="138"/>
      <c r="B12" s="1">
        <v>10202</v>
      </c>
      <c r="C12" s="1">
        <v>44864</v>
      </c>
      <c r="D12" s="1">
        <v>9765</v>
      </c>
      <c r="E12" s="1">
        <v>94100</v>
      </c>
      <c r="F12" s="1">
        <v>130166</v>
      </c>
      <c r="G12" s="1">
        <v>246822</v>
      </c>
      <c r="H12" s="1">
        <v>293063</v>
      </c>
      <c r="I12" s="1">
        <v>22014</v>
      </c>
      <c r="J12" s="1">
        <v>222034</v>
      </c>
      <c r="K12" s="1">
        <v>310745</v>
      </c>
      <c r="L12" s="13"/>
      <c r="M12" s="1">
        <v>287811</v>
      </c>
      <c r="N12" s="3"/>
      <c r="O12" s="1">
        <v>309632</v>
      </c>
      <c r="P12" s="1">
        <v>349520</v>
      </c>
      <c r="Q12" s="1">
        <v>0</v>
      </c>
      <c r="R12" s="1">
        <v>244728</v>
      </c>
      <c r="S12" s="1">
        <v>258480</v>
      </c>
      <c r="T12" s="1">
        <v>383635</v>
      </c>
      <c r="U12" s="1">
        <v>283495</v>
      </c>
      <c r="V12" s="1">
        <v>281994</v>
      </c>
    </row>
    <row r="13" spans="1:22" ht="16.5" x14ac:dyDescent="0.25">
      <c r="A13" s="138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">
        <v>305368</v>
      </c>
      <c r="P13" s="13"/>
      <c r="Q13" s="13"/>
      <c r="R13" s="17"/>
      <c r="S13" s="17"/>
      <c r="T13" s="17"/>
      <c r="U13" s="17"/>
      <c r="V13" s="17"/>
    </row>
    <row r="14" spans="1:22" ht="16.5" x14ac:dyDescent="0.25">
      <c r="A14" s="138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">
        <v>277820</v>
      </c>
      <c r="P14" s="13"/>
      <c r="Q14" s="13"/>
      <c r="R14" s="17"/>
      <c r="S14" s="17"/>
      <c r="T14" s="17"/>
      <c r="U14" s="17"/>
      <c r="V14" s="17"/>
    </row>
    <row r="15" spans="1:22" ht="16.5" x14ac:dyDescent="0.25">
      <c r="A15" s="138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">
        <v>135528</v>
      </c>
      <c r="P15" s="13"/>
      <c r="Q15" s="13"/>
      <c r="R15" s="17"/>
      <c r="S15" s="17"/>
      <c r="T15" s="17"/>
      <c r="U15" s="17"/>
      <c r="V15" s="17"/>
    </row>
    <row r="16" spans="1:22" ht="16.5" x14ac:dyDescent="0.25">
      <c r="A16" s="138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">
        <v>239886</v>
      </c>
      <c r="P16" s="13"/>
      <c r="Q16" s="13"/>
      <c r="R16" s="17"/>
      <c r="S16" s="17"/>
      <c r="T16" s="17"/>
      <c r="U16" s="17"/>
      <c r="V16" s="17"/>
    </row>
    <row r="17" spans="1:22" ht="16.5" x14ac:dyDescent="0.25">
      <c r="A17" s="138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">
        <v>252179</v>
      </c>
      <c r="P17" s="13"/>
      <c r="Q17" s="13"/>
      <c r="R17" s="17"/>
      <c r="S17" s="17"/>
      <c r="T17" s="17"/>
      <c r="U17" s="17"/>
      <c r="V17" s="17"/>
    </row>
    <row r="18" spans="1:22" ht="16.5" x14ac:dyDescent="0.25">
      <c r="A18" s="138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">
        <v>150766</v>
      </c>
      <c r="P18" s="13"/>
      <c r="Q18" s="13"/>
      <c r="R18" s="17"/>
      <c r="S18" s="17"/>
      <c r="T18" s="17"/>
      <c r="U18" s="17"/>
      <c r="V18" s="17"/>
    </row>
    <row r="19" spans="1:22" ht="16.5" x14ac:dyDescent="0.25">
      <c r="A19" s="138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">
        <v>212675</v>
      </c>
      <c r="P19" s="13"/>
      <c r="Q19" s="13"/>
      <c r="R19" s="17"/>
      <c r="S19" s="17"/>
      <c r="T19" s="17"/>
      <c r="U19" s="17"/>
      <c r="V19" s="17"/>
    </row>
    <row r="20" spans="1:22" ht="16.5" x14ac:dyDescent="0.25">
      <c r="A20" s="138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">
        <v>282430</v>
      </c>
      <c r="P20" s="13"/>
      <c r="Q20" s="13"/>
      <c r="R20" s="17"/>
      <c r="S20" s="17"/>
      <c r="T20" s="17"/>
      <c r="U20" s="17"/>
      <c r="V20" s="17"/>
    </row>
    <row r="21" spans="1:22" x14ac:dyDescent="0.2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2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testosterone-3.7µg/L</v>
      </c>
      <c r="J22" s="3" t="str">
        <f t="shared" si="1"/>
        <v>testosterone-11µg/L</v>
      </c>
      <c r="K22" s="3" t="str">
        <f t="shared" si="1"/>
        <v>testosterone-33µg/L</v>
      </c>
      <c r="L22" s="3" t="str">
        <f t="shared" si="1"/>
        <v>testosterone-100µg/L</v>
      </c>
      <c r="M22" s="3" t="str">
        <f t="shared" si="1"/>
        <v>testosterone-300µg/L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testosterone-3.7µg/L + Testostérone</v>
      </c>
      <c r="S22" s="3" t="str">
        <f t="shared" si="1"/>
        <v>testosterone-11µg/L + Testostérone</v>
      </c>
      <c r="T22" s="3" t="str">
        <f t="shared" si="1"/>
        <v>testosterone-33µg/L + Testostérone</v>
      </c>
      <c r="U22" s="3" t="str">
        <f t="shared" si="1"/>
        <v>testosterone-100µg/L + Testostérone</v>
      </c>
      <c r="V22" s="3" t="str">
        <f t="shared" si="1"/>
        <v>testosterone-300µg/L + Testostérone</v>
      </c>
    </row>
    <row r="23" spans="1:22" x14ac:dyDescent="0.25">
      <c r="A23" s="5" t="s">
        <v>0</v>
      </c>
      <c r="B23" s="5">
        <f t="shared" ref="B23:J23" si="2">AVERAGE(B5:B20)</f>
        <v>13235</v>
      </c>
      <c r="C23" s="5">
        <f t="shared" si="2"/>
        <v>24758.125</v>
      </c>
      <c r="D23" s="5">
        <f t="shared" si="2"/>
        <v>13391.125</v>
      </c>
      <c r="E23" s="5">
        <f t="shared" si="2"/>
        <v>80051.75</v>
      </c>
      <c r="F23" s="5">
        <f t="shared" si="2"/>
        <v>209306.75</v>
      </c>
      <c r="G23" s="5">
        <f t="shared" si="2"/>
        <v>287604.375</v>
      </c>
      <c r="H23" s="5">
        <f t="shared" si="2"/>
        <v>342429.625</v>
      </c>
      <c r="I23" s="5">
        <f t="shared" si="2"/>
        <v>13218.875</v>
      </c>
      <c r="J23" s="5">
        <f t="shared" si="2"/>
        <v>68515.25</v>
      </c>
      <c r="K23" s="5"/>
      <c r="L23" s="5">
        <f>AVERAGE(L5:L20)</f>
        <v>284622</v>
      </c>
      <c r="M23" s="5"/>
      <c r="N23" s="5" t="s">
        <v>0</v>
      </c>
      <c r="O23" s="5">
        <f>AVERAGE(O5:O20)</f>
        <v>234878.6875</v>
      </c>
      <c r="P23" s="5">
        <f>AVERAGE(P5:P20)</f>
        <v>309818.125</v>
      </c>
      <c r="Q23" s="5">
        <f>AVERAGE(Q5:Q20)</f>
        <v>15364</v>
      </c>
      <c r="R23" s="5">
        <f>AVERAGE(R5:R20)</f>
        <v>294079</v>
      </c>
      <c r="S23" s="5">
        <f>AVERAGE(S5:S20)</f>
        <v>306578.25</v>
      </c>
      <c r="T23" s="5">
        <f t="shared" ref="T23:V23" si="3">AVERAGE(T5:T20)</f>
        <v>264699</v>
      </c>
      <c r="U23" s="5">
        <f t="shared" si="3"/>
        <v>298822.5</v>
      </c>
      <c r="V23" s="5">
        <f t="shared" si="3"/>
        <v>310292.625</v>
      </c>
    </row>
    <row r="24" spans="1:22" x14ac:dyDescent="0.25">
      <c r="A24" s="3" t="s">
        <v>1</v>
      </c>
      <c r="B24" s="3">
        <f t="shared" ref="B24:J24" si="4">STDEV(B5:B20)</f>
        <v>7641.4468525273405</v>
      </c>
      <c r="C24" s="3">
        <f t="shared" si="4"/>
        <v>11394.31484102614</v>
      </c>
      <c r="D24" s="3">
        <f t="shared" si="4"/>
        <v>12718.103760697077</v>
      </c>
      <c r="E24" s="3">
        <f t="shared" si="4"/>
        <v>35358.699744799116</v>
      </c>
      <c r="F24" s="3">
        <f t="shared" si="4"/>
        <v>96822.364257954367</v>
      </c>
      <c r="G24" s="3">
        <f t="shared" si="4"/>
        <v>29250.331338477419</v>
      </c>
      <c r="H24" s="3">
        <f t="shared" si="4"/>
        <v>90564.093384484178</v>
      </c>
      <c r="I24" s="3">
        <f t="shared" si="4"/>
        <v>6561.9648285185349</v>
      </c>
      <c r="J24" s="3">
        <f t="shared" si="4"/>
        <v>74137.741076516293</v>
      </c>
      <c r="K24" s="3"/>
      <c r="L24" s="3">
        <f>STDEV(L5:L20)</f>
        <v>104533.24936433703</v>
      </c>
      <c r="M24" s="3"/>
      <c r="N24" s="3" t="s">
        <v>1</v>
      </c>
      <c r="O24" s="3">
        <f>STDEV(O5:O20)</f>
        <v>70123.920196291321</v>
      </c>
      <c r="P24" s="3">
        <f>STDEV(P5:P20)</f>
        <v>42659.238130084857</v>
      </c>
      <c r="Q24" s="3">
        <f>STDEV(Q5:Q20)</f>
        <v>20550.544504430323</v>
      </c>
      <c r="R24" s="3">
        <f>STDEV(R5:R20)</f>
        <v>46207.928633205673</v>
      </c>
      <c r="S24" s="3">
        <f>STDEV(S5:S20)</f>
        <v>79304.784892121825</v>
      </c>
      <c r="T24" s="3">
        <f t="shared" ref="T24:V24" si="5">STDEV(T5:T20)</f>
        <v>81730.459321217219</v>
      </c>
      <c r="U24" s="3">
        <f t="shared" si="5"/>
        <v>75227.334116567727</v>
      </c>
      <c r="V24" s="3">
        <f t="shared" si="5"/>
        <v>50485.914199443505</v>
      </c>
    </row>
    <row r="25" spans="1:22" ht="15.75" thickBot="1" x14ac:dyDescent="0.3"/>
    <row r="26" spans="1:22" ht="15.75" thickBot="1" x14ac:dyDescent="0.3">
      <c r="B26" s="141" t="s">
        <v>41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O26" s="141" t="s">
        <v>42</v>
      </c>
      <c r="P26" s="142"/>
      <c r="Q26" s="142"/>
      <c r="R26" s="142"/>
      <c r="S26" s="142"/>
      <c r="T26" s="142"/>
      <c r="U26" s="142"/>
      <c r="V26" s="142"/>
    </row>
    <row r="27" spans="1:22" x14ac:dyDescent="0.2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testosterone-3.7µg/L</v>
      </c>
      <c r="J27" s="20" t="str">
        <f t="shared" si="6"/>
        <v>testosterone-11µg/L</v>
      </c>
      <c r="K27" s="20" t="str">
        <f t="shared" si="6"/>
        <v>testosterone-33µg/L</v>
      </c>
      <c r="L27" s="20" t="str">
        <f t="shared" si="6"/>
        <v>testosterone-100µg/L</v>
      </c>
      <c r="M27" s="20" t="str">
        <f t="shared" si="6"/>
        <v>testosterone-300µg/L</v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testosterone-3.7µg/L + Testostérone</v>
      </c>
      <c r="S27" s="21" t="str">
        <f t="shared" ref="S27:V27" si="8">S4</f>
        <v>testosterone-11µg/L + Testostérone</v>
      </c>
      <c r="T27" s="21" t="str">
        <f t="shared" si="8"/>
        <v>testosterone-33µg/L + Testostérone</v>
      </c>
      <c r="U27" s="21" t="str">
        <f t="shared" si="8"/>
        <v>testosterone-100µg/L + Testostérone</v>
      </c>
      <c r="V27" s="21" t="str">
        <f t="shared" si="8"/>
        <v>testosterone-300µg/L + Testostérone</v>
      </c>
    </row>
    <row r="28" spans="1:22" ht="14.45" customHeight="1" x14ac:dyDescent="0.25">
      <c r="A28" s="139" t="s">
        <v>35</v>
      </c>
      <c r="B28" s="11">
        <f t="shared" ref="B28:M28" si="9">IF(B5="","",(B5/$O$23))</f>
        <v>4.3588458829411675E-2</v>
      </c>
      <c r="C28" s="11">
        <f t="shared" si="9"/>
        <v>5.6842109184555109E-2</v>
      </c>
      <c r="D28" s="11">
        <f t="shared" si="9"/>
        <v>0</v>
      </c>
      <c r="E28" s="11">
        <f t="shared" si="9"/>
        <v>0.19691016027156572</v>
      </c>
      <c r="F28" s="11">
        <f t="shared" si="9"/>
        <v>0.1456241107444029</v>
      </c>
      <c r="G28" s="11">
        <f t="shared" si="9"/>
        <v>1.4129038421163691</v>
      </c>
      <c r="H28" s="11">
        <f t="shared" si="9"/>
        <v>1.4536142194680819</v>
      </c>
      <c r="I28" s="11">
        <f t="shared" si="9"/>
        <v>4.2834878324156167E-2</v>
      </c>
      <c r="J28" s="11">
        <f t="shared" si="9"/>
        <v>0.24191637225493268</v>
      </c>
      <c r="K28" s="11">
        <f t="shared" si="9"/>
        <v>1.4080204701416343</v>
      </c>
      <c r="L28" s="11">
        <f t="shared" si="9"/>
        <v>1.3867584303492839</v>
      </c>
      <c r="M28" s="11">
        <f t="shared" si="9"/>
        <v>1.5467346308293723</v>
      </c>
      <c r="N28" s="6"/>
      <c r="O28" s="11">
        <f t="shared" ref="O28:S37" si="10">IF(O5="","",(O5/$O$23))</f>
        <v>1.7326901999143707</v>
      </c>
      <c r="P28" s="11">
        <f t="shared" si="10"/>
        <v>1.3058868953361296</v>
      </c>
      <c r="Q28" s="11">
        <f t="shared" si="10"/>
        <v>6.9980806581269747E-2</v>
      </c>
      <c r="R28" s="11">
        <f t="shared" si="10"/>
        <v>1.3073344511089369</v>
      </c>
      <c r="S28" s="11">
        <f t="shared" si="10"/>
        <v>1.3295033420177811</v>
      </c>
      <c r="T28" s="11">
        <f t="shared" ref="T28:V43" si="11">IF(T5="","",(T5/$O$23))</f>
        <v>0.83225516150757617</v>
      </c>
      <c r="U28" s="11">
        <f t="shared" si="11"/>
        <v>1.1496913699332554</v>
      </c>
      <c r="V28" s="11">
        <f t="shared" si="11"/>
        <v>1.0239158033442264</v>
      </c>
    </row>
    <row r="29" spans="1:22" x14ac:dyDescent="0.25">
      <c r="A29" s="140"/>
      <c r="B29" s="11">
        <f t="shared" ref="B29:M29" si="12">IF(B6="","",(B6/$O$23))</f>
        <v>9.4129442885276679E-2</v>
      </c>
      <c r="C29" s="11">
        <f t="shared" si="12"/>
        <v>0.11762242157454154</v>
      </c>
      <c r="D29" s="11">
        <f t="shared" si="12"/>
        <v>7.6988679528448067E-2</v>
      </c>
      <c r="E29" s="11">
        <f t="shared" si="12"/>
        <v>0.44029963340117861</v>
      </c>
      <c r="F29" s="11">
        <f t="shared" si="12"/>
        <v>0.8265671188238396</v>
      </c>
      <c r="G29" s="11">
        <f t="shared" si="12"/>
        <v>1.0978561007158216</v>
      </c>
      <c r="H29" s="11">
        <f t="shared" si="12"/>
        <v>0.85852404126704773</v>
      </c>
      <c r="I29" s="11">
        <f t="shared" si="12"/>
        <v>5.6803791531745508E-2</v>
      </c>
      <c r="J29" s="11">
        <f t="shared" si="12"/>
        <v>2.0333901090962118E-2</v>
      </c>
      <c r="K29" s="11">
        <f t="shared" si="12"/>
        <v>1.3483173095472956</v>
      </c>
      <c r="L29" s="11">
        <f t="shared" si="12"/>
        <v>1.5270947050059618</v>
      </c>
      <c r="M29" s="11">
        <f t="shared" si="12"/>
        <v>0.54999455836111144</v>
      </c>
      <c r="N29" s="6"/>
      <c r="O29" s="11">
        <f t="shared" si="10"/>
        <v>0.78154387677255732</v>
      </c>
      <c r="P29" s="11">
        <f t="shared" si="10"/>
        <v>1.2364042182413848</v>
      </c>
      <c r="Q29" s="11">
        <f t="shared" si="10"/>
        <v>4.6917837106868199E-2</v>
      </c>
      <c r="R29" s="11">
        <f t="shared" si="10"/>
        <v>0.9898556675134691</v>
      </c>
      <c r="S29" s="11">
        <f t="shared" si="10"/>
        <v>1.4860990740166666</v>
      </c>
      <c r="T29" s="11">
        <f t="shared" si="11"/>
        <v>0.85459009557859522</v>
      </c>
      <c r="U29" s="11">
        <f t="shared" si="11"/>
        <v>1.3734238871715425</v>
      </c>
      <c r="V29" s="11">
        <f t="shared" si="11"/>
        <v>1.4614991409129021</v>
      </c>
    </row>
    <row r="30" spans="1:22" x14ac:dyDescent="0.25">
      <c r="A30" s="140"/>
      <c r="B30" s="11">
        <f t="shared" ref="B30:M30" si="13">IF(B7="","",(B7/$O$23))</f>
        <v>7.0870627629848276E-2</v>
      </c>
      <c r="C30" s="11">
        <f t="shared" si="13"/>
        <v>0.13092716213343111</v>
      </c>
      <c r="D30" s="11">
        <f t="shared" si="13"/>
        <v>0.16177287264516071</v>
      </c>
      <c r="E30" s="11">
        <f t="shared" si="13"/>
        <v>0.4125363651821326</v>
      </c>
      <c r="F30" s="11">
        <f t="shared" si="13"/>
        <v>1.1012791443668128</v>
      </c>
      <c r="G30" s="11">
        <f t="shared" si="13"/>
        <v>1.2050646357601091</v>
      </c>
      <c r="H30" s="11">
        <f t="shared" si="13"/>
        <v>1.6312080252066292</v>
      </c>
      <c r="I30" s="11">
        <f t="shared" si="13"/>
        <v>9.1140665966127729E-2</v>
      </c>
      <c r="J30" s="11">
        <f t="shared" si="13"/>
        <v>0.17331925869178744</v>
      </c>
      <c r="K30" s="11">
        <f t="shared" si="13"/>
        <v>1.2233804738030989</v>
      </c>
      <c r="L30" s="11">
        <f t="shared" si="13"/>
        <v>1.3741348925070096</v>
      </c>
      <c r="M30" s="11">
        <f t="shared" si="13"/>
        <v>1.0951398048833187</v>
      </c>
      <c r="N30" s="6"/>
      <c r="O30" s="11">
        <f t="shared" si="10"/>
        <v>0.71820053916130644</v>
      </c>
      <c r="P30" s="11">
        <f t="shared" si="10"/>
        <v>1.5075527020730648</v>
      </c>
      <c r="Q30" s="11">
        <f t="shared" si="10"/>
        <v>4.0131355042589807E-2</v>
      </c>
      <c r="R30" s="11">
        <f t="shared" si="10"/>
        <v>1.1973031823076754</v>
      </c>
      <c r="S30" s="11">
        <f t="shared" si="10"/>
        <v>0.63330990812012267</v>
      </c>
      <c r="T30" s="11">
        <f t="shared" si="11"/>
        <v>0.78733409986378611</v>
      </c>
      <c r="U30" s="11">
        <f t="shared" si="11"/>
        <v>1.2061290150048203</v>
      </c>
      <c r="V30" s="11">
        <f t="shared" si="11"/>
        <v>1.3120900975743064</v>
      </c>
    </row>
    <row r="31" spans="1:22" x14ac:dyDescent="0.25">
      <c r="A31" s="140"/>
      <c r="B31" s="11">
        <f t="shared" ref="B31:M31" si="14">IF(B8="","",(B8/$O$23))</f>
        <v>3.6503950576614153E-2</v>
      </c>
      <c r="C31" s="11">
        <f t="shared" si="14"/>
        <v>4.2404869109292857E-2</v>
      </c>
      <c r="D31" s="11">
        <f t="shared" si="14"/>
        <v>1.5344091191756171E-2</v>
      </c>
      <c r="E31" s="11">
        <f t="shared" si="14"/>
        <v>0.53910382992922679</v>
      </c>
      <c r="F31" s="11">
        <f t="shared" si="14"/>
        <v>1.3814024739898974</v>
      </c>
      <c r="G31" s="11">
        <f t="shared" si="14"/>
        <v>1.2923096736905939</v>
      </c>
      <c r="H31" s="11">
        <f t="shared" si="14"/>
        <v>1.8967152990413403</v>
      </c>
      <c r="I31" s="11">
        <f t="shared" si="14"/>
        <v>4.6922094623847041E-2</v>
      </c>
      <c r="J31" s="11">
        <f t="shared" si="14"/>
        <v>0.58701366849216574</v>
      </c>
      <c r="K31" s="11">
        <f t="shared" si="14"/>
        <v>0.99853248711635445</v>
      </c>
      <c r="L31" s="11">
        <f t="shared" si="14"/>
        <v>0.29235943342028425</v>
      </c>
      <c r="M31" s="11">
        <f t="shared" si="14"/>
        <v>1.2925651247093246</v>
      </c>
      <c r="N31" s="6"/>
      <c r="O31" s="11">
        <f t="shared" si="10"/>
        <v>0.95965709958252388</v>
      </c>
      <c r="P31" s="11">
        <f t="shared" si="10"/>
        <v>1.229464465565868</v>
      </c>
      <c r="Q31" s="11">
        <f t="shared" si="10"/>
        <v>3.439647967208604E-2</v>
      </c>
      <c r="R31" s="11">
        <f t="shared" si="10"/>
        <v>1.2293622851583756</v>
      </c>
      <c r="S31" s="11">
        <f t="shared" si="10"/>
        <v>1.4301340133297535</v>
      </c>
      <c r="T31" s="11">
        <f t="shared" si="11"/>
        <v>1.5203806007303238</v>
      </c>
      <c r="U31" s="11">
        <f t="shared" si="11"/>
        <v>1.981525037259926</v>
      </c>
      <c r="V31" s="11">
        <f t="shared" si="11"/>
        <v>1.5017709940157937</v>
      </c>
    </row>
    <row r="32" spans="1:22" x14ac:dyDescent="0.25">
      <c r="A32" s="140"/>
      <c r="B32" s="11">
        <f t="shared" ref="B32:M32" si="15">IF(B9="","",(B9/$O$23))</f>
        <v>0.11072950158579203</v>
      </c>
      <c r="C32" s="11">
        <f t="shared" si="15"/>
        <v>0.11877620867580845</v>
      </c>
      <c r="D32" s="11">
        <f t="shared" si="15"/>
        <v>9.5334320190289715E-2</v>
      </c>
      <c r="E32" s="11">
        <f t="shared" si="15"/>
        <v>6.2342821121222421E-2</v>
      </c>
      <c r="F32" s="11">
        <f t="shared" si="15"/>
        <v>1.2737341271118947</v>
      </c>
      <c r="G32" s="11">
        <f t="shared" si="15"/>
        <v>1.265781085395413</v>
      </c>
      <c r="H32" s="11">
        <f t="shared" si="15"/>
        <v>1.5255875439954509</v>
      </c>
      <c r="I32" s="11">
        <f t="shared" si="15"/>
        <v>5.2452609179366262E-2</v>
      </c>
      <c r="J32" s="11">
        <f t="shared" si="15"/>
        <v>0.10600365773927445</v>
      </c>
      <c r="K32" s="11">
        <f t="shared" si="15"/>
        <v>1.5400971618593535</v>
      </c>
      <c r="L32" s="11">
        <f t="shared" si="15"/>
        <v>1.5580723985440357</v>
      </c>
      <c r="M32" s="11">
        <f t="shared" si="15"/>
        <v>1.403452154423334</v>
      </c>
      <c r="N32" s="6"/>
      <c r="O32" s="11">
        <f t="shared" si="10"/>
        <v>0.81189145779776206</v>
      </c>
      <c r="P32" s="11">
        <f t="shared" si="10"/>
        <v>1.4013319109678692</v>
      </c>
      <c r="Q32" s="11">
        <f t="shared" si="10"/>
        <v>4.3098844376844539E-2</v>
      </c>
      <c r="R32" s="11">
        <f t="shared" si="10"/>
        <v>1.2031104354668194</v>
      </c>
      <c r="S32" s="11">
        <f t="shared" si="10"/>
        <v>1.6619260102089934</v>
      </c>
      <c r="T32" s="11">
        <f t="shared" si="11"/>
        <v>1.4344979682330692</v>
      </c>
      <c r="U32" s="11">
        <f t="shared" si="11"/>
        <v>1.2658406906331168</v>
      </c>
      <c r="V32" s="11">
        <f t="shared" si="11"/>
        <v>1.2928759234487803</v>
      </c>
    </row>
    <row r="33" spans="1:22" x14ac:dyDescent="0.25">
      <c r="A33" s="140"/>
      <c r="B33" s="11">
        <f t="shared" ref="B33:M33" si="16">IF(B10="","",(B10/$O$23))</f>
        <v>1.5293000988010034E-2</v>
      </c>
      <c r="C33" s="11">
        <f t="shared" si="16"/>
        <v>0.12043664029755786</v>
      </c>
      <c r="D33" s="11">
        <f t="shared" si="16"/>
        <v>7.4549122299570067E-3</v>
      </c>
      <c r="E33" s="11">
        <f t="shared" si="16"/>
        <v>0.37215807415476981</v>
      </c>
      <c r="F33" s="11">
        <f t="shared" si="16"/>
        <v>0.71933303867767906</v>
      </c>
      <c r="G33" s="11">
        <f t="shared" si="16"/>
        <v>1.13567136652192</v>
      </c>
      <c r="H33" s="11">
        <f t="shared" si="16"/>
        <v>1.9727375222155905</v>
      </c>
      <c r="I33" s="11">
        <f t="shared" si="16"/>
        <v>5.8327982610171898E-3</v>
      </c>
      <c r="J33" s="11">
        <f t="shared" si="16"/>
        <v>0.18463148130457771</v>
      </c>
      <c r="K33" s="11">
        <f t="shared" si="16"/>
        <v>1.0995591075073594</v>
      </c>
      <c r="L33" s="11">
        <f t="shared" si="16"/>
        <v>1.3503779477650564</v>
      </c>
      <c r="M33" s="11">
        <f t="shared" si="16"/>
        <v>1.7675252038352778</v>
      </c>
      <c r="N33" s="6"/>
      <c r="O33" s="11">
        <f t="shared" si="10"/>
        <v>0.78037731712035385</v>
      </c>
      <c r="P33" s="11">
        <f t="shared" si="10"/>
        <v>0.95453530665697373</v>
      </c>
      <c r="Q33" s="11">
        <f t="shared" si="10"/>
        <v>1.3291968007953042E-2</v>
      </c>
      <c r="R33" s="11">
        <f t="shared" si="10"/>
        <v>1.5505451085254383</v>
      </c>
      <c r="S33" s="11">
        <f t="shared" si="10"/>
        <v>1.1653803200002981</v>
      </c>
      <c r="T33" s="11">
        <f t="shared" si="11"/>
        <v>0.87606501121988767</v>
      </c>
      <c r="U33" s="11">
        <f t="shared" si="11"/>
        <v>0.87526034051088608</v>
      </c>
      <c r="V33" s="11">
        <f t="shared" si="11"/>
        <v>1.1065031176998552</v>
      </c>
    </row>
    <row r="34" spans="1:22" x14ac:dyDescent="0.25">
      <c r="A34" s="140"/>
      <c r="B34" s="11">
        <f t="shared" ref="B34:M34" si="17">IF(B11="","",(B11/$O$23))</f>
        <v>3.6235727006946938E-2</v>
      </c>
      <c r="C34" s="11">
        <f t="shared" si="17"/>
        <v>6.5246447700794477E-2</v>
      </c>
      <c r="D34" s="11">
        <f t="shared" si="17"/>
        <v>5.7634007342620218E-2</v>
      </c>
      <c r="E34" s="11">
        <f t="shared" si="17"/>
        <v>0.30259024672044799</v>
      </c>
      <c r="F34" s="11">
        <f t="shared" si="17"/>
        <v>1.1268923665115422</v>
      </c>
      <c r="G34" s="11">
        <f t="shared" si="17"/>
        <v>1.3354085180674384</v>
      </c>
      <c r="H34" s="11">
        <f t="shared" si="17"/>
        <v>1.0770921904099962</v>
      </c>
      <c r="I34" s="11">
        <f t="shared" si="17"/>
        <v>6.0524861371255748E-2</v>
      </c>
      <c r="J34" s="11">
        <f t="shared" si="17"/>
        <v>7.5106857023798726E-2</v>
      </c>
      <c r="K34" s="11">
        <f t="shared" si="17"/>
        <v>1.1216598781445422</v>
      </c>
      <c r="L34" s="11">
        <f t="shared" si="17"/>
        <v>0.99368317527745043</v>
      </c>
      <c r="M34" s="11">
        <f t="shared" si="17"/>
        <v>1.7128757158948276</v>
      </c>
      <c r="N34" s="6"/>
      <c r="O34" s="11">
        <f t="shared" si="10"/>
        <v>0.99264859865159116</v>
      </c>
      <c r="P34" s="11">
        <f t="shared" si="10"/>
        <v>1.4291845870434712</v>
      </c>
      <c r="Q34" s="11">
        <f t="shared" si="10"/>
        <v>0.27548263611614399</v>
      </c>
      <c r="R34" s="11">
        <f t="shared" si="10"/>
        <v>1.4969259396938686</v>
      </c>
      <c r="S34" s="11">
        <f t="shared" si="10"/>
        <v>1.6352611813704894</v>
      </c>
      <c r="T34" s="11">
        <f t="shared" si="11"/>
        <v>1.0772284309533193</v>
      </c>
      <c r="U34" s="11">
        <f t="shared" si="11"/>
        <v>1.1190798228553622</v>
      </c>
      <c r="V34" s="11">
        <f t="shared" si="11"/>
        <v>1.6693596348540563</v>
      </c>
    </row>
    <row r="35" spans="1:22" x14ac:dyDescent="0.25">
      <c r="A35" s="140"/>
      <c r="B35" s="11">
        <f t="shared" ref="B35:M35" si="18">IF(B12="","",(B12/$O$23))</f>
        <v>4.3435188218173264E-2</v>
      </c>
      <c r="C35" s="11">
        <f t="shared" si="18"/>
        <v>0.191009241738887</v>
      </c>
      <c r="D35" s="11">
        <f t="shared" si="18"/>
        <v>4.1574653298418147E-2</v>
      </c>
      <c r="E35" s="11">
        <f t="shared" si="18"/>
        <v>0.40063234770928291</v>
      </c>
      <c r="F35" s="11">
        <f t="shared" si="18"/>
        <v>0.55418395506829454</v>
      </c>
      <c r="G35" s="11">
        <f t="shared" si="18"/>
        <v>1.0508488557523976</v>
      </c>
      <c r="H35" s="11">
        <f t="shared" si="18"/>
        <v>1.2477206983711537</v>
      </c>
      <c r="I35" s="11">
        <f t="shared" si="18"/>
        <v>9.3724978772286444E-2</v>
      </c>
      <c r="J35" s="11">
        <f t="shared" si="18"/>
        <v>0.94531352488079623</v>
      </c>
      <c r="K35" s="11">
        <f t="shared" si="18"/>
        <v>1.3230021135910852</v>
      </c>
      <c r="L35" s="11" t="str">
        <f t="shared" si="18"/>
        <v/>
      </c>
      <c r="M35" s="11">
        <f t="shared" si="18"/>
        <v>1.2253602191982615</v>
      </c>
      <c r="N35" s="6"/>
      <c r="O35" s="11">
        <f t="shared" si="10"/>
        <v>1.3182634971936311</v>
      </c>
      <c r="P35" s="11">
        <f t="shared" si="10"/>
        <v>1.488087334445787</v>
      </c>
      <c r="Q35" s="11">
        <f t="shared" si="10"/>
        <v>0</v>
      </c>
      <c r="R35" s="11">
        <f t="shared" si="10"/>
        <v>1.0419336151986971</v>
      </c>
      <c r="S35" s="11">
        <f t="shared" si="10"/>
        <v>1.1004829886917689</v>
      </c>
      <c r="T35" s="11">
        <f t="shared" si="11"/>
        <v>1.6333325261790728</v>
      </c>
      <c r="U35" s="11">
        <f t="shared" si="11"/>
        <v>1.206984775917568</v>
      </c>
      <c r="V35" s="11">
        <f t="shared" si="11"/>
        <v>1.2005942429323222</v>
      </c>
    </row>
    <row r="36" spans="1:22" x14ac:dyDescent="0.25">
      <c r="A36" s="140"/>
      <c r="B36" s="11" t="str">
        <f t="shared" ref="B36:M36" si="19">IF(B13="","",(B13/$O$23))</f>
        <v/>
      </c>
      <c r="C36" s="11" t="str">
        <f t="shared" si="19"/>
        <v/>
      </c>
      <c r="D36" s="11" t="str">
        <f t="shared" si="19"/>
        <v/>
      </c>
      <c r="E36" s="11" t="str">
        <f t="shared" si="19"/>
        <v/>
      </c>
      <c r="F36" s="11" t="str">
        <f t="shared" si="19"/>
        <v/>
      </c>
      <c r="G36" s="11" t="str">
        <f t="shared" si="19"/>
        <v/>
      </c>
      <c r="H36" s="11" t="str">
        <f t="shared" si="19"/>
        <v/>
      </c>
      <c r="I36" s="11" t="str">
        <f t="shared" si="19"/>
        <v/>
      </c>
      <c r="J36" s="11" t="str">
        <f t="shared" si="19"/>
        <v/>
      </c>
      <c r="K36" s="11" t="str">
        <f t="shared" si="19"/>
        <v/>
      </c>
      <c r="L36" s="11" t="str">
        <f t="shared" si="19"/>
        <v/>
      </c>
      <c r="M36" s="11" t="str">
        <f t="shared" si="19"/>
        <v/>
      </c>
      <c r="N36" s="6"/>
      <c r="O36" s="11">
        <f t="shared" si="10"/>
        <v>1.3001094447958375</v>
      </c>
      <c r="P36" s="11" t="str">
        <f t="shared" si="10"/>
        <v/>
      </c>
      <c r="Q36" s="11" t="str">
        <f t="shared" si="10"/>
        <v/>
      </c>
      <c r="R36" s="11" t="str">
        <f t="shared" si="10"/>
        <v/>
      </c>
      <c r="S36" s="11" t="str">
        <f t="shared" si="10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x14ac:dyDescent="0.25">
      <c r="A37" s="140"/>
      <c r="B37" s="11" t="str">
        <f t="shared" ref="B37:M37" si="20">IF(B14="","",(B14/$O$23))</f>
        <v/>
      </c>
      <c r="C37" s="11" t="str">
        <f t="shared" si="20"/>
        <v/>
      </c>
      <c r="D37" s="11" t="str">
        <f t="shared" si="20"/>
        <v/>
      </c>
      <c r="E37" s="11" t="str">
        <f t="shared" si="20"/>
        <v/>
      </c>
      <c r="F37" s="11" t="str">
        <f t="shared" si="20"/>
        <v/>
      </c>
      <c r="G37" s="11" t="str">
        <f t="shared" si="20"/>
        <v/>
      </c>
      <c r="H37" s="11" t="str">
        <f t="shared" si="20"/>
        <v/>
      </c>
      <c r="I37" s="11" t="str">
        <f t="shared" si="20"/>
        <v/>
      </c>
      <c r="J37" s="11" t="str">
        <f t="shared" si="20"/>
        <v/>
      </c>
      <c r="K37" s="11" t="str">
        <f t="shared" si="20"/>
        <v/>
      </c>
      <c r="L37" s="11" t="str">
        <f t="shared" si="20"/>
        <v/>
      </c>
      <c r="M37" s="11" t="str">
        <f t="shared" si="20"/>
        <v/>
      </c>
      <c r="N37" s="6"/>
      <c r="O37" s="11">
        <f t="shared" si="10"/>
        <v>1.1828233670626247</v>
      </c>
      <c r="P37" s="11" t="str">
        <f t="shared" si="10"/>
        <v/>
      </c>
      <c r="Q37" s="11" t="str">
        <f t="shared" si="10"/>
        <v/>
      </c>
      <c r="R37" s="11" t="str">
        <f t="shared" si="10"/>
        <v/>
      </c>
      <c r="S37" s="11" t="str">
        <f t="shared" si="10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x14ac:dyDescent="0.25">
      <c r="A38" s="140"/>
      <c r="B38" s="11" t="str">
        <f t="shared" ref="B38:M38" si="21">IF(B15="","",(B15/$O$23))</f>
        <v/>
      </c>
      <c r="C38" s="11" t="str">
        <f t="shared" si="21"/>
        <v/>
      </c>
      <c r="D38" s="11" t="str">
        <f t="shared" si="21"/>
        <v/>
      </c>
      <c r="E38" s="11" t="str">
        <f t="shared" si="21"/>
        <v/>
      </c>
      <c r="F38" s="11" t="str">
        <f t="shared" si="21"/>
        <v/>
      </c>
      <c r="G38" s="11" t="str">
        <f t="shared" si="21"/>
        <v/>
      </c>
      <c r="H38" s="11" t="str">
        <f t="shared" si="21"/>
        <v/>
      </c>
      <c r="I38" s="11" t="str">
        <f t="shared" si="21"/>
        <v/>
      </c>
      <c r="J38" s="11" t="str">
        <f t="shared" si="21"/>
        <v/>
      </c>
      <c r="K38" s="11" t="str">
        <f t="shared" si="21"/>
        <v/>
      </c>
      <c r="L38" s="11" t="str">
        <f t="shared" si="21"/>
        <v/>
      </c>
      <c r="M38" s="11" t="str">
        <f t="shared" si="21"/>
        <v/>
      </c>
      <c r="N38" s="6"/>
      <c r="O38" s="11">
        <f t="shared" ref="O38:S43" si="22">IF(O15="","",(O15/$O$23))</f>
        <v>0.57701276110885968</v>
      </c>
      <c r="P38" s="11" t="str">
        <f t="shared" si="22"/>
        <v/>
      </c>
      <c r="Q38" s="11" t="str">
        <f t="shared" si="22"/>
        <v/>
      </c>
      <c r="R38" s="11" t="str">
        <f t="shared" si="22"/>
        <v/>
      </c>
      <c r="S38" s="11" t="str">
        <f t="shared" si="22"/>
        <v/>
      </c>
      <c r="T38" s="11" t="str">
        <f t="shared" si="11"/>
        <v/>
      </c>
      <c r="U38" s="11" t="str">
        <f t="shared" si="11"/>
        <v/>
      </c>
      <c r="V38" s="11" t="str">
        <f t="shared" si="11"/>
        <v/>
      </c>
    </row>
    <row r="39" spans="1:22" x14ac:dyDescent="0.25">
      <c r="A39" s="140"/>
      <c r="B39" s="11" t="str">
        <f t="shared" ref="B39:M39" si="23">IF(B16="","",(B16/$O$23))</f>
        <v/>
      </c>
      <c r="C39" s="11" t="str">
        <f t="shared" si="23"/>
        <v/>
      </c>
      <c r="D39" s="11" t="str">
        <f t="shared" si="23"/>
        <v/>
      </c>
      <c r="E39" s="11" t="str">
        <f t="shared" si="23"/>
        <v/>
      </c>
      <c r="F39" s="11" t="str">
        <f t="shared" si="23"/>
        <v/>
      </c>
      <c r="G39" s="11" t="str">
        <f t="shared" si="23"/>
        <v/>
      </c>
      <c r="H39" s="11" t="str">
        <f t="shared" si="23"/>
        <v/>
      </c>
      <c r="I39" s="11" t="str">
        <f t="shared" si="23"/>
        <v/>
      </c>
      <c r="J39" s="11" t="str">
        <f t="shared" si="23"/>
        <v/>
      </c>
      <c r="K39" s="11" t="str">
        <f t="shared" si="23"/>
        <v/>
      </c>
      <c r="L39" s="11" t="str">
        <f t="shared" si="23"/>
        <v/>
      </c>
      <c r="M39" s="11" t="str">
        <f t="shared" si="23"/>
        <v/>
      </c>
      <c r="N39" s="6"/>
      <c r="O39" s="11">
        <f t="shared" si="22"/>
        <v>1.021318717987131</v>
      </c>
      <c r="P39" s="11" t="str">
        <f t="shared" si="22"/>
        <v/>
      </c>
      <c r="Q39" s="11" t="str">
        <f t="shared" si="22"/>
        <v/>
      </c>
      <c r="R39" s="11" t="str">
        <f t="shared" si="22"/>
        <v/>
      </c>
      <c r="S39" s="11" t="str">
        <f t="shared" si="22"/>
        <v/>
      </c>
      <c r="T39" s="11" t="str">
        <f t="shared" si="11"/>
        <v/>
      </c>
      <c r="U39" s="11" t="str">
        <f t="shared" si="11"/>
        <v/>
      </c>
      <c r="V39" s="11" t="str">
        <f t="shared" si="11"/>
        <v/>
      </c>
    </row>
    <row r="40" spans="1:22" x14ac:dyDescent="0.25">
      <c r="A40" s="140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si="22"/>
        <v>1.0736563742080685</v>
      </c>
      <c r="P40" s="11" t="str">
        <f t="shared" si="22"/>
        <v/>
      </c>
      <c r="Q40" s="11" t="str">
        <f t="shared" si="22"/>
        <v/>
      </c>
      <c r="R40" s="11" t="str">
        <f t="shared" si="22"/>
        <v/>
      </c>
      <c r="S40" s="11" t="str">
        <f t="shared" si="22"/>
        <v/>
      </c>
      <c r="T40" s="11" t="str">
        <f t="shared" si="11"/>
        <v/>
      </c>
      <c r="U40" s="11" t="str">
        <f t="shared" si="11"/>
        <v/>
      </c>
      <c r="V40" s="11" t="str">
        <f t="shared" si="11"/>
        <v/>
      </c>
    </row>
    <row r="41" spans="1:22" x14ac:dyDescent="0.25">
      <c r="A41" s="140"/>
      <c r="B41" s="11" t="str">
        <f t="shared" ref="B41:M41" si="25">IF(B18="","",(B18/$O$23))</f>
        <v/>
      </c>
      <c r="C41" s="11" t="str">
        <f t="shared" si="25"/>
        <v/>
      </c>
      <c r="D41" s="11" t="str">
        <f t="shared" si="25"/>
        <v/>
      </c>
      <c r="E41" s="11" t="str">
        <f t="shared" si="25"/>
        <v/>
      </c>
      <c r="F41" s="11" t="str">
        <f t="shared" si="25"/>
        <v/>
      </c>
      <c r="G41" s="11" t="str">
        <f t="shared" si="25"/>
        <v/>
      </c>
      <c r="H41" s="11" t="str">
        <f t="shared" si="25"/>
        <v/>
      </c>
      <c r="I41" s="11" t="str">
        <f t="shared" si="25"/>
        <v/>
      </c>
      <c r="J41" s="11" t="str">
        <f t="shared" si="25"/>
        <v/>
      </c>
      <c r="K41" s="11" t="str">
        <f t="shared" si="25"/>
        <v/>
      </c>
      <c r="L41" s="11" t="str">
        <f t="shared" si="25"/>
        <v/>
      </c>
      <c r="M41" s="11" t="str">
        <f t="shared" si="25"/>
        <v/>
      </c>
      <c r="N41" s="6"/>
      <c r="O41" s="11">
        <f t="shared" si="22"/>
        <v>0.64188880483249466</v>
      </c>
      <c r="P41" s="11" t="str">
        <f t="shared" si="22"/>
        <v/>
      </c>
      <c r="Q41" s="11" t="str">
        <f t="shared" si="22"/>
        <v/>
      </c>
      <c r="R41" s="11" t="str">
        <f t="shared" si="22"/>
        <v/>
      </c>
      <c r="S41" s="11" t="str">
        <f t="shared" si="22"/>
        <v/>
      </c>
      <c r="T41" s="11" t="str">
        <f t="shared" si="11"/>
        <v/>
      </c>
      <c r="U41" s="11" t="str">
        <f t="shared" si="11"/>
        <v/>
      </c>
      <c r="V41" s="11" t="str">
        <f t="shared" si="11"/>
        <v/>
      </c>
    </row>
    <row r="42" spans="1:22" x14ac:dyDescent="0.25">
      <c r="A42" s="140"/>
      <c r="B42" s="11" t="str">
        <f t="shared" ref="B42:M42" si="26">IF(B19="","",(B19/$O$23))</f>
        <v/>
      </c>
      <c r="C42" s="11" t="str">
        <f t="shared" si="26"/>
        <v/>
      </c>
      <c r="D42" s="11" t="str">
        <f t="shared" si="26"/>
        <v/>
      </c>
      <c r="E42" s="11" t="str">
        <f t="shared" si="26"/>
        <v/>
      </c>
      <c r="F42" s="11" t="str">
        <f t="shared" si="26"/>
        <v/>
      </c>
      <c r="G42" s="11" t="str">
        <f t="shared" si="26"/>
        <v/>
      </c>
      <c r="H42" s="11" t="str">
        <f t="shared" si="26"/>
        <v/>
      </c>
      <c r="I42" s="11" t="str">
        <f t="shared" si="26"/>
        <v/>
      </c>
      <c r="J42" s="11" t="str">
        <f t="shared" si="26"/>
        <v/>
      </c>
      <c r="K42" s="11" t="str">
        <f t="shared" si="26"/>
        <v/>
      </c>
      <c r="L42" s="11" t="str">
        <f t="shared" si="26"/>
        <v/>
      </c>
      <c r="M42" s="11" t="str">
        <f t="shared" si="26"/>
        <v/>
      </c>
      <c r="N42" s="6"/>
      <c r="O42" s="11">
        <f t="shared" si="22"/>
        <v>0.90546742347578901</v>
      </c>
      <c r="P42" s="11" t="str">
        <f t="shared" si="22"/>
        <v/>
      </c>
      <c r="Q42" s="11" t="str">
        <f t="shared" si="22"/>
        <v/>
      </c>
      <c r="R42" s="11" t="str">
        <f t="shared" si="22"/>
        <v/>
      </c>
      <c r="S42" s="11" t="str">
        <f t="shared" si="22"/>
        <v/>
      </c>
      <c r="T42" s="11" t="str">
        <f t="shared" si="11"/>
        <v/>
      </c>
      <c r="U42" s="11" t="str">
        <f t="shared" si="11"/>
        <v/>
      </c>
      <c r="V42" s="11" t="str">
        <f t="shared" si="11"/>
        <v/>
      </c>
    </row>
    <row r="43" spans="1:22" x14ac:dyDescent="0.25">
      <c r="A43" s="140"/>
      <c r="B43" s="11" t="str">
        <f t="shared" ref="B43:M43" si="27">IF(B20="","",(B20/$O$23))</f>
        <v/>
      </c>
      <c r="C43" s="11" t="str">
        <f t="shared" si="27"/>
        <v/>
      </c>
      <c r="D43" s="11" t="str">
        <f t="shared" si="27"/>
        <v/>
      </c>
      <c r="E43" s="11" t="str">
        <f t="shared" si="27"/>
        <v/>
      </c>
      <c r="F43" s="11" t="str">
        <f t="shared" si="27"/>
        <v/>
      </c>
      <c r="G43" s="11" t="str">
        <f t="shared" si="27"/>
        <v/>
      </c>
      <c r="H43" s="11" t="str">
        <f t="shared" si="27"/>
        <v/>
      </c>
      <c r="I43" s="11" t="str">
        <f t="shared" si="27"/>
        <v/>
      </c>
      <c r="J43" s="11" t="str">
        <f t="shared" si="27"/>
        <v/>
      </c>
      <c r="K43" s="11" t="str">
        <f t="shared" si="27"/>
        <v/>
      </c>
      <c r="L43" s="11" t="str">
        <f t="shared" si="27"/>
        <v/>
      </c>
      <c r="M43" s="11" t="str">
        <f t="shared" si="27"/>
        <v/>
      </c>
      <c r="N43" s="6"/>
      <c r="O43" s="11">
        <f t="shared" si="22"/>
        <v>1.2024505203350986</v>
      </c>
      <c r="P43" s="11" t="str">
        <f t="shared" si="22"/>
        <v/>
      </c>
      <c r="Q43" s="11" t="str">
        <f t="shared" si="22"/>
        <v/>
      </c>
      <c r="R43" s="11" t="str">
        <f t="shared" si="22"/>
        <v/>
      </c>
      <c r="S43" s="11" t="str">
        <f t="shared" si="22"/>
        <v/>
      </c>
      <c r="T43" s="11" t="str">
        <f t="shared" si="11"/>
        <v/>
      </c>
      <c r="U43" s="11" t="str">
        <f t="shared" si="11"/>
        <v/>
      </c>
      <c r="V43" s="11" t="str">
        <f t="shared" si="11"/>
        <v/>
      </c>
    </row>
    <row r="44" spans="1:22" x14ac:dyDescent="0.2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53" t="str">
        <f t="shared" ref="A45" si="28">A4</f>
        <v>Group names</v>
      </c>
      <c r="B45" s="7" t="str">
        <f t="shared" ref="B45:R45" si="29">B4</f>
        <v>Solvent control</v>
      </c>
      <c r="C45" s="7" t="str">
        <f t="shared" si="29"/>
        <v>EE2-33.8ng/L</v>
      </c>
      <c r="D45" s="7" t="str">
        <f t="shared" si="29"/>
        <v>EE2-50.6ng/L</v>
      </c>
      <c r="E45" s="7" t="str">
        <f t="shared" si="29"/>
        <v>EE2-76ng/L</v>
      </c>
      <c r="F45" s="7" t="str">
        <f t="shared" si="29"/>
        <v>EE2-114ng/L</v>
      </c>
      <c r="G45" s="7" t="str">
        <f t="shared" si="29"/>
        <v>EE2-170.9ng/L</v>
      </c>
      <c r="H45" s="7" t="str">
        <f t="shared" si="29"/>
        <v>EE2-488ng/L</v>
      </c>
      <c r="I45" s="7" t="str">
        <f t="shared" si="29"/>
        <v>testosterone-3.7µg/L</v>
      </c>
      <c r="J45" s="7" t="str">
        <f t="shared" si="29"/>
        <v>testosterone-11µg/L</v>
      </c>
      <c r="K45" s="7" t="str">
        <f t="shared" ref="K45:M45" si="30">K4</f>
        <v>testosterone-33µg/L</v>
      </c>
      <c r="L45" s="7" t="str">
        <f t="shared" si="30"/>
        <v>testosterone-100µg/L</v>
      </c>
      <c r="M45" s="7" t="str">
        <f t="shared" si="30"/>
        <v>testosterone-300µg/L</v>
      </c>
      <c r="N45" s="7"/>
      <c r="O45" s="7" t="str">
        <f t="shared" si="29"/>
        <v>Testo -30µg/L</v>
      </c>
      <c r="P45" s="7" t="str">
        <f t="shared" si="29"/>
        <v>Testo 30µg/L + EE2 -64ng/L</v>
      </c>
      <c r="Q45" s="7" t="str">
        <f t="shared" si="29"/>
        <v>Testo 30µg/L + FAD-10mg/L</v>
      </c>
      <c r="R45" s="7" t="str">
        <f t="shared" si="29"/>
        <v>testosterone-3.7µg/L + Testostérone</v>
      </c>
      <c r="S45" s="7" t="str">
        <f t="shared" ref="S45:V45" si="31">S4</f>
        <v>testosterone-11µg/L + Testostérone</v>
      </c>
      <c r="T45" s="7" t="str">
        <f t="shared" si="31"/>
        <v>testosterone-33µg/L + Testostérone</v>
      </c>
      <c r="U45" s="7" t="str">
        <f t="shared" si="31"/>
        <v>testosterone-100µg/L + Testostérone</v>
      </c>
      <c r="V45" s="7" t="str">
        <f t="shared" si="31"/>
        <v>testosterone-300µg/L + Testostérone</v>
      </c>
    </row>
    <row r="46" spans="1:22" x14ac:dyDescent="0.25">
      <c r="A46" s="8" t="s">
        <v>0</v>
      </c>
      <c r="B46" s="10">
        <f t="shared" ref="B46:H46" si="32">AVERAGE(B28:B43)</f>
        <v>5.6348237215009124E-2</v>
      </c>
      <c r="C46" s="10">
        <f t="shared" si="32"/>
        <v>0.10540813755185856</v>
      </c>
      <c r="D46" s="10">
        <f t="shared" si="32"/>
        <v>5.7012942053331253E-2</v>
      </c>
      <c r="E46" s="10">
        <f t="shared" si="32"/>
        <v>0.34082168481122838</v>
      </c>
      <c r="F46" s="10">
        <f t="shared" si="32"/>
        <v>0.89112704191179537</v>
      </c>
      <c r="G46" s="10">
        <f t="shared" si="32"/>
        <v>1.2244805097525078</v>
      </c>
      <c r="H46" s="10">
        <f t="shared" si="32"/>
        <v>1.4578999424969112</v>
      </c>
      <c r="I46" s="10">
        <f>AVERAGE(I28:I43)</f>
        <v>5.6279584753725256E-2</v>
      </c>
      <c r="J46" s="9">
        <f>AVERAGE(J28:J43)</f>
        <v>0.29170484018478687</v>
      </c>
      <c r="K46" s="9">
        <f t="shared" ref="K46:M46" si="33">AVERAGE(K28:K43)</f>
        <v>1.2578211252138405</v>
      </c>
      <c r="L46" s="9">
        <f t="shared" si="33"/>
        <v>1.2117829975527261</v>
      </c>
      <c r="M46" s="9">
        <f t="shared" si="33"/>
        <v>1.3242059265168535</v>
      </c>
      <c r="N46" s="8" t="s">
        <v>0</v>
      </c>
      <c r="O46" s="10">
        <f t="shared" ref="O46:R46" si="34">AVERAGE(O28:O43)</f>
        <v>0.99999999999999989</v>
      </c>
      <c r="P46" s="10">
        <f t="shared" si="34"/>
        <v>1.3190559275413185</v>
      </c>
      <c r="Q46" s="10">
        <f t="shared" si="34"/>
        <v>6.5412490862969422E-2</v>
      </c>
      <c r="R46" s="10">
        <f t="shared" si="34"/>
        <v>1.25204633562166</v>
      </c>
      <c r="S46" s="10">
        <f t="shared" ref="S46:V46" si="35">AVERAGE(S28:S43)</f>
        <v>1.3052621047194841</v>
      </c>
      <c r="T46" s="10">
        <f t="shared" si="35"/>
        <v>1.1269604867832037</v>
      </c>
      <c r="U46" s="10">
        <f t="shared" si="35"/>
        <v>1.2722418674108098</v>
      </c>
      <c r="V46" s="10">
        <f t="shared" si="35"/>
        <v>1.3210761193477802</v>
      </c>
    </row>
    <row r="47" spans="1:22" x14ac:dyDescent="0.25">
      <c r="A47" s="8" t="s">
        <v>1</v>
      </c>
      <c r="B47" s="8">
        <f t="shared" ref="B47:J47" si="36">STDEV(B28:B43)</f>
        <v>3.2533589717574272E-2</v>
      </c>
      <c r="C47" s="8">
        <f t="shared" si="36"/>
        <v>4.8511488897970516E-2</v>
      </c>
      <c r="D47" s="8">
        <f t="shared" si="36"/>
        <v>5.4147542699875983E-2</v>
      </c>
      <c r="E47" s="8">
        <f t="shared" si="36"/>
        <v>0.15054026451335276</v>
      </c>
      <c r="F47" s="8">
        <f t="shared" si="36"/>
        <v>0.41222285976012368</v>
      </c>
      <c r="G47" s="8">
        <f t="shared" si="36"/>
        <v>0.1245337823103998</v>
      </c>
      <c r="H47" s="8">
        <f t="shared" si="36"/>
        <v>0.38557816525811578</v>
      </c>
      <c r="I47" s="8">
        <f t="shared" si="36"/>
        <v>2.7937676671999187E-2</v>
      </c>
      <c r="J47" s="8">
        <f t="shared" si="36"/>
        <v>0.31564269140645762</v>
      </c>
      <c r="K47" s="8">
        <f t="shared" ref="K47:M47" si="37">STDEV(K28:K43)</f>
        <v>0.17995286385758447</v>
      </c>
      <c r="L47" s="8">
        <f t="shared" si="37"/>
        <v>0.44505208402246782</v>
      </c>
      <c r="M47" s="8">
        <f t="shared" si="37"/>
        <v>0.39024558578153518</v>
      </c>
      <c r="N47" s="8" t="s">
        <v>1</v>
      </c>
      <c r="O47" s="8">
        <f t="shared" ref="O47:R47" si="38">STDEV(O28:O43)</f>
        <v>0.2985537808588592</v>
      </c>
      <c r="P47" s="8">
        <f t="shared" si="38"/>
        <v>0.18162243064341463</v>
      </c>
      <c r="Q47" s="8">
        <f t="shared" si="38"/>
        <v>8.7494292152115002E-2</v>
      </c>
      <c r="R47" s="8">
        <f t="shared" si="38"/>
        <v>0.19673104071311612</v>
      </c>
      <c r="S47" s="8">
        <f t="shared" ref="S47:V47" si="39">STDEV(S28:S43)</f>
        <v>0.33764146818183294</v>
      </c>
      <c r="T47" s="8">
        <f t="shared" si="39"/>
        <v>0.34796881824885573</v>
      </c>
      <c r="U47" s="8">
        <f t="shared" si="39"/>
        <v>0.32028165227450722</v>
      </c>
      <c r="V47" s="8">
        <f t="shared" si="39"/>
        <v>0.21494463689662646</v>
      </c>
    </row>
    <row r="48" spans="1:22" x14ac:dyDescent="0.25">
      <c r="A48" s="8" t="s">
        <v>2</v>
      </c>
      <c r="B48" s="8">
        <f t="shared" ref="B48:J48" si="40" xml:space="preserve"> B47/SQRT(COUNT(B28:B43))</f>
        <v>1.1502360952818851E-2</v>
      </c>
      <c r="C48" s="8">
        <f t="shared" si="40"/>
        <v>1.7151401382605434E-2</v>
      </c>
      <c r="D48" s="8">
        <f t="shared" si="40"/>
        <v>1.9144047313835223E-2</v>
      </c>
      <c r="E48" s="8">
        <f t="shared" si="40"/>
        <v>5.3224020939504152E-2</v>
      </c>
      <c r="F48" s="8">
        <f t="shared" si="40"/>
        <v>0.14574278974824731</v>
      </c>
      <c r="G48" s="8">
        <f t="shared" si="40"/>
        <v>4.4029340979246503E-2</v>
      </c>
      <c r="H48" s="8">
        <f t="shared" si="40"/>
        <v>0.13632246766574047</v>
      </c>
      <c r="I48" s="8">
        <f t="shared" si="40"/>
        <v>9.8774603126839198E-3</v>
      </c>
      <c r="J48" s="8">
        <f t="shared" si="40"/>
        <v>0.11159654376273948</v>
      </c>
      <c r="K48" s="8">
        <f t="shared" ref="K48:M48" si="41" xml:space="preserve"> K47/SQRT(COUNT(K28:K43))</f>
        <v>6.3622945163818778E-2</v>
      </c>
      <c r="L48" s="8">
        <f t="shared" si="41"/>
        <v>0.16821387639921037</v>
      </c>
      <c r="M48" s="8">
        <f t="shared" si="41"/>
        <v>0.13797265001712003</v>
      </c>
      <c r="N48" s="8" t="s">
        <v>2</v>
      </c>
      <c r="O48" s="8">
        <f t="shared" ref="O48:R48" si="42" xml:space="preserve"> O47/SQRT(COUNT(O28:O43))</f>
        <v>7.4638445214714799E-2</v>
      </c>
      <c r="P48" s="8">
        <f t="shared" si="42"/>
        <v>6.4213226161770942E-2</v>
      </c>
      <c r="Q48" s="8">
        <f t="shared" si="42"/>
        <v>3.0933903647938722E-2</v>
      </c>
      <c r="R48" s="8">
        <f t="shared" si="42"/>
        <v>6.9554926479065582E-2</v>
      </c>
      <c r="S48" s="8">
        <f t="shared" ref="S48:V48" si="43" xml:space="preserve"> S47/SQRT(COUNT(S28:S43))</f>
        <v>0.11937428588057798</v>
      </c>
      <c r="T48" s="8">
        <f t="shared" si="43"/>
        <v>0.12302555551261757</v>
      </c>
      <c r="U48" s="8">
        <f t="shared" si="43"/>
        <v>0.11323666410646793</v>
      </c>
      <c r="V48" s="8">
        <f t="shared" si="43"/>
        <v>7.599440516464237E-2</v>
      </c>
    </row>
    <row r="49" spans="1:22" ht="15.75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7" thickBot="1" x14ac:dyDescent="0.4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customFormat="1" ht="15.75" thickBot="1" x14ac:dyDescent="0.3"/>
    <row r="52" spans="1:22" x14ac:dyDescent="0.25">
      <c r="A52" s="29" t="str">
        <f t="shared" ref="A52" si="44">A27</f>
        <v>Group names</v>
      </c>
      <c r="B52" s="30" t="str">
        <f t="shared" ref="B52:H52" si="45">B27</f>
        <v>Solvent control</v>
      </c>
      <c r="C52" s="30" t="str">
        <f t="shared" si="45"/>
        <v>EE2-33.8ng/L</v>
      </c>
      <c r="D52" s="30" t="str">
        <f t="shared" si="45"/>
        <v>EE2-50.6ng/L</v>
      </c>
      <c r="E52" s="30" t="str">
        <f t="shared" si="45"/>
        <v>EE2-76ng/L</v>
      </c>
      <c r="F52" s="30" t="str">
        <f t="shared" si="45"/>
        <v>EE2-114ng/L</v>
      </c>
      <c r="G52" s="30" t="str">
        <f t="shared" si="45"/>
        <v>EE2-170.9ng/L</v>
      </c>
      <c r="H52" s="30" t="str">
        <f t="shared" si="45"/>
        <v>EE2-488ng/L</v>
      </c>
      <c r="I52" s="30" t="str">
        <f>I4</f>
        <v>testosterone-3.7µg/L</v>
      </c>
      <c r="J52" s="30" t="str">
        <f>J4</f>
        <v>testosterone-11µg/L</v>
      </c>
      <c r="K52" s="30" t="str">
        <f t="shared" ref="K52:M52" si="46">K4</f>
        <v>testosterone-33µg/L</v>
      </c>
      <c r="L52" s="30" t="str">
        <f t="shared" si="46"/>
        <v>testosterone-100µg/L</v>
      </c>
      <c r="M52" s="30" t="str">
        <f t="shared" si="46"/>
        <v>testosterone-300µg/L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testosterone-3.7µg/L + Testostérone</v>
      </c>
      <c r="S52" s="30" t="str">
        <f t="shared" ref="S52:V52" si="47">S27</f>
        <v>testosterone-11µg/L + Testostérone</v>
      </c>
      <c r="T52" s="30" t="str">
        <f t="shared" si="47"/>
        <v>testosterone-33µg/L + Testostérone</v>
      </c>
      <c r="U52" s="30" t="str">
        <f t="shared" si="47"/>
        <v>testosterone-100µg/L + Testostérone</v>
      </c>
      <c r="V52" s="30" t="str">
        <f t="shared" si="47"/>
        <v>testosterone-300µg/L + Testostérone</v>
      </c>
    </row>
    <row r="53" spans="1:22" s="3" customFormat="1" x14ac:dyDescent="0.25">
      <c r="A53" s="45" t="s">
        <v>10</v>
      </c>
      <c r="B53" s="77">
        <f t="shared" ref="B53" si="48">B46</f>
        <v>5.6348237215009124E-2</v>
      </c>
      <c r="C53" s="77">
        <f t="shared" ref="C53:V53" si="49">C46</f>
        <v>0.10540813755185856</v>
      </c>
      <c r="D53" s="77">
        <f t="shared" si="49"/>
        <v>5.7012942053331253E-2</v>
      </c>
      <c r="E53" s="77">
        <f t="shared" si="49"/>
        <v>0.34082168481122838</v>
      </c>
      <c r="F53" s="77">
        <f t="shared" si="49"/>
        <v>0.89112704191179537</v>
      </c>
      <c r="G53" s="77">
        <f t="shared" si="49"/>
        <v>1.2244805097525078</v>
      </c>
      <c r="H53" s="77">
        <f t="shared" si="49"/>
        <v>1.4578999424969112</v>
      </c>
      <c r="I53" s="77">
        <f t="shared" si="49"/>
        <v>5.6279584753725256E-2</v>
      </c>
      <c r="J53" s="77">
        <f t="shared" si="49"/>
        <v>0.29170484018478687</v>
      </c>
      <c r="K53" s="77">
        <f t="shared" si="49"/>
        <v>1.2578211252138405</v>
      </c>
      <c r="L53" s="77">
        <f t="shared" si="49"/>
        <v>1.2117829975527261</v>
      </c>
      <c r="M53" s="77">
        <f t="shared" si="49"/>
        <v>1.3242059265168535</v>
      </c>
      <c r="N53" s="77"/>
      <c r="O53" s="77">
        <f t="shared" si="49"/>
        <v>0.99999999999999989</v>
      </c>
      <c r="P53" s="77">
        <f t="shared" si="49"/>
        <v>1.3190559275413185</v>
      </c>
      <c r="Q53" s="77">
        <f t="shared" si="49"/>
        <v>6.5412490862969422E-2</v>
      </c>
      <c r="R53" s="77">
        <f t="shared" si="49"/>
        <v>1.25204633562166</v>
      </c>
      <c r="S53" s="77">
        <f t="shared" si="49"/>
        <v>1.3052621047194841</v>
      </c>
      <c r="T53" s="77">
        <f t="shared" si="49"/>
        <v>1.1269604867832037</v>
      </c>
      <c r="U53" s="77">
        <f t="shared" si="49"/>
        <v>1.2722418674108098</v>
      </c>
      <c r="V53" s="77">
        <f t="shared" si="49"/>
        <v>1.3210761193477802</v>
      </c>
    </row>
    <row r="54" spans="1:22" s="3" customFormat="1" x14ac:dyDescent="0.25">
      <c r="A54" s="45" t="s">
        <v>2</v>
      </c>
      <c r="B54" s="77">
        <f t="shared" ref="B54" si="50">B48</f>
        <v>1.1502360952818851E-2</v>
      </c>
      <c r="C54" s="77">
        <f t="shared" ref="C54:V54" si="51">C48</f>
        <v>1.7151401382605434E-2</v>
      </c>
      <c r="D54" s="77">
        <f t="shared" si="51"/>
        <v>1.9144047313835223E-2</v>
      </c>
      <c r="E54" s="77">
        <f t="shared" si="51"/>
        <v>5.3224020939504152E-2</v>
      </c>
      <c r="F54" s="77">
        <f t="shared" si="51"/>
        <v>0.14574278974824731</v>
      </c>
      <c r="G54" s="77">
        <f t="shared" si="51"/>
        <v>4.4029340979246503E-2</v>
      </c>
      <c r="H54" s="77">
        <f t="shared" si="51"/>
        <v>0.13632246766574047</v>
      </c>
      <c r="I54" s="77">
        <f t="shared" si="51"/>
        <v>9.8774603126839198E-3</v>
      </c>
      <c r="J54" s="77">
        <f t="shared" si="51"/>
        <v>0.11159654376273948</v>
      </c>
      <c r="K54" s="77">
        <f t="shared" si="51"/>
        <v>6.3622945163818778E-2</v>
      </c>
      <c r="L54" s="77">
        <f t="shared" si="51"/>
        <v>0.16821387639921037</v>
      </c>
      <c r="M54" s="77">
        <f t="shared" si="51"/>
        <v>0.13797265001712003</v>
      </c>
      <c r="N54" s="77"/>
      <c r="O54" s="77">
        <f t="shared" si="51"/>
        <v>7.4638445214714799E-2</v>
      </c>
      <c r="P54" s="77">
        <f t="shared" si="51"/>
        <v>6.4213226161770942E-2</v>
      </c>
      <c r="Q54" s="77">
        <f t="shared" si="51"/>
        <v>3.0933903647938722E-2</v>
      </c>
      <c r="R54" s="77">
        <f t="shared" si="51"/>
        <v>6.9554926479065582E-2</v>
      </c>
      <c r="S54" s="77">
        <f t="shared" si="51"/>
        <v>0.11937428588057798</v>
      </c>
      <c r="T54" s="77">
        <f t="shared" si="51"/>
        <v>0.12302555551261757</v>
      </c>
      <c r="U54" s="77">
        <f t="shared" si="51"/>
        <v>0.11323666410646793</v>
      </c>
      <c r="V54" s="77">
        <f t="shared" si="51"/>
        <v>7.599440516464237E-2</v>
      </c>
    </row>
    <row r="55" spans="1:22" s="3" customFormat="1" x14ac:dyDescent="0.25">
      <c r="A55" s="45" t="s">
        <v>14</v>
      </c>
      <c r="B55" s="77">
        <f>(B53*100/$B53)-100</f>
        <v>0</v>
      </c>
      <c r="C55" s="77">
        <f t="shared" ref="C55:M55" si="52">(C53*100/$B53)-100</f>
        <v>87.065545901020045</v>
      </c>
      <c r="D55" s="77">
        <f t="shared" si="52"/>
        <v>1.1796373252739016</v>
      </c>
      <c r="E55" s="77">
        <f t="shared" si="52"/>
        <v>504.84888553078963</v>
      </c>
      <c r="F55" s="77">
        <f t="shared" si="52"/>
        <v>1481.463921420476</v>
      </c>
      <c r="G55" s="77">
        <f t="shared" si="52"/>
        <v>2073.0591235360789</v>
      </c>
      <c r="H55" s="77">
        <f t="shared" si="52"/>
        <v>2487.3035511900266</v>
      </c>
      <c r="I55" s="77">
        <f t="shared" si="52"/>
        <v>-0.12183604080090049</v>
      </c>
      <c r="J55" s="77">
        <f t="shared" si="52"/>
        <v>417.6822818284852</v>
      </c>
      <c r="K55" s="77">
        <f t="shared" si="52"/>
        <v>2132.2279939554214</v>
      </c>
      <c r="L55" s="77">
        <f t="shared" si="52"/>
        <v>2050.5251227805065</v>
      </c>
      <c r="M55" s="77">
        <f t="shared" si="52"/>
        <v>2250.0396675481679</v>
      </c>
      <c r="N55" s="77"/>
      <c r="O55" s="77">
        <f t="shared" ref="O55:V55" si="53">(O53*100/$O53)-100</f>
        <v>0</v>
      </c>
      <c r="P55" s="77">
        <f t="shared" si="53"/>
        <v>31.905592754131874</v>
      </c>
      <c r="Q55" s="77">
        <f t="shared" si="53"/>
        <v>-93.458750913703057</v>
      </c>
      <c r="R55" s="77">
        <f t="shared" si="53"/>
        <v>25.204633562166009</v>
      </c>
      <c r="S55" s="77">
        <f t="shared" si="53"/>
        <v>30.526210471948446</v>
      </c>
      <c r="T55" s="77">
        <f t="shared" si="53"/>
        <v>12.696048678320381</v>
      </c>
      <c r="U55" s="77">
        <f t="shared" si="53"/>
        <v>27.224186741080999</v>
      </c>
      <c r="V55" s="77">
        <f t="shared" si="53"/>
        <v>32.107611934778049</v>
      </c>
    </row>
    <row r="56" spans="1:22" s="3" customFormat="1" x14ac:dyDescent="0.25">
      <c r="A56" s="45" t="s">
        <v>37</v>
      </c>
      <c r="B56" s="77">
        <f>[1]!SWTEST(B28:B43)</f>
        <v>0.34977069392948223</v>
      </c>
      <c r="C56" s="77">
        <f>[1]!SWTEST(C28:C43)</f>
        <v>0.42613350157535579</v>
      </c>
      <c r="D56" s="77">
        <f>[1]!SWTEST(D28:D43)</f>
        <v>0.4265635393197813</v>
      </c>
      <c r="E56" s="77">
        <f>[1]!SWTEST(E28:E43)</f>
        <v>0.61860158529849574</v>
      </c>
      <c r="F56" s="77">
        <f>[1]!SWTEST(F28:F43)</f>
        <v>0.6964118020042589</v>
      </c>
      <c r="G56" s="77">
        <f>[1]!SWTEST(G28:G43)</f>
        <v>0.9227884547156654</v>
      </c>
      <c r="H56" s="77">
        <f>[1]!SWTEST(H28:H43)</f>
        <v>0.89661829050543596</v>
      </c>
      <c r="I56" s="77">
        <f>[1]!SWTEST(I28:I43)</f>
        <v>0.47102406122788265</v>
      </c>
      <c r="J56" s="77">
        <f>[1]!SWTEST(J28:J43)</f>
        <v>2.7265536598391704E-2</v>
      </c>
      <c r="K56" s="77">
        <f>[1]!SWTEST(K28:K43)</f>
        <v>0.94558720690388764</v>
      </c>
      <c r="L56" s="77">
        <f>[1]!SWTEST(L28:L43)</f>
        <v>1.9550235914058578E-2</v>
      </c>
      <c r="M56" s="77">
        <f>[1]!SWTEST(M28:M43)</f>
        <v>0.49775626328694378</v>
      </c>
      <c r="N56" s="77"/>
      <c r="O56" s="77">
        <f>[1]!SWTEST(O28:O43)</f>
        <v>0.49685912591107262</v>
      </c>
      <c r="P56" s="77">
        <f>[1]!SWTEST(P28:P43)</f>
        <v>0.28176522368272505</v>
      </c>
      <c r="Q56" s="77">
        <f>[1]!SWTEST(Q28:Q43)</f>
        <v>6.4475239844730137E-4</v>
      </c>
      <c r="R56" s="77">
        <f>[1]!SWTEST(R28:R43)</f>
        <v>0.5846310563763768</v>
      </c>
      <c r="S56" s="77">
        <f>[1]!SWTEST(S28:S43)</f>
        <v>0.37253533548516493</v>
      </c>
      <c r="T56" s="77">
        <f>[1]!SWTEST(T28:T43)</f>
        <v>7.0735007313196152E-2</v>
      </c>
      <c r="U56" s="77">
        <f>[1]!SWTEST(U28:U43)</f>
        <v>5.4077760998691882E-2</v>
      </c>
      <c r="V56" s="77">
        <f>[1]!SWTEST(V28:V43)</f>
        <v>0.95095775967842189</v>
      </c>
    </row>
    <row r="57" spans="1:22" s="3" customFormat="1" x14ac:dyDescent="0.25">
      <c r="A57" s="45" t="s">
        <v>38</v>
      </c>
      <c r="B57" s="77" t="str">
        <f>IF(B56&gt;0.05,"Oui","Non")</f>
        <v>Oui</v>
      </c>
      <c r="C57" s="77" t="str">
        <f t="shared" ref="C57:V57" si="54">IF(C56&gt;0.05,"Oui","Non")</f>
        <v>Oui</v>
      </c>
      <c r="D57" s="77" t="str">
        <f t="shared" si="54"/>
        <v>Oui</v>
      </c>
      <c r="E57" s="77" t="str">
        <f t="shared" si="54"/>
        <v>Oui</v>
      </c>
      <c r="F57" s="77" t="str">
        <f t="shared" si="54"/>
        <v>Oui</v>
      </c>
      <c r="G57" s="77" t="str">
        <f t="shared" si="54"/>
        <v>Oui</v>
      </c>
      <c r="H57" s="77" t="str">
        <f t="shared" si="54"/>
        <v>Oui</v>
      </c>
      <c r="I57" s="77" t="str">
        <f t="shared" si="54"/>
        <v>Oui</v>
      </c>
      <c r="J57" s="77" t="str">
        <f t="shared" si="54"/>
        <v>Non</v>
      </c>
      <c r="K57" s="77" t="str">
        <f t="shared" si="54"/>
        <v>Oui</v>
      </c>
      <c r="L57" s="77" t="str">
        <f t="shared" si="54"/>
        <v>Non</v>
      </c>
      <c r="M57" s="77" t="str">
        <f t="shared" si="54"/>
        <v>Oui</v>
      </c>
      <c r="N57" s="77"/>
      <c r="O57" s="77" t="str">
        <f t="shared" si="54"/>
        <v>Oui</v>
      </c>
      <c r="P57" s="77" t="str">
        <f t="shared" si="54"/>
        <v>Oui</v>
      </c>
      <c r="Q57" s="77" t="str">
        <f t="shared" si="54"/>
        <v>Non</v>
      </c>
      <c r="R57" s="77" t="str">
        <f t="shared" si="54"/>
        <v>Oui</v>
      </c>
      <c r="S57" s="77" t="str">
        <f t="shared" si="54"/>
        <v>Oui</v>
      </c>
      <c r="T57" s="77" t="str">
        <f t="shared" si="54"/>
        <v>Oui</v>
      </c>
      <c r="U57" s="77" t="str">
        <f t="shared" si="54"/>
        <v>Oui</v>
      </c>
      <c r="V57" s="77" t="str">
        <f t="shared" si="54"/>
        <v>Oui</v>
      </c>
    </row>
    <row r="58" spans="1:22" s="3" customFormat="1" x14ac:dyDescent="0.25">
      <c r="A58" s="45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9"/>
      <c r="O58" s="80"/>
      <c r="P58" s="77"/>
      <c r="Q58" s="77"/>
      <c r="R58" s="77"/>
      <c r="S58" s="77"/>
      <c r="T58" s="77"/>
      <c r="U58" s="77"/>
      <c r="V58" s="77"/>
    </row>
    <row r="59" spans="1:22" s="3" customFormat="1" x14ac:dyDescent="0.25">
      <c r="A59" s="45" t="s">
        <v>39</v>
      </c>
      <c r="B59" s="81"/>
      <c r="C59" s="81" t="str">
        <f t="shared" ref="C59:O59" si="55">IF($B57="Non",IF(C57="Non","MW",IF(C57="Oui","MW","")),IF($B57="Oui",IF(C57="Oui","T-Test Welch",IF(C57="Non","MW",""))))</f>
        <v>T-Test Welch</v>
      </c>
      <c r="D59" s="81" t="str">
        <f t="shared" si="55"/>
        <v>T-Test Welch</v>
      </c>
      <c r="E59" s="81" t="str">
        <f t="shared" si="55"/>
        <v>T-Test Welch</v>
      </c>
      <c r="F59" s="81" t="str">
        <f t="shared" si="55"/>
        <v>T-Test Welch</v>
      </c>
      <c r="G59" s="81" t="str">
        <f t="shared" si="55"/>
        <v>T-Test Welch</v>
      </c>
      <c r="H59" s="81" t="str">
        <f t="shared" si="55"/>
        <v>T-Test Welch</v>
      </c>
      <c r="I59" s="81" t="str">
        <f t="shared" si="55"/>
        <v>T-Test Welch</v>
      </c>
      <c r="J59" s="81" t="str">
        <f t="shared" si="55"/>
        <v>MW</v>
      </c>
      <c r="K59" s="81" t="str">
        <f t="shared" si="55"/>
        <v>T-Test Welch</v>
      </c>
      <c r="L59" s="81" t="str">
        <f t="shared" si="55"/>
        <v>MW</v>
      </c>
      <c r="M59" s="81" t="str">
        <f t="shared" si="55"/>
        <v>T-Test Welch</v>
      </c>
      <c r="N59" s="81"/>
      <c r="O59" s="81" t="str">
        <f t="shared" si="55"/>
        <v>T-Test Welch</v>
      </c>
      <c r="P59" s="81" t="str">
        <f t="shared" ref="P59:V59" si="56">IF($O57="Non",IF(P57="Non","MW",IF(P57="Oui","MW","")),IF($O57="Oui",IF(P57="Oui","T-Test Welch",IF(P57="Non","MW",""))))</f>
        <v>T-Test Welch</v>
      </c>
      <c r="Q59" s="81" t="str">
        <f t="shared" si="56"/>
        <v>MW</v>
      </c>
      <c r="R59" s="81" t="str">
        <f t="shared" si="56"/>
        <v>T-Test Welch</v>
      </c>
      <c r="S59" s="81" t="str">
        <f t="shared" si="56"/>
        <v>T-Test Welch</v>
      </c>
      <c r="T59" s="81" t="str">
        <f t="shared" si="56"/>
        <v>T-Test Welch</v>
      </c>
      <c r="U59" s="81" t="str">
        <f t="shared" si="56"/>
        <v>T-Test Welch</v>
      </c>
      <c r="V59" s="81" t="str">
        <f t="shared" si="56"/>
        <v>T-Test Welch</v>
      </c>
    </row>
    <row r="60" spans="1:22" s="3" customFormat="1" x14ac:dyDescent="0.25">
      <c r="A60" s="45" t="s">
        <v>40</v>
      </c>
      <c r="B60" s="82"/>
      <c r="C60" s="82">
        <f>IF(C59="MW",[1]!MTEST($B28:$B43,C28:C43,2), IF(C59="T-Test Welch",_xlfn.T.TEST($B28:$B43,C28:C43,2,3),""))</f>
        <v>3.4670963682677733E-2</v>
      </c>
      <c r="D60" s="82">
        <f>IF(D59="MW",[1]!MTEST($B28:$B43,D28:D43,2), IF(D59="T-Test Welch",_xlfn.T.TEST($B28:$B43,D28:D43,2,3),""))</f>
        <v>0.97676816330943039</v>
      </c>
      <c r="E60" s="82">
        <f>IF(E59="MW",[1]!MTEST($B28:$B43,E28:E43,2), IF(E59="T-Test Welch",_xlfn.T.TEST($B28:$B43,E28:E43,2,3),""))</f>
        <v>9.2022514881063742E-4</v>
      </c>
      <c r="F60" s="82">
        <f>IF(F59="MW",[1]!MTEST($B28:$B43,F28:F43,2), IF(F59="T-Test Welch",_xlfn.T.TEST($B28:$B43,F28:F43,2,3),""))</f>
        <v>6.9632843346879836E-4</v>
      </c>
      <c r="G60" s="82">
        <f>IF(G59="MW",[1]!MTEST($B28:$B43,G28:G43,2), IF(G59="T-Test Welch",_xlfn.T.TEST($B28:$B43,G28:G43,2,3),""))</f>
        <v>6.2061842160531217E-9</v>
      </c>
      <c r="H60" s="82">
        <f>IF(H59="MW",[1]!MTEST($B28:$B43,H28:H43,2), IF(H59="T-Test Welch",_xlfn.T.TEST($B28:$B43,H28:H43,2,3),""))</f>
        <v>1.65473912556692E-5</v>
      </c>
      <c r="I60" s="82">
        <f>IF(I59="MW",[1]!MTEST($B28:$B43,I28:I43,2), IF(I59="T-Test Welch",_xlfn.T.TEST($B28:$B43,I28:I43,2,3),""))</f>
        <v>0.99645244250466769</v>
      </c>
      <c r="J60" s="82">
        <f>IF(J59="MW",[1]!MTEST($B28:$B43,J28:J43,2), IF(J59="T-Test Welch",_xlfn.T.TEST($B28:$B43,J28:J43,2,3),""))</f>
        <v>2.08625823327655E-2</v>
      </c>
      <c r="K60" s="82">
        <f>IF(K59="MW",[1]!MTEST($B28:$B43,K28:K43,2), IF(K59="T-Test Welch",_xlfn.T.TEST($B28:$B43,K28:K43,2,3),""))</f>
        <v>1.6206485664817931E-7</v>
      </c>
      <c r="L60" s="82">
        <f>IF(L59="MW",[1]!MTEST($B28:$B43,L28:L43,2), IF(L59="T-Test Welch",_xlfn.T.TEST($B28:$B43,L28:L43,2,3),""))</f>
        <v>1.1937454448720519E-3</v>
      </c>
      <c r="M60" s="82">
        <f>IF(M59="MW",[1]!MTEST($B28:$B43,M28:M43,2), IF(M59="T-Test Welch",_xlfn.T.TEST($B28:$B43,M28:M43,2,3),""))</f>
        <v>3.49822466053222E-5</v>
      </c>
      <c r="N60" s="82"/>
      <c r="O60" s="82">
        <f>IF(O59="MW",[1]!MTEST($B28:$B43,O28:O43,2), IF(O59="T-Test Welch",_xlfn.T.TEST($B28:$B43,O28:O43,2,3),""))</f>
        <v>1.4353132053710846E-9</v>
      </c>
      <c r="P60" s="82">
        <f>IF(P59="MW",[1]!MTEST($O28:$O43,P28:P43,2), IF(P59="T-Test Welch",_xlfn.T.TEST($O28:$O43,P28:P43,2,3),""))</f>
        <v>3.9354103107944799E-3</v>
      </c>
      <c r="Q60" s="82">
        <f>IF(Q59="MW",[1]!MTEST($O28:$O43,Q28:Q43,2), IF(Q59="T-Test Welch",_xlfn.T.TEST($O28:$O43,Q28:Q43,2,3),""))</f>
        <v>8.884941911446731E-5</v>
      </c>
      <c r="R60" s="82">
        <f>IF(R59="MW",[1]!MTEST($O28:$O43,R28:R43,2), IF(R59="T-Test Welch",_xlfn.T.TEST($O28:$O43,R28:R43,2,3),""))</f>
        <v>2.26041337650973E-2</v>
      </c>
      <c r="S60" s="82">
        <f>IF(S59="MW",[1]!MTEST($O28:$O43,S28:S43,2), IF(S59="T-Test Welch",_xlfn.T.TEST($O28:$O43,S28:S43,2,3),""))</f>
        <v>4.9852186665777606E-2</v>
      </c>
      <c r="T60" s="82">
        <f>IF(T59="MW",[1]!MTEST($O28:$O43,T28:T43,2), IF(T59="T-Test Welch",_xlfn.T.TEST($O28:$O43,T28:T43,2,3),""))</f>
        <v>0.39449831547416114</v>
      </c>
      <c r="U60" s="82">
        <f>IF(U59="MW",[1]!MTEST($O28:$O43,U28:U43,2), IF(U59="T-Test Welch",_xlfn.T.TEST($O28:$O43,U28:U43,2,3),""))</f>
        <v>6.557647898429797E-2</v>
      </c>
      <c r="V60" s="82">
        <f>IF(V59="MW",[1]!MTEST($O28:$O43,V28:V43,2), IF(V59="T-Test Welch",_xlfn.T.TEST($O28:$O43,V28:V43,2,3),""))</f>
        <v>7.1809831975032925E-3</v>
      </c>
    </row>
    <row r="61" spans="1:22" s="3" customFormat="1" ht="15.75" thickBot="1" x14ac:dyDescent="0.3">
      <c r="A61" s="46" t="s">
        <v>15</v>
      </c>
      <c r="B61" s="78"/>
      <c r="C61" s="78" t="str">
        <f t="shared" ref="C61:O61" si="57">IF(C60&gt;0.05,"NS",IF(C60&gt;0.01,"*",IF(C60&gt;0.001,"**","***")))</f>
        <v>*</v>
      </c>
      <c r="D61" s="78" t="str">
        <f t="shared" si="57"/>
        <v>NS</v>
      </c>
      <c r="E61" s="78" t="str">
        <f t="shared" si="57"/>
        <v>***</v>
      </c>
      <c r="F61" s="78" t="str">
        <f t="shared" si="57"/>
        <v>***</v>
      </c>
      <c r="G61" s="78" t="str">
        <f t="shared" si="57"/>
        <v>***</v>
      </c>
      <c r="H61" s="78" t="str">
        <f t="shared" si="57"/>
        <v>***</v>
      </c>
      <c r="I61" s="78" t="str">
        <f t="shared" si="57"/>
        <v>NS</v>
      </c>
      <c r="J61" s="78" t="str">
        <f t="shared" si="57"/>
        <v>*</v>
      </c>
      <c r="K61" s="78" t="str">
        <f t="shared" si="57"/>
        <v>***</v>
      </c>
      <c r="L61" s="78" t="str">
        <f t="shared" si="57"/>
        <v>**</v>
      </c>
      <c r="M61" s="78" t="str">
        <f t="shared" si="57"/>
        <v>***</v>
      </c>
      <c r="N61" s="78"/>
      <c r="O61" s="78" t="str">
        <f t="shared" si="57"/>
        <v>***</v>
      </c>
      <c r="P61" s="78" t="str">
        <f>IF(P60&gt;0.05,"NS",IF(P60&gt;0.01,"*",IF(P60&gt;0.001,"**","***")))</f>
        <v>**</v>
      </c>
      <c r="Q61" s="78" t="str">
        <f t="shared" ref="Q61:V61" si="58">IF(Q60&gt;0.05,"NS",IF(Q60&gt;0.01,"*",IF(Q60&gt;0.001,"**","***")))</f>
        <v>***</v>
      </c>
      <c r="R61" s="78" t="str">
        <f t="shared" si="58"/>
        <v>*</v>
      </c>
      <c r="S61" s="78" t="str">
        <f t="shared" si="58"/>
        <v>*</v>
      </c>
      <c r="T61" s="78" t="str">
        <f t="shared" si="58"/>
        <v>NS</v>
      </c>
      <c r="U61" s="78" t="str">
        <f t="shared" si="58"/>
        <v>NS</v>
      </c>
      <c r="V61" s="78" t="str">
        <f t="shared" si="58"/>
        <v>**</v>
      </c>
    </row>
    <row r="63" spans="1:22" x14ac:dyDescent="0.25">
      <c r="A63" s="2"/>
    </row>
    <row r="66" spans="1:22" ht="15.75" thickBot="1" x14ac:dyDescent="0.3"/>
    <row r="67" spans="1:22" ht="27" thickBot="1" x14ac:dyDescent="0.4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ht="16.5" x14ac:dyDescent="0.2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2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2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2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2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2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2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B13:J20 I5:J12" name="Plage1_1"/>
    <protectedRange sqref="B5:H12" name="Plage1_1_1"/>
    <protectedRange sqref="O5:O20" name="Plage1_1_2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N1" zoomScale="70" zoomScaleNormal="70" zoomScaleSheetLayoutView="40" zoomScalePageLayoutView="30" workbookViewId="0">
      <selection activeCell="V5" sqref="V5:V12"/>
    </sheetView>
  </sheetViews>
  <sheetFormatPr baseColWidth="10" defaultColWidth="9.140625" defaultRowHeight="15" x14ac:dyDescent="0.25"/>
  <cols>
    <col min="1" max="1" width="33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1.7109375" style="1" customWidth="1"/>
    <col min="15" max="15" width="14.85546875" style="1" customWidth="1"/>
    <col min="16" max="16" width="17.7109375" style="1" customWidth="1"/>
    <col min="17" max="18" width="25.85546875" style="1" bestFit="1" customWidth="1"/>
    <col min="19" max="22" width="25.85546875" style="1" customWidth="1"/>
    <col min="23" max="16384" width="9.140625" style="1"/>
  </cols>
  <sheetData>
    <row r="1" spans="1:22" ht="27" thickBot="1" x14ac:dyDescent="0.4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ht="15.75" thickBot="1" x14ac:dyDescent="0.3"/>
    <row r="3" spans="1:22" ht="15.75" thickBot="1" x14ac:dyDescent="0.3">
      <c r="A3" s="83" t="s">
        <v>9</v>
      </c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testosterone-3.7µg/L</v>
      </c>
      <c r="J4" s="20" t="str">
        <f>'Front page'!A15</f>
        <v>testosterone-11µg/L</v>
      </c>
      <c r="K4" s="20" t="str">
        <f>'Front page'!A16</f>
        <v>testosterone-33µg/L</v>
      </c>
      <c r="L4" s="20" t="str">
        <f>'Front page'!A17</f>
        <v>testosterone-100µg/L</v>
      </c>
      <c r="M4" s="20" t="str">
        <f>'Front page'!A18</f>
        <v>testosterone-300µg/L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testosterone-3.7µg/L + Testostérone</v>
      </c>
      <c r="S4" s="21" t="str">
        <f>'Front page'!A39</f>
        <v>testosterone-11µg/L + Testostérone</v>
      </c>
      <c r="T4" s="21" t="str">
        <f>'Front page'!A40</f>
        <v>testosterone-33µg/L + Testostérone</v>
      </c>
      <c r="U4" s="21" t="str">
        <f>'Front page'!A41</f>
        <v>testosterone-100µg/L + Testostérone</v>
      </c>
      <c r="V4" s="21" t="str">
        <f>'Front page'!A42</f>
        <v>testosterone-300µg/L + Testostérone</v>
      </c>
    </row>
    <row r="5" spans="1:22" x14ac:dyDescent="0.25">
      <c r="A5" s="137" t="s">
        <v>34</v>
      </c>
      <c r="B5" s="1">
        <v>13254</v>
      </c>
      <c r="C5" s="1">
        <v>2390</v>
      </c>
      <c r="D5" s="1">
        <v>83</v>
      </c>
      <c r="E5" s="1">
        <v>186556</v>
      </c>
      <c r="F5" s="1">
        <v>236561</v>
      </c>
      <c r="G5" s="1">
        <v>252733</v>
      </c>
      <c r="H5" s="1">
        <v>304910</v>
      </c>
      <c r="I5" s="1">
        <v>5461</v>
      </c>
      <c r="J5" s="1">
        <v>1226</v>
      </c>
      <c r="K5" s="1">
        <v>313875</v>
      </c>
      <c r="L5" s="1">
        <v>265416</v>
      </c>
      <c r="M5" s="1">
        <v>192436</v>
      </c>
      <c r="N5" s="3"/>
      <c r="O5" s="1">
        <v>306813</v>
      </c>
      <c r="P5" s="1">
        <v>204747</v>
      </c>
      <c r="Q5" s="1">
        <v>160</v>
      </c>
      <c r="R5" s="1">
        <v>281054</v>
      </c>
      <c r="S5" s="1">
        <v>175070</v>
      </c>
      <c r="T5" s="1">
        <v>157856</v>
      </c>
      <c r="U5" s="1">
        <v>237253</v>
      </c>
      <c r="V5" s="1">
        <v>295864</v>
      </c>
    </row>
    <row r="6" spans="1:22" x14ac:dyDescent="0.25">
      <c r="A6" s="138"/>
      <c r="B6" s="1">
        <v>0</v>
      </c>
      <c r="C6" s="1">
        <v>5428</v>
      </c>
      <c r="D6" s="1">
        <v>2192</v>
      </c>
      <c r="E6" s="1">
        <v>146283</v>
      </c>
      <c r="F6" s="1">
        <v>261300</v>
      </c>
      <c r="G6" s="1">
        <v>225159</v>
      </c>
      <c r="H6" s="1">
        <v>454614</v>
      </c>
      <c r="I6" s="1">
        <v>2567</v>
      </c>
      <c r="J6" s="1">
        <v>5788</v>
      </c>
      <c r="K6" s="1">
        <v>151174</v>
      </c>
      <c r="L6" s="1">
        <v>224509</v>
      </c>
      <c r="M6" s="1">
        <v>351910</v>
      </c>
      <c r="N6" s="3"/>
      <c r="O6" s="1">
        <v>243072</v>
      </c>
      <c r="P6" s="1">
        <v>234496</v>
      </c>
      <c r="Q6" s="1">
        <v>2681</v>
      </c>
      <c r="R6" s="1">
        <v>307750</v>
      </c>
      <c r="S6" s="1">
        <v>291516</v>
      </c>
      <c r="T6" s="1">
        <v>134919</v>
      </c>
      <c r="U6" s="1">
        <v>295423</v>
      </c>
      <c r="V6" s="1">
        <v>264080</v>
      </c>
    </row>
    <row r="7" spans="1:22" x14ac:dyDescent="0.25">
      <c r="A7" s="138"/>
      <c r="B7" s="1">
        <v>81</v>
      </c>
      <c r="C7" s="1">
        <v>16211</v>
      </c>
      <c r="D7" s="1">
        <v>4544</v>
      </c>
      <c r="E7" s="1">
        <v>133661</v>
      </c>
      <c r="F7" s="1">
        <v>211585</v>
      </c>
      <c r="G7" s="1">
        <v>297739</v>
      </c>
      <c r="H7" s="1">
        <v>283515</v>
      </c>
      <c r="I7" s="1">
        <v>16991</v>
      </c>
      <c r="J7" s="1">
        <v>10075</v>
      </c>
      <c r="K7" s="1">
        <v>252309</v>
      </c>
      <c r="L7" s="1">
        <v>261582</v>
      </c>
      <c r="M7" s="1">
        <v>249461</v>
      </c>
      <c r="N7" s="3"/>
      <c r="O7" s="1">
        <v>153982</v>
      </c>
      <c r="P7" s="1">
        <v>288833</v>
      </c>
      <c r="Q7" s="1">
        <v>23376</v>
      </c>
      <c r="R7" s="1">
        <v>281546</v>
      </c>
      <c r="S7" s="1">
        <v>199491</v>
      </c>
      <c r="T7" s="1">
        <v>276807</v>
      </c>
      <c r="U7" s="1">
        <v>164811</v>
      </c>
      <c r="V7" s="1">
        <v>174246</v>
      </c>
    </row>
    <row r="8" spans="1:22" x14ac:dyDescent="0.25">
      <c r="A8" s="138"/>
      <c r="B8" s="1">
        <v>9032</v>
      </c>
      <c r="C8" s="1">
        <v>6800</v>
      </c>
      <c r="D8" s="1">
        <v>62905</v>
      </c>
      <c r="E8" s="1">
        <v>10696</v>
      </c>
      <c r="F8" s="1">
        <v>233382</v>
      </c>
      <c r="G8" s="1">
        <v>237391</v>
      </c>
      <c r="H8" s="1">
        <v>338936</v>
      </c>
      <c r="I8" s="1">
        <v>5661</v>
      </c>
      <c r="J8" s="1">
        <v>1095</v>
      </c>
      <c r="K8" s="1">
        <v>202123</v>
      </c>
      <c r="L8" s="1">
        <v>253058</v>
      </c>
      <c r="M8" s="1">
        <v>281168</v>
      </c>
      <c r="N8" s="3"/>
      <c r="O8" s="1">
        <v>261015</v>
      </c>
      <c r="P8" s="1">
        <v>295811</v>
      </c>
      <c r="Q8" s="1">
        <v>20580</v>
      </c>
      <c r="R8" s="1">
        <v>255549</v>
      </c>
      <c r="S8" s="1">
        <v>296060</v>
      </c>
      <c r="T8" s="1">
        <v>236389</v>
      </c>
      <c r="U8" s="1">
        <v>255279</v>
      </c>
      <c r="V8" s="1">
        <v>188100</v>
      </c>
    </row>
    <row r="9" spans="1:22" x14ac:dyDescent="0.25">
      <c r="A9" s="138"/>
      <c r="B9" s="1">
        <v>18018</v>
      </c>
      <c r="C9" s="1">
        <v>6436</v>
      </c>
      <c r="D9" s="1">
        <v>27057</v>
      </c>
      <c r="E9" s="1">
        <v>87777</v>
      </c>
      <c r="F9" s="1">
        <v>317718</v>
      </c>
      <c r="G9" s="1">
        <v>228172</v>
      </c>
      <c r="H9" s="1">
        <v>289309</v>
      </c>
      <c r="I9" s="1">
        <v>565</v>
      </c>
      <c r="J9" s="1">
        <v>7872</v>
      </c>
      <c r="K9" s="1">
        <v>367033</v>
      </c>
      <c r="L9" s="1">
        <v>298664</v>
      </c>
      <c r="M9" s="1">
        <v>223325</v>
      </c>
      <c r="N9" s="3"/>
      <c r="O9" s="1">
        <v>120598</v>
      </c>
      <c r="P9" s="1">
        <v>103054</v>
      </c>
      <c r="Q9" s="1">
        <v>42706</v>
      </c>
      <c r="R9" s="1">
        <v>149890</v>
      </c>
      <c r="S9" s="1">
        <v>343280</v>
      </c>
      <c r="T9" s="1">
        <v>274021</v>
      </c>
      <c r="U9" s="1">
        <v>270379</v>
      </c>
      <c r="V9" s="1">
        <v>303258</v>
      </c>
    </row>
    <row r="10" spans="1:22" x14ac:dyDescent="0.25">
      <c r="A10" s="138"/>
      <c r="B10" s="1">
        <v>8665</v>
      </c>
      <c r="C10" s="1">
        <v>3491</v>
      </c>
      <c r="D10" s="1">
        <v>0</v>
      </c>
      <c r="E10" s="1">
        <v>59404</v>
      </c>
      <c r="F10" s="1">
        <v>152613</v>
      </c>
      <c r="G10" s="1">
        <v>294097</v>
      </c>
      <c r="H10" s="1">
        <v>341237</v>
      </c>
      <c r="I10" s="1">
        <v>9094</v>
      </c>
      <c r="J10" s="1">
        <v>16096</v>
      </c>
      <c r="K10" s="1">
        <v>250574</v>
      </c>
      <c r="L10" s="1">
        <v>202149</v>
      </c>
      <c r="M10" s="1">
        <v>241457</v>
      </c>
      <c r="N10" s="3"/>
      <c r="O10" s="1">
        <v>223427</v>
      </c>
      <c r="P10" s="1">
        <v>30372</v>
      </c>
      <c r="Q10" s="1">
        <v>15510</v>
      </c>
      <c r="R10" s="1">
        <v>267333</v>
      </c>
      <c r="S10" s="1">
        <v>105407</v>
      </c>
      <c r="T10" s="1">
        <v>267212</v>
      </c>
      <c r="U10" s="1">
        <v>215721</v>
      </c>
      <c r="V10" s="1">
        <v>225076</v>
      </c>
    </row>
    <row r="11" spans="1:22" x14ac:dyDescent="0.25">
      <c r="A11" s="138"/>
      <c r="B11" s="1">
        <v>2800</v>
      </c>
      <c r="C11" s="1">
        <v>22342</v>
      </c>
      <c r="D11" s="1">
        <v>6820</v>
      </c>
      <c r="E11" s="1">
        <v>648</v>
      </c>
      <c r="F11" s="1">
        <v>263579</v>
      </c>
      <c r="G11" s="1">
        <v>274424</v>
      </c>
      <c r="H11" s="1">
        <v>330292</v>
      </c>
      <c r="I11" s="1">
        <v>2211</v>
      </c>
      <c r="J11" s="1">
        <v>1487</v>
      </c>
      <c r="K11" s="1">
        <v>282980</v>
      </c>
      <c r="L11" s="1">
        <v>288368</v>
      </c>
      <c r="M11" s="1">
        <v>199987</v>
      </c>
      <c r="N11" s="3"/>
      <c r="O11" s="1">
        <v>294128</v>
      </c>
      <c r="P11" s="1">
        <v>222238</v>
      </c>
      <c r="Q11" s="1">
        <v>18039</v>
      </c>
      <c r="R11" s="1">
        <v>279516</v>
      </c>
      <c r="S11" s="1">
        <v>253569</v>
      </c>
      <c r="T11" s="1">
        <v>222498</v>
      </c>
      <c r="U11" s="1">
        <v>265425</v>
      </c>
      <c r="V11" s="1">
        <v>346931</v>
      </c>
    </row>
    <row r="12" spans="1:22" x14ac:dyDescent="0.25">
      <c r="A12" s="138"/>
      <c r="B12" s="1">
        <v>3817</v>
      </c>
      <c r="C12" s="1">
        <v>7777</v>
      </c>
      <c r="D12" s="1">
        <v>160</v>
      </c>
      <c r="E12" s="1">
        <v>213544</v>
      </c>
      <c r="F12" s="1">
        <v>207937</v>
      </c>
      <c r="G12" s="1">
        <v>217168</v>
      </c>
      <c r="H12" s="1">
        <v>335017</v>
      </c>
      <c r="I12" s="1">
        <v>24198</v>
      </c>
      <c r="J12" s="1">
        <v>21778</v>
      </c>
      <c r="K12" s="1">
        <v>314239</v>
      </c>
      <c r="L12" s="1">
        <v>244491</v>
      </c>
      <c r="M12" s="1">
        <v>271672</v>
      </c>
      <c r="N12" s="3"/>
      <c r="O12" s="1">
        <v>269703</v>
      </c>
      <c r="P12" s="1">
        <v>170307</v>
      </c>
      <c r="Q12" s="1">
        <v>161</v>
      </c>
      <c r="R12" s="1">
        <v>256304</v>
      </c>
      <c r="S12" s="1">
        <v>329707</v>
      </c>
      <c r="T12" s="1">
        <v>251074</v>
      </c>
      <c r="U12" s="17"/>
      <c r="V12" s="1">
        <v>307826</v>
      </c>
    </row>
    <row r="13" spans="1:22" ht="16.5" x14ac:dyDescent="0.25">
      <c r="A13" s="138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">
        <v>172641</v>
      </c>
      <c r="P13" s="13"/>
      <c r="Q13" s="13"/>
      <c r="R13" s="17"/>
      <c r="S13" s="17"/>
      <c r="T13" s="17"/>
      <c r="U13" s="17"/>
      <c r="V13" s="17"/>
    </row>
    <row r="14" spans="1:22" ht="16.5" x14ac:dyDescent="0.25">
      <c r="A14" s="138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">
        <v>262989</v>
      </c>
      <c r="P14" s="13"/>
      <c r="Q14" s="13"/>
      <c r="R14" s="17"/>
      <c r="S14" s="17"/>
      <c r="T14" s="17"/>
      <c r="U14" s="17"/>
      <c r="V14" s="17"/>
    </row>
    <row r="15" spans="1:22" ht="16.5" x14ac:dyDescent="0.25">
      <c r="A15" s="138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">
        <v>235158</v>
      </c>
      <c r="P15" s="13"/>
      <c r="Q15" s="13"/>
      <c r="R15" s="17"/>
      <c r="S15" s="17"/>
      <c r="T15" s="17"/>
      <c r="U15" s="17"/>
      <c r="V15" s="17"/>
    </row>
    <row r="16" spans="1:22" ht="16.5" x14ac:dyDescent="0.25">
      <c r="A16" s="138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">
        <v>334669</v>
      </c>
      <c r="P16" s="13"/>
      <c r="Q16" s="13"/>
      <c r="R16" s="17"/>
      <c r="S16" s="17"/>
      <c r="T16" s="17"/>
      <c r="U16" s="17"/>
      <c r="V16" s="17"/>
    </row>
    <row r="17" spans="1:22" ht="16.5" x14ac:dyDescent="0.25">
      <c r="A17" s="138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">
        <v>215659</v>
      </c>
      <c r="P17" s="13"/>
      <c r="Q17" s="13"/>
      <c r="R17" s="17"/>
      <c r="S17" s="17"/>
      <c r="T17" s="17"/>
      <c r="U17" s="17"/>
      <c r="V17" s="17"/>
    </row>
    <row r="18" spans="1:22" ht="16.5" x14ac:dyDescent="0.25">
      <c r="A18" s="138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">
        <v>292134</v>
      </c>
      <c r="P18" s="13"/>
      <c r="Q18" s="13"/>
      <c r="R18" s="17"/>
      <c r="S18" s="17"/>
      <c r="T18" s="17"/>
      <c r="U18" s="17"/>
      <c r="V18" s="17"/>
    </row>
    <row r="19" spans="1:22" ht="16.5" x14ac:dyDescent="0.25">
      <c r="A19" s="138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">
        <v>262212</v>
      </c>
      <c r="P19" s="13"/>
      <c r="Q19" s="13"/>
      <c r="R19" s="17"/>
      <c r="S19" s="17"/>
      <c r="T19" s="17"/>
      <c r="U19" s="17"/>
      <c r="V19" s="17"/>
    </row>
    <row r="20" spans="1:22" ht="16.5" x14ac:dyDescent="0.25">
      <c r="A20" s="138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">
        <v>169632</v>
      </c>
      <c r="P20" s="13"/>
      <c r="Q20" s="13"/>
      <c r="R20" s="17"/>
      <c r="S20" s="17"/>
      <c r="T20" s="17"/>
      <c r="U20" s="17"/>
      <c r="V20" s="17"/>
    </row>
    <row r="21" spans="1:22" x14ac:dyDescent="0.2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2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testosterone-3.7µg/L</v>
      </c>
      <c r="J22" s="3" t="str">
        <f t="shared" si="1"/>
        <v>testosterone-11µg/L</v>
      </c>
      <c r="K22" s="3" t="str">
        <f t="shared" si="1"/>
        <v>testosterone-33µg/L</v>
      </c>
      <c r="L22" s="3" t="str">
        <f t="shared" si="1"/>
        <v>testosterone-100µg/L</v>
      </c>
      <c r="M22" s="3" t="str">
        <f t="shared" si="1"/>
        <v>testosterone-300µg/L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testosterone-3.7µg/L + Testostérone</v>
      </c>
      <c r="S22" s="3" t="str">
        <f t="shared" si="1"/>
        <v>testosterone-11µg/L + Testostérone</v>
      </c>
      <c r="T22" s="3" t="str">
        <f t="shared" si="1"/>
        <v>testosterone-33µg/L + Testostérone</v>
      </c>
      <c r="U22" s="3" t="str">
        <f t="shared" si="1"/>
        <v>testosterone-100µg/L + Testostérone</v>
      </c>
      <c r="V22" s="3" t="str">
        <f t="shared" si="1"/>
        <v>testosterone-300µg/L + Testostérone</v>
      </c>
    </row>
    <row r="23" spans="1:22" x14ac:dyDescent="0.25">
      <c r="A23" s="5" t="s">
        <v>0</v>
      </c>
      <c r="B23" s="5">
        <f t="shared" ref="B23:J23" si="2">AVERAGE(B5:B20)</f>
        <v>6958.375</v>
      </c>
      <c r="C23" s="5">
        <f t="shared" si="2"/>
        <v>8859.375</v>
      </c>
      <c r="D23" s="5">
        <f t="shared" si="2"/>
        <v>12970.125</v>
      </c>
      <c r="E23" s="5">
        <f t="shared" si="2"/>
        <v>104821.125</v>
      </c>
      <c r="F23" s="5">
        <f t="shared" si="2"/>
        <v>235584.375</v>
      </c>
      <c r="G23" s="5">
        <f t="shared" si="2"/>
        <v>253360.375</v>
      </c>
      <c r="H23" s="5">
        <f t="shared" si="2"/>
        <v>334728.75</v>
      </c>
      <c r="I23" s="5">
        <f t="shared" si="2"/>
        <v>8343.5</v>
      </c>
      <c r="J23" s="5">
        <f t="shared" si="2"/>
        <v>8177.125</v>
      </c>
      <c r="K23" s="5"/>
      <c r="L23" s="5">
        <f>AVERAGE(L5:L20)</f>
        <v>254779.625</v>
      </c>
      <c r="M23" s="5"/>
      <c r="N23" s="5" t="s">
        <v>0</v>
      </c>
      <c r="O23" s="5">
        <f>AVERAGE(O5:O20)</f>
        <v>238614.5</v>
      </c>
      <c r="P23" s="5">
        <f>AVERAGE(P5:P20)</f>
        <v>193732.25</v>
      </c>
      <c r="Q23" s="5">
        <f>AVERAGE(Q5:Q20)</f>
        <v>15401.625</v>
      </c>
      <c r="R23" s="5">
        <f>AVERAGE(R5:R20)</f>
        <v>259867.75</v>
      </c>
      <c r="S23" s="5">
        <f>AVERAGE(S5:S20)</f>
        <v>249262.5</v>
      </c>
      <c r="T23" s="5">
        <f t="shared" ref="T23:V23" si="3">AVERAGE(T5:T20)</f>
        <v>227597</v>
      </c>
      <c r="U23" s="5">
        <f t="shared" si="3"/>
        <v>243470.14285714287</v>
      </c>
      <c r="V23" s="5">
        <f t="shared" si="3"/>
        <v>263172.625</v>
      </c>
    </row>
    <row r="24" spans="1:22" x14ac:dyDescent="0.25">
      <c r="A24" s="3" t="s">
        <v>1</v>
      </c>
      <c r="B24" s="3">
        <f t="shared" ref="B24:J24" si="4">STDEV(B5:B20)</f>
        <v>6459.105177687431</v>
      </c>
      <c r="C24" s="3">
        <f t="shared" si="4"/>
        <v>6861.4812215418488</v>
      </c>
      <c r="D24" s="3">
        <f t="shared" si="4"/>
        <v>22088.538795606197</v>
      </c>
      <c r="E24" s="3">
        <f t="shared" si="4"/>
        <v>78482.823759519873</v>
      </c>
      <c r="F24" s="3">
        <f t="shared" si="4"/>
        <v>48434.529329918281</v>
      </c>
      <c r="G24" s="3">
        <f t="shared" si="4"/>
        <v>31775.294994415752</v>
      </c>
      <c r="H24" s="3">
        <f t="shared" si="4"/>
        <v>53488.662360087386</v>
      </c>
      <c r="I24" s="3">
        <f t="shared" si="4"/>
        <v>8226.2025608070562</v>
      </c>
      <c r="J24" s="3">
        <f t="shared" si="4"/>
        <v>7562.3856484861026</v>
      </c>
      <c r="K24" s="3"/>
      <c r="L24" s="3">
        <f>STDEV(L5:L20)</f>
        <v>31642.050019091908</v>
      </c>
      <c r="M24" s="3"/>
      <c r="N24" s="3" t="s">
        <v>1</v>
      </c>
      <c r="O24" s="3">
        <f>STDEV(O5:O20)</f>
        <v>59684.670056333001</v>
      </c>
      <c r="P24" s="3">
        <f>STDEV(P5:P20)</f>
        <v>90646.620224993967</v>
      </c>
      <c r="Q24" s="3">
        <f>STDEV(Q5:Q20)</f>
        <v>14487.929428493224</v>
      </c>
      <c r="R24" s="3">
        <f>STDEV(R5:R20)</f>
        <v>47478.949731884939</v>
      </c>
      <c r="S24" s="3">
        <f>STDEV(S5:S20)</f>
        <v>82791.176415640541</v>
      </c>
      <c r="T24" s="3">
        <f t="shared" ref="T24:V24" si="5">STDEV(T5:T20)</f>
        <v>53790.13114476882</v>
      </c>
      <c r="U24" s="3">
        <f t="shared" si="5"/>
        <v>42896.346710912956</v>
      </c>
      <c r="V24" s="3">
        <f t="shared" si="5"/>
        <v>61737.893427288931</v>
      </c>
    </row>
    <row r="25" spans="1:22" ht="15.75" thickBot="1" x14ac:dyDescent="0.3"/>
    <row r="26" spans="1:22" ht="15.75" thickBot="1" x14ac:dyDescent="0.3">
      <c r="B26" s="141" t="s">
        <v>41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O26" s="141" t="s">
        <v>42</v>
      </c>
      <c r="P26" s="142"/>
      <c r="Q26" s="142"/>
      <c r="R26" s="142"/>
      <c r="S26" s="142"/>
      <c r="T26" s="142"/>
      <c r="U26" s="142"/>
      <c r="V26" s="142"/>
    </row>
    <row r="27" spans="1:22" x14ac:dyDescent="0.2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testosterone-3.7µg/L</v>
      </c>
      <c r="J27" s="20" t="str">
        <f t="shared" si="6"/>
        <v>testosterone-11µg/L</v>
      </c>
      <c r="K27" s="20" t="str">
        <f t="shared" si="6"/>
        <v>testosterone-33µg/L</v>
      </c>
      <c r="L27" s="20" t="str">
        <f t="shared" si="6"/>
        <v>testosterone-100µg/L</v>
      </c>
      <c r="M27" s="20" t="str">
        <f t="shared" si="6"/>
        <v>testosterone-300µg/L</v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testosterone-3.7µg/L + Testostérone</v>
      </c>
      <c r="S27" s="21" t="str">
        <f t="shared" si="7"/>
        <v>testosterone-11µg/L + Testostérone</v>
      </c>
      <c r="T27" s="21" t="str">
        <f t="shared" si="7"/>
        <v>testosterone-33µg/L + Testostérone</v>
      </c>
      <c r="U27" s="21" t="str">
        <f t="shared" si="7"/>
        <v>testosterone-100µg/L + Testostérone</v>
      </c>
      <c r="V27" s="21" t="str">
        <f t="shared" si="7"/>
        <v>testosterone-300µg/L + Testostérone</v>
      </c>
    </row>
    <row r="28" spans="1:22" ht="14.45" customHeight="1" x14ac:dyDescent="0.25">
      <c r="A28" s="139" t="s">
        <v>35</v>
      </c>
      <c r="B28" s="11">
        <f t="shared" ref="B28:M28" si="8">IF(B5="","",(B5/$O$23))</f>
        <v>5.5545660469082977E-2</v>
      </c>
      <c r="C28" s="11">
        <f t="shared" si="8"/>
        <v>1.001615576589017E-2</v>
      </c>
      <c r="D28" s="11">
        <f t="shared" si="8"/>
        <v>3.4784139270664606E-4</v>
      </c>
      <c r="E28" s="11">
        <f t="shared" si="8"/>
        <v>0.78183010672025377</v>
      </c>
      <c r="F28" s="11">
        <f t="shared" si="8"/>
        <v>0.9913940686756253</v>
      </c>
      <c r="G28" s="11">
        <f t="shared" si="8"/>
        <v>1.0591686590714311</v>
      </c>
      <c r="H28" s="11">
        <f t="shared" si="8"/>
        <v>1.2778351692793188</v>
      </c>
      <c r="I28" s="11">
        <f t="shared" si="8"/>
        <v>2.2886287296036076E-2</v>
      </c>
      <c r="J28" s="11">
        <f t="shared" si="8"/>
        <v>5.1379945476909411E-3</v>
      </c>
      <c r="K28" s="11">
        <f t="shared" si="8"/>
        <v>1.3154062305517895</v>
      </c>
      <c r="L28" s="11">
        <f t="shared" si="8"/>
        <v>1.1123213383930985</v>
      </c>
      <c r="M28" s="11">
        <f t="shared" si="8"/>
        <v>0.80647236442043546</v>
      </c>
      <c r="N28" s="6"/>
      <c r="O28" s="11">
        <f t="shared" ref="O28:V37" si="9">IF(O5="","",(O5/$O$23))</f>
        <v>1.285810376150653</v>
      </c>
      <c r="P28" s="11">
        <f t="shared" si="9"/>
        <v>0.85806604376515261</v>
      </c>
      <c r="Q28" s="11">
        <f t="shared" si="9"/>
        <v>6.7053762449473947E-4</v>
      </c>
      <c r="R28" s="11">
        <f t="shared" si="9"/>
        <v>1.1778580094671531</v>
      </c>
      <c r="S28" s="11">
        <f t="shared" si="9"/>
        <v>0.73369388700183769</v>
      </c>
      <c r="T28" s="11">
        <f t="shared" si="9"/>
        <v>0.66155242032650996</v>
      </c>
      <c r="U28" s="11">
        <f t="shared" si="9"/>
        <v>0.99429414390156512</v>
      </c>
      <c r="V28" s="11">
        <f t="shared" si="9"/>
        <v>1.2399246483344475</v>
      </c>
    </row>
    <row r="29" spans="1:22" x14ac:dyDescent="0.25">
      <c r="A29" s="140"/>
      <c r="B29" s="11">
        <f t="shared" ref="B29:M29" si="10">IF(B6="","",(B6/$O$23))</f>
        <v>0</v>
      </c>
      <c r="C29" s="11">
        <f t="shared" si="10"/>
        <v>2.2747988910984035E-2</v>
      </c>
      <c r="D29" s="11">
        <f t="shared" si="10"/>
        <v>9.1863654555779297E-3</v>
      </c>
      <c r="E29" s="11">
        <f t="shared" si="10"/>
        <v>0.61305159577477475</v>
      </c>
      <c r="F29" s="11">
        <f t="shared" si="10"/>
        <v>1.0950717580029714</v>
      </c>
      <c r="G29" s="11">
        <f t="shared" si="10"/>
        <v>0.94360988121006895</v>
      </c>
      <c r="H29" s="11">
        <f t="shared" si="10"/>
        <v>1.9052236976378216</v>
      </c>
      <c r="I29" s="11">
        <f t="shared" si="10"/>
        <v>1.0757938012987476E-2</v>
      </c>
      <c r="J29" s="11">
        <f t="shared" si="10"/>
        <v>2.4256698566097197E-2</v>
      </c>
      <c r="K29" s="11">
        <f t="shared" si="10"/>
        <v>0.63354909278354832</v>
      </c>
      <c r="L29" s="11">
        <f t="shared" si="10"/>
        <v>0.94088582211055904</v>
      </c>
      <c r="M29" s="11">
        <f t="shared" si="10"/>
        <v>1.4748055964746485</v>
      </c>
      <c r="N29" s="6"/>
      <c r="O29" s="11">
        <f t="shared" si="9"/>
        <v>1.0186807591324081</v>
      </c>
      <c r="P29" s="11">
        <f t="shared" si="9"/>
        <v>0.98273994245949015</v>
      </c>
      <c r="Q29" s="11">
        <f t="shared" si="9"/>
        <v>1.1235696070439977E-2</v>
      </c>
      <c r="R29" s="11">
        <f t="shared" si="9"/>
        <v>1.2897372121141004</v>
      </c>
      <c r="S29" s="11">
        <f t="shared" si="9"/>
        <v>1.2217027883888028</v>
      </c>
      <c r="T29" s="11">
        <f t="shared" si="9"/>
        <v>0.56542666099503591</v>
      </c>
      <c r="U29" s="11">
        <f t="shared" si="9"/>
        <v>1.2380764790069338</v>
      </c>
      <c r="V29" s="11">
        <f t="shared" si="9"/>
        <v>1.1067223492285674</v>
      </c>
    </row>
    <row r="30" spans="1:22" x14ac:dyDescent="0.25">
      <c r="A30" s="140"/>
      <c r="B30" s="11">
        <f t="shared" ref="B30:M30" si="11">IF(B7="","",(B7/$O$23))</f>
        <v>3.3945967240046182E-4</v>
      </c>
      <c r="C30" s="11">
        <f t="shared" si="11"/>
        <v>6.7938033941776374E-2</v>
      </c>
      <c r="D30" s="11">
        <f t="shared" si="11"/>
        <v>1.9043268535650599E-2</v>
      </c>
      <c r="E30" s="11">
        <f t="shared" si="11"/>
        <v>0.56015455892244603</v>
      </c>
      <c r="F30" s="11">
        <f t="shared" si="11"/>
        <v>0.88672314549199649</v>
      </c>
      <c r="G30" s="11">
        <f t="shared" si="11"/>
        <v>1.2477825111214951</v>
      </c>
      <c r="H30" s="11">
        <f t="shared" si="11"/>
        <v>1.1881717163039127</v>
      </c>
      <c r="I30" s="11">
        <f t="shared" si="11"/>
        <v>7.1206904861188233E-2</v>
      </c>
      <c r="J30" s="11">
        <f t="shared" si="11"/>
        <v>4.2222916042403122E-2</v>
      </c>
      <c r="K30" s="11">
        <f t="shared" si="11"/>
        <v>1.05739173436652</v>
      </c>
      <c r="L30" s="11">
        <f t="shared" si="11"/>
        <v>1.0962535805661433</v>
      </c>
      <c r="M30" s="11">
        <f t="shared" si="11"/>
        <v>1.0454561646505136</v>
      </c>
      <c r="N30" s="6"/>
      <c r="O30" s="11">
        <f t="shared" si="9"/>
        <v>0.64531702809343106</v>
      </c>
      <c r="P30" s="11">
        <f t="shared" si="9"/>
        <v>1.2104587105980567</v>
      </c>
      <c r="Q30" s="11">
        <f t="shared" si="9"/>
        <v>9.7965546938681425E-2</v>
      </c>
      <c r="R30" s="11">
        <f t="shared" si="9"/>
        <v>1.1799199126624744</v>
      </c>
      <c r="S30" s="11">
        <f t="shared" si="9"/>
        <v>0.83603888280050043</v>
      </c>
      <c r="T30" s="11">
        <f t="shared" si="9"/>
        <v>1.1600594263969708</v>
      </c>
      <c r="U30" s="11">
        <f t="shared" si="9"/>
        <v>0.69069985269126566</v>
      </c>
      <c r="V30" s="11">
        <f t="shared" si="9"/>
        <v>0.73024061823568975</v>
      </c>
    </row>
    <row r="31" spans="1:22" x14ac:dyDescent="0.25">
      <c r="A31" s="140"/>
      <c r="B31" s="11">
        <f t="shared" ref="B31:M31" si="12">IF(B8="","",(B8/$O$23))</f>
        <v>3.7851848902728039E-2</v>
      </c>
      <c r="C31" s="11">
        <f t="shared" si="12"/>
        <v>2.8497849041026424E-2</v>
      </c>
      <c r="D31" s="11">
        <f t="shared" si="12"/>
        <v>0.26362605793025989</v>
      </c>
      <c r="E31" s="11">
        <f t="shared" si="12"/>
        <v>4.482544019747333E-2</v>
      </c>
      <c r="F31" s="11">
        <f t="shared" si="12"/>
        <v>0.9780713242489455</v>
      </c>
      <c r="G31" s="11">
        <f t="shared" si="12"/>
        <v>0.99487248260269179</v>
      </c>
      <c r="H31" s="11">
        <f t="shared" si="12"/>
        <v>1.4204333768484312</v>
      </c>
      <c r="I31" s="11">
        <f t="shared" si="12"/>
        <v>2.3724459326654498E-2</v>
      </c>
      <c r="J31" s="11">
        <f t="shared" si="12"/>
        <v>4.5889918676358726E-3</v>
      </c>
      <c r="K31" s="11">
        <f t="shared" si="12"/>
        <v>0.84706922672343887</v>
      </c>
      <c r="L31" s="11">
        <f t="shared" si="12"/>
        <v>1.060530688621186</v>
      </c>
      <c r="M31" s="11">
        <f t="shared" si="12"/>
        <v>1.1783357675246056</v>
      </c>
      <c r="N31" s="6"/>
      <c r="O31" s="11">
        <f t="shared" si="9"/>
        <v>1.0938773628593401</v>
      </c>
      <c r="P31" s="11">
        <f t="shared" si="9"/>
        <v>1.2397025327463336</v>
      </c>
      <c r="Q31" s="11">
        <f t="shared" si="9"/>
        <v>8.6247901950635864E-2</v>
      </c>
      <c r="R31" s="11">
        <f t="shared" si="9"/>
        <v>1.0709701212625384</v>
      </c>
      <c r="S31" s="11">
        <f t="shared" si="9"/>
        <v>1.2407460569244535</v>
      </c>
      <c r="T31" s="11">
        <f t="shared" si="9"/>
        <v>0.99067324072929352</v>
      </c>
      <c r="U31" s="11">
        <f t="shared" si="9"/>
        <v>1.0698385890212037</v>
      </c>
      <c r="V31" s="11">
        <f t="shared" si="9"/>
        <v>0.78830079479662807</v>
      </c>
    </row>
    <row r="32" spans="1:22" x14ac:dyDescent="0.25">
      <c r="A32" s="140"/>
      <c r="B32" s="11">
        <f t="shared" ref="B32:M32" si="13">IF(B9="","",(B9/$O$23))</f>
        <v>7.5510918238413841E-2</v>
      </c>
      <c r="C32" s="11">
        <f t="shared" si="13"/>
        <v>2.6972375945300893E-2</v>
      </c>
      <c r="D32" s="11">
        <f t="shared" si="13"/>
        <v>0.11339210316221353</v>
      </c>
      <c r="E32" s="11">
        <f t="shared" si="13"/>
        <v>0.36786113165796713</v>
      </c>
      <c r="F32" s="11">
        <f t="shared" si="13"/>
        <v>1.3315117061201227</v>
      </c>
      <c r="G32" s="11">
        <f t="shared" si="13"/>
        <v>0.95623694285133554</v>
      </c>
      <c r="H32" s="11">
        <f t="shared" si="13"/>
        <v>1.2124535600309285</v>
      </c>
      <c r="I32" s="11">
        <f t="shared" si="13"/>
        <v>2.3678359864970485E-3</v>
      </c>
      <c r="J32" s="11">
        <f t="shared" si="13"/>
        <v>3.2990451125141179E-2</v>
      </c>
      <c r="K32" s="11">
        <f t="shared" si="13"/>
        <v>1.5381839745698607</v>
      </c>
      <c r="L32" s="11">
        <f t="shared" si="13"/>
        <v>1.2516590567631054</v>
      </c>
      <c r="M32" s="11">
        <f t="shared" si="13"/>
        <v>0.93592384368929804</v>
      </c>
      <c r="N32" s="6"/>
      <c r="O32" s="11">
        <f t="shared" si="9"/>
        <v>0.50540935274260368</v>
      </c>
      <c r="P32" s="11">
        <f t="shared" si="9"/>
        <v>0.43188490221675546</v>
      </c>
      <c r="Q32" s="11">
        <f t="shared" si="9"/>
        <v>0.17897487369795215</v>
      </c>
      <c r="R32" s="11">
        <f t="shared" si="9"/>
        <v>0.62816802834697805</v>
      </c>
      <c r="S32" s="11">
        <f t="shared" si="9"/>
        <v>1.4386384733534634</v>
      </c>
      <c r="T32" s="11">
        <f t="shared" si="9"/>
        <v>1.1483836900104563</v>
      </c>
      <c r="U32" s="11">
        <f t="shared" si="9"/>
        <v>1.1331205773328947</v>
      </c>
      <c r="V32" s="11">
        <f t="shared" si="9"/>
        <v>1.2709118683064105</v>
      </c>
    </row>
    <row r="33" spans="1:22" x14ac:dyDescent="0.25">
      <c r="A33" s="140"/>
      <c r="B33" s="11">
        <f t="shared" ref="B33:M33" si="14">IF(B10="","",(B10/$O$23))</f>
        <v>3.6313803226543234E-2</v>
      </c>
      <c r="C33" s="11">
        <f t="shared" si="14"/>
        <v>1.4630292794444597E-2</v>
      </c>
      <c r="D33" s="11">
        <f t="shared" si="14"/>
        <v>0</v>
      </c>
      <c r="E33" s="11">
        <f t="shared" si="14"/>
        <v>0.24895385653428437</v>
      </c>
      <c r="F33" s="11">
        <f t="shared" si="14"/>
        <v>0.63957974054384792</v>
      </c>
      <c r="G33" s="11">
        <f t="shared" si="14"/>
        <v>1.2325193984439335</v>
      </c>
      <c r="H33" s="11">
        <f t="shared" si="14"/>
        <v>1.4300765460606961</v>
      </c>
      <c r="I33" s="11">
        <f t="shared" si="14"/>
        <v>3.8111682232219751E-2</v>
      </c>
      <c r="J33" s="11">
        <f t="shared" si="14"/>
        <v>6.7456085024170789E-2</v>
      </c>
      <c r="K33" s="11">
        <f t="shared" si="14"/>
        <v>1.0501205920009051</v>
      </c>
      <c r="L33" s="11">
        <f t="shared" si="14"/>
        <v>0.84717818908741926</v>
      </c>
      <c r="M33" s="11">
        <f t="shared" si="14"/>
        <v>1.0119125199851644</v>
      </c>
      <c r="N33" s="6"/>
      <c r="O33" s="11">
        <f t="shared" si="9"/>
        <v>0.93635131142491346</v>
      </c>
      <c r="P33" s="11">
        <f t="shared" si="9"/>
        <v>0.12728480456971392</v>
      </c>
      <c r="Q33" s="11">
        <f t="shared" si="9"/>
        <v>6.5000240974458806E-2</v>
      </c>
      <c r="R33" s="11">
        <f t="shared" si="9"/>
        <v>1.1203552173065761</v>
      </c>
      <c r="S33" s="11">
        <f t="shared" si="9"/>
        <v>0.44174599615698124</v>
      </c>
      <c r="T33" s="11">
        <f t="shared" si="9"/>
        <v>1.1198481232280519</v>
      </c>
      <c r="U33" s="11">
        <f t="shared" si="9"/>
        <v>0.90405654308518557</v>
      </c>
      <c r="V33" s="11">
        <f t="shared" si="9"/>
        <v>0.94326203981736234</v>
      </c>
    </row>
    <row r="34" spans="1:22" x14ac:dyDescent="0.25">
      <c r="A34" s="140"/>
      <c r="B34" s="11">
        <f t="shared" ref="B34:M34" si="15">IF(B11="","",(B11/$O$23))</f>
        <v>1.1734408428657941E-2</v>
      </c>
      <c r="C34" s="11">
        <f t="shared" si="15"/>
        <v>9.3632197540384182E-2</v>
      </c>
      <c r="D34" s="11">
        <f t="shared" si="15"/>
        <v>2.8581666244088269E-2</v>
      </c>
      <c r="E34" s="11">
        <f t="shared" si="15"/>
        <v>2.7156773792036946E-3</v>
      </c>
      <c r="F34" s="11">
        <f t="shared" si="15"/>
        <v>1.1046227282918684</v>
      </c>
      <c r="G34" s="11">
        <f t="shared" si="15"/>
        <v>1.1500726066521523</v>
      </c>
      <c r="H34" s="11">
        <f t="shared" si="15"/>
        <v>1.3842075816851029</v>
      </c>
      <c r="I34" s="11">
        <f t="shared" si="15"/>
        <v>9.2659917984866808E-3</v>
      </c>
      <c r="J34" s="11">
        <f t="shared" si="15"/>
        <v>6.2318090476479841E-3</v>
      </c>
      <c r="K34" s="11">
        <f t="shared" si="15"/>
        <v>1.1859296061220086</v>
      </c>
      <c r="L34" s="11">
        <f t="shared" si="15"/>
        <v>1.2085099606268688</v>
      </c>
      <c r="M34" s="11">
        <f t="shared" si="15"/>
        <v>0.83811754943643413</v>
      </c>
      <c r="N34" s="6"/>
      <c r="O34" s="11">
        <f t="shared" si="9"/>
        <v>1.2326493151086795</v>
      </c>
      <c r="P34" s="11">
        <f t="shared" si="9"/>
        <v>0.93136837870288691</v>
      </c>
      <c r="Q34" s="11">
        <f t="shared" si="9"/>
        <v>7.5598926301628774E-2</v>
      </c>
      <c r="R34" s="11">
        <f t="shared" si="9"/>
        <v>1.1714124665516974</v>
      </c>
      <c r="S34" s="11">
        <f t="shared" si="9"/>
        <v>1.0626722181594161</v>
      </c>
      <c r="T34" s="11">
        <f t="shared" si="9"/>
        <v>0.93245800234269083</v>
      </c>
      <c r="U34" s="11">
        <f t="shared" si="9"/>
        <v>1.1123590561344763</v>
      </c>
      <c r="V34" s="11">
        <f t="shared" si="9"/>
        <v>1.4539393037724027</v>
      </c>
    </row>
    <row r="35" spans="1:22" x14ac:dyDescent="0.25">
      <c r="A35" s="140"/>
      <c r="B35" s="11">
        <f t="shared" ref="B35:M35" si="16">IF(B12="","",(B12/$O$23))</f>
        <v>1.5996513204352629E-2</v>
      </c>
      <c r="C35" s="11">
        <f t="shared" si="16"/>
        <v>3.2592319410597426E-2</v>
      </c>
      <c r="D35" s="11">
        <f t="shared" si="16"/>
        <v>6.7053762449473947E-4</v>
      </c>
      <c r="E35" s="11">
        <f t="shared" si="16"/>
        <v>0.89493304053190392</v>
      </c>
      <c r="F35" s="11">
        <f t="shared" si="16"/>
        <v>0.8714348876535164</v>
      </c>
      <c r="G35" s="11">
        <f t="shared" si="16"/>
        <v>0.91012071772670977</v>
      </c>
      <c r="H35" s="11">
        <f t="shared" si="16"/>
        <v>1.4040093959084632</v>
      </c>
      <c r="I35" s="11">
        <f t="shared" si="16"/>
        <v>0.10141043398452315</v>
      </c>
      <c r="J35" s="11">
        <f t="shared" si="16"/>
        <v>9.1268552414040222E-2</v>
      </c>
      <c r="K35" s="11">
        <f t="shared" si="16"/>
        <v>1.3169317036475152</v>
      </c>
      <c r="L35" s="11">
        <f t="shared" si="16"/>
        <v>1.024627589689646</v>
      </c>
      <c r="M35" s="11">
        <f t="shared" si="16"/>
        <v>1.1385393595108428</v>
      </c>
      <c r="N35" s="6"/>
      <c r="O35" s="11">
        <f t="shared" si="9"/>
        <v>1.1302875558694043</v>
      </c>
      <c r="P35" s="11">
        <f t="shared" si="9"/>
        <v>0.71373282009265993</v>
      </c>
      <c r="Q35" s="11">
        <f t="shared" si="9"/>
        <v>6.7472848464783151E-4</v>
      </c>
      <c r="R35" s="11">
        <f t="shared" si="9"/>
        <v>1.074134220678123</v>
      </c>
      <c r="S35" s="11">
        <f t="shared" si="9"/>
        <v>1.3817559284955441</v>
      </c>
      <c r="T35" s="11">
        <f t="shared" si="9"/>
        <v>1.0522160220774512</v>
      </c>
      <c r="U35" s="11" t="str">
        <f t="shared" si="9"/>
        <v/>
      </c>
      <c r="V35" s="11">
        <f t="shared" si="9"/>
        <v>1.2900557174857354</v>
      </c>
    </row>
    <row r="36" spans="1:22" x14ac:dyDescent="0.25">
      <c r="A36" s="140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0.72351428768997694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25">
      <c r="A37" s="140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1.1021501208015438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25">
      <c r="A38" s="140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3" si="20">IF(O15="","",(O15/$O$23))</f>
        <v>0.98551429188083706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25">
      <c r="A39" s="140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1.4025509765751871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25">
      <c r="A40" s="140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0.90379670975569382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25">
      <c r="A41" s="140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1.2242927399634138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25">
      <c r="A42" s="140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1.0988938224625913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25">
      <c r="A43" s="140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0.71090398948932276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2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>testosterone-3.7µg/L</v>
      </c>
      <c r="J45" s="7" t="str">
        <f t="shared" si="27"/>
        <v>testosterone-11µg/L</v>
      </c>
      <c r="K45" s="7" t="str">
        <f t="shared" si="27"/>
        <v>testosterone-33µg/L</v>
      </c>
      <c r="L45" s="7" t="str">
        <f t="shared" si="27"/>
        <v>testosterone-100µg/L</v>
      </c>
      <c r="M45" s="7" t="str">
        <f t="shared" si="27"/>
        <v>testosterone-300µg/L</v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testosterone-3.7µg/L + Testostérone</v>
      </c>
      <c r="S45" s="7" t="str">
        <f t="shared" si="27"/>
        <v>testosterone-11µg/L + Testostérone</v>
      </c>
      <c r="T45" s="7" t="str">
        <f t="shared" si="27"/>
        <v>testosterone-33µg/L + Testostérone</v>
      </c>
      <c r="U45" s="7" t="str">
        <f t="shared" si="27"/>
        <v>testosterone-100µg/L + Testostérone</v>
      </c>
      <c r="V45" s="7" t="str">
        <f t="shared" si="27"/>
        <v>testosterone-300µg/L + Testostérone</v>
      </c>
    </row>
    <row r="46" spans="1:22" x14ac:dyDescent="0.25">
      <c r="A46" s="8" t="s">
        <v>0</v>
      </c>
      <c r="B46" s="10">
        <f t="shared" ref="B46:H46" si="28">AVERAGE(B28:B43)</f>
        <v>2.9161576517772389E-2</v>
      </c>
      <c r="C46" s="10">
        <f t="shared" si="28"/>
        <v>3.7128401668800513E-2</v>
      </c>
      <c r="D46" s="10">
        <f t="shared" si="28"/>
        <v>5.4355980043123954E-2</v>
      </c>
      <c r="E46" s="10">
        <f t="shared" si="28"/>
        <v>0.43929067596478832</v>
      </c>
      <c r="F46" s="10">
        <f t="shared" si="28"/>
        <v>0.98730116987861183</v>
      </c>
      <c r="G46" s="10">
        <f t="shared" si="28"/>
        <v>1.0617978999599773</v>
      </c>
      <c r="H46" s="10">
        <f t="shared" si="28"/>
        <v>1.4028013804693347</v>
      </c>
      <c r="I46" s="10">
        <f>AVERAGE(I28:I43)</f>
        <v>3.4966441687324108E-2</v>
      </c>
      <c r="J46" s="9">
        <f>AVERAGE(J28:J43)</f>
        <v>3.4269187329353412E-2</v>
      </c>
      <c r="K46" s="9">
        <f t="shared" ref="K46:M46" si="29">AVERAGE(K28:K43)</f>
        <v>1.1180727700956983</v>
      </c>
      <c r="L46" s="9">
        <f t="shared" si="29"/>
        <v>1.0677457782322533</v>
      </c>
      <c r="M46" s="9">
        <f t="shared" si="29"/>
        <v>1.0536953957114927</v>
      </c>
      <c r="N46" s="8" t="s">
        <v>0</v>
      </c>
      <c r="O46" s="10">
        <f t="shared" ref="O46:V46" si="30">AVERAGE(O28:O43)</f>
        <v>0.99999999999999978</v>
      </c>
      <c r="P46" s="10">
        <f t="shared" si="30"/>
        <v>0.81190476689388114</v>
      </c>
      <c r="Q46" s="10">
        <f t="shared" si="30"/>
        <v>6.4546056505367433E-2</v>
      </c>
      <c r="R46" s="10">
        <f t="shared" si="30"/>
        <v>1.0890693985487052</v>
      </c>
      <c r="S46" s="10">
        <f t="shared" si="30"/>
        <v>1.0446242789101248</v>
      </c>
      <c r="T46" s="10">
        <f t="shared" si="30"/>
        <v>0.95382719826330764</v>
      </c>
      <c r="U46" s="10">
        <f t="shared" si="30"/>
        <v>1.0203493201676463</v>
      </c>
      <c r="V46" s="10">
        <f t="shared" si="30"/>
        <v>1.1029196674971555</v>
      </c>
    </row>
    <row r="47" spans="1:22" x14ac:dyDescent="0.25">
      <c r="A47" s="8" t="s">
        <v>1</v>
      </c>
      <c r="B47" s="8">
        <f t="shared" ref="B47:M47" si="31">STDEV(B28:B43)</f>
        <v>2.7069206513801257E-2</v>
      </c>
      <c r="C47" s="8">
        <f t="shared" si="31"/>
        <v>2.8755508242549584E-2</v>
      </c>
      <c r="D47" s="8">
        <f t="shared" si="31"/>
        <v>9.256997707853544E-2</v>
      </c>
      <c r="E47" s="8">
        <f t="shared" si="31"/>
        <v>0.32891053879592358</v>
      </c>
      <c r="F47" s="8">
        <f t="shared" si="31"/>
        <v>0.20298233900252594</v>
      </c>
      <c r="G47" s="8">
        <f t="shared" si="31"/>
        <v>0.13316581764484409</v>
      </c>
      <c r="H47" s="8">
        <f t="shared" si="31"/>
        <v>0.22416350372708627</v>
      </c>
      <c r="I47" s="8">
        <f t="shared" si="31"/>
        <v>3.4474864523350669E-2</v>
      </c>
      <c r="J47" s="8">
        <f t="shared" si="31"/>
        <v>3.1692900676556134E-2</v>
      </c>
      <c r="K47" s="8">
        <f t="shared" si="31"/>
        <v>0.28687706311503985</v>
      </c>
      <c r="L47" s="8">
        <f t="shared" si="31"/>
        <v>0.13260740658716041</v>
      </c>
      <c r="M47" s="8">
        <f t="shared" si="31"/>
        <v>0.21492337131743638</v>
      </c>
      <c r="N47" s="8" t="s">
        <v>1</v>
      </c>
      <c r="O47" s="8">
        <f t="shared" ref="O47:V47" si="32">STDEV(O28:O43)</f>
        <v>0.2501301054895374</v>
      </c>
      <c r="P47" s="8">
        <f t="shared" si="32"/>
        <v>0.37988730871340165</v>
      </c>
      <c r="Q47" s="8">
        <f t="shared" si="32"/>
        <v>6.0716886142682974E-2</v>
      </c>
      <c r="R47" s="8">
        <f t="shared" si="32"/>
        <v>0.19897763854202086</v>
      </c>
      <c r="S47" s="8">
        <f t="shared" si="32"/>
        <v>0.34696624226792805</v>
      </c>
      <c r="T47" s="8">
        <f t="shared" si="32"/>
        <v>0.22542691724421096</v>
      </c>
      <c r="U47" s="8">
        <f t="shared" si="32"/>
        <v>0.17977259014398911</v>
      </c>
      <c r="V47" s="8">
        <f t="shared" si="32"/>
        <v>0.25873487750027252</v>
      </c>
    </row>
    <row r="48" spans="1:22" x14ac:dyDescent="0.25">
      <c r="A48" s="8" t="s">
        <v>2</v>
      </c>
      <c r="B48" s="8">
        <f t="shared" ref="B48:M48" si="33" xml:space="preserve"> B47/SQRT(COUNT(B28:B43))</f>
        <v>9.5704097436239647E-3</v>
      </c>
      <c r="C48" s="8">
        <f t="shared" si="33"/>
        <v>1.0166607437386236E-2</v>
      </c>
      <c r="D48" s="8">
        <f t="shared" si="33"/>
        <v>3.2728429263257836E-2</v>
      </c>
      <c r="E48" s="8">
        <f t="shared" si="33"/>
        <v>0.11628743619315929</v>
      </c>
      <c r="F48" s="8">
        <f t="shared" si="33"/>
        <v>7.176509418489635E-2</v>
      </c>
      <c r="G48" s="8">
        <f t="shared" si="33"/>
        <v>4.7081226339460228E-2</v>
      </c>
      <c r="H48" s="8">
        <f t="shared" si="33"/>
        <v>7.9253766789979307E-2</v>
      </c>
      <c r="I48" s="8">
        <f t="shared" si="33"/>
        <v>1.2188705242474396E-2</v>
      </c>
      <c r="J48" s="8">
        <f t="shared" si="33"/>
        <v>1.1205132491932281E-2</v>
      </c>
      <c r="K48" s="8">
        <f t="shared" si="33"/>
        <v>0.10142635834776292</v>
      </c>
      <c r="L48" s="8">
        <f t="shared" si="33"/>
        <v>4.6883798216671387E-2</v>
      </c>
      <c r="M48" s="8">
        <f t="shared" si="33"/>
        <v>7.5986886647016791E-2</v>
      </c>
      <c r="N48" s="8" t="s">
        <v>2</v>
      </c>
      <c r="O48" s="8">
        <f t="shared" ref="O48:V48" si="34" xml:space="preserve"> O47/SQRT(COUNT(O28:O43))</f>
        <v>6.2532526372384351E-2</v>
      </c>
      <c r="P48" s="8">
        <f t="shared" si="34"/>
        <v>0.13431044603897685</v>
      </c>
      <c r="Q48" s="8">
        <f t="shared" si="34"/>
        <v>2.1466660962011323E-2</v>
      </c>
      <c r="R48" s="8">
        <f t="shared" si="34"/>
        <v>7.034921875877434E-2</v>
      </c>
      <c r="S48" s="8">
        <f t="shared" si="34"/>
        <v>0.12267109137523322</v>
      </c>
      <c r="T48" s="8">
        <f t="shared" si="34"/>
        <v>7.9700450922680119E-2</v>
      </c>
      <c r="U48" s="8">
        <f t="shared" si="34"/>
        <v>6.7947652295276634E-2</v>
      </c>
      <c r="V48" s="8">
        <f t="shared" si="34"/>
        <v>9.1476593204956685E-2</v>
      </c>
    </row>
    <row r="49" spans="1:22" ht="15.75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7" thickBot="1" x14ac:dyDescent="0.4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ht="15.75" thickBot="1" x14ac:dyDescent="0.3"/>
    <row r="52" spans="1:22" x14ac:dyDescent="0.2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>testosterone-3.7µg/L</v>
      </c>
      <c r="J52" s="30" t="str">
        <f>J4</f>
        <v>testosterone-11µg/L</v>
      </c>
      <c r="K52" s="30" t="str">
        <f t="shared" ref="K52:M52" si="37">K4</f>
        <v>testosterone-33µg/L</v>
      </c>
      <c r="L52" s="30" t="str">
        <f t="shared" si="37"/>
        <v>testosterone-100µg/L</v>
      </c>
      <c r="M52" s="30" t="str">
        <f t="shared" si="37"/>
        <v>testosterone-300µg/L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testosterone-3.7µg/L + Testostérone</v>
      </c>
      <c r="S52" s="30" t="str">
        <f t="shared" ref="S52:V52" si="38">S27</f>
        <v>testosterone-11µg/L + Testostérone</v>
      </c>
      <c r="T52" s="30" t="str">
        <f t="shared" si="38"/>
        <v>testosterone-33µg/L + Testostérone</v>
      </c>
      <c r="U52" s="30" t="str">
        <f t="shared" si="38"/>
        <v>testosterone-100µg/L + Testostérone</v>
      </c>
      <c r="V52" s="30" t="str">
        <f t="shared" si="38"/>
        <v>testosterone-300µg/L + Testostérone</v>
      </c>
    </row>
    <row r="53" spans="1:22" s="3" customFormat="1" x14ac:dyDescent="0.25">
      <c r="A53" s="45" t="s">
        <v>10</v>
      </c>
      <c r="B53" s="77">
        <f t="shared" ref="B53:V53" si="39">B46</f>
        <v>2.9161576517772389E-2</v>
      </c>
      <c r="C53" s="77">
        <f t="shared" si="39"/>
        <v>3.7128401668800513E-2</v>
      </c>
      <c r="D53" s="77">
        <f t="shared" si="39"/>
        <v>5.4355980043123954E-2</v>
      </c>
      <c r="E53" s="77">
        <f t="shared" si="39"/>
        <v>0.43929067596478832</v>
      </c>
      <c r="F53" s="77">
        <f t="shared" si="39"/>
        <v>0.98730116987861183</v>
      </c>
      <c r="G53" s="77">
        <f t="shared" si="39"/>
        <v>1.0617978999599773</v>
      </c>
      <c r="H53" s="77">
        <f t="shared" si="39"/>
        <v>1.4028013804693347</v>
      </c>
      <c r="I53" s="77">
        <f t="shared" si="39"/>
        <v>3.4966441687324108E-2</v>
      </c>
      <c r="J53" s="77">
        <f t="shared" si="39"/>
        <v>3.4269187329353412E-2</v>
      </c>
      <c r="K53" s="77">
        <f t="shared" si="39"/>
        <v>1.1180727700956983</v>
      </c>
      <c r="L53" s="77">
        <f t="shared" si="39"/>
        <v>1.0677457782322533</v>
      </c>
      <c r="M53" s="77">
        <f t="shared" si="39"/>
        <v>1.0536953957114927</v>
      </c>
      <c r="N53" s="77"/>
      <c r="O53" s="77">
        <f t="shared" si="39"/>
        <v>0.99999999999999978</v>
      </c>
      <c r="P53" s="77">
        <f t="shared" si="39"/>
        <v>0.81190476689388114</v>
      </c>
      <c r="Q53" s="77">
        <f t="shared" si="39"/>
        <v>6.4546056505367433E-2</v>
      </c>
      <c r="R53" s="77">
        <f t="shared" si="39"/>
        <v>1.0890693985487052</v>
      </c>
      <c r="S53" s="77">
        <f t="shared" si="39"/>
        <v>1.0446242789101248</v>
      </c>
      <c r="T53" s="77">
        <f t="shared" si="39"/>
        <v>0.95382719826330764</v>
      </c>
      <c r="U53" s="77">
        <f t="shared" si="39"/>
        <v>1.0203493201676463</v>
      </c>
      <c r="V53" s="77">
        <f t="shared" si="39"/>
        <v>1.1029196674971555</v>
      </c>
    </row>
    <row r="54" spans="1:22" s="3" customFormat="1" x14ac:dyDescent="0.25">
      <c r="A54" s="45" t="s">
        <v>2</v>
      </c>
      <c r="B54" s="77">
        <f t="shared" ref="B54:V54" si="40">B48</f>
        <v>9.5704097436239647E-3</v>
      </c>
      <c r="C54" s="77">
        <f t="shared" si="40"/>
        <v>1.0166607437386236E-2</v>
      </c>
      <c r="D54" s="77">
        <f t="shared" si="40"/>
        <v>3.2728429263257836E-2</v>
      </c>
      <c r="E54" s="77">
        <f t="shared" si="40"/>
        <v>0.11628743619315929</v>
      </c>
      <c r="F54" s="77">
        <f t="shared" si="40"/>
        <v>7.176509418489635E-2</v>
      </c>
      <c r="G54" s="77">
        <f t="shared" si="40"/>
        <v>4.7081226339460228E-2</v>
      </c>
      <c r="H54" s="77">
        <f t="shared" si="40"/>
        <v>7.9253766789979307E-2</v>
      </c>
      <c r="I54" s="77">
        <f t="shared" si="40"/>
        <v>1.2188705242474396E-2</v>
      </c>
      <c r="J54" s="77">
        <f t="shared" si="40"/>
        <v>1.1205132491932281E-2</v>
      </c>
      <c r="K54" s="77">
        <f t="shared" si="40"/>
        <v>0.10142635834776292</v>
      </c>
      <c r="L54" s="77">
        <f t="shared" si="40"/>
        <v>4.6883798216671387E-2</v>
      </c>
      <c r="M54" s="77">
        <f t="shared" si="40"/>
        <v>7.5986886647016791E-2</v>
      </c>
      <c r="N54" s="77"/>
      <c r="O54" s="77">
        <f t="shared" si="40"/>
        <v>6.2532526372384351E-2</v>
      </c>
      <c r="P54" s="77">
        <f t="shared" si="40"/>
        <v>0.13431044603897685</v>
      </c>
      <c r="Q54" s="77">
        <f t="shared" si="40"/>
        <v>2.1466660962011323E-2</v>
      </c>
      <c r="R54" s="77">
        <f t="shared" si="40"/>
        <v>7.034921875877434E-2</v>
      </c>
      <c r="S54" s="77">
        <f t="shared" si="40"/>
        <v>0.12267109137523322</v>
      </c>
      <c r="T54" s="77">
        <f t="shared" si="40"/>
        <v>7.9700450922680119E-2</v>
      </c>
      <c r="U54" s="77">
        <f t="shared" si="40"/>
        <v>6.7947652295276634E-2</v>
      </c>
      <c r="V54" s="77">
        <f t="shared" si="40"/>
        <v>9.1476593204956685E-2</v>
      </c>
    </row>
    <row r="55" spans="1:22" s="3" customFormat="1" x14ac:dyDescent="0.25">
      <c r="A55" s="45" t="s">
        <v>14</v>
      </c>
      <c r="B55" s="77">
        <f>(B53*100/$B53)-100</f>
        <v>0</v>
      </c>
      <c r="C55" s="77">
        <f t="shared" ref="C55:M55" si="41">(C53*100/$B53)-100</f>
        <v>27.319596888641399</v>
      </c>
      <c r="D55" s="77">
        <f t="shared" si="41"/>
        <v>86.395889844971009</v>
      </c>
      <c r="E55" s="77">
        <f t="shared" si="41"/>
        <v>1406.4023568721143</v>
      </c>
      <c r="F55" s="77">
        <f t="shared" si="41"/>
        <v>3285.623439380603</v>
      </c>
      <c r="G55" s="77">
        <f t="shared" si="41"/>
        <v>3541.0853827222595</v>
      </c>
      <c r="H55" s="77">
        <f t="shared" si="41"/>
        <v>4710.444248836835</v>
      </c>
      <c r="I55" s="77">
        <f t="shared" si="41"/>
        <v>19.905868827132764</v>
      </c>
      <c r="J55" s="77">
        <f t="shared" si="41"/>
        <v>17.514865180448027</v>
      </c>
      <c r="K55" s="77">
        <f t="shared" si="41"/>
        <v>3734.0614726857925</v>
      </c>
      <c r="L55" s="77">
        <f t="shared" si="41"/>
        <v>3561.4816677744448</v>
      </c>
      <c r="M55" s="77">
        <f t="shared" si="41"/>
        <v>3513.300519158568</v>
      </c>
      <c r="N55" s="77"/>
      <c r="O55" s="77">
        <f t="shared" ref="O55:V55" si="42">(O53*100/$O53)-100</f>
        <v>0</v>
      </c>
      <c r="P55" s="77">
        <f t="shared" si="42"/>
        <v>-18.809523310611866</v>
      </c>
      <c r="Q55" s="77">
        <f t="shared" si="42"/>
        <v>-93.545394349463251</v>
      </c>
      <c r="R55" s="77">
        <f t="shared" si="42"/>
        <v>8.9069398548705436</v>
      </c>
      <c r="S55" s="77">
        <f t="shared" si="42"/>
        <v>4.4624278910125099</v>
      </c>
      <c r="T55" s="77">
        <f t="shared" si="42"/>
        <v>-4.6172801736692151</v>
      </c>
      <c r="U55" s="77">
        <f t="shared" si="42"/>
        <v>2.0349320167646567</v>
      </c>
      <c r="V55" s="77">
        <f t="shared" si="42"/>
        <v>10.291966749715584</v>
      </c>
    </row>
    <row r="56" spans="1:22" s="3" customFormat="1" x14ac:dyDescent="0.25">
      <c r="A56" s="45" t="s">
        <v>37</v>
      </c>
      <c r="B56" s="77">
        <f>[1]!SWTEST(B28:B43)</f>
        <v>0.46970448741794701</v>
      </c>
      <c r="C56" s="77">
        <f>[1]!SWTEST(C28:C43)</f>
        <v>5.7757437026595748E-2</v>
      </c>
      <c r="D56" s="77">
        <f>[1]!SWTEST(D28:D43)</f>
        <v>1.0703476097166931E-3</v>
      </c>
      <c r="E56" s="77">
        <f>[1]!SWTEST(E28:E43)</f>
        <v>0.69767536790255147</v>
      </c>
      <c r="F56" s="77">
        <f>[1]!SWTEST(F28:F43)</f>
        <v>0.91820273227296056</v>
      </c>
      <c r="G56" s="77">
        <f>[1]!SWTEST(G28:G43)</f>
        <v>0.25878274104881438</v>
      </c>
      <c r="H56" s="77">
        <f>[1]!SWTEST(H28:H43)</f>
        <v>2.5255816879409254E-2</v>
      </c>
      <c r="I56" s="77">
        <f>[1]!SWTEST(I28:I43)</f>
        <v>0.10780824825703328</v>
      </c>
      <c r="J56" s="77">
        <f>[1]!SWTEST(J28:J43)</f>
        <v>0.21744442872007541</v>
      </c>
      <c r="K56" s="77">
        <f>[1]!SWTEST(K28:K43)</f>
        <v>0.93803159513938672</v>
      </c>
      <c r="L56" s="77">
        <f>[1]!SWTEST(L28:L43)</f>
        <v>0.94561447479442307</v>
      </c>
      <c r="M56" s="77">
        <f>[1]!SWTEST(M28:M43)</f>
        <v>0.54742233605866741</v>
      </c>
      <c r="N56" s="77"/>
      <c r="O56" s="77">
        <f>[1]!SWTEST(O28:O43)</f>
        <v>0.71361598927128023</v>
      </c>
      <c r="P56" s="77">
        <f>[1]!SWTEST(P28:P43)</f>
        <v>0.53943799745641741</v>
      </c>
      <c r="Q56" s="77">
        <f>[1]!SWTEST(Q28:Q43)</f>
        <v>0.28854739879510616</v>
      </c>
      <c r="R56" s="77">
        <f>[1]!SWTEST(R28:R43)</f>
        <v>8.0884931097993107E-3</v>
      </c>
      <c r="S56" s="77">
        <f>[1]!SWTEST(S28:S43)</f>
        <v>0.56998525417770551</v>
      </c>
      <c r="T56" s="77">
        <f>[1]!SWTEST(T28:T43)</f>
        <v>9.6581631007831348E-2</v>
      </c>
      <c r="U56" s="77">
        <f>[1]!SWTEST(U28:U43)</f>
        <v>0.64710041109105831</v>
      </c>
      <c r="V56" s="77">
        <f>[1]!SWTEST(V28:V43)</f>
        <v>0.55089019960259122</v>
      </c>
    </row>
    <row r="57" spans="1:22" s="3" customFormat="1" x14ac:dyDescent="0.25">
      <c r="A57" s="45" t="s">
        <v>38</v>
      </c>
      <c r="B57" s="77" t="str">
        <f>IF(B56&gt;0.05,"Oui","Non")</f>
        <v>Oui</v>
      </c>
      <c r="C57" s="77" t="str">
        <f t="shared" ref="C57:V57" si="43">IF(C56&gt;0.05,"Oui","Non")</f>
        <v>Oui</v>
      </c>
      <c r="D57" s="77" t="str">
        <f t="shared" si="43"/>
        <v>Non</v>
      </c>
      <c r="E57" s="77" t="str">
        <f t="shared" si="43"/>
        <v>Oui</v>
      </c>
      <c r="F57" s="77" t="str">
        <f t="shared" si="43"/>
        <v>Oui</v>
      </c>
      <c r="G57" s="77" t="str">
        <f t="shared" si="43"/>
        <v>Oui</v>
      </c>
      <c r="H57" s="77" t="str">
        <f t="shared" si="43"/>
        <v>Non</v>
      </c>
      <c r="I57" s="77" t="str">
        <f t="shared" si="43"/>
        <v>Oui</v>
      </c>
      <c r="J57" s="77" t="str">
        <f t="shared" si="43"/>
        <v>Oui</v>
      </c>
      <c r="K57" s="77" t="str">
        <f t="shared" si="43"/>
        <v>Oui</v>
      </c>
      <c r="L57" s="77" t="str">
        <f t="shared" si="43"/>
        <v>Oui</v>
      </c>
      <c r="M57" s="77" t="str">
        <f t="shared" si="43"/>
        <v>Oui</v>
      </c>
      <c r="N57" s="77"/>
      <c r="O57" s="77" t="str">
        <f t="shared" si="43"/>
        <v>Oui</v>
      </c>
      <c r="P57" s="77" t="str">
        <f t="shared" si="43"/>
        <v>Oui</v>
      </c>
      <c r="Q57" s="77" t="str">
        <f t="shared" si="43"/>
        <v>Oui</v>
      </c>
      <c r="R57" s="77" t="str">
        <f t="shared" si="43"/>
        <v>Non</v>
      </c>
      <c r="S57" s="77" t="str">
        <f t="shared" si="43"/>
        <v>Oui</v>
      </c>
      <c r="T57" s="77" t="str">
        <f t="shared" si="43"/>
        <v>Oui</v>
      </c>
      <c r="U57" s="77" t="str">
        <f t="shared" si="43"/>
        <v>Oui</v>
      </c>
      <c r="V57" s="77" t="str">
        <f t="shared" si="43"/>
        <v>Oui</v>
      </c>
    </row>
    <row r="58" spans="1:22" s="3" customFormat="1" x14ac:dyDescent="0.25">
      <c r="A58" s="45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9"/>
      <c r="O58" s="80"/>
      <c r="P58" s="77"/>
      <c r="Q58" s="77"/>
      <c r="R58" s="77"/>
      <c r="S58" s="77"/>
      <c r="T58" s="77"/>
      <c r="U58" s="77"/>
      <c r="V58" s="77"/>
    </row>
    <row r="59" spans="1:22" s="3" customFormat="1" x14ac:dyDescent="0.25">
      <c r="A59" s="45" t="s">
        <v>39</v>
      </c>
      <c r="B59" s="81"/>
      <c r="C59" s="81" t="str">
        <f t="shared" ref="C59:O59" si="44">IF($B57="Non",IF(C57="Non","MW",IF(C57="Oui","MW","")),IF($B57="Oui",IF(C57="Oui","T-Test Welch",IF(C57="Non","MW",""))))</f>
        <v>T-Test Welch</v>
      </c>
      <c r="D59" s="81" t="str">
        <f t="shared" si="44"/>
        <v>MW</v>
      </c>
      <c r="E59" s="81" t="str">
        <f t="shared" si="44"/>
        <v>T-Test Welch</v>
      </c>
      <c r="F59" s="81" t="str">
        <f t="shared" si="44"/>
        <v>T-Test Welch</v>
      </c>
      <c r="G59" s="81" t="str">
        <f t="shared" si="44"/>
        <v>T-Test Welch</v>
      </c>
      <c r="H59" s="81" t="str">
        <f t="shared" si="44"/>
        <v>MW</v>
      </c>
      <c r="I59" s="81" t="str">
        <f t="shared" si="44"/>
        <v>T-Test Welch</v>
      </c>
      <c r="J59" s="81" t="str">
        <f t="shared" si="44"/>
        <v>T-Test Welch</v>
      </c>
      <c r="K59" s="81" t="str">
        <f t="shared" si="44"/>
        <v>T-Test Welch</v>
      </c>
      <c r="L59" s="81" t="str">
        <f t="shared" si="44"/>
        <v>T-Test Welch</v>
      </c>
      <c r="M59" s="81" t="str">
        <f t="shared" si="44"/>
        <v>T-Test Welch</v>
      </c>
      <c r="N59" s="81"/>
      <c r="O59" s="81" t="str">
        <f t="shared" si="44"/>
        <v>T-Test Welch</v>
      </c>
      <c r="P59" s="81" t="str">
        <f t="shared" ref="P59:V59" si="45">IF($O57="Non",IF(P57="Non","MW",IF(P57="Oui","MW","")),IF($O57="Oui",IF(P57="Oui","T-Test Welch",IF(P57="Non","MW",""))))</f>
        <v>T-Test Welch</v>
      </c>
      <c r="Q59" s="81" t="str">
        <f t="shared" si="45"/>
        <v>T-Test Welch</v>
      </c>
      <c r="R59" s="81" t="str">
        <f t="shared" si="45"/>
        <v>MW</v>
      </c>
      <c r="S59" s="81" t="str">
        <f t="shared" si="45"/>
        <v>T-Test Welch</v>
      </c>
      <c r="T59" s="81" t="str">
        <f t="shared" si="45"/>
        <v>T-Test Welch</v>
      </c>
      <c r="U59" s="81" t="str">
        <f t="shared" si="45"/>
        <v>T-Test Welch</v>
      </c>
      <c r="V59" s="81" t="str">
        <f t="shared" si="45"/>
        <v>T-Test Welch</v>
      </c>
    </row>
    <row r="60" spans="1:22" s="3" customFormat="1" x14ac:dyDescent="0.25">
      <c r="A60" s="45" t="s">
        <v>40</v>
      </c>
      <c r="B60" s="82"/>
      <c r="C60" s="82">
        <f>IF(C59="MW",[1]!MTEST($B28:$B43,C28:C43,2), IF(C59="T-Test Welch",_xlfn.T.TEST($B28:$B43,C28:C43,2,3),""))</f>
        <v>0.57735710090221048</v>
      </c>
      <c r="D60" s="82">
        <f>IF(D59="MW",[1]!MTEST($B28:$B43,D28:D43,2), IF(D59="T-Test Welch",_xlfn.T.TEST($B28:$B43,D28:D43,2,3),""))</f>
        <v>0.87482597694924369</v>
      </c>
      <c r="E60" s="82">
        <f>IF(E59="MW",[1]!MTEST($B28:$B43,E28:E43,2), IF(E59="T-Test Welch",_xlfn.T.TEST($B28:$B43,E28:E43,2,3),""))</f>
        <v>9.5826763279999311E-3</v>
      </c>
      <c r="F60" s="82">
        <f>IF(F59="MW",[1]!MTEST($B28:$B43,F28:F43,2), IF(F59="T-Test Welch",_xlfn.T.TEST($B28:$B43,F28:F43,2,3),""))</f>
        <v>2.4373891326851126E-6</v>
      </c>
      <c r="G60" s="82">
        <f>IF(G59="MW",[1]!MTEST($B28:$B43,G28:G43,2), IF(G59="T-Test Welch",_xlfn.T.TEST($B28:$B43,G28:G43,2,3),""))</f>
        <v>4.5777753014319858E-8</v>
      </c>
      <c r="H60" s="82">
        <f>IF(H59="MW",[1]!MTEST($B28:$B43,H28:H43,2), IF(H59="T-Test Welch",_xlfn.T.TEST($B28:$B43,H28:H43,2,3),""))</f>
        <v>7.7753044694039986E-4</v>
      </c>
      <c r="I60" s="82">
        <f>IF(I59="MW",[1]!MTEST($B28:$B43,I28:I43,2), IF(I59="T-Test Welch",_xlfn.T.TEST($B28:$B43,I28:I43,2,3),""))</f>
        <v>0.7138979321350869</v>
      </c>
      <c r="J60" s="82">
        <f>IF(J59="MW",[1]!MTEST($B28:$B43,J28:J43,2), IF(J59="T-Test Welch",_xlfn.T.TEST($B28:$B43,J28:J43,2,3),""))</f>
        <v>0.7341639466729053</v>
      </c>
      <c r="K60" s="82">
        <f>IF(K59="MW",[1]!MTEST($B28:$B43,K28:K43,2), IF(K59="T-Test Welch",_xlfn.T.TEST($B28:$B43,K28:K43,2,3),""))</f>
        <v>1.2137675112702471E-5</v>
      </c>
      <c r="L60" s="82">
        <f>IF(L59="MW",[1]!MTEST($B28:$B43,L28:L43,2), IF(L59="T-Test Welch",_xlfn.T.TEST($B28:$B43,L28:L43,2,3),""))</f>
        <v>4.2215747276108919E-8</v>
      </c>
      <c r="M60" s="82">
        <f>IF(M59="MW",[1]!MTEST($B28:$B43,M28:M43,2), IF(M59="T-Test Welch",_xlfn.T.TEST($B28:$B43,M28:M43,2,3),""))</f>
        <v>2.3347481689749575E-6</v>
      </c>
      <c r="N60" s="82"/>
      <c r="O60" s="82">
        <f>IF(O59="MW",[1]!MTEST($B28:$B43,O28:O43,2), IF(O59="T-Test Welch",_xlfn.T.TEST($B28:$B43,O28:O43,2,3),""))</f>
        <v>7.2436335564046338E-11</v>
      </c>
      <c r="P60" s="82">
        <f>IF(P59="MW",[1]!MTEST($O28:$O43,P28:P43,2), IF(P59="T-Test Welch",_xlfn.T.TEST($O28:$O43,P28:P43,2,3),""))</f>
        <v>0.23258947640464689</v>
      </c>
      <c r="Q60" s="82">
        <f>IF(Q59="MW",[1]!MTEST($O28:$O43,Q28:Q43,2), IF(Q59="T-Test Welch",_xlfn.T.TEST($O28:$O43,Q28:Q43,2,3),""))</f>
        <v>2.8956834623414583E-11</v>
      </c>
      <c r="R60" s="82">
        <f>IF(R59="MW",[1]!MTEST($O28:$O43,R28:R43,2), IF(R59="T-Test Welch",_xlfn.T.TEST($O28:$O43,R28:R43,2,3),""))</f>
        <v>0.35832646674888036</v>
      </c>
      <c r="S60" s="82">
        <f>IF(S59="MW",[1]!MTEST($O28:$O43,S28:S43,2), IF(S59="T-Test Welch",_xlfn.T.TEST($O28:$O43,S28:S43,2,3),""))</f>
        <v>0.75207410691451193</v>
      </c>
      <c r="T60" s="82">
        <f>IF(T59="MW",[1]!MTEST($O28:$O43,T28:T43,2), IF(T59="T-Test Welch",_xlfn.T.TEST($O28:$O43,T28:T43,2,3),""))</f>
        <v>0.65485477924323576</v>
      </c>
      <c r="U60" s="82">
        <f>IF(U59="MW",[1]!MTEST($O28:$O43,U28:U43,2), IF(U59="T-Test Welch",_xlfn.T.TEST($O28:$O43,U28:U43,2,3),""))</f>
        <v>0.82838919041992021</v>
      </c>
      <c r="V60" s="82">
        <f>IF(V59="MW",[1]!MTEST($O28:$O43,V28:V43,2), IF(V59="T-Test Welch",_xlfn.T.TEST($O28:$O43,V28:V43,2,3),""))</f>
        <v>0.36908783087469144</v>
      </c>
    </row>
    <row r="61" spans="1:22" s="3" customFormat="1" ht="15.75" thickBot="1" x14ac:dyDescent="0.3">
      <c r="A61" s="46" t="s">
        <v>15</v>
      </c>
      <c r="B61" s="78"/>
      <c r="C61" s="78" t="str">
        <f t="shared" ref="C61:O61" si="46">IF(C60&gt;0.05,"NS",IF(C60&gt;0.01,"*",IF(C60&gt;0.001,"**","***")))</f>
        <v>NS</v>
      </c>
      <c r="D61" s="78" t="str">
        <f t="shared" si="46"/>
        <v>NS</v>
      </c>
      <c r="E61" s="78" t="str">
        <f t="shared" si="46"/>
        <v>**</v>
      </c>
      <c r="F61" s="78" t="str">
        <f t="shared" si="46"/>
        <v>***</v>
      </c>
      <c r="G61" s="78" t="str">
        <f t="shared" si="46"/>
        <v>***</v>
      </c>
      <c r="H61" s="78" t="str">
        <f t="shared" si="46"/>
        <v>***</v>
      </c>
      <c r="I61" s="78" t="str">
        <f t="shared" si="46"/>
        <v>NS</v>
      </c>
      <c r="J61" s="78" t="str">
        <f t="shared" si="46"/>
        <v>NS</v>
      </c>
      <c r="K61" s="78" t="str">
        <f t="shared" si="46"/>
        <v>***</v>
      </c>
      <c r="L61" s="78" t="str">
        <f t="shared" si="46"/>
        <v>***</v>
      </c>
      <c r="M61" s="78" t="str">
        <f t="shared" si="46"/>
        <v>***</v>
      </c>
      <c r="N61" s="78"/>
      <c r="O61" s="78" t="str">
        <f t="shared" si="46"/>
        <v>***</v>
      </c>
      <c r="P61" s="78" t="str">
        <f>IF(P60&gt;0.05,"NS",IF(P60&gt;0.01,"*",IF(P60&gt;0.001,"**","***")))</f>
        <v>NS</v>
      </c>
      <c r="Q61" s="78" t="str">
        <f t="shared" ref="Q61:V61" si="47">IF(Q60&gt;0.05,"NS",IF(Q60&gt;0.01,"*",IF(Q60&gt;0.001,"**","***")))</f>
        <v>***</v>
      </c>
      <c r="R61" s="78" t="str">
        <f t="shared" si="47"/>
        <v>NS</v>
      </c>
      <c r="S61" s="78" t="str">
        <f t="shared" si="47"/>
        <v>NS</v>
      </c>
      <c r="T61" s="78" t="str">
        <f t="shared" si="47"/>
        <v>NS</v>
      </c>
      <c r="U61" s="78" t="str">
        <f t="shared" si="47"/>
        <v>NS</v>
      </c>
      <c r="V61" s="78" t="str">
        <f t="shared" si="47"/>
        <v>NS</v>
      </c>
    </row>
    <row r="63" spans="1:22" x14ac:dyDescent="0.25">
      <c r="A63" s="2"/>
    </row>
    <row r="66" spans="1:22" ht="15.75" thickBot="1" x14ac:dyDescent="0.3"/>
    <row r="67" spans="1:22" ht="27" thickBot="1" x14ac:dyDescent="0.4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ht="16.5" x14ac:dyDescent="0.2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2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2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2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2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2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2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3"/>
  <sheetViews>
    <sheetView showGridLines="0" tabSelected="1" topLeftCell="Q55" zoomScale="80" zoomScaleNormal="80" workbookViewId="0">
      <selection activeCell="B6" sqref="B6:V53"/>
    </sheetView>
  </sheetViews>
  <sheetFormatPr baseColWidth="10" defaultColWidth="11.42578125" defaultRowHeight="15" x14ac:dyDescent="0.25"/>
  <cols>
    <col min="1" max="1" width="42.85546875" customWidth="1"/>
    <col min="2" max="2" width="14" bestFit="1" customWidth="1"/>
    <col min="3" max="13" width="22.7109375" bestFit="1" customWidth="1"/>
    <col min="14" max="14" width="8.42578125" customWidth="1"/>
    <col min="15" max="15" width="22.7109375" customWidth="1"/>
    <col min="18" max="22" width="29.140625" customWidth="1"/>
  </cols>
  <sheetData>
    <row r="1" spans="1:22" s="1" customFormat="1" ht="21.75" thickBot="1" x14ac:dyDescent="0.3">
      <c r="A1" s="22"/>
      <c r="B1" s="39"/>
      <c r="C1" s="23"/>
      <c r="D1" s="23"/>
      <c r="E1" s="23"/>
      <c r="F1" s="23"/>
      <c r="G1" s="23"/>
      <c r="H1" s="40"/>
      <c r="I1" s="39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8" customFormat="1" ht="15.75" thickBot="1" x14ac:dyDescent="0.3"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55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I4" s="20" t="str">
        <f>'R1'!I4</f>
        <v>testosterone-3.7µg/L</v>
      </c>
      <c r="J4" s="20" t="str">
        <f>'R1'!J4</f>
        <v>testosterone-11µg/L</v>
      </c>
      <c r="K4" s="20" t="str">
        <f>'R1'!K4</f>
        <v>testosterone-33µg/L</v>
      </c>
      <c r="L4" s="20" t="str">
        <f>'R1'!L4</f>
        <v>testosterone-100µg/L</v>
      </c>
      <c r="M4" s="20" t="str">
        <f>'R1'!M4</f>
        <v>testosterone-300µg/L</v>
      </c>
      <c r="O4" s="20" t="str">
        <f>'R1'!O4</f>
        <v>Testo -30µg/L</v>
      </c>
      <c r="P4" s="20" t="str">
        <f>'R1'!P4</f>
        <v>Testo 30µg/L + EE2 -64ng/L</v>
      </c>
      <c r="Q4" s="20" t="str">
        <f>'R1'!Q4</f>
        <v>Testo 30µg/L + FAD-10mg/L</v>
      </c>
      <c r="R4" s="20" t="str">
        <f>'R1'!R4</f>
        <v>testosterone-3.7µg/L + Testostérone</v>
      </c>
      <c r="S4" s="20" t="str">
        <f>'R1'!S4</f>
        <v>testosterone-11µg/L + Testostérone</v>
      </c>
      <c r="T4" s="20" t="str">
        <f>'R1'!T4</f>
        <v>testosterone-33µg/L + Testostérone</v>
      </c>
      <c r="U4" s="20" t="str">
        <f>'R1'!U4</f>
        <v>testosterone-100µg/L + Testostérone</v>
      </c>
      <c r="V4" s="20" t="str">
        <f>'R1'!V4</f>
        <v>testosterone-300µg/L + Testostérone</v>
      </c>
    </row>
    <row r="5" spans="1:22" s="1" customFormat="1" x14ac:dyDescent="0.25">
      <c r="A5" s="19"/>
      <c r="B5" s="20"/>
      <c r="C5" s="114"/>
      <c r="D5" s="20"/>
      <c r="E5" s="20"/>
      <c r="F5" s="20"/>
      <c r="G5" s="20"/>
      <c r="H5" s="20"/>
      <c r="I5" s="20"/>
      <c r="J5" s="20"/>
      <c r="K5" s="20"/>
      <c r="L5" s="20"/>
      <c r="M5" s="20"/>
      <c r="O5" s="20"/>
      <c r="P5" s="20"/>
      <c r="Q5" s="20"/>
      <c r="R5" s="20"/>
      <c r="S5" s="20"/>
      <c r="T5" s="20"/>
      <c r="U5" s="20"/>
      <c r="V5" s="20"/>
    </row>
    <row r="6" spans="1:22" s="1" customFormat="1" x14ac:dyDescent="0.25">
      <c r="A6" s="54" t="s">
        <v>3</v>
      </c>
      <c r="B6" s="37">
        <f>'R1'!B28</f>
        <v>0</v>
      </c>
      <c r="C6" s="37">
        <f>'R1'!C28</f>
        <v>0.11664452909628591</v>
      </c>
      <c r="D6" s="37">
        <f>'R1'!D28</f>
        <v>1.5854844368703325</v>
      </c>
      <c r="E6" s="37">
        <f>'R1'!E28</f>
        <v>0.64368202095133076</v>
      </c>
      <c r="F6" s="37">
        <f>'R1'!F28</f>
        <v>0.65589569445140594</v>
      </c>
      <c r="G6" s="37">
        <f>'R1'!G28</f>
        <v>1.5406821713197334</v>
      </c>
      <c r="H6" s="37">
        <f>'R1'!H28</f>
        <v>1.2625269410054636</v>
      </c>
      <c r="I6" s="37">
        <f>'R1'!I28</f>
        <v>1.2010676156583631E-2</v>
      </c>
      <c r="J6" s="37">
        <f>'R1'!J28</f>
        <v>0.1142687083354218</v>
      </c>
      <c r="K6" s="37">
        <f>'R1'!K28</f>
        <v>1.0557440729787981</v>
      </c>
      <c r="L6" s="37">
        <f>'R1'!L28</f>
        <v>1.5059357926920958</v>
      </c>
      <c r="M6" s="37">
        <f>'R1'!M28</f>
        <v>1.4553593804821814</v>
      </c>
      <c r="N6"/>
      <c r="O6" s="37">
        <f>'R1'!O28</f>
        <v>0.78077665279935848</v>
      </c>
      <c r="P6" s="37">
        <f>'R1'!P28</f>
        <v>1.1875344594255928</v>
      </c>
      <c r="Q6" s="37">
        <f>'R1'!Q28</f>
        <v>8.9615808731391911E-2</v>
      </c>
      <c r="R6" s="37">
        <f>'R1'!R28</f>
        <v>1.4295223297077841</v>
      </c>
      <c r="S6" s="37">
        <f>'R1'!S28</f>
        <v>1.5357989574457422</v>
      </c>
      <c r="T6" s="37">
        <f>'R1'!T28</f>
        <v>1.1543030424540124</v>
      </c>
      <c r="U6" s="37">
        <f>'R1'!U28</f>
        <v>0.94527968522881067</v>
      </c>
      <c r="V6" s="37">
        <f>'R1'!V28</f>
        <v>0.87738835146107974</v>
      </c>
    </row>
    <row r="7" spans="1:22" s="1" customFormat="1" x14ac:dyDescent="0.25">
      <c r="A7" s="143"/>
      <c r="B7" s="37">
        <f>'R1'!B29</f>
        <v>0</v>
      </c>
      <c r="C7" s="37">
        <f>'R1'!C29</f>
        <v>8.2747731943261002E-2</v>
      </c>
      <c r="D7" s="37">
        <f>'R1'!D29</f>
        <v>8.3826625231817956E-2</v>
      </c>
      <c r="E7" s="37">
        <f>'R1'!E29</f>
        <v>0.53037942960252626</v>
      </c>
      <c r="F7" s="37">
        <f>'R1'!F29</f>
        <v>1.2680304245401235</v>
      </c>
      <c r="G7" s="37">
        <f>'R1'!G29</f>
        <v>1.125913488045712</v>
      </c>
      <c r="H7" s="37">
        <f>'R1'!H29</f>
        <v>1.2346035286451809</v>
      </c>
      <c r="I7" s="37">
        <f>'R1'!I29</f>
        <v>2.6754298030173929E-2</v>
      </c>
      <c r="J7" s="37">
        <f>'R1'!J29</f>
        <v>0.88875996190667139</v>
      </c>
      <c r="K7" s="37">
        <f>'R1'!K29</f>
        <v>1.0385907974537618</v>
      </c>
      <c r="L7" s="37">
        <f>'R1'!L29</f>
        <v>0.99817928925868382</v>
      </c>
      <c r="M7" s="37">
        <f>'R1'!M29</f>
        <v>1.1428863214876448</v>
      </c>
      <c r="N7"/>
      <c r="O7" s="37">
        <f>'R1'!O29</f>
        <v>0.83616109468197086</v>
      </c>
      <c r="P7" s="37">
        <f>'R1'!P29</f>
        <v>1.4222219437622174</v>
      </c>
      <c r="Q7" s="37">
        <f>'R1'!Q29</f>
        <v>4.9057691343792299E-3</v>
      </c>
      <c r="R7" s="37">
        <f>'R1'!R29</f>
        <v>1.4034860407999601</v>
      </c>
      <c r="S7" s="37">
        <f>'R1'!S29</f>
        <v>1.0266515462884067</v>
      </c>
      <c r="T7" s="37">
        <f>'R1'!T29</f>
        <v>0.97503007368051731</v>
      </c>
      <c r="U7" s="37">
        <f>'R1'!U29</f>
        <v>1.3156107463285049</v>
      </c>
      <c r="V7" s="37">
        <f>'R1'!V29</f>
        <v>1.4232782817903866</v>
      </c>
    </row>
    <row r="8" spans="1:22" s="1" customFormat="1" x14ac:dyDescent="0.25">
      <c r="A8" s="144"/>
      <c r="B8" s="37">
        <f>'R1'!B30</f>
        <v>0</v>
      </c>
      <c r="C8" s="37">
        <f>'R1'!C30</f>
        <v>6.2301388401583883E-2</v>
      </c>
      <c r="D8" s="37">
        <f>'R1'!D30</f>
        <v>0.32198761966818706</v>
      </c>
      <c r="E8" s="37">
        <f>'R1'!E30</f>
        <v>0.14530098741917699</v>
      </c>
      <c r="F8" s="37">
        <f>'R1'!F30</f>
        <v>0.58757205152623937</v>
      </c>
      <c r="G8" s="37">
        <f>'R1'!G30</f>
        <v>1.3962533206355572</v>
      </c>
      <c r="H8" s="37">
        <f>'R1'!H30</f>
        <v>1.2602413412861511</v>
      </c>
      <c r="I8" s="37">
        <f>'R1'!I30</f>
        <v>0.15146233271515214</v>
      </c>
      <c r="J8" s="37">
        <f>'R1'!J30</f>
        <v>1.4060798957445744</v>
      </c>
      <c r="K8" s="37">
        <f>'R1'!K30</f>
        <v>1.196534008320385</v>
      </c>
      <c r="L8" s="37">
        <f>'R1'!L30</f>
        <v>0.83925116535512012</v>
      </c>
      <c r="M8" s="37">
        <f>'R1'!M30</f>
        <v>1.1738922861009473</v>
      </c>
      <c r="N8"/>
      <c r="O8" s="37">
        <f>'R1'!O30</f>
        <v>1.0630031076136535</v>
      </c>
      <c r="P8" s="37">
        <f>'R1'!P30</f>
        <v>1.4251127763019398</v>
      </c>
      <c r="Q8" s="37">
        <f>'R1'!Q30</f>
        <v>1.8232168813593305E-3</v>
      </c>
      <c r="R8" s="37">
        <f>'R1'!R30</f>
        <v>1.5674966167109419</v>
      </c>
      <c r="S8" s="37">
        <f>'R1'!S30</f>
        <v>1.2757180091223499</v>
      </c>
      <c r="T8" s="37">
        <f>'R1'!T30</f>
        <v>1.1247819658162499</v>
      </c>
      <c r="U8" s="37">
        <f>'R1'!U30</f>
        <v>1.2271866071876096</v>
      </c>
      <c r="V8" s="37">
        <f>'R1'!V30</f>
        <v>1.4300786927973537</v>
      </c>
    </row>
    <row r="9" spans="1:22" s="1" customFormat="1" x14ac:dyDescent="0.25">
      <c r="A9" s="144"/>
      <c r="B9" s="37">
        <f>'R1'!B31</f>
        <v>0</v>
      </c>
      <c r="C9" s="37">
        <f>'R1'!C31</f>
        <v>1.7134479474713048E-2</v>
      </c>
      <c r="D9" s="37">
        <f>'R1'!D31</f>
        <v>0</v>
      </c>
      <c r="E9" s="37">
        <f>'R1'!E31</f>
        <v>0.21968447696857302</v>
      </c>
      <c r="F9" s="37">
        <f>'R1'!F31</f>
        <v>1.5344306049822065</v>
      </c>
      <c r="G9" s="37">
        <f>'R1'!G31</f>
        <v>7.7240489198536419E-2</v>
      </c>
      <c r="H9" s="37">
        <f>'R1'!H31</f>
        <v>1.528757956994637</v>
      </c>
      <c r="I9" s="37">
        <f>'R1'!I31</f>
        <v>0.10659616059345398</v>
      </c>
      <c r="J9" s="37">
        <f>'R1'!J31</f>
        <v>0.62670918750939808</v>
      </c>
      <c r="K9" s="37">
        <f>'R1'!K31</f>
        <v>1.0430116284898001</v>
      </c>
      <c r="L9" s="37">
        <f>'R1'!L31</f>
        <v>1.4147260788932887</v>
      </c>
      <c r="M9" s="37">
        <f>'R1'!M31</f>
        <v>1.5059169966417725</v>
      </c>
      <c r="N9"/>
      <c r="O9" s="37">
        <f>'R1'!O31</f>
        <v>1.2521289659666184</v>
      </c>
      <c r="P9" s="37">
        <f>'R1'!P31</f>
        <v>1.2032968272267055</v>
      </c>
      <c r="Q9" s="37">
        <f>'R1'!Q31</f>
        <v>5.1129016089419083E-2</v>
      </c>
      <c r="R9" s="37">
        <f>'R1'!R31</f>
        <v>1.1394917547992582</v>
      </c>
      <c r="S9" s="37">
        <f>'R1'!S31</f>
        <v>1.3813480527291866</v>
      </c>
      <c r="T9" s="37">
        <f>'R1'!T31</f>
        <v>1.5160706230264149</v>
      </c>
      <c r="U9" s="37">
        <f>'R1'!U31</f>
        <v>0.96624479975941058</v>
      </c>
      <c r="V9" s="37">
        <f>'R1'!V31</f>
        <v>1.0102425943561728</v>
      </c>
    </row>
    <row r="10" spans="1:22" s="1" customFormat="1" x14ac:dyDescent="0.25">
      <c r="A10" s="144"/>
      <c r="B10" s="37">
        <f>'R1'!B32</f>
        <v>0</v>
      </c>
      <c r="C10" s="37">
        <f>'R1'!C32</f>
        <v>6.741767329958398E-2</v>
      </c>
      <c r="D10" s="37">
        <f>'R1'!D32</f>
        <v>0.69607789083253979</v>
      </c>
      <c r="E10" s="37">
        <f>'R1'!E32</f>
        <v>0.74569194526590155</v>
      </c>
      <c r="F10" s="37">
        <f>'R1'!F32</f>
        <v>0.63603954688988029</v>
      </c>
      <c r="G10" s="37">
        <f>'R1'!G32</f>
        <v>1.3960315272417423</v>
      </c>
      <c r="H10" s="37">
        <f>'R1'!H32</f>
        <v>1.8170592952734199</v>
      </c>
      <c r="I10" s="37">
        <f>'R1'!I32</f>
        <v>0.11170492707132475</v>
      </c>
      <c r="J10" s="37">
        <f>'R1'!J32</f>
        <v>0.9992168312365296</v>
      </c>
      <c r="K10" s="37">
        <f>'R1'!K32</f>
        <v>1.1237256277880809</v>
      </c>
      <c r="L10" s="37">
        <f>'R1'!L32</f>
        <v>1.1247143000350861</v>
      </c>
      <c r="M10" s="37">
        <f>'R1'!M32</f>
        <v>1.356240288707333</v>
      </c>
      <c r="N10"/>
      <c r="O10" s="37">
        <f>'R1'!O32</f>
        <v>1.1894403789283745</v>
      </c>
      <c r="P10" s="37">
        <f>'R1'!P32</f>
        <v>0.9610270161896648</v>
      </c>
      <c r="Q10" s="37">
        <f>'R1'!Q32</f>
        <v>0.14664302541226004</v>
      </c>
      <c r="R10" s="37">
        <f>'R1'!R32</f>
        <v>1.2575121547792092</v>
      </c>
      <c r="S10" s="37">
        <f>'R1'!S32</f>
        <v>1.4694902511152323</v>
      </c>
      <c r="T10" s="37">
        <f>'R1'!T32</f>
        <v>0.8744824820810988</v>
      </c>
      <c r="U10" s="37">
        <f>'R1'!U32</f>
        <v>0.97841336273870994</v>
      </c>
      <c r="V10" s="37">
        <f>'R1'!V32</f>
        <v>0.98499573956192676</v>
      </c>
    </row>
    <row r="11" spans="1:22" s="1" customFormat="1" x14ac:dyDescent="0.25">
      <c r="A11" s="144"/>
      <c r="B11" s="37">
        <f>'R1'!B33</f>
        <v>0</v>
      </c>
      <c r="C11" s="37">
        <f>'R1'!C33</f>
        <v>0.19729462182346752</v>
      </c>
      <c r="D11" s="37">
        <f>'R1'!D33</f>
        <v>9.4769685730038602E-3</v>
      </c>
      <c r="E11" s="37">
        <f>'R1'!E33</f>
        <v>0.32502882061049576</v>
      </c>
      <c r="F11" s="37">
        <f>'R1'!F33</f>
        <v>0.68937897849731844</v>
      </c>
      <c r="G11" s="37">
        <f>'R1'!G33</f>
        <v>1.3265876397173075</v>
      </c>
      <c r="H11" s="37">
        <f>'R1'!H33</f>
        <v>1.5318480276677862</v>
      </c>
      <c r="I11" s="37">
        <f>'R1'!I33</f>
        <v>6.1237531953285552E-2</v>
      </c>
      <c r="J11" s="37">
        <f>'R1'!J33</f>
        <v>0.30451105207759011</v>
      </c>
      <c r="K11" s="37">
        <f>'R1'!K33</f>
        <v>1.0630707733948175</v>
      </c>
      <c r="L11" s="37">
        <f>'R1'!L33</f>
        <v>1.141288657210165</v>
      </c>
      <c r="M11" s="37">
        <f>'R1'!M33</f>
        <v>1.0792541727231719</v>
      </c>
      <c r="N11"/>
      <c r="O11" s="37">
        <f>'R1'!O33</f>
        <v>0.74838729888226163</v>
      </c>
      <c r="P11" s="37">
        <f>'R1'!P33</f>
        <v>1.4622537717407649</v>
      </c>
      <c r="Q11" s="37">
        <f>'R1'!Q33</f>
        <v>4.9587739962909133E-2</v>
      </c>
      <c r="R11" s="37">
        <f>'R1'!R33</f>
        <v>1.1951731742769787</v>
      </c>
      <c r="S11" s="37">
        <f>'R1'!S33</f>
        <v>1.2018344945115533</v>
      </c>
      <c r="T11" s="37">
        <f>'R1'!T33</f>
        <v>1.3095283444438877</v>
      </c>
      <c r="U11" s="37">
        <f>'R1'!U33</f>
        <v>1.0911370357375572</v>
      </c>
      <c r="V11" s="37">
        <f>'R1'!V33</f>
        <v>1.6265838805072428</v>
      </c>
    </row>
    <row r="12" spans="1:22" s="1" customFormat="1" x14ac:dyDescent="0.25">
      <c r="A12" s="144"/>
      <c r="B12" s="37">
        <f>'R1'!B34</f>
        <v>0</v>
      </c>
      <c r="C12" s="37">
        <f>'R1'!C34</f>
        <v>9.3792291113227413E-2</v>
      </c>
      <c r="D12" s="37">
        <f>'R1'!D34</f>
        <v>1.324369705779159E-2</v>
      </c>
      <c r="E12" s="37">
        <f>'R1'!E34</f>
        <v>0.7093215878903314</v>
      </c>
      <c r="F12" s="37">
        <f>'R1'!F34</f>
        <v>1.1957896847275826</v>
      </c>
      <c r="G12" s="37">
        <f>'R1'!G34</f>
        <v>1.4641183399328355</v>
      </c>
      <c r="H12" s="37">
        <f>'R1'!H34</f>
        <v>1.5053719111823969</v>
      </c>
      <c r="I12" s="37">
        <f>'R1'!I34</f>
        <v>0</v>
      </c>
      <c r="J12" s="37">
        <f>'R1'!J34</f>
        <v>0.365447847225703</v>
      </c>
      <c r="K12" s="37">
        <f>'R1'!K34</f>
        <v>1.3034309057190117</v>
      </c>
      <c r="L12" s="37">
        <f>'R1'!L34</f>
        <v>1.2601398426144055</v>
      </c>
      <c r="M12" s="37">
        <f>'R1'!M34</f>
        <v>1.1198047716906421</v>
      </c>
      <c r="N12"/>
      <c r="O12" s="37">
        <f>'R1'!O34</f>
        <v>0.89230489699764426</v>
      </c>
      <c r="P12" s="37">
        <f>'R1'!P34</f>
        <v>0.98376271866071885</v>
      </c>
      <c r="Q12" s="37">
        <f>'R1'!Q34</f>
        <v>0.15775900957345498</v>
      </c>
      <c r="R12" s="37">
        <f>'R1'!R34</f>
        <v>1.0136371610445591</v>
      </c>
      <c r="S12" s="37">
        <f>'R1'!S34</f>
        <v>1.1073655455866875</v>
      </c>
      <c r="T12" s="37">
        <f>'R1'!T34</f>
        <v>1.2806538519372463</v>
      </c>
      <c r="U12" s="37">
        <f>'R1'!U34</f>
        <v>1.0627136484386748</v>
      </c>
      <c r="V12" s="37">
        <f>'R1'!V34</f>
        <v>1.1894478973485039</v>
      </c>
    </row>
    <row r="13" spans="1:22" s="1" customFormat="1" x14ac:dyDescent="0.25">
      <c r="A13" s="144"/>
      <c r="B13" s="37">
        <f>'R1'!B35</f>
        <v>0</v>
      </c>
      <c r="C13" s="37">
        <f>'R1'!C35</f>
        <v>6.8891283644930079E-2</v>
      </c>
      <c r="D13" s="37">
        <f>'R1'!D35</f>
        <v>3.2028469750889681E-2</v>
      </c>
      <c r="E13" s="37">
        <f>'R1'!E35</f>
        <v>0.63975364643376276</v>
      </c>
      <c r="F13" s="37">
        <f>'R1'!F35</f>
        <v>0.95776402185354126</v>
      </c>
      <c r="G13" s="37">
        <f>'R1'!G35</f>
        <v>1.5685454363189817</v>
      </c>
      <c r="H13" s="37">
        <f>'R1'!H35</f>
        <v>1.3419327352012431</v>
      </c>
      <c r="I13" s="37">
        <f>'R1'!I35</f>
        <v>9.8085309007067328E-2</v>
      </c>
      <c r="J13" s="37">
        <f>'R1'!J35</f>
        <v>0.62690466643276033</v>
      </c>
      <c r="K13" s="37">
        <f>'R1'!K35</f>
        <v>1.1602989825071426</v>
      </c>
      <c r="L13" s="37">
        <f>'R1'!L35</f>
        <v>0.55565635807728941</v>
      </c>
      <c r="M13" s="37">
        <f>'R1'!M35</f>
        <v>1.2065673399829584</v>
      </c>
      <c r="N13"/>
      <c r="O13" s="37">
        <f>'R1'!O35</f>
        <v>1.1015199739361436</v>
      </c>
      <c r="P13" s="37">
        <f>'R1'!P35</f>
        <v>1.3418688286301439</v>
      </c>
      <c r="Q13" s="37">
        <f>'R1'!Q35</f>
        <v>8.8254974687985571E-2</v>
      </c>
      <c r="R13" s="37">
        <f>'R1'!R35</f>
        <v>1.1840985414264951</v>
      </c>
      <c r="S13" s="37">
        <f>'R1'!S35</f>
        <v>1.1094932584832842</v>
      </c>
      <c r="T13" s="37">
        <f>'R1'!T35</f>
        <v>0.83858954438374023</v>
      </c>
      <c r="U13" s="37">
        <f>'R1'!U35</f>
        <v>1.304363189815047</v>
      </c>
      <c r="V13" s="37">
        <f>'R1'!V35</f>
        <v>1.3718184552152775</v>
      </c>
    </row>
    <row r="14" spans="1:22" s="1" customFormat="1" x14ac:dyDescent="0.25">
      <c r="A14" s="144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 s="37" t="str">
        <f>'R1'!I36</f>
        <v/>
      </c>
      <c r="J14" s="37" t="str">
        <f>'R1'!J36</f>
        <v/>
      </c>
      <c r="K14" s="37" t="str">
        <f>'R1'!K36</f>
        <v/>
      </c>
      <c r="L14" s="37" t="str">
        <f>'R1'!L36</f>
        <v/>
      </c>
      <c r="M14" s="37" t="str">
        <f>'R1'!M36</f>
        <v/>
      </c>
      <c r="N14"/>
      <c r="O14" s="37">
        <f>'R1'!O36</f>
        <v>1.0832163801313217</v>
      </c>
      <c r="P14" s="37" t="str">
        <f>'R1'!P36</f>
        <v/>
      </c>
      <c r="Q14" s="37" t="str">
        <f>'R1'!Q36</f>
        <v/>
      </c>
      <c r="R14" s="37" t="str">
        <f>'R1'!R36</f>
        <v/>
      </c>
      <c r="S14" s="37" t="str">
        <f>'R1'!S36</f>
        <v/>
      </c>
      <c r="T14" s="37" t="str">
        <f>'R1'!T36</f>
        <v/>
      </c>
      <c r="U14" s="37" t="str">
        <f>'R1'!U36</f>
        <v/>
      </c>
      <c r="V14" s="37" t="str">
        <f>'R1'!V36</f>
        <v/>
      </c>
    </row>
    <row r="15" spans="1:22" s="1" customFormat="1" x14ac:dyDescent="0.25">
      <c r="A15" s="144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 s="37" t="str">
        <f>'R1'!I37</f>
        <v/>
      </c>
      <c r="J15" s="37" t="str">
        <f>'R1'!J37</f>
        <v/>
      </c>
      <c r="K15" s="37" t="str">
        <f>'R1'!K37</f>
        <v/>
      </c>
      <c r="L15" s="37" t="str">
        <f>'R1'!L37</f>
        <v/>
      </c>
      <c r="M15" s="37" t="str">
        <f>'R1'!M37</f>
        <v/>
      </c>
      <c r="N15"/>
      <c r="O15" s="37">
        <f>'R1'!O37</f>
        <v>1.06067615658363</v>
      </c>
      <c r="P15" s="37" t="str">
        <f>'R1'!P37</f>
        <v/>
      </c>
      <c r="Q15" s="37" t="str">
        <f>'R1'!Q37</f>
        <v/>
      </c>
      <c r="R15" s="37" t="str">
        <f>'R1'!R37</f>
        <v/>
      </c>
      <c r="S15" s="37" t="str">
        <f>'R1'!S37</f>
        <v/>
      </c>
      <c r="T15" s="37" t="str">
        <f>'R1'!T37</f>
        <v/>
      </c>
      <c r="U15" s="37" t="str">
        <f>'R1'!U37</f>
        <v/>
      </c>
      <c r="V15" s="37" t="str">
        <f>'R1'!V37</f>
        <v/>
      </c>
    </row>
    <row r="16" spans="1:22" s="1" customFormat="1" x14ac:dyDescent="0.25">
      <c r="A16" s="144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 s="37" t="str">
        <f>'R1'!I38</f>
        <v/>
      </c>
      <c r="J16" s="37" t="str">
        <f>'R1'!J38</f>
        <v/>
      </c>
      <c r="K16" s="37" t="str">
        <f>'R1'!K38</f>
        <v/>
      </c>
      <c r="L16" s="37" t="str">
        <f>'R1'!L38</f>
        <v/>
      </c>
      <c r="M16" s="37" t="str">
        <f>'R1'!M38</f>
        <v/>
      </c>
      <c r="N16"/>
      <c r="O16" s="37">
        <f>'R1'!O38</f>
        <v>1.044289759911784</v>
      </c>
      <c r="P16" s="37" t="str">
        <f>'R1'!P38</f>
        <v/>
      </c>
      <c r="Q16" s="37" t="str">
        <f>'R1'!Q38</f>
        <v/>
      </c>
      <c r="R16" s="37" t="str">
        <f>'R1'!R38</f>
        <v/>
      </c>
      <c r="S16" s="37" t="str">
        <f>'R1'!S38</f>
        <v/>
      </c>
      <c r="T16" s="37" t="str">
        <f>'R1'!T38</f>
        <v/>
      </c>
      <c r="U16" s="37" t="str">
        <f>'R1'!U38</f>
        <v/>
      </c>
      <c r="V16" s="37" t="str">
        <f>'R1'!V38</f>
        <v/>
      </c>
    </row>
    <row r="17" spans="1:22" s="1" customFormat="1" x14ac:dyDescent="0.25">
      <c r="A17" s="144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 s="37" t="str">
        <f>'R1'!I39</f>
        <v/>
      </c>
      <c r="J17" s="37" t="str">
        <f>'R1'!J39</f>
        <v/>
      </c>
      <c r="K17" s="37" t="str">
        <f>'R1'!K39</f>
        <v/>
      </c>
      <c r="L17" s="37" t="str">
        <f>'R1'!L39</f>
        <v/>
      </c>
      <c r="M17" s="37" t="str">
        <f>'R1'!M39</f>
        <v/>
      </c>
      <c r="N17"/>
      <c r="O17" s="37">
        <f>'R1'!O39</f>
        <v>1.0750476166608192</v>
      </c>
      <c r="P17" s="37" t="str">
        <f>'R1'!P39</f>
        <v/>
      </c>
      <c r="Q17" s="37" t="str">
        <f>'R1'!Q39</f>
        <v/>
      </c>
      <c r="R17" s="37" t="str">
        <f>'R1'!R39</f>
        <v/>
      </c>
      <c r="S17" s="37" t="str">
        <f>'R1'!S39</f>
        <v/>
      </c>
      <c r="T17" s="37" t="str">
        <f>'R1'!T39</f>
        <v/>
      </c>
      <c r="U17" s="37" t="str">
        <f>'R1'!U39</f>
        <v/>
      </c>
      <c r="V17" s="37" t="str">
        <f>'R1'!V39</f>
        <v/>
      </c>
    </row>
    <row r="18" spans="1:22" s="1" customFormat="1" x14ac:dyDescent="0.25">
      <c r="A18" s="144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 s="37" t="str">
        <f>'R1'!I40</f>
        <v/>
      </c>
      <c r="J18" s="37" t="str">
        <f>'R1'!J40</f>
        <v/>
      </c>
      <c r="K18" s="37" t="str">
        <f>'R1'!K40</f>
        <v/>
      </c>
      <c r="L18" s="37" t="str">
        <f>'R1'!L40</f>
        <v/>
      </c>
      <c r="M18" s="37" t="str">
        <f>'R1'!M40</f>
        <v/>
      </c>
      <c r="N18"/>
      <c r="O18" s="37">
        <f>'R1'!O40</f>
        <v>0.94043030424540131</v>
      </c>
      <c r="P18" s="37" t="str">
        <f>'R1'!P40</f>
        <v/>
      </c>
      <c r="Q18" s="37" t="str">
        <f>'R1'!Q40</f>
        <v/>
      </c>
      <c r="R18" s="37" t="str">
        <f>'R1'!R40</f>
        <v/>
      </c>
      <c r="S18" s="37" t="str">
        <f>'R1'!S40</f>
        <v/>
      </c>
      <c r="T18" s="37" t="str">
        <f>'R1'!T40</f>
        <v/>
      </c>
      <c r="U18" s="37" t="str">
        <f>'R1'!U40</f>
        <v/>
      </c>
      <c r="V18" s="37" t="str">
        <f>'R1'!V40</f>
        <v/>
      </c>
    </row>
    <row r="19" spans="1:22" s="1" customFormat="1" x14ac:dyDescent="0.25">
      <c r="A19" s="144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 s="37" t="str">
        <f>'R1'!I41</f>
        <v/>
      </c>
      <c r="J19" s="37" t="str">
        <f>'R1'!J41</f>
        <v/>
      </c>
      <c r="K19" s="37" t="str">
        <f>'R1'!K41</f>
        <v/>
      </c>
      <c r="L19" s="37" t="str">
        <f>'R1'!L41</f>
        <v/>
      </c>
      <c r="M19" s="37" t="str">
        <f>'R1'!M41</f>
        <v/>
      </c>
      <c r="N19"/>
      <c r="O19" s="37">
        <f>'R1'!O41</f>
        <v>0.8622876046313469</v>
      </c>
      <c r="P19" s="37" t="str">
        <f>'R1'!P41</f>
        <v/>
      </c>
      <c r="Q19" s="37" t="str">
        <f>'R1'!Q41</f>
        <v/>
      </c>
      <c r="R19" s="37" t="str">
        <f>'R1'!R41</f>
        <v/>
      </c>
      <c r="S19" s="37" t="str">
        <f>'R1'!S41</f>
        <v/>
      </c>
      <c r="T19" s="37" t="str">
        <f>'R1'!T41</f>
        <v/>
      </c>
      <c r="U19" s="37" t="str">
        <f>'R1'!U41</f>
        <v/>
      </c>
      <c r="V19" s="37" t="str">
        <f>'R1'!V41</f>
        <v/>
      </c>
    </row>
    <row r="20" spans="1:22" s="1" customFormat="1" x14ac:dyDescent="0.25">
      <c r="A20" s="144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 s="37" t="str">
        <f>'R1'!I42</f>
        <v/>
      </c>
      <c r="J20" s="37" t="str">
        <f>'R1'!J42</f>
        <v/>
      </c>
      <c r="K20" s="37" t="str">
        <f>'R1'!K42</f>
        <v/>
      </c>
      <c r="L20" s="37" t="str">
        <f>'R1'!L42</f>
        <v/>
      </c>
      <c r="M20" s="37" t="str">
        <f>'R1'!M42</f>
        <v/>
      </c>
      <c r="N20"/>
      <c r="O20" s="37">
        <f>'R1'!O42</f>
        <v>1.0703298080296728</v>
      </c>
      <c r="P20" s="37" t="str">
        <f>'R1'!P42</f>
        <v/>
      </c>
      <c r="Q20" s="37" t="str">
        <f>'R1'!Q42</f>
        <v/>
      </c>
      <c r="R20" s="37" t="str">
        <f>'R1'!R42</f>
        <v/>
      </c>
      <c r="S20" s="37" t="str">
        <f>'R1'!S42</f>
        <v/>
      </c>
      <c r="T20" s="37" t="str">
        <f>'R1'!T42</f>
        <v/>
      </c>
      <c r="U20" s="37" t="str">
        <f>'R1'!U42</f>
        <v/>
      </c>
      <c r="V20" s="37" t="str">
        <f>'R1'!V42</f>
        <v/>
      </c>
    </row>
    <row r="21" spans="1:22" s="1" customFormat="1" x14ac:dyDescent="0.25">
      <c r="A21" s="145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 s="37" t="str">
        <f>'R1'!I43</f>
        <v/>
      </c>
      <c r="J21" s="37" t="str">
        <f>'R1'!J43</f>
        <v/>
      </c>
      <c r="K21" s="37" t="str">
        <f>'R1'!K43</f>
        <v/>
      </c>
      <c r="L21" s="37" t="str">
        <f>'R1'!L43</f>
        <v/>
      </c>
      <c r="M21" s="37" t="str">
        <f>'R1'!M43</f>
        <v/>
      </c>
      <c r="N21"/>
      <c r="O21" s="37" t="str">
        <f>'R1'!O43</f>
        <v/>
      </c>
      <c r="P21" s="37" t="str">
        <f>'R1'!P43</f>
        <v/>
      </c>
      <c r="Q21" s="37" t="str">
        <f>'R1'!Q43</f>
        <v/>
      </c>
      <c r="R21" s="37" t="str">
        <f>'R1'!R43</f>
        <v/>
      </c>
      <c r="S21" s="37" t="str">
        <f>'R1'!S43</f>
        <v/>
      </c>
      <c r="T21" s="37" t="str">
        <f>'R1'!T43</f>
        <v/>
      </c>
      <c r="U21" s="37" t="str">
        <f>'R1'!U43</f>
        <v/>
      </c>
      <c r="V21" s="37" t="str">
        <f>'R1'!V43</f>
        <v/>
      </c>
    </row>
    <row r="22" spans="1:22" x14ac:dyDescent="0.25">
      <c r="A22" s="24" t="s">
        <v>4</v>
      </c>
      <c r="B22" s="38">
        <f>'R2'!B28</f>
        <v>4.3588458829411675E-2</v>
      </c>
      <c r="C22" s="38">
        <f>'R2'!C28</f>
        <v>5.6842109184555109E-2</v>
      </c>
      <c r="D22" s="38">
        <f>'R2'!D28</f>
        <v>0</v>
      </c>
      <c r="E22" s="38">
        <f>'R2'!E28</f>
        <v>0.19691016027156572</v>
      </c>
      <c r="F22" s="38">
        <f>'R2'!F28</f>
        <v>0.1456241107444029</v>
      </c>
      <c r="G22" s="38">
        <f>'R2'!G28</f>
        <v>1.4129038421163691</v>
      </c>
      <c r="H22" s="38">
        <f>'R2'!H28</f>
        <v>1.4536142194680819</v>
      </c>
      <c r="I22" s="38">
        <f>'R2'!I28</f>
        <v>4.2834878324156167E-2</v>
      </c>
      <c r="J22" s="38">
        <f>'R2'!J28</f>
        <v>0.24191637225493268</v>
      </c>
      <c r="K22" s="38">
        <f>'R2'!K28</f>
        <v>1.4080204701416343</v>
      </c>
      <c r="L22" s="38">
        <f>'R2'!L28</f>
        <v>1.3867584303492839</v>
      </c>
      <c r="M22" s="38">
        <f>'R2'!M28</f>
        <v>1.5467346308293723</v>
      </c>
      <c r="O22" s="38">
        <f>'R2'!O28</f>
        <v>1.7326901999143707</v>
      </c>
      <c r="P22" s="38">
        <f>'R2'!P28</f>
        <v>1.3058868953361296</v>
      </c>
      <c r="Q22" s="38">
        <f>'R2'!Q28</f>
        <v>6.9980806581269747E-2</v>
      </c>
      <c r="R22" s="38">
        <f>'R2'!R28</f>
        <v>1.3073344511089369</v>
      </c>
      <c r="S22" s="38">
        <f>'R2'!S28</f>
        <v>1.3295033420177811</v>
      </c>
      <c r="T22" s="38">
        <f>'R2'!T28</f>
        <v>0.83225516150757617</v>
      </c>
      <c r="U22" s="38">
        <f>'R2'!U28</f>
        <v>1.1496913699332554</v>
      </c>
      <c r="V22" s="38">
        <f>'R2'!V28</f>
        <v>1.0239158033442264</v>
      </c>
    </row>
    <row r="23" spans="1:22" x14ac:dyDescent="0.25">
      <c r="A23" s="143"/>
      <c r="B23" s="38">
        <f>'R2'!B29</f>
        <v>9.4129442885276679E-2</v>
      </c>
      <c r="C23" s="38">
        <f>'R2'!C29</f>
        <v>0.11762242157454154</v>
      </c>
      <c r="D23" s="38">
        <f>'R2'!D29</f>
        <v>7.6988679528448067E-2</v>
      </c>
      <c r="E23" s="38">
        <f>'R2'!E29</f>
        <v>0.44029963340117861</v>
      </c>
      <c r="F23" s="38">
        <f>'R2'!F29</f>
        <v>0.8265671188238396</v>
      </c>
      <c r="G23" s="38">
        <f>'R2'!G29</f>
        <v>1.0978561007158216</v>
      </c>
      <c r="H23" s="38">
        <f>'R2'!H29</f>
        <v>0.85852404126704773</v>
      </c>
      <c r="I23" s="38">
        <f>'R2'!I29</f>
        <v>5.6803791531745508E-2</v>
      </c>
      <c r="J23" s="38">
        <f>'R2'!J29</f>
        <v>2.0333901090962118E-2</v>
      </c>
      <c r="K23" s="38">
        <f>'R2'!K29</f>
        <v>1.3483173095472956</v>
      </c>
      <c r="L23" s="38">
        <f>'R2'!L29</f>
        <v>1.5270947050059618</v>
      </c>
      <c r="M23" s="38">
        <f>'R2'!M29</f>
        <v>0.54999455836111144</v>
      </c>
      <c r="O23" s="38">
        <f>'R2'!O29</f>
        <v>0.78154387677255732</v>
      </c>
      <c r="P23" s="38">
        <f>'R2'!P29</f>
        <v>1.2364042182413848</v>
      </c>
      <c r="Q23" s="38">
        <f>'R2'!Q29</f>
        <v>4.6917837106868199E-2</v>
      </c>
      <c r="R23" s="38">
        <f>'R2'!R29</f>
        <v>0.9898556675134691</v>
      </c>
      <c r="S23" s="38">
        <f>'R2'!S29</f>
        <v>1.4860990740166666</v>
      </c>
      <c r="T23" s="38">
        <f>'R2'!T29</f>
        <v>0.85459009557859522</v>
      </c>
      <c r="U23" s="38">
        <f>'R2'!U29</f>
        <v>1.3734238871715425</v>
      </c>
      <c r="V23" s="38">
        <f>'R2'!V29</f>
        <v>1.4614991409129021</v>
      </c>
    </row>
    <row r="24" spans="1:22" x14ac:dyDescent="0.25">
      <c r="A24" s="144"/>
      <c r="B24" s="38">
        <f>'R2'!B30</f>
        <v>7.0870627629848276E-2</v>
      </c>
      <c r="C24" s="38">
        <f>'R2'!C30</f>
        <v>0.13092716213343111</v>
      </c>
      <c r="D24" s="38">
        <f>'R2'!D30</f>
        <v>0.16177287264516071</v>
      </c>
      <c r="E24" s="38">
        <f>'R2'!E30</f>
        <v>0.4125363651821326</v>
      </c>
      <c r="F24" s="38">
        <f>'R2'!F30</f>
        <v>1.1012791443668128</v>
      </c>
      <c r="G24" s="38">
        <f>'R2'!G30</f>
        <v>1.2050646357601091</v>
      </c>
      <c r="H24" s="38">
        <f>'R2'!H30</f>
        <v>1.6312080252066292</v>
      </c>
      <c r="I24" s="38">
        <f>'R2'!I30</f>
        <v>9.1140665966127729E-2</v>
      </c>
      <c r="J24" s="38">
        <f>'R2'!J30</f>
        <v>0.17331925869178744</v>
      </c>
      <c r="K24" s="38">
        <f>'R2'!K30</f>
        <v>1.2233804738030989</v>
      </c>
      <c r="L24" s="38">
        <f>'R2'!L30</f>
        <v>1.3741348925070096</v>
      </c>
      <c r="M24" s="38">
        <f>'R2'!M30</f>
        <v>1.0951398048833187</v>
      </c>
      <c r="O24" s="38">
        <f>'R2'!O30</f>
        <v>0.71820053916130644</v>
      </c>
      <c r="P24" s="38">
        <f>'R2'!P30</f>
        <v>1.5075527020730648</v>
      </c>
      <c r="Q24" s="38">
        <f>'R2'!Q30</f>
        <v>4.0131355042589807E-2</v>
      </c>
      <c r="R24" s="38">
        <f>'R2'!R30</f>
        <v>1.1973031823076754</v>
      </c>
      <c r="S24" s="38">
        <f>'R2'!S30</f>
        <v>0.63330990812012267</v>
      </c>
      <c r="T24" s="38">
        <f>'R2'!T30</f>
        <v>0.78733409986378611</v>
      </c>
      <c r="U24" s="38">
        <f>'R2'!U30</f>
        <v>1.2061290150048203</v>
      </c>
      <c r="V24" s="38">
        <f>'R2'!V30</f>
        <v>1.3120900975743064</v>
      </c>
    </row>
    <row r="25" spans="1:22" x14ac:dyDescent="0.25">
      <c r="A25" s="144"/>
      <c r="B25" s="38">
        <f>'R2'!B31</f>
        <v>3.6503950576614153E-2</v>
      </c>
      <c r="C25" s="38">
        <f>'R2'!C31</f>
        <v>4.2404869109292857E-2</v>
      </c>
      <c r="D25" s="38">
        <f>'R2'!D31</f>
        <v>1.5344091191756171E-2</v>
      </c>
      <c r="E25" s="38">
        <f>'R2'!E31</f>
        <v>0.53910382992922679</v>
      </c>
      <c r="F25" s="38">
        <f>'R2'!F31</f>
        <v>1.3814024739898974</v>
      </c>
      <c r="G25" s="38">
        <f>'R2'!G31</f>
        <v>1.2923096736905939</v>
      </c>
      <c r="H25" s="38">
        <f>'R2'!H31</f>
        <v>1.8967152990413403</v>
      </c>
      <c r="I25" s="38">
        <f>'R2'!I31</f>
        <v>4.6922094623847041E-2</v>
      </c>
      <c r="J25" s="38">
        <f>'R2'!J31</f>
        <v>0.58701366849216574</v>
      </c>
      <c r="K25" s="38">
        <f>'R2'!K31</f>
        <v>0.99853248711635445</v>
      </c>
      <c r="L25" s="38">
        <f>'R2'!L31</f>
        <v>0.29235943342028425</v>
      </c>
      <c r="M25" s="38">
        <f>'R2'!M31</f>
        <v>1.2925651247093246</v>
      </c>
      <c r="O25" s="38">
        <f>'R2'!O31</f>
        <v>0.95965709958252388</v>
      </c>
      <c r="P25" s="38">
        <f>'R2'!P31</f>
        <v>1.229464465565868</v>
      </c>
      <c r="Q25" s="38">
        <f>'R2'!Q31</f>
        <v>3.439647967208604E-2</v>
      </c>
      <c r="R25" s="38">
        <f>'R2'!R31</f>
        <v>1.2293622851583756</v>
      </c>
      <c r="S25" s="38">
        <f>'R2'!S31</f>
        <v>1.4301340133297535</v>
      </c>
      <c r="T25" s="38">
        <f>'R2'!T31</f>
        <v>1.5203806007303238</v>
      </c>
      <c r="U25" s="38">
        <f>'R2'!U31</f>
        <v>1.981525037259926</v>
      </c>
      <c r="V25" s="38">
        <f>'R2'!V31</f>
        <v>1.5017709940157937</v>
      </c>
    </row>
    <row r="26" spans="1:22" x14ac:dyDescent="0.25">
      <c r="A26" s="144"/>
      <c r="B26" s="38">
        <f>'R2'!B32</f>
        <v>0.11072950158579203</v>
      </c>
      <c r="C26" s="38">
        <f>'R2'!C32</f>
        <v>0.11877620867580845</v>
      </c>
      <c r="D26" s="38">
        <f>'R2'!D32</f>
        <v>9.5334320190289715E-2</v>
      </c>
      <c r="E26" s="38">
        <f>'R2'!E32</f>
        <v>6.2342821121222421E-2</v>
      </c>
      <c r="F26" s="38">
        <f>'R2'!F32</f>
        <v>1.2737341271118947</v>
      </c>
      <c r="G26" s="38">
        <f>'R2'!G32</f>
        <v>1.265781085395413</v>
      </c>
      <c r="H26" s="38">
        <f>'R2'!H32</f>
        <v>1.5255875439954509</v>
      </c>
      <c r="I26" s="38">
        <f>'R2'!I32</f>
        <v>5.2452609179366262E-2</v>
      </c>
      <c r="J26" s="38">
        <f>'R2'!J32</f>
        <v>0.10600365773927445</v>
      </c>
      <c r="K26" s="38">
        <f>'R2'!K32</f>
        <v>1.5400971618593535</v>
      </c>
      <c r="L26" s="38">
        <f>'R2'!L32</f>
        <v>1.5580723985440357</v>
      </c>
      <c r="M26" s="38">
        <f>'R2'!M32</f>
        <v>1.403452154423334</v>
      </c>
      <c r="O26" s="38">
        <f>'R2'!O32</f>
        <v>0.81189145779776206</v>
      </c>
      <c r="P26" s="38">
        <f>'R2'!P32</f>
        <v>1.4013319109678692</v>
      </c>
      <c r="Q26" s="38">
        <f>'R2'!Q32</f>
        <v>4.3098844376844539E-2</v>
      </c>
      <c r="R26" s="38">
        <f>'R2'!R32</f>
        <v>1.2031104354668194</v>
      </c>
      <c r="S26" s="38">
        <f>'R2'!S32</f>
        <v>1.6619260102089934</v>
      </c>
      <c r="T26" s="38">
        <f>'R2'!T32</f>
        <v>1.4344979682330692</v>
      </c>
      <c r="U26" s="38">
        <f>'R2'!U32</f>
        <v>1.2658406906331168</v>
      </c>
      <c r="V26" s="38">
        <f>'R2'!V32</f>
        <v>1.2928759234487803</v>
      </c>
    </row>
    <row r="27" spans="1:22" x14ac:dyDescent="0.25">
      <c r="A27" s="144"/>
      <c r="B27" s="38">
        <f>'R2'!B33</f>
        <v>1.5293000988010034E-2</v>
      </c>
      <c r="C27" s="38">
        <f>'R2'!C33</f>
        <v>0.12043664029755786</v>
      </c>
      <c r="D27" s="38">
        <f>'R2'!D33</f>
        <v>7.4549122299570067E-3</v>
      </c>
      <c r="E27" s="38">
        <f>'R2'!E33</f>
        <v>0.37215807415476981</v>
      </c>
      <c r="F27" s="38">
        <f>'R2'!F33</f>
        <v>0.71933303867767906</v>
      </c>
      <c r="G27" s="38">
        <f>'R2'!G33</f>
        <v>1.13567136652192</v>
      </c>
      <c r="H27" s="38">
        <f>'R2'!H33</f>
        <v>1.9727375222155905</v>
      </c>
      <c r="I27" s="38">
        <f>'R2'!I33</f>
        <v>5.8327982610171898E-3</v>
      </c>
      <c r="J27" s="38">
        <f>'R2'!J33</f>
        <v>0.18463148130457771</v>
      </c>
      <c r="K27" s="38">
        <f>'R2'!K33</f>
        <v>1.0995591075073594</v>
      </c>
      <c r="L27" s="38">
        <f>'R2'!L33</f>
        <v>1.3503779477650564</v>
      </c>
      <c r="M27" s="38">
        <f>'R2'!M33</f>
        <v>1.7675252038352778</v>
      </c>
      <c r="O27" s="38">
        <f>'R2'!O33</f>
        <v>0.78037731712035385</v>
      </c>
      <c r="P27" s="38">
        <f>'R2'!P33</f>
        <v>0.95453530665697373</v>
      </c>
      <c r="Q27" s="38">
        <f>'R2'!Q33</f>
        <v>1.3291968007953042E-2</v>
      </c>
      <c r="R27" s="38">
        <f>'R2'!R33</f>
        <v>1.5505451085254383</v>
      </c>
      <c r="S27" s="38">
        <f>'R2'!S33</f>
        <v>1.1653803200002981</v>
      </c>
      <c r="T27" s="38">
        <f>'R2'!T33</f>
        <v>0.87606501121988767</v>
      </c>
      <c r="U27" s="38">
        <f>'R2'!U33</f>
        <v>0.87526034051088608</v>
      </c>
      <c r="V27" s="38">
        <f>'R2'!V33</f>
        <v>1.1065031176998552</v>
      </c>
    </row>
    <row r="28" spans="1:22" x14ac:dyDescent="0.25">
      <c r="A28" s="144"/>
      <c r="B28" s="38">
        <f>'R2'!B34</f>
        <v>3.6235727006946938E-2</v>
      </c>
      <c r="C28" s="38">
        <f>'R2'!C34</f>
        <v>6.5246447700794477E-2</v>
      </c>
      <c r="D28" s="38">
        <f>'R2'!D34</f>
        <v>5.7634007342620218E-2</v>
      </c>
      <c r="E28" s="38">
        <f>'R2'!E34</f>
        <v>0.30259024672044799</v>
      </c>
      <c r="F28" s="38">
        <f>'R2'!F34</f>
        <v>1.1268923665115422</v>
      </c>
      <c r="G28" s="38">
        <f>'R2'!G34</f>
        <v>1.3354085180674384</v>
      </c>
      <c r="H28" s="38">
        <f>'R2'!H34</f>
        <v>1.0770921904099962</v>
      </c>
      <c r="I28" s="38">
        <f>'R2'!I34</f>
        <v>6.0524861371255748E-2</v>
      </c>
      <c r="J28" s="38">
        <f>'R2'!J34</f>
        <v>7.5106857023798726E-2</v>
      </c>
      <c r="K28" s="38">
        <f>'R2'!K34</f>
        <v>1.1216598781445422</v>
      </c>
      <c r="L28" s="38">
        <f>'R2'!L34</f>
        <v>0.99368317527745043</v>
      </c>
      <c r="M28" s="38">
        <f>'R2'!M34</f>
        <v>1.7128757158948276</v>
      </c>
      <c r="O28" s="38">
        <f>'R2'!O34</f>
        <v>0.99264859865159116</v>
      </c>
      <c r="P28" s="38">
        <f>'R2'!P34</f>
        <v>1.4291845870434712</v>
      </c>
      <c r="Q28" s="38">
        <f>'R2'!Q34</f>
        <v>0.27548263611614399</v>
      </c>
      <c r="R28" s="38">
        <f>'R2'!R34</f>
        <v>1.4969259396938686</v>
      </c>
      <c r="S28" s="38">
        <f>'R2'!S34</f>
        <v>1.6352611813704894</v>
      </c>
      <c r="T28" s="38">
        <f>'R2'!T34</f>
        <v>1.0772284309533193</v>
      </c>
      <c r="U28" s="38">
        <f>'R2'!U34</f>
        <v>1.1190798228553622</v>
      </c>
      <c r="V28" s="38">
        <f>'R2'!V34</f>
        <v>1.6693596348540563</v>
      </c>
    </row>
    <row r="29" spans="1:22" x14ac:dyDescent="0.25">
      <c r="A29" s="144"/>
      <c r="B29" s="38">
        <f>'R2'!B35</f>
        <v>4.3435188218173264E-2</v>
      </c>
      <c r="C29" s="38">
        <f>'R2'!C35</f>
        <v>0.191009241738887</v>
      </c>
      <c r="D29" s="38">
        <f>'R2'!D35</f>
        <v>4.1574653298418147E-2</v>
      </c>
      <c r="E29" s="38">
        <f>'R2'!E35</f>
        <v>0.40063234770928291</v>
      </c>
      <c r="F29" s="38">
        <f>'R2'!F35</f>
        <v>0.55418395506829454</v>
      </c>
      <c r="G29" s="38">
        <f>'R2'!G35</f>
        <v>1.0508488557523976</v>
      </c>
      <c r="H29" s="38">
        <f>'R2'!H35</f>
        <v>1.2477206983711537</v>
      </c>
      <c r="I29" s="38">
        <f>'R2'!I35</f>
        <v>9.3724978772286444E-2</v>
      </c>
      <c r="J29" s="38">
        <f>'R2'!J35</f>
        <v>0.94531352488079623</v>
      </c>
      <c r="K29" s="38">
        <f>'R2'!K35</f>
        <v>1.3230021135910852</v>
      </c>
      <c r="L29" s="38" t="str">
        <f>'R2'!L35</f>
        <v/>
      </c>
      <c r="M29" s="38">
        <f>'R2'!M35</f>
        <v>1.2253602191982615</v>
      </c>
      <c r="O29" s="38">
        <f>'R2'!O35</f>
        <v>1.3182634971936311</v>
      </c>
      <c r="P29" s="38">
        <f>'R2'!P35</f>
        <v>1.488087334445787</v>
      </c>
      <c r="Q29" s="38">
        <f>'R2'!Q35</f>
        <v>0</v>
      </c>
      <c r="R29" s="38">
        <f>'R2'!R35</f>
        <v>1.0419336151986971</v>
      </c>
      <c r="S29" s="38">
        <f>'R2'!S35</f>
        <v>1.1004829886917689</v>
      </c>
      <c r="T29" s="38">
        <f>'R2'!T35</f>
        <v>1.6333325261790728</v>
      </c>
      <c r="U29" s="38">
        <f>'R2'!U35</f>
        <v>1.206984775917568</v>
      </c>
      <c r="V29" s="38">
        <f>'R2'!V35</f>
        <v>1.2005942429323222</v>
      </c>
    </row>
    <row r="30" spans="1:22" x14ac:dyDescent="0.25">
      <c r="A30" s="144"/>
      <c r="B30" s="38" t="str">
        <f>'R2'!B36</f>
        <v/>
      </c>
      <c r="C30" s="38" t="str">
        <f>'R2'!C36</f>
        <v/>
      </c>
      <c r="D30" s="38" t="str">
        <f>'R2'!D36</f>
        <v/>
      </c>
      <c r="E30" s="38" t="str">
        <f>'R2'!E36</f>
        <v/>
      </c>
      <c r="F30" s="38" t="str">
        <f>'R2'!F36</f>
        <v/>
      </c>
      <c r="G30" s="38" t="str">
        <f>'R2'!G36</f>
        <v/>
      </c>
      <c r="H30" s="38" t="str">
        <f>'R2'!H36</f>
        <v/>
      </c>
      <c r="I30" s="38" t="str">
        <f>'R2'!I36</f>
        <v/>
      </c>
      <c r="J30" s="38" t="str">
        <f>'R2'!J36</f>
        <v/>
      </c>
      <c r="K30" s="38" t="str">
        <f>'R2'!K36</f>
        <v/>
      </c>
      <c r="L30" s="38" t="str">
        <f>'R2'!L36</f>
        <v/>
      </c>
      <c r="M30" s="38" t="str">
        <f>'R2'!M36</f>
        <v/>
      </c>
      <c r="O30" s="38">
        <f>'R2'!O36</f>
        <v>1.3001094447958375</v>
      </c>
      <c r="P30" s="38" t="str">
        <f>'R2'!P36</f>
        <v/>
      </c>
      <c r="Q30" s="38" t="str">
        <f>'R2'!Q36</f>
        <v/>
      </c>
      <c r="R30" s="38" t="str">
        <f>'R2'!R36</f>
        <v/>
      </c>
      <c r="S30" s="38" t="str">
        <f>'R2'!S36</f>
        <v/>
      </c>
      <c r="T30" s="38" t="str">
        <f>'R2'!T36</f>
        <v/>
      </c>
      <c r="U30" s="38" t="str">
        <f>'R2'!U36</f>
        <v/>
      </c>
      <c r="V30" s="38" t="str">
        <f>'R2'!V36</f>
        <v/>
      </c>
    </row>
    <row r="31" spans="1:22" s="1" customFormat="1" x14ac:dyDescent="0.25">
      <c r="A31" s="144"/>
      <c r="B31" s="38" t="str">
        <f>'R2'!B37</f>
        <v/>
      </c>
      <c r="C31" s="38" t="str">
        <f>'R2'!C37</f>
        <v/>
      </c>
      <c r="D31" s="38" t="str">
        <f>'R2'!D37</f>
        <v/>
      </c>
      <c r="E31" s="38" t="str">
        <f>'R2'!E37</f>
        <v/>
      </c>
      <c r="F31" s="38" t="str">
        <f>'R2'!F37</f>
        <v/>
      </c>
      <c r="G31" s="38" t="str">
        <f>'R2'!G37</f>
        <v/>
      </c>
      <c r="H31" s="38" t="str">
        <f>'R2'!H37</f>
        <v/>
      </c>
      <c r="I31" s="38" t="str">
        <f>'R2'!I37</f>
        <v/>
      </c>
      <c r="J31" s="38" t="str">
        <f>'R2'!J37</f>
        <v/>
      </c>
      <c r="K31" s="38" t="str">
        <f>'R2'!K37</f>
        <v/>
      </c>
      <c r="L31" s="38" t="str">
        <f>'R2'!L37</f>
        <v/>
      </c>
      <c r="M31" s="38" t="str">
        <f>'R2'!M37</f>
        <v/>
      </c>
      <c r="N31"/>
      <c r="O31" s="38">
        <f>'R2'!O37</f>
        <v>1.1828233670626247</v>
      </c>
      <c r="P31" s="38" t="str">
        <f>'R2'!P37</f>
        <v/>
      </c>
      <c r="Q31" s="38" t="str">
        <f>'R2'!Q37</f>
        <v/>
      </c>
      <c r="R31" s="38" t="str">
        <f>'R2'!R37</f>
        <v/>
      </c>
      <c r="S31" s="38" t="str">
        <f>'R2'!S37</f>
        <v/>
      </c>
      <c r="T31" s="38" t="str">
        <f>'R2'!T37</f>
        <v/>
      </c>
      <c r="U31" s="38" t="str">
        <f>'R2'!U37</f>
        <v/>
      </c>
      <c r="V31" s="38" t="str">
        <f>'R2'!V37</f>
        <v/>
      </c>
    </row>
    <row r="32" spans="1:22" s="1" customFormat="1" x14ac:dyDescent="0.25">
      <c r="A32" s="144"/>
      <c r="B32" s="38" t="str">
        <f>'R2'!B38</f>
        <v/>
      </c>
      <c r="C32" s="38" t="str">
        <f>'R2'!C38</f>
        <v/>
      </c>
      <c r="D32" s="38" t="str">
        <f>'R2'!D38</f>
        <v/>
      </c>
      <c r="E32" s="38" t="str">
        <f>'R2'!E38</f>
        <v/>
      </c>
      <c r="F32" s="38" t="str">
        <f>'R2'!F38</f>
        <v/>
      </c>
      <c r="G32" s="38" t="str">
        <f>'R2'!G38</f>
        <v/>
      </c>
      <c r="H32" s="38" t="str">
        <f>'R2'!H38</f>
        <v/>
      </c>
      <c r="I32" s="38" t="str">
        <f>'R2'!I38</f>
        <v/>
      </c>
      <c r="J32" s="38" t="str">
        <f>'R2'!J38</f>
        <v/>
      </c>
      <c r="K32" s="38" t="str">
        <f>'R2'!K38</f>
        <v/>
      </c>
      <c r="L32" s="38" t="str">
        <f>'R2'!L38</f>
        <v/>
      </c>
      <c r="M32" s="38" t="str">
        <f>'R2'!M38</f>
        <v/>
      </c>
      <c r="N32"/>
      <c r="O32" s="38">
        <f>'R2'!O38</f>
        <v>0.57701276110885968</v>
      </c>
      <c r="P32" s="38" t="str">
        <f>'R2'!P38</f>
        <v/>
      </c>
      <c r="Q32" s="38" t="str">
        <f>'R2'!Q38</f>
        <v/>
      </c>
      <c r="R32" s="38" t="str">
        <f>'R2'!R38</f>
        <v/>
      </c>
      <c r="S32" s="38" t="str">
        <f>'R2'!S38</f>
        <v/>
      </c>
      <c r="T32" s="38" t="str">
        <f>'R2'!T38</f>
        <v/>
      </c>
      <c r="U32" s="38" t="str">
        <f>'R2'!U38</f>
        <v/>
      </c>
      <c r="V32" s="38" t="str">
        <f>'R2'!V38</f>
        <v/>
      </c>
    </row>
    <row r="33" spans="1:22" s="1" customFormat="1" x14ac:dyDescent="0.25">
      <c r="A33" s="144"/>
      <c r="B33" s="38" t="str">
        <f>'R2'!B39</f>
        <v/>
      </c>
      <c r="C33" s="38" t="str">
        <f>'R2'!C39</f>
        <v/>
      </c>
      <c r="D33" s="38" t="str">
        <f>'R2'!D39</f>
        <v/>
      </c>
      <c r="E33" s="38" t="str">
        <f>'R2'!E39</f>
        <v/>
      </c>
      <c r="F33" s="38" t="str">
        <f>'R2'!F39</f>
        <v/>
      </c>
      <c r="G33" s="38" t="str">
        <f>'R2'!G39</f>
        <v/>
      </c>
      <c r="H33" s="38" t="str">
        <f>'R2'!H39</f>
        <v/>
      </c>
      <c r="I33" s="38" t="str">
        <f>'R2'!I39</f>
        <v/>
      </c>
      <c r="J33" s="38" t="str">
        <f>'R2'!J39</f>
        <v/>
      </c>
      <c r="K33" s="38" t="str">
        <f>'R2'!K39</f>
        <v/>
      </c>
      <c r="L33" s="38" t="str">
        <f>'R2'!L39</f>
        <v/>
      </c>
      <c r="M33" s="38" t="str">
        <f>'R2'!M39</f>
        <v/>
      </c>
      <c r="N33"/>
      <c r="O33" s="38">
        <f>'R2'!O39</f>
        <v>1.021318717987131</v>
      </c>
      <c r="P33" s="38" t="str">
        <f>'R2'!P39</f>
        <v/>
      </c>
      <c r="Q33" s="38" t="str">
        <f>'R2'!Q39</f>
        <v/>
      </c>
      <c r="R33" s="38" t="str">
        <f>'R2'!R39</f>
        <v/>
      </c>
      <c r="S33" s="38" t="str">
        <f>'R2'!S39</f>
        <v/>
      </c>
      <c r="T33" s="38" t="str">
        <f>'R2'!T39</f>
        <v/>
      </c>
      <c r="U33" s="38" t="str">
        <f>'R2'!U39</f>
        <v/>
      </c>
      <c r="V33" s="38" t="str">
        <f>'R2'!V39</f>
        <v/>
      </c>
    </row>
    <row r="34" spans="1:22" s="1" customFormat="1" x14ac:dyDescent="0.25">
      <c r="A34" s="144"/>
      <c r="B34" s="38" t="str">
        <f>'R2'!B40</f>
        <v/>
      </c>
      <c r="C34" s="38" t="str">
        <f>'R2'!C40</f>
        <v/>
      </c>
      <c r="D34" s="38" t="str">
        <f>'R2'!D40</f>
        <v/>
      </c>
      <c r="E34" s="38" t="str">
        <f>'R2'!E40</f>
        <v/>
      </c>
      <c r="F34" s="38" t="str">
        <f>'R2'!F40</f>
        <v/>
      </c>
      <c r="G34" s="38" t="str">
        <f>'R2'!G40</f>
        <v/>
      </c>
      <c r="H34" s="38" t="str">
        <f>'R2'!H40</f>
        <v/>
      </c>
      <c r="I34" s="38" t="str">
        <f>'R2'!I40</f>
        <v/>
      </c>
      <c r="J34" s="38" t="str">
        <f>'R2'!J40</f>
        <v/>
      </c>
      <c r="K34" s="38" t="str">
        <f>'R2'!K40</f>
        <v/>
      </c>
      <c r="L34" s="38" t="str">
        <f>'R2'!L40</f>
        <v/>
      </c>
      <c r="M34" s="38" t="str">
        <f>'R2'!M40</f>
        <v/>
      </c>
      <c r="N34"/>
      <c r="O34" s="38">
        <f>'R2'!O40</f>
        <v>1.0736563742080685</v>
      </c>
      <c r="P34" s="38" t="str">
        <f>'R2'!P40</f>
        <v/>
      </c>
      <c r="Q34" s="38" t="str">
        <f>'R2'!Q40</f>
        <v/>
      </c>
      <c r="R34" s="38" t="str">
        <f>'R2'!R40</f>
        <v/>
      </c>
      <c r="S34" s="38" t="str">
        <f>'R2'!S40</f>
        <v/>
      </c>
      <c r="T34" s="38" t="str">
        <f>'R2'!T40</f>
        <v/>
      </c>
      <c r="U34" s="38" t="str">
        <f>'R2'!U40</f>
        <v/>
      </c>
      <c r="V34" s="38" t="str">
        <f>'R2'!V40</f>
        <v/>
      </c>
    </row>
    <row r="35" spans="1:22" s="1" customFormat="1" x14ac:dyDescent="0.25">
      <c r="A35" s="144"/>
      <c r="B35" s="38" t="str">
        <f>'R2'!B41</f>
        <v/>
      </c>
      <c r="C35" s="38" t="str">
        <f>'R2'!C41</f>
        <v/>
      </c>
      <c r="D35" s="38" t="str">
        <f>'R2'!D41</f>
        <v/>
      </c>
      <c r="E35" s="38" t="str">
        <f>'R2'!E41</f>
        <v/>
      </c>
      <c r="F35" s="38" t="str">
        <f>'R2'!F41</f>
        <v/>
      </c>
      <c r="G35" s="38" t="str">
        <f>'R2'!G41</f>
        <v/>
      </c>
      <c r="H35" s="38" t="str">
        <f>'R2'!H41</f>
        <v/>
      </c>
      <c r="I35" s="38" t="str">
        <f>'R2'!I41</f>
        <v/>
      </c>
      <c r="J35" s="38" t="str">
        <f>'R2'!J41</f>
        <v/>
      </c>
      <c r="K35" s="38" t="str">
        <f>'R2'!K41</f>
        <v/>
      </c>
      <c r="L35" s="38" t="str">
        <f>'R2'!L41</f>
        <v/>
      </c>
      <c r="M35" s="38" t="str">
        <f>'R2'!M41</f>
        <v/>
      </c>
      <c r="N35"/>
      <c r="O35" s="38">
        <f>'R2'!O41</f>
        <v>0.64188880483249466</v>
      </c>
      <c r="P35" s="38" t="str">
        <f>'R2'!P41</f>
        <v/>
      </c>
      <c r="Q35" s="38" t="str">
        <f>'R2'!Q41</f>
        <v/>
      </c>
      <c r="R35" s="38" t="str">
        <f>'R2'!R41</f>
        <v/>
      </c>
      <c r="S35" s="38" t="str">
        <f>'R2'!S41</f>
        <v/>
      </c>
      <c r="T35" s="38" t="str">
        <f>'R2'!T41</f>
        <v/>
      </c>
      <c r="U35" s="38" t="str">
        <f>'R2'!U41</f>
        <v/>
      </c>
      <c r="V35" s="38" t="str">
        <f>'R2'!V41</f>
        <v/>
      </c>
    </row>
    <row r="36" spans="1:22" x14ac:dyDescent="0.25">
      <c r="A36" s="144"/>
      <c r="B36" s="38" t="str">
        <f>'R2'!B42</f>
        <v/>
      </c>
      <c r="C36" s="38" t="str">
        <f>'R2'!C42</f>
        <v/>
      </c>
      <c r="D36" s="38" t="str">
        <f>'R2'!D42</f>
        <v/>
      </c>
      <c r="E36" s="38" t="str">
        <f>'R2'!E42</f>
        <v/>
      </c>
      <c r="F36" s="38" t="str">
        <f>'R2'!F42</f>
        <v/>
      </c>
      <c r="G36" s="38" t="str">
        <f>'R2'!G42</f>
        <v/>
      </c>
      <c r="H36" s="38" t="str">
        <f>'R2'!H42</f>
        <v/>
      </c>
      <c r="I36" s="38" t="str">
        <f>'R2'!I42</f>
        <v/>
      </c>
      <c r="J36" s="38" t="str">
        <f>'R2'!J42</f>
        <v/>
      </c>
      <c r="K36" s="38" t="str">
        <f>'R2'!K42</f>
        <v/>
      </c>
      <c r="L36" s="38" t="str">
        <f>'R2'!L42</f>
        <v/>
      </c>
      <c r="M36" s="38" t="str">
        <f>'R2'!M42</f>
        <v/>
      </c>
      <c r="O36" s="38">
        <f>'R2'!O42</f>
        <v>0.90546742347578901</v>
      </c>
      <c r="P36" s="38" t="str">
        <f>'R2'!P42</f>
        <v/>
      </c>
      <c r="Q36" s="38" t="str">
        <f>'R2'!Q42</f>
        <v/>
      </c>
      <c r="R36" s="38" t="str">
        <f>'R2'!R42</f>
        <v/>
      </c>
      <c r="S36" s="38" t="str">
        <f>'R2'!S42</f>
        <v/>
      </c>
      <c r="T36" s="38" t="str">
        <f>'R2'!T42</f>
        <v/>
      </c>
      <c r="U36" s="38" t="str">
        <f>'R2'!U42</f>
        <v/>
      </c>
      <c r="V36" s="38" t="str">
        <f>'R2'!V42</f>
        <v/>
      </c>
    </row>
    <row r="37" spans="1:22" x14ac:dyDescent="0.25">
      <c r="A37" s="145"/>
      <c r="B37" s="38" t="str">
        <f>'R2'!B43</f>
        <v/>
      </c>
      <c r="C37" s="38" t="str">
        <f>'R2'!C43</f>
        <v/>
      </c>
      <c r="D37" s="38" t="str">
        <f>'R2'!D43</f>
        <v/>
      </c>
      <c r="E37" s="38" t="str">
        <f>'R2'!E43</f>
        <v/>
      </c>
      <c r="F37" s="38" t="str">
        <f>'R2'!F43</f>
        <v/>
      </c>
      <c r="G37" s="38" t="str">
        <f>'R2'!G43</f>
        <v/>
      </c>
      <c r="H37" s="38" t="str">
        <f>'R2'!H43</f>
        <v/>
      </c>
      <c r="I37" s="38" t="str">
        <f>'R2'!I43</f>
        <v/>
      </c>
      <c r="J37" s="38" t="str">
        <f>'R2'!J43</f>
        <v/>
      </c>
      <c r="K37" s="38" t="str">
        <f>'R2'!K43</f>
        <v/>
      </c>
      <c r="L37" s="38" t="str">
        <f>'R2'!L43</f>
        <v/>
      </c>
      <c r="M37" s="38" t="str">
        <f>'R2'!M43</f>
        <v/>
      </c>
      <c r="O37" s="38">
        <f>'R2'!O43</f>
        <v>1.2024505203350986</v>
      </c>
      <c r="P37" s="38" t="str">
        <f>'R2'!P43</f>
        <v/>
      </c>
      <c r="Q37" s="38" t="str">
        <f>'R2'!Q43</f>
        <v/>
      </c>
      <c r="R37" s="38" t="str">
        <f>'R2'!R43</f>
        <v/>
      </c>
      <c r="S37" s="38" t="str">
        <f>'R2'!S43</f>
        <v/>
      </c>
      <c r="T37" s="38" t="str">
        <f>'R2'!T43</f>
        <v/>
      </c>
      <c r="U37" s="38" t="str">
        <f>'R2'!U43</f>
        <v/>
      </c>
      <c r="V37" s="38" t="str">
        <f>'R2'!V43</f>
        <v/>
      </c>
    </row>
    <row r="38" spans="1:22" s="1" customFormat="1" x14ac:dyDescent="0.25">
      <c r="A38" s="84" t="s">
        <v>16</v>
      </c>
      <c r="B38" s="85">
        <f>'R3'!B28</f>
        <v>5.5545660469082977E-2</v>
      </c>
      <c r="C38" s="85">
        <f>'R3'!C28</f>
        <v>1.001615576589017E-2</v>
      </c>
      <c r="D38" s="85">
        <f>'R3'!D28</f>
        <v>3.4784139270664606E-4</v>
      </c>
      <c r="E38" s="85">
        <f>'R3'!E28</f>
        <v>0.78183010672025377</v>
      </c>
      <c r="F38" s="85">
        <f>'R3'!F28</f>
        <v>0.9913940686756253</v>
      </c>
      <c r="G38" s="85">
        <f>'R3'!G28</f>
        <v>1.0591686590714311</v>
      </c>
      <c r="H38" s="85">
        <f>'R3'!H28</f>
        <v>1.2778351692793188</v>
      </c>
      <c r="I38" s="85">
        <f>'R3'!I28</f>
        <v>2.2886287296036076E-2</v>
      </c>
      <c r="J38" s="85">
        <f>'R3'!J28</f>
        <v>5.1379945476909411E-3</v>
      </c>
      <c r="K38" s="85">
        <f>'R3'!K28</f>
        <v>1.3154062305517895</v>
      </c>
      <c r="L38" s="85">
        <f>'R3'!L28</f>
        <v>1.1123213383930985</v>
      </c>
      <c r="M38" s="85">
        <f>'R3'!M28</f>
        <v>0.80647236442043546</v>
      </c>
      <c r="N38"/>
      <c r="O38" s="85">
        <f>'R3'!O28</f>
        <v>1.285810376150653</v>
      </c>
      <c r="P38" s="85">
        <f>'R3'!P28</f>
        <v>0.85806604376515261</v>
      </c>
      <c r="Q38" s="85">
        <f>'R3'!Q28</f>
        <v>6.7053762449473947E-4</v>
      </c>
      <c r="R38" s="85">
        <f>'R3'!R28</f>
        <v>1.1778580094671531</v>
      </c>
      <c r="S38" s="85">
        <f>'R3'!S28</f>
        <v>0.73369388700183769</v>
      </c>
      <c r="T38" s="85">
        <f>'R3'!T28</f>
        <v>0.66155242032650996</v>
      </c>
      <c r="U38" s="85">
        <f>'R3'!U28</f>
        <v>0.99429414390156512</v>
      </c>
      <c r="V38" s="85">
        <f>'R3'!V28</f>
        <v>1.2399246483344475</v>
      </c>
    </row>
    <row r="39" spans="1:22" s="1" customFormat="1" x14ac:dyDescent="0.25">
      <c r="A39" s="143"/>
      <c r="B39" s="85">
        <f>'R3'!B29</f>
        <v>0</v>
      </c>
      <c r="C39" s="85">
        <f>'R3'!C29</f>
        <v>2.2747988910984035E-2</v>
      </c>
      <c r="D39" s="85">
        <f>'R3'!D29</f>
        <v>9.1863654555779297E-3</v>
      </c>
      <c r="E39" s="85">
        <f>'R3'!E29</f>
        <v>0.61305159577477475</v>
      </c>
      <c r="F39" s="85">
        <f>'R3'!F29</f>
        <v>1.0950717580029714</v>
      </c>
      <c r="G39" s="85">
        <f>'R3'!G29</f>
        <v>0.94360988121006895</v>
      </c>
      <c r="H39" s="85">
        <f>'R3'!H29</f>
        <v>1.9052236976378216</v>
      </c>
      <c r="I39" s="85">
        <f>'R3'!I29</f>
        <v>1.0757938012987476E-2</v>
      </c>
      <c r="J39" s="85">
        <f>'R3'!J29</f>
        <v>2.4256698566097197E-2</v>
      </c>
      <c r="K39" s="85">
        <f>'R3'!K29</f>
        <v>0.63354909278354832</v>
      </c>
      <c r="L39" s="85">
        <f>'R3'!L29</f>
        <v>0.94088582211055904</v>
      </c>
      <c r="M39" s="85">
        <f>'R3'!M29</f>
        <v>1.4748055964746485</v>
      </c>
      <c r="N39"/>
      <c r="O39" s="85">
        <f>'R3'!O29</f>
        <v>1.0186807591324081</v>
      </c>
      <c r="P39" s="85">
        <f>'R3'!P29</f>
        <v>0.98273994245949015</v>
      </c>
      <c r="Q39" s="85">
        <f>'R3'!Q29</f>
        <v>1.1235696070439977E-2</v>
      </c>
      <c r="R39" s="85">
        <f>'R3'!R29</f>
        <v>1.2897372121141004</v>
      </c>
      <c r="S39" s="85">
        <f>'R3'!S29</f>
        <v>1.2217027883888028</v>
      </c>
      <c r="T39" s="85">
        <f>'R3'!T29</f>
        <v>0.56542666099503591</v>
      </c>
      <c r="U39" s="85">
        <f>'R3'!U29</f>
        <v>1.2380764790069338</v>
      </c>
      <c r="V39" s="85">
        <f>'R3'!V29</f>
        <v>1.1067223492285674</v>
      </c>
    </row>
    <row r="40" spans="1:22" s="1" customFormat="1" x14ac:dyDescent="0.25">
      <c r="A40" s="144"/>
      <c r="B40" s="85">
        <f>'R3'!B30</f>
        <v>3.3945967240046182E-4</v>
      </c>
      <c r="C40" s="85">
        <f>'R3'!C30</f>
        <v>6.7938033941776374E-2</v>
      </c>
      <c r="D40" s="85">
        <f>'R3'!D30</f>
        <v>1.9043268535650599E-2</v>
      </c>
      <c r="E40" s="85">
        <f>'R3'!E30</f>
        <v>0.56015455892244603</v>
      </c>
      <c r="F40" s="85">
        <f>'R3'!F30</f>
        <v>0.88672314549199649</v>
      </c>
      <c r="G40" s="85">
        <f>'R3'!G30</f>
        <v>1.2477825111214951</v>
      </c>
      <c r="H40" s="85">
        <f>'R3'!H30</f>
        <v>1.1881717163039127</v>
      </c>
      <c r="I40" s="85">
        <f>'R3'!I30</f>
        <v>7.1206904861188233E-2</v>
      </c>
      <c r="J40" s="85">
        <f>'R3'!J30</f>
        <v>4.2222916042403122E-2</v>
      </c>
      <c r="K40" s="85">
        <f>'R3'!K30</f>
        <v>1.05739173436652</v>
      </c>
      <c r="L40" s="85">
        <f>'R3'!L30</f>
        <v>1.0962535805661433</v>
      </c>
      <c r="M40" s="85">
        <f>'R3'!M30</f>
        <v>1.0454561646505136</v>
      </c>
      <c r="N40"/>
      <c r="O40" s="85">
        <f>'R3'!O30</f>
        <v>0.64531702809343106</v>
      </c>
      <c r="P40" s="85">
        <f>'R3'!P30</f>
        <v>1.2104587105980567</v>
      </c>
      <c r="Q40" s="85">
        <f>'R3'!Q30</f>
        <v>9.7965546938681425E-2</v>
      </c>
      <c r="R40" s="85">
        <f>'R3'!R30</f>
        <v>1.1799199126624744</v>
      </c>
      <c r="S40" s="85">
        <f>'R3'!S30</f>
        <v>0.83603888280050043</v>
      </c>
      <c r="T40" s="85">
        <f>'R3'!T30</f>
        <v>1.1600594263969708</v>
      </c>
      <c r="U40" s="85">
        <f>'R3'!U30</f>
        <v>0.69069985269126566</v>
      </c>
      <c r="V40" s="85">
        <f>'R3'!V30</f>
        <v>0.73024061823568975</v>
      </c>
    </row>
    <row r="41" spans="1:22" s="1" customFormat="1" x14ac:dyDescent="0.25">
      <c r="A41" s="144"/>
      <c r="B41" s="85">
        <f>'R3'!B31</f>
        <v>3.7851848902728039E-2</v>
      </c>
      <c r="C41" s="85">
        <f>'R3'!C31</f>
        <v>2.8497849041026424E-2</v>
      </c>
      <c r="D41" s="85">
        <f>'R3'!D31</f>
        <v>0.26362605793025989</v>
      </c>
      <c r="E41" s="85">
        <f>'R3'!E31</f>
        <v>4.482544019747333E-2</v>
      </c>
      <c r="F41" s="85">
        <f>'R3'!F31</f>
        <v>0.9780713242489455</v>
      </c>
      <c r="G41" s="85">
        <f>'R3'!G31</f>
        <v>0.99487248260269179</v>
      </c>
      <c r="H41" s="85">
        <f>'R3'!H31</f>
        <v>1.4204333768484312</v>
      </c>
      <c r="I41" s="85">
        <f>'R3'!I31</f>
        <v>2.3724459326654498E-2</v>
      </c>
      <c r="J41" s="85">
        <f>'R3'!J31</f>
        <v>4.5889918676358726E-3</v>
      </c>
      <c r="K41" s="85">
        <f>'R3'!K31</f>
        <v>0.84706922672343887</v>
      </c>
      <c r="L41" s="85">
        <f>'R3'!L31</f>
        <v>1.060530688621186</v>
      </c>
      <c r="M41" s="85">
        <f>'R3'!M31</f>
        <v>1.1783357675246056</v>
      </c>
      <c r="N41"/>
      <c r="O41" s="85">
        <f>'R3'!O31</f>
        <v>1.0938773628593401</v>
      </c>
      <c r="P41" s="85">
        <f>'R3'!P31</f>
        <v>1.2397025327463336</v>
      </c>
      <c r="Q41" s="85">
        <f>'R3'!Q31</f>
        <v>8.6247901950635864E-2</v>
      </c>
      <c r="R41" s="85">
        <f>'R3'!R31</f>
        <v>1.0709701212625384</v>
      </c>
      <c r="S41" s="85">
        <f>'R3'!S31</f>
        <v>1.2407460569244535</v>
      </c>
      <c r="T41" s="85">
        <f>'R3'!T31</f>
        <v>0.99067324072929352</v>
      </c>
      <c r="U41" s="85">
        <f>'R3'!U31</f>
        <v>1.0698385890212037</v>
      </c>
      <c r="V41" s="85">
        <f>'R3'!V31</f>
        <v>0.78830079479662807</v>
      </c>
    </row>
    <row r="42" spans="1:22" s="1" customFormat="1" x14ac:dyDescent="0.25">
      <c r="A42" s="144"/>
      <c r="B42" s="85">
        <f>'R3'!B32</f>
        <v>7.5510918238413841E-2</v>
      </c>
      <c r="C42" s="85">
        <f>'R3'!C32</f>
        <v>2.6972375945300893E-2</v>
      </c>
      <c r="D42" s="85">
        <f>'R3'!D32</f>
        <v>0.11339210316221353</v>
      </c>
      <c r="E42" s="85">
        <f>'R3'!E32</f>
        <v>0.36786113165796713</v>
      </c>
      <c r="F42" s="85">
        <f>'R3'!F32</f>
        <v>1.3315117061201227</v>
      </c>
      <c r="G42" s="85">
        <f>'R3'!G32</f>
        <v>0.95623694285133554</v>
      </c>
      <c r="H42" s="85">
        <f>'R3'!H32</f>
        <v>1.2124535600309285</v>
      </c>
      <c r="I42" s="85">
        <f>'R3'!I32</f>
        <v>2.3678359864970485E-3</v>
      </c>
      <c r="J42" s="85">
        <f>'R3'!J32</f>
        <v>3.2990451125141179E-2</v>
      </c>
      <c r="K42" s="85">
        <f>'R3'!K32</f>
        <v>1.5381839745698607</v>
      </c>
      <c r="L42" s="85">
        <f>'R3'!L32</f>
        <v>1.2516590567631054</v>
      </c>
      <c r="M42" s="85">
        <f>'R3'!M32</f>
        <v>0.93592384368929804</v>
      </c>
      <c r="N42"/>
      <c r="O42" s="85">
        <f>'R3'!O32</f>
        <v>0.50540935274260368</v>
      </c>
      <c r="P42" s="85">
        <f>'R3'!P32</f>
        <v>0.43188490221675546</v>
      </c>
      <c r="Q42" s="85">
        <f>'R3'!Q32</f>
        <v>0.17897487369795215</v>
      </c>
      <c r="R42" s="85">
        <f>'R3'!R32</f>
        <v>0.62816802834697805</v>
      </c>
      <c r="S42" s="85">
        <f>'R3'!S32</f>
        <v>1.4386384733534634</v>
      </c>
      <c r="T42" s="85">
        <f>'R3'!T32</f>
        <v>1.1483836900104563</v>
      </c>
      <c r="U42" s="85">
        <f>'R3'!U32</f>
        <v>1.1331205773328947</v>
      </c>
      <c r="V42" s="85">
        <f>'R3'!V32</f>
        <v>1.2709118683064105</v>
      </c>
    </row>
    <row r="43" spans="1:22" s="1" customFormat="1" x14ac:dyDescent="0.25">
      <c r="A43" s="144"/>
      <c r="B43" s="85">
        <f>'R3'!B33</f>
        <v>3.6313803226543234E-2</v>
      </c>
      <c r="C43" s="85">
        <f>'R3'!C33</f>
        <v>1.4630292794444597E-2</v>
      </c>
      <c r="D43" s="85">
        <f>'R3'!D33</f>
        <v>0</v>
      </c>
      <c r="E43" s="85">
        <f>'R3'!E33</f>
        <v>0.24895385653428437</v>
      </c>
      <c r="F43" s="85">
        <f>'R3'!F33</f>
        <v>0.63957974054384792</v>
      </c>
      <c r="G43" s="85">
        <f>'R3'!G33</f>
        <v>1.2325193984439335</v>
      </c>
      <c r="H43" s="85">
        <f>'R3'!H33</f>
        <v>1.4300765460606961</v>
      </c>
      <c r="I43" s="85">
        <f>'R3'!I33</f>
        <v>3.8111682232219751E-2</v>
      </c>
      <c r="J43" s="85">
        <f>'R3'!J33</f>
        <v>6.7456085024170789E-2</v>
      </c>
      <c r="K43" s="85">
        <f>'R3'!K33</f>
        <v>1.0501205920009051</v>
      </c>
      <c r="L43" s="85">
        <f>'R3'!L33</f>
        <v>0.84717818908741926</v>
      </c>
      <c r="M43" s="85">
        <f>'R3'!M33</f>
        <v>1.0119125199851644</v>
      </c>
      <c r="N43"/>
      <c r="O43" s="85">
        <f>'R3'!O33</f>
        <v>0.93635131142491346</v>
      </c>
      <c r="P43" s="85">
        <f>'R3'!P33</f>
        <v>0.12728480456971392</v>
      </c>
      <c r="Q43" s="85">
        <f>'R3'!Q33</f>
        <v>6.5000240974458806E-2</v>
      </c>
      <c r="R43" s="85">
        <f>'R3'!R33</f>
        <v>1.1203552173065761</v>
      </c>
      <c r="S43" s="85">
        <f>'R3'!S33</f>
        <v>0.44174599615698124</v>
      </c>
      <c r="T43" s="85">
        <f>'R3'!T33</f>
        <v>1.1198481232280519</v>
      </c>
      <c r="U43" s="85">
        <f>'R3'!U33</f>
        <v>0.90405654308518557</v>
      </c>
      <c r="V43" s="85">
        <f>'R3'!V33</f>
        <v>0.94326203981736234</v>
      </c>
    </row>
    <row r="44" spans="1:22" s="1" customFormat="1" x14ac:dyDescent="0.25">
      <c r="A44" s="144"/>
      <c r="B44" s="85">
        <f>'R3'!B34</f>
        <v>1.1734408428657941E-2</v>
      </c>
      <c r="C44" s="85">
        <f>'R3'!C34</f>
        <v>9.3632197540384182E-2</v>
      </c>
      <c r="D44" s="85">
        <f>'R3'!D34</f>
        <v>2.8581666244088269E-2</v>
      </c>
      <c r="E44" s="85">
        <f>'R3'!E34</f>
        <v>2.7156773792036946E-3</v>
      </c>
      <c r="F44" s="85">
        <f>'R3'!F34</f>
        <v>1.1046227282918684</v>
      </c>
      <c r="G44" s="85">
        <f>'R3'!G34</f>
        <v>1.1500726066521523</v>
      </c>
      <c r="H44" s="85">
        <f>'R3'!H34</f>
        <v>1.3842075816851029</v>
      </c>
      <c r="I44" s="85">
        <f>'R3'!I34</f>
        <v>9.2659917984866808E-3</v>
      </c>
      <c r="J44" s="85">
        <f>'R3'!J34</f>
        <v>6.2318090476479841E-3</v>
      </c>
      <c r="K44" s="85">
        <f>'R3'!K34</f>
        <v>1.1859296061220086</v>
      </c>
      <c r="L44" s="85">
        <f>'R3'!L34</f>
        <v>1.2085099606268688</v>
      </c>
      <c r="M44" s="85">
        <f>'R3'!M34</f>
        <v>0.83811754943643413</v>
      </c>
      <c r="N44"/>
      <c r="O44" s="85">
        <f>'R3'!O34</f>
        <v>1.2326493151086795</v>
      </c>
      <c r="P44" s="85">
        <f>'R3'!P34</f>
        <v>0.93136837870288691</v>
      </c>
      <c r="Q44" s="85">
        <f>'R3'!Q34</f>
        <v>7.5598926301628774E-2</v>
      </c>
      <c r="R44" s="85">
        <f>'R3'!R34</f>
        <v>1.1714124665516974</v>
      </c>
      <c r="S44" s="85">
        <f>'R3'!S34</f>
        <v>1.0626722181594161</v>
      </c>
      <c r="T44" s="85">
        <f>'R3'!T34</f>
        <v>0.93245800234269083</v>
      </c>
      <c r="U44" s="85">
        <f>'R3'!U34</f>
        <v>1.1123590561344763</v>
      </c>
      <c r="V44" s="85">
        <f>'R3'!V34</f>
        <v>1.4539393037724027</v>
      </c>
    </row>
    <row r="45" spans="1:22" s="1" customFormat="1" x14ac:dyDescent="0.25">
      <c r="A45" s="144"/>
      <c r="B45" s="85">
        <f>'R3'!B35</f>
        <v>1.5996513204352629E-2</v>
      </c>
      <c r="C45" s="85">
        <f>'R3'!C35</f>
        <v>3.2592319410597426E-2</v>
      </c>
      <c r="D45" s="85">
        <f>'R3'!D35</f>
        <v>6.7053762449473947E-4</v>
      </c>
      <c r="E45" s="85">
        <f>'R3'!E35</f>
        <v>0.89493304053190392</v>
      </c>
      <c r="F45" s="85">
        <f>'R3'!F35</f>
        <v>0.8714348876535164</v>
      </c>
      <c r="G45" s="85">
        <f>'R3'!G35</f>
        <v>0.91012071772670977</v>
      </c>
      <c r="H45" s="85">
        <f>'R3'!H35</f>
        <v>1.4040093959084632</v>
      </c>
      <c r="I45" s="85">
        <f>'R3'!I35</f>
        <v>0.10141043398452315</v>
      </c>
      <c r="J45" s="85">
        <f>'R3'!J35</f>
        <v>9.1268552414040222E-2</v>
      </c>
      <c r="K45" s="85">
        <f>'R3'!K35</f>
        <v>1.3169317036475152</v>
      </c>
      <c r="L45" s="85">
        <f>'R3'!L35</f>
        <v>1.024627589689646</v>
      </c>
      <c r="M45" s="85">
        <f>'R3'!M35</f>
        <v>1.1385393595108428</v>
      </c>
      <c r="N45"/>
      <c r="O45" s="85">
        <f>'R3'!O35</f>
        <v>1.1302875558694043</v>
      </c>
      <c r="P45" s="85">
        <f>'R3'!P35</f>
        <v>0.71373282009265993</v>
      </c>
      <c r="Q45" s="85">
        <f>'R3'!Q35</f>
        <v>6.7472848464783151E-4</v>
      </c>
      <c r="R45" s="85">
        <f>'R3'!R35</f>
        <v>1.074134220678123</v>
      </c>
      <c r="S45" s="85">
        <f>'R3'!S35</f>
        <v>1.3817559284955441</v>
      </c>
      <c r="T45" s="85">
        <f>'R3'!T35</f>
        <v>1.0522160220774512</v>
      </c>
      <c r="U45" s="85" t="str">
        <f>'R3'!U35</f>
        <v/>
      </c>
      <c r="V45" s="85">
        <f>'R3'!V35</f>
        <v>1.2900557174857354</v>
      </c>
    </row>
    <row r="46" spans="1:22" s="1" customFormat="1" x14ac:dyDescent="0.25">
      <c r="A46" s="144"/>
      <c r="B46" s="85" t="str">
        <f>'R3'!B36</f>
        <v/>
      </c>
      <c r="C46" s="85" t="str">
        <f>'R3'!C36</f>
        <v/>
      </c>
      <c r="D46" s="85" t="str">
        <f>'R3'!D36</f>
        <v/>
      </c>
      <c r="E46" s="85" t="str">
        <f>'R3'!E36</f>
        <v/>
      </c>
      <c r="F46" s="85" t="str">
        <f>'R3'!F36</f>
        <v/>
      </c>
      <c r="G46" s="85" t="str">
        <f>'R3'!G36</f>
        <v/>
      </c>
      <c r="H46" s="85" t="str">
        <f>'R3'!H36</f>
        <v/>
      </c>
      <c r="I46" s="85" t="str">
        <f>'R3'!I36</f>
        <v/>
      </c>
      <c r="J46" s="85" t="str">
        <f>'R3'!J36</f>
        <v/>
      </c>
      <c r="K46" s="85" t="str">
        <f>'R3'!K36</f>
        <v/>
      </c>
      <c r="L46" s="85" t="str">
        <f>'R3'!L36</f>
        <v/>
      </c>
      <c r="M46" s="85" t="str">
        <f>'R3'!M36</f>
        <v/>
      </c>
      <c r="N46"/>
      <c r="O46" s="85">
        <f>'R3'!O36</f>
        <v>0.72351428768997694</v>
      </c>
      <c r="P46" s="85" t="str">
        <f>'R3'!P36</f>
        <v/>
      </c>
      <c r="Q46" s="85" t="str">
        <f>'R3'!Q36</f>
        <v/>
      </c>
      <c r="R46" s="85" t="str">
        <f>'R3'!R36</f>
        <v/>
      </c>
      <c r="S46" s="85" t="str">
        <f>'R3'!S36</f>
        <v/>
      </c>
      <c r="T46" s="85" t="str">
        <f>'R3'!T36</f>
        <v/>
      </c>
      <c r="U46" s="85" t="str">
        <f>'R3'!U36</f>
        <v/>
      </c>
      <c r="V46" s="85" t="str">
        <f>'R3'!V36</f>
        <v/>
      </c>
    </row>
    <row r="47" spans="1:22" s="1" customFormat="1" x14ac:dyDescent="0.25">
      <c r="A47" s="144"/>
      <c r="B47" s="85" t="str">
        <f>'R3'!B37</f>
        <v/>
      </c>
      <c r="C47" s="85" t="str">
        <f>'R3'!C37</f>
        <v/>
      </c>
      <c r="D47" s="85" t="str">
        <f>'R3'!D37</f>
        <v/>
      </c>
      <c r="E47" s="85" t="str">
        <f>'R3'!E37</f>
        <v/>
      </c>
      <c r="F47" s="85" t="str">
        <f>'R3'!F37</f>
        <v/>
      </c>
      <c r="G47" s="85" t="str">
        <f>'R3'!G37</f>
        <v/>
      </c>
      <c r="H47" s="85" t="str">
        <f>'R3'!H37</f>
        <v/>
      </c>
      <c r="I47" s="85" t="str">
        <f>'R3'!I37</f>
        <v/>
      </c>
      <c r="J47" s="85" t="str">
        <f>'R3'!J37</f>
        <v/>
      </c>
      <c r="K47" s="85" t="str">
        <f>'R3'!K37</f>
        <v/>
      </c>
      <c r="L47" s="85" t="str">
        <f>'R3'!L37</f>
        <v/>
      </c>
      <c r="M47" s="85" t="str">
        <f>'R3'!M37</f>
        <v/>
      </c>
      <c r="N47"/>
      <c r="O47" s="85">
        <f>'R3'!O37</f>
        <v>1.1021501208015438</v>
      </c>
      <c r="P47" s="85" t="str">
        <f>'R3'!P37</f>
        <v/>
      </c>
      <c r="Q47" s="85" t="str">
        <f>'R3'!Q37</f>
        <v/>
      </c>
      <c r="R47" s="85" t="str">
        <f>'R3'!R37</f>
        <v/>
      </c>
      <c r="S47" s="85" t="str">
        <f>'R3'!S37</f>
        <v/>
      </c>
      <c r="T47" s="85" t="str">
        <f>'R3'!T37</f>
        <v/>
      </c>
      <c r="U47" s="85" t="str">
        <f>'R3'!U37</f>
        <v/>
      </c>
      <c r="V47" s="85" t="str">
        <f>'R3'!V37</f>
        <v/>
      </c>
    </row>
    <row r="48" spans="1:22" s="1" customFormat="1" x14ac:dyDescent="0.25">
      <c r="A48" s="144"/>
      <c r="B48" s="85" t="str">
        <f>'R3'!B38</f>
        <v/>
      </c>
      <c r="C48" s="85" t="str">
        <f>'R3'!C38</f>
        <v/>
      </c>
      <c r="D48" s="85" t="str">
        <f>'R3'!D38</f>
        <v/>
      </c>
      <c r="E48" s="85" t="str">
        <f>'R3'!E38</f>
        <v/>
      </c>
      <c r="F48" s="85" t="str">
        <f>'R3'!F38</f>
        <v/>
      </c>
      <c r="G48" s="85" t="str">
        <f>'R3'!G38</f>
        <v/>
      </c>
      <c r="H48" s="85" t="str">
        <f>'R3'!H38</f>
        <v/>
      </c>
      <c r="I48" s="85" t="str">
        <f>'R3'!I38</f>
        <v/>
      </c>
      <c r="J48" s="85" t="str">
        <f>'R3'!J38</f>
        <v/>
      </c>
      <c r="K48" s="85" t="str">
        <f>'R3'!K38</f>
        <v/>
      </c>
      <c r="L48" s="85" t="str">
        <f>'R3'!L38</f>
        <v/>
      </c>
      <c r="M48" s="85" t="str">
        <f>'R3'!M38</f>
        <v/>
      </c>
      <c r="N48"/>
      <c r="O48" s="85">
        <f>'R3'!O38</f>
        <v>0.98551429188083706</v>
      </c>
      <c r="P48" s="85" t="str">
        <f>'R3'!P38</f>
        <v/>
      </c>
      <c r="Q48" s="85" t="str">
        <f>'R3'!Q38</f>
        <v/>
      </c>
      <c r="R48" s="85" t="str">
        <f>'R3'!R38</f>
        <v/>
      </c>
      <c r="S48" s="85" t="str">
        <f>'R3'!S38</f>
        <v/>
      </c>
      <c r="T48" s="85" t="str">
        <f>'R3'!T38</f>
        <v/>
      </c>
      <c r="U48" s="85" t="str">
        <f>'R3'!U38</f>
        <v/>
      </c>
      <c r="V48" s="85" t="str">
        <f>'R3'!V38</f>
        <v/>
      </c>
    </row>
    <row r="49" spans="1:24" s="1" customFormat="1" x14ac:dyDescent="0.25">
      <c r="A49" s="144"/>
      <c r="B49" s="85" t="str">
        <f>'R3'!B39</f>
        <v/>
      </c>
      <c r="C49" s="85" t="str">
        <f>'R3'!C39</f>
        <v/>
      </c>
      <c r="D49" s="85" t="str">
        <f>'R3'!D39</f>
        <v/>
      </c>
      <c r="E49" s="85" t="str">
        <f>'R3'!E39</f>
        <v/>
      </c>
      <c r="F49" s="85" t="str">
        <f>'R3'!F39</f>
        <v/>
      </c>
      <c r="G49" s="85" t="str">
        <f>'R3'!G39</f>
        <v/>
      </c>
      <c r="H49" s="85" t="str">
        <f>'R3'!H39</f>
        <v/>
      </c>
      <c r="I49" s="85" t="str">
        <f>'R3'!I39</f>
        <v/>
      </c>
      <c r="J49" s="85" t="str">
        <f>'R3'!J39</f>
        <v/>
      </c>
      <c r="K49" s="85" t="str">
        <f>'R3'!K39</f>
        <v/>
      </c>
      <c r="L49" s="85" t="str">
        <f>'R3'!L39</f>
        <v/>
      </c>
      <c r="M49" s="85" t="str">
        <f>'R3'!M39</f>
        <v/>
      </c>
      <c r="N49"/>
      <c r="O49" s="85">
        <f>'R3'!O39</f>
        <v>1.4025509765751871</v>
      </c>
      <c r="P49" s="85" t="str">
        <f>'R3'!P39</f>
        <v/>
      </c>
      <c r="Q49" s="85" t="str">
        <f>'R3'!Q39</f>
        <v/>
      </c>
      <c r="R49" s="85" t="str">
        <f>'R3'!R39</f>
        <v/>
      </c>
      <c r="S49" s="85" t="str">
        <f>'R3'!S39</f>
        <v/>
      </c>
      <c r="T49" s="85" t="str">
        <f>'R3'!T39</f>
        <v/>
      </c>
      <c r="U49" s="85" t="str">
        <f>'R3'!U39</f>
        <v/>
      </c>
      <c r="V49" s="85" t="str">
        <f>'R3'!V39</f>
        <v/>
      </c>
    </row>
    <row r="50" spans="1:24" s="1" customFormat="1" x14ac:dyDescent="0.25">
      <c r="A50" s="144"/>
      <c r="B50" s="85" t="str">
        <f>'R3'!B40</f>
        <v/>
      </c>
      <c r="C50" s="85" t="str">
        <f>'R3'!C40</f>
        <v/>
      </c>
      <c r="D50" s="85" t="str">
        <f>'R3'!D40</f>
        <v/>
      </c>
      <c r="E50" s="85" t="str">
        <f>'R3'!E40</f>
        <v/>
      </c>
      <c r="F50" s="85" t="str">
        <f>'R3'!F40</f>
        <v/>
      </c>
      <c r="G50" s="85" t="str">
        <f>'R3'!G40</f>
        <v/>
      </c>
      <c r="H50" s="85" t="str">
        <f>'R3'!H40</f>
        <v/>
      </c>
      <c r="I50" s="85" t="str">
        <f>'R3'!I40</f>
        <v/>
      </c>
      <c r="J50" s="85" t="str">
        <f>'R3'!J40</f>
        <v/>
      </c>
      <c r="K50" s="85" t="str">
        <f>'R3'!K40</f>
        <v/>
      </c>
      <c r="L50" s="85" t="str">
        <f>'R3'!L40</f>
        <v/>
      </c>
      <c r="M50" s="85" t="str">
        <f>'R3'!M40</f>
        <v/>
      </c>
      <c r="N50"/>
      <c r="O50" s="85">
        <f>'R3'!O40</f>
        <v>0.90379670975569382</v>
      </c>
      <c r="P50" s="85" t="str">
        <f>'R3'!P40</f>
        <v/>
      </c>
      <c r="Q50" s="85" t="str">
        <f>'R3'!Q40</f>
        <v/>
      </c>
      <c r="R50" s="85" t="str">
        <f>'R3'!R40</f>
        <v/>
      </c>
      <c r="S50" s="85" t="str">
        <f>'R3'!S40</f>
        <v/>
      </c>
      <c r="T50" s="85" t="str">
        <f>'R3'!T40</f>
        <v/>
      </c>
      <c r="U50" s="85" t="str">
        <f>'R3'!U40</f>
        <v/>
      </c>
      <c r="V50" s="85" t="str">
        <f>'R3'!V40</f>
        <v/>
      </c>
    </row>
    <row r="51" spans="1:24" s="1" customFormat="1" x14ac:dyDescent="0.25">
      <c r="A51" s="144"/>
      <c r="B51" s="85" t="str">
        <f>'R3'!B41</f>
        <v/>
      </c>
      <c r="C51" s="85" t="str">
        <f>'R3'!C41</f>
        <v/>
      </c>
      <c r="D51" s="85" t="str">
        <f>'R3'!D41</f>
        <v/>
      </c>
      <c r="E51" s="85" t="str">
        <f>'R3'!E41</f>
        <v/>
      </c>
      <c r="F51" s="85" t="str">
        <f>'R3'!F41</f>
        <v/>
      </c>
      <c r="G51" s="85" t="str">
        <f>'R3'!G41</f>
        <v/>
      </c>
      <c r="H51" s="85" t="str">
        <f>'R3'!H41</f>
        <v/>
      </c>
      <c r="I51" s="85" t="str">
        <f>'R3'!I41</f>
        <v/>
      </c>
      <c r="J51" s="85" t="str">
        <f>'R3'!J41</f>
        <v/>
      </c>
      <c r="K51" s="85" t="str">
        <f>'R3'!K41</f>
        <v/>
      </c>
      <c r="L51" s="85" t="str">
        <f>'R3'!L41</f>
        <v/>
      </c>
      <c r="M51" s="85" t="str">
        <f>'R3'!M41</f>
        <v/>
      </c>
      <c r="N51"/>
      <c r="O51" s="85">
        <f>'R3'!O41</f>
        <v>1.2242927399634138</v>
      </c>
      <c r="P51" s="85" t="str">
        <f>'R3'!P41</f>
        <v/>
      </c>
      <c r="Q51" s="85" t="str">
        <f>'R3'!Q41</f>
        <v/>
      </c>
      <c r="R51" s="85" t="str">
        <f>'R3'!R41</f>
        <v/>
      </c>
      <c r="S51" s="85" t="str">
        <f>'R3'!S41</f>
        <v/>
      </c>
      <c r="T51" s="85" t="str">
        <f>'R3'!T41</f>
        <v/>
      </c>
      <c r="U51" s="85" t="str">
        <f>'R3'!U41</f>
        <v/>
      </c>
      <c r="V51" s="85" t="str">
        <f>'R3'!V41</f>
        <v/>
      </c>
    </row>
    <row r="52" spans="1:24" s="1" customFormat="1" x14ac:dyDescent="0.25">
      <c r="A52" s="144"/>
      <c r="B52" s="85" t="str">
        <f>'R3'!B42</f>
        <v/>
      </c>
      <c r="C52" s="85" t="str">
        <f>'R3'!C42</f>
        <v/>
      </c>
      <c r="D52" s="85" t="str">
        <f>'R3'!D42</f>
        <v/>
      </c>
      <c r="E52" s="85" t="str">
        <f>'R3'!E42</f>
        <v/>
      </c>
      <c r="F52" s="85" t="str">
        <f>'R3'!F42</f>
        <v/>
      </c>
      <c r="G52" s="85" t="str">
        <f>'R3'!G42</f>
        <v/>
      </c>
      <c r="H52" s="85" t="str">
        <f>'R3'!H42</f>
        <v/>
      </c>
      <c r="I52" s="85" t="str">
        <f>'R3'!I42</f>
        <v/>
      </c>
      <c r="J52" s="85" t="str">
        <f>'R3'!J42</f>
        <v/>
      </c>
      <c r="K52" s="85" t="str">
        <f>'R3'!K42</f>
        <v/>
      </c>
      <c r="L52" s="85" t="str">
        <f>'R3'!L42</f>
        <v/>
      </c>
      <c r="M52" s="85" t="str">
        <f>'R3'!M42</f>
        <v/>
      </c>
      <c r="N52"/>
      <c r="O52" s="85">
        <f>'R3'!O42</f>
        <v>1.0988938224625913</v>
      </c>
      <c r="P52" s="85" t="str">
        <f>'R3'!P42</f>
        <v/>
      </c>
      <c r="Q52" s="85" t="str">
        <f>'R3'!Q42</f>
        <v/>
      </c>
      <c r="R52" s="85" t="str">
        <f>'R3'!R42</f>
        <v/>
      </c>
      <c r="S52" s="85" t="str">
        <f>'R3'!S42</f>
        <v/>
      </c>
      <c r="T52" s="85" t="str">
        <f>'R3'!T42</f>
        <v/>
      </c>
      <c r="U52" s="85" t="str">
        <f>'R3'!U42</f>
        <v/>
      </c>
      <c r="V52" s="85" t="str">
        <f>'R3'!V42</f>
        <v/>
      </c>
    </row>
    <row r="53" spans="1:24" s="1" customFormat="1" x14ac:dyDescent="0.25">
      <c r="A53" s="145"/>
      <c r="B53" s="85" t="str">
        <f>'R3'!B43</f>
        <v/>
      </c>
      <c r="C53" s="85" t="str">
        <f>'R3'!C43</f>
        <v/>
      </c>
      <c r="D53" s="85" t="str">
        <f>'R3'!D43</f>
        <v/>
      </c>
      <c r="E53" s="85" t="str">
        <f>'R3'!E43</f>
        <v/>
      </c>
      <c r="F53" s="85" t="str">
        <f>'R3'!F43</f>
        <v/>
      </c>
      <c r="G53" s="85" t="str">
        <f>'R3'!G43</f>
        <v/>
      </c>
      <c r="H53" s="85" t="str">
        <f>'R3'!H43</f>
        <v/>
      </c>
      <c r="I53" s="85" t="str">
        <f>'R3'!I43</f>
        <v/>
      </c>
      <c r="J53" s="85" t="str">
        <f>'R3'!J43</f>
        <v/>
      </c>
      <c r="K53" s="85" t="str">
        <f>'R3'!K43</f>
        <v/>
      </c>
      <c r="L53" s="85" t="str">
        <f>'R3'!L43</f>
        <v/>
      </c>
      <c r="M53" s="85" t="str">
        <f>'R3'!M43</f>
        <v/>
      </c>
      <c r="N53"/>
      <c r="O53" s="85">
        <f>'R3'!O43</f>
        <v>0.71090398948932276</v>
      </c>
      <c r="P53" s="85" t="str">
        <f>'R3'!P43</f>
        <v/>
      </c>
      <c r="Q53" s="85" t="str">
        <f>'R3'!Q43</f>
        <v/>
      </c>
      <c r="R53" s="85" t="str">
        <f>'R3'!R43</f>
        <v/>
      </c>
      <c r="S53" s="85" t="str">
        <f>'R3'!S43</f>
        <v/>
      </c>
      <c r="T53" s="85" t="str">
        <f>'R3'!T43</f>
        <v/>
      </c>
      <c r="U53" s="85" t="str">
        <f>'R3'!U43</f>
        <v/>
      </c>
      <c r="V53" s="85" t="str">
        <f>'R3'!V43</f>
        <v/>
      </c>
    </row>
    <row r="54" spans="1:24" s="44" customFormat="1" x14ac:dyDescent="0.2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/>
      <c r="O54" s="43"/>
      <c r="P54" s="43"/>
      <c r="Q54" s="43"/>
      <c r="R54" s="43"/>
      <c r="S54" s="43"/>
      <c r="T54" s="43"/>
      <c r="U54" s="43"/>
      <c r="V54" s="43"/>
    </row>
    <row r="55" spans="1:24" s="26" customFormat="1" x14ac:dyDescent="0.25">
      <c r="A55" s="26" t="s">
        <v>36</v>
      </c>
      <c r="B55" s="15" t="str">
        <f t="shared" ref="B55:M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I55" s="15" t="str">
        <f t="shared" si="0"/>
        <v>testosterone-3.7µg/L</v>
      </c>
      <c r="J55" s="15" t="str">
        <f t="shared" si="0"/>
        <v>testosterone-11µg/L</v>
      </c>
      <c r="K55" s="15" t="str">
        <f t="shared" si="0"/>
        <v>testosterone-33µg/L</v>
      </c>
      <c r="L55" s="15" t="str">
        <f t="shared" si="0"/>
        <v>testosterone-100µg/L</v>
      </c>
      <c r="M55" s="15" t="str">
        <f t="shared" si="0"/>
        <v>testosterone-300µg/L</v>
      </c>
      <c r="O55" s="15" t="str">
        <f t="shared" ref="O55:V55" si="1">O4</f>
        <v>Testo -30µg/L</v>
      </c>
      <c r="P55" s="15" t="str">
        <f t="shared" si="1"/>
        <v>Testo 30µg/L + EE2 -64ng/L</v>
      </c>
      <c r="Q55" s="15" t="str">
        <f t="shared" si="1"/>
        <v>Testo 30µg/L + FAD-10mg/L</v>
      </c>
      <c r="R55" s="15" t="str">
        <f t="shared" si="1"/>
        <v>testosterone-3.7µg/L + Testostérone</v>
      </c>
      <c r="S55" s="15" t="str">
        <f t="shared" si="1"/>
        <v>testosterone-11µg/L + Testostérone</v>
      </c>
      <c r="T55" s="15" t="str">
        <f t="shared" si="1"/>
        <v>testosterone-33µg/L + Testostérone</v>
      </c>
      <c r="U55" s="15" t="str">
        <f t="shared" si="1"/>
        <v>testosterone-100µg/L + Testostérone</v>
      </c>
      <c r="V55" s="15" t="str">
        <f t="shared" si="1"/>
        <v>testosterone-300µg/L + Testostérone</v>
      </c>
    </row>
    <row r="56" spans="1:24" x14ac:dyDescent="0.25">
      <c r="A56" t="s">
        <v>10</v>
      </c>
      <c r="B56" s="9">
        <f t="shared" ref="B56:V56" si="2">AVERAGE(B6:B53)</f>
        <v>2.8503271244260501E-2</v>
      </c>
      <c r="C56" s="9">
        <f t="shared" si="2"/>
        <v>7.6938179690096892E-2</v>
      </c>
      <c r="D56" s="9">
        <f t="shared" si="2"/>
        <v>0.15137821186484185</v>
      </c>
      <c r="E56" s="9">
        <f t="shared" si="2"/>
        <v>0.42498924172292624</v>
      </c>
      <c r="F56" s="9">
        <f t="shared" si="2"/>
        <v>0.9396802792413147</v>
      </c>
      <c r="G56" s="9">
        <f t="shared" si="2"/>
        <v>1.1743999870879287</v>
      </c>
      <c r="H56" s="9">
        <f t="shared" si="2"/>
        <v>1.431998013374427</v>
      </c>
      <c r="I56" s="9">
        <f t="shared" si="2"/>
        <v>5.4075810293976519E-2</v>
      </c>
      <c r="J56" s="9">
        <f t="shared" si="2"/>
        <v>0.33082043210757378</v>
      </c>
      <c r="K56" s="9">
        <f t="shared" si="2"/>
        <v>1.1663149149636711</v>
      </c>
      <c r="L56" s="9">
        <f t="shared" si="2"/>
        <v>1.1245364649070975</v>
      </c>
      <c r="M56" s="9">
        <f t="shared" si="2"/>
        <v>1.2109638389851427</v>
      </c>
      <c r="N56" s="9"/>
      <c r="O56" s="9">
        <f t="shared" si="2"/>
        <v>1.0000000000000002</v>
      </c>
      <c r="P56" s="9">
        <f t="shared" si="2"/>
        <v>1.1264484957258063</v>
      </c>
      <c r="Q56" s="9">
        <f t="shared" si="2"/>
        <v>6.7891122475827251E-2</v>
      </c>
      <c r="R56" s="9">
        <f t="shared" si="2"/>
        <v>1.2049726519545045</v>
      </c>
      <c r="S56" s="9">
        <f t="shared" si="2"/>
        <v>1.2044496326799716</v>
      </c>
      <c r="T56" s="9">
        <f t="shared" si="2"/>
        <v>1.0716558920081358</v>
      </c>
      <c r="U56" s="9">
        <f t="shared" si="2"/>
        <v>1.139623011117145</v>
      </c>
      <c r="V56" s="9">
        <f t="shared" si="2"/>
        <v>1.2210750078248929</v>
      </c>
    </row>
    <row r="57" spans="1:24" x14ac:dyDescent="0.25">
      <c r="A57" t="s">
        <v>1</v>
      </c>
      <c r="B57" s="3">
        <f>STDEV(B6:B53)</f>
        <v>3.3129476266770208E-2</v>
      </c>
      <c r="C57" s="3">
        <f t="shared" ref="C57:V57" si="3">STDEV(C6:C53)</f>
        <v>5.1815203489744555E-2</v>
      </c>
      <c r="D57" s="3">
        <f t="shared" si="3"/>
        <v>0.34201824658449786</v>
      </c>
      <c r="E57" s="3">
        <f t="shared" si="3"/>
        <v>0.24613017036141141</v>
      </c>
      <c r="F57" s="3">
        <f t="shared" si="3"/>
        <v>0.32314561856379659</v>
      </c>
      <c r="G57" s="3">
        <f t="shared" si="3"/>
        <v>0.29892934460408899</v>
      </c>
      <c r="H57" s="3">
        <f t="shared" si="3"/>
        <v>0.27049961660206495</v>
      </c>
      <c r="I57" s="3">
        <f t="shared" si="3"/>
        <v>4.156467157715265E-2</v>
      </c>
      <c r="J57" s="3">
        <f t="shared" si="3"/>
        <v>0.39333908935101713</v>
      </c>
      <c r="K57" s="3">
        <f t="shared" si="3"/>
        <v>0.20476310258813488</v>
      </c>
      <c r="L57" s="3">
        <f t="shared" si="3"/>
        <v>0.30599533498574832</v>
      </c>
      <c r="M57" s="3">
        <f t="shared" si="3"/>
        <v>0.28661139882595665</v>
      </c>
      <c r="N57" s="3"/>
      <c r="O57" s="3">
        <f t="shared" si="3"/>
        <v>0.23704213937886723</v>
      </c>
      <c r="P57" s="3">
        <f t="shared" si="3"/>
        <v>0.34405539301943922</v>
      </c>
      <c r="Q57" s="3">
        <f t="shared" si="3"/>
        <v>6.7128707436123383E-2</v>
      </c>
      <c r="R57" s="3">
        <f t="shared" si="3"/>
        <v>0.20202295519892208</v>
      </c>
      <c r="S57" s="3">
        <f t="shared" si="3"/>
        <v>0.30877330183900703</v>
      </c>
      <c r="T57" s="3">
        <f t="shared" si="3"/>
        <v>0.27574321770941662</v>
      </c>
      <c r="U57" s="3">
        <f t="shared" si="3"/>
        <v>0.24496003943044256</v>
      </c>
      <c r="V57" s="3">
        <f t="shared" si="3"/>
        <v>0.25321721615624027</v>
      </c>
      <c r="W57" s="3"/>
      <c r="X57" s="3"/>
    </row>
    <row r="58" spans="1:24" x14ac:dyDescent="0.25">
      <c r="A58" t="s">
        <v>2</v>
      </c>
      <c r="B58" s="3">
        <f xml:space="preserve"> B57/SQRT(COUNT(B6:B53))</f>
        <v>6.7625260249360303E-3</v>
      </c>
      <c r="C58" s="3">
        <f t="shared" ref="C58:V58" si="4" xml:space="preserve"> C57/SQRT(COUNT(C6:C53))</f>
        <v>1.0576734122362702E-2</v>
      </c>
      <c r="D58" s="3">
        <f t="shared" si="4"/>
        <v>6.9814182237784614E-2</v>
      </c>
      <c r="E58" s="3">
        <f t="shared" si="4"/>
        <v>5.024111064081279E-2</v>
      </c>
      <c r="F58" s="3">
        <f t="shared" si="4"/>
        <v>6.5961823174778764E-2</v>
      </c>
      <c r="G58" s="3">
        <f t="shared" si="4"/>
        <v>6.1018696952051164E-2</v>
      </c>
      <c r="H58" s="3">
        <f t="shared" si="4"/>
        <v>5.5215503024461703E-2</v>
      </c>
      <c r="I58" s="3">
        <f t="shared" si="4"/>
        <v>8.4843530575322446E-3</v>
      </c>
      <c r="J58" s="3">
        <f t="shared" si="4"/>
        <v>8.0290005400082715E-2</v>
      </c>
      <c r="K58" s="3">
        <f t="shared" si="4"/>
        <v>4.1797093290841338E-2</v>
      </c>
      <c r="L58" s="3">
        <f t="shared" si="4"/>
        <v>6.3804437978751627E-2</v>
      </c>
      <c r="M58" s="3">
        <f t="shared" si="4"/>
        <v>5.8504306799076623E-2</v>
      </c>
      <c r="N58" s="3"/>
      <c r="O58" s="3">
        <f t="shared" si="4"/>
        <v>3.4576149645141205E-2</v>
      </c>
      <c r="P58" s="3">
        <f t="shared" si="4"/>
        <v>7.0230013012529291E-2</v>
      </c>
      <c r="Q58" s="3">
        <f t="shared" si="4"/>
        <v>1.3702590025923091E-2</v>
      </c>
      <c r="R58" s="3">
        <f t="shared" si="4"/>
        <v>4.1237763047208768E-2</v>
      </c>
      <c r="S58" s="3">
        <f t="shared" si="4"/>
        <v>6.3028086308328499E-2</v>
      </c>
      <c r="T58" s="3">
        <f t="shared" si="4"/>
        <v>5.6285848618437072E-2</v>
      </c>
      <c r="U58" s="3">
        <f t="shared" si="4"/>
        <v>5.1077699089236664E-2</v>
      </c>
      <c r="V58" s="3">
        <f t="shared" si="4"/>
        <v>5.1687747805901789E-2</v>
      </c>
      <c r="W58" s="3"/>
      <c r="X58" s="3"/>
    </row>
    <row r="59" spans="1:24" s="1" customFormat="1" ht="15.75" thickBot="1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2" customFormat="1" ht="27" thickBot="1" x14ac:dyDescent="0.3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</row>
    <row r="61" spans="1:24" s="1" customFormat="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25">
      <c r="A62" s="1" t="s">
        <v>36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testosterone-3.7µg/L</v>
      </c>
      <c r="J62" s="3" t="str">
        <f t="shared" si="6"/>
        <v>testosterone-11µg/L</v>
      </c>
      <c r="K62" s="3" t="str">
        <f t="shared" si="6"/>
        <v>testosterone-33µg/L</v>
      </c>
      <c r="L62" s="3" t="str">
        <f t="shared" si="6"/>
        <v>testosterone-100µg/L</v>
      </c>
      <c r="M62" s="3" t="str">
        <f t="shared" si="6"/>
        <v>testosterone-300µg/L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testosterone-3.7µg/L + Testostérone</v>
      </c>
      <c r="S62" s="3" t="str">
        <f t="shared" si="6"/>
        <v>testosterone-11µg/L + Testostérone</v>
      </c>
      <c r="T62" s="3" t="str">
        <f t="shared" si="6"/>
        <v>testosterone-33µg/L + Testostérone</v>
      </c>
      <c r="U62" s="3" t="str">
        <f t="shared" si="6"/>
        <v>testosterone-100µg/L + Testostérone</v>
      </c>
      <c r="V62" s="3" t="str">
        <f t="shared" si="6"/>
        <v>testosterone-300µg/L + Testostérone</v>
      </c>
    </row>
    <row r="63" spans="1:24" s="1" customFormat="1" x14ac:dyDescent="0.25">
      <c r="A63" s="1" t="s">
        <v>43</v>
      </c>
      <c r="B63" s="3">
        <f>COUNT(B6:B53)</f>
        <v>24</v>
      </c>
      <c r="C63" s="3">
        <f t="shared" ref="C63:V63" si="7">COUNT(C6:C53)</f>
        <v>24</v>
      </c>
      <c r="D63" s="3">
        <f t="shared" si="7"/>
        <v>24</v>
      </c>
      <c r="E63" s="3">
        <f t="shared" si="7"/>
        <v>24</v>
      </c>
      <c r="F63" s="3">
        <f t="shared" si="7"/>
        <v>24</v>
      </c>
      <c r="G63" s="3">
        <f t="shared" si="7"/>
        <v>24</v>
      </c>
      <c r="H63" s="3">
        <f t="shared" si="7"/>
        <v>24</v>
      </c>
      <c r="I63" s="3">
        <f t="shared" si="7"/>
        <v>24</v>
      </c>
      <c r="J63" s="3">
        <f t="shared" si="7"/>
        <v>24</v>
      </c>
      <c r="K63" s="3">
        <f t="shared" si="7"/>
        <v>24</v>
      </c>
      <c r="L63" s="3">
        <f t="shared" si="7"/>
        <v>23</v>
      </c>
      <c r="M63" s="3">
        <f t="shared" si="7"/>
        <v>24</v>
      </c>
      <c r="N63" s="3"/>
      <c r="O63" s="3">
        <f t="shared" si="7"/>
        <v>47</v>
      </c>
      <c r="P63" s="3">
        <f t="shared" si="7"/>
        <v>24</v>
      </c>
      <c r="Q63" s="3">
        <f t="shared" si="7"/>
        <v>24</v>
      </c>
      <c r="R63" s="3">
        <f t="shared" si="7"/>
        <v>24</v>
      </c>
      <c r="S63" s="3">
        <f t="shared" si="7"/>
        <v>24</v>
      </c>
      <c r="T63" s="3">
        <f t="shared" si="7"/>
        <v>24</v>
      </c>
      <c r="U63" s="3">
        <f t="shared" si="7"/>
        <v>23</v>
      </c>
      <c r="V63" s="3">
        <f t="shared" si="7"/>
        <v>24</v>
      </c>
    </row>
    <row r="64" spans="1:24" s="1" customFormat="1" ht="15.75" thickBot="1" x14ac:dyDescent="0.3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2" customFormat="1" ht="27" thickBot="1" x14ac:dyDescent="0.3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</row>
    <row r="66" spans="1:22" s="1" customFormat="1" x14ac:dyDescent="0.2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.75" thickBot="1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2" customFormat="1" ht="27" thickBot="1" x14ac:dyDescent="0.3">
      <c r="A70" s="146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</row>
    <row r="71" spans="1:22" ht="15.75" thickBot="1" x14ac:dyDescent="0.3"/>
    <row r="72" spans="1:22" s="32" customFormat="1" ht="27" thickBot="1" x14ac:dyDescent="0.3">
      <c r="A72" s="146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</row>
    <row r="73" spans="1:22" ht="15.75" thickBot="1" x14ac:dyDescent="0.3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25">
      <c r="A74" s="29" t="s">
        <v>44</v>
      </c>
      <c r="B74" s="30" t="str">
        <f t="shared" ref="B74:M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 t="str">
        <f t="shared" si="9"/>
        <v>testosterone-3.7µg/L</v>
      </c>
      <c r="J74" s="30" t="str">
        <f t="shared" si="9"/>
        <v>testosterone-11µg/L</v>
      </c>
      <c r="K74" s="30" t="str">
        <f t="shared" si="9"/>
        <v>testosterone-33µg/L</v>
      </c>
      <c r="L74" s="30" t="str">
        <f t="shared" si="9"/>
        <v>testosterone-100µg/L</v>
      </c>
      <c r="M74" s="30" t="str">
        <f t="shared" si="9"/>
        <v>testosterone-300µg/L</v>
      </c>
      <c r="N74" s="30"/>
      <c r="O74" s="30" t="str">
        <f t="shared" ref="O74:V74" si="10">O4</f>
        <v>Testo -30µg/L</v>
      </c>
      <c r="P74" s="30" t="str">
        <f t="shared" si="10"/>
        <v>Testo 30µg/L + EE2 -64ng/L</v>
      </c>
      <c r="Q74" s="30" t="str">
        <f t="shared" si="10"/>
        <v>Testo 30µg/L + FAD-10mg/L</v>
      </c>
      <c r="R74" s="30" t="str">
        <f t="shared" si="10"/>
        <v>testosterone-3.7µg/L + Testostérone</v>
      </c>
      <c r="S74" s="30" t="str">
        <f t="shared" si="10"/>
        <v>testosterone-11µg/L + Testostérone</v>
      </c>
      <c r="T74" s="30" t="str">
        <f t="shared" si="10"/>
        <v>testosterone-33µg/L + Testostérone</v>
      </c>
      <c r="U74" s="30" t="str">
        <f t="shared" si="10"/>
        <v>testosterone-100µg/L + Testostérone</v>
      </c>
      <c r="V74" s="30" t="str">
        <f t="shared" si="10"/>
        <v>testosterone-300µg/L + Testostérone</v>
      </c>
    </row>
    <row r="75" spans="1:22" s="3" customFormat="1" x14ac:dyDescent="0.25">
      <c r="A75" s="45" t="s">
        <v>10</v>
      </c>
      <c r="B75" s="77">
        <f>B56</f>
        <v>2.8503271244260501E-2</v>
      </c>
      <c r="C75" s="77">
        <f t="shared" ref="C75:V75" si="11">C56</f>
        <v>7.6938179690096892E-2</v>
      </c>
      <c r="D75" s="77">
        <f t="shared" si="11"/>
        <v>0.15137821186484185</v>
      </c>
      <c r="E75" s="77">
        <f t="shared" si="11"/>
        <v>0.42498924172292624</v>
      </c>
      <c r="F75" s="77">
        <f t="shared" si="11"/>
        <v>0.9396802792413147</v>
      </c>
      <c r="G75" s="77">
        <f t="shared" si="11"/>
        <v>1.1743999870879287</v>
      </c>
      <c r="H75" s="77">
        <f t="shared" si="11"/>
        <v>1.431998013374427</v>
      </c>
      <c r="I75" s="77">
        <f t="shared" si="11"/>
        <v>5.4075810293976519E-2</v>
      </c>
      <c r="J75" s="77">
        <f t="shared" si="11"/>
        <v>0.33082043210757378</v>
      </c>
      <c r="K75" s="77">
        <f t="shared" si="11"/>
        <v>1.1663149149636711</v>
      </c>
      <c r="L75" s="77">
        <f t="shared" si="11"/>
        <v>1.1245364649070975</v>
      </c>
      <c r="M75" s="77">
        <f t="shared" si="11"/>
        <v>1.2109638389851427</v>
      </c>
      <c r="N75" s="77"/>
      <c r="O75" s="77">
        <f t="shared" si="11"/>
        <v>1.0000000000000002</v>
      </c>
      <c r="P75" s="77">
        <f t="shared" si="11"/>
        <v>1.1264484957258063</v>
      </c>
      <c r="Q75" s="77">
        <f t="shared" si="11"/>
        <v>6.7891122475827251E-2</v>
      </c>
      <c r="R75" s="77">
        <f t="shared" si="11"/>
        <v>1.2049726519545045</v>
      </c>
      <c r="S75" s="77">
        <f t="shared" si="11"/>
        <v>1.2044496326799716</v>
      </c>
      <c r="T75" s="77">
        <f t="shared" si="11"/>
        <v>1.0716558920081358</v>
      </c>
      <c r="U75" s="77">
        <f t="shared" si="11"/>
        <v>1.139623011117145</v>
      </c>
      <c r="V75" s="77">
        <f t="shared" si="11"/>
        <v>1.2210750078248929</v>
      </c>
    </row>
    <row r="76" spans="1:22" s="3" customFormat="1" x14ac:dyDescent="0.25">
      <c r="A76" s="45" t="s">
        <v>2</v>
      </c>
      <c r="B76" s="77">
        <f>B58</f>
        <v>6.7625260249360303E-3</v>
      </c>
      <c r="C76" s="77">
        <f t="shared" ref="C76:V76" si="12">C58</f>
        <v>1.0576734122362702E-2</v>
      </c>
      <c r="D76" s="77">
        <f t="shared" si="12"/>
        <v>6.9814182237784614E-2</v>
      </c>
      <c r="E76" s="77">
        <f t="shared" si="12"/>
        <v>5.024111064081279E-2</v>
      </c>
      <c r="F76" s="77">
        <f t="shared" si="12"/>
        <v>6.5961823174778764E-2</v>
      </c>
      <c r="G76" s="77">
        <f t="shared" si="12"/>
        <v>6.1018696952051164E-2</v>
      </c>
      <c r="H76" s="77">
        <f t="shared" si="12"/>
        <v>5.5215503024461703E-2</v>
      </c>
      <c r="I76" s="77">
        <f t="shared" si="12"/>
        <v>8.4843530575322446E-3</v>
      </c>
      <c r="J76" s="77">
        <f t="shared" si="12"/>
        <v>8.0290005400082715E-2</v>
      </c>
      <c r="K76" s="77">
        <f t="shared" si="12"/>
        <v>4.1797093290841338E-2</v>
      </c>
      <c r="L76" s="77">
        <f t="shared" si="12"/>
        <v>6.3804437978751627E-2</v>
      </c>
      <c r="M76" s="77">
        <f t="shared" si="12"/>
        <v>5.8504306799076623E-2</v>
      </c>
      <c r="N76" s="77"/>
      <c r="O76" s="77">
        <f t="shared" si="12"/>
        <v>3.4576149645141205E-2</v>
      </c>
      <c r="P76" s="77">
        <f t="shared" si="12"/>
        <v>7.0230013012529291E-2</v>
      </c>
      <c r="Q76" s="77">
        <f t="shared" si="12"/>
        <v>1.3702590025923091E-2</v>
      </c>
      <c r="R76" s="77">
        <f t="shared" si="12"/>
        <v>4.1237763047208768E-2</v>
      </c>
      <c r="S76" s="77">
        <f t="shared" si="12"/>
        <v>6.3028086308328499E-2</v>
      </c>
      <c r="T76" s="77">
        <f t="shared" si="12"/>
        <v>5.6285848618437072E-2</v>
      </c>
      <c r="U76" s="77">
        <f t="shared" si="12"/>
        <v>5.1077699089236664E-2</v>
      </c>
      <c r="V76" s="77">
        <f t="shared" si="12"/>
        <v>5.1687747805901789E-2</v>
      </c>
    </row>
    <row r="77" spans="1:22" s="3" customFormat="1" x14ac:dyDescent="0.25">
      <c r="A77" s="45" t="s">
        <v>14</v>
      </c>
      <c r="B77" s="77">
        <f>(B75*100/$B$75)-100</f>
        <v>0</v>
      </c>
      <c r="C77" s="77">
        <f t="shared" ref="C77:M77" si="13">(C75*100/$B$75)-100</f>
        <v>169.92754280998321</v>
      </c>
      <c r="D77" s="77">
        <f t="shared" si="13"/>
        <v>431.09066172649852</v>
      </c>
      <c r="E77" s="77">
        <f t="shared" si="13"/>
        <v>1391.0191819070708</v>
      </c>
      <c r="F77" s="77">
        <f t="shared" si="13"/>
        <v>3196.7453847267843</v>
      </c>
      <c r="G77" s="77">
        <f t="shared" si="13"/>
        <v>4020.2287871586286</v>
      </c>
      <c r="H77" s="77">
        <f t="shared" si="13"/>
        <v>4923.9777782095034</v>
      </c>
      <c r="I77" s="77">
        <f t="shared" si="13"/>
        <v>89.717909325461648</v>
      </c>
      <c r="J77" s="77">
        <f t="shared" si="13"/>
        <v>1060.6402271254697</v>
      </c>
      <c r="K77" s="77">
        <f t="shared" si="13"/>
        <v>3991.8633688353357</v>
      </c>
      <c r="L77" s="77">
        <f t="shared" si="13"/>
        <v>3845.2891398685942</v>
      </c>
      <c r="M77" s="77">
        <f t="shared" si="13"/>
        <v>4148.5082803574196</v>
      </c>
      <c r="N77" s="77"/>
      <c r="O77" s="77">
        <f>(O75*100/$O$75)-100</f>
        <v>0</v>
      </c>
      <c r="P77" s="77">
        <f t="shared" ref="P77:V77" si="14">(P75*100/$O$75)-100</f>
        <v>12.644849572580597</v>
      </c>
      <c r="Q77" s="77">
        <f t="shared" si="14"/>
        <v>-93.210887752417278</v>
      </c>
      <c r="R77" s="77">
        <f t="shared" si="14"/>
        <v>20.497265195450424</v>
      </c>
      <c r="S77" s="77">
        <f t="shared" si="14"/>
        <v>20.444963267997139</v>
      </c>
      <c r="T77" s="77">
        <f t="shared" si="14"/>
        <v>7.1655892008135567</v>
      </c>
      <c r="U77" s="77">
        <f t="shared" si="14"/>
        <v>13.962301111714481</v>
      </c>
      <c r="V77" s="77">
        <f t="shared" si="14"/>
        <v>22.107500782489254</v>
      </c>
    </row>
    <row r="78" spans="1:22" s="3" customFormat="1" x14ac:dyDescent="0.25">
      <c r="A78" s="45" t="s">
        <v>37</v>
      </c>
      <c r="B78" s="77">
        <f>[1]!DPTEST(B6:B53)</f>
        <v>8.2142100500604553E-2</v>
      </c>
      <c r="C78" s="77">
        <f>[1]!DPTEST(C6:C53)</f>
        <v>0.19550997756999222</v>
      </c>
      <c r="D78" s="77">
        <f>[1]!DPTEST(D6:D53)</f>
        <v>1.623524648053376E-10</v>
      </c>
      <c r="E78" s="77">
        <f>[1]!DPTEST(E6:E53)</f>
        <v>0.5896420393746572</v>
      </c>
      <c r="F78" s="77">
        <f>[1]!DPTEST(F6:F53)</f>
        <v>0.70527790556290249</v>
      </c>
      <c r="G78" s="77">
        <f>[1]!DPTEST(G6:G53)</f>
        <v>3.0015823534457198E-6</v>
      </c>
      <c r="H78" s="77">
        <f>[1]!DPTEST(H6:H53)</f>
        <v>0.67760278608139668</v>
      </c>
      <c r="I78" s="77">
        <f>[1]!DPTEST(I6:I53)</f>
        <v>0.44349359245238462</v>
      </c>
      <c r="J78" s="77">
        <f>[1]!DPTEST(J6:J53)</f>
        <v>1.5284091343349293E-2</v>
      </c>
      <c r="K78" s="77">
        <f>[1]!DPTEST(K6:K53)</f>
        <v>0.37968814016283303</v>
      </c>
      <c r="L78" s="77">
        <f>[1]!DPTEST(L6:L53)</f>
        <v>6.0332528055102808E-2</v>
      </c>
      <c r="M78" s="77">
        <f>[1]!DPTEST(M6:M53)</f>
        <v>0.8815186045195329</v>
      </c>
      <c r="N78" s="77"/>
      <c r="O78" s="77">
        <f>[1]!DPTEST(O6:O53)</f>
        <v>0.29425819973110912</v>
      </c>
      <c r="P78" s="77">
        <f>[1]!DPTEST(P6:P53)</f>
        <v>5.1546969423803546E-3</v>
      </c>
      <c r="Q78" s="77">
        <f>[1]!DPTEST(Q6:Q53)</f>
        <v>1.3785577043337049E-3</v>
      </c>
      <c r="R78" s="77">
        <f>[1]!DPTEST(R6:R53)</f>
        <v>0.11745743848838019</v>
      </c>
      <c r="S78" s="77">
        <f>[1]!DPTEST(S6:S53)</f>
        <v>0.17652279501049151</v>
      </c>
      <c r="T78" s="77">
        <f>[1]!DPTEST(T6:T53)</f>
        <v>0.72830097967782148</v>
      </c>
      <c r="U78" s="77">
        <f>[1]!DPTEST(U6:U53)</f>
        <v>8.2630278343764907E-5</v>
      </c>
      <c r="V78" s="77">
        <f>[1]!DPTEST(V6:V53)</f>
        <v>0.72205342970685793</v>
      </c>
    </row>
    <row r="79" spans="1:22" s="3" customFormat="1" x14ac:dyDescent="0.25">
      <c r="A79" s="45" t="s">
        <v>38</v>
      </c>
      <c r="B79" s="77" t="str">
        <f>IF(B78&gt;0.05,"Oui","Non")</f>
        <v>Oui</v>
      </c>
      <c r="C79" s="77" t="str">
        <f t="shared" ref="C79:V79" si="15">IF(C78&gt;0.05,"Oui","Non")</f>
        <v>Oui</v>
      </c>
      <c r="D79" s="77" t="str">
        <f t="shared" si="15"/>
        <v>Non</v>
      </c>
      <c r="E79" s="77" t="str">
        <f t="shared" si="15"/>
        <v>Oui</v>
      </c>
      <c r="F79" s="77" t="str">
        <f t="shared" si="15"/>
        <v>Oui</v>
      </c>
      <c r="G79" s="77" t="str">
        <f t="shared" si="15"/>
        <v>Non</v>
      </c>
      <c r="H79" s="77" t="str">
        <f t="shared" si="15"/>
        <v>Oui</v>
      </c>
      <c r="I79" s="77" t="str">
        <f t="shared" si="15"/>
        <v>Oui</v>
      </c>
      <c r="J79" s="77" t="str">
        <f t="shared" si="15"/>
        <v>Non</v>
      </c>
      <c r="K79" s="77" t="str">
        <f t="shared" si="15"/>
        <v>Oui</v>
      </c>
      <c r="L79" s="77" t="str">
        <f t="shared" si="15"/>
        <v>Oui</v>
      </c>
      <c r="M79" s="77" t="str">
        <f t="shared" si="15"/>
        <v>Oui</v>
      </c>
      <c r="N79" s="77"/>
      <c r="O79" s="77" t="str">
        <f t="shared" si="15"/>
        <v>Oui</v>
      </c>
      <c r="P79" s="77" t="str">
        <f t="shared" si="15"/>
        <v>Non</v>
      </c>
      <c r="Q79" s="77" t="str">
        <f t="shared" si="15"/>
        <v>Non</v>
      </c>
      <c r="R79" s="77" t="str">
        <f t="shared" si="15"/>
        <v>Oui</v>
      </c>
      <c r="S79" s="77" t="str">
        <f t="shared" si="15"/>
        <v>Oui</v>
      </c>
      <c r="T79" s="77" t="str">
        <f t="shared" si="15"/>
        <v>Oui</v>
      </c>
      <c r="U79" s="77" t="str">
        <f t="shared" si="15"/>
        <v>Non</v>
      </c>
      <c r="V79" s="77" t="str">
        <f t="shared" si="15"/>
        <v>Oui</v>
      </c>
    </row>
    <row r="80" spans="1:22" s="3" customFormat="1" x14ac:dyDescent="0.25">
      <c r="A80" s="45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</row>
    <row r="81" spans="1:22" s="3" customFormat="1" x14ac:dyDescent="0.25">
      <c r="A81" s="45" t="s">
        <v>39</v>
      </c>
      <c r="B81" s="77"/>
      <c r="C81" s="77" t="s">
        <v>54</v>
      </c>
      <c r="D81" s="77" t="s">
        <v>54</v>
      </c>
      <c r="E81" s="77" t="s">
        <v>54</v>
      </c>
      <c r="F81" s="77" t="s">
        <v>54</v>
      </c>
      <c r="G81" s="77" t="s">
        <v>54</v>
      </c>
      <c r="H81" s="77" t="s">
        <v>54</v>
      </c>
      <c r="I81" s="77" t="s">
        <v>54</v>
      </c>
      <c r="J81" s="77" t="s">
        <v>54</v>
      </c>
      <c r="K81" s="77" t="s">
        <v>54</v>
      </c>
      <c r="L81" s="77" t="s">
        <v>54</v>
      </c>
      <c r="M81" s="77" t="s">
        <v>54</v>
      </c>
      <c r="N81" s="77"/>
      <c r="O81" s="77" t="str">
        <f>IF($B79="Non",IF(O79="Non","Mann Withney",IF(O79="Oui","Mann Withney","")),IF($B79="Oui",IF(O79="Oui","T-Test Welch",IF(O79="Non","Mann Withney",""))))</f>
        <v>T-Test Welch</v>
      </c>
      <c r="P81" s="77" t="str">
        <f t="shared" ref="P81:Q81" si="16">IF($O79="Non",IF(P79="Non","Mann Withney",IF(P$79="Oui","Mann Withney","")),IF($O79="Oui",IF(P79="Oui","T-Test Welch",IF(P79="Non","Mann Withney",""))))</f>
        <v>Mann Withney</v>
      </c>
      <c r="Q81" s="77" t="str">
        <f t="shared" si="16"/>
        <v>Mann Withney</v>
      </c>
      <c r="R81" s="77" t="s">
        <v>55</v>
      </c>
      <c r="S81" s="77" t="s">
        <v>55</v>
      </c>
      <c r="T81" s="77" t="s">
        <v>55</v>
      </c>
      <c r="U81" s="77" t="s">
        <v>55</v>
      </c>
      <c r="V81" s="77" t="s">
        <v>55</v>
      </c>
    </row>
    <row r="82" spans="1:22" s="3" customFormat="1" x14ac:dyDescent="0.25">
      <c r="A82" s="45" t="s">
        <v>40</v>
      </c>
      <c r="B82" s="77"/>
      <c r="C82" s="148">
        <v>0.65400000000000003</v>
      </c>
      <c r="D82" s="148">
        <v>0.99990000000000001</v>
      </c>
      <c r="E82" s="148">
        <v>6.9999999999999999E-4</v>
      </c>
      <c r="F82" s="148">
        <v>1E-4</v>
      </c>
      <c r="G82" s="148">
        <v>1E-4</v>
      </c>
      <c r="H82" s="148">
        <v>1E-4</v>
      </c>
      <c r="I82" s="148">
        <v>0.99990000000000001</v>
      </c>
      <c r="J82" s="148">
        <v>4.4600000000000001E-2</v>
      </c>
      <c r="K82" s="148">
        <v>1E-4</v>
      </c>
      <c r="L82" s="148">
        <v>1E-4</v>
      </c>
      <c r="M82" s="148">
        <v>1E-4</v>
      </c>
      <c r="N82" s="77"/>
      <c r="O82" s="148">
        <v>1E-4</v>
      </c>
      <c r="P82" s="148">
        <v>1.6199999999999999E-2</v>
      </c>
      <c r="Q82" s="148">
        <v>1E-4</v>
      </c>
      <c r="R82" s="148">
        <v>3.3999999999999998E-3</v>
      </c>
      <c r="S82" s="148">
        <v>2.5999999999999999E-3</v>
      </c>
      <c r="T82" s="148">
        <v>0.99990000000000001</v>
      </c>
      <c r="U82" s="148">
        <v>0.24179999999999999</v>
      </c>
      <c r="V82" s="148">
        <v>2.3999999999999998E-3</v>
      </c>
    </row>
    <row r="83" spans="1:22" s="3" customFormat="1" ht="15.75" thickBot="1" x14ac:dyDescent="0.3">
      <c r="A83" s="46" t="s">
        <v>15</v>
      </c>
      <c r="B83" s="78"/>
      <c r="C83" s="78" t="str">
        <f t="shared" ref="C83:I83" si="17">IF(C82&gt;0.05,"NS",IF(C82&gt;0.01,"*",IF(C82&gt;0.001,"**","***")))</f>
        <v>NS</v>
      </c>
      <c r="D83" s="78" t="str">
        <f t="shared" si="17"/>
        <v>NS</v>
      </c>
      <c r="E83" s="78" t="str">
        <f t="shared" si="17"/>
        <v>***</v>
      </c>
      <c r="F83" s="78" t="str">
        <f t="shared" si="17"/>
        <v>***</v>
      </c>
      <c r="G83" s="78" t="str">
        <f t="shared" si="17"/>
        <v>***</v>
      </c>
      <c r="H83" s="78" t="str">
        <f t="shared" si="17"/>
        <v>***</v>
      </c>
      <c r="I83" s="78" t="str">
        <f t="shared" si="17"/>
        <v>NS</v>
      </c>
      <c r="J83" s="78" t="str">
        <f t="shared" ref="J83:O83" si="18">IF(J82&gt;0.05,"NS",IF(J82&gt;0.01,"*",IF(J82&gt;0.001,"**","***")))</f>
        <v>*</v>
      </c>
      <c r="K83" s="78" t="str">
        <f t="shared" si="18"/>
        <v>***</v>
      </c>
      <c r="L83" s="78" t="str">
        <f t="shared" si="18"/>
        <v>***</v>
      </c>
      <c r="M83" s="78" t="str">
        <f t="shared" si="18"/>
        <v>***</v>
      </c>
      <c r="N83" s="78"/>
      <c r="O83" s="78" t="str">
        <f t="shared" si="18"/>
        <v>***</v>
      </c>
      <c r="P83" s="78" t="str">
        <f t="shared" ref="P83" si="19">IF(P82&gt;0.05,"NS",IF(P82&gt;0.01,"*",IF(P82&gt;0.001,"**","***")))</f>
        <v>*</v>
      </c>
      <c r="Q83" s="78" t="str">
        <f t="shared" ref="Q83" si="20">IF(Q82&gt;0.05,"NS",IF(Q82&gt;0.01,"*",IF(Q82&gt;0.001,"**","***")))</f>
        <v>***</v>
      </c>
      <c r="R83" s="78" t="str">
        <f t="shared" ref="R83:V83" si="21">IF(R82&gt;0.05,"NS",IF(R82&gt;0.01,"*",IF(R82&gt;0.001,"**","***")))</f>
        <v>**</v>
      </c>
      <c r="S83" s="78" t="str">
        <f t="shared" si="21"/>
        <v>**</v>
      </c>
      <c r="T83" s="78" t="str">
        <f t="shared" si="21"/>
        <v>NS</v>
      </c>
      <c r="U83" s="78" t="str">
        <f t="shared" si="21"/>
        <v>NS</v>
      </c>
      <c r="V83" s="78" t="str">
        <f t="shared" si="21"/>
        <v>**</v>
      </c>
    </row>
    <row r="84" spans="1:22" s="1" customFormat="1" x14ac:dyDescent="0.25"/>
    <row r="85" spans="1:22" s="1" customFormat="1" x14ac:dyDescent="0.25">
      <c r="A85" s="2"/>
    </row>
    <row r="86" spans="1:22" x14ac:dyDescent="0.25">
      <c r="A86" s="1"/>
      <c r="B86" s="1"/>
    </row>
    <row r="87" spans="1:22" x14ac:dyDescent="0.25">
      <c r="A87" s="1"/>
      <c r="B87" s="1"/>
    </row>
    <row r="88" spans="1:22" ht="15.75" thickBot="1" x14ac:dyDescent="0.3"/>
    <row r="89" spans="1:22" s="32" customFormat="1" ht="27" thickBot="1" x14ac:dyDescent="0.3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1:22" ht="15.75" thickBot="1" x14ac:dyDescent="0.3"/>
    <row r="91" spans="1:22" s="32" customFormat="1" ht="27" thickBot="1" x14ac:dyDescent="0.3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2" ht="15.75" thickBot="1" x14ac:dyDescent="0.3"/>
    <row r="93" spans="1:22" s="32" customFormat="1" ht="27" thickBot="1" x14ac:dyDescent="0.3">
      <c r="A93" s="146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9E7ED-2514-43A3-9313-E309329258DF}"/>
</file>

<file path=customXml/itemProps2.xml><?xml version="1.0" encoding="utf-8"?>
<ds:datastoreItem xmlns:ds="http://schemas.openxmlformats.org/officeDocument/2006/customXml" ds:itemID="{0DA673DA-891A-4A19-9F81-6B81BE6F0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Front page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2021-11-09T15:16:12Z</dcterms:modified>
</cp:coreProperties>
</file>