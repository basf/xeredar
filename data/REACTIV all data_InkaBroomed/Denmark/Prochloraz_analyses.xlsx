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chartsheets/sheet3.xml" ContentType="application/vnd.openxmlformats-officedocument.spreadsheetml.chartsheet+xml"/>
  <Override PartName="/xl/worksheets/sheet5.xml" ContentType="application/vnd.openxmlformats-officedocument.spreadsheetml.worksheet+xml"/>
  <Override PartName="/xl/chartsheets/sheet4.xml" ContentType="application/vnd.openxmlformats-officedocument.spreadsheetml.chart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filterPrivacy="1" hidePivotFieldList="1" defaultThemeVersion="124226"/>
  <xr:revisionPtr revIDLastSave="14" documentId="13_ncr:1_{D343B4EB-448E-4788-9E37-0211602FD1D2}" xr6:coauthVersionLast="47" xr6:coauthVersionMax="47" xr10:uidLastSave="{EC097389-E2FE-4D3D-B73F-48478BA2A26E}"/>
  <bookViews>
    <workbookView xWindow="-120" yWindow="-120" windowWidth="29040" windowHeight="15840" activeTab="5" xr2:uid="{00000000-000D-0000-FFFF-FFFF00000000}"/>
  </bookViews>
  <sheets>
    <sheet name="Front page" sheetId="10" r:id="rId1"/>
    <sheet name="R1" sheetId="1" r:id="rId2"/>
    <sheet name="Graph R1" sheetId="8" r:id="rId3"/>
    <sheet name="R2" sheetId="23" r:id="rId4"/>
    <sheet name="Graph R2" sheetId="19" r:id="rId5"/>
    <sheet name="R3" sheetId="33" r:id="rId6"/>
    <sheet name="Graph R3" sheetId="34" r:id="rId7"/>
    <sheet name="pooled normalised values" sheetId="4" r:id="rId8"/>
    <sheet name="pooled normalised graphe" sheetId="5" r:id="rId9"/>
  </sheets>
  <externalReferences>
    <externalReference r:id="rId10"/>
  </externalReferences>
  <definedNames>
    <definedName name="_xlnm.Print_Area" localSheetId="0">'Front page'!$A$1:$I$51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3" i="33" l="1"/>
  <c r="M24" i="33"/>
  <c r="K23" i="33"/>
  <c r="K24" i="33"/>
  <c r="B39" i="10" l="1"/>
  <c r="C39" i="10"/>
  <c r="D39" i="10"/>
  <c r="E39" i="10"/>
  <c r="B40" i="10"/>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C38" i="10"/>
  <c r="D38" i="10"/>
  <c r="E38" i="10"/>
  <c r="B38" i="10"/>
  <c r="AU78" i="4"/>
  <c r="AM78" i="4"/>
  <c r="AE78" i="4"/>
  <c r="V78" i="4"/>
  <c r="N78" i="4"/>
  <c r="F78" i="4"/>
  <c r="AJ56" i="33"/>
  <c r="AB56" i="33"/>
  <c r="T56" i="33"/>
  <c r="K56" i="33"/>
  <c r="C56" i="33"/>
  <c r="AG56" i="23"/>
  <c r="Y56" i="23"/>
  <c r="Q56" i="23"/>
  <c r="H56" i="23"/>
  <c r="AD56" i="1"/>
  <c r="V56" i="1"/>
  <c r="M56" i="1"/>
  <c r="E56" i="1"/>
  <c r="AV78" i="4"/>
  <c r="G78" i="4"/>
  <c r="U56" i="33"/>
  <c r="AH56" i="23"/>
  <c r="AT78" i="4"/>
  <c r="AL78" i="4"/>
  <c r="AC78" i="4"/>
  <c r="U78" i="4"/>
  <c r="M78" i="4"/>
  <c r="E78" i="4"/>
  <c r="AI56" i="33"/>
  <c r="AA56" i="33"/>
  <c r="S56" i="33"/>
  <c r="J56" i="33"/>
  <c r="B56" i="33"/>
  <c r="AF56" i="23"/>
  <c r="X56" i="23"/>
  <c r="P56" i="23"/>
  <c r="G56" i="23"/>
  <c r="AK56" i="1"/>
  <c r="AC56" i="1"/>
  <c r="U56" i="1"/>
  <c r="L56" i="1"/>
  <c r="D56" i="1"/>
  <c r="P78" i="4"/>
  <c r="M56" i="33"/>
  <c r="J56" i="23"/>
  <c r="P56" i="1"/>
  <c r="L56" i="33"/>
  <c r="AE56" i="1"/>
  <c r="BA78" i="4"/>
  <c r="AS78" i="4"/>
  <c r="AK78" i="4"/>
  <c r="AB78" i="4"/>
  <c r="T78" i="4"/>
  <c r="L78" i="4"/>
  <c r="D78" i="4"/>
  <c r="AH56" i="33"/>
  <c r="Z56" i="33"/>
  <c r="R56" i="33"/>
  <c r="I56" i="33"/>
  <c r="AE56" i="23"/>
  <c r="W56" i="23"/>
  <c r="O56" i="23"/>
  <c r="F56" i="23"/>
  <c r="AJ56" i="1"/>
  <c r="AB56" i="1"/>
  <c r="T56" i="1"/>
  <c r="K56" i="1"/>
  <c r="C56" i="1"/>
  <c r="AO78" i="4"/>
  <c r="H78" i="4"/>
  <c r="V56" i="33"/>
  <c r="E56" i="33"/>
  <c r="AF56" i="1"/>
  <c r="G56" i="1"/>
  <c r="W78" i="4"/>
  <c r="AK56" i="33"/>
  <c r="D56" i="33"/>
  <c r="I56" i="23"/>
  <c r="O56" i="1"/>
  <c r="AZ78" i="4"/>
  <c r="AR78" i="4"/>
  <c r="AJ78" i="4"/>
  <c r="AA78" i="4"/>
  <c r="S78" i="4"/>
  <c r="K78" i="4"/>
  <c r="C78" i="4"/>
  <c r="AG56" i="33"/>
  <c r="Y56" i="33"/>
  <c r="Q56" i="33"/>
  <c r="H56" i="33"/>
  <c r="AD56" i="23"/>
  <c r="V56" i="23"/>
  <c r="M56" i="23"/>
  <c r="E56" i="23"/>
  <c r="AI56" i="1"/>
  <c r="AA56" i="1"/>
  <c r="S56" i="1"/>
  <c r="J56" i="1"/>
  <c r="B56" i="1"/>
  <c r="AG78" i="4"/>
  <c r="AI56" i="23"/>
  <c r="O78" i="4"/>
  <c r="AC56" i="33"/>
  <c r="Z56" i="23"/>
  <c r="W56" i="1"/>
  <c r="AY78" i="4"/>
  <c r="AQ78" i="4"/>
  <c r="AI78" i="4"/>
  <c r="Z78" i="4"/>
  <c r="R78" i="4"/>
  <c r="J78" i="4"/>
  <c r="B78" i="4"/>
  <c r="AF56" i="33"/>
  <c r="X56" i="33"/>
  <c r="P56" i="33"/>
  <c r="G56" i="33"/>
  <c r="AK56" i="23"/>
  <c r="AC56" i="23"/>
  <c r="U56" i="23"/>
  <c r="L56" i="23"/>
  <c r="D56" i="23"/>
  <c r="AH56" i="1"/>
  <c r="Z56" i="1"/>
  <c r="R56" i="1"/>
  <c r="I56" i="1"/>
  <c r="AW78" i="4"/>
  <c r="AD56" i="33"/>
  <c r="S56" i="23"/>
  <c r="X56" i="1"/>
  <c r="AN78" i="4"/>
  <c r="F56" i="1"/>
  <c r="AX78" i="4"/>
  <c r="AP78" i="4"/>
  <c r="AH78" i="4"/>
  <c r="Y78" i="4"/>
  <c r="Q78" i="4"/>
  <c r="I78" i="4"/>
  <c r="AE56" i="33"/>
  <c r="W56" i="33"/>
  <c r="O56" i="33"/>
  <c r="F56" i="33"/>
  <c r="AJ56" i="23"/>
  <c r="AB56" i="23"/>
  <c r="T56" i="23"/>
  <c r="K56" i="23"/>
  <c r="C56" i="23"/>
  <c r="AG56" i="1"/>
  <c r="Y56" i="1"/>
  <c r="Q56" i="1"/>
  <c r="H56" i="1"/>
  <c r="X78" i="4"/>
  <c r="AA56" i="23"/>
  <c r="B56" i="23"/>
  <c r="AF78" i="4"/>
  <c r="R56" i="23"/>
  <c r="A7" i="10" l="1"/>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B4" i="33" l="1"/>
  <c r="B4" i="23" l="1"/>
  <c r="B4" i="1"/>
  <c r="H4" i="33" l="1"/>
  <c r="H4" i="23"/>
  <c r="H4" i="1"/>
  <c r="G4" i="33"/>
  <c r="G4" i="23"/>
  <c r="G4" i="1"/>
  <c r="C4" i="33"/>
  <c r="C4" i="23"/>
  <c r="C4" i="1"/>
  <c r="D4" i="33"/>
  <c r="D4" i="23"/>
  <c r="D4" i="1"/>
  <c r="F4" i="33" l="1"/>
  <c r="F4" i="23"/>
  <c r="F4" i="1"/>
  <c r="E4" i="33"/>
  <c r="E4" i="23"/>
  <c r="E4" i="1"/>
  <c r="I4" i="33"/>
  <c r="I4" i="23"/>
  <c r="I4" i="1"/>
  <c r="A52" i="33" l="1"/>
  <c r="A45" i="33"/>
  <c r="AK43" i="33"/>
  <c r="BA53" i="4" s="1"/>
  <c r="AJ43" i="33"/>
  <c r="AZ53" i="4" s="1"/>
  <c r="AI43" i="33"/>
  <c r="AY53" i="4" s="1"/>
  <c r="AH43" i="33"/>
  <c r="AX53" i="4" s="1"/>
  <c r="AG43" i="33"/>
  <c r="AW53" i="4" s="1"/>
  <c r="AF43" i="33"/>
  <c r="AV53" i="4" s="1"/>
  <c r="AE43" i="33"/>
  <c r="AU53" i="4" s="1"/>
  <c r="AD43" i="33"/>
  <c r="AT53" i="4" s="1"/>
  <c r="AC43" i="33"/>
  <c r="AS53" i="4" s="1"/>
  <c r="AB43" i="33"/>
  <c r="AR53" i="4" s="1"/>
  <c r="AA43" i="33"/>
  <c r="AQ53" i="4" s="1"/>
  <c r="Z43" i="33"/>
  <c r="AP53" i="4" s="1"/>
  <c r="Y43" i="33"/>
  <c r="AO53" i="4" s="1"/>
  <c r="X43" i="33"/>
  <c r="AN53" i="4" s="1"/>
  <c r="W43" i="33"/>
  <c r="AM53" i="4" s="1"/>
  <c r="V43" i="33"/>
  <c r="AL53" i="4" s="1"/>
  <c r="U43" i="33"/>
  <c r="AK53" i="4" s="1"/>
  <c r="T43" i="33"/>
  <c r="AJ53" i="4" s="1"/>
  <c r="S43" i="33"/>
  <c r="AI53" i="4" s="1"/>
  <c r="R43" i="33"/>
  <c r="AH53" i="4" s="1"/>
  <c r="Q43" i="33"/>
  <c r="AG53" i="4" s="1"/>
  <c r="P43" i="33"/>
  <c r="AF53" i="4" s="1"/>
  <c r="AC53" i="4"/>
  <c r="AB53" i="4"/>
  <c r="AA53" i="4"/>
  <c r="Z53" i="4"/>
  <c r="Y53" i="4"/>
  <c r="X53" i="4"/>
  <c r="W53" i="4"/>
  <c r="V53" i="4"/>
  <c r="U53" i="4"/>
  <c r="T53" i="4"/>
  <c r="S53" i="4"/>
  <c r="R53" i="4"/>
  <c r="Q53" i="4"/>
  <c r="P53" i="4"/>
  <c r="O53" i="4"/>
  <c r="N53" i="4"/>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AK42" i="33"/>
  <c r="BA52" i="4" s="1"/>
  <c r="AJ42" i="33"/>
  <c r="AZ52" i="4" s="1"/>
  <c r="AI42" i="33"/>
  <c r="AY52" i="4" s="1"/>
  <c r="AH42" i="33"/>
  <c r="AX52" i="4" s="1"/>
  <c r="AG42" i="33"/>
  <c r="AW52" i="4" s="1"/>
  <c r="AF42" i="33"/>
  <c r="AV52" i="4" s="1"/>
  <c r="AE42" i="33"/>
  <c r="AU52" i="4" s="1"/>
  <c r="AD42" i="33"/>
  <c r="AT52" i="4" s="1"/>
  <c r="AC42" i="33"/>
  <c r="AS52" i="4" s="1"/>
  <c r="AB42" i="33"/>
  <c r="AR52" i="4" s="1"/>
  <c r="AA42" i="33"/>
  <c r="AQ52" i="4" s="1"/>
  <c r="Z42" i="33"/>
  <c r="AP52" i="4" s="1"/>
  <c r="Y42" i="33"/>
  <c r="AO52" i="4" s="1"/>
  <c r="X42" i="33"/>
  <c r="AN52" i="4" s="1"/>
  <c r="W42" i="33"/>
  <c r="AM52" i="4" s="1"/>
  <c r="V42" i="33"/>
  <c r="AL52" i="4" s="1"/>
  <c r="U42" i="33"/>
  <c r="AK52" i="4" s="1"/>
  <c r="T42" i="33"/>
  <c r="AJ52" i="4" s="1"/>
  <c r="S42" i="33"/>
  <c r="AI52" i="4" s="1"/>
  <c r="R42" i="33"/>
  <c r="AH52" i="4" s="1"/>
  <c r="Q42" i="33"/>
  <c r="AG52" i="4" s="1"/>
  <c r="P42" i="33"/>
  <c r="AF52" i="4" s="1"/>
  <c r="AC52" i="4"/>
  <c r="AB52" i="4"/>
  <c r="AA52" i="4"/>
  <c r="Z52" i="4"/>
  <c r="Y52" i="4"/>
  <c r="X52" i="4"/>
  <c r="W52" i="4"/>
  <c r="V52" i="4"/>
  <c r="U52" i="4"/>
  <c r="T52" i="4"/>
  <c r="S52" i="4"/>
  <c r="R52" i="4"/>
  <c r="Q52" i="4"/>
  <c r="P52" i="4"/>
  <c r="O52" i="4"/>
  <c r="N52" i="4"/>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AK41" i="33"/>
  <c r="BA51" i="4" s="1"/>
  <c r="AJ41" i="33"/>
  <c r="AZ51" i="4" s="1"/>
  <c r="AI41" i="33"/>
  <c r="AY51" i="4" s="1"/>
  <c r="AH41" i="33"/>
  <c r="AX51" i="4" s="1"/>
  <c r="AG41" i="33"/>
  <c r="AW51" i="4" s="1"/>
  <c r="AF41" i="33"/>
  <c r="AV51" i="4" s="1"/>
  <c r="AE41" i="33"/>
  <c r="AU51" i="4" s="1"/>
  <c r="AD41" i="33"/>
  <c r="AT51" i="4" s="1"/>
  <c r="AC41" i="33"/>
  <c r="AS51" i="4" s="1"/>
  <c r="AB41" i="33"/>
  <c r="AR51" i="4" s="1"/>
  <c r="AA41" i="33"/>
  <c r="AQ51" i="4" s="1"/>
  <c r="Z41" i="33"/>
  <c r="AP51" i="4" s="1"/>
  <c r="Y41" i="33"/>
  <c r="AO51" i="4" s="1"/>
  <c r="X41" i="33"/>
  <c r="AN51" i="4" s="1"/>
  <c r="W41" i="33"/>
  <c r="AM51" i="4" s="1"/>
  <c r="V41" i="33"/>
  <c r="AL51" i="4" s="1"/>
  <c r="U41" i="33"/>
  <c r="AK51" i="4" s="1"/>
  <c r="T41" i="33"/>
  <c r="AJ51" i="4" s="1"/>
  <c r="S41" i="33"/>
  <c r="AI51" i="4" s="1"/>
  <c r="R41" i="33"/>
  <c r="AH51" i="4" s="1"/>
  <c r="Q41" i="33"/>
  <c r="AG51" i="4" s="1"/>
  <c r="P41" i="33"/>
  <c r="AF51" i="4" s="1"/>
  <c r="AC51" i="4"/>
  <c r="AB51" i="4"/>
  <c r="AA51" i="4"/>
  <c r="Z51" i="4"/>
  <c r="Y51" i="4"/>
  <c r="X51" i="4"/>
  <c r="W51" i="4"/>
  <c r="V51" i="4"/>
  <c r="U51" i="4"/>
  <c r="T51" i="4"/>
  <c r="S51" i="4"/>
  <c r="R51" i="4"/>
  <c r="Q51" i="4"/>
  <c r="P51" i="4"/>
  <c r="O51" i="4"/>
  <c r="N51" i="4"/>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AK40" i="33"/>
  <c r="BA50" i="4" s="1"/>
  <c r="AJ40" i="33"/>
  <c r="AZ50" i="4" s="1"/>
  <c r="AI40" i="33"/>
  <c r="AY50" i="4" s="1"/>
  <c r="AH40" i="33"/>
  <c r="AX50" i="4" s="1"/>
  <c r="AG40" i="33"/>
  <c r="AW50" i="4" s="1"/>
  <c r="AF40" i="33"/>
  <c r="AV50" i="4" s="1"/>
  <c r="AE40" i="33"/>
  <c r="AU50" i="4" s="1"/>
  <c r="AD40" i="33"/>
  <c r="AT50" i="4" s="1"/>
  <c r="AC40" i="33"/>
  <c r="AS50" i="4" s="1"/>
  <c r="AB40" i="33"/>
  <c r="AR50" i="4" s="1"/>
  <c r="AA40" i="33"/>
  <c r="AQ50" i="4" s="1"/>
  <c r="Z40" i="33"/>
  <c r="AP50" i="4" s="1"/>
  <c r="Y40" i="33"/>
  <c r="AO50" i="4" s="1"/>
  <c r="X40" i="33"/>
  <c r="AN50" i="4" s="1"/>
  <c r="W40" i="33"/>
  <c r="AM50" i="4" s="1"/>
  <c r="V40" i="33"/>
  <c r="AL50" i="4" s="1"/>
  <c r="U40" i="33"/>
  <c r="AK50" i="4" s="1"/>
  <c r="T40" i="33"/>
  <c r="AJ50" i="4" s="1"/>
  <c r="S40" i="33"/>
  <c r="AI50" i="4" s="1"/>
  <c r="R40" i="33"/>
  <c r="AH50" i="4" s="1"/>
  <c r="Q40" i="33"/>
  <c r="AG50" i="4" s="1"/>
  <c r="P40" i="33"/>
  <c r="AF50" i="4" s="1"/>
  <c r="AC50" i="4"/>
  <c r="AB50" i="4"/>
  <c r="AA50" i="4"/>
  <c r="Z50" i="4"/>
  <c r="Y50" i="4"/>
  <c r="X50" i="4"/>
  <c r="W50" i="4"/>
  <c r="V50" i="4"/>
  <c r="U50" i="4"/>
  <c r="T50" i="4"/>
  <c r="S50" i="4"/>
  <c r="R50" i="4"/>
  <c r="Q50" i="4"/>
  <c r="P50" i="4"/>
  <c r="O50" i="4"/>
  <c r="N50" i="4"/>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AK39" i="33"/>
  <c r="BA49" i="4" s="1"/>
  <c r="AJ39" i="33"/>
  <c r="AZ49" i="4" s="1"/>
  <c r="AI39" i="33"/>
  <c r="AY49" i="4" s="1"/>
  <c r="AH39" i="33"/>
  <c r="AX49" i="4" s="1"/>
  <c r="AG39" i="33"/>
  <c r="AW49" i="4" s="1"/>
  <c r="AF39" i="33"/>
  <c r="AV49" i="4" s="1"/>
  <c r="AE39" i="33"/>
  <c r="AU49" i="4" s="1"/>
  <c r="AD39" i="33"/>
  <c r="AT49" i="4" s="1"/>
  <c r="AC39" i="33"/>
  <c r="AS49" i="4" s="1"/>
  <c r="AB39" i="33"/>
  <c r="AR49" i="4" s="1"/>
  <c r="AA39" i="33"/>
  <c r="AQ49" i="4" s="1"/>
  <c r="Z39" i="33"/>
  <c r="AP49" i="4" s="1"/>
  <c r="Y39" i="33"/>
  <c r="AO49" i="4" s="1"/>
  <c r="X39" i="33"/>
  <c r="AN49" i="4" s="1"/>
  <c r="W39" i="33"/>
  <c r="AM49" i="4" s="1"/>
  <c r="V39" i="33"/>
  <c r="AL49" i="4" s="1"/>
  <c r="U39" i="33"/>
  <c r="AK49" i="4" s="1"/>
  <c r="T39" i="33"/>
  <c r="AJ49" i="4" s="1"/>
  <c r="S39" i="33"/>
  <c r="AI49" i="4" s="1"/>
  <c r="R39" i="33"/>
  <c r="AH49" i="4" s="1"/>
  <c r="Q39" i="33"/>
  <c r="AG49" i="4" s="1"/>
  <c r="P39" i="33"/>
  <c r="AF49" i="4" s="1"/>
  <c r="AC49" i="4"/>
  <c r="AB49" i="4"/>
  <c r="AA49" i="4"/>
  <c r="Z49" i="4"/>
  <c r="Y49" i="4"/>
  <c r="X49" i="4"/>
  <c r="W49" i="4"/>
  <c r="V49" i="4"/>
  <c r="U49" i="4"/>
  <c r="T49" i="4"/>
  <c r="S49" i="4"/>
  <c r="R49" i="4"/>
  <c r="Q49" i="4"/>
  <c r="P49" i="4"/>
  <c r="O49" i="4"/>
  <c r="N49" i="4"/>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AK38" i="33"/>
  <c r="BA48" i="4" s="1"/>
  <c r="AJ38" i="33"/>
  <c r="AZ48" i="4" s="1"/>
  <c r="AI38" i="33"/>
  <c r="AY48" i="4" s="1"/>
  <c r="AH38" i="33"/>
  <c r="AX48" i="4" s="1"/>
  <c r="AG38" i="33"/>
  <c r="AW48" i="4" s="1"/>
  <c r="AF38" i="33"/>
  <c r="AV48" i="4" s="1"/>
  <c r="AE38" i="33"/>
  <c r="AU48" i="4" s="1"/>
  <c r="AD38" i="33"/>
  <c r="AT48" i="4" s="1"/>
  <c r="AC38" i="33"/>
  <c r="AS48" i="4" s="1"/>
  <c r="AB38" i="33"/>
  <c r="AR48" i="4" s="1"/>
  <c r="AA38" i="33"/>
  <c r="AQ48" i="4" s="1"/>
  <c r="Z38" i="33"/>
  <c r="AP48" i="4" s="1"/>
  <c r="Y38" i="33"/>
  <c r="AO48" i="4" s="1"/>
  <c r="X38" i="33"/>
  <c r="AN48" i="4" s="1"/>
  <c r="W38" i="33"/>
  <c r="AM48" i="4" s="1"/>
  <c r="V38" i="33"/>
  <c r="AL48" i="4" s="1"/>
  <c r="U38" i="33"/>
  <c r="AK48" i="4" s="1"/>
  <c r="T38" i="33"/>
  <c r="AJ48" i="4" s="1"/>
  <c r="S38" i="33"/>
  <c r="AI48" i="4" s="1"/>
  <c r="R38" i="33"/>
  <c r="AH48" i="4" s="1"/>
  <c r="Q38" i="33"/>
  <c r="AG48" i="4" s="1"/>
  <c r="P38" i="33"/>
  <c r="AF48" i="4" s="1"/>
  <c r="AC48" i="4"/>
  <c r="AB48" i="4"/>
  <c r="AA48" i="4"/>
  <c r="Z48" i="4"/>
  <c r="Y48" i="4"/>
  <c r="X48" i="4"/>
  <c r="W48" i="4"/>
  <c r="V48" i="4"/>
  <c r="U48" i="4"/>
  <c r="T48" i="4"/>
  <c r="S48" i="4"/>
  <c r="R48" i="4"/>
  <c r="Q48" i="4"/>
  <c r="P48" i="4"/>
  <c r="O48" i="4"/>
  <c r="N48" i="4"/>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AK37" i="33"/>
  <c r="BA47" i="4" s="1"/>
  <c r="AJ37" i="33"/>
  <c r="AZ47" i="4" s="1"/>
  <c r="AI37" i="33"/>
  <c r="AY47" i="4" s="1"/>
  <c r="AH37" i="33"/>
  <c r="AX47" i="4" s="1"/>
  <c r="AG37" i="33"/>
  <c r="AW47" i="4" s="1"/>
  <c r="AF37" i="33"/>
  <c r="AV47" i="4" s="1"/>
  <c r="AE37" i="33"/>
  <c r="AU47" i="4" s="1"/>
  <c r="AD37" i="33"/>
  <c r="AT47" i="4" s="1"/>
  <c r="AC37" i="33"/>
  <c r="AS47" i="4" s="1"/>
  <c r="AB37" i="33"/>
  <c r="AR47" i="4" s="1"/>
  <c r="AA37" i="33"/>
  <c r="AQ47" i="4" s="1"/>
  <c r="Z37" i="33"/>
  <c r="AP47" i="4" s="1"/>
  <c r="Y37" i="33"/>
  <c r="AO47" i="4" s="1"/>
  <c r="X37" i="33"/>
  <c r="AN47" i="4" s="1"/>
  <c r="W37" i="33"/>
  <c r="AM47" i="4" s="1"/>
  <c r="V37" i="33"/>
  <c r="AL47" i="4" s="1"/>
  <c r="U37" i="33"/>
  <c r="AK47" i="4" s="1"/>
  <c r="T37" i="33"/>
  <c r="AJ47" i="4" s="1"/>
  <c r="S37" i="33"/>
  <c r="AI47" i="4" s="1"/>
  <c r="R37" i="33"/>
  <c r="AH47" i="4" s="1"/>
  <c r="Q37" i="33"/>
  <c r="AG47" i="4" s="1"/>
  <c r="P37" i="33"/>
  <c r="AF47" i="4" s="1"/>
  <c r="AC47" i="4"/>
  <c r="AB47" i="4"/>
  <c r="AA47" i="4"/>
  <c r="Z47" i="4"/>
  <c r="Y47" i="4"/>
  <c r="X47" i="4"/>
  <c r="W47" i="4"/>
  <c r="V47" i="4"/>
  <c r="U47" i="4"/>
  <c r="T47" i="4"/>
  <c r="S47" i="4"/>
  <c r="R47" i="4"/>
  <c r="Q47" i="4"/>
  <c r="P47" i="4"/>
  <c r="O47" i="4"/>
  <c r="N47" i="4"/>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AK36" i="33"/>
  <c r="BA46" i="4" s="1"/>
  <c r="AJ36" i="33"/>
  <c r="AZ46" i="4" s="1"/>
  <c r="AI36" i="33"/>
  <c r="AY46" i="4" s="1"/>
  <c r="AH36" i="33"/>
  <c r="AX46" i="4" s="1"/>
  <c r="AG36" i="33"/>
  <c r="AW46" i="4" s="1"/>
  <c r="AF36" i="33"/>
  <c r="AV46" i="4" s="1"/>
  <c r="AE36" i="33"/>
  <c r="AU46" i="4" s="1"/>
  <c r="AD36" i="33"/>
  <c r="AT46" i="4" s="1"/>
  <c r="AC36" i="33"/>
  <c r="AS46" i="4" s="1"/>
  <c r="AB36" i="33"/>
  <c r="AR46" i="4" s="1"/>
  <c r="AA36" i="33"/>
  <c r="AQ46" i="4" s="1"/>
  <c r="Z36" i="33"/>
  <c r="AP46" i="4" s="1"/>
  <c r="Y36" i="33"/>
  <c r="AO46" i="4" s="1"/>
  <c r="X36" i="33"/>
  <c r="AN46" i="4" s="1"/>
  <c r="W36" i="33"/>
  <c r="AM46" i="4" s="1"/>
  <c r="V36" i="33"/>
  <c r="AL46" i="4" s="1"/>
  <c r="U36" i="33"/>
  <c r="AK46" i="4" s="1"/>
  <c r="T36" i="33"/>
  <c r="AJ46" i="4" s="1"/>
  <c r="S36" i="33"/>
  <c r="AI46" i="4" s="1"/>
  <c r="R36" i="33"/>
  <c r="AH46" i="4" s="1"/>
  <c r="Q36" i="33"/>
  <c r="AG46" i="4" s="1"/>
  <c r="P36" i="33"/>
  <c r="AF46" i="4" s="1"/>
  <c r="AC46" i="4"/>
  <c r="AB46" i="4"/>
  <c r="AA46" i="4"/>
  <c r="Z46" i="4"/>
  <c r="Y46" i="4"/>
  <c r="X46" i="4"/>
  <c r="W46" i="4"/>
  <c r="V46" i="4"/>
  <c r="U46" i="4"/>
  <c r="T46" i="4"/>
  <c r="S46" i="4"/>
  <c r="R46" i="4"/>
  <c r="Q46" i="4"/>
  <c r="P46" i="4"/>
  <c r="O46" i="4"/>
  <c r="N46" i="4"/>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AK35" i="33"/>
  <c r="BA45" i="4" s="1"/>
  <c r="AJ35" i="33"/>
  <c r="AZ45" i="4" s="1"/>
  <c r="AI35" i="33"/>
  <c r="AY45" i="4" s="1"/>
  <c r="AH35" i="33"/>
  <c r="AX45" i="4" s="1"/>
  <c r="AG35" i="33"/>
  <c r="AW45" i="4" s="1"/>
  <c r="AF35" i="33"/>
  <c r="AV45" i="4" s="1"/>
  <c r="AE35" i="33"/>
  <c r="AU45" i="4" s="1"/>
  <c r="AD35" i="33"/>
  <c r="AT45" i="4" s="1"/>
  <c r="AC35" i="33"/>
  <c r="AS45" i="4" s="1"/>
  <c r="AB35" i="33"/>
  <c r="AR45" i="4" s="1"/>
  <c r="AA35" i="33"/>
  <c r="AQ45" i="4" s="1"/>
  <c r="Z35" i="33"/>
  <c r="AP45" i="4" s="1"/>
  <c r="Y35" i="33"/>
  <c r="AO45" i="4" s="1"/>
  <c r="X35" i="33"/>
  <c r="AN45" i="4" s="1"/>
  <c r="W35" i="33"/>
  <c r="AM45" i="4" s="1"/>
  <c r="AC45" i="4"/>
  <c r="AB45" i="4"/>
  <c r="AA45" i="4"/>
  <c r="Z45" i="4"/>
  <c r="Y45" i="4"/>
  <c r="X45" i="4"/>
  <c r="W45" i="4"/>
  <c r="V45" i="4"/>
  <c r="U45" i="4"/>
  <c r="T45" i="4"/>
  <c r="S45" i="4"/>
  <c r="R45" i="4"/>
  <c r="Q45" i="4"/>
  <c r="P45" i="4"/>
  <c r="O45" i="4"/>
  <c r="N45" i="4"/>
  <c r="J35" i="33"/>
  <c r="J45" i="4" s="1"/>
  <c r="C35" i="33"/>
  <c r="C45" i="4" s="1"/>
  <c r="AK34" i="33"/>
  <c r="BA44" i="4" s="1"/>
  <c r="AJ34" i="33"/>
  <c r="AZ44" i="4" s="1"/>
  <c r="AI34" i="33"/>
  <c r="AY44" i="4" s="1"/>
  <c r="AH34" i="33"/>
  <c r="AX44" i="4" s="1"/>
  <c r="AG34" i="33"/>
  <c r="AW44" i="4" s="1"/>
  <c r="AF34" i="33"/>
  <c r="AV44" i="4" s="1"/>
  <c r="AE34" i="33"/>
  <c r="AU44" i="4" s="1"/>
  <c r="AD34" i="33"/>
  <c r="AT44" i="4" s="1"/>
  <c r="AC34" i="33"/>
  <c r="AS44" i="4" s="1"/>
  <c r="AB34" i="33"/>
  <c r="AR44" i="4" s="1"/>
  <c r="AA34" i="33"/>
  <c r="AQ44" i="4" s="1"/>
  <c r="Z34" i="33"/>
  <c r="AP44" i="4" s="1"/>
  <c r="Y34" i="33"/>
  <c r="AO44" i="4" s="1"/>
  <c r="X34" i="33"/>
  <c r="AN44" i="4" s="1"/>
  <c r="W34" i="33"/>
  <c r="AM44" i="4" s="1"/>
  <c r="AC44" i="4"/>
  <c r="AB44" i="4"/>
  <c r="AA44" i="4"/>
  <c r="Z44" i="4"/>
  <c r="Y44" i="4"/>
  <c r="X44" i="4"/>
  <c r="W44" i="4"/>
  <c r="V44" i="4"/>
  <c r="U44" i="4"/>
  <c r="T44" i="4"/>
  <c r="S44" i="4"/>
  <c r="R44" i="4"/>
  <c r="Q44" i="4"/>
  <c r="P44" i="4"/>
  <c r="O44" i="4"/>
  <c r="N44" i="4"/>
  <c r="C34" i="33"/>
  <c r="C44" i="4" s="1"/>
  <c r="AK33" i="33"/>
  <c r="BA43" i="4" s="1"/>
  <c r="AJ33" i="33"/>
  <c r="AZ43" i="4" s="1"/>
  <c r="AI33" i="33"/>
  <c r="AY43" i="4" s="1"/>
  <c r="AH33" i="33"/>
  <c r="AX43" i="4" s="1"/>
  <c r="AG33" i="33"/>
  <c r="AW43" i="4" s="1"/>
  <c r="AF33" i="33"/>
  <c r="AV43" i="4" s="1"/>
  <c r="AE33" i="33"/>
  <c r="AU43" i="4" s="1"/>
  <c r="AD33" i="33"/>
  <c r="AT43" i="4" s="1"/>
  <c r="AC33" i="33"/>
  <c r="AS43" i="4" s="1"/>
  <c r="AB33" i="33"/>
  <c r="AR43" i="4" s="1"/>
  <c r="AA33" i="33"/>
  <c r="AQ43" i="4" s="1"/>
  <c r="Z33" i="33"/>
  <c r="AP43" i="4" s="1"/>
  <c r="Y33" i="33"/>
  <c r="AO43" i="4" s="1"/>
  <c r="X33" i="33"/>
  <c r="AN43" i="4" s="1"/>
  <c r="W33" i="33"/>
  <c r="AM43" i="4" s="1"/>
  <c r="AC43" i="4"/>
  <c r="AB43" i="4"/>
  <c r="AA43" i="4"/>
  <c r="Z43" i="4"/>
  <c r="Y43" i="4"/>
  <c r="X43" i="4"/>
  <c r="W43" i="4"/>
  <c r="V43" i="4"/>
  <c r="U43" i="4"/>
  <c r="T43" i="4"/>
  <c r="S43" i="4"/>
  <c r="R43" i="4"/>
  <c r="Q43" i="4"/>
  <c r="P43" i="4"/>
  <c r="O43" i="4"/>
  <c r="N43" i="4"/>
  <c r="C33" i="33"/>
  <c r="C43" i="4" s="1"/>
  <c r="AK32" i="33"/>
  <c r="BA42" i="4" s="1"/>
  <c r="AJ32" i="33"/>
  <c r="AZ42" i="4" s="1"/>
  <c r="AI32" i="33"/>
  <c r="AY42" i="4" s="1"/>
  <c r="AH32" i="33"/>
  <c r="AX42" i="4" s="1"/>
  <c r="AG32" i="33"/>
  <c r="AW42" i="4" s="1"/>
  <c r="AF32" i="33"/>
  <c r="AV42" i="4" s="1"/>
  <c r="AE32" i="33"/>
  <c r="AU42" i="4" s="1"/>
  <c r="AD32" i="33"/>
  <c r="AT42" i="4" s="1"/>
  <c r="AC32" i="33"/>
  <c r="AS42" i="4" s="1"/>
  <c r="AB32" i="33"/>
  <c r="AR42" i="4" s="1"/>
  <c r="AA32" i="33"/>
  <c r="AQ42" i="4" s="1"/>
  <c r="Z32" i="33"/>
  <c r="AP42" i="4" s="1"/>
  <c r="Y32" i="33"/>
  <c r="AO42" i="4" s="1"/>
  <c r="X32" i="33"/>
  <c r="AN42" i="4" s="1"/>
  <c r="W32" i="33"/>
  <c r="AM42" i="4" s="1"/>
  <c r="S32" i="33"/>
  <c r="AI42" i="4" s="1"/>
  <c r="AC42" i="4"/>
  <c r="AB42" i="4"/>
  <c r="AA42" i="4"/>
  <c r="Z42" i="4"/>
  <c r="Y42" i="4"/>
  <c r="X42" i="4"/>
  <c r="W42" i="4"/>
  <c r="V42" i="4"/>
  <c r="U42" i="4"/>
  <c r="T42" i="4"/>
  <c r="S42" i="4"/>
  <c r="R42" i="4"/>
  <c r="Q42" i="4"/>
  <c r="P42" i="4"/>
  <c r="O42" i="4"/>
  <c r="N42" i="4"/>
  <c r="C32" i="33"/>
  <c r="C42" i="4" s="1"/>
  <c r="AK31" i="33"/>
  <c r="BA41" i="4" s="1"/>
  <c r="AJ31" i="33"/>
  <c r="AZ41" i="4" s="1"/>
  <c r="AI31" i="33"/>
  <c r="AY41" i="4" s="1"/>
  <c r="AH31" i="33"/>
  <c r="AX41" i="4" s="1"/>
  <c r="AG31" i="33"/>
  <c r="AW41" i="4" s="1"/>
  <c r="AF31" i="33"/>
  <c r="AV41" i="4" s="1"/>
  <c r="AE31" i="33"/>
  <c r="AU41" i="4" s="1"/>
  <c r="AD31" i="33"/>
  <c r="AT41" i="4" s="1"/>
  <c r="AC31" i="33"/>
  <c r="AS41" i="4" s="1"/>
  <c r="AB31" i="33"/>
  <c r="AR41" i="4" s="1"/>
  <c r="AA31" i="33"/>
  <c r="AQ41" i="4" s="1"/>
  <c r="Z31" i="33"/>
  <c r="AP41" i="4" s="1"/>
  <c r="Y31" i="33"/>
  <c r="AO41" i="4" s="1"/>
  <c r="X31" i="33"/>
  <c r="AN41" i="4" s="1"/>
  <c r="W31" i="33"/>
  <c r="AM41" i="4" s="1"/>
  <c r="AC41" i="4"/>
  <c r="AB41" i="4"/>
  <c r="AA41" i="4"/>
  <c r="Z41" i="4"/>
  <c r="Y41" i="4"/>
  <c r="X41" i="4"/>
  <c r="W41" i="4"/>
  <c r="V41" i="4"/>
  <c r="U41" i="4"/>
  <c r="T41" i="4"/>
  <c r="S41" i="4"/>
  <c r="R41" i="4"/>
  <c r="Q41" i="4"/>
  <c r="P41" i="4"/>
  <c r="O41" i="4"/>
  <c r="N41" i="4"/>
  <c r="C31" i="33"/>
  <c r="C41" i="4" s="1"/>
  <c r="AK30" i="33"/>
  <c r="BA40" i="4" s="1"/>
  <c r="AJ30" i="33"/>
  <c r="AZ40" i="4" s="1"/>
  <c r="AI30" i="33"/>
  <c r="AY40" i="4" s="1"/>
  <c r="AH30" i="33"/>
  <c r="AX40" i="4" s="1"/>
  <c r="AG30" i="33"/>
  <c r="AW40" i="4" s="1"/>
  <c r="AF30" i="33"/>
  <c r="AV40" i="4" s="1"/>
  <c r="AE30" i="33"/>
  <c r="AU40" i="4" s="1"/>
  <c r="AD30" i="33"/>
  <c r="AT40" i="4" s="1"/>
  <c r="AC30" i="33"/>
  <c r="AS40" i="4" s="1"/>
  <c r="AB30" i="33"/>
  <c r="AR40" i="4" s="1"/>
  <c r="AA30" i="33"/>
  <c r="AQ40" i="4" s="1"/>
  <c r="Z30" i="33"/>
  <c r="AP40" i="4" s="1"/>
  <c r="Y30" i="33"/>
  <c r="AO40" i="4" s="1"/>
  <c r="X30" i="33"/>
  <c r="AN40" i="4" s="1"/>
  <c r="W30" i="33"/>
  <c r="AM40" i="4" s="1"/>
  <c r="AC40" i="4"/>
  <c r="AB40" i="4"/>
  <c r="AA40" i="4"/>
  <c r="Z40" i="4"/>
  <c r="Y40" i="4"/>
  <c r="X40" i="4"/>
  <c r="W40" i="4"/>
  <c r="V40" i="4"/>
  <c r="U40" i="4"/>
  <c r="T40" i="4"/>
  <c r="S40" i="4"/>
  <c r="R40" i="4"/>
  <c r="Q40" i="4"/>
  <c r="P40" i="4"/>
  <c r="O40" i="4"/>
  <c r="N40" i="4"/>
  <c r="C30" i="33"/>
  <c r="C40" i="4" s="1"/>
  <c r="AK29" i="33"/>
  <c r="BA39" i="4" s="1"/>
  <c r="AJ29" i="33"/>
  <c r="AZ39" i="4" s="1"/>
  <c r="AI29" i="33"/>
  <c r="AY39" i="4" s="1"/>
  <c r="AH29" i="33"/>
  <c r="AX39" i="4" s="1"/>
  <c r="AG29" i="33"/>
  <c r="AW39" i="4" s="1"/>
  <c r="AF29" i="33"/>
  <c r="AV39" i="4" s="1"/>
  <c r="AE29" i="33"/>
  <c r="AU39" i="4" s="1"/>
  <c r="AD29" i="33"/>
  <c r="AT39" i="4" s="1"/>
  <c r="AC29" i="33"/>
  <c r="AS39" i="4" s="1"/>
  <c r="AB29" i="33"/>
  <c r="AR39" i="4" s="1"/>
  <c r="AA29" i="33"/>
  <c r="AQ39" i="4" s="1"/>
  <c r="Z29" i="33"/>
  <c r="AP39" i="4" s="1"/>
  <c r="Y29" i="33"/>
  <c r="AO39" i="4" s="1"/>
  <c r="X29" i="33"/>
  <c r="AN39" i="4" s="1"/>
  <c r="W29" i="33"/>
  <c r="AM39" i="4" s="1"/>
  <c r="S29" i="33"/>
  <c r="AI39" i="4" s="1"/>
  <c r="O29" i="33"/>
  <c r="AE39" i="4" s="1"/>
  <c r="AC39" i="4"/>
  <c r="AB39" i="4"/>
  <c r="AA39" i="4"/>
  <c r="Z39" i="4"/>
  <c r="Y39" i="4"/>
  <c r="X39" i="4"/>
  <c r="W39" i="4"/>
  <c r="V39" i="4"/>
  <c r="U39" i="4"/>
  <c r="T39" i="4"/>
  <c r="S39" i="4"/>
  <c r="R39" i="4"/>
  <c r="Q39" i="4"/>
  <c r="P39" i="4"/>
  <c r="O39" i="4"/>
  <c r="N39" i="4"/>
  <c r="C29" i="33"/>
  <c r="C39" i="4" s="1"/>
  <c r="AK28" i="33"/>
  <c r="AJ28" i="33"/>
  <c r="AI28" i="33"/>
  <c r="AH28" i="33"/>
  <c r="AG28" i="33"/>
  <c r="AF28" i="33"/>
  <c r="AE28" i="33"/>
  <c r="AD28" i="33"/>
  <c r="AC28" i="33"/>
  <c r="AB28" i="33"/>
  <c r="AA28" i="33"/>
  <c r="Z28" i="33"/>
  <c r="Y28" i="33"/>
  <c r="X28" i="33"/>
  <c r="W28" i="33"/>
  <c r="C28" i="33"/>
  <c r="AK24" i="33"/>
  <c r="AJ24" i="33"/>
  <c r="AI24" i="33"/>
  <c r="AH24" i="33"/>
  <c r="AG24" i="33"/>
  <c r="AF24" i="33"/>
  <c r="AE24" i="33"/>
  <c r="AD24" i="33"/>
  <c r="AC24" i="33"/>
  <c r="AB24" i="33"/>
  <c r="AA24" i="33"/>
  <c r="Z24" i="33"/>
  <c r="Y24" i="33"/>
  <c r="X24" i="33"/>
  <c r="W24" i="33"/>
  <c r="V24" i="33"/>
  <c r="U24" i="33"/>
  <c r="T24" i="33"/>
  <c r="S24" i="33"/>
  <c r="R24" i="33"/>
  <c r="Q24" i="33"/>
  <c r="P24" i="33"/>
  <c r="O24" i="33"/>
  <c r="L24" i="33"/>
  <c r="J24" i="33"/>
  <c r="I24" i="33"/>
  <c r="H24" i="33"/>
  <c r="G24" i="33"/>
  <c r="F24" i="33"/>
  <c r="E24" i="33"/>
  <c r="D24" i="33"/>
  <c r="C24" i="33"/>
  <c r="B24" i="33"/>
  <c r="AK23" i="33"/>
  <c r="AJ23" i="33"/>
  <c r="AI23" i="33"/>
  <c r="AH23" i="33"/>
  <c r="AG23" i="33"/>
  <c r="AF23" i="33"/>
  <c r="AE23" i="33"/>
  <c r="AD23" i="33"/>
  <c r="AC23" i="33"/>
  <c r="AB23" i="33"/>
  <c r="AA23" i="33"/>
  <c r="Z23" i="33"/>
  <c r="Y23" i="33"/>
  <c r="X23" i="33"/>
  <c r="W23" i="33"/>
  <c r="V23" i="33"/>
  <c r="U23" i="33"/>
  <c r="T23" i="33"/>
  <c r="S23" i="33"/>
  <c r="R23" i="33"/>
  <c r="Q23" i="33"/>
  <c r="P23" i="33"/>
  <c r="O23" i="33"/>
  <c r="O43" i="33" s="1"/>
  <c r="AE53" i="4" s="1"/>
  <c r="L23" i="33"/>
  <c r="J23" i="33"/>
  <c r="I23" i="33"/>
  <c r="H23" i="33"/>
  <c r="G23" i="33"/>
  <c r="F23" i="33"/>
  <c r="E23" i="33"/>
  <c r="D23" i="33"/>
  <c r="C23" i="33"/>
  <c r="B23" i="33"/>
  <c r="A22" i="33"/>
  <c r="H22" i="33"/>
  <c r="G45" i="33"/>
  <c r="F27" i="33"/>
  <c r="F52" i="33" s="1"/>
  <c r="E45" i="33"/>
  <c r="D22" i="33"/>
  <c r="C45" i="33"/>
  <c r="B45" i="33"/>
  <c r="P33" i="33" l="1"/>
  <c r="AF43" i="4" s="1"/>
  <c r="B28" i="33"/>
  <c r="D30" i="33"/>
  <c r="D40" i="4" s="1"/>
  <c r="T33" i="33"/>
  <c r="AJ43" i="4" s="1"/>
  <c r="L30" i="33"/>
  <c r="L40" i="4" s="1"/>
  <c r="Q34" i="33"/>
  <c r="AG44" i="4" s="1"/>
  <c r="I28" i="33"/>
  <c r="I38" i="4" s="1"/>
  <c r="S30" i="33"/>
  <c r="AI40" i="4" s="1"/>
  <c r="U34" i="33"/>
  <c r="AK44" i="4" s="1"/>
  <c r="P28" i="33"/>
  <c r="E31" i="33"/>
  <c r="E41" i="4" s="1"/>
  <c r="T28" i="33"/>
  <c r="R31" i="33"/>
  <c r="AH41" i="4" s="1"/>
  <c r="Q35" i="33"/>
  <c r="AG45" i="4" s="1"/>
  <c r="F29" i="33"/>
  <c r="F39" i="4" s="1"/>
  <c r="V31" i="33"/>
  <c r="AL41" i="4" s="1"/>
  <c r="O28" i="33"/>
  <c r="R29" i="33"/>
  <c r="AH39" i="4" s="1"/>
  <c r="K30" i="33"/>
  <c r="K40" i="4" s="1"/>
  <c r="V30" i="33"/>
  <c r="AL40" i="4" s="1"/>
  <c r="U31" i="33"/>
  <c r="AK41" i="4" s="1"/>
  <c r="V32" i="33"/>
  <c r="AL42" i="4" s="1"/>
  <c r="P34" i="33"/>
  <c r="AF44" i="4" s="1"/>
  <c r="P35" i="33"/>
  <c r="AF45" i="4" s="1"/>
  <c r="T29" i="33"/>
  <c r="AJ39" i="4" s="1"/>
  <c r="P30" i="33"/>
  <c r="AF40" i="4" s="1"/>
  <c r="I31" i="33"/>
  <c r="I41" i="4" s="1"/>
  <c r="P32" i="33"/>
  <c r="AF42" i="4" s="1"/>
  <c r="Q33" i="33"/>
  <c r="AG43" i="4" s="1"/>
  <c r="R34" i="33"/>
  <c r="AH44" i="4" s="1"/>
  <c r="R35" i="33"/>
  <c r="AH45" i="4" s="1"/>
  <c r="Q28" i="33"/>
  <c r="AG38" i="4" s="1"/>
  <c r="G29" i="33"/>
  <c r="G39" i="4" s="1"/>
  <c r="E28" i="33"/>
  <c r="R28" i="33"/>
  <c r="J29" i="33"/>
  <c r="J39" i="4" s="1"/>
  <c r="U29" i="33"/>
  <c r="AK39" i="4" s="1"/>
  <c r="Q30" i="33"/>
  <c r="AG40" i="4" s="1"/>
  <c r="P31" i="33"/>
  <c r="AF41" i="4" s="1"/>
  <c r="Q32" i="33"/>
  <c r="AG42" i="4" s="1"/>
  <c r="R33" i="33"/>
  <c r="AH43" i="4" s="1"/>
  <c r="S34" i="33"/>
  <c r="AI44" i="4" s="1"/>
  <c r="S35" i="33"/>
  <c r="AI45" i="4" s="1"/>
  <c r="F28" i="33"/>
  <c r="S28" i="33"/>
  <c r="AI38" i="4" s="1"/>
  <c r="K29" i="33"/>
  <c r="K39" i="4" s="1"/>
  <c r="V29" i="33"/>
  <c r="AL39" i="4" s="1"/>
  <c r="R30" i="33"/>
  <c r="AH40" i="4" s="1"/>
  <c r="Q31" i="33"/>
  <c r="AG41" i="4" s="1"/>
  <c r="R32" i="33"/>
  <c r="AH42" i="4" s="1"/>
  <c r="S33" i="33"/>
  <c r="AI43" i="4" s="1"/>
  <c r="T34" i="33"/>
  <c r="AJ44" i="4" s="1"/>
  <c r="T35" i="33"/>
  <c r="AJ45" i="4" s="1"/>
  <c r="U35" i="33"/>
  <c r="AK45" i="4" s="1"/>
  <c r="J28" i="33"/>
  <c r="J38" i="4" s="1"/>
  <c r="U28" i="33"/>
  <c r="P29" i="33"/>
  <c r="AF39" i="4" s="1"/>
  <c r="G30" i="33"/>
  <c r="G40" i="4" s="1"/>
  <c r="T30" i="33"/>
  <c r="AJ40" i="4" s="1"/>
  <c r="S31" i="33"/>
  <c r="AI41" i="4" s="1"/>
  <c r="T32" i="33"/>
  <c r="AJ42" i="4" s="1"/>
  <c r="U33" i="33"/>
  <c r="AK43" i="4" s="1"/>
  <c r="V34" i="33"/>
  <c r="AL44" i="4" s="1"/>
  <c r="V35" i="33"/>
  <c r="AL45" i="4" s="1"/>
  <c r="M28" i="33"/>
  <c r="V28" i="33"/>
  <c r="B29" i="33"/>
  <c r="B39" i="4" s="1"/>
  <c r="Q29" i="33"/>
  <c r="AG39" i="4" s="1"/>
  <c r="H30" i="33"/>
  <c r="H40" i="4" s="1"/>
  <c r="U30" i="33"/>
  <c r="AK40" i="4" s="1"/>
  <c r="T31" i="33"/>
  <c r="AJ41" i="4" s="1"/>
  <c r="U32" i="33"/>
  <c r="AK42" i="4" s="1"/>
  <c r="V33" i="33"/>
  <c r="AL43" i="4" s="1"/>
  <c r="K28" i="33"/>
  <c r="K38" i="4" s="1"/>
  <c r="H29" i="33"/>
  <c r="H39" i="4" s="1"/>
  <c r="D28" i="33"/>
  <c r="L28" i="33"/>
  <c r="I29" i="33"/>
  <c r="I39" i="4" s="1"/>
  <c r="F30" i="33"/>
  <c r="F40" i="4" s="1"/>
  <c r="O30" i="33"/>
  <c r="AE40" i="4" s="1"/>
  <c r="K31" i="33"/>
  <c r="K41" i="4" s="1"/>
  <c r="H32" i="33"/>
  <c r="H42" i="4" s="1"/>
  <c r="E33" i="33"/>
  <c r="E43" i="4" s="1"/>
  <c r="M33" i="33"/>
  <c r="M43" i="4" s="1"/>
  <c r="B34" i="33"/>
  <c r="B44" i="4" s="1"/>
  <c r="J34" i="33"/>
  <c r="J44" i="4" s="1"/>
  <c r="G35" i="33"/>
  <c r="G45" i="4" s="1"/>
  <c r="O38" i="33"/>
  <c r="AE48" i="4" s="1"/>
  <c r="D31" i="33"/>
  <c r="D41" i="4" s="1"/>
  <c r="L31" i="33"/>
  <c r="L41" i="4" s="1"/>
  <c r="I32" i="33"/>
  <c r="I42" i="4" s="1"/>
  <c r="F33" i="33"/>
  <c r="F43" i="4" s="1"/>
  <c r="O33" i="33"/>
  <c r="AE43" i="4" s="1"/>
  <c r="K34" i="33"/>
  <c r="K44" i="4" s="1"/>
  <c r="H35" i="33"/>
  <c r="H45" i="4" s="1"/>
  <c r="O41" i="33"/>
  <c r="AE51" i="4" s="1"/>
  <c r="M31" i="33"/>
  <c r="M41" i="4" s="1"/>
  <c r="B32" i="33"/>
  <c r="B42" i="4" s="1"/>
  <c r="J32" i="33"/>
  <c r="J42" i="4" s="1"/>
  <c r="G33" i="33"/>
  <c r="G43" i="4" s="1"/>
  <c r="D34" i="33"/>
  <c r="D44" i="4" s="1"/>
  <c r="L34" i="33"/>
  <c r="L44" i="4" s="1"/>
  <c r="I35" i="33"/>
  <c r="I45" i="4" s="1"/>
  <c r="O36" i="33"/>
  <c r="AE46" i="4" s="1"/>
  <c r="D29" i="33"/>
  <c r="D39" i="4" s="1"/>
  <c r="L29" i="33"/>
  <c r="L39" i="4" s="1"/>
  <c r="I30" i="33"/>
  <c r="I40" i="4" s="1"/>
  <c r="F31" i="33"/>
  <c r="F41" i="4" s="1"/>
  <c r="O31" i="33"/>
  <c r="AE41" i="4" s="1"/>
  <c r="K32" i="33"/>
  <c r="K42" i="4" s="1"/>
  <c r="H33" i="33"/>
  <c r="H43" i="4" s="1"/>
  <c r="E34" i="33"/>
  <c r="E44" i="4" s="1"/>
  <c r="M34" i="33"/>
  <c r="M44" i="4" s="1"/>
  <c r="B35" i="33"/>
  <c r="B45" i="4" s="1"/>
  <c r="O39" i="33"/>
  <c r="AE49" i="4" s="1"/>
  <c r="G28" i="33"/>
  <c r="G38" i="4" s="1"/>
  <c r="H28" i="33"/>
  <c r="H46" i="33" s="1"/>
  <c r="H53" i="33" s="1"/>
  <c r="E29" i="33"/>
  <c r="E39" i="4" s="1"/>
  <c r="M29" i="33"/>
  <c r="M39" i="4" s="1"/>
  <c r="B30" i="33"/>
  <c r="B40" i="4" s="1"/>
  <c r="J30" i="33"/>
  <c r="J40" i="4" s="1"/>
  <c r="G31" i="33"/>
  <c r="G41" i="4" s="1"/>
  <c r="D32" i="33"/>
  <c r="D42" i="4" s="1"/>
  <c r="L32" i="33"/>
  <c r="L42" i="4" s="1"/>
  <c r="I33" i="33"/>
  <c r="I43" i="4" s="1"/>
  <c r="F34" i="33"/>
  <c r="F44" i="4" s="1"/>
  <c r="O34" i="33"/>
  <c r="AE44" i="4" s="1"/>
  <c r="K35" i="33"/>
  <c r="K45" i="4" s="1"/>
  <c r="O42" i="33"/>
  <c r="AE52" i="4" s="1"/>
  <c r="H31" i="33"/>
  <c r="H41" i="4" s="1"/>
  <c r="E32" i="33"/>
  <c r="E42" i="4" s="1"/>
  <c r="M32" i="33"/>
  <c r="M42" i="4" s="1"/>
  <c r="B33" i="33"/>
  <c r="B43" i="4" s="1"/>
  <c r="J33" i="33"/>
  <c r="J43" i="4" s="1"/>
  <c r="G34" i="33"/>
  <c r="G44" i="4" s="1"/>
  <c r="D35" i="33"/>
  <c r="D45" i="4" s="1"/>
  <c r="L35" i="33"/>
  <c r="L45" i="4" s="1"/>
  <c r="O37" i="33"/>
  <c r="AE47" i="4" s="1"/>
  <c r="F32" i="33"/>
  <c r="F42" i="4" s="1"/>
  <c r="O32" i="33"/>
  <c r="AE42" i="4" s="1"/>
  <c r="K33" i="33"/>
  <c r="K43" i="4" s="1"/>
  <c r="H34" i="33"/>
  <c r="H44" i="4" s="1"/>
  <c r="E35" i="33"/>
  <c r="E45" i="4" s="1"/>
  <c r="M35" i="33"/>
  <c r="M45" i="4" s="1"/>
  <c r="O40" i="33"/>
  <c r="AE50" i="4" s="1"/>
  <c r="E30" i="33"/>
  <c r="E40" i="4" s="1"/>
  <c r="M30" i="33"/>
  <c r="M40" i="4" s="1"/>
  <c r="B31" i="33"/>
  <c r="B41" i="4" s="1"/>
  <c r="J31" i="33"/>
  <c r="J41" i="4" s="1"/>
  <c r="G32" i="33"/>
  <c r="G42" i="4" s="1"/>
  <c r="D33" i="33"/>
  <c r="D43" i="4" s="1"/>
  <c r="L33" i="33"/>
  <c r="L43" i="4" s="1"/>
  <c r="I34" i="33"/>
  <c r="I44" i="4" s="1"/>
  <c r="F35" i="33"/>
  <c r="F45" i="4" s="1"/>
  <c r="O35" i="33"/>
  <c r="AE45" i="4" s="1"/>
  <c r="D38" i="4"/>
  <c r="H38" i="4"/>
  <c r="T38" i="4"/>
  <c r="X38" i="4"/>
  <c r="AK38" i="4"/>
  <c r="AO38" i="4"/>
  <c r="BA38" i="4"/>
  <c r="Q38" i="4"/>
  <c r="Y38" i="4"/>
  <c r="AL38" i="4"/>
  <c r="AT38" i="4"/>
  <c r="E38" i="4"/>
  <c r="M38" i="4"/>
  <c r="U38" i="4"/>
  <c r="AC38" i="4"/>
  <c r="AH38" i="4"/>
  <c r="AP38" i="4"/>
  <c r="AX38" i="4"/>
  <c r="B38" i="4"/>
  <c r="F46" i="33"/>
  <c r="F53" i="33" s="1"/>
  <c r="B22" i="33"/>
  <c r="E22" i="33"/>
  <c r="I45" i="33"/>
  <c r="I52" i="33"/>
  <c r="I27" i="33"/>
  <c r="C38" i="4"/>
  <c r="C47" i="33"/>
  <c r="C48" i="33" s="1"/>
  <c r="C54" i="33" s="1"/>
  <c r="C46" i="33"/>
  <c r="C53" i="33" s="1"/>
  <c r="O38" i="4"/>
  <c r="S38" i="4"/>
  <c r="W38" i="4"/>
  <c r="AA38" i="4"/>
  <c r="AF38" i="4"/>
  <c r="AJ38" i="4"/>
  <c r="T46" i="33"/>
  <c r="T53" i="33" s="1"/>
  <c r="AN38" i="4"/>
  <c r="X47" i="33"/>
  <c r="X48" i="33" s="1"/>
  <c r="X54" i="33" s="1"/>
  <c r="X46" i="33"/>
  <c r="X53" i="33" s="1"/>
  <c r="AB47" i="33"/>
  <c r="AB48" i="33" s="1"/>
  <c r="AB54" i="33" s="1"/>
  <c r="AR38" i="4"/>
  <c r="AB46" i="33"/>
  <c r="AB53" i="33" s="1"/>
  <c r="AF46" i="33"/>
  <c r="AF53" i="33" s="1"/>
  <c r="AV38" i="4"/>
  <c r="AF47" i="33"/>
  <c r="AF48" i="33" s="1"/>
  <c r="AF54" i="33" s="1"/>
  <c r="AZ38" i="4"/>
  <c r="AJ46" i="33"/>
  <c r="AJ53" i="33" s="1"/>
  <c r="AJ47" i="33"/>
  <c r="AJ48" i="33" s="1"/>
  <c r="AJ54" i="33" s="1"/>
  <c r="B27" i="33"/>
  <c r="B52" i="33" s="1"/>
  <c r="L38" i="4"/>
  <c r="P38" i="4"/>
  <c r="AB38" i="4"/>
  <c r="AC46" i="33"/>
  <c r="AC53" i="33" s="1"/>
  <c r="AS38" i="4"/>
  <c r="AG47" i="33"/>
  <c r="AG48" i="33" s="1"/>
  <c r="AG54" i="33" s="1"/>
  <c r="AW38" i="4"/>
  <c r="D27" i="33"/>
  <c r="D52" i="33" s="1"/>
  <c r="I22" i="33"/>
  <c r="E27" i="33"/>
  <c r="E52" i="33" s="1"/>
  <c r="F38" i="4"/>
  <c r="N38" i="4"/>
  <c r="R38" i="4"/>
  <c r="V38" i="4"/>
  <c r="Z38" i="4"/>
  <c r="AE38" i="4"/>
  <c r="S47" i="33"/>
  <c r="S48" i="33" s="1"/>
  <c r="S54" i="33" s="1"/>
  <c r="AM38" i="4"/>
  <c r="W46" i="33"/>
  <c r="W53" i="33" s="1"/>
  <c r="W47" i="33"/>
  <c r="W48" i="33" s="1"/>
  <c r="W54" i="33" s="1"/>
  <c r="AQ38" i="4"/>
  <c r="AA46" i="33"/>
  <c r="AA53" i="33" s="1"/>
  <c r="AA47" i="33"/>
  <c r="AA48" i="33" s="1"/>
  <c r="AA54" i="33" s="1"/>
  <c r="AU38" i="4"/>
  <c r="AE46" i="33"/>
  <c r="AE53" i="33" s="1"/>
  <c r="AE47" i="33"/>
  <c r="AE48" i="33" s="1"/>
  <c r="AE54" i="33" s="1"/>
  <c r="AY38" i="4"/>
  <c r="AI47" i="33"/>
  <c r="AI48" i="33" s="1"/>
  <c r="AI54" i="33" s="1"/>
  <c r="AI46" i="33"/>
  <c r="AI53" i="33" s="1"/>
  <c r="D45" i="33"/>
  <c r="G57" i="33"/>
  <c r="T57" i="33"/>
  <c r="AA57" i="33"/>
  <c r="AI57" i="33"/>
  <c r="H57" i="33"/>
  <c r="O57" i="33"/>
  <c r="U57" i="33"/>
  <c r="AC57" i="33"/>
  <c r="AJ57" i="33"/>
  <c r="C57" i="33"/>
  <c r="J57" i="33"/>
  <c r="P57" i="33"/>
  <c r="X57" i="33"/>
  <c r="AE57" i="33"/>
  <c r="AK57" i="33"/>
  <c r="D57" i="33"/>
  <c r="L57" i="33"/>
  <c r="S57" i="33"/>
  <c r="Y57" i="33"/>
  <c r="AF57" i="33"/>
  <c r="F57" i="33"/>
  <c r="K57" i="33"/>
  <c r="Q57" i="33"/>
  <c r="W57" i="33"/>
  <c r="AB57" i="33"/>
  <c r="AG57" i="33"/>
  <c r="B57" i="33"/>
  <c r="E57" i="33"/>
  <c r="I57" i="33"/>
  <c r="M57" i="33"/>
  <c r="R57" i="33"/>
  <c r="V57" i="33"/>
  <c r="Z57" i="33"/>
  <c r="AD57" i="33"/>
  <c r="AH57" i="33"/>
  <c r="H47" i="33"/>
  <c r="H48" i="33" s="1"/>
  <c r="H54" i="33" s="1"/>
  <c r="Y46" i="33"/>
  <c r="Y53" i="33" s="1"/>
  <c r="Y47" i="33"/>
  <c r="Y48" i="33" s="1"/>
  <c r="Y54" i="33" s="1"/>
  <c r="AK46" i="33"/>
  <c r="AK53" i="33" s="1"/>
  <c r="AK47" i="33"/>
  <c r="AK48" i="33" s="1"/>
  <c r="AK54" i="33" s="1"/>
  <c r="AG46" i="33"/>
  <c r="AG53" i="33" s="1"/>
  <c r="AC47" i="33"/>
  <c r="AC48" i="33" s="1"/>
  <c r="AC54" i="33" s="1"/>
  <c r="F22" i="33"/>
  <c r="I46" i="33"/>
  <c r="I53" i="33" s="1"/>
  <c r="R46" i="33"/>
  <c r="R53" i="33" s="1"/>
  <c r="Z47" i="33"/>
  <c r="Z48" i="33" s="1"/>
  <c r="Z54" i="33" s="1"/>
  <c r="Z46" i="33"/>
  <c r="Z53" i="33" s="1"/>
  <c r="AD47" i="33"/>
  <c r="AD48" i="33" s="1"/>
  <c r="AD54" i="33" s="1"/>
  <c r="AD46" i="33"/>
  <c r="AD53" i="33" s="1"/>
  <c r="AH47" i="33"/>
  <c r="AH48" i="33" s="1"/>
  <c r="AH54" i="33" s="1"/>
  <c r="AH46" i="33"/>
  <c r="AH53" i="33" s="1"/>
  <c r="F45" i="33"/>
  <c r="G22" i="33"/>
  <c r="G27" i="33"/>
  <c r="G52" i="33" s="1"/>
  <c r="C22" i="33"/>
  <c r="C27" i="33"/>
  <c r="C52" i="33" s="1"/>
  <c r="H27" i="33"/>
  <c r="H52" i="33" s="1"/>
  <c r="H45" i="33"/>
  <c r="U47" i="33" l="1"/>
  <c r="U48" i="33" s="1"/>
  <c r="U54" i="33" s="1"/>
  <c r="J47" i="33"/>
  <c r="J48" i="33" s="1"/>
  <c r="J54" i="33" s="1"/>
  <c r="P46" i="33"/>
  <c r="P53" i="33" s="1"/>
  <c r="S46" i="33"/>
  <c r="S53" i="33" s="1"/>
  <c r="S55" i="33" s="1"/>
  <c r="F47" i="33"/>
  <c r="F48" i="33" s="1"/>
  <c r="F54" i="33" s="1"/>
  <c r="Q47" i="33"/>
  <c r="Q48" i="33" s="1"/>
  <c r="Q54" i="33" s="1"/>
  <c r="T47" i="33"/>
  <c r="T48" i="33" s="1"/>
  <c r="T54" i="33" s="1"/>
  <c r="R47" i="33"/>
  <c r="R48" i="33" s="1"/>
  <c r="R54" i="33" s="1"/>
  <c r="M47" i="33"/>
  <c r="M48" i="33" s="1"/>
  <c r="M54" i="33" s="1"/>
  <c r="U46" i="33"/>
  <c r="U53" i="33" s="1"/>
  <c r="D46" i="33"/>
  <c r="D53" i="33" s="1"/>
  <c r="Q46" i="33"/>
  <c r="Q53" i="33" s="1"/>
  <c r="D47" i="33"/>
  <c r="D48" i="33" s="1"/>
  <c r="D54" i="33" s="1"/>
  <c r="E46" i="33"/>
  <c r="E53" i="33" s="1"/>
  <c r="K47" i="33"/>
  <c r="K48" i="33" s="1"/>
  <c r="K54" i="33" s="1"/>
  <c r="M46" i="33"/>
  <c r="M53" i="33" s="1"/>
  <c r="V46" i="33"/>
  <c r="V53" i="33" s="1"/>
  <c r="E47" i="33"/>
  <c r="E48" i="33" s="1"/>
  <c r="E54" i="33" s="1"/>
  <c r="O46" i="33"/>
  <c r="O53" i="33" s="1"/>
  <c r="O55" i="33" s="1"/>
  <c r="P47" i="33"/>
  <c r="P48" i="33" s="1"/>
  <c r="P54" i="33" s="1"/>
  <c r="G47" i="33"/>
  <c r="G48" i="33" s="1"/>
  <c r="G54" i="33" s="1"/>
  <c r="AD55" i="33"/>
  <c r="V47" i="33"/>
  <c r="V48" i="33" s="1"/>
  <c r="V54" i="33" s="1"/>
  <c r="B46" i="33"/>
  <c r="AK55" i="33"/>
  <c r="O47" i="33"/>
  <c r="O48" i="33" s="1"/>
  <c r="O54" i="33" s="1"/>
  <c r="B47" i="33"/>
  <c r="B48" i="33" s="1"/>
  <c r="B54" i="33" s="1"/>
  <c r="J46" i="33"/>
  <c r="J53" i="33" s="1"/>
  <c r="K46" i="33"/>
  <c r="K53" i="33" s="1"/>
  <c r="L46" i="33"/>
  <c r="L53" i="33" s="1"/>
  <c r="I47" i="33"/>
  <c r="I48" i="33" s="1"/>
  <c r="I54" i="33" s="1"/>
  <c r="L47" i="33"/>
  <c r="L48" i="33" s="1"/>
  <c r="L54" i="33" s="1"/>
  <c r="G46" i="33"/>
  <c r="G53" i="33" s="1"/>
  <c r="Q55" i="33"/>
  <c r="AE55" i="33"/>
  <c r="AH55" i="33"/>
  <c r="AG55" i="33"/>
  <c r="Z55" i="33"/>
  <c r="Y55" i="33"/>
  <c r="U55" i="33"/>
  <c r="AJ55" i="33"/>
  <c r="AF55" i="33"/>
  <c r="X55" i="33"/>
  <c r="W55" i="33"/>
  <c r="AC55" i="33"/>
  <c r="AB55" i="33"/>
  <c r="O59" i="33"/>
  <c r="J59" i="33"/>
  <c r="F59" i="33"/>
  <c r="I59" i="33"/>
  <c r="D59" i="33"/>
  <c r="H59" i="33"/>
  <c r="M59" i="33"/>
  <c r="G59" i="33"/>
  <c r="L59" i="33"/>
  <c r="E59" i="33"/>
  <c r="K59" i="33"/>
  <c r="C59" i="33"/>
  <c r="AI59" i="33"/>
  <c r="AE59" i="33"/>
  <c r="AA59" i="33"/>
  <c r="W59" i="33"/>
  <c r="S59" i="33"/>
  <c r="AK59" i="33"/>
  <c r="AF59" i="33"/>
  <c r="Z59" i="33"/>
  <c r="U59" i="33"/>
  <c r="P59" i="33"/>
  <c r="AJ59" i="33"/>
  <c r="AC59" i="33"/>
  <c r="V59" i="33"/>
  <c r="AH59" i="33"/>
  <c r="AB59" i="33"/>
  <c r="T59" i="33"/>
  <c r="AG59" i="33"/>
  <c r="Y59" i="33"/>
  <c r="R59" i="33"/>
  <c r="AD59" i="33"/>
  <c r="X59" i="33"/>
  <c r="Q59" i="33"/>
  <c r="B53" i="33"/>
  <c r="M55" i="33" s="1"/>
  <c r="AA55" i="33" l="1"/>
  <c r="B64" i="33"/>
  <c r="P55" i="33"/>
  <c r="AI55" i="33"/>
  <c r="V55" i="33"/>
  <c r="B65" i="33"/>
  <c r="T55" i="33"/>
  <c r="R55" i="33"/>
  <c r="R60" i="33"/>
  <c r="R61" i="33" s="1"/>
  <c r="AA60" i="33"/>
  <c r="AA61" i="33" s="1"/>
  <c r="F60" i="33"/>
  <c r="F61" i="33" s="1"/>
  <c r="Y60" i="33"/>
  <c r="Y61" i="33" s="1"/>
  <c r="AE60" i="33"/>
  <c r="AE61" i="33" s="1"/>
  <c r="J60" i="33"/>
  <c r="J61" i="33" s="1"/>
  <c r="Z60" i="33"/>
  <c r="Z61" i="33" s="1"/>
  <c r="AJ60" i="33"/>
  <c r="AJ61" i="33" s="1"/>
  <c r="P60" i="33"/>
  <c r="P61" i="33" s="1"/>
  <c r="AG60" i="33"/>
  <c r="AG61" i="33" s="1"/>
  <c r="AI60" i="33"/>
  <c r="AI61" i="33" s="1"/>
  <c r="T60" i="33"/>
  <c r="T61" i="33" s="1"/>
  <c r="G60" i="33"/>
  <c r="G61" i="33" s="1"/>
  <c r="AB60" i="33"/>
  <c r="AB61" i="33" s="1"/>
  <c r="AF60" i="33"/>
  <c r="AF61" i="33" s="1"/>
  <c r="M60" i="33"/>
  <c r="M61" i="33" s="1"/>
  <c r="I60" i="33"/>
  <c r="I61" i="33" s="1"/>
  <c r="AH60" i="33"/>
  <c r="AH61" i="33" s="1"/>
  <c r="O60" i="33"/>
  <c r="O61" i="33" s="1"/>
  <c r="C60" i="33"/>
  <c r="C61" i="33" s="1"/>
  <c r="AK60" i="33"/>
  <c r="AK61" i="33" s="1"/>
  <c r="X60" i="33"/>
  <c r="X61" i="33" s="1"/>
  <c r="AD60" i="33"/>
  <c r="AD61" i="33" s="1"/>
  <c r="AC60" i="33"/>
  <c r="AC61" i="33" s="1"/>
  <c r="W60" i="33"/>
  <c r="W61" i="33" s="1"/>
  <c r="H60" i="33"/>
  <c r="H61" i="33" s="1"/>
  <c r="D55" i="33"/>
  <c r="B55" i="33"/>
  <c r="K55" i="33"/>
  <c r="L55" i="33"/>
  <c r="G55" i="33"/>
  <c r="F55" i="33"/>
  <c r="C55" i="33"/>
  <c r="J55" i="33"/>
  <c r="H55" i="33"/>
  <c r="I55" i="33"/>
  <c r="E55" i="33"/>
  <c r="K60" i="33"/>
  <c r="Q60" i="33"/>
  <c r="D60" i="33"/>
  <c r="S60" i="33"/>
  <c r="L60" i="33"/>
  <c r="U60" i="33"/>
  <c r="E60" i="33"/>
  <c r="V60" i="33"/>
  <c r="V61" i="33" l="1"/>
  <c r="E61" i="33"/>
  <c r="U61" i="33"/>
  <c r="L61" i="33"/>
  <c r="S61" i="33"/>
  <c r="D61" i="33"/>
  <c r="Q61" i="33"/>
  <c r="K61" i="33"/>
  <c r="M4" i="33"/>
  <c r="L4" i="33" l="1"/>
  <c r="L22" i="33" s="1"/>
  <c r="K4" i="33"/>
  <c r="K22" i="33" s="1"/>
  <c r="J4" i="33"/>
  <c r="J52" i="33" s="1"/>
  <c r="M45" i="33"/>
  <c r="M52" i="33"/>
  <c r="M27" i="33"/>
  <c r="M22" i="33"/>
  <c r="K45" i="33" l="1"/>
  <c r="K52" i="33"/>
  <c r="K27" i="33"/>
  <c r="O4" i="33"/>
  <c r="O4" i="23"/>
  <c r="O4" i="1"/>
  <c r="Q4" i="1"/>
  <c r="Q4" i="33"/>
  <c r="Q4" i="23"/>
  <c r="P4" i="33"/>
  <c r="P4" i="23"/>
  <c r="P4" i="1"/>
  <c r="J22" i="33"/>
  <c r="L52" i="33"/>
  <c r="J45" i="33"/>
  <c r="L27" i="33"/>
  <c r="J27" i="33"/>
  <c r="L45" i="33"/>
  <c r="Q22" i="33" l="1"/>
  <c r="Q45" i="33"/>
  <c r="Q27" i="33"/>
  <c r="Q52" i="33" s="1"/>
  <c r="O27" i="33"/>
  <c r="O52" i="33" s="1"/>
  <c r="O22" i="33"/>
  <c r="O45" i="33"/>
  <c r="P22" i="33"/>
  <c r="P45" i="33"/>
  <c r="P27" i="33"/>
  <c r="P52" i="33" s="1"/>
  <c r="P22" i="1" l="1"/>
  <c r="Q45" i="1"/>
  <c r="W28" i="23"/>
  <c r="AM22" i="4" s="1"/>
  <c r="X28" i="23"/>
  <c r="Y28" i="23"/>
  <c r="Z28" i="23"/>
  <c r="AA28" i="23"/>
  <c r="AB28" i="23"/>
  <c r="AC28" i="23"/>
  <c r="AD28" i="23"/>
  <c r="AE28" i="23"/>
  <c r="AF28" i="23"/>
  <c r="AG28" i="23"/>
  <c r="AH28" i="23"/>
  <c r="AI28" i="23"/>
  <c r="AJ28" i="23"/>
  <c r="AK28" i="23"/>
  <c r="W29" i="23"/>
  <c r="AM23" i="4" s="1"/>
  <c r="X29" i="23"/>
  <c r="AN23" i="4" s="1"/>
  <c r="Y29" i="23"/>
  <c r="AO23" i="4" s="1"/>
  <c r="Z29" i="23"/>
  <c r="AP23" i="4" s="1"/>
  <c r="AA29" i="23"/>
  <c r="AB29" i="23"/>
  <c r="AC29" i="23"/>
  <c r="AS23" i="4" s="1"/>
  <c r="AD29" i="23"/>
  <c r="AT23" i="4" s="1"/>
  <c r="AE29" i="23"/>
  <c r="AU23" i="4" s="1"/>
  <c r="AF29" i="23"/>
  <c r="AV23" i="4" s="1"/>
  <c r="AG29" i="23"/>
  <c r="AW23" i="4" s="1"/>
  <c r="AH29" i="23"/>
  <c r="AX23" i="4" s="1"/>
  <c r="AI29" i="23"/>
  <c r="AY23" i="4" s="1"/>
  <c r="AJ29" i="23"/>
  <c r="AZ23" i="4" s="1"/>
  <c r="AK29" i="23"/>
  <c r="BA23" i="4" s="1"/>
  <c r="W30" i="23"/>
  <c r="AM24" i="4" s="1"/>
  <c r="X30" i="23"/>
  <c r="Y30" i="23"/>
  <c r="AO24" i="4" s="1"/>
  <c r="Z30" i="23"/>
  <c r="AP24" i="4" s="1"/>
  <c r="AA30" i="23"/>
  <c r="AQ24" i="4" s="1"/>
  <c r="AB30" i="23"/>
  <c r="AR24" i="4" s="1"/>
  <c r="AC30" i="23"/>
  <c r="AS24" i="4" s="1"/>
  <c r="AD30" i="23"/>
  <c r="AT24" i="4" s="1"/>
  <c r="AE30" i="23"/>
  <c r="AU24" i="4" s="1"/>
  <c r="AF30" i="23"/>
  <c r="AV24" i="4" s="1"/>
  <c r="AG30" i="23"/>
  <c r="AW24" i="4" s="1"/>
  <c r="AH30" i="23"/>
  <c r="AX24" i="4" s="1"/>
  <c r="AI30" i="23"/>
  <c r="AY24" i="4" s="1"/>
  <c r="AJ30" i="23"/>
  <c r="AZ24" i="4" s="1"/>
  <c r="AK30" i="23"/>
  <c r="BA24" i="4" s="1"/>
  <c r="W31" i="23"/>
  <c r="AM25" i="4" s="1"/>
  <c r="X31" i="23"/>
  <c r="AN25" i="4" s="1"/>
  <c r="Y31" i="23"/>
  <c r="AO25" i="4" s="1"/>
  <c r="Z31" i="23"/>
  <c r="AA31" i="23"/>
  <c r="AQ25" i="4" s="1"/>
  <c r="AB31" i="23"/>
  <c r="AR25" i="4" s="1"/>
  <c r="AC31" i="23"/>
  <c r="AS25" i="4" s="1"/>
  <c r="AD31" i="23"/>
  <c r="AT25" i="4" s="1"/>
  <c r="AE31" i="23"/>
  <c r="AU25" i="4" s="1"/>
  <c r="AF31" i="23"/>
  <c r="AV25" i="4" s="1"/>
  <c r="AG31" i="23"/>
  <c r="AW25" i="4" s="1"/>
  <c r="AH31" i="23"/>
  <c r="AX25" i="4" s="1"/>
  <c r="AI31" i="23"/>
  <c r="AY25" i="4" s="1"/>
  <c r="AJ31" i="23"/>
  <c r="AZ25" i="4" s="1"/>
  <c r="AK31" i="23"/>
  <c r="BA25" i="4" s="1"/>
  <c r="W32" i="23"/>
  <c r="AM26" i="4" s="1"/>
  <c r="X32" i="23"/>
  <c r="Y32" i="23"/>
  <c r="AO26" i="4" s="1"/>
  <c r="Z32" i="23"/>
  <c r="AP26" i="4" s="1"/>
  <c r="AA32" i="23"/>
  <c r="AQ26" i="4" s="1"/>
  <c r="AB32" i="23"/>
  <c r="AR26" i="4" s="1"/>
  <c r="AC32" i="23"/>
  <c r="AS26" i="4" s="1"/>
  <c r="AD32" i="23"/>
  <c r="AT26" i="4" s="1"/>
  <c r="AE32" i="23"/>
  <c r="AU26" i="4" s="1"/>
  <c r="AF32" i="23"/>
  <c r="AV26" i="4" s="1"/>
  <c r="AG32" i="23"/>
  <c r="AW26" i="4" s="1"/>
  <c r="AH32" i="23"/>
  <c r="AX26" i="4" s="1"/>
  <c r="AI32" i="23"/>
  <c r="AY26" i="4" s="1"/>
  <c r="AJ32" i="23"/>
  <c r="AZ26" i="4" s="1"/>
  <c r="AK32" i="23"/>
  <c r="BA26" i="4" s="1"/>
  <c r="W33" i="23"/>
  <c r="AM27" i="4" s="1"/>
  <c r="X33" i="23"/>
  <c r="Y33" i="23"/>
  <c r="Z33" i="23"/>
  <c r="AP27" i="4" s="1"/>
  <c r="AA33" i="23"/>
  <c r="AQ27" i="4" s="1"/>
  <c r="AB33" i="23"/>
  <c r="AC33" i="23"/>
  <c r="AS27" i="4" s="1"/>
  <c r="AD33" i="23"/>
  <c r="AT27" i="4" s="1"/>
  <c r="AE33" i="23"/>
  <c r="AU27" i="4" s="1"/>
  <c r="AF33" i="23"/>
  <c r="AV27" i="4" s="1"/>
  <c r="AG33" i="23"/>
  <c r="AW27" i="4" s="1"/>
  <c r="AH33" i="23"/>
  <c r="AX27" i="4" s="1"/>
  <c r="AI33" i="23"/>
  <c r="AY27" i="4" s="1"/>
  <c r="AJ33" i="23"/>
  <c r="AZ27" i="4" s="1"/>
  <c r="AK33" i="23"/>
  <c r="BA27" i="4" s="1"/>
  <c r="W34" i="23"/>
  <c r="AM28" i="4" s="1"/>
  <c r="X34" i="23"/>
  <c r="AN28" i="4" s="1"/>
  <c r="Y34" i="23"/>
  <c r="AO28" i="4" s="1"/>
  <c r="Z34" i="23"/>
  <c r="AP28" i="4" s="1"/>
  <c r="AA34" i="23"/>
  <c r="AQ28" i="4" s="1"/>
  <c r="AB34" i="23"/>
  <c r="AR28" i="4" s="1"/>
  <c r="AC34" i="23"/>
  <c r="AS28" i="4" s="1"/>
  <c r="AD34" i="23"/>
  <c r="AT28" i="4" s="1"/>
  <c r="AE34" i="23"/>
  <c r="AU28" i="4" s="1"/>
  <c r="AF34" i="23"/>
  <c r="AV28" i="4" s="1"/>
  <c r="AG34" i="23"/>
  <c r="AW28" i="4" s="1"/>
  <c r="AH34" i="23"/>
  <c r="AX28" i="4" s="1"/>
  <c r="AI34" i="23"/>
  <c r="AY28" i="4" s="1"/>
  <c r="AJ34" i="23"/>
  <c r="AZ28" i="4" s="1"/>
  <c r="AK34" i="23"/>
  <c r="BA28" i="4" s="1"/>
  <c r="W35" i="23"/>
  <c r="AM29" i="4" s="1"/>
  <c r="X35" i="23"/>
  <c r="AN29" i="4" s="1"/>
  <c r="Y35" i="23"/>
  <c r="AO29" i="4" s="1"/>
  <c r="Z35" i="23"/>
  <c r="AP29" i="4" s="1"/>
  <c r="AA35" i="23"/>
  <c r="AQ29" i="4" s="1"/>
  <c r="AB35" i="23"/>
  <c r="AR29" i="4" s="1"/>
  <c r="AC35" i="23"/>
  <c r="AS29" i="4" s="1"/>
  <c r="AD35" i="23"/>
  <c r="AT29" i="4" s="1"/>
  <c r="AE35" i="23"/>
  <c r="AU29" i="4" s="1"/>
  <c r="AF35" i="23"/>
  <c r="AV29" i="4" s="1"/>
  <c r="AG35" i="23"/>
  <c r="AW29" i="4" s="1"/>
  <c r="AH35" i="23"/>
  <c r="AX29" i="4" s="1"/>
  <c r="AI35" i="23"/>
  <c r="AY29" i="4" s="1"/>
  <c r="AJ35" i="23"/>
  <c r="AZ29" i="4" s="1"/>
  <c r="AK35" i="23"/>
  <c r="BA29" i="4" s="1"/>
  <c r="P36" i="23"/>
  <c r="AF30" i="4" s="1"/>
  <c r="Q36" i="23"/>
  <c r="AG30" i="4" s="1"/>
  <c r="R36" i="23"/>
  <c r="AH30" i="4" s="1"/>
  <c r="S36" i="23"/>
  <c r="AI30" i="4" s="1"/>
  <c r="T36" i="23"/>
  <c r="AJ30" i="4" s="1"/>
  <c r="U36" i="23"/>
  <c r="AK30" i="4" s="1"/>
  <c r="V36" i="23"/>
  <c r="AL30" i="4" s="1"/>
  <c r="W36" i="23"/>
  <c r="AM30" i="4" s="1"/>
  <c r="X36" i="23"/>
  <c r="AN30" i="4" s="1"/>
  <c r="Y36" i="23"/>
  <c r="AO30" i="4" s="1"/>
  <c r="Z36" i="23"/>
  <c r="AP30" i="4" s="1"/>
  <c r="AA36" i="23"/>
  <c r="AQ30" i="4" s="1"/>
  <c r="AB36" i="23"/>
  <c r="AR30" i="4" s="1"/>
  <c r="AC36" i="23"/>
  <c r="AS30" i="4" s="1"/>
  <c r="AD36" i="23"/>
  <c r="AT30" i="4" s="1"/>
  <c r="AE36" i="23"/>
  <c r="AU30" i="4" s="1"/>
  <c r="AF36" i="23"/>
  <c r="AV30" i="4" s="1"/>
  <c r="AG36" i="23"/>
  <c r="AW30" i="4" s="1"/>
  <c r="AH36" i="23"/>
  <c r="AI36" i="23"/>
  <c r="AY30" i="4" s="1"/>
  <c r="AJ36" i="23"/>
  <c r="AZ30" i="4" s="1"/>
  <c r="AK36" i="23"/>
  <c r="BA30" i="4" s="1"/>
  <c r="P37" i="23"/>
  <c r="AF31" i="4" s="1"/>
  <c r="Q37" i="23"/>
  <c r="AG31" i="4" s="1"/>
  <c r="R37" i="23"/>
  <c r="AH31" i="4" s="1"/>
  <c r="S37" i="23"/>
  <c r="AI31" i="4" s="1"/>
  <c r="T37" i="23"/>
  <c r="AJ31" i="4" s="1"/>
  <c r="U37" i="23"/>
  <c r="AK31" i="4" s="1"/>
  <c r="V37" i="23"/>
  <c r="AL31" i="4" s="1"/>
  <c r="W37" i="23"/>
  <c r="AM31" i="4" s="1"/>
  <c r="X37" i="23"/>
  <c r="AN31" i="4" s="1"/>
  <c r="Y37" i="23"/>
  <c r="AO31" i="4" s="1"/>
  <c r="Z37" i="23"/>
  <c r="AP31" i="4" s="1"/>
  <c r="AA37" i="23"/>
  <c r="AQ31" i="4" s="1"/>
  <c r="AB37" i="23"/>
  <c r="AR31" i="4" s="1"/>
  <c r="AC37" i="23"/>
  <c r="AS31" i="4" s="1"/>
  <c r="AD37" i="23"/>
  <c r="AT31" i="4" s="1"/>
  <c r="AE37" i="23"/>
  <c r="AU31" i="4" s="1"/>
  <c r="AF37" i="23"/>
  <c r="AV31" i="4" s="1"/>
  <c r="AG37" i="23"/>
  <c r="AW31" i="4" s="1"/>
  <c r="AH37" i="23"/>
  <c r="AX31" i="4" s="1"/>
  <c r="AI37" i="23"/>
  <c r="AY31" i="4" s="1"/>
  <c r="AJ37" i="23"/>
  <c r="AZ31" i="4" s="1"/>
  <c r="AK37" i="23"/>
  <c r="BA31" i="4" s="1"/>
  <c r="P38" i="23"/>
  <c r="AF32" i="4" s="1"/>
  <c r="Q38" i="23"/>
  <c r="AG32" i="4" s="1"/>
  <c r="R38" i="23"/>
  <c r="AH32" i="4" s="1"/>
  <c r="S38" i="23"/>
  <c r="AI32" i="4" s="1"/>
  <c r="T38" i="23"/>
  <c r="AJ32" i="4" s="1"/>
  <c r="U38" i="23"/>
  <c r="AK32" i="4" s="1"/>
  <c r="V38" i="23"/>
  <c r="AL32" i="4" s="1"/>
  <c r="W38" i="23"/>
  <c r="X38" i="23"/>
  <c r="AN32" i="4" s="1"/>
  <c r="Y38" i="23"/>
  <c r="AO32" i="4" s="1"/>
  <c r="Z38" i="23"/>
  <c r="AP32" i="4" s="1"/>
  <c r="AA38" i="23"/>
  <c r="AQ32" i="4" s="1"/>
  <c r="AB38" i="23"/>
  <c r="AR32" i="4" s="1"/>
  <c r="AC38" i="23"/>
  <c r="AS32" i="4" s="1"/>
  <c r="AD38" i="23"/>
  <c r="AT32" i="4" s="1"/>
  <c r="AE38" i="23"/>
  <c r="AU32" i="4" s="1"/>
  <c r="AF38" i="23"/>
  <c r="AV32" i="4" s="1"/>
  <c r="AG38" i="23"/>
  <c r="AW32" i="4" s="1"/>
  <c r="AH38" i="23"/>
  <c r="AX32" i="4" s="1"/>
  <c r="AI38" i="23"/>
  <c r="AY32" i="4" s="1"/>
  <c r="AJ38" i="23"/>
  <c r="AZ32" i="4" s="1"/>
  <c r="AK38" i="23"/>
  <c r="BA32" i="4" s="1"/>
  <c r="P39" i="23"/>
  <c r="AF33" i="4" s="1"/>
  <c r="Q39" i="23"/>
  <c r="AG33" i="4" s="1"/>
  <c r="R39" i="23"/>
  <c r="AH33" i="4" s="1"/>
  <c r="S39" i="23"/>
  <c r="AI33" i="4" s="1"/>
  <c r="T39" i="23"/>
  <c r="AJ33" i="4" s="1"/>
  <c r="U39" i="23"/>
  <c r="AK33" i="4" s="1"/>
  <c r="V39" i="23"/>
  <c r="AL33" i="4" s="1"/>
  <c r="W39" i="23"/>
  <c r="AM33" i="4" s="1"/>
  <c r="X39" i="23"/>
  <c r="AN33" i="4" s="1"/>
  <c r="Y39" i="23"/>
  <c r="AO33" i="4" s="1"/>
  <c r="Z39" i="23"/>
  <c r="AP33" i="4" s="1"/>
  <c r="AA39" i="23"/>
  <c r="AB39" i="23"/>
  <c r="AR33" i="4" s="1"/>
  <c r="AC39" i="23"/>
  <c r="AS33" i="4" s="1"/>
  <c r="AD39" i="23"/>
  <c r="AT33" i="4" s="1"/>
  <c r="AE39" i="23"/>
  <c r="AU33" i="4" s="1"/>
  <c r="AF39" i="23"/>
  <c r="AV33" i="4" s="1"/>
  <c r="AG39" i="23"/>
  <c r="AW33" i="4" s="1"/>
  <c r="AH39" i="23"/>
  <c r="AX33" i="4" s="1"/>
  <c r="AI39" i="23"/>
  <c r="AY33" i="4" s="1"/>
  <c r="AJ39" i="23"/>
  <c r="AZ33" i="4" s="1"/>
  <c r="AK39" i="23"/>
  <c r="BA33" i="4" s="1"/>
  <c r="P40" i="23"/>
  <c r="AF34" i="4" s="1"/>
  <c r="Q40" i="23"/>
  <c r="AG34" i="4" s="1"/>
  <c r="R40" i="23"/>
  <c r="AH34" i="4" s="1"/>
  <c r="S40" i="23"/>
  <c r="AI34" i="4" s="1"/>
  <c r="T40" i="23"/>
  <c r="U40" i="23"/>
  <c r="AK34" i="4" s="1"/>
  <c r="V40" i="23"/>
  <c r="AL34" i="4" s="1"/>
  <c r="W40" i="23"/>
  <c r="AM34" i="4" s="1"/>
  <c r="X40" i="23"/>
  <c r="AN34" i="4" s="1"/>
  <c r="Y40" i="23"/>
  <c r="AO34" i="4" s="1"/>
  <c r="Z40" i="23"/>
  <c r="AP34" i="4" s="1"/>
  <c r="AA40" i="23"/>
  <c r="AQ34" i="4" s="1"/>
  <c r="AB40" i="23"/>
  <c r="AC40" i="23"/>
  <c r="AS34" i="4" s="1"/>
  <c r="AD40" i="23"/>
  <c r="AT34" i="4" s="1"/>
  <c r="AE40" i="23"/>
  <c r="AU34" i="4" s="1"/>
  <c r="AF40" i="23"/>
  <c r="AV34" i="4" s="1"/>
  <c r="AG40" i="23"/>
  <c r="AW34" i="4" s="1"/>
  <c r="AH40" i="23"/>
  <c r="AX34" i="4" s="1"/>
  <c r="AI40" i="23"/>
  <c r="AY34" i="4" s="1"/>
  <c r="AJ40" i="23"/>
  <c r="AZ34" i="4" s="1"/>
  <c r="AK40" i="23"/>
  <c r="BA34" i="4" s="1"/>
  <c r="P41" i="23"/>
  <c r="AF35" i="4" s="1"/>
  <c r="Q41" i="23"/>
  <c r="AG35" i="4" s="1"/>
  <c r="R41" i="23"/>
  <c r="AH35" i="4" s="1"/>
  <c r="S41" i="23"/>
  <c r="AI35" i="4" s="1"/>
  <c r="T41" i="23"/>
  <c r="AJ35" i="4" s="1"/>
  <c r="U41" i="23"/>
  <c r="AK35" i="4" s="1"/>
  <c r="V41" i="23"/>
  <c r="W41" i="23"/>
  <c r="AM35" i="4" s="1"/>
  <c r="X41" i="23"/>
  <c r="AN35" i="4" s="1"/>
  <c r="Y41" i="23"/>
  <c r="AO35" i="4" s="1"/>
  <c r="Z41" i="23"/>
  <c r="AP35" i="4" s="1"/>
  <c r="AA41" i="23"/>
  <c r="AQ35" i="4" s="1"/>
  <c r="AB41" i="23"/>
  <c r="AR35" i="4" s="1"/>
  <c r="AC41" i="23"/>
  <c r="AS35" i="4" s="1"/>
  <c r="AD41" i="23"/>
  <c r="AE41" i="23"/>
  <c r="AU35" i="4" s="1"/>
  <c r="AF41" i="23"/>
  <c r="AV35" i="4" s="1"/>
  <c r="AG41" i="23"/>
  <c r="AW35" i="4" s="1"/>
  <c r="AH41" i="23"/>
  <c r="AX35" i="4" s="1"/>
  <c r="AI41" i="23"/>
  <c r="AY35" i="4" s="1"/>
  <c r="AJ41" i="23"/>
  <c r="AZ35" i="4" s="1"/>
  <c r="AK41" i="23"/>
  <c r="BA35" i="4" s="1"/>
  <c r="P42" i="23"/>
  <c r="AF36" i="4" s="1"/>
  <c r="Q42" i="23"/>
  <c r="AG36" i="4" s="1"/>
  <c r="R42" i="23"/>
  <c r="AH36" i="4" s="1"/>
  <c r="S42" i="23"/>
  <c r="AI36" i="4" s="1"/>
  <c r="T42" i="23"/>
  <c r="AJ36" i="4" s="1"/>
  <c r="U42" i="23"/>
  <c r="AK36" i="4" s="1"/>
  <c r="V42" i="23"/>
  <c r="AL36" i="4" s="1"/>
  <c r="W42" i="23"/>
  <c r="AM36" i="4" s="1"/>
  <c r="X42" i="23"/>
  <c r="AN36" i="4" s="1"/>
  <c r="Y42" i="23"/>
  <c r="AO36" i="4" s="1"/>
  <c r="Z42" i="23"/>
  <c r="AP36" i="4" s="1"/>
  <c r="AA42" i="23"/>
  <c r="AQ36" i="4" s="1"/>
  <c r="AB42" i="23"/>
  <c r="AR36" i="4" s="1"/>
  <c r="AC42" i="23"/>
  <c r="AS36" i="4" s="1"/>
  <c r="AD42" i="23"/>
  <c r="AT36" i="4" s="1"/>
  <c r="AE42" i="23"/>
  <c r="AU36" i="4" s="1"/>
  <c r="AF42" i="23"/>
  <c r="AV36" i="4" s="1"/>
  <c r="AG42" i="23"/>
  <c r="AW36" i="4" s="1"/>
  <c r="AH42" i="23"/>
  <c r="AX36" i="4" s="1"/>
  <c r="AI42" i="23"/>
  <c r="AY36" i="4" s="1"/>
  <c r="AJ42" i="23"/>
  <c r="AZ36" i="4" s="1"/>
  <c r="AK42" i="23"/>
  <c r="BA36" i="4" s="1"/>
  <c r="P43" i="23"/>
  <c r="Q43" i="23"/>
  <c r="R43" i="23"/>
  <c r="S43" i="23"/>
  <c r="T43" i="23"/>
  <c r="U43" i="23"/>
  <c r="AK37" i="4" s="1"/>
  <c r="V43" i="23"/>
  <c r="W43" i="23"/>
  <c r="X43" i="23"/>
  <c r="Y43" i="23"/>
  <c r="AO37" i="4" s="1"/>
  <c r="Z43" i="23"/>
  <c r="AA43" i="23"/>
  <c r="AB43" i="23"/>
  <c r="AC43" i="23"/>
  <c r="AS37" i="4" s="1"/>
  <c r="AD43" i="23"/>
  <c r="AE43" i="23"/>
  <c r="AF43" i="23"/>
  <c r="AG43" i="23"/>
  <c r="AH43" i="23"/>
  <c r="AI43" i="23"/>
  <c r="AJ43" i="23"/>
  <c r="AK43" i="23"/>
  <c r="N23" i="4"/>
  <c r="O23" i="4"/>
  <c r="P23" i="4"/>
  <c r="Q23" i="4"/>
  <c r="R23" i="4"/>
  <c r="S23" i="4"/>
  <c r="T23" i="4"/>
  <c r="U23" i="4"/>
  <c r="V23" i="4"/>
  <c r="W23" i="4"/>
  <c r="X23" i="4"/>
  <c r="Y23" i="4"/>
  <c r="Z23" i="4"/>
  <c r="AA23" i="4"/>
  <c r="AB23" i="4"/>
  <c r="AC23" i="4"/>
  <c r="N24" i="4"/>
  <c r="O24" i="4"/>
  <c r="Q24" i="4"/>
  <c r="R24" i="4"/>
  <c r="S24" i="4"/>
  <c r="T24" i="4"/>
  <c r="U24" i="4"/>
  <c r="V24" i="4"/>
  <c r="W24" i="4"/>
  <c r="X24" i="4"/>
  <c r="Y24" i="4"/>
  <c r="Z24" i="4"/>
  <c r="AA24" i="4"/>
  <c r="AB24" i="4"/>
  <c r="AC24" i="4"/>
  <c r="N25" i="4"/>
  <c r="O25" i="4"/>
  <c r="P25" i="4"/>
  <c r="Q25" i="4"/>
  <c r="R25" i="4"/>
  <c r="S25" i="4"/>
  <c r="U25" i="4"/>
  <c r="V25" i="4"/>
  <c r="W25" i="4"/>
  <c r="X25" i="4"/>
  <c r="Y25" i="4"/>
  <c r="Z25" i="4"/>
  <c r="AB25" i="4"/>
  <c r="AC25" i="4"/>
  <c r="N26" i="4"/>
  <c r="O26" i="4"/>
  <c r="P26" i="4"/>
  <c r="Q26" i="4"/>
  <c r="R26" i="4"/>
  <c r="S26" i="4"/>
  <c r="T26" i="4"/>
  <c r="U26" i="4"/>
  <c r="V26" i="4"/>
  <c r="W26" i="4"/>
  <c r="X26" i="4"/>
  <c r="Y26" i="4"/>
  <c r="Z26" i="4"/>
  <c r="AA26" i="4"/>
  <c r="AB26" i="4"/>
  <c r="AC26" i="4"/>
  <c r="N27" i="4"/>
  <c r="O27" i="4"/>
  <c r="P27" i="4"/>
  <c r="Q27" i="4"/>
  <c r="R27" i="4"/>
  <c r="S27" i="4"/>
  <c r="T27" i="4"/>
  <c r="U27" i="4"/>
  <c r="V27" i="4"/>
  <c r="W27" i="4"/>
  <c r="X27" i="4"/>
  <c r="Y27" i="4"/>
  <c r="Z27" i="4"/>
  <c r="AA27" i="4"/>
  <c r="AB27" i="4"/>
  <c r="AC27" i="4"/>
  <c r="N28" i="4"/>
  <c r="O28" i="4"/>
  <c r="P28" i="4"/>
  <c r="Q28" i="4"/>
  <c r="R28" i="4"/>
  <c r="S28" i="4"/>
  <c r="T28" i="4"/>
  <c r="U28" i="4"/>
  <c r="V28" i="4"/>
  <c r="W28" i="4"/>
  <c r="X28" i="4"/>
  <c r="Y28" i="4"/>
  <c r="Z28" i="4"/>
  <c r="AA28" i="4"/>
  <c r="AB28" i="4"/>
  <c r="AC28" i="4"/>
  <c r="N29" i="4"/>
  <c r="O29" i="4"/>
  <c r="P29" i="4"/>
  <c r="Q29" i="4"/>
  <c r="R29" i="4"/>
  <c r="S29" i="4"/>
  <c r="T29" i="4"/>
  <c r="U29" i="4"/>
  <c r="V29" i="4"/>
  <c r="W29" i="4"/>
  <c r="X29" i="4"/>
  <c r="Y29" i="4"/>
  <c r="Z29" i="4"/>
  <c r="AA29" i="4"/>
  <c r="AB29" i="4"/>
  <c r="AC29" i="4"/>
  <c r="K36" i="23"/>
  <c r="K30" i="4" s="1"/>
  <c r="L36" i="23"/>
  <c r="L30" i="4" s="1"/>
  <c r="M36" i="23"/>
  <c r="M30" i="4" s="1"/>
  <c r="N30" i="4"/>
  <c r="O30" i="4"/>
  <c r="P30" i="4"/>
  <c r="Q30" i="4"/>
  <c r="R30" i="4"/>
  <c r="S30" i="4"/>
  <c r="T30" i="4"/>
  <c r="U30" i="4"/>
  <c r="V30" i="4"/>
  <c r="W30" i="4"/>
  <c r="X30" i="4"/>
  <c r="Y30" i="4"/>
  <c r="Z30" i="4"/>
  <c r="AA30" i="4"/>
  <c r="AB30" i="4"/>
  <c r="AC30" i="4"/>
  <c r="K37" i="23"/>
  <c r="K31" i="4" s="1"/>
  <c r="L37" i="23"/>
  <c r="L31" i="4" s="1"/>
  <c r="M37" i="23"/>
  <c r="M31" i="4" s="1"/>
  <c r="N31" i="4"/>
  <c r="O31" i="4"/>
  <c r="P31" i="4"/>
  <c r="Q31" i="4"/>
  <c r="R31" i="4"/>
  <c r="S31" i="4"/>
  <c r="T31" i="4"/>
  <c r="U31" i="4"/>
  <c r="V31" i="4"/>
  <c r="W31" i="4"/>
  <c r="X31" i="4"/>
  <c r="Y31" i="4"/>
  <c r="Z31" i="4"/>
  <c r="AA31" i="4"/>
  <c r="AB31" i="4"/>
  <c r="AC31" i="4"/>
  <c r="K38" i="23"/>
  <c r="K32" i="4" s="1"/>
  <c r="L38" i="23"/>
  <c r="L32" i="4" s="1"/>
  <c r="M38" i="23"/>
  <c r="M32" i="4" s="1"/>
  <c r="N32" i="4"/>
  <c r="O32" i="4"/>
  <c r="P32" i="4"/>
  <c r="Q32" i="4"/>
  <c r="R32" i="4"/>
  <c r="S32" i="4"/>
  <c r="T32" i="4"/>
  <c r="U32" i="4"/>
  <c r="V32" i="4"/>
  <c r="W32" i="4"/>
  <c r="X32" i="4"/>
  <c r="Y32" i="4"/>
  <c r="Z32" i="4"/>
  <c r="AA32" i="4"/>
  <c r="AB32" i="4"/>
  <c r="AC32" i="4"/>
  <c r="K39" i="23"/>
  <c r="K33" i="4" s="1"/>
  <c r="L39" i="23"/>
  <c r="L33" i="4" s="1"/>
  <c r="M39" i="23"/>
  <c r="M33" i="4" s="1"/>
  <c r="N33" i="4"/>
  <c r="O33" i="4"/>
  <c r="P33" i="4"/>
  <c r="Q33" i="4"/>
  <c r="R33" i="4"/>
  <c r="S33" i="4"/>
  <c r="T33" i="4"/>
  <c r="U33" i="4"/>
  <c r="V33" i="4"/>
  <c r="W33" i="4"/>
  <c r="X33" i="4"/>
  <c r="Y33" i="4"/>
  <c r="Z33" i="4"/>
  <c r="AA33" i="4"/>
  <c r="AB33" i="4"/>
  <c r="AC33" i="4"/>
  <c r="K40" i="23"/>
  <c r="K34" i="4" s="1"/>
  <c r="L40" i="23"/>
  <c r="L34" i="4" s="1"/>
  <c r="M40" i="23"/>
  <c r="M34" i="4" s="1"/>
  <c r="N34" i="4"/>
  <c r="O34" i="4"/>
  <c r="P34" i="4"/>
  <c r="Q34" i="4"/>
  <c r="R34" i="4"/>
  <c r="S34" i="4"/>
  <c r="T34" i="4"/>
  <c r="U34" i="4"/>
  <c r="V34" i="4"/>
  <c r="W34" i="4"/>
  <c r="X34" i="4"/>
  <c r="Y34" i="4"/>
  <c r="Z34" i="4"/>
  <c r="AA34" i="4"/>
  <c r="AB34" i="4"/>
  <c r="AC34" i="4"/>
  <c r="K41" i="23"/>
  <c r="K35" i="4" s="1"/>
  <c r="L41" i="23"/>
  <c r="L35" i="4" s="1"/>
  <c r="M41" i="23"/>
  <c r="M35" i="4" s="1"/>
  <c r="N35" i="4"/>
  <c r="O35" i="4"/>
  <c r="P35" i="4"/>
  <c r="Q35" i="4"/>
  <c r="R35" i="4"/>
  <c r="S35" i="4"/>
  <c r="T35" i="4"/>
  <c r="U35" i="4"/>
  <c r="V35" i="4"/>
  <c r="W35" i="4"/>
  <c r="X35" i="4"/>
  <c r="Y35" i="4"/>
  <c r="Z35" i="4"/>
  <c r="AA35" i="4"/>
  <c r="AB35" i="4"/>
  <c r="AC35" i="4"/>
  <c r="K42" i="23"/>
  <c r="K36" i="4" s="1"/>
  <c r="L42" i="23"/>
  <c r="L36" i="4" s="1"/>
  <c r="M42" i="23"/>
  <c r="M36" i="4" s="1"/>
  <c r="N36" i="4"/>
  <c r="O36" i="4"/>
  <c r="P36" i="4"/>
  <c r="Q36" i="4"/>
  <c r="R36" i="4"/>
  <c r="S36" i="4"/>
  <c r="T36" i="4"/>
  <c r="U36" i="4"/>
  <c r="V36" i="4"/>
  <c r="W36" i="4"/>
  <c r="X36" i="4"/>
  <c r="Y36" i="4"/>
  <c r="Z36" i="4"/>
  <c r="AA36" i="4"/>
  <c r="AB36" i="4"/>
  <c r="AC36" i="4"/>
  <c r="K43" i="23"/>
  <c r="L43" i="23"/>
  <c r="M43" i="23"/>
  <c r="W28" i="1"/>
  <c r="X28" i="1"/>
  <c r="Y28" i="1"/>
  <c r="Z28" i="1"/>
  <c r="AA28" i="1"/>
  <c r="AB28" i="1"/>
  <c r="AC28" i="1"/>
  <c r="AD28" i="1"/>
  <c r="AE28" i="1"/>
  <c r="AF28" i="1"/>
  <c r="AG28" i="1"/>
  <c r="AH28" i="1"/>
  <c r="AI28" i="1"/>
  <c r="AJ28" i="1"/>
  <c r="AK28" i="1"/>
  <c r="W29" i="1"/>
  <c r="AM7" i="4" s="1"/>
  <c r="X29" i="1"/>
  <c r="Y29" i="1"/>
  <c r="AO7" i="4" s="1"/>
  <c r="Z29" i="1"/>
  <c r="AP7" i="4" s="1"/>
  <c r="AA29" i="1"/>
  <c r="AQ7" i="4" s="1"/>
  <c r="AB29" i="1"/>
  <c r="AR7" i="4" s="1"/>
  <c r="AC29" i="1"/>
  <c r="AS7" i="4" s="1"/>
  <c r="AD29" i="1"/>
  <c r="AT7" i="4" s="1"/>
  <c r="AE29" i="1"/>
  <c r="AU7" i="4" s="1"/>
  <c r="AF29" i="1"/>
  <c r="AV7" i="4" s="1"/>
  <c r="AG29" i="1"/>
  <c r="AW7" i="4" s="1"/>
  <c r="AH29" i="1"/>
  <c r="AX7" i="4" s="1"/>
  <c r="AI29" i="1"/>
  <c r="AY7" i="4" s="1"/>
  <c r="AJ29" i="1"/>
  <c r="AZ7" i="4" s="1"/>
  <c r="AK29" i="1"/>
  <c r="BA7" i="4" s="1"/>
  <c r="W30" i="1"/>
  <c r="AM8" i="4" s="1"/>
  <c r="X30" i="1"/>
  <c r="AN8" i="4" s="1"/>
  <c r="Y30" i="1"/>
  <c r="AO8" i="4" s="1"/>
  <c r="Z30" i="1"/>
  <c r="AP8" i="4" s="1"/>
  <c r="AA30" i="1"/>
  <c r="AQ8" i="4" s="1"/>
  <c r="AB30" i="1"/>
  <c r="AR8" i="4" s="1"/>
  <c r="AC30" i="1"/>
  <c r="AS8" i="4" s="1"/>
  <c r="AD30" i="1"/>
  <c r="AT8" i="4" s="1"/>
  <c r="AE30" i="1"/>
  <c r="AU8" i="4" s="1"/>
  <c r="AF30" i="1"/>
  <c r="AV8" i="4" s="1"/>
  <c r="AG30" i="1"/>
  <c r="AW8" i="4" s="1"/>
  <c r="AH30" i="1"/>
  <c r="AX8" i="4" s="1"/>
  <c r="AI30" i="1"/>
  <c r="AY8" i="4" s="1"/>
  <c r="AJ30" i="1"/>
  <c r="AZ8" i="4" s="1"/>
  <c r="AK30" i="1"/>
  <c r="BA8" i="4" s="1"/>
  <c r="W31" i="1"/>
  <c r="AM9" i="4" s="1"/>
  <c r="X31" i="1"/>
  <c r="AN9" i="4" s="1"/>
  <c r="Y31" i="1"/>
  <c r="AO9" i="4" s="1"/>
  <c r="Z31" i="1"/>
  <c r="AP9" i="4" s="1"/>
  <c r="AA31" i="1"/>
  <c r="AQ9" i="4" s="1"/>
  <c r="AB31" i="1"/>
  <c r="AR9" i="4" s="1"/>
  <c r="AC31" i="1"/>
  <c r="AS9" i="4" s="1"/>
  <c r="AD31" i="1"/>
  <c r="AT9" i="4" s="1"/>
  <c r="AE31" i="1"/>
  <c r="AU9" i="4" s="1"/>
  <c r="AF31" i="1"/>
  <c r="AG31" i="1"/>
  <c r="AW9" i="4" s="1"/>
  <c r="AH31" i="1"/>
  <c r="AX9" i="4" s="1"/>
  <c r="AI31" i="1"/>
  <c r="AY9" i="4" s="1"/>
  <c r="AJ31" i="1"/>
  <c r="AZ9" i="4" s="1"/>
  <c r="AK31" i="1"/>
  <c r="BA9" i="4" s="1"/>
  <c r="W32" i="1"/>
  <c r="AM10" i="4" s="1"/>
  <c r="X32" i="1"/>
  <c r="AN10" i="4" s="1"/>
  <c r="Y32" i="1"/>
  <c r="AO10" i="4" s="1"/>
  <c r="Z32" i="1"/>
  <c r="AP10" i="4" s="1"/>
  <c r="AA32" i="1"/>
  <c r="AQ10" i="4" s="1"/>
  <c r="AB32" i="1"/>
  <c r="AR10" i="4" s="1"/>
  <c r="AC32" i="1"/>
  <c r="AS10" i="4" s="1"/>
  <c r="AD32" i="1"/>
  <c r="AT10" i="4" s="1"/>
  <c r="AE32" i="1"/>
  <c r="AU10" i="4" s="1"/>
  <c r="AF32" i="1"/>
  <c r="AV10" i="4" s="1"/>
  <c r="AG32" i="1"/>
  <c r="AW10" i="4" s="1"/>
  <c r="AH32" i="1"/>
  <c r="AX10" i="4" s="1"/>
  <c r="AI32" i="1"/>
  <c r="AY10" i="4" s="1"/>
  <c r="AJ32" i="1"/>
  <c r="AZ10" i="4" s="1"/>
  <c r="AK32" i="1"/>
  <c r="BA10" i="4" s="1"/>
  <c r="W33" i="1"/>
  <c r="AM11" i="4" s="1"/>
  <c r="X33" i="1"/>
  <c r="Y33" i="1"/>
  <c r="AO11" i="4" s="1"/>
  <c r="Z33" i="1"/>
  <c r="AP11" i="4" s="1"/>
  <c r="AA33" i="1"/>
  <c r="AQ11" i="4" s="1"/>
  <c r="AB33" i="1"/>
  <c r="AR11" i="4" s="1"/>
  <c r="AC33" i="1"/>
  <c r="AS11" i="4" s="1"/>
  <c r="AD33" i="1"/>
  <c r="AT11" i="4" s="1"/>
  <c r="AE33" i="1"/>
  <c r="AU11" i="4" s="1"/>
  <c r="AF33" i="1"/>
  <c r="AV11" i="4" s="1"/>
  <c r="AG33" i="1"/>
  <c r="AH33" i="1"/>
  <c r="AX11" i="4" s="1"/>
  <c r="AI33" i="1"/>
  <c r="AY11" i="4" s="1"/>
  <c r="AJ33" i="1"/>
  <c r="AZ11" i="4" s="1"/>
  <c r="AK33" i="1"/>
  <c r="BA11" i="4" s="1"/>
  <c r="W34" i="1"/>
  <c r="AM12" i="4" s="1"/>
  <c r="X34" i="1"/>
  <c r="AN12" i="4" s="1"/>
  <c r="Y34" i="1"/>
  <c r="Z34" i="1"/>
  <c r="AP12" i="4" s="1"/>
  <c r="AA34" i="1"/>
  <c r="AQ12" i="4" s="1"/>
  <c r="AB34" i="1"/>
  <c r="AR12" i="4" s="1"/>
  <c r="AC34" i="1"/>
  <c r="AS12" i="4" s="1"/>
  <c r="AD34" i="1"/>
  <c r="AT12" i="4" s="1"/>
  <c r="AE34" i="1"/>
  <c r="AU12" i="4" s="1"/>
  <c r="AF34" i="1"/>
  <c r="AV12" i="4" s="1"/>
  <c r="AG34" i="1"/>
  <c r="AW12" i="4" s="1"/>
  <c r="AH34" i="1"/>
  <c r="AX12" i="4" s="1"/>
  <c r="AI34" i="1"/>
  <c r="AY12" i="4" s="1"/>
  <c r="AJ34" i="1"/>
  <c r="AZ12" i="4" s="1"/>
  <c r="AK34" i="1"/>
  <c r="BA12" i="4" s="1"/>
  <c r="W35" i="1"/>
  <c r="AM13" i="4" s="1"/>
  <c r="X35" i="1"/>
  <c r="AN13" i="4" s="1"/>
  <c r="Y35" i="1"/>
  <c r="AO13" i="4" s="1"/>
  <c r="Z35" i="1"/>
  <c r="AP13" i="4" s="1"/>
  <c r="AA35" i="1"/>
  <c r="AQ13" i="4" s="1"/>
  <c r="AB35" i="1"/>
  <c r="AR13" i="4" s="1"/>
  <c r="AC35" i="1"/>
  <c r="AS13" i="4" s="1"/>
  <c r="AD35" i="1"/>
  <c r="AT13" i="4" s="1"/>
  <c r="AE35" i="1"/>
  <c r="AU13" i="4" s="1"/>
  <c r="AF35" i="1"/>
  <c r="AV13" i="4" s="1"/>
  <c r="AG35" i="1"/>
  <c r="AW13" i="4" s="1"/>
  <c r="AH35" i="1"/>
  <c r="AX13" i="4" s="1"/>
  <c r="AI35" i="1"/>
  <c r="AY13" i="4" s="1"/>
  <c r="AJ35" i="1"/>
  <c r="AZ13" i="4" s="1"/>
  <c r="AK35" i="1"/>
  <c r="BA13" i="4" s="1"/>
  <c r="S36" i="1"/>
  <c r="AI14" i="4" s="1"/>
  <c r="T36" i="1"/>
  <c r="AJ14" i="4" s="1"/>
  <c r="U36" i="1"/>
  <c r="AK14" i="4" s="1"/>
  <c r="V36" i="1"/>
  <c r="AL14" i="4" s="1"/>
  <c r="W36" i="1"/>
  <c r="AM14" i="4" s="1"/>
  <c r="X36" i="1"/>
  <c r="AN14" i="4" s="1"/>
  <c r="Y36" i="1"/>
  <c r="AO14" i="4" s="1"/>
  <c r="Z36" i="1"/>
  <c r="AP14" i="4" s="1"/>
  <c r="AA36" i="1"/>
  <c r="AQ14" i="4" s="1"/>
  <c r="AB36" i="1"/>
  <c r="AR14" i="4" s="1"/>
  <c r="AC36" i="1"/>
  <c r="AS14" i="4" s="1"/>
  <c r="AD36" i="1"/>
  <c r="AT14" i="4" s="1"/>
  <c r="AE36" i="1"/>
  <c r="AU14" i="4" s="1"/>
  <c r="AF36" i="1"/>
  <c r="AV14" i="4" s="1"/>
  <c r="AG36" i="1"/>
  <c r="AW14" i="4" s="1"/>
  <c r="AH36" i="1"/>
  <c r="AX14" i="4" s="1"/>
  <c r="AI36" i="1"/>
  <c r="AY14" i="4" s="1"/>
  <c r="AJ36" i="1"/>
  <c r="AZ14" i="4" s="1"/>
  <c r="AK36" i="1"/>
  <c r="BA14" i="4" s="1"/>
  <c r="S37" i="1"/>
  <c r="AI15" i="4" s="1"/>
  <c r="T37" i="1"/>
  <c r="AJ15" i="4" s="1"/>
  <c r="U37" i="1"/>
  <c r="AK15" i="4" s="1"/>
  <c r="V37" i="1"/>
  <c r="AL15" i="4" s="1"/>
  <c r="W37" i="1"/>
  <c r="AM15" i="4" s="1"/>
  <c r="X37" i="1"/>
  <c r="AN15" i="4" s="1"/>
  <c r="Y37" i="1"/>
  <c r="AO15" i="4" s="1"/>
  <c r="Z37" i="1"/>
  <c r="AP15" i="4" s="1"/>
  <c r="AA37" i="1"/>
  <c r="AQ15" i="4" s="1"/>
  <c r="AB37" i="1"/>
  <c r="AR15" i="4" s="1"/>
  <c r="AC37" i="1"/>
  <c r="AS15" i="4" s="1"/>
  <c r="AD37" i="1"/>
  <c r="AT15" i="4" s="1"/>
  <c r="AE37" i="1"/>
  <c r="AU15" i="4" s="1"/>
  <c r="AF37" i="1"/>
  <c r="AV15" i="4" s="1"/>
  <c r="AG37" i="1"/>
  <c r="AW15" i="4" s="1"/>
  <c r="AH37" i="1"/>
  <c r="AX15" i="4" s="1"/>
  <c r="AI37" i="1"/>
  <c r="AY15" i="4" s="1"/>
  <c r="AJ37" i="1"/>
  <c r="AZ15" i="4" s="1"/>
  <c r="AK37" i="1"/>
  <c r="BA15" i="4" s="1"/>
  <c r="S38" i="1"/>
  <c r="AI16" i="4" s="1"/>
  <c r="T38" i="1"/>
  <c r="AJ16" i="4" s="1"/>
  <c r="U38" i="1"/>
  <c r="AK16" i="4" s="1"/>
  <c r="V38" i="1"/>
  <c r="AL16" i="4" s="1"/>
  <c r="W38" i="1"/>
  <c r="AM16" i="4" s="1"/>
  <c r="X38" i="1"/>
  <c r="AN16" i="4" s="1"/>
  <c r="Y38" i="1"/>
  <c r="AO16" i="4" s="1"/>
  <c r="Z38" i="1"/>
  <c r="AP16" i="4" s="1"/>
  <c r="AA38" i="1"/>
  <c r="AQ16" i="4" s="1"/>
  <c r="AB38" i="1"/>
  <c r="AR16" i="4" s="1"/>
  <c r="AC38" i="1"/>
  <c r="AS16" i="4" s="1"/>
  <c r="AD38" i="1"/>
  <c r="AT16" i="4" s="1"/>
  <c r="AE38" i="1"/>
  <c r="AU16" i="4" s="1"/>
  <c r="AF38" i="1"/>
  <c r="AV16" i="4" s="1"/>
  <c r="AG38" i="1"/>
  <c r="AW16" i="4" s="1"/>
  <c r="AH38" i="1"/>
  <c r="AX16" i="4" s="1"/>
  <c r="AI38" i="1"/>
  <c r="AY16" i="4" s="1"/>
  <c r="AJ38" i="1"/>
  <c r="AZ16" i="4" s="1"/>
  <c r="AK38" i="1"/>
  <c r="BA16" i="4" s="1"/>
  <c r="S39" i="1"/>
  <c r="AI17" i="4" s="1"/>
  <c r="T39" i="1"/>
  <c r="AJ17" i="4" s="1"/>
  <c r="U39" i="1"/>
  <c r="AK17" i="4" s="1"/>
  <c r="V39" i="1"/>
  <c r="AL17" i="4" s="1"/>
  <c r="W39" i="1"/>
  <c r="AM17" i="4" s="1"/>
  <c r="X39" i="1"/>
  <c r="AN17" i="4" s="1"/>
  <c r="Y39" i="1"/>
  <c r="AO17" i="4" s="1"/>
  <c r="Z39" i="1"/>
  <c r="AP17" i="4" s="1"/>
  <c r="AA39" i="1"/>
  <c r="AQ17" i="4" s="1"/>
  <c r="AB39" i="1"/>
  <c r="AR17" i="4" s="1"/>
  <c r="AC39" i="1"/>
  <c r="AS17" i="4" s="1"/>
  <c r="AD39" i="1"/>
  <c r="AT17" i="4" s="1"/>
  <c r="AE39" i="1"/>
  <c r="AU17" i="4" s="1"/>
  <c r="AF39" i="1"/>
  <c r="AV17" i="4" s="1"/>
  <c r="AG39" i="1"/>
  <c r="AW17" i="4" s="1"/>
  <c r="AH39" i="1"/>
  <c r="AX17" i="4" s="1"/>
  <c r="AI39" i="1"/>
  <c r="AY17" i="4" s="1"/>
  <c r="AJ39" i="1"/>
  <c r="AZ17" i="4" s="1"/>
  <c r="AK39" i="1"/>
  <c r="BA17" i="4" s="1"/>
  <c r="S40" i="1"/>
  <c r="AI18" i="4" s="1"/>
  <c r="T40" i="1"/>
  <c r="AJ18" i="4" s="1"/>
  <c r="U40" i="1"/>
  <c r="AK18" i="4" s="1"/>
  <c r="V40" i="1"/>
  <c r="AL18" i="4" s="1"/>
  <c r="W40" i="1"/>
  <c r="AM18" i="4" s="1"/>
  <c r="X40" i="1"/>
  <c r="AN18" i="4" s="1"/>
  <c r="Y40" i="1"/>
  <c r="AO18" i="4" s="1"/>
  <c r="Z40" i="1"/>
  <c r="AP18" i="4" s="1"/>
  <c r="AA40" i="1"/>
  <c r="AQ18" i="4" s="1"/>
  <c r="AB40" i="1"/>
  <c r="AC40" i="1"/>
  <c r="AS18" i="4" s="1"/>
  <c r="AD40" i="1"/>
  <c r="AT18" i="4" s="1"/>
  <c r="AE40" i="1"/>
  <c r="AU18" i="4" s="1"/>
  <c r="AF40" i="1"/>
  <c r="AV18" i="4" s="1"/>
  <c r="AG40" i="1"/>
  <c r="AW18" i="4" s="1"/>
  <c r="AH40" i="1"/>
  <c r="AX18" i="4" s="1"/>
  <c r="AI40" i="1"/>
  <c r="AY18" i="4" s="1"/>
  <c r="AJ40" i="1"/>
  <c r="AZ18" i="4" s="1"/>
  <c r="AK40" i="1"/>
  <c r="BA18" i="4" s="1"/>
  <c r="S41" i="1"/>
  <c r="AI19" i="4" s="1"/>
  <c r="T41" i="1"/>
  <c r="AJ19" i="4" s="1"/>
  <c r="U41" i="1"/>
  <c r="AK19" i="4" s="1"/>
  <c r="V41" i="1"/>
  <c r="AL19" i="4" s="1"/>
  <c r="W41" i="1"/>
  <c r="AM19" i="4" s="1"/>
  <c r="X41" i="1"/>
  <c r="AN19" i="4" s="1"/>
  <c r="Y41" i="1"/>
  <c r="AO19" i="4" s="1"/>
  <c r="Z41" i="1"/>
  <c r="AP19" i="4" s="1"/>
  <c r="AA41" i="1"/>
  <c r="AQ19" i="4" s="1"/>
  <c r="AB41" i="1"/>
  <c r="AR19" i="4" s="1"/>
  <c r="AC41" i="1"/>
  <c r="AS19" i="4" s="1"/>
  <c r="AD41" i="1"/>
  <c r="AT19" i="4" s="1"/>
  <c r="AE41" i="1"/>
  <c r="AU19" i="4" s="1"/>
  <c r="AF41" i="1"/>
  <c r="AV19" i="4" s="1"/>
  <c r="AG41" i="1"/>
  <c r="AW19" i="4" s="1"/>
  <c r="AH41" i="1"/>
  <c r="AX19" i="4" s="1"/>
  <c r="AI41" i="1"/>
  <c r="AY19" i="4" s="1"/>
  <c r="AJ41" i="1"/>
  <c r="AZ19" i="4" s="1"/>
  <c r="AK41" i="1"/>
  <c r="BA19" i="4" s="1"/>
  <c r="S42" i="1"/>
  <c r="AI20" i="4" s="1"/>
  <c r="T42" i="1"/>
  <c r="AJ20" i="4" s="1"/>
  <c r="U42" i="1"/>
  <c r="AK20" i="4" s="1"/>
  <c r="V42" i="1"/>
  <c r="AL20" i="4" s="1"/>
  <c r="W42" i="1"/>
  <c r="AM20" i="4" s="1"/>
  <c r="X42" i="1"/>
  <c r="AN20" i="4" s="1"/>
  <c r="Y42" i="1"/>
  <c r="AO20" i="4" s="1"/>
  <c r="Z42" i="1"/>
  <c r="AP20" i="4" s="1"/>
  <c r="AA42" i="1"/>
  <c r="AQ20" i="4" s="1"/>
  <c r="AB42" i="1"/>
  <c r="AR20" i="4" s="1"/>
  <c r="AC42" i="1"/>
  <c r="AS20" i="4" s="1"/>
  <c r="AD42" i="1"/>
  <c r="AT20" i="4" s="1"/>
  <c r="AE42" i="1"/>
  <c r="AU20" i="4" s="1"/>
  <c r="AF42" i="1"/>
  <c r="AV20" i="4" s="1"/>
  <c r="AG42" i="1"/>
  <c r="AW20" i="4" s="1"/>
  <c r="AH42" i="1"/>
  <c r="AX20" i="4" s="1"/>
  <c r="AI42" i="1"/>
  <c r="AY20" i="4" s="1"/>
  <c r="AJ42" i="1"/>
  <c r="AZ20" i="4" s="1"/>
  <c r="AK42" i="1"/>
  <c r="BA20" i="4" s="1"/>
  <c r="S43" i="1"/>
  <c r="AI21" i="4" s="1"/>
  <c r="T43" i="1"/>
  <c r="U43" i="1"/>
  <c r="V43" i="1"/>
  <c r="W43" i="1"/>
  <c r="AM21" i="4" s="1"/>
  <c r="X43" i="1"/>
  <c r="Y43" i="1"/>
  <c r="Z43" i="1"/>
  <c r="AA43" i="1"/>
  <c r="AQ21" i="4" s="1"/>
  <c r="AB43" i="1"/>
  <c r="AC43" i="1"/>
  <c r="AD43" i="1"/>
  <c r="AE43" i="1"/>
  <c r="AF43" i="1"/>
  <c r="AG43" i="1"/>
  <c r="AH43" i="1"/>
  <c r="AI43" i="1"/>
  <c r="AJ43" i="1"/>
  <c r="AK43" i="1"/>
  <c r="N7" i="4"/>
  <c r="O7" i="4"/>
  <c r="P7" i="4"/>
  <c r="Q7" i="4"/>
  <c r="R7" i="4"/>
  <c r="S7" i="4"/>
  <c r="T7" i="4"/>
  <c r="U7" i="4"/>
  <c r="V7" i="4"/>
  <c r="W7" i="4"/>
  <c r="X7" i="4"/>
  <c r="Y7" i="4"/>
  <c r="Z7" i="4"/>
  <c r="AA7" i="4"/>
  <c r="AB7" i="4"/>
  <c r="AC7" i="4"/>
  <c r="N8" i="4"/>
  <c r="O8" i="4"/>
  <c r="P8" i="4"/>
  <c r="Q8" i="4"/>
  <c r="R8" i="4"/>
  <c r="S8" i="4"/>
  <c r="T8" i="4"/>
  <c r="U8" i="4"/>
  <c r="V8" i="4"/>
  <c r="W8" i="4"/>
  <c r="X8" i="4"/>
  <c r="Y8" i="4"/>
  <c r="AA8" i="4"/>
  <c r="AB8" i="4"/>
  <c r="N9" i="4"/>
  <c r="P9" i="4"/>
  <c r="Q9" i="4"/>
  <c r="S9" i="4"/>
  <c r="T9" i="4"/>
  <c r="U9" i="4"/>
  <c r="W9" i="4"/>
  <c r="X9" i="4"/>
  <c r="Y9" i="4"/>
  <c r="Z9" i="4"/>
  <c r="AA9" i="4"/>
  <c r="AB9" i="4"/>
  <c r="AC9" i="4"/>
  <c r="N10" i="4"/>
  <c r="P10" i="4"/>
  <c r="Q10" i="4"/>
  <c r="R10" i="4"/>
  <c r="S10" i="4"/>
  <c r="T10" i="4"/>
  <c r="U10" i="4"/>
  <c r="W10" i="4"/>
  <c r="X10" i="4"/>
  <c r="Y10" i="4"/>
  <c r="Z10" i="4"/>
  <c r="AA10" i="4"/>
  <c r="AB10" i="4"/>
  <c r="AC10" i="4"/>
  <c r="N11" i="4"/>
  <c r="O11" i="4"/>
  <c r="P11" i="4"/>
  <c r="Q11" i="4"/>
  <c r="R11" i="4"/>
  <c r="S11" i="4"/>
  <c r="T11" i="4"/>
  <c r="U11" i="4"/>
  <c r="V11" i="4"/>
  <c r="W11" i="4"/>
  <c r="X11" i="4"/>
  <c r="Y11" i="4"/>
  <c r="Z11" i="4"/>
  <c r="AA11" i="4"/>
  <c r="AB11" i="4"/>
  <c r="AC11" i="4"/>
  <c r="N12" i="4"/>
  <c r="O12" i="4"/>
  <c r="P12" i="4"/>
  <c r="Q12" i="4"/>
  <c r="R12" i="4"/>
  <c r="S12" i="4"/>
  <c r="T12" i="4"/>
  <c r="U12" i="4"/>
  <c r="V12" i="4"/>
  <c r="W12" i="4"/>
  <c r="X12" i="4"/>
  <c r="Y12" i="4"/>
  <c r="Z12" i="4"/>
  <c r="AA12" i="4"/>
  <c r="AB12" i="4"/>
  <c r="AC12" i="4"/>
  <c r="N13" i="4"/>
  <c r="O13" i="4"/>
  <c r="P13" i="4"/>
  <c r="Q13" i="4"/>
  <c r="R13" i="4"/>
  <c r="S13" i="4"/>
  <c r="T13" i="4"/>
  <c r="U13" i="4"/>
  <c r="V13" i="4"/>
  <c r="W13" i="4"/>
  <c r="X13" i="4"/>
  <c r="Y13" i="4"/>
  <c r="Z13" i="4"/>
  <c r="AA13" i="4"/>
  <c r="AB13" i="4"/>
  <c r="AC13" i="4"/>
  <c r="K36" i="1"/>
  <c r="K14" i="4" s="1"/>
  <c r="L36" i="1"/>
  <c r="L14" i="4" s="1"/>
  <c r="M36" i="1"/>
  <c r="M14" i="4" s="1"/>
  <c r="N14" i="4"/>
  <c r="O14" i="4"/>
  <c r="P14" i="4"/>
  <c r="Q14" i="4"/>
  <c r="R14" i="4"/>
  <c r="S14" i="4"/>
  <c r="T14" i="4"/>
  <c r="U14" i="4"/>
  <c r="V14" i="4"/>
  <c r="W14" i="4"/>
  <c r="X14" i="4"/>
  <c r="Y14" i="4"/>
  <c r="Z14" i="4"/>
  <c r="AA14" i="4"/>
  <c r="AB14" i="4"/>
  <c r="AC14" i="4"/>
  <c r="K37" i="1"/>
  <c r="K15" i="4" s="1"/>
  <c r="L37" i="1"/>
  <c r="L15" i="4" s="1"/>
  <c r="M37" i="1"/>
  <c r="M15" i="4" s="1"/>
  <c r="N15" i="4"/>
  <c r="O15" i="4"/>
  <c r="P15" i="4"/>
  <c r="Q15" i="4"/>
  <c r="R15" i="4"/>
  <c r="S15" i="4"/>
  <c r="T15" i="4"/>
  <c r="U15" i="4"/>
  <c r="V15" i="4"/>
  <c r="W15" i="4"/>
  <c r="X15" i="4"/>
  <c r="Y15" i="4"/>
  <c r="Z15" i="4"/>
  <c r="AA15" i="4"/>
  <c r="AB15" i="4"/>
  <c r="AC15" i="4"/>
  <c r="K38" i="1"/>
  <c r="K16" i="4" s="1"/>
  <c r="L38" i="1"/>
  <c r="L16" i="4" s="1"/>
  <c r="M38" i="1"/>
  <c r="M16" i="4" s="1"/>
  <c r="N16" i="4"/>
  <c r="O16" i="4"/>
  <c r="P16" i="4"/>
  <c r="Q16" i="4"/>
  <c r="R16" i="4"/>
  <c r="S16" i="4"/>
  <c r="T16" i="4"/>
  <c r="U16" i="4"/>
  <c r="V16" i="4"/>
  <c r="W16" i="4"/>
  <c r="X16" i="4"/>
  <c r="Y16" i="4"/>
  <c r="Z16" i="4"/>
  <c r="AA16" i="4"/>
  <c r="AB16" i="4"/>
  <c r="AC16" i="4"/>
  <c r="K39" i="1"/>
  <c r="K17" i="4" s="1"/>
  <c r="L39" i="1"/>
  <c r="L17" i="4" s="1"/>
  <c r="M39" i="1"/>
  <c r="M17" i="4" s="1"/>
  <c r="N17" i="4"/>
  <c r="O17" i="4"/>
  <c r="P17" i="4"/>
  <c r="Q17" i="4"/>
  <c r="R17" i="4"/>
  <c r="S17" i="4"/>
  <c r="T17" i="4"/>
  <c r="U17" i="4"/>
  <c r="V17" i="4"/>
  <c r="W17" i="4"/>
  <c r="X17" i="4"/>
  <c r="Y17" i="4"/>
  <c r="Z17" i="4"/>
  <c r="AA17" i="4"/>
  <c r="AB17" i="4"/>
  <c r="AC17" i="4"/>
  <c r="K40" i="1"/>
  <c r="K18" i="4" s="1"/>
  <c r="L40" i="1"/>
  <c r="L18" i="4" s="1"/>
  <c r="M40" i="1"/>
  <c r="M18" i="4" s="1"/>
  <c r="N18" i="4"/>
  <c r="O18" i="4"/>
  <c r="P18" i="4"/>
  <c r="Q18" i="4"/>
  <c r="R18" i="4"/>
  <c r="S18" i="4"/>
  <c r="T18" i="4"/>
  <c r="U18" i="4"/>
  <c r="V18" i="4"/>
  <c r="W18" i="4"/>
  <c r="X18" i="4"/>
  <c r="Y18" i="4"/>
  <c r="Z18" i="4"/>
  <c r="AA18" i="4"/>
  <c r="AB18" i="4"/>
  <c r="AC18" i="4"/>
  <c r="K41" i="1"/>
  <c r="K19" i="4" s="1"/>
  <c r="L41" i="1"/>
  <c r="L19" i="4" s="1"/>
  <c r="M41" i="1"/>
  <c r="M19" i="4" s="1"/>
  <c r="N19" i="4"/>
  <c r="O19" i="4"/>
  <c r="P19" i="4"/>
  <c r="Q19" i="4"/>
  <c r="R19" i="4"/>
  <c r="S19" i="4"/>
  <c r="T19" i="4"/>
  <c r="U19" i="4"/>
  <c r="V19" i="4"/>
  <c r="W19" i="4"/>
  <c r="X19" i="4"/>
  <c r="Y19" i="4"/>
  <c r="Z19" i="4"/>
  <c r="AA19" i="4"/>
  <c r="AB19" i="4"/>
  <c r="AC19" i="4"/>
  <c r="K42" i="1"/>
  <c r="K20" i="4" s="1"/>
  <c r="L42" i="1"/>
  <c r="L20" i="4" s="1"/>
  <c r="M42" i="1"/>
  <c r="M20" i="4" s="1"/>
  <c r="N20" i="4"/>
  <c r="O20" i="4"/>
  <c r="P20" i="4"/>
  <c r="Q20" i="4"/>
  <c r="R20" i="4"/>
  <c r="S20" i="4"/>
  <c r="T20" i="4"/>
  <c r="U20" i="4"/>
  <c r="V20" i="4"/>
  <c r="W20" i="4"/>
  <c r="X20" i="4"/>
  <c r="Y20" i="4"/>
  <c r="Z20" i="4"/>
  <c r="AA20" i="4"/>
  <c r="AB20" i="4"/>
  <c r="AC20" i="4"/>
  <c r="K43" i="1"/>
  <c r="L43" i="1"/>
  <c r="M43" i="1"/>
  <c r="AE23" i="23"/>
  <c r="AF23" i="23"/>
  <c r="AG23" i="23"/>
  <c r="AH23" i="23"/>
  <c r="AI23" i="23"/>
  <c r="AJ23" i="23"/>
  <c r="AK23" i="23"/>
  <c r="AE24" i="23"/>
  <c r="AF24" i="23"/>
  <c r="AG24" i="23"/>
  <c r="AH24" i="23"/>
  <c r="AI24" i="23"/>
  <c r="AJ24" i="23"/>
  <c r="AK24" i="23"/>
  <c r="AF23" i="1"/>
  <c r="AG23" i="1"/>
  <c r="AH23" i="1"/>
  <c r="AI23" i="1"/>
  <c r="AJ23" i="1"/>
  <c r="AK23" i="1"/>
  <c r="AF24" i="1"/>
  <c r="AG24" i="1"/>
  <c r="AH24" i="1"/>
  <c r="AI24" i="1"/>
  <c r="AJ24" i="1"/>
  <c r="AK24" i="1"/>
  <c r="A45" i="1"/>
  <c r="A45" i="23"/>
  <c r="A22" i="23"/>
  <c r="A22" i="1"/>
  <c r="B1" i="4"/>
  <c r="A52" i="23"/>
  <c r="AG37" i="4"/>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AT35" i="4"/>
  <c r="AL35" i="4"/>
  <c r="I41" i="23"/>
  <c r="I35" i="4" s="1"/>
  <c r="H41" i="23"/>
  <c r="H35" i="4" s="1"/>
  <c r="G41" i="23"/>
  <c r="G35" i="4" s="1"/>
  <c r="F41" i="23"/>
  <c r="F35" i="4" s="1"/>
  <c r="E41" i="23"/>
  <c r="E35" i="4" s="1"/>
  <c r="D41" i="23"/>
  <c r="D35" i="4" s="1"/>
  <c r="C41" i="23"/>
  <c r="C35" i="4" s="1"/>
  <c r="B41" i="23"/>
  <c r="B35" i="4" s="1"/>
  <c r="AR34" i="4"/>
  <c r="AJ34" i="4"/>
  <c r="I40" i="23"/>
  <c r="I34" i="4" s="1"/>
  <c r="H40" i="23"/>
  <c r="H34" i="4" s="1"/>
  <c r="G40" i="23"/>
  <c r="G34" i="4" s="1"/>
  <c r="F40" i="23"/>
  <c r="F34" i="4" s="1"/>
  <c r="E40" i="23"/>
  <c r="E34" i="4" s="1"/>
  <c r="D40" i="23"/>
  <c r="D34" i="4" s="1"/>
  <c r="C40" i="23"/>
  <c r="C34" i="4" s="1"/>
  <c r="B40" i="23"/>
  <c r="B34" i="4" s="1"/>
  <c r="AQ33" i="4"/>
  <c r="I39" i="23"/>
  <c r="I33" i="4" s="1"/>
  <c r="H39" i="23"/>
  <c r="H33" i="4" s="1"/>
  <c r="G39" i="23"/>
  <c r="G33" i="4" s="1"/>
  <c r="F39" i="23"/>
  <c r="F33" i="4" s="1"/>
  <c r="E39" i="23"/>
  <c r="E33" i="4" s="1"/>
  <c r="D39" i="23"/>
  <c r="D33" i="4" s="1"/>
  <c r="C39" i="23"/>
  <c r="C33" i="4" s="1"/>
  <c r="B39" i="23"/>
  <c r="B33" i="4" s="1"/>
  <c r="AM32" i="4"/>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AO27" i="4"/>
  <c r="AP25" i="4"/>
  <c r="AD24" i="23"/>
  <c r="AC24" i="23"/>
  <c r="AB24" i="23"/>
  <c r="AA24" i="23"/>
  <c r="Z24" i="23"/>
  <c r="Y24" i="23"/>
  <c r="X24" i="23"/>
  <c r="W24" i="23"/>
  <c r="V24" i="23"/>
  <c r="U24" i="23"/>
  <c r="T24" i="23"/>
  <c r="S24" i="23"/>
  <c r="R24" i="23"/>
  <c r="Q24" i="23"/>
  <c r="P24" i="23"/>
  <c r="O24" i="23"/>
  <c r="L24" i="23"/>
  <c r="J24" i="23"/>
  <c r="I24" i="23"/>
  <c r="H24" i="23"/>
  <c r="G24" i="23"/>
  <c r="F24" i="23"/>
  <c r="E24" i="23"/>
  <c r="D24" i="23"/>
  <c r="C24" i="23"/>
  <c r="B24" i="23"/>
  <c r="AD23" i="23"/>
  <c r="AC23" i="23"/>
  <c r="AB23" i="23"/>
  <c r="AA23" i="23"/>
  <c r="Z23" i="23"/>
  <c r="Y23" i="23"/>
  <c r="X23" i="23"/>
  <c r="W23"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29" i="23"/>
  <c r="J23" i="4" s="1"/>
  <c r="J40" i="23"/>
  <c r="J34" i="4" s="1"/>
  <c r="J36" i="23"/>
  <c r="J30" i="4" s="1"/>
  <c r="AN26" i="4"/>
  <c r="J28" i="23"/>
  <c r="J42" i="23"/>
  <c r="J36" i="4" s="1"/>
  <c r="J38" i="23"/>
  <c r="J32" i="4" s="1"/>
  <c r="I31" i="23"/>
  <c r="I25" i="4" s="1"/>
  <c r="J41" i="23"/>
  <c r="J35" i="4" s="1"/>
  <c r="J37" i="23"/>
  <c r="J31" i="4" s="1"/>
  <c r="H35" i="23"/>
  <c r="H29" i="4" s="1"/>
  <c r="J43" i="23"/>
  <c r="J39" i="23"/>
  <c r="J33" i="4" s="1"/>
  <c r="J35" i="23"/>
  <c r="J29" i="4" s="1"/>
  <c r="G34" i="23"/>
  <c r="G28" i="4" s="1"/>
  <c r="G30" i="23"/>
  <c r="G24" i="4" s="1"/>
  <c r="G33" i="23"/>
  <c r="G27" i="4" s="1"/>
  <c r="AN24" i="4"/>
  <c r="G32" i="23"/>
  <c r="G26" i="4" s="1"/>
  <c r="P22" i="23"/>
  <c r="S23" i="1"/>
  <c r="T23" i="1"/>
  <c r="U23" i="1"/>
  <c r="V23" i="1"/>
  <c r="W23" i="1"/>
  <c r="X23" i="1"/>
  <c r="Y23" i="1"/>
  <c r="Z23" i="1"/>
  <c r="AA23" i="1"/>
  <c r="AB23" i="1"/>
  <c r="AC23" i="1"/>
  <c r="AD23" i="1"/>
  <c r="S24" i="1"/>
  <c r="T24" i="1"/>
  <c r="U24" i="1"/>
  <c r="V24" i="1"/>
  <c r="W24" i="1"/>
  <c r="X24" i="1"/>
  <c r="Y24" i="1"/>
  <c r="Z24" i="1"/>
  <c r="AA24" i="1"/>
  <c r="AB24" i="1"/>
  <c r="AC24" i="1"/>
  <c r="AD24" i="1"/>
  <c r="AR18" i="4"/>
  <c r="V10" i="4"/>
  <c r="L23" i="1"/>
  <c r="M23" i="1"/>
  <c r="L24" i="1"/>
  <c r="M24" i="1"/>
  <c r="I23" i="1"/>
  <c r="I24" i="1"/>
  <c r="J32"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AG14" i="4" s="1"/>
  <c r="R36" i="1"/>
  <c r="AH14" i="4" s="1"/>
  <c r="Q37" i="1"/>
  <c r="AG15" i="4" s="1"/>
  <c r="P38" i="1"/>
  <c r="AF16" i="4" s="1"/>
  <c r="Q38" i="1"/>
  <c r="AG16" i="4" s="1"/>
  <c r="P39" i="1"/>
  <c r="AF17" i="4" s="1"/>
  <c r="Q39" i="1"/>
  <c r="AG17" i="4" s="1"/>
  <c r="R39" i="1"/>
  <c r="AH17" i="4" s="1"/>
  <c r="P40" i="1"/>
  <c r="AF18" i="4" s="1"/>
  <c r="Q40" i="1"/>
  <c r="AG18" i="4" s="1"/>
  <c r="R40" i="1"/>
  <c r="AH18" i="4" s="1"/>
  <c r="P41" i="1"/>
  <c r="AF19" i="4" s="1"/>
  <c r="Q41" i="1"/>
  <c r="AG19" i="4" s="1"/>
  <c r="P42" i="1"/>
  <c r="AF20" i="4" s="1"/>
  <c r="Q42" i="1"/>
  <c r="AG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E32" i="1"/>
  <c r="E10" i="4" s="1"/>
  <c r="D33" i="1"/>
  <c r="D11" i="4" s="1"/>
  <c r="F35" i="1"/>
  <c r="F13" i="4" s="1"/>
  <c r="E33" i="1"/>
  <c r="E11" i="4" s="1"/>
  <c r="I33" i="1"/>
  <c r="I11" i="4" s="1"/>
  <c r="G35" i="1"/>
  <c r="G13" i="4" s="1"/>
  <c r="G34" i="1"/>
  <c r="G12" i="4" s="1"/>
  <c r="Q34" i="1"/>
  <c r="AG12" i="4" s="1"/>
  <c r="O42" i="1"/>
  <c r="AE20" i="4" s="1"/>
  <c r="O32" i="1"/>
  <c r="AE10" i="4" s="1"/>
  <c r="P28" i="1"/>
  <c r="P34" i="1"/>
  <c r="AF12" i="4" s="1"/>
  <c r="Q28" i="1"/>
  <c r="Q35" i="1"/>
  <c r="AG13" i="4" s="1"/>
  <c r="O38" i="1"/>
  <c r="AE16" i="4" s="1"/>
  <c r="Q27" i="1"/>
  <c r="Q52" i="1" s="1"/>
  <c r="K24" i="1"/>
  <c r="J24" i="1"/>
  <c r="H24" i="1"/>
  <c r="G24" i="1"/>
  <c r="F24" i="1"/>
  <c r="E24" i="1"/>
  <c r="D24" i="1"/>
  <c r="C24" i="1"/>
  <c r="B24" i="1"/>
  <c r="K23" i="1"/>
  <c r="J23" i="1"/>
  <c r="H23" i="1"/>
  <c r="G23" i="1"/>
  <c r="F23" i="1"/>
  <c r="E23" i="1"/>
  <c r="D23" i="1"/>
  <c r="C23" i="1"/>
  <c r="AE24" i="1"/>
  <c r="R24" i="1"/>
  <c r="AE23" i="1"/>
  <c r="R23" i="1"/>
  <c r="K4" i="1"/>
  <c r="K4" i="4" s="1"/>
  <c r="K62" i="4" s="1"/>
  <c r="L4" i="1"/>
  <c r="L4" i="4" s="1"/>
  <c r="K4" i="23"/>
  <c r="K52" i="23" s="1"/>
  <c r="L4" i="23"/>
  <c r="L27" i="23" s="1"/>
  <c r="F33" i="23" l="1"/>
  <c r="F27" i="4" s="1"/>
  <c r="E35" i="23"/>
  <c r="E29" i="4" s="1"/>
  <c r="F31" i="23"/>
  <c r="F25" i="4" s="1"/>
  <c r="F35" i="23"/>
  <c r="F29" i="4" s="1"/>
  <c r="H32" i="23"/>
  <c r="H26" i="4" s="1"/>
  <c r="E29" i="23"/>
  <c r="E23" i="4" s="1"/>
  <c r="E33" i="23"/>
  <c r="E27" i="4" s="1"/>
  <c r="C28" i="23"/>
  <c r="I35" i="23"/>
  <c r="I29" i="4" s="1"/>
  <c r="C33" i="23"/>
  <c r="C27" i="4" s="1"/>
  <c r="I29" i="23"/>
  <c r="I23" i="4" s="1"/>
  <c r="I33" i="23"/>
  <c r="I27" i="4" s="1"/>
  <c r="F29" i="23"/>
  <c r="F23" i="4" s="1"/>
  <c r="D35" i="23"/>
  <c r="D29" i="4" s="1"/>
  <c r="E28" i="23"/>
  <c r="E32" i="23"/>
  <c r="E26" i="4" s="1"/>
  <c r="D28" i="23"/>
  <c r="F34" i="23"/>
  <c r="F28" i="4" s="1"/>
  <c r="D30" i="23"/>
  <c r="D24" i="4" s="1"/>
  <c r="H34" i="23"/>
  <c r="H28" i="4" s="1"/>
  <c r="E30" i="23"/>
  <c r="E24" i="4" s="1"/>
  <c r="J31" i="23"/>
  <c r="J25" i="4" s="1"/>
  <c r="H28" i="23"/>
  <c r="I28" i="23"/>
  <c r="I32" i="23"/>
  <c r="I26" i="4" s="1"/>
  <c r="C29" i="23"/>
  <c r="C23" i="4" s="1"/>
  <c r="J34" i="23"/>
  <c r="J28" i="4" s="1"/>
  <c r="C31" i="23"/>
  <c r="C25" i="4" s="1"/>
  <c r="C35" i="23"/>
  <c r="C29" i="4" s="1"/>
  <c r="J33" i="23"/>
  <c r="J27" i="4" s="1"/>
  <c r="I30" i="23"/>
  <c r="I24" i="4" s="1"/>
  <c r="G29" i="23"/>
  <c r="G23" i="4" s="1"/>
  <c r="D29" i="23"/>
  <c r="D23" i="4" s="1"/>
  <c r="D33" i="23"/>
  <c r="D27" i="4" s="1"/>
  <c r="C32" i="23"/>
  <c r="C26" i="4" s="1"/>
  <c r="F30" i="23"/>
  <c r="F24" i="4" s="1"/>
  <c r="G31" i="23"/>
  <c r="G25" i="4" s="1"/>
  <c r="G35" i="23"/>
  <c r="G29" i="4" s="1"/>
  <c r="S28" i="23"/>
  <c r="AI22" i="4" s="1"/>
  <c r="H29" i="23"/>
  <c r="H23" i="4" s="1"/>
  <c r="H33" i="23"/>
  <c r="H27" i="4" s="1"/>
  <c r="E34" i="23"/>
  <c r="E28" i="4" s="1"/>
  <c r="J30" i="23"/>
  <c r="J24" i="4" s="1"/>
  <c r="F32" i="23"/>
  <c r="F26" i="4" s="1"/>
  <c r="L30" i="23"/>
  <c r="L24" i="4" s="1"/>
  <c r="S30" i="23"/>
  <c r="AI24" i="4" s="1"/>
  <c r="K33" i="23"/>
  <c r="K27" i="4" s="1"/>
  <c r="G28" i="23"/>
  <c r="H31" i="23"/>
  <c r="H25" i="4" s="1"/>
  <c r="D32" i="23"/>
  <c r="D26" i="4" s="1"/>
  <c r="C30" i="23"/>
  <c r="C24" i="4" s="1"/>
  <c r="C34" i="23"/>
  <c r="C28" i="4" s="1"/>
  <c r="I34" i="23"/>
  <c r="I28" i="4" s="1"/>
  <c r="E31" i="23"/>
  <c r="E25" i="4" s="1"/>
  <c r="F28" i="23"/>
  <c r="J32" i="23"/>
  <c r="J26" i="4" s="1"/>
  <c r="M35" i="23"/>
  <c r="M29" i="4" s="1"/>
  <c r="O33" i="23"/>
  <c r="AE27" i="4" s="1"/>
  <c r="V35" i="23"/>
  <c r="AL29" i="4" s="1"/>
  <c r="R34" i="23"/>
  <c r="AH28" i="4" s="1"/>
  <c r="V33" i="23"/>
  <c r="AL27" i="4" s="1"/>
  <c r="R32" i="23"/>
  <c r="AH26" i="4" s="1"/>
  <c r="H31" i="1"/>
  <c r="H9" i="4" s="1"/>
  <c r="O41" i="1"/>
  <c r="AE19" i="4" s="1"/>
  <c r="O39" i="1"/>
  <c r="AE17" i="4" s="1"/>
  <c r="E29" i="1"/>
  <c r="P30" i="1"/>
  <c r="AF8" i="4" s="1"/>
  <c r="G30" i="1"/>
  <c r="G8" i="4" s="1"/>
  <c r="H33" i="1"/>
  <c r="H11" i="4" s="1"/>
  <c r="U33" i="1"/>
  <c r="AK11" i="4" s="1"/>
  <c r="U32" i="1"/>
  <c r="AK10" i="4" s="1"/>
  <c r="S31" i="1"/>
  <c r="AI9" i="4" s="1"/>
  <c r="V30" i="1"/>
  <c r="AL8" i="4" s="1"/>
  <c r="C35" i="1"/>
  <c r="C13" i="4" s="1"/>
  <c r="E30" i="1"/>
  <c r="E8" i="4" s="1"/>
  <c r="K30" i="1"/>
  <c r="K8" i="4" s="1"/>
  <c r="B33" i="1"/>
  <c r="B11" i="4" s="1"/>
  <c r="Q31" i="1"/>
  <c r="AG9" i="4" s="1"/>
  <c r="F30" i="1"/>
  <c r="F32" i="1"/>
  <c r="F10" i="4" s="1"/>
  <c r="P33" i="1"/>
  <c r="AF11" i="4" s="1"/>
  <c r="O43" i="1"/>
  <c r="AE21" i="4" s="1"/>
  <c r="F34" i="1"/>
  <c r="F12" i="4" s="1"/>
  <c r="I34" i="1"/>
  <c r="I12" i="4" s="1"/>
  <c r="H34" i="1"/>
  <c r="H12" i="4" s="1"/>
  <c r="J30" i="1"/>
  <c r="J8" i="4" s="1"/>
  <c r="K31" i="1"/>
  <c r="L28" i="1"/>
  <c r="T35" i="1"/>
  <c r="AJ13" i="4" s="1"/>
  <c r="S30" i="1"/>
  <c r="AI8" i="4" s="1"/>
  <c r="V29" i="1"/>
  <c r="AL7" i="4" s="1"/>
  <c r="J29" i="1"/>
  <c r="J7" i="4" s="1"/>
  <c r="H30" i="1"/>
  <c r="H8" i="4" s="1"/>
  <c r="L35" i="1"/>
  <c r="L13" i="4" s="1"/>
  <c r="M32" i="1"/>
  <c r="M10" i="4" s="1"/>
  <c r="Q33" i="1"/>
  <c r="AG11" i="4" s="1"/>
  <c r="O40" i="1"/>
  <c r="AE18" i="4" s="1"/>
  <c r="F33" i="1"/>
  <c r="F11" i="4" s="1"/>
  <c r="H32" i="1"/>
  <c r="H10" i="4" s="1"/>
  <c r="I30" i="1"/>
  <c r="I8" i="4" s="1"/>
  <c r="M33" i="1"/>
  <c r="M11" i="4" s="1"/>
  <c r="F29" i="1"/>
  <c r="F7" i="4" s="1"/>
  <c r="I29" i="1"/>
  <c r="I7" i="4" s="1"/>
  <c r="D35" i="1"/>
  <c r="D13" i="4" s="1"/>
  <c r="R33" i="1"/>
  <c r="AH11" i="4" s="1"/>
  <c r="M35" i="1"/>
  <c r="M13" i="4" s="1"/>
  <c r="K33" i="1"/>
  <c r="K11" i="4" s="1"/>
  <c r="L30" i="1"/>
  <c r="L8" i="4" s="1"/>
  <c r="U35" i="1"/>
  <c r="AK13" i="4" s="1"/>
  <c r="S33" i="1"/>
  <c r="AI11" i="4" s="1"/>
  <c r="V32" i="1"/>
  <c r="AL10" i="4" s="1"/>
  <c r="T30" i="1"/>
  <c r="AJ8" i="4" s="1"/>
  <c r="L33" i="23"/>
  <c r="L27" i="4" s="1"/>
  <c r="M30" i="23"/>
  <c r="M24" i="4" s="1"/>
  <c r="K28" i="23"/>
  <c r="K22" i="4" s="1"/>
  <c r="S34" i="23"/>
  <c r="AI28" i="4" s="1"/>
  <c r="S32" i="23"/>
  <c r="AI26" i="4" s="1"/>
  <c r="T30" i="23"/>
  <c r="AJ24" i="4" s="1"/>
  <c r="T28" i="23"/>
  <c r="AJ22" i="4" s="1"/>
  <c r="K35" i="1"/>
  <c r="K13" i="4" s="1"/>
  <c r="L32" i="1"/>
  <c r="L10" i="4" s="1"/>
  <c r="M29" i="1"/>
  <c r="M7" i="4" s="1"/>
  <c r="S35" i="1"/>
  <c r="AI13" i="4" s="1"/>
  <c r="V34" i="1"/>
  <c r="AL12" i="4" s="1"/>
  <c r="T32" i="1"/>
  <c r="AJ10" i="4" s="1"/>
  <c r="U29" i="1"/>
  <c r="AK7" i="4" s="1"/>
  <c r="L35" i="23"/>
  <c r="L29" i="4" s="1"/>
  <c r="M32" i="23"/>
  <c r="M26" i="4" s="1"/>
  <c r="K30" i="23"/>
  <c r="K24" i="4" s="1"/>
  <c r="U35" i="23"/>
  <c r="U33" i="23"/>
  <c r="AK27" i="4" s="1"/>
  <c r="Q32" i="23"/>
  <c r="AG26" i="4" s="1"/>
  <c r="V31" i="23"/>
  <c r="AL25" i="4" s="1"/>
  <c r="R30" i="23"/>
  <c r="AH24" i="4" s="1"/>
  <c r="V29" i="23"/>
  <c r="AL23" i="4" s="1"/>
  <c r="R28" i="23"/>
  <c r="E35" i="1"/>
  <c r="E13" i="4" s="1"/>
  <c r="J35" i="1"/>
  <c r="J13" i="4" s="1"/>
  <c r="M34" i="1"/>
  <c r="M12" i="4" s="1"/>
  <c r="K32" i="1"/>
  <c r="K10" i="4" s="1"/>
  <c r="L29" i="1"/>
  <c r="L7" i="4" s="1"/>
  <c r="U34" i="1"/>
  <c r="AK12" i="4" s="1"/>
  <c r="S32" i="1"/>
  <c r="AI10" i="4" s="1"/>
  <c r="V31" i="1"/>
  <c r="AL9" i="4" s="1"/>
  <c r="T29" i="1"/>
  <c r="AJ7" i="4" s="1"/>
  <c r="K35" i="23"/>
  <c r="K29" i="4" s="1"/>
  <c r="L32" i="23"/>
  <c r="L26" i="4" s="1"/>
  <c r="M29" i="23"/>
  <c r="M23" i="4" s="1"/>
  <c r="T35" i="23"/>
  <c r="AJ29" i="4" s="1"/>
  <c r="T33" i="23"/>
  <c r="U31" i="23"/>
  <c r="AK25" i="4" s="1"/>
  <c r="U29" i="23"/>
  <c r="AK23" i="4" s="1"/>
  <c r="Q28" i="23"/>
  <c r="J34" i="1"/>
  <c r="J12" i="4" s="1"/>
  <c r="L34" i="1"/>
  <c r="L12" i="4" s="1"/>
  <c r="M31" i="1"/>
  <c r="M9" i="4" s="1"/>
  <c r="K29" i="1"/>
  <c r="K7" i="4" s="1"/>
  <c r="T34" i="1"/>
  <c r="AJ12" i="4" s="1"/>
  <c r="U31" i="1"/>
  <c r="AK9" i="4" s="1"/>
  <c r="S29" i="1"/>
  <c r="AI7" i="4" s="1"/>
  <c r="V28" i="1"/>
  <c r="M34" i="23"/>
  <c r="M28" i="4" s="1"/>
  <c r="K32" i="23"/>
  <c r="K26" i="4" s="1"/>
  <c r="L29" i="23"/>
  <c r="L23" i="4" s="1"/>
  <c r="S35" i="23"/>
  <c r="AI29" i="4" s="1"/>
  <c r="S33" i="23"/>
  <c r="AI27" i="4" s="1"/>
  <c r="T31" i="23"/>
  <c r="AJ25" i="4" s="1"/>
  <c r="T29" i="23"/>
  <c r="AJ23" i="4" s="1"/>
  <c r="J33" i="1"/>
  <c r="J11" i="4" s="1"/>
  <c r="K34" i="1"/>
  <c r="K12" i="4" s="1"/>
  <c r="L31" i="1"/>
  <c r="L9" i="4" s="1"/>
  <c r="M28" i="1"/>
  <c r="S34" i="1"/>
  <c r="AI12" i="4" s="1"/>
  <c r="V33" i="1"/>
  <c r="AL11" i="4" s="1"/>
  <c r="T31" i="1"/>
  <c r="AJ9" i="4" s="1"/>
  <c r="U28" i="1"/>
  <c r="L34" i="23"/>
  <c r="L28" i="4" s="1"/>
  <c r="M31" i="23"/>
  <c r="M25" i="4" s="1"/>
  <c r="K29" i="23"/>
  <c r="K23" i="4" s="1"/>
  <c r="R35" i="23"/>
  <c r="AH29" i="4" s="1"/>
  <c r="V34" i="23"/>
  <c r="AL28" i="4" s="1"/>
  <c r="R33" i="23"/>
  <c r="AH27" i="4" s="1"/>
  <c r="V32" i="23"/>
  <c r="AL26" i="4" s="1"/>
  <c r="S31" i="23"/>
  <c r="AI25" i="4" s="1"/>
  <c r="S29" i="23"/>
  <c r="AI23" i="4" s="1"/>
  <c r="T28" i="1"/>
  <c r="AJ6" i="4" s="1"/>
  <c r="K34" i="23"/>
  <c r="K28" i="4" s="1"/>
  <c r="L31" i="23"/>
  <c r="L25" i="4" s="1"/>
  <c r="M28" i="23"/>
  <c r="U34" i="23"/>
  <c r="AK28" i="4" s="1"/>
  <c r="U32" i="23"/>
  <c r="AK26" i="4" s="1"/>
  <c r="R31" i="23"/>
  <c r="AH25" i="4" s="1"/>
  <c r="V30" i="23"/>
  <c r="AL24" i="4" s="1"/>
  <c r="R29" i="23"/>
  <c r="AH23" i="4" s="1"/>
  <c r="V28" i="23"/>
  <c r="H35" i="1"/>
  <c r="H13" i="4" s="1"/>
  <c r="J31" i="1"/>
  <c r="J9" i="4" s="1"/>
  <c r="J28" i="1"/>
  <c r="J47" i="1" s="1"/>
  <c r="J48" i="1" s="1"/>
  <c r="J54" i="1" s="1"/>
  <c r="L33" i="1"/>
  <c r="L11" i="4" s="1"/>
  <c r="M30" i="1"/>
  <c r="M8" i="4" s="1"/>
  <c r="K28" i="1"/>
  <c r="K6" i="4" s="1"/>
  <c r="V35" i="1"/>
  <c r="AL13" i="4" s="1"/>
  <c r="T33" i="1"/>
  <c r="AJ11" i="4" s="1"/>
  <c r="U30" i="1"/>
  <c r="AK8" i="4" s="1"/>
  <c r="S28" i="1"/>
  <c r="AI6" i="4" s="1"/>
  <c r="M33" i="23"/>
  <c r="M27" i="4" s="1"/>
  <c r="K31" i="23"/>
  <c r="K25" i="4" s="1"/>
  <c r="L28" i="23"/>
  <c r="L46" i="23" s="1"/>
  <c r="L53" i="23" s="1"/>
  <c r="T34" i="23"/>
  <c r="AJ28" i="4" s="1"/>
  <c r="T32" i="23"/>
  <c r="AJ26" i="4" s="1"/>
  <c r="U30" i="23"/>
  <c r="AK24" i="4" s="1"/>
  <c r="U28" i="23"/>
  <c r="AK22" i="4" s="1"/>
  <c r="O36" i="23"/>
  <c r="AE30" i="4" s="1"/>
  <c r="Q35" i="23"/>
  <c r="AG29" i="4" s="1"/>
  <c r="Q31" i="23"/>
  <c r="AG25" i="4" s="1"/>
  <c r="O35" i="23"/>
  <c r="AE29" i="4" s="1"/>
  <c r="P35" i="23"/>
  <c r="AF29" i="4" s="1"/>
  <c r="P31" i="23"/>
  <c r="AF25" i="4" s="1"/>
  <c r="O43" i="23"/>
  <c r="O29" i="23"/>
  <c r="AE23" i="4" s="1"/>
  <c r="P32" i="23"/>
  <c r="AF26" i="4" s="1"/>
  <c r="P28" i="23"/>
  <c r="O42" i="23"/>
  <c r="AE36" i="4" s="1"/>
  <c r="Q33" i="23"/>
  <c r="AG27" i="4" s="1"/>
  <c r="Q29" i="23"/>
  <c r="AG23" i="4" s="1"/>
  <c r="O41" i="23"/>
  <c r="AE35" i="4" s="1"/>
  <c r="P33" i="23"/>
  <c r="AF27" i="4" s="1"/>
  <c r="P29" i="23"/>
  <c r="H30" i="23"/>
  <c r="H24" i="4" s="1"/>
  <c r="D34" i="23"/>
  <c r="D28" i="4" s="1"/>
  <c r="D31" i="23"/>
  <c r="D25" i="4" s="1"/>
  <c r="O40" i="23"/>
  <c r="AE34" i="4" s="1"/>
  <c r="Q34" i="23"/>
  <c r="AG28" i="4" s="1"/>
  <c r="Q30" i="23"/>
  <c r="AG24" i="4" s="1"/>
  <c r="O39" i="23"/>
  <c r="AE33" i="4" s="1"/>
  <c r="P34" i="23"/>
  <c r="AF28" i="4" s="1"/>
  <c r="P30" i="23"/>
  <c r="AF24" i="4" s="1"/>
  <c r="C33" i="1"/>
  <c r="C11" i="4" s="1"/>
  <c r="G29" i="1"/>
  <c r="G7" i="4" s="1"/>
  <c r="Q22" i="4"/>
  <c r="D22" i="4"/>
  <c r="AB22" i="4"/>
  <c r="X22" i="4"/>
  <c r="T22" i="4"/>
  <c r="P22" i="4"/>
  <c r="AX22" i="4"/>
  <c r="AT22" i="4"/>
  <c r="AP22" i="4"/>
  <c r="E22" i="4"/>
  <c r="U22" i="4"/>
  <c r="M22" i="4"/>
  <c r="H22" i="4"/>
  <c r="I22" i="4"/>
  <c r="C22" i="4"/>
  <c r="AU22" i="4"/>
  <c r="G22" i="4"/>
  <c r="AQ22" i="4"/>
  <c r="AA22" i="4"/>
  <c r="W22" i="4"/>
  <c r="S22" i="4"/>
  <c r="O22" i="4"/>
  <c r="BA22" i="4"/>
  <c r="AW22" i="4"/>
  <c r="AS22" i="4"/>
  <c r="AO22" i="4"/>
  <c r="AG22" i="4"/>
  <c r="F22" i="4"/>
  <c r="Y22" i="4"/>
  <c r="J22" i="4"/>
  <c r="Z22" i="4"/>
  <c r="V22" i="4"/>
  <c r="R22" i="4"/>
  <c r="N22" i="4"/>
  <c r="AZ22" i="4"/>
  <c r="AV22" i="4"/>
  <c r="AR22" i="4"/>
  <c r="AN22" i="4"/>
  <c r="AF22" i="4"/>
  <c r="AB6" i="4"/>
  <c r="AZ6" i="4"/>
  <c r="AV6" i="4"/>
  <c r="AR6" i="4"/>
  <c r="AN6" i="4"/>
  <c r="AA6" i="4"/>
  <c r="W6" i="4"/>
  <c r="O6" i="4"/>
  <c r="AU6" i="4"/>
  <c r="AQ6" i="4"/>
  <c r="AG6" i="4"/>
  <c r="L6" i="4"/>
  <c r="Z6" i="4"/>
  <c r="V6" i="4"/>
  <c r="R6" i="4"/>
  <c r="N6" i="4"/>
  <c r="AX6" i="4"/>
  <c r="AT6" i="4"/>
  <c r="P6" i="4"/>
  <c r="AF6" i="4"/>
  <c r="AC6" i="4"/>
  <c r="Y6" i="4"/>
  <c r="U6" i="4"/>
  <c r="Q6" i="4"/>
  <c r="M6" i="4"/>
  <c r="BA6" i="4"/>
  <c r="AW6" i="4"/>
  <c r="AS6" i="4"/>
  <c r="AO6" i="4"/>
  <c r="AI4" i="33"/>
  <c r="AI27" i="33" s="1"/>
  <c r="AI52" i="33" s="1"/>
  <c r="AH4" i="33"/>
  <c r="AH22" i="33" s="1"/>
  <c r="AJ4" i="33"/>
  <c r="AJ22" i="33" s="1"/>
  <c r="AF4" i="33"/>
  <c r="AF27" i="33" s="1"/>
  <c r="AF52" i="33" s="1"/>
  <c r="AB4" i="33"/>
  <c r="AB27" i="33" s="1"/>
  <c r="AB52" i="33" s="1"/>
  <c r="X4" i="33"/>
  <c r="X45" i="33" s="1"/>
  <c r="T4" i="33"/>
  <c r="T22" i="33" s="1"/>
  <c r="Q22" i="1"/>
  <c r="R35" i="1"/>
  <c r="AH13" i="4" s="1"/>
  <c r="G32" i="1"/>
  <c r="G10" i="4" s="1"/>
  <c r="H29" i="1"/>
  <c r="E28" i="1"/>
  <c r="D34" i="1"/>
  <c r="D12" i="4" s="1"/>
  <c r="I31" i="1"/>
  <c r="I9" i="4" s="1"/>
  <c r="F28" i="1"/>
  <c r="R41" i="1"/>
  <c r="AH19" i="4" s="1"/>
  <c r="R37" i="1"/>
  <c r="AH15" i="4" s="1"/>
  <c r="Q29" i="1"/>
  <c r="O37" i="1"/>
  <c r="AE15" i="4" s="1"/>
  <c r="P29" i="1"/>
  <c r="B34" i="1"/>
  <c r="B12" i="4" s="1"/>
  <c r="B35" i="1"/>
  <c r="B13" i="4" s="1"/>
  <c r="C34" i="1"/>
  <c r="C12" i="4" s="1"/>
  <c r="I28" i="1"/>
  <c r="G31" i="1"/>
  <c r="G9" i="4" s="1"/>
  <c r="H28" i="1"/>
  <c r="E34" i="1"/>
  <c r="F31" i="1"/>
  <c r="G28" i="1"/>
  <c r="I32" i="1"/>
  <c r="I10" i="4" s="1"/>
  <c r="I35" i="1"/>
  <c r="G33" i="1"/>
  <c r="E31" i="1"/>
  <c r="E9" i="4" s="1"/>
  <c r="R42" i="1"/>
  <c r="AH20" i="4" s="1"/>
  <c r="R38" i="1"/>
  <c r="AH16" i="4" s="1"/>
  <c r="R34" i="1"/>
  <c r="AH12" i="4" s="1"/>
  <c r="L74" i="4"/>
  <c r="L62" i="4"/>
  <c r="E55" i="4"/>
  <c r="E62" i="4"/>
  <c r="AF21" i="4"/>
  <c r="I52" i="23"/>
  <c r="R4" i="33"/>
  <c r="AD4" i="33"/>
  <c r="Z4" i="33"/>
  <c r="AN21" i="4"/>
  <c r="AT37" i="4"/>
  <c r="AP37" i="4"/>
  <c r="AL37" i="4"/>
  <c r="AH37" i="4"/>
  <c r="K37" i="4"/>
  <c r="I45" i="23"/>
  <c r="AK4" i="33"/>
  <c r="AG4" i="33"/>
  <c r="AC4" i="33"/>
  <c r="U4" i="33"/>
  <c r="AH21" i="4"/>
  <c r="AG21" i="4"/>
  <c r="AE4" i="33"/>
  <c r="AA4" i="33"/>
  <c r="S4" i="33"/>
  <c r="C27" i="23"/>
  <c r="C52" i="23" s="1"/>
  <c r="I27" i="23"/>
  <c r="P21" i="4"/>
  <c r="AT21" i="4"/>
  <c r="AR21" i="4"/>
  <c r="AP21" i="4"/>
  <c r="AL21" i="4"/>
  <c r="AJ21" i="4"/>
  <c r="B21" i="4"/>
  <c r="O37" i="23"/>
  <c r="AE31" i="4" s="1"/>
  <c r="O34" i="23"/>
  <c r="AE28" i="4" s="1"/>
  <c r="O38" i="23"/>
  <c r="AB37" i="4"/>
  <c r="T37" i="4"/>
  <c r="AR37" i="4"/>
  <c r="AJ37" i="4"/>
  <c r="B38" i="23"/>
  <c r="F37" i="4"/>
  <c r="O37" i="4"/>
  <c r="AQ37" i="4"/>
  <c r="V37" i="4"/>
  <c r="R37" i="4"/>
  <c r="N37" i="4"/>
  <c r="AX37" i="4"/>
  <c r="X37" i="4"/>
  <c r="P37" i="4"/>
  <c r="L37" i="4"/>
  <c r="AN37" i="4"/>
  <c r="AF37" i="4"/>
  <c r="AA37" i="4"/>
  <c r="S37" i="4"/>
  <c r="AM37" i="4"/>
  <c r="AI37" i="4"/>
  <c r="J37" i="4"/>
  <c r="H37" i="4"/>
  <c r="W37" i="4"/>
  <c r="AC37" i="4"/>
  <c r="Y37" i="4"/>
  <c r="U37" i="4"/>
  <c r="Q37" i="4"/>
  <c r="M37" i="4"/>
  <c r="AE37" i="4"/>
  <c r="BA37" i="4"/>
  <c r="AG4" i="4"/>
  <c r="AG62" i="4" s="1"/>
  <c r="Z4" i="1"/>
  <c r="AP4" i="4" s="1"/>
  <c r="AP74" i="4" s="1"/>
  <c r="P27" i="23"/>
  <c r="P52" i="23" s="1"/>
  <c r="Z4" i="4"/>
  <c r="J4" i="1"/>
  <c r="J4" i="4" s="1"/>
  <c r="J4" i="23"/>
  <c r="J45" i="23" s="1"/>
  <c r="M4" i="23"/>
  <c r="M27" i="23" s="1"/>
  <c r="M4" i="1"/>
  <c r="M4" i="4" s="1"/>
  <c r="P4" i="4"/>
  <c r="L45" i="1"/>
  <c r="L27" i="1"/>
  <c r="L52" i="1" s="1"/>
  <c r="O32" i="23"/>
  <c r="O31" i="23"/>
  <c r="AE25" i="4" s="1"/>
  <c r="O30" i="23"/>
  <c r="AE24" i="4" s="1"/>
  <c r="B33" i="23"/>
  <c r="B27" i="4" s="1"/>
  <c r="B28" i="23"/>
  <c r="B30" i="23"/>
  <c r="B24" i="4" s="1"/>
  <c r="B34" i="23"/>
  <c r="B28" i="4" s="1"/>
  <c r="B35" i="23"/>
  <c r="AA46" i="23"/>
  <c r="AA53" i="23" s="1"/>
  <c r="O28" i="23"/>
  <c r="B31" i="23"/>
  <c r="B25" i="4" s="1"/>
  <c r="G47" i="23"/>
  <c r="G48" i="23" s="1"/>
  <c r="G54" i="23" s="1"/>
  <c r="B29" i="23"/>
  <c r="B23" i="4" s="1"/>
  <c r="P24" i="4"/>
  <c r="P46" i="23"/>
  <c r="P53" i="23" s="1"/>
  <c r="Q4" i="4"/>
  <c r="Q62" i="4" s="1"/>
  <c r="Q32" i="1"/>
  <c r="P32" i="1"/>
  <c r="AF10" i="4" s="1"/>
  <c r="D4" i="4"/>
  <c r="AF23" i="4"/>
  <c r="O29" i="1"/>
  <c r="AE7" i="4" s="1"/>
  <c r="B27" i="23"/>
  <c r="B52" i="23" s="1"/>
  <c r="K45" i="23"/>
  <c r="E27" i="23"/>
  <c r="E52" i="23" s="1"/>
  <c r="Q30" i="1"/>
  <c r="AG8" i="4" s="1"/>
  <c r="B29" i="1"/>
  <c r="B7" i="4" s="1"/>
  <c r="P35" i="1"/>
  <c r="AF13" i="4" s="1"/>
  <c r="P31" i="1"/>
  <c r="AF9" i="4" s="1"/>
  <c r="H22" i="23"/>
  <c r="AQ23" i="4"/>
  <c r="AB47" i="23"/>
  <c r="AB48" i="23" s="1"/>
  <c r="AB54" i="23" s="1"/>
  <c r="V47" i="23"/>
  <c r="V48" i="23" s="1"/>
  <c r="V54" i="23" s="1"/>
  <c r="Z47" i="23"/>
  <c r="Z48" i="23" s="1"/>
  <c r="Z54" i="23" s="1"/>
  <c r="K47" i="23"/>
  <c r="K48" i="23" s="1"/>
  <c r="K54" i="23" s="1"/>
  <c r="T25" i="4"/>
  <c r="D47" i="23"/>
  <c r="D48" i="23" s="1"/>
  <c r="D54" i="23" s="1"/>
  <c r="G46" i="23"/>
  <c r="G53" i="23" s="1"/>
  <c r="P37" i="1"/>
  <c r="F22" i="23"/>
  <c r="AF46" i="23"/>
  <c r="AF53" i="23" s="1"/>
  <c r="AC22" i="4"/>
  <c r="AD47" i="23"/>
  <c r="AD48" i="23" s="1"/>
  <c r="AD54" i="23" s="1"/>
  <c r="K46" i="23"/>
  <c r="K53" i="23" s="1"/>
  <c r="L47" i="23"/>
  <c r="L48" i="23" s="1"/>
  <c r="L54" i="23" s="1"/>
  <c r="E46" i="23"/>
  <c r="E53" i="23" s="1"/>
  <c r="O36" i="1"/>
  <c r="H45" i="23"/>
  <c r="AK47" i="23"/>
  <c r="AK48" i="23" s="1"/>
  <c r="AK54" i="23" s="1"/>
  <c r="AA47" i="23"/>
  <c r="AA48" i="23" s="1"/>
  <c r="AA54" i="23" s="1"/>
  <c r="H47" i="23"/>
  <c r="H48" i="23" s="1"/>
  <c r="H54" i="23" s="1"/>
  <c r="D46" i="23"/>
  <c r="D53" i="23" s="1"/>
  <c r="AR23" i="4"/>
  <c r="AB46" i="23"/>
  <c r="AB53" i="23" s="1"/>
  <c r="X47" i="23"/>
  <c r="X48" i="23" s="1"/>
  <c r="X54" i="23" s="1"/>
  <c r="R31" i="1"/>
  <c r="AH9" i="4" s="1"/>
  <c r="AL22" i="4"/>
  <c r="AN27" i="4"/>
  <c r="AR27" i="4"/>
  <c r="AK29" i="4"/>
  <c r="AJ46" i="23"/>
  <c r="AJ53" i="23" s="1"/>
  <c r="AF47" i="23"/>
  <c r="AF48" i="23" s="1"/>
  <c r="AF54" i="23" s="1"/>
  <c r="AC46" i="23"/>
  <c r="AC53" i="23" s="1"/>
  <c r="AJ27" i="4"/>
  <c r="X46" i="23"/>
  <c r="X53" i="23" s="1"/>
  <c r="Y47" i="23"/>
  <c r="Y48" i="23" s="1"/>
  <c r="Y54" i="23" s="1"/>
  <c r="AJ47" i="23"/>
  <c r="AJ48" i="23" s="1"/>
  <c r="AJ54" i="23" s="1"/>
  <c r="AG46" i="23"/>
  <c r="AG53" i="23" s="1"/>
  <c r="H46" i="23"/>
  <c r="H53" i="23" s="1"/>
  <c r="AG47" i="23"/>
  <c r="AG48" i="23" s="1"/>
  <c r="AG54" i="23" s="1"/>
  <c r="AK46" i="23"/>
  <c r="AK53" i="23" s="1"/>
  <c r="J57" i="1"/>
  <c r="E57" i="23"/>
  <c r="M57" i="1"/>
  <c r="AH57" i="1"/>
  <c r="AD57" i="1"/>
  <c r="Z57" i="1"/>
  <c r="V57" i="1"/>
  <c r="AJ57" i="23"/>
  <c r="AG57" i="23"/>
  <c r="AC57" i="23"/>
  <c r="Y57" i="23"/>
  <c r="U57" i="23"/>
  <c r="Q57" i="23"/>
  <c r="J57" i="23"/>
  <c r="H57" i="23"/>
  <c r="L57" i="1"/>
  <c r="AK57" i="1"/>
  <c r="AG57" i="1"/>
  <c r="AC57" i="1"/>
  <c r="Y57" i="1"/>
  <c r="U57" i="1"/>
  <c r="M57" i="23"/>
  <c r="AI57" i="23"/>
  <c r="AF57" i="23"/>
  <c r="AB57" i="23"/>
  <c r="X57" i="23"/>
  <c r="T57" i="23"/>
  <c r="P57" i="23"/>
  <c r="C57" i="23"/>
  <c r="F57" i="23"/>
  <c r="I57" i="23"/>
  <c r="K57" i="1"/>
  <c r="AJ57" i="1"/>
  <c r="AF57" i="1"/>
  <c r="AB57" i="1"/>
  <c r="X57" i="1"/>
  <c r="T57" i="1"/>
  <c r="L57" i="23"/>
  <c r="AE57" i="23"/>
  <c r="AA57" i="23"/>
  <c r="W57" i="23"/>
  <c r="S57" i="23"/>
  <c r="D57" i="23"/>
  <c r="G57" i="23"/>
  <c r="AI57" i="1"/>
  <c r="AE57" i="1"/>
  <c r="AA57" i="1"/>
  <c r="W57" i="1"/>
  <c r="S57" i="1"/>
  <c r="K57" i="23"/>
  <c r="AK57" i="23"/>
  <c r="AH57" i="23"/>
  <c r="AD57" i="23"/>
  <c r="Z57" i="23"/>
  <c r="V57" i="23"/>
  <c r="R57" i="23"/>
  <c r="J21" i="4"/>
  <c r="E37" i="4"/>
  <c r="AC21" i="4"/>
  <c r="Y21" i="4"/>
  <c r="U21" i="4"/>
  <c r="Q21" i="4"/>
  <c r="M21" i="4"/>
  <c r="R28" i="1"/>
  <c r="AZ37" i="4"/>
  <c r="AW37" i="4"/>
  <c r="R30" i="1"/>
  <c r="AH8" i="4" s="1"/>
  <c r="AB21" i="4"/>
  <c r="T21" i="4"/>
  <c r="L21" i="4"/>
  <c r="AW21" i="4"/>
  <c r="AS21" i="4"/>
  <c r="AO21" i="4"/>
  <c r="AK21" i="4"/>
  <c r="AY37" i="4"/>
  <c r="AV37" i="4"/>
  <c r="R29" i="1"/>
  <c r="AH7" i="4" s="1"/>
  <c r="D21" i="4"/>
  <c r="C37" i="4"/>
  <c r="I37" i="4"/>
  <c r="W21" i="4"/>
  <c r="S21" i="4"/>
  <c r="O21" i="4"/>
  <c r="K21" i="4"/>
  <c r="AU37" i="4"/>
  <c r="P36" i="1"/>
  <c r="AF14" i="4" s="1"/>
  <c r="R32" i="1"/>
  <c r="C21" i="4"/>
  <c r="B37" i="4"/>
  <c r="D37" i="4"/>
  <c r="G37" i="4"/>
  <c r="Z21" i="4"/>
  <c r="V21" i="4"/>
  <c r="R21" i="4"/>
  <c r="N21" i="4"/>
  <c r="O34" i="1"/>
  <c r="AE12" i="4" s="1"/>
  <c r="O35" i="1"/>
  <c r="AE13" i="4" s="1"/>
  <c r="O33" i="1"/>
  <c r="AE11" i="4" s="1"/>
  <c r="O30" i="1"/>
  <c r="AE8" i="4" s="1"/>
  <c r="B31" i="1"/>
  <c r="B9" i="4" s="1"/>
  <c r="O31" i="1"/>
  <c r="AE9" i="4" s="1"/>
  <c r="W47" i="1"/>
  <c r="W48" i="1" s="1"/>
  <c r="W54" i="1" s="1"/>
  <c r="X46" i="1"/>
  <c r="X53" i="1" s="1"/>
  <c r="Y46" i="1"/>
  <c r="Y53" i="1" s="1"/>
  <c r="Z8" i="4"/>
  <c r="B32" i="1"/>
  <c r="D28" i="1"/>
  <c r="C32" i="1"/>
  <c r="AN7" i="4"/>
  <c r="AH46" i="1"/>
  <c r="AH53" i="1" s="1"/>
  <c r="B28" i="1"/>
  <c r="X6" i="4"/>
  <c r="D32" i="1"/>
  <c r="O9" i="4"/>
  <c r="X47" i="1"/>
  <c r="X48" i="1" s="1"/>
  <c r="X54" i="1" s="1"/>
  <c r="B30" i="1"/>
  <c r="B8" i="4" s="1"/>
  <c r="C28" i="1"/>
  <c r="D31" i="1"/>
  <c r="D9" i="4" s="1"/>
  <c r="AB47" i="1"/>
  <c r="AB48" i="1" s="1"/>
  <c r="AB54" i="1" s="1"/>
  <c r="AY6" i="4"/>
  <c r="AI47" i="1"/>
  <c r="AI48" i="1" s="1"/>
  <c r="AI54" i="1" s="1"/>
  <c r="AI46" i="1"/>
  <c r="AI53" i="1" s="1"/>
  <c r="AA46" i="1"/>
  <c r="AA53" i="1" s="1"/>
  <c r="AA47" i="1"/>
  <c r="AA48" i="1" s="1"/>
  <c r="AA54" i="1" s="1"/>
  <c r="W46" i="1"/>
  <c r="W53" i="1" s="1"/>
  <c r="V9" i="4"/>
  <c r="R9" i="4"/>
  <c r="AC8" i="4"/>
  <c r="Z46" i="1"/>
  <c r="Z53" i="1" s="1"/>
  <c r="Z47" i="1"/>
  <c r="Z48" i="1" s="1"/>
  <c r="Z54" i="1" s="1"/>
  <c r="AP6" i="4"/>
  <c r="O28" i="1"/>
  <c r="C30" i="1"/>
  <c r="C8" i="4" s="1"/>
  <c r="C31" i="1"/>
  <c r="C9" i="4" s="1"/>
  <c r="D29" i="1"/>
  <c r="D7" i="4" s="1"/>
  <c r="D30" i="1"/>
  <c r="O10" i="4"/>
  <c r="AC47" i="1"/>
  <c r="AC48" i="1" s="1"/>
  <c r="AC54" i="1" s="1"/>
  <c r="AB46" i="1"/>
  <c r="AB53" i="1" s="1"/>
  <c r="AO12" i="4"/>
  <c r="AN11" i="4"/>
  <c r="AH47" i="1"/>
  <c r="AH48" i="1" s="1"/>
  <c r="AH54" i="1" s="1"/>
  <c r="S6" i="4"/>
  <c r="AV9" i="4"/>
  <c r="AF46" i="1"/>
  <c r="AF53" i="1" s="1"/>
  <c r="AF47" i="1"/>
  <c r="AF48" i="1" s="1"/>
  <c r="AF54" i="1" s="1"/>
  <c r="AD46" i="1"/>
  <c r="AD53" i="1" s="1"/>
  <c r="T6" i="4"/>
  <c r="AD47" i="1"/>
  <c r="AD48" i="1" s="1"/>
  <c r="AD54" i="1" s="1"/>
  <c r="AL6" i="4"/>
  <c r="V47" i="1"/>
  <c r="V48" i="1" s="1"/>
  <c r="V54" i="1" s="1"/>
  <c r="Y47" i="1"/>
  <c r="Y48" i="1" s="1"/>
  <c r="Y54" i="1" s="1"/>
  <c r="AM6" i="4"/>
  <c r="AM63" i="4" s="1"/>
  <c r="AM64" i="4" s="1"/>
  <c r="AG46" i="1"/>
  <c r="AG53" i="1" s="1"/>
  <c r="AW11" i="4"/>
  <c r="AG47" i="1"/>
  <c r="AG48" i="1" s="1"/>
  <c r="AG54" i="1" s="1"/>
  <c r="AC46" i="1"/>
  <c r="AC53" i="1" s="1"/>
  <c r="AX21" i="4"/>
  <c r="AU21" i="4"/>
  <c r="G21" i="4"/>
  <c r="BA21" i="4"/>
  <c r="I21" i="4"/>
  <c r="F21" i="4"/>
  <c r="X21" i="4"/>
  <c r="AZ21" i="4"/>
  <c r="H21" i="4"/>
  <c r="E21" i="4"/>
  <c r="AA21" i="4"/>
  <c r="AY21" i="4"/>
  <c r="AV21" i="4"/>
  <c r="L52" i="23"/>
  <c r="E7" i="4"/>
  <c r="D17" i="4"/>
  <c r="F8" i="4"/>
  <c r="J10" i="4"/>
  <c r="C4" i="4"/>
  <c r="C47" i="23"/>
  <c r="C48" i="23" s="1"/>
  <c r="C54" i="23" s="1"/>
  <c r="J47" i="23"/>
  <c r="J48" i="23" s="1"/>
  <c r="J54" i="23" s="1"/>
  <c r="E47" i="23"/>
  <c r="E48" i="23" s="1"/>
  <c r="E54" i="23" s="1"/>
  <c r="I46" i="23"/>
  <c r="I53" i="23" s="1"/>
  <c r="F47" i="23"/>
  <c r="F48" i="23" s="1"/>
  <c r="F54" i="23" s="1"/>
  <c r="F46" i="23"/>
  <c r="F53" i="23" s="1"/>
  <c r="J46" i="23"/>
  <c r="J53" i="23" s="1"/>
  <c r="I47" i="23"/>
  <c r="I48" i="23" s="1"/>
  <c r="I54" i="23" s="1"/>
  <c r="C46" i="23"/>
  <c r="C53" i="23" s="1"/>
  <c r="G27" i="23"/>
  <c r="G52" i="23" s="1"/>
  <c r="AC47" i="23"/>
  <c r="AC48" i="23" s="1"/>
  <c r="AC54" i="23" s="1"/>
  <c r="Y46" i="23"/>
  <c r="Y53" i="23" s="1"/>
  <c r="K27" i="23"/>
  <c r="L22" i="1"/>
  <c r="D27" i="1"/>
  <c r="D52" i="1" s="1"/>
  <c r="D45" i="1"/>
  <c r="D22" i="23"/>
  <c r="D45" i="23"/>
  <c r="D27" i="23"/>
  <c r="D52" i="23" s="1"/>
  <c r="W47" i="23"/>
  <c r="W48" i="23" s="1"/>
  <c r="W54" i="23" s="1"/>
  <c r="S47" i="23"/>
  <c r="S48" i="23" s="1"/>
  <c r="S54" i="23" s="1"/>
  <c r="AD46" i="23"/>
  <c r="AD53" i="23" s="1"/>
  <c r="V46" i="23"/>
  <c r="V53" i="23" s="1"/>
  <c r="AE47" i="23"/>
  <c r="AE48" i="23" s="1"/>
  <c r="AE54" i="23" s="1"/>
  <c r="AK46" i="1"/>
  <c r="AK53" i="1" s="1"/>
  <c r="AE46" i="1"/>
  <c r="AE53" i="1" s="1"/>
  <c r="F45" i="23"/>
  <c r="AE47" i="1"/>
  <c r="AE48" i="1" s="1"/>
  <c r="AE54" i="1" s="1"/>
  <c r="AK47" i="1"/>
  <c r="AK48" i="1" s="1"/>
  <c r="AK54" i="1" s="1"/>
  <c r="AH47" i="23"/>
  <c r="AH48" i="23" s="1"/>
  <c r="AH54" i="23" s="1"/>
  <c r="W46" i="23"/>
  <c r="W53" i="23" s="1"/>
  <c r="AI46" i="23"/>
  <c r="AI53" i="23" s="1"/>
  <c r="AA25" i="4"/>
  <c r="AY22" i="4"/>
  <c r="AI47" i="23"/>
  <c r="AI48" i="23" s="1"/>
  <c r="AI54" i="23" s="1"/>
  <c r="Z46" i="23"/>
  <c r="Z53" i="23" s="1"/>
  <c r="E22" i="23"/>
  <c r="AJ47" i="1"/>
  <c r="AJ48" i="1" s="1"/>
  <c r="AJ54" i="1" s="1"/>
  <c r="AJ46" i="1"/>
  <c r="AJ53" i="1" s="1"/>
  <c r="AE46" i="23"/>
  <c r="AE53" i="23" s="1"/>
  <c r="Z37" i="4"/>
  <c r="AX30" i="4"/>
  <c r="AH46" i="23"/>
  <c r="AH53" i="23" s="1"/>
  <c r="G22" i="23"/>
  <c r="K22" i="23"/>
  <c r="L45" i="23"/>
  <c r="O22" i="23"/>
  <c r="Q22" i="23"/>
  <c r="B22" i="23"/>
  <c r="C22" i="23"/>
  <c r="L22" i="23"/>
  <c r="Q27" i="23"/>
  <c r="Q52" i="23" s="1"/>
  <c r="O27" i="23"/>
  <c r="O52" i="23" s="1"/>
  <c r="E45" i="1"/>
  <c r="B27" i="1"/>
  <c r="B52" i="1" s="1"/>
  <c r="K27" i="1"/>
  <c r="K52" i="1" s="1"/>
  <c r="F4" i="4"/>
  <c r="N4" i="4"/>
  <c r="G22" i="1"/>
  <c r="F45" i="1"/>
  <c r="C22" i="1"/>
  <c r="B22" i="1"/>
  <c r="G45" i="1"/>
  <c r="E27" i="1"/>
  <c r="E52" i="1" s="1"/>
  <c r="E22" i="1"/>
  <c r="I22" i="1"/>
  <c r="I27" i="1"/>
  <c r="P27" i="1"/>
  <c r="P52" i="1" s="1"/>
  <c r="H4" i="4"/>
  <c r="F22" i="1"/>
  <c r="I4" i="4"/>
  <c r="G4" i="4"/>
  <c r="C27" i="1"/>
  <c r="C52" i="1" s="1"/>
  <c r="B45" i="1"/>
  <c r="K74" i="4"/>
  <c r="K22" i="1"/>
  <c r="H22" i="1"/>
  <c r="AE4" i="4"/>
  <c r="H45" i="1"/>
  <c r="O45" i="1"/>
  <c r="AF4" i="4"/>
  <c r="K45" i="1"/>
  <c r="P45" i="1"/>
  <c r="O27" i="1"/>
  <c r="O52" i="1" s="1"/>
  <c r="I52" i="1"/>
  <c r="K55" i="4"/>
  <c r="B55" i="4"/>
  <c r="L55" i="4"/>
  <c r="E74" i="4"/>
  <c r="B74" i="4"/>
  <c r="R46" i="23" l="1"/>
  <c r="R53" i="23" s="1"/>
  <c r="K47" i="1"/>
  <c r="K48" i="1" s="1"/>
  <c r="K54" i="1" s="1"/>
  <c r="U46" i="1"/>
  <c r="U53" i="1" s="1"/>
  <c r="J6" i="4"/>
  <c r="L46" i="1"/>
  <c r="L53" i="1" s="1"/>
  <c r="J46" i="1"/>
  <c r="J53" i="1" s="1"/>
  <c r="S46" i="1"/>
  <c r="S53" i="1" s="1"/>
  <c r="L47" i="1"/>
  <c r="L48" i="1" s="1"/>
  <c r="L54" i="1" s="1"/>
  <c r="K9" i="4"/>
  <c r="K63" i="4" s="1"/>
  <c r="K64" i="4" s="1"/>
  <c r="U47" i="1"/>
  <c r="U48" i="1" s="1"/>
  <c r="U54" i="1" s="1"/>
  <c r="T47" i="23"/>
  <c r="T48" i="23" s="1"/>
  <c r="T54" i="23" s="1"/>
  <c r="M47" i="23"/>
  <c r="M48" i="23" s="1"/>
  <c r="M54" i="23" s="1"/>
  <c r="M46" i="23"/>
  <c r="M53" i="23" s="1"/>
  <c r="AK6" i="4"/>
  <c r="AK57" i="4" s="1"/>
  <c r="AK58" i="4" s="1"/>
  <c r="AK76" i="4" s="1"/>
  <c r="M46" i="1"/>
  <c r="M53" i="1" s="1"/>
  <c r="AH22" i="4"/>
  <c r="U46" i="23"/>
  <c r="U53" i="23" s="1"/>
  <c r="S46" i="23"/>
  <c r="S53" i="23" s="1"/>
  <c r="U47" i="23"/>
  <c r="U48" i="23" s="1"/>
  <c r="U54" i="23" s="1"/>
  <c r="T47" i="1"/>
  <c r="T48" i="1" s="1"/>
  <c r="T54" i="1" s="1"/>
  <c r="K46" i="1"/>
  <c r="K53" i="1" s="1"/>
  <c r="L22" i="4"/>
  <c r="L63" i="4" s="1"/>
  <c r="L64" i="4" s="1"/>
  <c r="V46" i="1"/>
  <c r="V53" i="1" s="1"/>
  <c r="T46" i="1"/>
  <c r="T53" i="1" s="1"/>
  <c r="M47" i="1"/>
  <c r="M48" i="1" s="1"/>
  <c r="M54" i="1" s="1"/>
  <c r="R47" i="23"/>
  <c r="R48" i="23" s="1"/>
  <c r="R54" i="23" s="1"/>
  <c r="S47" i="1"/>
  <c r="S48" i="1" s="1"/>
  <c r="S54" i="1" s="1"/>
  <c r="W56" i="4"/>
  <c r="T46" i="23"/>
  <c r="T53" i="23" s="1"/>
  <c r="Q46" i="23"/>
  <c r="Q53" i="23" s="1"/>
  <c r="Q47" i="23"/>
  <c r="Q48" i="23" s="1"/>
  <c r="Q54" i="23" s="1"/>
  <c r="P47" i="23"/>
  <c r="P48" i="23" s="1"/>
  <c r="P54" i="23" s="1"/>
  <c r="M63" i="4"/>
  <c r="M64" i="4" s="1"/>
  <c r="AI63" i="4"/>
  <c r="AI64" i="4" s="1"/>
  <c r="F46" i="1"/>
  <c r="F53" i="1" s="1"/>
  <c r="S63" i="4"/>
  <c r="S64" i="4" s="1"/>
  <c r="AT63" i="4"/>
  <c r="AT64" i="4" s="1"/>
  <c r="AU63" i="4"/>
  <c r="AU64" i="4" s="1"/>
  <c r="AW63" i="4"/>
  <c r="AW64" i="4" s="1"/>
  <c r="R63" i="4"/>
  <c r="R64" i="4" s="1"/>
  <c r="AB63" i="4"/>
  <c r="AB64" i="4" s="1"/>
  <c r="Y63" i="4"/>
  <c r="Y64" i="4" s="1"/>
  <c r="AZ63" i="4"/>
  <c r="AZ64" i="4" s="1"/>
  <c r="BA63" i="4"/>
  <c r="BA64" i="4" s="1"/>
  <c r="AQ63" i="4"/>
  <c r="AQ64" i="4" s="1"/>
  <c r="B22" i="4"/>
  <c r="AO57" i="4"/>
  <c r="AO58" i="4" s="1"/>
  <c r="AO76" i="4" s="1"/>
  <c r="D6" i="4"/>
  <c r="AS63" i="4"/>
  <c r="AS64" i="4" s="1"/>
  <c r="AH6" i="4"/>
  <c r="I6" i="4"/>
  <c r="AF7" i="4"/>
  <c r="E6" i="4"/>
  <c r="AE6" i="4"/>
  <c r="B6" i="4"/>
  <c r="C6" i="4"/>
  <c r="H6" i="4"/>
  <c r="H56" i="4" s="1"/>
  <c r="H75" i="4" s="1"/>
  <c r="F6" i="4"/>
  <c r="P47" i="1"/>
  <c r="P48" i="1" s="1"/>
  <c r="P54" i="1" s="1"/>
  <c r="V63" i="4"/>
  <c r="V64" i="4" s="1"/>
  <c r="Q63" i="4"/>
  <c r="Q64" i="4" s="1"/>
  <c r="G6" i="4"/>
  <c r="AG7" i="4"/>
  <c r="AC63" i="4"/>
  <c r="AC64" i="4" s="1"/>
  <c r="AI22" i="33"/>
  <c r="Z63" i="4"/>
  <c r="Z64" i="4" s="1"/>
  <c r="P63" i="4"/>
  <c r="P64" i="4" s="1"/>
  <c r="AI45" i="33"/>
  <c r="AB45" i="33"/>
  <c r="AB22" i="33"/>
  <c r="AA63" i="4"/>
  <c r="AA64" i="4" s="1"/>
  <c r="AV63" i="4"/>
  <c r="AV64" i="4" s="1"/>
  <c r="O63" i="4"/>
  <c r="O64" i="4" s="1"/>
  <c r="AN63" i="4"/>
  <c r="AN64" i="4" s="1"/>
  <c r="AK63" i="4"/>
  <c r="AK64" i="4" s="1"/>
  <c r="AR63" i="4"/>
  <c r="AR64" i="4" s="1"/>
  <c r="J63" i="4"/>
  <c r="J64" i="4" s="1"/>
  <c r="AX63" i="4"/>
  <c r="AX64" i="4" s="1"/>
  <c r="AL63" i="4"/>
  <c r="AL64" i="4" s="1"/>
  <c r="U63" i="4"/>
  <c r="U64" i="4" s="1"/>
  <c r="AJ63" i="4"/>
  <c r="AJ64" i="4" s="1"/>
  <c r="AP63" i="4"/>
  <c r="AP64" i="4" s="1"/>
  <c r="AY63" i="4"/>
  <c r="AY64" i="4" s="1"/>
  <c r="X63" i="4"/>
  <c r="X64" i="4" s="1"/>
  <c r="T63" i="4"/>
  <c r="T64" i="4" s="1"/>
  <c r="N63" i="4"/>
  <c r="N64" i="4" s="1"/>
  <c r="AS56" i="4"/>
  <c r="AS75" i="4" s="1"/>
  <c r="AO63" i="4"/>
  <c r="AO64" i="4" s="1"/>
  <c r="W63" i="4"/>
  <c r="W64" i="4" s="1"/>
  <c r="AH27" i="33"/>
  <c r="AH52" i="33" s="1"/>
  <c r="AJ27" i="33"/>
  <c r="AJ52" i="33" s="1"/>
  <c r="AH45" i="33"/>
  <c r="AF45" i="33"/>
  <c r="AD4" i="1"/>
  <c r="AD22" i="1" s="1"/>
  <c r="T27" i="33"/>
  <c r="T52" i="33" s="1"/>
  <c r="AF22" i="33"/>
  <c r="AJ45" i="33"/>
  <c r="AE4" i="1"/>
  <c r="AE45" i="1" s="1"/>
  <c r="T45" i="33"/>
  <c r="X27" i="33"/>
  <c r="X52" i="33" s="1"/>
  <c r="X22" i="33"/>
  <c r="AD4" i="23"/>
  <c r="AD22" i="23" s="1"/>
  <c r="I47" i="1"/>
  <c r="I48" i="1" s="1"/>
  <c r="I54" i="1" s="1"/>
  <c r="F47" i="1"/>
  <c r="F48" i="1" s="1"/>
  <c r="F54" i="1" s="1"/>
  <c r="G47" i="1"/>
  <c r="G48" i="1" s="1"/>
  <c r="G54" i="1" s="1"/>
  <c r="E47" i="1"/>
  <c r="E48" i="1" s="1"/>
  <c r="E54" i="1" s="1"/>
  <c r="Q46" i="1"/>
  <c r="Q53" i="1" s="1"/>
  <c r="E46" i="1"/>
  <c r="E53" i="1" s="1"/>
  <c r="Q47" i="1"/>
  <c r="Q48" i="1" s="1"/>
  <c r="Q54" i="1" s="1"/>
  <c r="I46" i="1"/>
  <c r="I53" i="1" s="1"/>
  <c r="AG74" i="4"/>
  <c r="AE4" i="23"/>
  <c r="AE27" i="23" s="1"/>
  <c r="AE52" i="23" s="1"/>
  <c r="Z4" i="23"/>
  <c r="Z45" i="23" s="1"/>
  <c r="AB57" i="4"/>
  <c r="AB58" i="4" s="1"/>
  <c r="AB76" i="4" s="1"/>
  <c r="M57" i="4"/>
  <c r="M58" i="4" s="1"/>
  <c r="M76" i="4" s="1"/>
  <c r="AX56" i="4"/>
  <c r="AX75" i="4" s="1"/>
  <c r="AC57" i="4"/>
  <c r="AC58" i="4" s="1"/>
  <c r="AC76" i="4" s="1"/>
  <c r="U56" i="4"/>
  <c r="U75" i="4" s="1"/>
  <c r="AW56" i="4"/>
  <c r="AW75" i="4" s="1"/>
  <c r="Z57" i="4"/>
  <c r="Z58" i="4" s="1"/>
  <c r="Z76" i="4" s="1"/>
  <c r="AJ57" i="4"/>
  <c r="AJ58" i="4" s="1"/>
  <c r="AJ76" i="4" s="1"/>
  <c r="H57" i="1"/>
  <c r="G57" i="1"/>
  <c r="F57" i="1"/>
  <c r="I57" i="1"/>
  <c r="E57" i="1"/>
  <c r="H7" i="4"/>
  <c r="G46" i="1"/>
  <c r="G53" i="1" s="1"/>
  <c r="H46" i="1"/>
  <c r="H53" i="1" s="1"/>
  <c r="H47" i="1"/>
  <c r="H48" i="1" s="1"/>
  <c r="H54" i="1" s="1"/>
  <c r="G11" i="4"/>
  <c r="F9" i="4"/>
  <c r="AV57" i="4"/>
  <c r="AV58" i="4" s="1"/>
  <c r="AV76" i="4" s="1"/>
  <c r="V56" i="4"/>
  <c r="V75" i="4" s="1"/>
  <c r="O57" i="4"/>
  <c r="O58" i="4" s="1"/>
  <c r="O76" i="4" s="1"/>
  <c r="AN56" i="4"/>
  <c r="AN75" i="4" s="1"/>
  <c r="I13" i="4"/>
  <c r="E12" i="4"/>
  <c r="I55" i="4"/>
  <c r="I62" i="4"/>
  <c r="N55" i="4"/>
  <c r="N62" i="4"/>
  <c r="AL57" i="4"/>
  <c r="AL58" i="4" s="1"/>
  <c r="AL76" i="4" s="1"/>
  <c r="AL56" i="4"/>
  <c r="AL75" i="4" s="1"/>
  <c r="T56" i="4"/>
  <c r="T75" i="4" s="1"/>
  <c r="T57" i="4"/>
  <c r="T58" i="4" s="1"/>
  <c r="T76" i="4" s="1"/>
  <c r="P55" i="4"/>
  <c r="P62" i="4"/>
  <c r="Z55" i="4"/>
  <c r="Z62" i="4"/>
  <c r="AP55" i="4"/>
  <c r="AP62" i="4"/>
  <c r="W4" i="1"/>
  <c r="W45" i="1" s="1"/>
  <c r="W4" i="33"/>
  <c r="AC22" i="33"/>
  <c r="AC45" i="33"/>
  <c r="AC27" i="33"/>
  <c r="AC52" i="33" s="1"/>
  <c r="Z45" i="33"/>
  <c r="Z27" i="33"/>
  <c r="Z52" i="33" s="1"/>
  <c r="Z22" i="33"/>
  <c r="BA57" i="4"/>
  <c r="BA58" i="4" s="1"/>
  <c r="Q56" i="4"/>
  <c r="Q75" i="4" s="1"/>
  <c r="U57" i="4"/>
  <c r="U58" i="4" s="1"/>
  <c r="U76" i="4" s="1"/>
  <c r="Y57" i="4"/>
  <c r="Y58" i="4" s="1"/>
  <c r="Y76" i="4" s="1"/>
  <c r="AN57" i="4"/>
  <c r="AN58" i="4" s="1"/>
  <c r="AN76" i="4" s="1"/>
  <c r="L56" i="4"/>
  <c r="L75" i="4" s="1"/>
  <c r="AT57" i="4"/>
  <c r="AT58" i="4" s="1"/>
  <c r="AT76" i="4" s="1"/>
  <c r="R56" i="4"/>
  <c r="R75" i="4" s="1"/>
  <c r="V57" i="4"/>
  <c r="V58" i="4" s="1"/>
  <c r="V76" i="4" s="1"/>
  <c r="AR56" i="4"/>
  <c r="AR75" i="4" s="1"/>
  <c r="AI56" i="4"/>
  <c r="AI75" i="4" s="1"/>
  <c r="K57" i="4"/>
  <c r="K58" i="4" s="1"/>
  <c r="K76" i="4" s="1"/>
  <c r="O56" i="4"/>
  <c r="O75" i="4" s="1"/>
  <c r="J56" i="4"/>
  <c r="J75" i="4" s="1"/>
  <c r="P56" i="4"/>
  <c r="P75" i="4" s="1"/>
  <c r="AE55" i="4"/>
  <c r="AE62" i="4"/>
  <c r="F55" i="4"/>
  <c r="F62" i="4"/>
  <c r="AM56" i="4"/>
  <c r="AM75" i="4" s="1"/>
  <c r="AM57" i="4"/>
  <c r="AM58" i="4" s="1"/>
  <c r="AM76" i="4" s="1"/>
  <c r="S57" i="4"/>
  <c r="S58" i="4" s="1"/>
  <c r="S76" i="4" s="1"/>
  <c r="S56" i="4"/>
  <c r="S75" i="4" s="1"/>
  <c r="M55" i="4"/>
  <c r="M62" i="4"/>
  <c r="J55" i="4"/>
  <c r="J62" i="4"/>
  <c r="AA27" i="33"/>
  <c r="AA52" i="33" s="1"/>
  <c r="AA22" i="33"/>
  <c r="AA45" i="33"/>
  <c r="AG22" i="33"/>
  <c r="AG27" i="33"/>
  <c r="AG52" i="33" s="1"/>
  <c r="AG45" i="33"/>
  <c r="AD45" i="33"/>
  <c r="AD27" i="33"/>
  <c r="AD52" i="33" s="1"/>
  <c r="AD22" i="33"/>
  <c r="AO56" i="4"/>
  <c r="AO75" i="4" s="1"/>
  <c r="AW57" i="4"/>
  <c r="AW58" i="4" s="1"/>
  <c r="AW76" i="4" s="1"/>
  <c r="Q57" i="4"/>
  <c r="Q58" i="4" s="1"/>
  <c r="Q76" i="4" s="1"/>
  <c r="AC56" i="4"/>
  <c r="AC75" i="4" s="1"/>
  <c r="L57" i="4"/>
  <c r="L58" i="4" s="1"/>
  <c r="L76" i="4" s="1"/>
  <c r="N57" i="4"/>
  <c r="N58" i="4" s="1"/>
  <c r="N76" i="4" s="1"/>
  <c r="R57" i="4"/>
  <c r="R58" i="4" s="1"/>
  <c r="R76" i="4" s="1"/>
  <c r="AR57" i="4"/>
  <c r="AR58" i="4" s="1"/>
  <c r="AR76" i="4" s="1"/>
  <c r="AU57" i="4"/>
  <c r="AU58" i="4" s="1"/>
  <c r="AU76" i="4" s="1"/>
  <c r="AA57" i="4"/>
  <c r="AA58" i="4" s="1"/>
  <c r="AA76" i="4" s="1"/>
  <c r="J57" i="4"/>
  <c r="J58" i="4" s="1"/>
  <c r="J76" i="4" s="1"/>
  <c r="AZ56" i="4"/>
  <c r="AZ75" i="4" s="1"/>
  <c r="P57" i="4"/>
  <c r="P58" i="4" s="1"/>
  <c r="P76" i="4" s="1"/>
  <c r="AF55" i="4"/>
  <c r="AF62" i="4"/>
  <c r="G55" i="4"/>
  <c r="G62" i="4"/>
  <c r="H74" i="4"/>
  <c r="H62" i="4"/>
  <c r="AE27" i="33"/>
  <c r="AE52" i="33" s="1"/>
  <c r="AE22" i="33"/>
  <c r="AE45" i="33"/>
  <c r="U22" i="33"/>
  <c r="U45" i="33"/>
  <c r="U27" i="33"/>
  <c r="U52" i="33" s="1"/>
  <c r="AK22" i="33"/>
  <c r="AK45" i="33"/>
  <c r="AK27" i="33"/>
  <c r="AK52" i="33" s="1"/>
  <c r="R45" i="33"/>
  <c r="R27" i="33"/>
  <c r="R52" i="33" s="1"/>
  <c r="R22" i="33"/>
  <c r="AK56" i="4"/>
  <c r="AK75" i="4" s="1"/>
  <c r="AS57" i="4"/>
  <c r="AS58" i="4" s="1"/>
  <c r="AS76" i="4" s="1"/>
  <c r="BA56" i="4"/>
  <c r="BA75" i="4" s="1"/>
  <c r="M56" i="4"/>
  <c r="M75" i="4" s="1"/>
  <c r="Y56" i="4"/>
  <c r="Y75" i="4" s="1"/>
  <c r="AX57" i="4"/>
  <c r="AX58" i="4" s="1"/>
  <c r="AX76" i="4" s="1"/>
  <c r="N56" i="4"/>
  <c r="N75" i="4" s="1"/>
  <c r="Z56" i="4"/>
  <c r="Z75" i="4" s="1"/>
  <c r="AQ57" i="4"/>
  <c r="AQ58" i="4" s="1"/>
  <c r="AQ76" i="4" s="1"/>
  <c r="AU56" i="4"/>
  <c r="AU75" i="4" s="1"/>
  <c r="W57" i="4"/>
  <c r="W58" i="4" s="1"/>
  <c r="W76" i="4" s="1"/>
  <c r="AA56" i="4"/>
  <c r="AA75" i="4" s="1"/>
  <c r="AV56" i="4"/>
  <c r="AV75" i="4" s="1"/>
  <c r="AZ57" i="4"/>
  <c r="AZ58" i="4" s="1"/>
  <c r="AZ76" i="4" s="1"/>
  <c r="AJ56" i="4"/>
  <c r="AJ75" i="4" s="1"/>
  <c r="C74" i="4"/>
  <c r="C62" i="4"/>
  <c r="AP56" i="4"/>
  <c r="AP75" i="4" s="1"/>
  <c r="AP57" i="4"/>
  <c r="AP58" i="4" s="1"/>
  <c r="AP76" i="4" s="1"/>
  <c r="AY56" i="4"/>
  <c r="AY75" i="4" s="1"/>
  <c r="AY57" i="4"/>
  <c r="AY58" i="4" s="1"/>
  <c r="AY76" i="4" s="1"/>
  <c r="X57" i="4"/>
  <c r="X58" i="4" s="1"/>
  <c r="X76" i="4" s="1"/>
  <c r="X56" i="4"/>
  <c r="X75" i="4" s="1"/>
  <c r="D55" i="4"/>
  <c r="D62" i="4"/>
  <c r="W75" i="4"/>
  <c r="S27" i="33"/>
  <c r="S52" i="33" s="1"/>
  <c r="S22" i="33"/>
  <c r="S45" i="33"/>
  <c r="Y4" i="23"/>
  <c r="Y45" i="23" s="1"/>
  <c r="Y4" i="33"/>
  <c r="V4" i="33"/>
  <c r="AT56" i="4"/>
  <c r="AT75" i="4" s="1"/>
  <c r="AI57" i="4"/>
  <c r="AI58" i="4" s="1"/>
  <c r="AI76" i="4" s="1"/>
  <c r="AQ56" i="4"/>
  <c r="AQ75" i="4" s="1"/>
  <c r="AB56" i="4"/>
  <c r="AB75" i="4" s="1"/>
  <c r="AG55" i="4"/>
  <c r="V4" i="1"/>
  <c r="V45" i="1" s="1"/>
  <c r="AE32" i="4"/>
  <c r="AG10" i="4"/>
  <c r="B32" i="4"/>
  <c r="H55" i="4"/>
  <c r="AH10" i="4"/>
  <c r="AE14" i="4"/>
  <c r="AF15" i="4"/>
  <c r="V4" i="23"/>
  <c r="V45" i="23" s="1"/>
  <c r="Z45" i="1"/>
  <c r="Z22" i="1"/>
  <c r="Z27" i="1"/>
  <c r="Z52" i="1" s="1"/>
  <c r="W4" i="23"/>
  <c r="W22" i="23" s="1"/>
  <c r="AO79" i="4"/>
  <c r="AP79" i="4"/>
  <c r="AT79" i="4"/>
  <c r="K79" i="4"/>
  <c r="AS79" i="4"/>
  <c r="B10" i="4"/>
  <c r="AM79" i="4"/>
  <c r="L79" i="4"/>
  <c r="N79" i="4"/>
  <c r="T79" i="4"/>
  <c r="AU79" i="4"/>
  <c r="AZ79" i="4"/>
  <c r="AL79" i="4"/>
  <c r="M79" i="4"/>
  <c r="AC79" i="4"/>
  <c r="J79" i="4"/>
  <c r="P79" i="4"/>
  <c r="R79" i="4"/>
  <c r="AQ79" i="4"/>
  <c r="AB79" i="4"/>
  <c r="AW79" i="4"/>
  <c r="Z79" i="4"/>
  <c r="AV79" i="4"/>
  <c r="AK79" i="4"/>
  <c r="Q79" i="4"/>
  <c r="W79" i="4"/>
  <c r="S79" i="4"/>
  <c r="X79" i="4"/>
  <c r="V79" i="4"/>
  <c r="O79" i="4"/>
  <c r="AJ79" i="4"/>
  <c r="Y79" i="4"/>
  <c r="AY79" i="4"/>
  <c r="BA79" i="4"/>
  <c r="U79" i="4"/>
  <c r="AI79" i="4"/>
  <c r="AA79" i="4"/>
  <c r="AN79" i="4"/>
  <c r="AX79" i="4"/>
  <c r="AR79" i="4"/>
  <c r="AE26" i="4"/>
  <c r="P46" i="1"/>
  <c r="P53" i="1" s="1"/>
  <c r="AF4" i="23"/>
  <c r="AF22" i="23" s="1"/>
  <c r="AI4" i="23"/>
  <c r="AI22" i="23" s="1"/>
  <c r="U4" i="1"/>
  <c r="U22" i="1" s="1"/>
  <c r="S4" i="4"/>
  <c r="S62" i="4" s="1"/>
  <c r="AJ4" i="1"/>
  <c r="AZ4" i="4" s="1"/>
  <c r="AZ62" i="4" s="1"/>
  <c r="AI4" i="1"/>
  <c r="AI22" i="1" s="1"/>
  <c r="Z74" i="4"/>
  <c r="M74" i="4"/>
  <c r="M27" i="1"/>
  <c r="M52" i="1" s="1"/>
  <c r="M22" i="1"/>
  <c r="T4" i="4"/>
  <c r="J52" i="1"/>
  <c r="J74" i="4"/>
  <c r="J27" i="1"/>
  <c r="J45" i="1"/>
  <c r="AH4" i="1"/>
  <c r="AH22" i="1" s="1"/>
  <c r="S4" i="1"/>
  <c r="S4" i="23"/>
  <c r="AB4" i="4"/>
  <c r="AB62" i="4" s="1"/>
  <c r="AC4" i="1"/>
  <c r="AC4" i="23"/>
  <c r="AC27" i="23" s="1"/>
  <c r="AC52" i="23" s="1"/>
  <c r="V4" i="4"/>
  <c r="AF4" i="1"/>
  <c r="AV4" i="4" s="1"/>
  <c r="AV62" i="4" s="1"/>
  <c r="AA4" i="23"/>
  <c r="W4" i="4"/>
  <c r="W62" i="4" s="1"/>
  <c r="X4" i="4"/>
  <c r="X62" i="4" s="1"/>
  <c r="Y4" i="1"/>
  <c r="Y4" i="4"/>
  <c r="Y62" i="4" s="1"/>
  <c r="C55" i="4"/>
  <c r="U4" i="4"/>
  <c r="R4" i="4"/>
  <c r="R62" i="4" s="1"/>
  <c r="AJ4" i="23"/>
  <c r="AJ27" i="23" s="1"/>
  <c r="AJ52" i="23" s="1"/>
  <c r="U4" i="23"/>
  <c r="U22" i="23" s="1"/>
  <c r="AA4" i="1"/>
  <c r="AA22" i="1" s="1"/>
  <c r="J22" i="23"/>
  <c r="J52" i="23"/>
  <c r="J22" i="1"/>
  <c r="J27" i="23"/>
  <c r="R4" i="1"/>
  <c r="R22" i="1" s="1"/>
  <c r="R4" i="23"/>
  <c r="R22" i="23" s="1"/>
  <c r="O4" i="4"/>
  <c r="O62" i="4" s="1"/>
  <c r="AH4" i="23"/>
  <c r="AH45" i="23" s="1"/>
  <c r="M52" i="23"/>
  <c r="M22" i="23"/>
  <c r="M45" i="23"/>
  <c r="P74" i="4"/>
  <c r="M45" i="1"/>
  <c r="B46" i="23"/>
  <c r="B53" i="23" s="1"/>
  <c r="B55" i="23" s="1"/>
  <c r="O46" i="23"/>
  <c r="O53" i="23" s="1"/>
  <c r="O55" i="23" s="1"/>
  <c r="O47" i="23"/>
  <c r="O48" i="23" s="1"/>
  <c r="O54" i="23" s="1"/>
  <c r="B47" i="23"/>
  <c r="B48" i="23" s="1"/>
  <c r="B54" i="23" s="1"/>
  <c r="B57" i="23"/>
  <c r="O57" i="23"/>
  <c r="W59" i="23" s="1"/>
  <c r="W60" i="23" s="1"/>
  <c r="B29" i="4"/>
  <c r="AE22" i="4"/>
  <c r="R47" i="1"/>
  <c r="R48" i="1" s="1"/>
  <c r="R54" i="1" s="1"/>
  <c r="Q57" i="1"/>
  <c r="D74" i="4"/>
  <c r="Q55" i="4"/>
  <c r="Q74" i="4"/>
  <c r="R46" i="1"/>
  <c r="R53" i="1" s="1"/>
  <c r="N74" i="4"/>
  <c r="C47" i="1"/>
  <c r="C48" i="1" s="1"/>
  <c r="C54" i="1" s="1"/>
  <c r="G74" i="4"/>
  <c r="D57" i="1"/>
  <c r="R57" i="1"/>
  <c r="P57" i="1"/>
  <c r="O57" i="1"/>
  <c r="C57" i="1"/>
  <c r="D10" i="4"/>
  <c r="C10" i="4"/>
  <c r="B57" i="1"/>
  <c r="C46" i="1"/>
  <c r="C53" i="1" s="1"/>
  <c r="B46" i="1"/>
  <c r="B53" i="1" s="1"/>
  <c r="G55" i="1" s="1"/>
  <c r="B47" i="1"/>
  <c r="B48" i="1" s="1"/>
  <c r="B54" i="1" s="1"/>
  <c r="D46" i="1"/>
  <c r="D53" i="1" s="1"/>
  <c r="O47" i="1"/>
  <c r="O48" i="1" s="1"/>
  <c r="O54" i="1" s="1"/>
  <c r="BA76" i="4"/>
  <c r="O46" i="1"/>
  <c r="O53" i="1" s="1"/>
  <c r="O55" i="1" s="1"/>
  <c r="D47" i="1"/>
  <c r="D48" i="1" s="1"/>
  <c r="D54" i="1" s="1"/>
  <c r="D8" i="4"/>
  <c r="X4" i="23"/>
  <c r="X4" i="1"/>
  <c r="AG4" i="1"/>
  <c r="AG4" i="23"/>
  <c r="AB4" i="23"/>
  <c r="AB4" i="1"/>
  <c r="AC4" i="4"/>
  <c r="AC62" i="4" s="1"/>
  <c r="AA4" i="4"/>
  <c r="AA62" i="4" s="1"/>
  <c r="T4" i="1"/>
  <c r="T4" i="23"/>
  <c r="AK4" i="1"/>
  <c r="AK4" i="23"/>
  <c r="F74" i="4"/>
  <c r="I74" i="4"/>
  <c r="AE74" i="4"/>
  <c r="AF74" i="4"/>
  <c r="F63" i="4" l="1"/>
  <c r="F64" i="4" s="1"/>
  <c r="AH63" i="4"/>
  <c r="AH64" i="4" s="1"/>
  <c r="K56" i="4"/>
  <c r="K75" i="4" s="1"/>
  <c r="C63" i="4"/>
  <c r="C64" i="4" s="1"/>
  <c r="I57" i="4"/>
  <c r="I58" i="4" s="1"/>
  <c r="I76" i="4" s="1"/>
  <c r="AL4" i="4"/>
  <c r="AL55" i="4" s="1"/>
  <c r="I63" i="4"/>
  <c r="I64" i="4" s="1"/>
  <c r="C55" i="23"/>
  <c r="F55" i="23"/>
  <c r="AG55" i="23"/>
  <c r="AD55" i="23"/>
  <c r="AF55" i="23"/>
  <c r="AE55" i="23"/>
  <c r="AB55" i="23"/>
  <c r="Q55" i="23"/>
  <c r="AK55" i="23"/>
  <c r="AH55" i="23"/>
  <c r="U55" i="23"/>
  <c r="W55" i="23"/>
  <c r="AJ55" i="23"/>
  <c r="T55" i="23"/>
  <c r="Y55" i="23"/>
  <c r="X55" i="23"/>
  <c r="R55" i="23"/>
  <c r="S55" i="23"/>
  <c r="AA55" i="23"/>
  <c r="AC55" i="23"/>
  <c r="AI55" i="23"/>
  <c r="V55" i="23"/>
  <c r="P55" i="23"/>
  <c r="Z55" i="23"/>
  <c r="AB55" i="1"/>
  <c r="X55" i="1"/>
  <c r="W55" i="1"/>
  <c r="AE55" i="1"/>
  <c r="S55" i="1"/>
  <c r="U55" i="1"/>
  <c r="R55" i="1"/>
  <c r="AF55" i="1"/>
  <c r="AK55" i="1"/>
  <c r="Y55" i="1"/>
  <c r="T55" i="1"/>
  <c r="AJ55" i="1"/>
  <c r="Z55" i="1"/>
  <c r="P55" i="1"/>
  <c r="Q55" i="1"/>
  <c r="AD55" i="1"/>
  <c r="AH55" i="1"/>
  <c r="V55" i="1"/>
  <c r="AC55" i="1"/>
  <c r="AG55" i="1"/>
  <c r="AI55" i="1"/>
  <c r="AA55" i="1"/>
  <c r="AE27" i="1"/>
  <c r="AE52" i="1" s="1"/>
  <c r="D63" i="4"/>
  <c r="D64" i="4" s="1"/>
  <c r="B63" i="4"/>
  <c r="B64" i="4" s="1"/>
  <c r="AE63" i="4"/>
  <c r="AE64" i="4" s="1"/>
  <c r="G56" i="4"/>
  <c r="G75" i="4" s="1"/>
  <c r="H57" i="4"/>
  <c r="H58" i="4" s="1"/>
  <c r="H76" i="4" s="1"/>
  <c r="H63" i="4"/>
  <c r="H64" i="4" s="1"/>
  <c r="AF63" i="4"/>
  <c r="AF64" i="4" s="1"/>
  <c r="G63" i="4"/>
  <c r="G64" i="4" s="1"/>
  <c r="E63" i="4"/>
  <c r="E64" i="4" s="1"/>
  <c r="AG63" i="4"/>
  <c r="AG64" i="4" s="1"/>
  <c r="AJ45" i="23"/>
  <c r="Y27" i="23"/>
  <c r="Y52" i="23" s="1"/>
  <c r="W27" i="1"/>
  <c r="W52" i="1" s="1"/>
  <c r="Y22" i="23"/>
  <c r="AD27" i="1"/>
  <c r="AD52" i="1" s="1"/>
  <c r="AD45" i="23"/>
  <c r="V27" i="23"/>
  <c r="V52" i="23" s="1"/>
  <c r="I56" i="4"/>
  <c r="I75" i="4" s="1"/>
  <c r="AE22" i="1"/>
  <c r="AU4" i="4"/>
  <c r="AU62" i="4" s="1"/>
  <c r="Z27" i="23"/>
  <c r="Z52" i="23" s="1"/>
  <c r="AT4" i="4"/>
  <c r="AT55" i="4" s="1"/>
  <c r="AD45" i="1"/>
  <c r="AM4" i="4"/>
  <c r="AM62" i="4" s="1"/>
  <c r="AI27" i="1"/>
  <c r="AI52" i="1" s="1"/>
  <c r="AE22" i="23"/>
  <c r="AD27" i="23"/>
  <c r="AD52" i="23" s="1"/>
  <c r="Z22" i="23"/>
  <c r="AE45" i="23"/>
  <c r="AY4" i="4"/>
  <c r="AY62" i="4" s="1"/>
  <c r="U45" i="1"/>
  <c r="V22" i="1"/>
  <c r="W22" i="1"/>
  <c r="V22" i="23"/>
  <c r="V27" i="1"/>
  <c r="V52" i="1" s="1"/>
  <c r="Y80" i="4"/>
  <c r="AW80" i="4"/>
  <c r="G57" i="4"/>
  <c r="G58" i="4" s="1"/>
  <c r="G76" i="4" s="1"/>
  <c r="AR80" i="4"/>
  <c r="F57" i="4"/>
  <c r="F58" i="4" s="1"/>
  <c r="F76" i="4" s="1"/>
  <c r="B56" i="4"/>
  <c r="E79" i="4"/>
  <c r="G79" i="4"/>
  <c r="I79" i="4"/>
  <c r="H79" i="4"/>
  <c r="F79" i="4"/>
  <c r="T80" i="4"/>
  <c r="O80" i="4"/>
  <c r="J80" i="4"/>
  <c r="E57" i="4"/>
  <c r="E58" i="4" s="1"/>
  <c r="E76" i="4" s="1"/>
  <c r="E56" i="4"/>
  <c r="E75" i="4" s="1"/>
  <c r="AM80" i="4"/>
  <c r="F56" i="4"/>
  <c r="F75" i="4" s="1"/>
  <c r="AF57" i="4"/>
  <c r="AF58" i="4" s="1"/>
  <c r="AF76" i="4" s="1"/>
  <c r="AH56" i="4"/>
  <c r="AH75" i="4" s="1"/>
  <c r="D56" i="4"/>
  <c r="D75" i="4" s="1"/>
  <c r="B57" i="4"/>
  <c r="B58" i="4" s="1"/>
  <c r="B76" i="4" s="1"/>
  <c r="V45" i="33"/>
  <c r="V27" i="33"/>
  <c r="V52" i="33" s="1"/>
  <c r="V22" i="33"/>
  <c r="D57" i="4"/>
  <c r="D58" i="4" s="1"/>
  <c r="D76" i="4" s="1"/>
  <c r="W27" i="33"/>
  <c r="W52" i="33" s="1"/>
  <c r="W22" i="33"/>
  <c r="W45" i="33"/>
  <c r="AE57" i="4"/>
  <c r="AE58" i="4" s="1"/>
  <c r="AE76" i="4" s="1"/>
  <c r="C57" i="4"/>
  <c r="C58" i="4" s="1"/>
  <c r="C76" i="4" s="1"/>
  <c r="U74" i="4"/>
  <c r="U62" i="4"/>
  <c r="T74" i="4"/>
  <c r="T62" i="4"/>
  <c r="AG56" i="4"/>
  <c r="AG75" i="4" s="1"/>
  <c r="AE56" i="4"/>
  <c r="AE75" i="4" s="1"/>
  <c r="AJ77" i="4" s="1"/>
  <c r="C56" i="4"/>
  <c r="C75" i="4" s="1"/>
  <c r="V74" i="4"/>
  <c r="V62" i="4"/>
  <c r="AM74" i="4"/>
  <c r="AL74" i="4"/>
  <c r="Y22" i="33"/>
  <c r="Y45" i="33"/>
  <c r="Y27" i="33"/>
  <c r="Y52" i="33" s="1"/>
  <c r="AF56" i="4"/>
  <c r="AH57" i="4"/>
  <c r="AH58" i="4" s="1"/>
  <c r="AH76" i="4" s="1"/>
  <c r="AG57" i="4"/>
  <c r="AG58" i="4" s="1"/>
  <c r="AG76" i="4" s="1"/>
  <c r="T55" i="4"/>
  <c r="AG79" i="4"/>
  <c r="AF79" i="4"/>
  <c r="AH79" i="4"/>
  <c r="AH80" i="4" s="1"/>
  <c r="AJ45" i="1"/>
  <c r="AF27" i="1"/>
  <c r="AF52" i="1" s="1"/>
  <c r="AF45" i="23"/>
  <c r="AK4" i="4"/>
  <c r="AF45" i="1"/>
  <c r="AJ22" i="1"/>
  <c r="AJ27" i="1"/>
  <c r="AJ52" i="1" s="1"/>
  <c r="AH27" i="1"/>
  <c r="AH52" i="1" s="1"/>
  <c r="AJ22" i="23"/>
  <c r="AH45" i="1"/>
  <c r="S74" i="4"/>
  <c r="AF27" i="23"/>
  <c r="AF52" i="23" s="1"/>
  <c r="AC22" i="23"/>
  <c r="U27" i="1"/>
  <c r="U52" i="1" s="1"/>
  <c r="W27" i="23"/>
  <c r="W52" i="23" s="1"/>
  <c r="W45" i="23"/>
  <c r="C79" i="4"/>
  <c r="D79" i="4"/>
  <c r="L55" i="23"/>
  <c r="D55" i="23"/>
  <c r="H55" i="23"/>
  <c r="K55" i="23"/>
  <c r="J55" i="23"/>
  <c r="M55" i="23"/>
  <c r="G55" i="23"/>
  <c r="E55" i="23"/>
  <c r="I55" i="23"/>
  <c r="AA59" i="23"/>
  <c r="AA60" i="23" s="1"/>
  <c r="AF59" i="23"/>
  <c r="AF60" i="23" s="1"/>
  <c r="R59" i="23"/>
  <c r="R60" i="23" s="1"/>
  <c r="AE79" i="4"/>
  <c r="B79" i="4"/>
  <c r="B64" i="23"/>
  <c r="W61" i="23"/>
  <c r="L59" i="23"/>
  <c r="L60" i="23" s="1"/>
  <c r="F59" i="23"/>
  <c r="F60" i="23" s="1"/>
  <c r="AC59" i="23"/>
  <c r="AC60" i="23" s="1"/>
  <c r="AH59" i="23"/>
  <c r="AH60" i="23" s="1"/>
  <c r="X59" i="23"/>
  <c r="X60" i="23" s="1"/>
  <c r="Q59" i="23"/>
  <c r="Q60" i="23" s="1"/>
  <c r="AG59" i="23"/>
  <c r="AG60" i="23" s="1"/>
  <c r="V59" i="23"/>
  <c r="V60" i="23" s="1"/>
  <c r="P59" i="23"/>
  <c r="P60" i="23" s="1"/>
  <c r="AE59" i="23"/>
  <c r="AE60" i="23" s="1"/>
  <c r="T59" i="23"/>
  <c r="T60" i="23" s="1"/>
  <c r="U59" i="23"/>
  <c r="U60" i="23" s="1"/>
  <c r="AK59" i="23"/>
  <c r="AK60" i="23" s="1"/>
  <c r="Z59" i="23"/>
  <c r="Z60" i="23" s="1"/>
  <c r="S59" i="23"/>
  <c r="S60" i="23" s="1"/>
  <c r="AI59" i="23"/>
  <c r="AI60" i="23" s="1"/>
  <c r="AB59" i="23"/>
  <c r="AB60" i="23" s="1"/>
  <c r="Y59" i="23"/>
  <c r="Y60" i="23" s="1"/>
  <c r="AJ59" i="23"/>
  <c r="AJ60" i="23" s="1"/>
  <c r="AD59" i="23"/>
  <c r="AD60" i="23" s="1"/>
  <c r="B65" i="23"/>
  <c r="AX4" i="4"/>
  <c r="AX55" i="4" s="1"/>
  <c r="AF22" i="1"/>
  <c r="AH22" i="23"/>
  <c r="AI45" i="1"/>
  <c r="AI45" i="23"/>
  <c r="AH27" i="23"/>
  <c r="AH52" i="23" s="1"/>
  <c r="S55" i="4"/>
  <c r="AI27" i="23"/>
  <c r="AI52" i="23" s="1"/>
  <c r="R74" i="4"/>
  <c r="R45" i="23"/>
  <c r="AS4" i="4"/>
  <c r="AS62" i="4" s="1"/>
  <c r="AC27" i="1"/>
  <c r="AC52" i="1" s="1"/>
  <c r="AC22" i="1"/>
  <c r="AC45" i="1"/>
  <c r="AI4" i="4"/>
  <c r="AI62" i="4" s="1"/>
  <c r="S45" i="1"/>
  <c r="S27" i="1"/>
  <c r="S52" i="1" s="1"/>
  <c r="S22" i="1"/>
  <c r="AA27" i="23"/>
  <c r="AA52" i="23" s="1"/>
  <c r="AA22" i="23"/>
  <c r="AA45" i="23"/>
  <c r="AA45" i="1"/>
  <c r="AA27" i="1"/>
  <c r="AA52" i="1" s="1"/>
  <c r="W74" i="4"/>
  <c r="W55" i="4"/>
  <c r="AB74" i="4"/>
  <c r="AB55" i="4"/>
  <c r="V55" i="4"/>
  <c r="U55" i="4"/>
  <c r="AC45" i="23"/>
  <c r="R55" i="4"/>
  <c r="U27" i="23"/>
  <c r="U52" i="23" s="1"/>
  <c r="U45" i="23"/>
  <c r="Y27" i="1"/>
  <c r="Y52" i="1" s="1"/>
  <c r="AO4" i="4"/>
  <c r="AO62" i="4" s="1"/>
  <c r="Y45" i="1"/>
  <c r="Y22" i="1"/>
  <c r="S45" i="23"/>
  <c r="S27" i="23"/>
  <c r="S52" i="23" s="1"/>
  <c r="S22" i="23"/>
  <c r="AQ4" i="4"/>
  <c r="Y55" i="4"/>
  <c r="Y74" i="4"/>
  <c r="X74" i="4"/>
  <c r="X55" i="4"/>
  <c r="R45" i="1"/>
  <c r="AH4" i="4"/>
  <c r="AH62" i="4" s="1"/>
  <c r="R27" i="1"/>
  <c r="R52" i="1" s="1"/>
  <c r="R27" i="23"/>
  <c r="R52" i="23" s="1"/>
  <c r="O55" i="4"/>
  <c r="O74" i="4"/>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O59" i="1"/>
  <c r="O60" i="1" s="1"/>
  <c r="J59" i="1"/>
  <c r="J60" i="1" s="1"/>
  <c r="F59" i="1"/>
  <c r="F60" i="1" s="1"/>
  <c r="M59" i="1"/>
  <c r="M60" i="1" s="1"/>
  <c r="I59" i="1"/>
  <c r="I60" i="1" s="1"/>
  <c r="E59" i="1"/>
  <c r="E60" i="1" s="1"/>
  <c r="L59" i="1"/>
  <c r="L60" i="1" s="1"/>
  <c r="H59" i="1"/>
  <c r="H60" i="1" s="1"/>
  <c r="D59" i="1"/>
  <c r="D60" i="1" s="1"/>
  <c r="K59" i="1"/>
  <c r="C59" i="1"/>
  <c r="G59" i="1"/>
  <c r="G60" i="1" s="1"/>
  <c r="M55" i="1"/>
  <c r="AJ59" i="1"/>
  <c r="AJ60" i="1" s="1"/>
  <c r="AF59" i="1"/>
  <c r="AF60" i="1" s="1"/>
  <c r="AB59" i="1"/>
  <c r="AB60" i="1" s="1"/>
  <c r="X59" i="1"/>
  <c r="X60" i="1" s="1"/>
  <c r="T59" i="1"/>
  <c r="T60" i="1" s="1"/>
  <c r="P59" i="1"/>
  <c r="P60" i="1" s="1"/>
  <c r="AI59" i="1"/>
  <c r="AI60" i="1" s="1"/>
  <c r="AE59" i="1"/>
  <c r="AE60" i="1" s="1"/>
  <c r="AA59" i="1"/>
  <c r="AA60" i="1" s="1"/>
  <c r="W59" i="1"/>
  <c r="W60" i="1" s="1"/>
  <c r="S59" i="1"/>
  <c r="S60" i="1" s="1"/>
  <c r="AH59" i="1"/>
  <c r="AH60" i="1" s="1"/>
  <c r="AD59" i="1"/>
  <c r="AD60" i="1" s="1"/>
  <c r="Z59" i="1"/>
  <c r="Z60" i="1" s="1"/>
  <c r="V59" i="1"/>
  <c r="V60" i="1" s="1"/>
  <c r="R59" i="1"/>
  <c r="R60" i="1" s="1"/>
  <c r="Y59" i="1"/>
  <c r="Y60" i="1" s="1"/>
  <c r="AK59" i="1"/>
  <c r="AK60" i="1" s="1"/>
  <c r="U59" i="1"/>
  <c r="U60" i="1" s="1"/>
  <c r="AC59" i="1"/>
  <c r="AC60" i="1" s="1"/>
  <c r="AG59" i="1"/>
  <c r="AG60" i="1" s="1"/>
  <c r="Q59" i="1"/>
  <c r="Q60" i="1" s="1"/>
  <c r="B65" i="1"/>
  <c r="B64" i="1"/>
  <c r="B55" i="1"/>
  <c r="AB45" i="23"/>
  <c r="AB27" i="23"/>
  <c r="AB52" i="23" s="1"/>
  <c r="AB22" i="23"/>
  <c r="AG22" i="23"/>
  <c r="AG27" i="23"/>
  <c r="AG52" i="23" s="1"/>
  <c r="AG45" i="23"/>
  <c r="X45" i="23"/>
  <c r="X27" i="23"/>
  <c r="X52" i="23" s="1"/>
  <c r="X22" i="23"/>
  <c r="AW4" i="4"/>
  <c r="AW62" i="4" s="1"/>
  <c r="AG45" i="1"/>
  <c r="AG27" i="1"/>
  <c r="AG52" i="1" s="1"/>
  <c r="AG22" i="1"/>
  <c r="X27" i="1"/>
  <c r="X52" i="1" s="1"/>
  <c r="X22" i="1"/>
  <c r="X45" i="1"/>
  <c r="AN4" i="4"/>
  <c r="AN62" i="4" s="1"/>
  <c r="AB22" i="1"/>
  <c r="AB45" i="1"/>
  <c r="AR4" i="4"/>
  <c r="AR62" i="4" s="1"/>
  <c r="AB27" i="1"/>
  <c r="AB52" i="1" s="1"/>
  <c r="AZ74" i="4"/>
  <c r="AZ55" i="4"/>
  <c r="T27" i="23"/>
  <c r="T52" i="23" s="1"/>
  <c r="T45" i="23"/>
  <c r="T22" i="23"/>
  <c r="AK22" i="23"/>
  <c r="AK27" i="23"/>
  <c r="AK52" i="23" s="1"/>
  <c r="AK45" i="23"/>
  <c r="T27" i="1"/>
  <c r="T52" i="1" s="1"/>
  <c r="T45" i="1"/>
  <c r="AJ4" i="4"/>
  <c r="AJ62" i="4" s="1"/>
  <c r="T22" i="1"/>
  <c r="AA55" i="4"/>
  <c r="AA74" i="4"/>
  <c r="BA4" i="4"/>
  <c r="BA62" i="4" s="1"/>
  <c r="AK22" i="1"/>
  <c r="AK27" i="1"/>
  <c r="AK52" i="1" s="1"/>
  <c r="AK45" i="1"/>
  <c r="AV74" i="4"/>
  <c r="AV55" i="4"/>
  <c r="AC74" i="4"/>
  <c r="AC55" i="4"/>
  <c r="K60" i="1"/>
  <c r="C60" i="1"/>
  <c r="AL62" i="4" l="1"/>
  <c r="AT74" i="4"/>
  <c r="AM55" i="4"/>
  <c r="AU55" i="4"/>
  <c r="AU74" i="4"/>
  <c r="AY74" i="4"/>
  <c r="AT62" i="4"/>
  <c r="AY55" i="4"/>
  <c r="B80" i="4"/>
  <c r="AF75" i="4"/>
  <c r="AF77" i="4" s="1"/>
  <c r="AE81" i="4"/>
  <c r="AX74" i="4"/>
  <c r="AX62" i="4"/>
  <c r="AQ74" i="4"/>
  <c r="AQ62" i="4"/>
  <c r="AK74" i="4"/>
  <c r="AK62" i="4"/>
  <c r="R61" i="23"/>
  <c r="AF61" i="23"/>
  <c r="AA61" i="23"/>
  <c r="AK55" i="4"/>
  <c r="BA77" i="4"/>
  <c r="AR77" i="4"/>
  <c r="AX77" i="4"/>
  <c r="AM77" i="4"/>
  <c r="AL77" i="4"/>
  <c r="AK77" i="4"/>
  <c r="AP77" i="4"/>
  <c r="AN77" i="4"/>
  <c r="AE77" i="4"/>
  <c r="AQ77" i="4"/>
  <c r="AS77" i="4"/>
  <c r="AI77" i="4"/>
  <c r="AT77" i="4"/>
  <c r="AO77" i="4"/>
  <c r="AG77" i="4"/>
  <c r="AZ77" i="4"/>
  <c r="AY77" i="4"/>
  <c r="AH77" i="4"/>
  <c r="AV77" i="4"/>
  <c r="AW77" i="4"/>
  <c r="AU77" i="4"/>
  <c r="BA81" i="4"/>
  <c r="BA82" i="4" s="1"/>
  <c r="AM81" i="4"/>
  <c r="AM82" i="4" s="1"/>
  <c r="AO81" i="4"/>
  <c r="AO82" i="4" s="1"/>
  <c r="AJ81" i="4"/>
  <c r="AW81" i="4"/>
  <c r="AW82" i="4" s="1"/>
  <c r="AQ81" i="4"/>
  <c r="AQ82" i="4" s="1"/>
  <c r="AV81" i="4"/>
  <c r="AV82" i="4" s="1"/>
  <c r="AX81" i="4"/>
  <c r="AX82" i="4" s="1"/>
  <c r="AZ81" i="4"/>
  <c r="AZ82" i="4" s="1"/>
  <c r="AT81" i="4"/>
  <c r="AT82" i="4" s="1"/>
  <c r="AK81" i="4"/>
  <c r="AY81" i="4"/>
  <c r="AY82" i="4" s="1"/>
  <c r="AS81" i="4"/>
  <c r="AS82" i="4" s="1"/>
  <c r="AU81" i="4"/>
  <c r="AU82" i="4" s="1"/>
  <c r="AF81" i="4"/>
  <c r="AL81" i="4"/>
  <c r="AR81" i="4"/>
  <c r="AR82" i="4" s="1"/>
  <c r="AI81" i="4"/>
  <c r="AN81" i="4"/>
  <c r="AN82" i="4" s="1"/>
  <c r="AP81" i="4"/>
  <c r="AP82" i="4" s="1"/>
  <c r="AG81" i="4"/>
  <c r="AH81" i="4"/>
  <c r="B86" i="4"/>
  <c r="B87" i="4"/>
  <c r="B75" i="4"/>
  <c r="R77" i="4" s="1"/>
  <c r="N81" i="4"/>
  <c r="N82" i="4" s="1"/>
  <c r="AC81" i="4"/>
  <c r="AC82" i="4" s="1"/>
  <c r="M81" i="4"/>
  <c r="X81" i="4"/>
  <c r="X82" i="4" s="1"/>
  <c r="S81" i="4"/>
  <c r="S82" i="4" s="1"/>
  <c r="Q81" i="4"/>
  <c r="Q82" i="4" s="1"/>
  <c r="AB81" i="4"/>
  <c r="AB82" i="4" s="1"/>
  <c r="Z81" i="4"/>
  <c r="Z82" i="4" s="1"/>
  <c r="J81" i="4"/>
  <c r="Y81" i="4"/>
  <c r="Y82" i="4" s="1"/>
  <c r="T81" i="4"/>
  <c r="T82" i="4" s="1"/>
  <c r="O81" i="4"/>
  <c r="O82" i="4" s="1"/>
  <c r="R81" i="4"/>
  <c r="R82" i="4" s="1"/>
  <c r="W81" i="4"/>
  <c r="W82" i="4" s="1"/>
  <c r="V81" i="4"/>
  <c r="V82" i="4" s="1"/>
  <c r="U81" i="4"/>
  <c r="U82" i="4" s="1"/>
  <c r="P81" i="4"/>
  <c r="P82" i="4" s="1"/>
  <c r="AA81" i="4"/>
  <c r="AA82" i="4" s="1"/>
  <c r="K81" i="4"/>
  <c r="L81" i="4"/>
  <c r="M61" i="23"/>
  <c r="I61" i="23"/>
  <c r="E61" i="23"/>
  <c r="AD61" i="23"/>
  <c r="Z61" i="23"/>
  <c r="AG61" i="23"/>
  <c r="AC61" i="23"/>
  <c r="D61" i="23"/>
  <c r="C61" i="23"/>
  <c r="AJ61" i="23"/>
  <c r="AK61" i="23"/>
  <c r="AE61" i="23"/>
  <c r="Q61" i="23"/>
  <c r="Y61" i="23"/>
  <c r="AI61" i="23"/>
  <c r="U61" i="23"/>
  <c r="P61" i="23"/>
  <c r="X61" i="23"/>
  <c r="F61" i="23"/>
  <c r="H61" i="23"/>
  <c r="K61" i="23"/>
  <c r="G61" i="23"/>
  <c r="J61" i="23"/>
  <c r="AB61" i="23"/>
  <c r="S61" i="23"/>
  <c r="T61" i="23"/>
  <c r="V61" i="23"/>
  <c r="AH61" i="23"/>
  <c r="L61" i="23"/>
  <c r="AC61" i="1"/>
  <c r="AH61" i="1"/>
  <c r="X61" i="1"/>
  <c r="D61" i="1"/>
  <c r="U61" i="1"/>
  <c r="S61" i="1"/>
  <c r="AI61" i="1"/>
  <c r="G61" i="1"/>
  <c r="M61" i="1"/>
  <c r="AK61" i="1"/>
  <c r="Z61" i="1"/>
  <c r="W61" i="1"/>
  <c r="AF61" i="1"/>
  <c r="L61" i="1"/>
  <c r="AG61" i="1"/>
  <c r="Y61" i="1"/>
  <c r="AD61" i="1"/>
  <c r="AA61" i="1"/>
  <c r="T61" i="1"/>
  <c r="AJ61" i="1"/>
  <c r="E61" i="1"/>
  <c r="F61" i="1"/>
  <c r="AE61" i="1"/>
  <c r="K61" i="1"/>
  <c r="I61" i="1"/>
  <c r="J61" i="1"/>
  <c r="V61" i="1"/>
  <c r="AB61" i="1"/>
  <c r="H61" i="1"/>
  <c r="AQ55" i="4"/>
  <c r="AO55" i="4"/>
  <c r="AO74" i="4"/>
  <c r="AI55" i="4"/>
  <c r="AI74" i="4"/>
  <c r="AS55" i="4"/>
  <c r="AS74" i="4"/>
  <c r="AH55" i="4"/>
  <c r="AH74" i="4"/>
  <c r="O61" i="1"/>
  <c r="Q61" i="1"/>
  <c r="P61" i="1"/>
  <c r="C61" i="1"/>
  <c r="R61" i="1"/>
  <c r="AN55" i="4"/>
  <c r="AN74" i="4"/>
  <c r="AW55" i="4"/>
  <c r="AW74" i="4"/>
  <c r="AR74" i="4"/>
  <c r="AR55" i="4"/>
  <c r="AJ55" i="4"/>
  <c r="AJ74" i="4"/>
  <c r="BA74" i="4"/>
  <c r="BA55" i="4"/>
  <c r="I81" i="4" l="1"/>
  <c r="F81" i="4"/>
  <c r="G81" i="4"/>
  <c r="H81" i="4"/>
  <c r="D81" i="4"/>
  <c r="E81" i="4"/>
  <c r="C81" i="4"/>
  <c r="K77" i="4"/>
  <c r="V77" i="4"/>
  <c r="J77" i="4"/>
  <c r="AB77" i="4"/>
  <c r="AA77" i="4"/>
  <c r="G77" i="4"/>
  <c r="T77" i="4"/>
  <c r="AC77" i="4"/>
  <c r="N77" i="4"/>
  <c r="P77" i="4"/>
  <c r="F77" i="4"/>
  <c r="L77" i="4"/>
  <c r="U77" i="4"/>
  <c r="B77" i="4"/>
  <c r="W77" i="4"/>
  <c r="M77" i="4"/>
  <c r="Q77" i="4"/>
  <c r="S77" i="4"/>
  <c r="Y77" i="4"/>
  <c r="O77" i="4"/>
  <c r="I77" i="4"/>
  <c r="X77" i="4"/>
  <c r="Z77" i="4"/>
  <c r="H77" i="4"/>
  <c r="D77" i="4"/>
  <c r="C77" i="4"/>
  <c r="E77" i="4"/>
  <c r="AA83" i="4"/>
  <c r="O83" i="4"/>
  <c r="Z83" i="4"/>
  <c r="AR83" i="4"/>
  <c r="AZ83" i="4"/>
  <c r="AW83" i="4"/>
  <c r="L83" i="4"/>
  <c r="V83" i="4"/>
  <c r="AY83" i="4"/>
  <c r="W83" i="4"/>
  <c r="Y83" i="4"/>
  <c r="AB83" i="4"/>
  <c r="M83" i="4"/>
  <c r="AN83" i="4"/>
  <c r="AV83" i="4"/>
  <c r="AO83" i="4"/>
  <c r="N83" i="4"/>
  <c r="AS83" i="4"/>
  <c r="BA83" i="4"/>
  <c r="P83" i="4"/>
  <c r="T83" i="4"/>
  <c r="X83" i="4"/>
  <c r="AP83" i="4"/>
  <c r="AX83" i="4"/>
  <c r="K83" i="4"/>
  <c r="U83" i="4"/>
  <c r="R83" i="4"/>
  <c r="J83" i="4"/>
  <c r="Q83" i="4"/>
  <c r="S83" i="4"/>
  <c r="AC83" i="4"/>
  <c r="AH83" i="4"/>
  <c r="AU83" i="4"/>
  <c r="AT83" i="4"/>
  <c r="AQ83" i="4"/>
  <c r="AM83" i="4"/>
  <c r="O61" i="23"/>
  <c r="D83" i="4" l="1"/>
  <c r="F83" i="4"/>
  <c r="I83" i="4"/>
  <c r="E83" i="4"/>
  <c r="C8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<sst xmlns="http://schemas.openxmlformats.org/spreadsheetml/2006/main" count="268" uniqueCount="83">
  <si>
    <t>mean</t>
  </si>
  <si>
    <t>SD</t>
  </si>
  <si>
    <t>SEM</t>
  </si>
  <si>
    <t>avec testo</t>
  </si>
  <si>
    <t>Rep1</t>
  </si>
  <si>
    <t>Rep2</t>
  </si>
  <si>
    <t>Non dopé</t>
  </si>
  <si>
    <t>N°BDC :</t>
  </si>
  <si>
    <t>R1</t>
  </si>
  <si>
    <t>R2</t>
  </si>
  <si>
    <t>Concentration</t>
  </si>
  <si>
    <t xml:space="preserve">Testo </t>
  </si>
  <si>
    <t>R3</t>
  </si>
  <si>
    <t>LOD</t>
  </si>
  <si>
    <t>LOQ</t>
  </si>
  <si>
    <t>Mean</t>
  </si>
  <si>
    <t>Données brutes</t>
  </si>
  <si>
    <t>Données normalisées sur la moyenne du groupe "Testo"</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</si>
  <si>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</si>
  <si>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</si>
  <si>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</si>
  <si>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</si>
  <si>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</si>
  <si>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</si>
  <si>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</si>
  <si>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</si>
  <si>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</si>
  <si>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</si>
  <si>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</si>
  <si>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</si>
  <si>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</si>
  <si>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</si>
  <si>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</si>
  <si>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</si>
  <si>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</si>
  <si>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</si>
  <si>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</si>
  <si>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</si>
  <si>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</si>
  <si>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Ratio à atteindre</t>
  </si>
  <si>
    <t>Evian/Testo + EE2 64 ng/L &gt;=</t>
  </si>
  <si>
    <t>Evian/ Testo + FAD &lt;=</t>
  </si>
  <si>
    <t>% induction</t>
  </si>
  <si>
    <t>Test de normalité : valeur du p</t>
  </si>
  <si>
    <t>Test statistique utilisé</t>
  </si>
  <si>
    <t>Test statistique : valeur du p</t>
  </si>
  <si>
    <t>Annotation</t>
  </si>
  <si>
    <t>Test de normalité : résultat normal?</t>
  </si>
  <si>
    <t>Rep3</t>
  </si>
  <si>
    <t>Tous les groupes du gamme sont normale?</t>
  </si>
  <si>
    <t>Témoin</t>
  </si>
  <si>
    <t>ng/L</t>
  </si>
  <si>
    <t>EE2</t>
  </si>
  <si>
    <t>µg/L</t>
  </si>
  <si>
    <t xml:space="preserve">Testo 30µg/L + EE2 </t>
  </si>
  <si>
    <t>mg/L</t>
  </si>
  <si>
    <t>Testo 30µg/L + FAD</t>
  </si>
  <si>
    <t>Experiment number :</t>
  </si>
  <si>
    <t>Do not fill in</t>
  </si>
  <si>
    <t>Do not fill in2</t>
  </si>
  <si>
    <t>Units</t>
  </si>
  <si>
    <t>Chemical name</t>
  </si>
  <si>
    <t>Do not fill in3</t>
  </si>
  <si>
    <t>test chemical</t>
  </si>
  <si>
    <t>Solvent control</t>
  </si>
  <si>
    <t>33.8</t>
  </si>
  <si>
    <t>50.6</t>
  </si>
  <si>
    <t>170.9</t>
  </si>
  <si>
    <t>Prochloraz</t>
  </si>
  <si>
    <t>0.063</t>
  </si>
  <si>
    <t>0.13</t>
  </si>
  <si>
    <t>0.25</t>
  </si>
  <si>
    <t>0.5</t>
  </si>
  <si>
    <t>1.0</t>
  </si>
  <si>
    <t>Prochloraz_01</t>
  </si>
  <si>
    <t>Date performed : 01-09-2021</t>
  </si>
  <si>
    <t>Prochloraz_02</t>
  </si>
  <si>
    <t>Date performed : 15-09-2021</t>
  </si>
  <si>
    <t>Prochloraz_03</t>
  </si>
  <si>
    <t>Date performed : 17-09-2021</t>
  </si>
  <si>
    <t>&gt;0,9999</t>
  </si>
  <si>
    <t>&lt;0,0001</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</si>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</sst>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b/>
      <sz val="11"/>
      <color rgb="FFFF0000"/>
      <name val="Calibri"/>
      <family val="2"/>
      <scheme val="minor"/>
    </font>
    <font>
      <sz val="8"/>
      <name val="Arial"/>
      <family val="2"/>
    </font>
  </fonts>
  <fills count="1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FFC00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s>
  <cellStyleXfs count="7">
    <xf numFmtId="0" fontId="0" fillId="0" borderId="0"/>
    <xf numFmtId="0" fontId="4" fillId="0" borderId="0"/>
    <xf numFmtId="0" fontId="8" fillId="0" borderId="0"/>
    <xf numFmtId="0" fontId="4" fillId="0" borderId="0"/>
    <xf numFmtId="0" fontId="8" fillId="0" borderId="0"/>
    <xf numFmtId="0" fontId="4" fillId="0" borderId="0"/>
    <xf numFmtId="0" fontId="8" fillId="0" borderId="0"/>
  </cellStyleXfs>
  <cellXfs count="161">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0" xfId="0" applyBorder="1"/>
    <xf numFmtId="0" fontId="0" fillId="8" borderId="1" xfId="0" applyFill="1" applyBorder="1" applyAlignment="1">
      <alignment horizontal="center"/>
    </xf>
    <xf numFmtId="0" fontId="0" fillId="8" borderId="12" xfId="0" applyFill="1" applyBorder="1" applyAlignment="1">
      <alignment horizontal="center"/>
    </xf>
    <xf numFmtId="0" fontId="0" fillId="10"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0" fillId="0" borderId="0" xfId="0" applyNumberFormat="1"/>
    <xf numFmtId="0" fontId="0" fillId="6" borderId="8" xfId="0" applyFill="1" applyBorder="1" applyAlignment="1">
      <alignment horizontal="center"/>
    </xf>
    <xf numFmtId="0" fontId="0" fillId="6" borderId="9" xfId="0" applyFill="1" applyBorder="1" applyAlignment="1">
      <alignment horizontal="center"/>
    </xf>
    <xf numFmtId="0" fontId="0" fillId="6" borderId="23" xfId="0" applyFill="1" applyBorder="1"/>
    <xf numFmtId="0" fontId="0" fillId="6" borderId="16" xfId="0" applyFill="1" applyBorder="1" applyAlignment="1">
      <alignment horizontal="center"/>
    </xf>
    <xf numFmtId="0" fontId="0" fillId="0" borderId="0" xfId="0" applyAlignment="1">
      <alignment vertical="center"/>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164" fontId="7" fillId="11" borderId="5" xfId="0" applyNumberFormat="1" applyFont="1" applyFill="1" applyBorder="1" applyAlignment="1">
      <alignment horizontal="left" vertical="center"/>
    </xf>
    <xf numFmtId="0" fontId="1" fillId="0" borderId="0" xfId="0" applyFont="1" applyAlignment="1">
      <alignment horizontal="center"/>
    </xf>
    <xf numFmtId="0" fontId="3" fillId="13"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0" fontId="1" fillId="0" borderId="6" xfId="0" applyFont="1" applyBorder="1"/>
    <xf numFmtId="0" fontId="0" fillId="0" borderId="5"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6" borderId="10" xfId="0" applyNumberFormat="1" applyFill="1" applyBorder="1" applyAlignment="1">
      <alignment horizontal="center"/>
    </xf>
    <xf numFmtId="164" fontId="0" fillId="6" borderId="18" xfId="0" applyNumberFormat="1" applyFill="1" applyBorder="1" applyAlignment="1">
      <alignment horizontal="center"/>
    </xf>
    <xf numFmtId="0" fontId="3" fillId="7"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9" borderId="0" xfId="0" applyFont="1" applyFill="1" applyBorder="1" applyAlignment="1">
      <alignment vertical="center"/>
    </xf>
    <xf numFmtId="0" fontId="3" fillId="0" borderId="4" xfId="0" applyFont="1" applyBorder="1" applyAlignment="1">
      <alignment vertical="center"/>
    </xf>
    <xf numFmtId="0" fontId="3" fillId="13" borderId="3" xfId="0" applyFont="1" applyFill="1" applyBorder="1" applyAlignment="1">
      <alignment vertical="center"/>
    </xf>
    <xf numFmtId="164" fontId="7" fillId="11" borderId="6"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2" fontId="3" fillId="7" borderId="2" xfId="0" applyNumberFormat="1" applyFont="1" applyFill="1" applyBorder="1" applyAlignment="1">
      <alignment horizontal="center" vertical="center" wrapText="1"/>
    </xf>
    <xf numFmtId="2" fontId="3" fillId="7"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3" borderId="13" xfId="0" applyFont="1" applyFill="1" applyBorder="1" applyAlignment="1">
      <alignment vertical="center"/>
    </xf>
    <xf numFmtId="0" fontId="3" fillId="13" borderId="15" xfId="0" applyFont="1" applyFill="1" applyBorder="1" applyAlignment="1">
      <alignment vertical="center"/>
    </xf>
    <xf numFmtId="0" fontId="3" fillId="13" borderId="4" xfId="0" applyFont="1" applyFill="1" applyBorder="1" applyAlignment="1">
      <alignment vertical="center"/>
    </xf>
    <xf numFmtId="0" fontId="3" fillId="0" borderId="1" xfId="0" applyNumberFormat="1" applyFont="1" applyBorder="1" applyAlignment="1">
      <alignment horizontal="center" vertical="center"/>
    </xf>
    <xf numFmtId="0" fontId="3" fillId="13" borderId="9" xfId="0" applyNumberFormat="1" applyFont="1" applyFill="1" applyBorder="1" applyAlignment="1">
      <alignment horizontal="center" vertical="center"/>
    </xf>
    <xf numFmtId="0" fontId="3" fillId="13" borderId="1" xfId="0" applyNumberFormat="1" applyFont="1" applyFill="1" applyBorder="1" applyAlignment="1">
      <alignment horizontal="center" vertical="center"/>
    </xf>
    <xf numFmtId="0" fontId="3" fillId="7"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3" borderId="23" xfId="0" applyFont="1" applyFill="1" applyBorder="1" applyAlignment="1">
      <alignment vertical="center"/>
    </xf>
    <xf numFmtId="0" fontId="3" fillId="13"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3" borderId="26" xfId="0" applyNumberFormat="1" applyFont="1" applyFill="1" applyBorder="1" applyAlignment="1">
      <alignment horizontal="center" vertical="center"/>
    </xf>
    <xf numFmtId="0" fontId="3" fillId="13" borderId="3" xfId="0" applyNumberFormat="1" applyFont="1" applyFill="1" applyBorder="1" applyAlignment="1">
      <alignment horizontal="center" vertical="center"/>
    </xf>
    <xf numFmtId="164" fontId="0" fillId="6" borderId="1" xfId="0" applyNumberFormat="1" applyFill="1" applyBorder="1" applyAlignment="1">
      <alignment horizontal="center"/>
    </xf>
    <xf numFmtId="0" fontId="0" fillId="6" borderId="11" xfId="0" applyFill="1" applyBorder="1" applyAlignment="1">
      <alignment horizontal="center"/>
    </xf>
    <xf numFmtId="164" fontId="0" fillId="6" borderId="0" xfId="0" applyNumberFormat="1" applyFill="1" applyBorder="1" applyAlignment="1">
      <alignment horizontal="center"/>
    </xf>
    <xf numFmtId="164" fontId="0" fillId="6" borderId="15" xfId="0" applyNumberFormat="1" applyFill="1" applyBorder="1" applyAlignment="1">
      <alignment horizontal="center"/>
    </xf>
    <xf numFmtId="164" fontId="0" fillId="6" borderId="3" xfId="0" applyNumberFormat="1" applyFill="1" applyBorder="1" applyAlignment="1">
      <alignment horizontal="center"/>
    </xf>
    <xf numFmtId="164" fontId="0" fillId="6" borderId="17" xfId="0" applyNumberFormat="1" applyFill="1" applyBorder="1" applyAlignment="1">
      <alignment horizontal="center"/>
    </xf>
    <xf numFmtId="0" fontId="0" fillId="6" borderId="1" xfId="0" applyFill="1" applyBorder="1" applyAlignment="1">
      <alignment horizontal="center"/>
    </xf>
    <xf numFmtId="0" fontId="0" fillId="6" borderId="22" xfId="0" applyFill="1" applyBorder="1" applyAlignment="1">
      <alignment horizontal="center"/>
    </xf>
    <xf numFmtId="0" fontId="1" fillId="0" borderId="0" xfId="0" applyFont="1" applyAlignment="1">
      <alignment horizontal="center"/>
    </xf>
    <xf numFmtId="0" fontId="1" fillId="14" borderId="3" xfId="0" applyFont="1" applyFill="1" applyBorder="1" applyAlignment="1">
      <alignment horizontal="center"/>
    </xf>
    <xf numFmtId="164" fontId="0" fillId="14" borderId="1" xfId="0" applyNumberFormat="1" applyFill="1" applyBorder="1" applyAlignment="1">
      <alignment horizontal="center"/>
    </xf>
    <xf numFmtId="2" fontId="3" fillId="7" borderId="2" xfId="0" applyNumberFormat="1" applyFont="1" applyFill="1" applyBorder="1" applyAlignment="1">
      <alignment horizontal="center" vertical="center"/>
    </xf>
    <xf numFmtId="0" fontId="3" fillId="13" borderId="26" xfId="0" applyFont="1" applyFill="1" applyBorder="1" applyAlignment="1">
      <alignment horizontal="center" vertical="center"/>
    </xf>
    <xf numFmtId="0" fontId="3" fillId="13"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3" borderId="31" xfId="0" applyNumberFormat="1" applyFont="1" applyFill="1" applyBorder="1" applyAlignment="1">
      <alignment vertical="center"/>
    </xf>
    <xf numFmtId="0" fontId="3" fillId="13" borderId="29" xfId="0" applyFont="1" applyFill="1" applyBorder="1" applyAlignment="1">
      <alignment vertical="center"/>
    </xf>
    <xf numFmtId="0" fontId="3" fillId="13" borderId="32" xfId="0" applyNumberFormat="1" applyFont="1" applyFill="1" applyBorder="1" applyAlignment="1">
      <alignment vertical="center"/>
    </xf>
    <xf numFmtId="0" fontId="3" fillId="13" borderId="24" xfId="0" applyFont="1" applyFill="1" applyBorder="1" applyAlignment="1">
      <alignment vertical="center"/>
    </xf>
    <xf numFmtId="0" fontId="3" fillId="13" borderId="33" xfId="0" applyNumberFormat="1" applyFont="1" applyFill="1" applyBorder="1" applyAlignment="1">
      <alignment vertical="center"/>
    </xf>
    <xf numFmtId="0" fontId="3" fillId="13" borderId="34" xfId="0" applyFont="1" applyFill="1" applyBorder="1" applyAlignment="1">
      <alignment vertical="center"/>
    </xf>
    <xf numFmtId="0" fontId="3" fillId="13" borderId="11" xfId="0" applyNumberFormat="1" applyFont="1" applyFill="1" applyBorder="1" applyAlignment="1">
      <alignment horizontal="center" vertical="center"/>
    </xf>
    <xf numFmtId="0" fontId="3" fillId="13" borderId="35" xfId="0" applyNumberFormat="1" applyFont="1" applyFill="1" applyBorder="1" applyAlignment="1">
      <alignment horizontal="center" vertical="center"/>
    </xf>
    <xf numFmtId="0" fontId="3" fillId="13" borderId="35" xfId="0" applyFont="1" applyFill="1" applyBorder="1" applyAlignment="1">
      <alignment horizontal="center" vertical="center"/>
    </xf>
    <xf numFmtId="0" fontId="3" fillId="13" borderId="30" xfId="0" applyFont="1" applyFill="1" applyBorder="1" applyAlignment="1">
      <alignment vertical="center"/>
    </xf>
    <xf numFmtId="0" fontId="3" fillId="8" borderId="8" xfId="0" applyFont="1" applyFill="1" applyBorder="1" applyAlignment="1">
      <alignment horizontal="center"/>
    </xf>
    <xf numFmtId="0" fontId="3" fillId="8" borderId="10" xfId="0" applyFont="1" applyFill="1" applyBorder="1" applyAlignment="1">
      <alignment horizontal="center"/>
    </xf>
    <xf numFmtId="0" fontId="3" fillId="8" borderId="18" xfId="0" applyFont="1" applyFill="1" applyBorder="1" applyAlignment="1">
      <alignment horizontal="center"/>
    </xf>
    <xf numFmtId="0" fontId="3" fillId="13" borderId="38" xfId="0" applyNumberFormat="1" applyFont="1" applyFill="1" applyBorder="1" applyAlignment="1">
      <alignment vertical="center"/>
    </xf>
    <xf numFmtId="0" fontId="3" fillId="13" borderId="25" xfId="0" applyNumberFormat="1" applyFont="1" applyFill="1" applyBorder="1" applyAlignment="1">
      <alignment vertical="center"/>
    </xf>
    <xf numFmtId="0" fontId="3" fillId="13" borderId="1" xfId="0" applyNumberFormat="1" applyFont="1" applyFill="1" applyBorder="1" applyAlignment="1">
      <alignment vertical="center"/>
    </xf>
    <xf numFmtId="0" fontId="11" fillId="8" borderId="12" xfId="0" applyFont="1" applyFill="1" applyBorder="1" applyAlignment="1">
      <alignment horizontal="left"/>
    </xf>
    <xf numFmtId="0" fontId="12" fillId="0" borderId="0" xfId="0" applyFont="1"/>
    <xf numFmtId="0" fontId="1" fillId="2" borderId="6" xfId="0" applyFont="1" applyFill="1" applyBorder="1" applyAlignment="1">
      <alignment horizontal="center" vertical="center"/>
    </xf>
    <xf numFmtId="0" fontId="3" fillId="0" borderId="9" xfId="0" applyFont="1" applyBorder="1" applyAlignment="1">
      <alignment vertical="center"/>
    </xf>
    <xf numFmtId="0" fontId="7" fillId="12" borderId="7"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0" fontId="3" fillId="0" borderId="35" xfId="0" applyFont="1" applyBorder="1" applyAlignment="1">
      <alignment horizontal="left" vertical="center"/>
    </xf>
    <xf numFmtId="0" fontId="3" fillId="0" borderId="36" xfId="0" applyFont="1" applyBorder="1" applyAlignment="1">
      <alignment horizontal="left" vertical="center"/>
    </xf>
    <xf numFmtId="0" fontId="3" fillId="0" borderId="37"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1" borderId="7" xfId="0" applyFont="1" applyFill="1" applyBorder="1" applyAlignment="1">
      <alignment horizontal="left"/>
    </xf>
    <xf numFmtId="0" fontId="7" fillId="11" borderId="6" xfId="0" applyFont="1" applyFill="1" applyBorder="1" applyAlignment="1">
      <alignment horizontal="left"/>
    </xf>
    <xf numFmtId="0" fontId="7" fillId="11" borderId="5" xfId="0" applyFont="1" applyFill="1" applyBorder="1" applyAlignment="1">
      <alignment horizontal="left"/>
    </xf>
    <xf numFmtId="164" fontId="7" fillId="11" borderId="7" xfId="0" applyNumberFormat="1" applyFont="1" applyFill="1" applyBorder="1" applyAlignment="1">
      <alignment horizontal="left"/>
    </xf>
    <xf numFmtId="164" fontId="7" fillId="11" borderId="6" xfId="0" applyNumberFormat="1" applyFont="1" applyFill="1" applyBorder="1" applyAlignment="1">
      <alignment horizontal="left"/>
    </xf>
    <xf numFmtId="164" fontId="7" fillId="11" borderId="5"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164" fontId="7" fillId="11" borderId="5" xfId="0" applyNumberFormat="1" applyFont="1" applyFill="1" applyBorder="1" applyAlignment="1">
      <alignment horizontal="left" vertical="center"/>
    </xf>
  </cellXfs>
  <cellStyles count="7">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s>
  <dxfs count="9">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sharedStrings" Target="sharedStrings.xml"/><Relationship Id="rId3" Type="http://schemas.openxmlformats.org/officeDocument/2006/relationships/chartsheet" Target="chartsheets/sheet1.xml"/><Relationship Id="rId7" Type="http://schemas.openxmlformats.org/officeDocument/2006/relationships/chartsheet" Target="chartsheets/sheet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theme" Target="theme/theme1.xml"/><Relationship Id="rId5" Type="http://schemas.openxmlformats.org/officeDocument/2006/relationships/chartsheet" Target="chartsheets/sheet2.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3.xml"/><Relationship Id="rId9" Type="http://schemas.openxmlformats.org/officeDocument/2006/relationships/chartsheet" Target="chartsheets/sheet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'R1'!$O$48:$AK$48</c:f>
                <c:numCache>
                  <c:formatCode>General</c:formatCode>
                  <c:ptCount val="23"/>
                  <c:pt idx="0">
                    <c:v>0.14835784370808847</c:v>
                  </c:pt>
                  <c:pt idx="1">
                    <c:v>0.12590975587577705</c:v>
                  </c:pt>
                  <c:pt idx="2">
                    <c:v>4.394681809711534E-3</c:v>
                  </c:pt>
                  <c:pt idx="3">
                    <c:v>7.6415840031111806E-2</c:v>
                  </c:pt>
                  <c:pt idx="4">
                    <c:v>1.8583963376017833E-2</c:v>
                  </c:pt>
                  <c:pt idx="5">
                    <c:v>2.4521699863423126E-3</c:v>
                  </c:pt>
                  <c:pt idx="6">
                    <c:v>8.1722422640788592E-5</c:v>
                  </c:pt>
                  <c:pt idx="7">
                    <c:v>5.5274776663403876E-3</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plus>
            <c:minus>
              <c:numRef>
                <c:f>'R1'!$O$48:$AK$48</c:f>
                <c:numCache>
                  <c:formatCode>General</c:formatCode>
                  <c:ptCount val="23"/>
                  <c:pt idx="0">
                    <c:v>0.14835784370808847</c:v>
                  </c:pt>
                  <c:pt idx="1">
                    <c:v>0.12590975587577705</c:v>
                  </c:pt>
                  <c:pt idx="2">
                    <c:v>4.394681809711534E-3</c:v>
                  </c:pt>
                  <c:pt idx="3">
                    <c:v>7.6415840031111806E-2</c:v>
                  </c:pt>
                  <c:pt idx="4">
                    <c:v>1.8583963376017833E-2</c:v>
                  </c:pt>
                  <c:pt idx="5">
                    <c:v>2.4521699863423126E-3</c:v>
                  </c:pt>
                  <c:pt idx="6">
                    <c:v>8.1722422640788592E-5</c:v>
                  </c:pt>
                  <c:pt idx="7">
                    <c:v>5.5274776663403876E-3</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minus>
          </c:errBars>
          <c:cat>
            <c:strRef>
              <c:f>'R1'!$B$52:$AK$52</c:f>
              <c:strCache>
                <c:ptCount val="36"/>
                <c:pt idx="0">
                  <c:v>Solvent control</c:v>
                </c:pt>
                <c:pt idx="1">
                  <c:v>EE2-33.8ng/L</c:v>
                </c:pt>
                <c:pt idx="2">
                  <c:v>EE2-50.6ng/L</c:v>
                </c:pt>
                <c:pt idx="3">
                  <c:v>EE2-76ng/L</c:v>
                </c:pt>
                <c:pt idx="4">
                  <c:v>EE2-114ng/L</c:v>
                </c:pt>
                <c:pt idx="5">
                  <c:v>EE2-170.9ng/L</c:v>
                </c:pt>
                <c:pt idx="6">
                  <c:v>EE2-488ng/L</c:v>
                </c:pt>
                <c:pt idx="7">
                  <c:v>Prochloraz-0.063mg/L</c:v>
                </c:pt>
                <c:pt idx="8">
                  <c:v>Prochloraz-0.13mg/L</c:v>
                </c:pt>
                <c:pt idx="9">
                  <c:v>Prochloraz-0.25mg/L</c:v>
                </c:pt>
                <c:pt idx="10">
                  <c:v>Prochloraz-0.5mg/L</c:v>
                </c:pt>
                <c:pt idx="11">
                  <c:v>Prochloraz-1.0mg/L</c:v>
                </c:pt>
                <c:pt idx="13">
                  <c:v>Testo -30µg/L</c:v>
                </c:pt>
                <c:pt idx="14">
                  <c:v>Testo 30µg/L + EE2 -64ng/L</c:v>
                </c:pt>
                <c:pt idx="15">
                  <c:v>Testo 30µg/L + FAD-10mg/L</c:v>
                </c:pt>
                <c:pt idx="16">
                  <c:v>Prochloraz-0.063mg/L + Testostérone</c:v>
                </c:pt>
                <c:pt idx="17">
                  <c:v>Prochloraz-0.13mg/L + Testostérone</c:v>
                </c:pt>
                <c:pt idx="18">
                  <c:v>Prochloraz-0.25mg/L + Testostérone</c:v>
                </c:pt>
                <c:pt idx="19">
                  <c:v>Prochloraz-0.5mg/L + Testostérone</c:v>
                </c:pt>
                <c:pt idx="20">
                  <c:v>Prochloraz-1.0mg/L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'R1'!$B$53:$AK$53</c:f>
              <c:numCache>
                <c:formatCode>0.0000</c:formatCode>
                <c:ptCount val="36"/>
                <c:pt idx="0">
                  <c:v>6.1925165756057552E-3</c:v>
                </c:pt>
                <c:pt idx="1">
                  <c:v>1.680417315551215E-2</c:v>
                </c:pt>
                <c:pt idx="2">
                  <c:v>1.7512093641637982E-2</c:v>
                </c:pt>
                <c:pt idx="3">
                  <c:v>0.50741452217665617</c:v>
                </c:pt>
                <c:pt idx="4">
                  <c:v>0.46068155478952139</c:v>
                </c:pt>
                <c:pt idx="5">
                  <c:v>1.542880521307334</c:v>
                </c:pt>
                <c:pt idx="6">
                  <c:v>2.0702312284872106</c:v>
                </c:pt>
                <c:pt idx="7">
                  <c:v>2.4458499566105012E-2</c:v>
                </c:pt>
                <c:pt idx="8">
                  <c:v>9.5359851918970177E-3</c:v>
                </c:pt>
                <c:pt idx="9">
                  <c:v>2.4802755271479335E-2</c:v>
                </c:pt>
                <c:pt idx="10">
                  <c:v>2.24777523473489E-2</c:v>
                </c:pt>
                <c:pt idx="11">
                  <c:v>2.1999676174900284E-2</c:v>
                </c:pt>
                <c:pt idx="13">
                  <c:v>0.99999999999999978</c:v>
                </c:pt>
                <c:pt idx="14">
                  <c:v>1.6561416699057692</c:v>
                </c:pt>
                <c:pt idx="15">
                  <c:v>5.2721177906138736E-3</c:v>
                </c:pt>
                <c:pt idx="16">
                  <c:v>0.15371885545704028</c:v>
                </c:pt>
                <c:pt idx="17">
                  <c:v>2.9033933703706164E-2</c:v>
                </c:pt>
                <c:pt idx="18">
                  <c:v>3.9216547564748421E-3</c:v>
                </c:pt>
                <c:pt idx="19">
                  <c:v>8.1722422640788579E-5</c:v>
                </c:pt>
                <c:pt idx="20">
                  <c:v>6.090363547304768E-3</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'R2'!$B$54:$X$54</c:f>
                <c:numCache>
                  <c:formatCode>General</c:formatCode>
                  <c:ptCount val="23"/>
                  <c:pt idx="0">
                    <c:v>1.2392351654561493E-2</c:v>
                  </c:pt>
                  <c:pt idx="1">
                    <c:v>8.8000945145560158E-2</c:v>
                  </c:pt>
                  <c:pt idx="2">
                    <c:v>2.8835514796061223E-2</c:v>
                  </c:pt>
                  <c:pt idx="3">
                    <c:v>0.1164571605360135</c:v>
                  </c:pt>
                  <c:pt idx="4">
                    <c:v>0.11773192481912086</c:v>
                  </c:pt>
                  <c:pt idx="5">
                    <c:v>4.6871364706045929E-2</c:v>
                  </c:pt>
                  <c:pt idx="6">
                    <c:v>8.6814114230297459E-2</c:v>
                  </c:pt>
                  <c:pt idx="7">
                    <c:v>1.6075584078314008E-2</c:v>
                  </c:pt>
                  <c:pt idx="8">
                    <c:v>1.7881746992120435E-2</c:v>
                  </c:pt>
                  <c:pt idx="9">
                    <c:v>2.1615930861859128E-2</c:v>
                  </c:pt>
                  <c:pt idx="10">
                    <c:v>3.3269169633764903E-2</c:v>
                  </c:pt>
                  <c:pt idx="11">
                    <c:v>1.6929932538178413E-2</c:v>
                  </c:pt>
                  <c:pt idx="13">
                    <c:v>4.8702011434230294E-2</c:v>
                  </c:pt>
                  <c:pt idx="14">
                    <c:v>4.8250636384782254E-2</c:v>
                  </c:pt>
                  <c:pt idx="15">
                    <c:v>1.8412881992228895E-2</c:v>
                  </c:pt>
                  <c:pt idx="16">
                    <c:v>0.10701211273057022</c:v>
                  </c:pt>
                  <c:pt idx="17">
                    <c:v>6.8122098784541382E-2</c:v>
                  </c:pt>
                  <c:pt idx="18">
                    <c:v>6.8964352655673203E-2</c:v>
                  </c:pt>
                  <c:pt idx="19">
                    <c:v>1.6870526993705781E-2</c:v>
                  </c:pt>
                  <c:pt idx="20">
                    <c:v>8.9432071475835012E-2</c:v>
                  </c:pt>
                  <c:pt idx="21">
                    <c:v>0</c:v>
                  </c:pt>
                  <c:pt idx="22">
                    <c:v>0</c:v>
                  </c:pt>
                </c:numCache>
              </c:numRef>
            </c:plus>
            <c:minus>
              <c:numRef>
                <c:f>'R1'!$O$48:$AK$48</c:f>
                <c:numCache>
                  <c:formatCode>General</c:formatCode>
                  <c:ptCount val="23"/>
                  <c:pt idx="0">
                    <c:v>0.14835784370808847</c:v>
                  </c:pt>
                  <c:pt idx="1">
                    <c:v>0.12590975587577705</c:v>
                  </c:pt>
                  <c:pt idx="2">
                    <c:v>4.394681809711534E-3</c:v>
                  </c:pt>
                  <c:pt idx="3">
                    <c:v>7.6415840031111806E-2</c:v>
                  </c:pt>
                  <c:pt idx="4">
                    <c:v>1.8583963376017833E-2</c:v>
                  </c:pt>
                  <c:pt idx="5">
                    <c:v>2.4521699863423126E-3</c:v>
                  </c:pt>
                  <c:pt idx="6">
                    <c:v>8.1722422640788592E-5</c:v>
                  </c:pt>
                  <c:pt idx="7">
                    <c:v>5.5274776663403876E-3</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minus>
          </c:errBars>
          <c:cat>
            <c:strRef>
              <c:f>'R2'!$B$52:$AK$52</c:f>
              <c:strCache>
                <c:ptCount val="36"/>
                <c:pt idx="0">
                  <c:v>Solvent control</c:v>
                </c:pt>
                <c:pt idx="1">
                  <c:v>EE2-33.8ng/L</c:v>
                </c:pt>
                <c:pt idx="2">
                  <c:v>EE2-50.6ng/L</c:v>
                </c:pt>
                <c:pt idx="3">
                  <c:v>EE2-76ng/L</c:v>
                </c:pt>
                <c:pt idx="4">
                  <c:v>EE2-114ng/L</c:v>
                </c:pt>
                <c:pt idx="5">
                  <c:v>EE2-170.9ng/L</c:v>
                </c:pt>
                <c:pt idx="6">
                  <c:v>EE2-488ng/L</c:v>
                </c:pt>
                <c:pt idx="7">
                  <c:v>Prochloraz-0.063mg/L</c:v>
                </c:pt>
                <c:pt idx="8">
                  <c:v>Prochloraz-0.13mg/L</c:v>
                </c:pt>
                <c:pt idx="9">
                  <c:v>Prochloraz-0.25mg/L</c:v>
                </c:pt>
                <c:pt idx="10">
                  <c:v>Prochloraz-0.5mg/L</c:v>
                </c:pt>
                <c:pt idx="11">
                  <c:v>Prochloraz-1.0mg/L</c:v>
                </c:pt>
                <c:pt idx="13">
                  <c:v>Testo -30µg/L</c:v>
                </c:pt>
                <c:pt idx="14">
                  <c:v>Testo 30µg/L + EE2 -64ng/L</c:v>
                </c:pt>
                <c:pt idx="15">
                  <c:v>Testo 30µg/L + FAD-10mg/L</c:v>
                </c:pt>
                <c:pt idx="16">
                  <c:v>Prochloraz-0.063mg/L + Testostérone</c:v>
                </c:pt>
                <c:pt idx="17">
                  <c:v>Prochloraz-0.13mg/L + Testostérone</c:v>
                </c:pt>
                <c:pt idx="18">
                  <c:v>Prochloraz-0.25mg/L + Testostérone</c:v>
                </c:pt>
                <c:pt idx="19">
                  <c:v>Prochloraz-0.5mg/L + Testostérone</c:v>
                </c:pt>
                <c:pt idx="20">
                  <c:v>Prochloraz-1.0mg/L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'R2'!$B$53:$AK$53</c:f>
              <c:numCache>
                <c:formatCode>0.0000</c:formatCode>
                <c:ptCount val="36"/>
                <c:pt idx="0">
                  <c:v>8.1703081576706374E-2</c:v>
                </c:pt>
                <c:pt idx="1">
                  <c:v>0.13288946079680611</c:v>
                </c:pt>
                <c:pt idx="2">
                  <c:v>0.12701150107442194</c:v>
                </c:pt>
                <c:pt idx="3">
                  <c:v>0.75448463237965435</c:v>
                </c:pt>
                <c:pt idx="4">
                  <c:v>0.96253452335485912</c:v>
                </c:pt>
                <c:pt idx="5">
                  <c:v>1.2374413187333901</c:v>
                </c:pt>
                <c:pt idx="6">
                  <c:v>1.4600208670362964</c:v>
                </c:pt>
                <c:pt idx="7">
                  <c:v>6.139414424321385E-2</c:v>
                </c:pt>
                <c:pt idx="8">
                  <c:v>5.5663339650763581E-2</c:v>
                </c:pt>
                <c:pt idx="9">
                  <c:v>5.9451736425546034E-2</c:v>
                </c:pt>
                <c:pt idx="10">
                  <c:v>9.3030302818725596E-2</c:v>
                </c:pt>
                <c:pt idx="11">
                  <c:v>6.8092728212554243E-2</c:v>
                </c:pt>
                <c:pt idx="13">
                  <c:v>1</c:v>
                </c:pt>
                <c:pt idx="14">
                  <c:v>1.2633000591845565</c:v>
                </c:pt>
                <c:pt idx="15">
                  <c:v>0.10534152840451423</c:v>
                </c:pt>
                <c:pt idx="16">
                  <c:v>0.60033946753448963</c:v>
                </c:pt>
                <c:pt idx="17">
                  <c:v>0.19570003134942882</c:v>
                </c:pt>
                <c:pt idx="18">
                  <c:v>0.24278887497908294</c:v>
                </c:pt>
                <c:pt idx="19">
                  <c:v>9.8925019474116249E-2</c:v>
                </c:pt>
                <c:pt idx="20">
                  <c:v>0.23162549930423817</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'R3'!$B$54:$X$54</c:f>
                <c:numCache>
                  <c:formatCode>General</c:formatCode>
                  <c:ptCount val="23"/>
                  <c:pt idx="0">
                    <c:v>8.0253606006872383E-3</c:v>
                  </c:pt>
                  <c:pt idx="1">
                    <c:v>0</c:v>
                  </c:pt>
                  <c:pt idx="2">
                    <c:v>1.2598682548400367E-2</c:v>
                  </c:pt>
                  <c:pt idx="3">
                    <c:v>0.1737851673943473</c:v>
                  </c:pt>
                  <c:pt idx="4">
                    <c:v>0.18337514610068373</c:v>
                  </c:pt>
                  <c:pt idx="5">
                    <c:v>0.24428232032361202</c:v>
                  </c:pt>
                  <c:pt idx="6">
                    <c:v>0.17957658711637373</c:v>
                  </c:pt>
                  <c:pt idx="7">
                    <c:v>5.7527593514267398E-3</c:v>
                  </c:pt>
                  <c:pt idx="8">
                    <c:v>3.2197995267030967E-3</c:v>
                  </c:pt>
                  <c:pt idx="9">
                    <c:v>7.1825683108451607E-3</c:v>
                  </c:pt>
                  <c:pt idx="10">
                    <c:v>6.4462674229643869E-3</c:v>
                  </c:pt>
                  <c:pt idx="11">
                    <c:v>1.0494312447054099E-2</c:v>
                  </c:pt>
                  <c:pt idx="13">
                    <c:v>8.2362425591849878E-2</c:v>
                  </c:pt>
                  <c:pt idx="14">
                    <c:v>0.10511288514832567</c:v>
                  </c:pt>
                  <c:pt idx="15">
                    <c:v>7.1572407200709717E-2</c:v>
                  </c:pt>
                  <c:pt idx="16">
                    <c:v>0.10473525230642788</c:v>
                  </c:pt>
                  <c:pt idx="17">
                    <c:v>0.11386058869551807</c:v>
                  </c:pt>
                  <c:pt idx="18">
                    <c:v>5.6896742753757307E-2</c:v>
                  </c:pt>
                  <c:pt idx="19">
                    <c:v>9.678251940497401E-3</c:v>
                  </c:pt>
                  <c:pt idx="20">
                    <c:v>2.8335464504852172E-2</c:v>
                  </c:pt>
                  <c:pt idx="21">
                    <c:v>0</c:v>
                  </c:pt>
                  <c:pt idx="22">
                    <c:v>0</c:v>
                  </c:pt>
                </c:numCache>
              </c:numRef>
            </c:plus>
            <c:minus>
              <c:numRef>
                <c:f>'R1'!$O$48:$AK$48</c:f>
                <c:numCache>
                  <c:formatCode>General</c:formatCode>
                  <c:ptCount val="23"/>
                  <c:pt idx="0">
                    <c:v>0.14835784370808847</c:v>
                  </c:pt>
                  <c:pt idx="1">
                    <c:v>0.12590975587577705</c:v>
                  </c:pt>
                  <c:pt idx="2">
                    <c:v>4.394681809711534E-3</c:v>
                  </c:pt>
                  <c:pt idx="3">
                    <c:v>7.6415840031111806E-2</c:v>
                  </c:pt>
                  <c:pt idx="4">
                    <c:v>1.8583963376017833E-2</c:v>
                  </c:pt>
                  <c:pt idx="5">
                    <c:v>2.4521699863423126E-3</c:v>
                  </c:pt>
                  <c:pt idx="6">
                    <c:v>8.1722422640788592E-5</c:v>
                  </c:pt>
                  <c:pt idx="7">
                    <c:v>5.5274776663403876E-3</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minus>
          </c:errBars>
          <c:cat>
            <c:strRef>
              <c:f>'R3'!$B$52:$AK$52</c:f>
              <c:strCache>
                <c:ptCount val="36"/>
                <c:pt idx="0">
                  <c:v>Solvent control</c:v>
                </c:pt>
                <c:pt idx="1">
                  <c:v>EE2-33.8ng/L</c:v>
                </c:pt>
                <c:pt idx="2">
                  <c:v>EE2-50.6ng/L</c:v>
                </c:pt>
                <c:pt idx="3">
                  <c:v>EE2-76ng/L</c:v>
                </c:pt>
                <c:pt idx="4">
                  <c:v>EE2-114ng/L</c:v>
                </c:pt>
                <c:pt idx="5">
                  <c:v>EE2-170.9ng/L</c:v>
                </c:pt>
                <c:pt idx="6">
                  <c:v>EE2-488ng/L</c:v>
                </c:pt>
                <c:pt idx="7">
                  <c:v>Prochloraz-0.063mg/L</c:v>
                </c:pt>
                <c:pt idx="8">
                  <c:v>Prochloraz-0.13mg/L</c:v>
                </c:pt>
                <c:pt idx="9">
                  <c:v>Prochloraz-0.25mg/L</c:v>
                </c:pt>
                <c:pt idx="10">
                  <c:v>Prochloraz-0.5mg/L</c:v>
                </c:pt>
                <c:pt idx="11">
                  <c:v>Prochloraz-1.0mg/L</c:v>
                </c:pt>
                <c:pt idx="13">
                  <c:v>Testo -30µg/L</c:v>
                </c:pt>
                <c:pt idx="14">
                  <c:v>Testo 30µg/L + EE2 -64ng/L</c:v>
                </c:pt>
                <c:pt idx="15">
                  <c:v>Testo 30µg/L + FAD-10mg/L</c:v>
                </c:pt>
                <c:pt idx="16">
                  <c:v>Prochloraz-0.063mg/L + Testostérone</c:v>
                </c:pt>
                <c:pt idx="17">
                  <c:v>Prochloraz-0.13mg/L + Testostérone</c:v>
                </c:pt>
                <c:pt idx="18">
                  <c:v>Prochloraz-0.25mg/L + Testostérone</c:v>
                </c:pt>
                <c:pt idx="19">
                  <c:v>Prochloraz-0.5mg/L + Testostérone</c:v>
                </c:pt>
                <c:pt idx="20">
                  <c:v>Prochloraz-1.0mg/L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'R3'!$B$53:$AK$53</c:f>
              <c:numCache>
                <c:formatCode>0.0000</c:formatCode>
                <c:ptCount val="36"/>
                <c:pt idx="0">
                  <c:v>2.4355098754176952E-2</c:v>
                </c:pt>
                <c:pt idx="1">
                  <c:v>0</c:v>
                </c:pt>
                <c:pt idx="2">
                  <c:v>2.9550250480529665E-2</c:v>
                </c:pt>
                <c:pt idx="3">
                  <c:v>0.27787354551608318</c:v>
                </c:pt>
                <c:pt idx="4">
                  <c:v>0.83838273745710956</c:v>
                </c:pt>
                <c:pt idx="5">
                  <c:v>1.0509611140050019</c:v>
                </c:pt>
                <c:pt idx="6">
                  <c:v>1.6435124212315921</c:v>
                </c:pt>
                <c:pt idx="7">
                  <c:v>1.6009028453407122E-2</c:v>
                </c:pt>
                <c:pt idx="8">
                  <c:v>9.8558116789264592E-3</c:v>
                </c:pt>
                <c:pt idx="9">
                  <c:v>1.6017047912990322E-2</c:v>
                </c:pt>
                <c:pt idx="10">
                  <c:v>1.1313270346553656E-2</c:v>
                </c:pt>
                <c:pt idx="11">
                  <c:v>2.4890944462690742E-2</c:v>
                </c:pt>
                <c:pt idx="13">
                  <c:v>1</c:v>
                </c:pt>
                <c:pt idx="14">
                  <c:v>1.2974042102891852</c:v>
                </c:pt>
                <c:pt idx="15">
                  <c:v>8.8616486477915327E-2</c:v>
                </c:pt>
                <c:pt idx="16">
                  <c:v>0.36532721035443455</c:v>
                </c:pt>
                <c:pt idx="17">
                  <c:v>0.22614074078664337</c:v>
                </c:pt>
                <c:pt idx="18">
                  <c:v>0.14702366870591804</c:v>
                </c:pt>
                <c:pt idx="19">
                  <c:v>2.1478299889149198E-2</c:v>
                </c:pt>
                <c:pt idx="20">
                  <c:v>5.900426744606093E-2</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D34529DA-2E0B-40C0-8943-7D646076A8A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9D8598DE-EA2D-4047-A094-C91D508BBAA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CBD0BE66-2E38-4C68-8E5B-CB20BB7E7B3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5508447D-C468-46A7-8076-BF10C17820E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3BBAA8E8-DD03-4F72-8AA5-B198089CCFC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4F300124-EC7F-4F07-B408-4C06874C8A7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F0E1633D-52F3-41A0-B846-46A8058E844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BD9C61B9-1F18-4955-A3F6-1CBE71BBDA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ADE93DEF-1B2C-4B7C-A50D-38FE5A8526A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57B73498-535E-4679-9CA8-E1A7612D58D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91E52439-9649-4ACA-9D66-E34F07C7390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CF1CCF5E-FAE2-41DC-A303-A29D81D4A5F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fld id="{655F47F5-FA20-44E9-95C6-BC569FF638D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33C-4530-84A9-991A3866ABD4}"/>
                </c:ext>
              </c:extLst>
            </c:dLbl>
            <c:dLbl>
              <c:idx val="13"/>
              <c:tx>
                <c:rich>
                  <a:bodyPr/>
                  <a:lstStyle/>
                  <a:p>
                    <a:fld id="{B579C66E-6D52-4964-9AA3-FCB5E2C14C9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46D30875-8AA4-42BA-88DA-F01459AED91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F9AC56B3-FE31-4037-9AAD-669E71C1C2D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A31C1391-484F-4533-9FAF-002552F4B2D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FE79BB1B-036C-4445-8C28-CA489855FE8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579A0A45-342C-45D6-A947-AEEAD7BC0A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EE244DAA-6D39-4501-A8C2-5A81F09523B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12C733D9-F763-415C-8205-02A1C886650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1"/>
              <c:tx>
                <c:rich>
                  <a:bodyPr/>
                  <a:lstStyle/>
                  <a:p>
                    <a:fld id="{4B0A70DF-65AE-4B40-BDD4-40557B0BF18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033C-4530-84A9-991A3866ABD4}"/>
                </c:ext>
              </c:extLst>
            </c:dLbl>
            <c:dLbl>
              <c:idx val="22"/>
              <c:tx>
                <c:rich>
                  <a:bodyPr/>
                  <a:lstStyle/>
                  <a:p>
                    <a:fld id="{AA7B4FB5-CE6C-4DC8-A274-935F88273BE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033C-4530-84A9-991A3866ABD4}"/>
                </c:ext>
              </c:extLst>
            </c:dLbl>
            <c:dLbl>
              <c:idx val="23"/>
              <c:tx>
                <c:rich>
                  <a:bodyPr/>
                  <a:lstStyle/>
                  <a:p>
                    <a:fld id="{7C7DB82D-2A5F-4FF4-82AF-AA9DD70233D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A435-467A-9CEB-6115478B7183}"/>
                </c:ext>
              </c:extLst>
            </c:dLbl>
            <c:dLbl>
              <c:idx val="24"/>
              <c:tx>
                <c:rich>
                  <a:bodyPr/>
                  <a:lstStyle/>
                  <a:p>
                    <a:fld id="{E414CBE2-134F-449C-A208-CF63FD8397B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A435-467A-9CEB-6115478B7183}"/>
                </c:ext>
              </c:extLst>
            </c:dLbl>
            <c:dLbl>
              <c:idx val="25"/>
              <c:tx>
                <c:rich>
                  <a:bodyPr/>
                  <a:lstStyle/>
                  <a:p>
                    <a:fld id="{B3216DDD-E078-4A5B-A53E-5CCCA65B1B1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A435-467A-9CEB-6115478B7183}"/>
                </c:ext>
              </c:extLst>
            </c:dLbl>
            <c:dLbl>
              <c:idx val="26"/>
              <c:tx>
                <c:rich>
                  <a:bodyPr/>
                  <a:lstStyle/>
                  <a:p>
                    <a:fld id="{180B8EDB-C9A3-4E04-B38E-24F2AE29A56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A435-467A-9CEB-6115478B7183}"/>
                </c:ext>
              </c:extLst>
            </c:dLbl>
            <c:dLbl>
              <c:idx val="27"/>
              <c:tx>
                <c:rich>
                  <a:bodyPr/>
                  <a:lstStyle/>
                  <a:p>
                    <a:fld id="{B1EE4AD5-E49F-4CE6-B4D4-1731F5D8F8E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A435-467A-9CEB-6115478B7183}"/>
                </c:ext>
              </c:extLst>
            </c:dLbl>
            <c:dLbl>
              <c:idx val="28"/>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A435-467A-9CEB-6115478B7183}"/>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dLbl>
              <c:idx val="30"/>
              <c:tx>
                <c:rich>
                  <a:bodyPr/>
                  <a:lstStyle/>
                  <a:p>
                    <a:fld id="{E448538D-587E-458C-9CC9-2A1EFB41049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A435-467A-9CEB-6115478B7183}"/>
                </c:ext>
              </c:extLst>
            </c:dLbl>
            <c:dLbl>
              <c:idx val="31"/>
              <c:tx>
                <c:rich>
                  <a:bodyPr/>
                  <a:lstStyle/>
                  <a:p>
                    <a:fld id="{B167CA91-0D18-4A25-B85D-C592147293C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A435-467A-9CEB-6115478B7183}"/>
                </c:ext>
              </c:extLst>
            </c:dLbl>
            <c:dLbl>
              <c:idx val="32"/>
              <c:tx>
                <c:rich>
                  <a:bodyPr/>
                  <a:lstStyle/>
                  <a:p>
                    <a:fld id="{2A52581D-E3C3-4019-BEC4-98FBAB81F61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A435-467A-9CEB-6115478B7183}"/>
                </c:ext>
              </c:extLst>
            </c:dLbl>
            <c:dLbl>
              <c:idx val="33"/>
              <c:tx>
                <c:rich>
                  <a:bodyPr/>
                  <a:lstStyle/>
                  <a:p>
                    <a:fld id="{099ECECF-BB2D-499E-975B-41B7401CFF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A435-467A-9CEB-6115478B7183}"/>
                </c:ext>
              </c:extLst>
            </c:dLbl>
            <c:dLbl>
              <c:idx val="34"/>
              <c:tx>
                <c:rich>
                  <a:bodyPr/>
                  <a:lstStyle/>
                  <a:p>
                    <a:fld id="{3138EC75-06E3-496B-97A0-CAF733D4051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A435-467A-9CEB-6115478B7183}"/>
                </c:ext>
              </c:extLst>
            </c:dLbl>
            <c:dLbl>
              <c:idx val="35"/>
              <c:tx>
                <c:rich>
                  <a:bodyPr/>
                  <a:lstStyle/>
                  <a:p>
                    <a:fld id="{338B1D2E-4596-4017-9CCB-46CC6BDC950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A435-467A-9CEB-6115478B7183}"/>
                </c:ext>
              </c:extLst>
            </c:dLbl>
            <c:dLbl>
              <c:idx val="36"/>
              <c:tx>
                <c:rich>
                  <a:bodyPr/>
                  <a:lstStyle/>
                  <a:p>
                    <a:fld id="{3BA67881-63D6-430F-BB88-B4704337952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A435-467A-9CEB-6115478B7183}"/>
                </c:ext>
              </c:extLst>
            </c:dLbl>
            <c:dLbl>
              <c:idx val="37"/>
              <c:tx>
                <c:rich>
                  <a:bodyPr/>
                  <a:lstStyle/>
                  <a:p>
                    <a:fld id="{480E49FB-8A5C-421F-B86A-FA39E4FB644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A435-467A-9CEB-6115478B7183}"/>
                </c:ext>
              </c:extLst>
            </c:dLbl>
            <c:dLbl>
              <c:idx val="38"/>
              <c:tx>
                <c:rich>
                  <a:bodyPr/>
                  <a:lstStyle/>
                  <a:p>
                    <a:fld id="{8AD76AAC-C68F-4C49-BEE4-C3F05059D7F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A435-467A-9CEB-6115478B7183}"/>
                </c:ext>
              </c:extLst>
            </c:dLbl>
            <c:dLbl>
              <c:idx val="39"/>
              <c:tx>
                <c:rich>
                  <a:bodyPr/>
                  <a:lstStyle/>
                  <a:p>
                    <a:fld id="{3B1503CB-E9C5-4B61-8C74-C8AD373B7CD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A435-467A-9CEB-6115478B7183}"/>
                </c:ext>
              </c:extLst>
            </c:dLbl>
            <c:dLbl>
              <c:idx val="40"/>
              <c:tx>
                <c:rich>
                  <a:bodyPr/>
                  <a:lstStyle/>
                  <a:p>
                    <a:fld id="{4059A581-E83E-4E9A-AACD-94623A0A820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A435-467A-9CEB-6115478B7183}"/>
                </c:ext>
              </c:extLst>
            </c:dLbl>
            <c:dLbl>
              <c:idx val="41"/>
              <c:tx>
                <c:rich>
                  <a:bodyPr/>
                  <a:lstStyle/>
                  <a:p>
                    <a:fld id="{220624FF-48EC-4852-A342-D71E2615562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A435-467A-9CEB-6115478B7183}"/>
                </c:ext>
              </c:extLst>
            </c:dLbl>
            <c:dLbl>
              <c:idx val="42"/>
              <c:tx>
                <c:rich>
                  <a:bodyPr/>
                  <a:lstStyle/>
                  <a:p>
                    <a:fld id="{4F2ECB50-8BAF-4F55-9D2A-885485E4031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A435-467A-9CEB-6115478B7183}"/>
                </c:ext>
              </c:extLst>
            </c:dLbl>
            <c:dLbl>
              <c:idx val="43"/>
              <c:tx>
                <c:rich>
                  <a:bodyPr/>
                  <a:lstStyle/>
                  <a:p>
                    <a:fld id="{FA4B3AC3-9559-49C8-9223-0DB245968D8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A435-467A-9CEB-6115478B7183}"/>
                </c:ext>
              </c:extLst>
            </c:dLbl>
            <c:dLbl>
              <c:idx val="44"/>
              <c:tx>
                <c:rich>
                  <a:bodyPr/>
                  <a:lstStyle/>
                  <a:p>
                    <a:fld id="{CEF4471A-593C-46C2-B9B2-4741E07D805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A435-467A-9CEB-6115478B7183}"/>
                </c:ext>
              </c:extLst>
            </c:dLbl>
            <c:dLbl>
              <c:idx val="45"/>
              <c:tx>
                <c:rich>
                  <a:bodyPr/>
                  <a:lstStyle/>
                  <a:p>
                    <a:fld id="{90A1DFE9-9E49-44FA-8BB8-B5449A39465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A435-467A-9CEB-6115478B7183}"/>
                </c:ext>
              </c:extLst>
            </c:dLbl>
            <c:dLbl>
              <c:idx val="46"/>
              <c:tx>
                <c:rich>
                  <a:bodyPr/>
                  <a:lstStyle/>
                  <a:p>
                    <a:fld id="{DD87D019-8009-4DE9-8268-561EA61EF19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A435-467A-9CEB-6115478B7183}"/>
                </c:ext>
              </c:extLst>
            </c:dLbl>
            <c:dLbl>
              <c:idx val="47"/>
              <c:tx>
                <c:rich>
                  <a:bodyPr/>
                  <a:lstStyle/>
                  <a:p>
                    <a:fld id="{F65B8423-A3C9-462F-8416-779BCC53772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A435-467A-9CEB-6115478B7183}"/>
                </c:ext>
              </c:extLst>
            </c:dLbl>
            <c:dLbl>
              <c:idx val="48"/>
              <c:tx>
                <c:rich>
                  <a:bodyPr/>
                  <a:lstStyle/>
                  <a:p>
                    <a:fld id="{FCC2EC82-1DE8-46F7-81F6-CCAC1336C1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A435-467A-9CEB-6115478B7183}"/>
                </c:ext>
              </c:extLst>
            </c:dLbl>
            <c:dLbl>
              <c:idx val="49"/>
              <c:tx>
                <c:rich>
                  <a:bodyPr/>
                  <a:lstStyle/>
                  <a:p>
                    <a:fld id="{4F0A9191-370B-46CE-BCA0-1563B882992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A435-467A-9CEB-6115478B7183}"/>
                </c:ext>
              </c:extLst>
            </c:dLbl>
            <c:dLbl>
              <c:idx val="50"/>
              <c:tx>
                <c:rich>
                  <a:bodyPr/>
                  <a:lstStyle/>
                  <a:p>
                    <a:fld id="{95787EC3-74AC-4CAA-BB0B-5F32737303C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A435-467A-9CEB-6115478B7183}"/>
                </c:ext>
              </c:extLst>
            </c:dLbl>
            <c:dLbl>
              <c:idx val="51"/>
              <c:tx>
                <c:rich>
                  <a:bodyPr/>
                  <a:lstStyle/>
                  <a:p>
                    <a:fld id="{19897101-FC95-4AA9-A363-B340B0B2821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A435-467A-9CEB-6115478B7183}"/>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values'!$B$76:$BA$76</c:f>
                <c:numCache>
                  <c:formatCode>General</c:formatCode>
                  <c:ptCount val="52"/>
                  <c:pt idx="0">
                    <c:v>8.315369749684217E-3</c:v>
                  </c:pt>
                  <c:pt idx="1">
                    <c:v>4.5743002252204616E-2</c:v>
                  </c:pt>
                  <c:pt idx="2">
                    <c:v>1.4836157821106024E-2</c:v>
                  </c:pt>
                  <c:pt idx="3">
                    <c:v>0.13130839926760779</c:v>
                  </c:pt>
                  <c:pt idx="4">
                    <c:v>0.10422759875656055</c:v>
                  </c:pt>
                  <c:pt idx="5">
                    <c:v>0.10309430104124917</c:v>
                  </c:pt>
                  <c:pt idx="6">
                    <c:v>0.10095012417530927</c:v>
                  </c:pt>
                  <c:pt idx="7">
                    <c:v>7.747746916739834E-3</c:v>
                  </c:pt>
                  <c:pt idx="8">
                    <c:v>7.7078951748360304E-3</c:v>
                  </c:pt>
                  <c:pt idx="9">
                    <c:v>1.012859752805771E-2</c:v>
                  </c:pt>
                  <c:pt idx="10">
                    <c:v>1.4741598216727915E-2</c:v>
                  </c:pt>
                  <c:pt idx="11">
                    <c:v>8.702222768703206E-3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9">
                    <c:v>5.7580198333176492E-2</c:v>
                  </c:pt>
                  <c:pt idx="30">
                    <c:v>6.5865199828837567E-2</c:v>
                  </c:pt>
                  <c:pt idx="31">
                    <c:v>2.5284849979194644E-2</c:v>
                  </c:pt>
                  <c:pt idx="32">
                    <c:v>6.5679215789887016E-2</c:v>
                  </c:pt>
                  <c:pt idx="33">
                    <c:v>4.6339947911897966E-2</c:v>
                  </c:pt>
                  <c:pt idx="34">
                    <c:v>3.5077053391852193E-2</c:v>
                  </c:pt>
                  <c:pt idx="35">
                    <c:v>1.080568234805248E-2</c:v>
                  </c:pt>
                  <c:pt idx="36">
                    <c:v>3.6043891297468163E-2</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plus>
            <c:minus>
              <c:numRef>
                <c:f>'pooled normalised values'!$B$76:$BA$76</c:f>
                <c:numCache>
                  <c:formatCode>General</c:formatCode>
                  <c:ptCount val="52"/>
                  <c:pt idx="0">
                    <c:v>8.315369749684217E-3</c:v>
                  </c:pt>
                  <c:pt idx="1">
                    <c:v>4.5743002252204616E-2</c:v>
                  </c:pt>
                  <c:pt idx="2">
                    <c:v>1.4836157821106024E-2</c:v>
                  </c:pt>
                  <c:pt idx="3">
                    <c:v>0.13130839926760779</c:v>
                  </c:pt>
                  <c:pt idx="4">
                    <c:v>0.10422759875656055</c:v>
                  </c:pt>
                  <c:pt idx="5">
                    <c:v>0.10309430104124917</c:v>
                  </c:pt>
                  <c:pt idx="6">
                    <c:v>0.10095012417530927</c:v>
                  </c:pt>
                  <c:pt idx="7">
                    <c:v>7.747746916739834E-3</c:v>
                  </c:pt>
                  <c:pt idx="8">
                    <c:v>7.7078951748360304E-3</c:v>
                  </c:pt>
                  <c:pt idx="9">
                    <c:v>1.012859752805771E-2</c:v>
                  </c:pt>
                  <c:pt idx="10">
                    <c:v>1.4741598216727915E-2</c:v>
                  </c:pt>
                  <c:pt idx="11">
                    <c:v>8.702222768703206E-3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9">
                    <c:v>5.7580198333176492E-2</c:v>
                  </c:pt>
                  <c:pt idx="30">
                    <c:v>6.5865199828837567E-2</c:v>
                  </c:pt>
                  <c:pt idx="31">
                    <c:v>2.5284849979194644E-2</c:v>
                  </c:pt>
                  <c:pt idx="32">
                    <c:v>6.5679215789887016E-2</c:v>
                  </c:pt>
                  <c:pt idx="33">
                    <c:v>4.6339947911897966E-2</c:v>
                  </c:pt>
                  <c:pt idx="34">
                    <c:v>3.5077053391852193E-2</c:v>
                  </c:pt>
                  <c:pt idx="35">
                    <c:v>1.080568234805248E-2</c:v>
                  </c:pt>
                  <c:pt idx="36">
                    <c:v>3.6043891297468163E-2</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minus>
          </c:errBars>
          <c:cat>
            <c:strRef>
              <c:f>'pooled normalised values'!$B$74:$BA$74</c:f>
              <c:strCache>
                <c:ptCount val="52"/>
                <c:pt idx="0">
                  <c:v>Solvent control</c:v>
                </c:pt>
                <c:pt idx="1">
                  <c:v>EE2-33.8ng/L</c:v>
                </c:pt>
                <c:pt idx="2">
                  <c:v>EE2-50.6ng/L</c:v>
                </c:pt>
                <c:pt idx="3">
                  <c:v>EE2-76ng/L</c:v>
                </c:pt>
                <c:pt idx="4">
                  <c:v>EE2-114ng/L</c:v>
                </c:pt>
                <c:pt idx="5">
                  <c:v>EE2-170.9ng/L</c:v>
                </c:pt>
                <c:pt idx="6">
                  <c:v>EE2-488ng/L</c:v>
                </c:pt>
                <c:pt idx="7">
                  <c:v>Prochloraz-0.063mg/L</c:v>
                </c:pt>
                <c:pt idx="8">
                  <c:v>Prochloraz-0.13mg/L</c:v>
                </c:pt>
                <c:pt idx="9">
                  <c:v>Prochloraz-0.25mg/L</c:v>
                </c:pt>
                <c:pt idx="10">
                  <c:v>Prochloraz-0.5mg/L</c:v>
                </c:pt>
                <c:pt idx="11">
                  <c:v>Prochloraz-1.0mg/L</c:v>
                </c:pt>
                <c:pt idx="12">
                  <c:v>#REF!</c:v>
                </c:pt>
                <c:pt idx="13">
                  <c:v>#REF!</c:v>
                </c:pt>
                <c:pt idx="14">
                  <c:v>#REF!</c:v>
                </c:pt>
                <c:pt idx="15">
                  <c:v>#REF!</c:v>
                </c:pt>
                <c:pt idx="16">
                  <c:v>#REF!</c:v>
                </c:pt>
                <c:pt idx="17">
                  <c:v>#REF!</c:v>
                </c:pt>
                <c:pt idx="18">
                  <c:v>#REF!</c:v>
                </c:pt>
                <c:pt idx="19">
                  <c:v>#REF!</c:v>
                </c:pt>
                <c:pt idx="20">
                  <c:v>#REF!</c:v>
                </c:pt>
                <c:pt idx="21">
                  <c:v>#REF!</c:v>
                </c:pt>
                <c:pt idx="22">
                  <c:v>#REF!</c:v>
                </c:pt>
                <c:pt idx="23">
                  <c:v>#REF!</c:v>
                </c:pt>
                <c:pt idx="24">
                  <c:v>#REF!</c:v>
                </c:pt>
                <c:pt idx="25">
                  <c:v>#REF!</c:v>
                </c:pt>
                <c:pt idx="26">
                  <c:v>#REF!</c:v>
                </c:pt>
                <c:pt idx="27">
                  <c:v>#REF!</c:v>
                </c:pt>
                <c:pt idx="29">
                  <c:v>Testo -30µg/L</c:v>
                </c:pt>
                <c:pt idx="30">
                  <c:v>Testo 30µg/L + EE2 -64ng/L</c:v>
                </c:pt>
                <c:pt idx="31">
                  <c:v>Testo 30µg/L + FAD-10mg/L</c:v>
                </c:pt>
                <c:pt idx="32">
                  <c:v>Prochloraz-0.063mg/L + Testostérone</c:v>
                </c:pt>
                <c:pt idx="33">
                  <c:v>Prochloraz-0.13mg/L + Testostérone</c:v>
                </c:pt>
                <c:pt idx="34">
                  <c:v>Prochloraz-0.25mg/L + Testostérone</c:v>
                </c:pt>
                <c:pt idx="35">
                  <c:v>Prochloraz-0.5mg/L + Testostérone</c:v>
                </c:pt>
                <c:pt idx="36">
                  <c:v>Prochloraz-1.0mg/L + Testostérone</c:v>
                </c:pt>
                <c:pt idx="37">
                  <c:v>0-00 + Testostérone</c:v>
                </c:pt>
                <c:pt idx="38">
                  <c:v>0-00 + Testostérone</c:v>
                </c:pt>
                <c:pt idx="39">
                  <c:v>0-00 + Testostérone</c:v>
                </c:pt>
                <c:pt idx="40">
                  <c:v>0-00 + Testostérone</c:v>
                </c:pt>
                <c:pt idx="41">
                  <c:v>0-00 + Testostérone</c:v>
                </c:pt>
                <c:pt idx="42">
                  <c:v>0-00 + Testostérone</c:v>
                </c:pt>
                <c:pt idx="43">
                  <c:v>0-00 + Testostérone</c:v>
                </c:pt>
                <c:pt idx="44">
                  <c:v>0-00 + Testostérone</c:v>
                </c:pt>
                <c:pt idx="45">
                  <c:v>0-00 + Testostérone</c:v>
                </c:pt>
                <c:pt idx="46">
                  <c:v>0-00 + Testostérone</c:v>
                </c:pt>
                <c:pt idx="47">
                  <c:v>0-00 + Testostérone</c:v>
                </c:pt>
                <c:pt idx="48">
                  <c:v>0-00 + Testostérone</c:v>
                </c:pt>
                <c:pt idx="49">
                  <c:v>0-00 + Testostérone</c:v>
                </c:pt>
                <c:pt idx="50">
                  <c:v>0-00 + Testostérone</c:v>
                </c:pt>
                <c:pt idx="51">
                  <c:v>0-00 + Testostérone</c:v>
                </c:pt>
              </c:strCache>
            </c:strRef>
          </c:cat>
          <c:val>
            <c:numRef>
              <c:f>'pooled normalised values'!$B$75:$BA$75</c:f>
              <c:numCache>
                <c:formatCode>0.0000</c:formatCode>
                <c:ptCount val="52"/>
                <c:pt idx="0">
                  <c:v>3.7416898968829694E-2</c:v>
                </c:pt>
                <c:pt idx="1">
                  <c:v>7.484681697615915E-2</c:v>
                </c:pt>
                <c:pt idx="2">
                  <c:v>5.8024615065529868E-2</c:v>
                </c:pt>
                <c:pt idx="3">
                  <c:v>0.51325756669079792</c:v>
                </c:pt>
                <c:pt idx="4">
                  <c:v>0.75386627186716337</c:v>
                </c:pt>
                <c:pt idx="5">
                  <c:v>1.2770943180152421</c:v>
                </c:pt>
                <c:pt idx="6">
                  <c:v>1.7245881722516998</c:v>
                </c:pt>
                <c:pt idx="7">
                  <c:v>3.3953890754241996E-2</c:v>
                </c:pt>
                <c:pt idx="8">
                  <c:v>2.4314633674682114E-2</c:v>
                </c:pt>
                <c:pt idx="9">
                  <c:v>3.3423846536671901E-2</c:v>
                </c:pt>
                <c:pt idx="10">
                  <c:v>4.2273775170876056E-2</c:v>
                </c:pt>
                <c:pt idx="11">
                  <c:v>3.8327782950048427E-2</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9">
                  <c:v>0.99999999999999967</c:v>
                </c:pt>
                <c:pt idx="30">
                  <c:v>1.4056153131265035</c:v>
                </c:pt>
                <c:pt idx="31">
                  <c:v>6.6410044224347806E-2</c:v>
                </c:pt>
                <c:pt idx="32">
                  <c:v>0.37312851111532147</c:v>
                </c:pt>
                <c:pt idx="33">
                  <c:v>0.15029156861325946</c:v>
                </c:pt>
                <c:pt idx="34">
                  <c:v>0.13124473281382529</c:v>
                </c:pt>
                <c:pt idx="35">
                  <c:v>4.0161680595302084E-2</c:v>
                </c:pt>
                <c:pt idx="36">
                  <c:v>9.8906710099201309E-2</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extLst>
            <c:ext xmlns:c15="http://schemas.microsoft.com/office/drawing/2012/chart" uri="{02D57815-91ED-43cb-92C2-25804820EDAC}">
              <c15:datalabelsRange>
                <c15:f>'pooled normalised values'!$B$83:$BA$83</c15:f>
                <c15:dlblRangeCache>
                  <c:ptCount val="52"/>
                  <c:pt idx="1">
                    <c:v>NS</c:v>
                  </c:pt>
                  <c:pt idx="2">
                    <c:v>NS</c:v>
                  </c:pt>
                  <c:pt idx="3">
                    <c:v>NS</c:v>
                  </c:pt>
                  <c:pt idx="4">
                    <c:v>**</c:v>
                  </c:pt>
                  <c:pt idx="5">
                    <c:v>***</c:v>
                  </c:pt>
                  <c:pt idx="6">
                    <c:v>***</c:v>
                  </c:pt>
                  <c:pt idx="7">
                    <c:v>NS</c:v>
                  </c:pt>
                  <c:pt idx="8">
                    <c:v>NS</c:v>
                  </c:pt>
                  <c:pt idx="9">
                    <c:v>NS</c:v>
                  </c:pt>
                  <c:pt idx="10">
                    <c:v>NS</c:v>
                  </c:pt>
                  <c:pt idx="11">
                    <c:v>NS</c:v>
                  </c:pt>
                  <c:pt idx="12">
                    <c:v>#NAME?</c:v>
                  </c:pt>
                  <c:pt idx="13">
                    <c:v>#NAME?</c:v>
                  </c:pt>
                  <c:pt idx="14">
                    <c:v>#NAME?</c:v>
                  </c:pt>
                  <c:pt idx="15">
                    <c:v>#NAME?</c:v>
                  </c:pt>
                  <c:pt idx="16">
                    <c:v>#NAME?</c:v>
                  </c:pt>
                  <c:pt idx="17">
                    <c:v>#NAME?</c:v>
                  </c:pt>
                  <c:pt idx="18">
                    <c:v>#NAME?</c:v>
                  </c:pt>
                  <c:pt idx="19">
                    <c:v>#NAME?</c:v>
                  </c:pt>
                  <c:pt idx="20">
                    <c:v>#NAME?</c:v>
                  </c:pt>
                  <c:pt idx="21">
                    <c:v>#NAME?</c:v>
                  </c:pt>
                  <c:pt idx="22">
                    <c:v>#NAME?</c:v>
                  </c:pt>
                  <c:pt idx="23">
                    <c:v>#NAME?</c:v>
                  </c:pt>
                  <c:pt idx="24">
                    <c:v>#NAME?</c:v>
                  </c:pt>
                  <c:pt idx="25">
                    <c:v>#NAME?</c:v>
                  </c:pt>
                  <c:pt idx="26">
                    <c:v>#NAME?</c:v>
                  </c:pt>
                  <c:pt idx="27">
                    <c:v>#NAME?</c:v>
                  </c:pt>
                  <c:pt idx="29">
                    <c:v>***</c:v>
                  </c:pt>
                  <c:pt idx="30">
                    <c:v>***</c:v>
                  </c:pt>
                  <c:pt idx="31">
                    <c:v>***</c:v>
                  </c:pt>
                  <c:pt idx="32">
                    <c:v>**</c:v>
                  </c:pt>
                  <c:pt idx="33">
                    <c:v>***</c:v>
                  </c:pt>
                  <c:pt idx="34">
                    <c:v>***</c:v>
                  </c:pt>
                  <c:pt idx="35">
                    <c:v>***</c:v>
                  </c:pt>
                  <c:pt idx="36">
                    <c:v>***</c:v>
                  </c:pt>
                  <c:pt idx="37">
                    <c:v>#NAME?</c:v>
                  </c:pt>
                  <c:pt idx="38">
                    <c:v>#NAME?</c:v>
                  </c:pt>
                  <c:pt idx="39">
                    <c:v>#NAME?</c:v>
                  </c:pt>
                  <c:pt idx="40">
                    <c:v>#NAME?</c:v>
                  </c:pt>
                  <c:pt idx="41">
                    <c:v>#NAME?</c:v>
                  </c:pt>
                  <c:pt idx="42">
                    <c:v>#NAME?</c:v>
                  </c:pt>
                  <c:pt idx="43">
                    <c:v>#NAME?</c:v>
                  </c:pt>
                  <c:pt idx="44">
                    <c:v>#NAME?</c:v>
                  </c:pt>
                  <c:pt idx="45">
                    <c:v>#NAME?</c:v>
                  </c:pt>
                  <c:pt idx="46">
                    <c:v>#NAME?</c:v>
                  </c:pt>
                  <c:pt idx="47">
                    <c:v>#NAME?</c:v>
                  </c:pt>
                  <c:pt idx="48">
                    <c:v>#NAME?</c:v>
                  </c:pt>
                  <c:pt idx="49">
                    <c:v>#NAME?</c:v>
                  </c:pt>
                  <c:pt idx="50">
                    <c:v>#NAME?</c:v>
                  </c:pt>
                  <c:pt idx="51">
                    <c:v>#NAME?</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2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2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96"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96"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9307286" cy="6077857"/>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307286" cy="6077857"/>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6797" cy="6072188"/>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6797" cy="607218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202013%202016.xlam.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AD2 Table"/>
      <sheetName val="SW Table"/>
      <sheetName val="Stud. Q Table"/>
      <sheetName val="Stud. Q Table 2"/>
      <sheetName val="Sp Rho Table"/>
      <sheetName val="Ken Tau Table"/>
      <sheetName val="Durbin Table"/>
      <sheetName val="Dunnett Table"/>
      <sheetName val="Dunnett 1"/>
      <sheetName val="Prime"/>
      <sheetName val="MSSD"/>
      <sheetName val="RealStats 2013 2016.xlam"/>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7" totalsRowShown="0" headerRowDxfId="8" dataDxfId="7" tableBorderDxfId="6">
  <autoFilter ref="A6:F57" xr:uid="{00000000-0009-0000-0100-000001000000}"/>
  <tableColumns count="6">
    <tableColumn id="4" xr3:uid="{00000000-0010-0000-0000-000004000000}" name="Do not fill in" dataDxfId="5">
      <calculatedColumnFormula>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calculatedColumnFormula>
    </tableColumn>
    <tableColumn id="1" xr3:uid="{00000000-0010-0000-0000-000001000000}" name="Do not fill in2" dataDxfId="4">
      <calculatedColumnFormula>A2</calculatedColumnFormula>
    </tableColumn>
    <tableColumn id="2" xr3:uid="{00000000-0010-0000-0000-000002000000}" name="Concentration" dataDxfId="3">
      <calculatedColumnFormula>B2</calculatedColumnFormula>
    </tableColumn>
    <tableColumn id="10" xr3:uid="{00000000-0010-0000-0000-00000A000000}" name="Units" dataDxfId="2"/>
    <tableColumn id="3" xr3:uid="{00000000-0010-0000-0000-000003000000}" name="Chemical name" dataDxfId="1">
      <calculatedColumnFormula>C2</calculatedColumnFormula>
    </tableColumn>
    <tableColumn id="9" xr3:uid="{00000000-0010-0000-0000-000009000000}" name="Do not fill in3"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7"/>
  <sheetViews>
    <sheetView showGridLines="0" zoomScale="55" zoomScaleNormal="55" workbookViewId="0">
      <selection activeCell="A5" sqref="A5:I5"/>
    </sheetView>
  </sheetViews>
  <sheetFormatPr defaultColWidth="11.42578125" defaultRowHeight="39" customHeight="1" x14ac:dyDescent="0.25"/>
  <cols>
    <col min="1" max="1" width="42" bestFit="1" customWidth="1"/>
    <col min="2" max="2" width="33.85546875" style="28" bestFit="1" customWidth="1"/>
    <col min="3" max="3" width="21.28515625" customWidth="1"/>
    <col min="4" max="4" width="30.42578125" customWidth="1"/>
    <col min="5" max="5" width="62.28515625" style="97"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126"/>
      <c r="B1" s="127"/>
      <c r="C1" s="127"/>
      <c r="D1" s="127"/>
      <c r="E1" s="127"/>
      <c r="F1" s="127"/>
      <c r="G1" s="127"/>
      <c r="H1" s="127"/>
      <c r="I1" s="128"/>
    </row>
    <row r="2" spans="1:9" ht="21.75" thickBot="1" x14ac:dyDescent="0.4">
      <c r="A2" s="116" t="s">
        <v>8</v>
      </c>
      <c r="B2" s="27" t="s">
        <v>57</v>
      </c>
      <c r="C2" s="129" t="s">
        <v>74</v>
      </c>
      <c r="D2" s="130"/>
      <c r="E2" s="125" t="s">
        <v>75</v>
      </c>
      <c r="F2" s="137"/>
      <c r="G2" s="138"/>
      <c r="H2" s="138"/>
      <c r="I2" s="139"/>
    </row>
    <row r="3" spans="1:9" ht="21.75" thickBot="1" x14ac:dyDescent="0.4">
      <c r="A3" s="117" t="s">
        <v>9</v>
      </c>
      <c r="B3" s="27" t="s">
        <v>57</v>
      </c>
      <c r="C3" s="129" t="s">
        <v>76</v>
      </c>
      <c r="D3" s="130"/>
      <c r="E3" s="125" t="s">
        <v>77</v>
      </c>
      <c r="F3" s="134"/>
      <c r="G3" s="135"/>
      <c r="H3" s="135"/>
      <c r="I3" s="136"/>
    </row>
    <row r="4" spans="1:9" ht="21.75" thickBot="1" x14ac:dyDescent="0.4">
      <c r="A4" s="118" t="s">
        <v>12</v>
      </c>
      <c r="B4" s="27" t="s">
        <v>57</v>
      </c>
      <c r="C4" s="129" t="s">
        <v>78</v>
      </c>
      <c r="D4" s="130"/>
      <c r="E4" s="125" t="s">
        <v>79</v>
      </c>
      <c r="F4" s="131"/>
      <c r="G4" s="132"/>
      <c r="H4" s="132"/>
      <c r="I4" s="133"/>
    </row>
    <row r="5" spans="1:9" s="1" customFormat="1" ht="65.25" customHeight="1" thickBot="1" x14ac:dyDescent="0.3">
      <c r="A5" s="126" t="s">
        <v>18</v>
      </c>
      <c r="B5" s="127"/>
      <c r="C5" s="127"/>
      <c r="D5" s="127"/>
      <c r="E5" s="127"/>
      <c r="F5" s="127"/>
      <c r="G5" s="127"/>
      <c r="H5" s="127"/>
      <c r="I5" s="128"/>
    </row>
    <row r="6" spans="1:9" s="74" customFormat="1" ht="39" customHeight="1" x14ac:dyDescent="0.35">
      <c r="A6" s="64" t="s">
        <v>58</v>
      </c>
      <c r="B6" s="65" t="s">
        <v>59</v>
      </c>
      <c r="C6" s="51" t="s">
        <v>10</v>
      </c>
      <c r="D6" s="51" t="s">
        <v>60</v>
      </c>
      <c r="E6" s="94" t="s">
        <v>61</v>
      </c>
      <c r="F6" s="73" t="s">
        <v>62</v>
      </c>
    </row>
    <row r="7" spans="1:9" s="103" customFormat="1" ht="39" customHeight="1" x14ac:dyDescent="0.35">
      <c r="A7" s="9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Solvent control</v>
      </c>
      <c r="B7" s="99" t="s">
        <v>50</v>
      </c>
      <c r="C7" s="100"/>
      <c r="D7" s="101"/>
      <c r="E7" s="102" t="s">
        <v>64</v>
      </c>
      <c r="F7" s="75"/>
    </row>
    <row r="8" spans="1:9" s="103" customFormat="1" ht="39" customHeight="1" x14ac:dyDescent="0.35">
      <c r="A8" s="9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EE2-33.8ng/L</v>
      </c>
      <c r="B8" s="99" t="s">
        <v>50</v>
      </c>
      <c r="C8" s="100" t="s">
        <v>65</v>
      </c>
      <c r="D8" s="101" t="s">
        <v>51</v>
      </c>
      <c r="E8" s="102" t="s">
        <v>52</v>
      </c>
      <c r="F8" s="75"/>
    </row>
    <row r="9" spans="1:9" s="103" customFormat="1" ht="39" customHeight="1" x14ac:dyDescent="0.35">
      <c r="A9" s="9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EE2-50.6ng/L</v>
      </c>
      <c r="B9" s="99" t="s">
        <v>50</v>
      </c>
      <c r="C9" s="100" t="s">
        <v>66</v>
      </c>
      <c r="D9" s="101" t="s">
        <v>51</v>
      </c>
      <c r="E9" s="102" t="s">
        <v>52</v>
      </c>
      <c r="F9" s="75"/>
    </row>
    <row r="10" spans="1:9" s="103" customFormat="1" ht="39" customHeight="1" x14ac:dyDescent="0.35">
      <c r="A10" s="9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EE2-76ng/L</v>
      </c>
      <c r="B10" s="99" t="s">
        <v>50</v>
      </c>
      <c r="C10" s="100">
        <v>76</v>
      </c>
      <c r="D10" s="101" t="s">
        <v>51</v>
      </c>
      <c r="E10" s="102" t="s">
        <v>52</v>
      </c>
      <c r="F10" s="75"/>
    </row>
    <row r="11" spans="1:9" s="103" customFormat="1" ht="39" customHeight="1" x14ac:dyDescent="0.35">
      <c r="A11" s="9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EE2-114ng/L</v>
      </c>
      <c r="B11" s="99" t="s">
        <v>50</v>
      </c>
      <c r="C11" s="100">
        <v>114</v>
      </c>
      <c r="D11" s="101" t="s">
        <v>51</v>
      </c>
      <c r="E11" s="102" t="s">
        <v>52</v>
      </c>
      <c r="F11" s="75"/>
    </row>
    <row r="12" spans="1:9" s="103" customFormat="1" ht="39" customHeight="1" x14ac:dyDescent="0.35">
      <c r="A12" s="9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EE2-170.9ng/L</v>
      </c>
      <c r="B12" s="99" t="s">
        <v>50</v>
      </c>
      <c r="C12" s="100" t="s">
        <v>67</v>
      </c>
      <c r="D12" s="101" t="s">
        <v>51</v>
      </c>
      <c r="E12" s="102" t="s">
        <v>52</v>
      </c>
      <c r="F12" s="75"/>
    </row>
    <row r="13" spans="1:9" s="103" customFormat="1" ht="39" customHeight="1" x14ac:dyDescent="0.35">
      <c r="A13" s="9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EE2-488ng/L</v>
      </c>
      <c r="B13" s="99" t="s">
        <v>50</v>
      </c>
      <c r="C13" s="100">
        <v>488</v>
      </c>
      <c r="D13" s="101" t="s">
        <v>51</v>
      </c>
      <c r="E13" s="102" t="s">
        <v>52</v>
      </c>
      <c r="F13" s="75"/>
    </row>
    <row r="14" spans="1:9" s="103" customFormat="1" ht="39" customHeight="1" x14ac:dyDescent="0.35">
      <c r="A14" s="9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Prochloraz-0.063mg/L</v>
      </c>
      <c r="B14" s="99" t="s">
        <v>63</v>
      </c>
      <c r="C14" s="100" t="s">
        <v>69</v>
      </c>
      <c r="D14" s="101" t="s">
        <v>55</v>
      </c>
      <c r="E14" s="102" t="s">
        <v>68</v>
      </c>
      <c r="F14" s="75"/>
    </row>
    <row r="15" spans="1:9" s="76" customFormat="1" ht="39" customHeight="1" x14ac:dyDescent="0.25">
      <c r="A15"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Prochloraz-0.13mg/L</v>
      </c>
      <c r="B15" s="99" t="s">
        <v>63</v>
      </c>
      <c r="C15" s="70" t="s">
        <v>70</v>
      </c>
      <c r="D15" s="101" t="s">
        <v>55</v>
      </c>
      <c r="E15" s="102" t="s">
        <v>68</v>
      </c>
      <c r="F15" s="75"/>
    </row>
    <row r="16" spans="1:9" s="76" customFormat="1" ht="39" customHeight="1" x14ac:dyDescent="0.25">
      <c r="A16"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Prochloraz-0.25mg/L</v>
      </c>
      <c r="B16" s="99" t="s">
        <v>63</v>
      </c>
      <c r="C16" s="70" t="s">
        <v>71</v>
      </c>
      <c r="D16" s="101" t="s">
        <v>55</v>
      </c>
      <c r="E16" s="102" t="s">
        <v>68</v>
      </c>
      <c r="F16" s="75"/>
    </row>
    <row r="17" spans="1:6" s="76" customFormat="1" ht="39" customHeight="1" x14ac:dyDescent="0.25">
      <c r="A17"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Prochloraz-0.5mg/L</v>
      </c>
      <c r="B17" s="99" t="s">
        <v>63</v>
      </c>
      <c r="C17" s="70" t="s">
        <v>72</v>
      </c>
      <c r="D17" s="101" t="s">
        <v>55</v>
      </c>
      <c r="E17" s="102" t="s">
        <v>68</v>
      </c>
      <c r="F17" s="75"/>
    </row>
    <row r="18" spans="1:6" s="76" customFormat="1" ht="39" customHeight="1" x14ac:dyDescent="0.25">
      <c r="A18"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Prochloraz-1.0mg/L</v>
      </c>
      <c r="B18" s="99" t="s">
        <v>63</v>
      </c>
      <c r="C18" s="70" t="s">
        <v>73</v>
      </c>
      <c r="D18" s="101" t="s">
        <v>55</v>
      </c>
      <c r="E18" s="102" t="s">
        <v>68</v>
      </c>
      <c r="F18" s="75"/>
    </row>
    <row r="19" spans="1:6" s="76" customFormat="1" ht="39" customHeight="1" x14ac:dyDescent="0.25">
      <c r="A19"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19" s="99" t="s">
        <v>63</v>
      </c>
      <c r="C19" s="70"/>
      <c r="D19" s="70"/>
      <c r="E19" s="25"/>
      <c r="F19" s="75"/>
    </row>
    <row r="20" spans="1:6" s="76" customFormat="1" ht="39" customHeight="1" x14ac:dyDescent="0.25">
      <c r="A20"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0" s="99" t="s">
        <v>63</v>
      </c>
      <c r="C20" s="70"/>
      <c r="D20" s="70"/>
      <c r="E20" s="66"/>
      <c r="F20" s="75"/>
    </row>
    <row r="21" spans="1:6" s="76" customFormat="1" ht="39" customHeight="1" x14ac:dyDescent="0.25">
      <c r="A21"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1" s="99" t="s">
        <v>63</v>
      </c>
      <c r="C21" s="70"/>
      <c r="D21" s="70"/>
      <c r="E21" s="25"/>
      <c r="F21" s="75"/>
    </row>
    <row r="22" spans="1:6" s="76" customFormat="1" ht="39" customHeight="1" x14ac:dyDescent="0.25">
      <c r="A22"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2" s="99" t="s">
        <v>63</v>
      </c>
      <c r="C22" s="70"/>
      <c r="D22" s="70"/>
      <c r="E22" s="66"/>
      <c r="F22" s="75"/>
    </row>
    <row r="23" spans="1:6" s="76" customFormat="1" ht="39" customHeight="1" x14ac:dyDescent="0.25">
      <c r="A23"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3" s="99" t="s">
        <v>63</v>
      </c>
      <c r="C23" s="70"/>
      <c r="D23" s="70"/>
      <c r="E23" s="25"/>
      <c r="F23" s="75"/>
    </row>
    <row r="24" spans="1:6" s="76" customFormat="1" ht="39" customHeight="1" x14ac:dyDescent="0.25">
      <c r="A24"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4" s="99" t="s">
        <v>63</v>
      </c>
      <c r="C24" s="70"/>
      <c r="D24" s="70"/>
      <c r="E24" s="66"/>
      <c r="F24" s="75"/>
    </row>
    <row r="25" spans="1:6" s="76" customFormat="1" ht="39" customHeight="1" x14ac:dyDescent="0.25">
      <c r="A25"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5" s="99" t="s">
        <v>63</v>
      </c>
      <c r="C25" s="70"/>
      <c r="D25" s="70"/>
      <c r="E25" s="25"/>
      <c r="F25" s="75"/>
    </row>
    <row r="26" spans="1:6" s="76" customFormat="1" ht="39" customHeight="1" x14ac:dyDescent="0.25">
      <c r="A26"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6" s="99" t="s">
        <v>63</v>
      </c>
      <c r="C26" s="70"/>
      <c r="D26" s="70"/>
      <c r="E26" s="66"/>
      <c r="F26" s="75"/>
    </row>
    <row r="27" spans="1:6" s="76" customFormat="1" ht="39" customHeight="1" x14ac:dyDescent="0.25">
      <c r="A27"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7" s="99" t="s">
        <v>63</v>
      </c>
      <c r="C27" s="70"/>
      <c r="D27" s="70"/>
      <c r="E27" s="25"/>
      <c r="F27" s="75"/>
    </row>
    <row r="28" spans="1:6" s="76" customFormat="1" ht="39" customHeight="1" x14ac:dyDescent="0.25">
      <c r="A28"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8" s="99" t="s">
        <v>63</v>
      </c>
      <c r="C28" s="70"/>
      <c r="D28" s="70"/>
      <c r="E28" s="66"/>
      <c r="F28" s="75"/>
    </row>
    <row r="29" spans="1:6" s="76" customFormat="1" ht="39" customHeight="1" x14ac:dyDescent="0.25">
      <c r="A29"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9" s="99" t="s">
        <v>63</v>
      </c>
      <c r="C29" s="70"/>
      <c r="D29" s="79"/>
      <c r="E29" s="25"/>
      <c r="F29" s="75"/>
    </row>
    <row r="30" spans="1:6" s="76" customFormat="1" ht="39" customHeight="1" x14ac:dyDescent="0.25">
      <c r="A30"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0" s="99" t="s">
        <v>63</v>
      </c>
      <c r="C30" s="70"/>
      <c r="D30" s="79"/>
      <c r="E30" s="66"/>
      <c r="F30" s="75"/>
    </row>
    <row r="31" spans="1:6" s="76" customFormat="1" ht="39" customHeight="1" x14ac:dyDescent="0.25">
      <c r="A31"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1" s="99" t="s">
        <v>63</v>
      </c>
      <c r="C31" s="70"/>
      <c r="D31" s="79"/>
      <c r="E31" s="25"/>
      <c r="F31" s="75"/>
    </row>
    <row r="32" spans="1:6" s="76" customFormat="1" ht="39" customHeight="1" x14ac:dyDescent="0.25">
      <c r="A32"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2" s="99" t="s">
        <v>63</v>
      </c>
      <c r="C32" s="70"/>
      <c r="D32" s="79"/>
      <c r="E32" s="66"/>
      <c r="F32" s="75"/>
    </row>
    <row r="33" spans="1:6" s="76" customFormat="1" ht="39" customHeight="1" x14ac:dyDescent="0.25">
      <c r="A33"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3" s="99" t="s">
        <v>63</v>
      </c>
      <c r="C33" s="70"/>
      <c r="D33" s="79"/>
      <c r="E33" s="25"/>
      <c r="F33" s="75"/>
    </row>
    <row r="34" spans="1:6" s="76" customFormat="1" ht="39" customHeight="1" thickBot="1" x14ac:dyDescent="0.3">
      <c r="A34" s="6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4" s="99" t="s">
        <v>63</v>
      </c>
      <c r="C34" s="105"/>
      <c r="D34" s="80"/>
      <c r="E34" s="104"/>
      <c r="F34" s="75"/>
    </row>
    <row r="35" spans="1:6" s="76" customFormat="1" ht="39" customHeight="1" x14ac:dyDescent="0.25">
      <c r="A35" s="10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v>
      </c>
      <c r="B35" s="67" t="s">
        <v>50</v>
      </c>
      <c r="C35" s="71">
        <v>30</v>
      </c>
      <c r="D35" s="81" t="s">
        <v>53</v>
      </c>
      <c r="E35" s="95" t="s">
        <v>11</v>
      </c>
      <c r="F35" s="107"/>
    </row>
    <row r="36" spans="1:6" s="76" customFormat="1" ht="39" customHeight="1" x14ac:dyDescent="0.25">
      <c r="A36" s="10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EE2 -64ng/L</v>
      </c>
      <c r="B36" s="68" t="s">
        <v>50</v>
      </c>
      <c r="C36" s="72">
        <v>64</v>
      </c>
      <c r="D36" s="82" t="s">
        <v>51</v>
      </c>
      <c r="E36" s="96" t="s">
        <v>54</v>
      </c>
      <c r="F36" s="109"/>
    </row>
    <row r="37" spans="1:6" s="76" customFormat="1" ht="39" customHeight="1" thickBot="1" x14ac:dyDescent="0.3">
      <c r="A37" s="11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FAD-10mg/L</v>
      </c>
      <c r="B37" s="111" t="s">
        <v>50</v>
      </c>
      <c r="C37" s="112">
        <v>10</v>
      </c>
      <c r="D37" s="113" t="s">
        <v>55</v>
      </c>
      <c r="E37" s="114" t="s">
        <v>56</v>
      </c>
      <c r="F37" s="115"/>
    </row>
    <row r="38" spans="1:6" s="76" customFormat="1" ht="39" customHeight="1" x14ac:dyDescent="0.25">
      <c r="A38" s="3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Prochloraz-0.063mg/L + Testostérone</v>
      </c>
      <c r="B38" s="119" t="str">
        <f>B14</f>
        <v>test chemical</v>
      </c>
      <c r="C38" s="119" t="str">
        <f t="shared" ref="C38:E38" si="0">C14</f>
        <v>0.063</v>
      </c>
      <c r="D38" s="119" t="str">
        <f t="shared" si="0"/>
        <v>mg/L</v>
      </c>
      <c r="E38" s="119" t="str">
        <f t="shared" si="0"/>
        <v>Prochloraz</v>
      </c>
      <c r="F38" s="77" t="s">
        <v>30</v>
      </c>
    </row>
    <row r="39" spans="1:6" s="76" customFormat="1" ht="39" customHeight="1" x14ac:dyDescent="0.25">
      <c r="A39"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Prochloraz-0.13mg/L + Testostérone</v>
      </c>
      <c r="B39" s="121" t="str">
        <f t="shared" ref="B39:E39" si="1">B15</f>
        <v>test chemical</v>
      </c>
      <c r="C39" s="121" t="str">
        <f t="shared" si="1"/>
        <v>0.13</v>
      </c>
      <c r="D39" s="121" t="str">
        <f t="shared" si="1"/>
        <v>mg/L</v>
      </c>
      <c r="E39" s="121" t="str">
        <f t="shared" si="1"/>
        <v>Prochloraz</v>
      </c>
      <c r="F39" s="78" t="s">
        <v>30</v>
      </c>
    </row>
    <row r="40" spans="1:6" s="76" customFormat="1" ht="39" customHeight="1" x14ac:dyDescent="0.25">
      <c r="A40"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Prochloraz-0.25mg/L + Testostérone</v>
      </c>
      <c r="B40" s="121" t="str">
        <f t="shared" ref="B40:E40" si="2">B16</f>
        <v>test chemical</v>
      </c>
      <c r="C40" s="121" t="str">
        <f t="shared" si="2"/>
        <v>0.25</v>
      </c>
      <c r="D40" s="121" t="str">
        <f t="shared" si="2"/>
        <v>mg/L</v>
      </c>
      <c r="E40" s="121" t="str">
        <f t="shared" si="2"/>
        <v>Prochloraz</v>
      </c>
      <c r="F40" s="78" t="s">
        <v>30</v>
      </c>
    </row>
    <row r="41" spans="1:6" s="76" customFormat="1" ht="39" customHeight="1" x14ac:dyDescent="0.25">
      <c r="A41"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Prochloraz-0.5mg/L + Testostérone</v>
      </c>
      <c r="B41" s="121" t="str">
        <f t="shared" ref="B41:E41" si="3">B17</f>
        <v>test chemical</v>
      </c>
      <c r="C41" s="121" t="str">
        <f t="shared" si="3"/>
        <v>0.5</v>
      </c>
      <c r="D41" s="121" t="str">
        <f t="shared" si="3"/>
        <v>mg/L</v>
      </c>
      <c r="E41" s="121" t="str">
        <f t="shared" si="3"/>
        <v>Prochloraz</v>
      </c>
      <c r="F41" s="78" t="s">
        <v>30</v>
      </c>
    </row>
    <row r="42" spans="1:6" s="76" customFormat="1" ht="39" customHeight="1" x14ac:dyDescent="0.25">
      <c r="A42"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Prochloraz-1.0mg/L + Testostérone</v>
      </c>
      <c r="B42" s="121" t="str">
        <f t="shared" ref="B42:E42" si="4">B18</f>
        <v>test chemical</v>
      </c>
      <c r="C42" s="121" t="str">
        <f t="shared" si="4"/>
        <v>1.0</v>
      </c>
      <c r="D42" s="121" t="str">
        <f t="shared" si="4"/>
        <v>mg/L</v>
      </c>
      <c r="E42" s="121" t="str">
        <f t="shared" si="4"/>
        <v>Prochloraz</v>
      </c>
      <c r="F42" s="78" t="s">
        <v>30</v>
      </c>
    </row>
    <row r="43" spans="1:6" s="76" customFormat="1" ht="39" customHeight="1" x14ac:dyDescent="0.25">
      <c r="A43"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3" s="121" t="str">
        <f t="shared" ref="B43:E43" si="5">B19</f>
        <v>test chemical</v>
      </c>
      <c r="C43" s="121">
        <f t="shared" si="5"/>
        <v>0</v>
      </c>
      <c r="D43" s="121">
        <f t="shared" si="5"/>
        <v>0</v>
      </c>
      <c r="E43" s="121">
        <f t="shared" si="5"/>
        <v>0</v>
      </c>
      <c r="F43" s="78" t="s">
        <v>30</v>
      </c>
    </row>
    <row r="44" spans="1:6" s="76" customFormat="1" ht="39" customHeight="1" x14ac:dyDescent="0.25">
      <c r="A44"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4" s="121" t="str">
        <f t="shared" ref="B44:E44" si="6">B20</f>
        <v>test chemical</v>
      </c>
      <c r="C44" s="121">
        <f t="shared" si="6"/>
        <v>0</v>
      </c>
      <c r="D44" s="121">
        <f t="shared" si="6"/>
        <v>0</v>
      </c>
      <c r="E44" s="121">
        <f t="shared" si="6"/>
        <v>0</v>
      </c>
      <c r="F44" s="78" t="s">
        <v>30</v>
      </c>
    </row>
    <row r="45" spans="1:6" s="76" customFormat="1" ht="39" customHeight="1" x14ac:dyDescent="0.25">
      <c r="A45"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5" s="121" t="str">
        <f t="shared" ref="B45:E45" si="7">B21</f>
        <v>test chemical</v>
      </c>
      <c r="C45" s="121">
        <f t="shared" si="7"/>
        <v>0</v>
      </c>
      <c r="D45" s="121">
        <f t="shared" si="7"/>
        <v>0</v>
      </c>
      <c r="E45" s="121">
        <f t="shared" si="7"/>
        <v>0</v>
      </c>
      <c r="F45" s="78" t="s">
        <v>30</v>
      </c>
    </row>
    <row r="46" spans="1:6" s="76" customFormat="1" ht="39" customHeight="1" x14ac:dyDescent="0.25">
      <c r="A46"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6" s="121" t="str">
        <f t="shared" ref="B46:E46" si="8">B22</f>
        <v>test chemical</v>
      </c>
      <c r="C46" s="121">
        <f t="shared" si="8"/>
        <v>0</v>
      </c>
      <c r="D46" s="121">
        <f t="shared" si="8"/>
        <v>0</v>
      </c>
      <c r="E46" s="121">
        <f t="shared" si="8"/>
        <v>0</v>
      </c>
      <c r="F46" s="78" t="s">
        <v>30</v>
      </c>
    </row>
    <row r="47" spans="1:6" s="76" customFormat="1" ht="39" customHeight="1" x14ac:dyDescent="0.25">
      <c r="A47"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7" s="121" t="str">
        <f t="shared" ref="B47:E47" si="9">B23</f>
        <v>test chemical</v>
      </c>
      <c r="C47" s="121">
        <f t="shared" si="9"/>
        <v>0</v>
      </c>
      <c r="D47" s="121">
        <f t="shared" si="9"/>
        <v>0</v>
      </c>
      <c r="E47" s="121">
        <f t="shared" si="9"/>
        <v>0</v>
      </c>
      <c r="F47" s="78" t="s">
        <v>30</v>
      </c>
    </row>
    <row r="48" spans="1:6" s="76" customFormat="1" ht="39" customHeight="1" x14ac:dyDescent="0.25">
      <c r="A48"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8" s="121" t="str">
        <f t="shared" ref="B48:E48" si="10">B24</f>
        <v>test chemical</v>
      </c>
      <c r="C48" s="121">
        <f t="shared" si="10"/>
        <v>0</v>
      </c>
      <c r="D48" s="121">
        <f t="shared" si="10"/>
        <v>0</v>
      </c>
      <c r="E48" s="121">
        <f t="shared" si="10"/>
        <v>0</v>
      </c>
      <c r="F48" s="78" t="s">
        <v>30</v>
      </c>
    </row>
    <row r="49" spans="1:6" s="76" customFormat="1" ht="39" customHeight="1" x14ac:dyDescent="0.25">
      <c r="A49"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9" s="121" t="str">
        <f t="shared" ref="B49:E49" si="11">B25</f>
        <v>test chemical</v>
      </c>
      <c r="C49" s="121">
        <f t="shared" si="11"/>
        <v>0</v>
      </c>
      <c r="D49" s="121">
        <f t="shared" si="11"/>
        <v>0</v>
      </c>
      <c r="E49" s="121">
        <f t="shared" si="11"/>
        <v>0</v>
      </c>
      <c r="F49" s="78" t="s">
        <v>30</v>
      </c>
    </row>
    <row r="50" spans="1:6" s="76" customFormat="1" ht="39" customHeight="1" x14ac:dyDescent="0.25">
      <c r="A50"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0" s="121" t="str">
        <f t="shared" ref="B50:E50" si="12">B26</f>
        <v>test chemical</v>
      </c>
      <c r="C50" s="121">
        <f t="shared" si="12"/>
        <v>0</v>
      </c>
      <c r="D50" s="121">
        <f t="shared" si="12"/>
        <v>0</v>
      </c>
      <c r="E50" s="121">
        <f t="shared" si="12"/>
        <v>0</v>
      </c>
      <c r="F50" s="78" t="s">
        <v>30</v>
      </c>
    </row>
    <row r="51" spans="1:6" s="76" customFormat="1" ht="39" customHeight="1" x14ac:dyDescent="0.25">
      <c r="A51"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1" s="121" t="str">
        <f t="shared" ref="B51:E51" si="13">B27</f>
        <v>test chemical</v>
      </c>
      <c r="C51" s="121">
        <f t="shared" si="13"/>
        <v>0</v>
      </c>
      <c r="D51" s="121">
        <f t="shared" si="13"/>
        <v>0</v>
      </c>
      <c r="E51" s="121">
        <f t="shared" si="13"/>
        <v>0</v>
      </c>
      <c r="F51" s="78" t="s">
        <v>30</v>
      </c>
    </row>
    <row r="52" spans="1:6" s="76" customFormat="1" ht="39" customHeight="1" x14ac:dyDescent="0.25">
      <c r="A52"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2" s="121" t="str">
        <f t="shared" ref="B52:E52" si="14">B28</f>
        <v>test chemical</v>
      </c>
      <c r="C52" s="121">
        <f t="shared" si="14"/>
        <v>0</v>
      </c>
      <c r="D52" s="121">
        <f t="shared" si="14"/>
        <v>0</v>
      </c>
      <c r="E52" s="121">
        <f t="shared" si="14"/>
        <v>0</v>
      </c>
      <c r="F52" s="78" t="s">
        <v>30</v>
      </c>
    </row>
    <row r="53" spans="1:6" s="76" customFormat="1" ht="39" customHeight="1" x14ac:dyDescent="0.25">
      <c r="A53"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3" s="121" t="str">
        <f t="shared" ref="B53:E53" si="15">B29</f>
        <v>test chemical</v>
      </c>
      <c r="C53" s="121">
        <f t="shared" si="15"/>
        <v>0</v>
      </c>
      <c r="D53" s="121">
        <f t="shared" si="15"/>
        <v>0</v>
      </c>
      <c r="E53" s="121">
        <f t="shared" si="15"/>
        <v>0</v>
      </c>
      <c r="F53" s="78" t="s">
        <v>30</v>
      </c>
    </row>
    <row r="54" spans="1:6" s="76" customFormat="1" ht="39" customHeight="1" x14ac:dyDescent="0.25">
      <c r="A54"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4" s="121" t="str">
        <f t="shared" ref="B54:E54" si="16">B30</f>
        <v>test chemical</v>
      </c>
      <c r="C54" s="121">
        <f t="shared" si="16"/>
        <v>0</v>
      </c>
      <c r="D54" s="121">
        <f t="shared" si="16"/>
        <v>0</v>
      </c>
      <c r="E54" s="121">
        <f t="shared" si="16"/>
        <v>0</v>
      </c>
      <c r="F54" s="78" t="s">
        <v>30</v>
      </c>
    </row>
    <row r="55" spans="1:6" s="76" customFormat="1" ht="39" customHeight="1" x14ac:dyDescent="0.25">
      <c r="A55"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5" s="121" t="str">
        <f t="shared" ref="B55:E55" si="17">B31</f>
        <v>test chemical</v>
      </c>
      <c r="C55" s="121">
        <f t="shared" si="17"/>
        <v>0</v>
      </c>
      <c r="D55" s="121">
        <f t="shared" si="17"/>
        <v>0</v>
      </c>
      <c r="E55" s="121">
        <f t="shared" si="17"/>
        <v>0</v>
      </c>
      <c r="F55" s="78" t="s">
        <v>30</v>
      </c>
    </row>
    <row r="56" spans="1:6" s="76" customFormat="1" ht="39" customHeight="1" x14ac:dyDescent="0.25">
      <c r="A56"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6" s="121" t="str">
        <f t="shared" ref="B56:E56" si="18">B32</f>
        <v>test chemical</v>
      </c>
      <c r="C56" s="121">
        <f t="shared" si="18"/>
        <v>0</v>
      </c>
      <c r="D56" s="121">
        <f t="shared" si="18"/>
        <v>0</v>
      </c>
      <c r="E56" s="121">
        <f t="shared" si="18"/>
        <v>0</v>
      </c>
      <c r="F56" s="78" t="s">
        <v>30</v>
      </c>
    </row>
    <row r="57" spans="1:6" s="76" customFormat="1" ht="39" customHeight="1" x14ac:dyDescent="0.25">
      <c r="A57" s="6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7" s="120" t="str">
        <f t="shared" ref="B57:E57" si="19">B33</f>
        <v>test chemical</v>
      </c>
      <c r="C57" s="120">
        <f t="shared" si="19"/>
        <v>0</v>
      </c>
      <c r="D57" s="120">
        <f t="shared" si="19"/>
        <v>0</v>
      </c>
      <c r="E57" s="120">
        <f t="shared" si="19"/>
        <v>0</v>
      </c>
      <c r="F57" s="78" t="s">
        <v>30</v>
      </c>
    </row>
  </sheetData>
  <protectedRanges>
    <protectedRange sqref="C19:D37 A15:A51 C15:C18"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7" xr:uid="{E0A8F951-ED76-4488-98E3-F13AD7875916}">
      <formula1>ISERROR(SEARCH("-",E7))=TRUE</formula1>
    </dataValidation>
  </dataValidations>
  <pageMargins left="0.7" right="0.7" top="0.75" bottom="0.75" header="0.3" footer="0.3"/>
  <pageSetup paperSize="9" scale="25"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74"/>
  <sheetViews>
    <sheetView showGridLines="0" topLeftCell="A22" zoomScale="85" zoomScaleNormal="85" zoomScaleSheetLayoutView="40" zoomScalePageLayoutView="30" workbookViewId="0">
      <pane xSplit="1" topLeftCell="I1" activePane="topRight" state="frozen"/>
      <selection pane="topRight" activeCell="N34" sqref="N34"/>
    </sheetView>
  </sheetViews>
  <sheetFormatPr defaultColWidth="9.140625" defaultRowHeight="15" x14ac:dyDescent="0.25"/>
  <cols>
    <col min="1" max="1" width="29.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customWidth="1"/>
    <col min="16" max="16" width="17.7109375" customWidth="1"/>
    <col min="17" max="18" width="25.85546875" bestFit="1" customWidth="1"/>
    <col min="19" max="36" width="25.85546875" style="1" customWidth="1"/>
    <col min="37" max="37" width="25.85546875" bestFit="1" customWidth="1"/>
  </cols>
  <sheetData>
    <row r="1" spans="1:37" s="1" customFormat="1" ht="27" thickBot="1" x14ac:dyDescent="0.45">
      <c r="A1" s="140" t="s">
        <v>21</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2"/>
    </row>
    <row r="2" spans="1:37" ht="15.75" thickBot="1" x14ac:dyDescent="0.3">
      <c r="A2"/>
      <c r="B2"/>
      <c r="C2"/>
      <c r="D2"/>
      <c r="E2"/>
      <c r="F2"/>
      <c r="G2"/>
      <c r="H2"/>
      <c r="I2"/>
      <c r="J2"/>
      <c r="K2"/>
      <c r="L2"/>
      <c r="M2"/>
      <c r="S2"/>
      <c r="T2"/>
      <c r="U2"/>
      <c r="V2"/>
      <c r="W2"/>
      <c r="X2"/>
      <c r="Y2"/>
      <c r="Z2"/>
      <c r="AA2"/>
      <c r="AB2"/>
      <c r="AC2"/>
      <c r="AD2"/>
    </row>
    <row r="3" spans="1:37" ht="15.75" thickBot="1" x14ac:dyDescent="0.3">
      <c r="A3" s="37" t="s">
        <v>8</v>
      </c>
      <c r="B3" s="150" t="s">
        <v>6</v>
      </c>
      <c r="C3" s="151"/>
      <c r="D3" s="151"/>
      <c r="E3" s="151"/>
      <c r="F3" s="151"/>
      <c r="G3" s="151"/>
      <c r="H3" s="151"/>
      <c r="I3" s="151"/>
      <c r="J3" s="151"/>
      <c r="K3" s="151"/>
      <c r="L3" s="151"/>
      <c r="M3" s="151"/>
      <c r="N3" s="124"/>
      <c r="O3" s="150" t="s">
        <v>3</v>
      </c>
      <c r="P3" s="151"/>
      <c r="Q3" s="151"/>
      <c r="R3" s="151"/>
      <c r="S3" s="151"/>
      <c r="T3" s="151"/>
      <c r="U3" s="151"/>
      <c r="V3" s="151"/>
      <c r="W3" s="151"/>
      <c r="X3" s="151"/>
      <c r="Y3" s="151"/>
      <c r="Z3" s="151"/>
      <c r="AA3" s="151"/>
      <c r="AB3" s="151"/>
      <c r="AC3" s="151"/>
      <c r="AD3" s="151"/>
      <c r="AE3" s="151"/>
      <c r="AF3" s="151"/>
      <c r="AG3" s="151"/>
      <c r="AH3" s="151"/>
      <c r="AI3" s="151"/>
      <c r="AJ3" s="151"/>
      <c r="AK3" s="152"/>
    </row>
    <row r="4" spans="1:37" x14ac:dyDescent="0.25">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Prochloraz-0.063mg/L</v>
      </c>
      <c r="J4" s="20" t="str">
        <f>'Front page'!A15</f>
        <v>Prochloraz-0.13mg/L</v>
      </c>
      <c r="K4" s="20" t="str">
        <f>'Front page'!A16</f>
        <v>Prochloraz-0.25mg/L</v>
      </c>
      <c r="L4" s="20" t="str">
        <f>'Front page'!A17</f>
        <v>Prochloraz-0.5mg/L</v>
      </c>
      <c r="M4" s="20" t="str">
        <f>'Front page'!A18</f>
        <v>Prochloraz-1.0mg/L</v>
      </c>
      <c r="N4" s="20"/>
      <c r="O4" s="21" t="str">
        <f>'Front page'!A35</f>
        <v>Testo -30µg/L</v>
      </c>
      <c r="P4" s="21" t="str">
        <f>'Front page'!A36</f>
        <v>Testo 30µg/L + EE2 -64ng/L</v>
      </c>
      <c r="Q4" s="21" t="str">
        <f>'Front page'!A37</f>
        <v>Testo 30µg/L + FAD-10mg/L</v>
      </c>
      <c r="R4" s="21" t="str">
        <f>'Front page'!A38</f>
        <v>Prochloraz-0.063mg/L + Testostérone</v>
      </c>
      <c r="S4" s="21" t="str">
        <f>'Front page'!A39</f>
        <v>Prochloraz-0.13mg/L + Testostérone</v>
      </c>
      <c r="T4" s="21" t="str">
        <f>'Front page'!A40</f>
        <v>Prochloraz-0.25mg/L + Testostérone</v>
      </c>
      <c r="U4" s="21" t="str">
        <f>'Front page'!A41</f>
        <v>Prochloraz-0.5mg/L + Testostérone</v>
      </c>
      <c r="V4" s="21" t="str">
        <f>'Front page'!A42</f>
        <v>Prochloraz-1.0mg/L + Testostérone</v>
      </c>
      <c r="W4" s="21" t="str">
        <f>'Front page'!A43</f>
        <v>0-00 + Testostérone</v>
      </c>
      <c r="X4" s="21" t="str">
        <f>'Front page'!A44</f>
        <v>0-00 + Testostérone</v>
      </c>
      <c r="Y4" s="21" t="str">
        <f>'Front page'!A45</f>
        <v>0-00 + Testostérone</v>
      </c>
      <c r="Z4" s="21" t="str">
        <f>'Front page'!A46</f>
        <v>0-00 + Testostérone</v>
      </c>
      <c r="AA4" s="21" t="str">
        <f>'Front page'!A47</f>
        <v>0-00 + Testostérone</v>
      </c>
      <c r="AB4" s="21" t="str">
        <f>'Front page'!A48</f>
        <v>0-00 + Testostérone</v>
      </c>
      <c r="AC4" s="21" t="str">
        <f>'Front page'!A49</f>
        <v>0-00 + Testostérone</v>
      </c>
      <c r="AD4" s="21" t="str">
        <f>'Front page'!A50</f>
        <v>0-00 + Testostérone</v>
      </c>
      <c r="AE4" s="21" t="str">
        <f>'Front page'!A51</f>
        <v>0-00 + Testostérone</v>
      </c>
      <c r="AF4" s="21" t="str">
        <f>'Front page'!A52</f>
        <v>0-00 + Testostérone</v>
      </c>
      <c r="AG4" s="21" t="str">
        <f>'Front page'!A53</f>
        <v>0-00 + Testostérone</v>
      </c>
      <c r="AH4" s="21" t="str">
        <f>'Front page'!A54</f>
        <v>0-00 + Testostérone</v>
      </c>
      <c r="AI4" s="21" t="str">
        <f>'Front page'!A55</f>
        <v>0-00 + Testostérone</v>
      </c>
      <c r="AJ4" s="21" t="str">
        <f>'Front page'!A56</f>
        <v>0-00 + Testostérone</v>
      </c>
      <c r="AK4" s="21" t="str">
        <f>'Front page'!A57</f>
        <v>0-00 + Testostérone</v>
      </c>
    </row>
    <row r="5" spans="1:37" x14ac:dyDescent="0.25">
      <c r="A5" s="146" t="s">
        <v>16</v>
      </c>
      <c r="B5" s="17">
        <v>0</v>
      </c>
      <c r="C5" s="17">
        <v>0</v>
      </c>
      <c r="D5" s="17">
        <v>0</v>
      </c>
      <c r="E5" s="17">
        <v>0</v>
      </c>
      <c r="F5" s="17">
        <v>841</v>
      </c>
      <c r="G5" s="17">
        <v>165441</v>
      </c>
      <c r="H5" s="17">
        <v>156931</v>
      </c>
      <c r="I5" s="17">
        <v>0</v>
      </c>
      <c r="J5" s="17">
        <v>0</v>
      </c>
      <c r="K5" s="13">
        <v>0</v>
      </c>
      <c r="L5" s="13">
        <v>0</v>
      </c>
      <c r="M5" s="13">
        <v>2041</v>
      </c>
      <c r="N5" s="13"/>
      <c r="O5" s="17">
        <v>0</v>
      </c>
      <c r="P5" s="13">
        <v>230263</v>
      </c>
      <c r="Q5" s="13">
        <v>0</v>
      </c>
      <c r="R5" s="1">
        <v>10964</v>
      </c>
      <c r="S5" s="1">
        <v>0</v>
      </c>
      <c r="T5" s="1">
        <v>160</v>
      </c>
      <c r="U5" s="17">
        <v>0</v>
      </c>
      <c r="V5" s="1">
        <v>5472</v>
      </c>
      <c r="W5" s="17"/>
      <c r="X5" s="17"/>
      <c r="Y5" s="17"/>
      <c r="Z5" s="17"/>
      <c r="AA5" s="17"/>
      <c r="AB5" s="17"/>
      <c r="AC5" s="17"/>
      <c r="AD5" s="17"/>
      <c r="AE5" s="4"/>
      <c r="AF5" s="17"/>
      <c r="AG5" s="17"/>
      <c r="AH5" s="17"/>
      <c r="AI5" s="17"/>
      <c r="AJ5" s="17"/>
      <c r="AK5" s="17"/>
    </row>
    <row r="6" spans="1:37" ht="16.5" x14ac:dyDescent="0.25">
      <c r="A6" s="147"/>
      <c r="B6" s="14">
        <v>413</v>
      </c>
      <c r="C6" s="13">
        <v>402</v>
      </c>
      <c r="D6" s="17">
        <v>0</v>
      </c>
      <c r="E6" s="17">
        <v>0</v>
      </c>
      <c r="F6" s="17">
        <v>128071</v>
      </c>
      <c r="G6" s="17">
        <v>266292</v>
      </c>
      <c r="H6" s="17">
        <v>286760</v>
      </c>
      <c r="I6" s="17">
        <v>0</v>
      </c>
      <c r="J6" s="17">
        <v>0</v>
      </c>
      <c r="K6" s="13">
        <v>0</v>
      </c>
      <c r="L6" s="13">
        <v>80</v>
      </c>
      <c r="M6" s="13">
        <v>841</v>
      </c>
      <c r="N6" s="13"/>
      <c r="O6" s="17">
        <v>110643</v>
      </c>
      <c r="P6" s="13">
        <v>251514</v>
      </c>
      <c r="Q6" s="13">
        <v>0</v>
      </c>
      <c r="R6" s="1">
        <v>43264</v>
      </c>
      <c r="S6" s="1">
        <v>241</v>
      </c>
      <c r="T6" s="1">
        <v>1626</v>
      </c>
      <c r="U6" s="17">
        <v>80</v>
      </c>
      <c r="V6" s="1">
        <v>0</v>
      </c>
      <c r="W6" s="17"/>
      <c r="X6" s="17"/>
      <c r="Y6" s="17"/>
      <c r="Z6" s="17"/>
      <c r="AA6" s="17"/>
      <c r="AB6" s="17"/>
      <c r="AC6" s="17"/>
      <c r="AD6" s="17"/>
      <c r="AE6" s="4"/>
      <c r="AF6" s="17"/>
      <c r="AG6" s="17"/>
      <c r="AH6" s="17"/>
      <c r="AI6" s="17"/>
      <c r="AJ6" s="17"/>
      <c r="AK6" s="17"/>
    </row>
    <row r="7" spans="1:37" ht="16.5" x14ac:dyDescent="0.25">
      <c r="A7" s="147"/>
      <c r="B7" s="14">
        <v>0</v>
      </c>
      <c r="C7" s="13">
        <v>82</v>
      </c>
      <c r="D7" s="17">
        <v>0</v>
      </c>
      <c r="E7" s="17">
        <v>322</v>
      </c>
      <c r="F7" s="17">
        <v>63763</v>
      </c>
      <c r="G7" s="17">
        <v>240013</v>
      </c>
      <c r="H7" s="17">
        <v>260200</v>
      </c>
      <c r="I7" s="17">
        <v>8515</v>
      </c>
      <c r="J7" s="17">
        <v>7800</v>
      </c>
      <c r="K7" s="13">
        <v>18063</v>
      </c>
      <c r="L7" s="13">
        <v>0</v>
      </c>
      <c r="M7" s="13">
        <v>5404</v>
      </c>
      <c r="N7" s="13"/>
      <c r="O7" s="17">
        <v>21268</v>
      </c>
      <c r="P7" s="13">
        <v>255082</v>
      </c>
      <c r="Q7" s="13">
        <v>0</v>
      </c>
      <c r="R7" s="1">
        <v>0</v>
      </c>
      <c r="S7" s="1">
        <v>0</v>
      </c>
      <c r="T7" s="1">
        <v>0</v>
      </c>
      <c r="U7" s="17">
        <v>0</v>
      </c>
      <c r="V7" s="1">
        <v>84</v>
      </c>
      <c r="W7" s="17"/>
      <c r="X7" s="17"/>
      <c r="Y7" s="17"/>
      <c r="Z7" s="17"/>
      <c r="AA7" s="17"/>
      <c r="AB7" s="17"/>
      <c r="AC7" s="17"/>
      <c r="AD7" s="17"/>
      <c r="AE7" s="4"/>
      <c r="AF7" s="17"/>
      <c r="AG7" s="17"/>
      <c r="AH7" s="17"/>
      <c r="AI7" s="17"/>
      <c r="AJ7" s="17"/>
      <c r="AK7" s="17"/>
    </row>
    <row r="8" spans="1:37" ht="16.5" x14ac:dyDescent="0.25">
      <c r="A8" s="147"/>
      <c r="B8" s="14">
        <v>0</v>
      </c>
      <c r="C8" s="13">
        <v>0</v>
      </c>
      <c r="D8" s="17">
        <v>11307</v>
      </c>
      <c r="E8" s="17">
        <v>0</v>
      </c>
      <c r="F8" s="17">
        <v>0</v>
      </c>
      <c r="G8" s="17">
        <v>222169</v>
      </c>
      <c r="H8" s="17">
        <v>193671</v>
      </c>
      <c r="I8" s="17">
        <v>570</v>
      </c>
      <c r="J8" s="17">
        <v>1535</v>
      </c>
      <c r="K8" s="13">
        <v>0</v>
      </c>
      <c r="L8" s="13">
        <v>1395</v>
      </c>
      <c r="M8" s="13">
        <v>0</v>
      </c>
      <c r="N8" s="13"/>
      <c r="O8" s="17">
        <v>97611</v>
      </c>
      <c r="P8" s="13">
        <v>172537</v>
      </c>
      <c r="Q8" s="13">
        <v>4342</v>
      </c>
      <c r="R8" s="1">
        <v>74374</v>
      </c>
      <c r="S8" s="1">
        <v>404</v>
      </c>
      <c r="T8" s="1">
        <v>0</v>
      </c>
      <c r="U8" s="17">
        <v>0</v>
      </c>
      <c r="V8" s="1">
        <v>81</v>
      </c>
      <c r="W8" s="17"/>
      <c r="X8" s="17"/>
      <c r="Y8" s="17"/>
      <c r="Z8" s="17"/>
      <c r="AA8" s="17"/>
      <c r="AB8" s="17"/>
      <c r="AC8" s="17"/>
      <c r="AD8" s="17"/>
      <c r="AE8" s="4"/>
      <c r="AF8" s="17"/>
      <c r="AG8" s="17"/>
      <c r="AH8" s="17"/>
      <c r="AI8" s="17"/>
      <c r="AJ8" s="17"/>
      <c r="AK8" s="17"/>
    </row>
    <row r="9" spans="1:37" ht="16.5" x14ac:dyDescent="0.25">
      <c r="A9" s="147"/>
      <c r="B9" s="14">
        <v>0</v>
      </c>
      <c r="C9" s="13">
        <v>81</v>
      </c>
      <c r="D9" s="17">
        <v>0</v>
      </c>
      <c r="E9" s="17">
        <v>255</v>
      </c>
      <c r="F9" s="17">
        <v>182835</v>
      </c>
      <c r="G9" s="17">
        <v>116056</v>
      </c>
      <c r="H9" s="17">
        <v>340831</v>
      </c>
      <c r="I9" s="17">
        <v>6889</v>
      </c>
      <c r="J9" s="17">
        <v>0</v>
      </c>
      <c r="K9" s="13">
        <v>5812</v>
      </c>
      <c r="L9" s="13">
        <v>0</v>
      </c>
      <c r="M9" s="13">
        <v>12527</v>
      </c>
      <c r="N9" s="13"/>
      <c r="O9" s="17">
        <v>238539</v>
      </c>
      <c r="P9" s="13">
        <v>194599</v>
      </c>
      <c r="Q9" s="13">
        <v>0</v>
      </c>
      <c r="R9" s="1">
        <v>510</v>
      </c>
      <c r="S9" s="1">
        <v>12378</v>
      </c>
      <c r="T9" s="1">
        <v>0</v>
      </c>
      <c r="U9" s="17">
        <v>0</v>
      </c>
      <c r="V9" s="1">
        <v>0</v>
      </c>
      <c r="W9" s="17"/>
      <c r="X9" s="17"/>
      <c r="Y9" s="17"/>
      <c r="Z9" s="17"/>
      <c r="AA9" s="17"/>
      <c r="AB9" s="17"/>
      <c r="AC9" s="17"/>
      <c r="AD9" s="17"/>
      <c r="AE9" s="4"/>
      <c r="AF9" s="17"/>
      <c r="AG9" s="17"/>
      <c r="AH9" s="17"/>
      <c r="AI9" s="17"/>
      <c r="AJ9" s="17"/>
      <c r="AK9" s="17"/>
    </row>
    <row r="10" spans="1:37" ht="16.5" x14ac:dyDescent="0.25">
      <c r="A10" s="147"/>
      <c r="B10" s="14">
        <v>4412</v>
      </c>
      <c r="C10" s="13">
        <v>0</v>
      </c>
      <c r="D10" s="17">
        <v>0</v>
      </c>
      <c r="E10" s="17">
        <v>249333</v>
      </c>
      <c r="F10" s="17">
        <v>71495</v>
      </c>
      <c r="G10" s="17">
        <v>134293</v>
      </c>
      <c r="H10" s="17">
        <v>204993</v>
      </c>
      <c r="I10" s="17">
        <v>0</v>
      </c>
      <c r="J10" s="17">
        <v>0</v>
      </c>
      <c r="K10" s="13">
        <v>405</v>
      </c>
      <c r="L10" s="13">
        <v>0</v>
      </c>
      <c r="M10" s="13">
        <v>0</v>
      </c>
      <c r="N10" s="13"/>
      <c r="O10" s="17">
        <v>136199</v>
      </c>
      <c r="P10" s="13">
        <v>206544</v>
      </c>
      <c r="Q10" s="13">
        <v>819</v>
      </c>
      <c r="R10" s="1">
        <v>1463</v>
      </c>
      <c r="S10" s="1">
        <v>15399</v>
      </c>
      <c r="T10" s="1">
        <v>0</v>
      </c>
      <c r="U10" s="17">
        <v>0</v>
      </c>
      <c r="V10" s="1">
        <v>0</v>
      </c>
      <c r="W10" s="17"/>
      <c r="X10" s="17"/>
      <c r="Y10" s="17"/>
      <c r="Z10" s="17"/>
      <c r="AA10" s="17"/>
      <c r="AB10" s="17"/>
      <c r="AC10" s="17"/>
      <c r="AD10" s="17"/>
      <c r="AE10" s="4"/>
      <c r="AF10" s="17"/>
      <c r="AG10" s="17"/>
      <c r="AH10" s="17"/>
      <c r="AI10" s="17"/>
      <c r="AJ10" s="17"/>
      <c r="AK10" s="17"/>
    </row>
    <row r="11" spans="1:37" ht="16.5" x14ac:dyDescent="0.25">
      <c r="A11" s="147"/>
      <c r="B11" s="14">
        <v>0</v>
      </c>
      <c r="C11" s="13">
        <v>0</v>
      </c>
      <c r="D11" s="17">
        <v>5836</v>
      </c>
      <c r="E11" s="17">
        <v>80</v>
      </c>
      <c r="F11" s="17">
        <v>3967</v>
      </c>
      <c r="G11" s="17">
        <v>218940</v>
      </c>
      <c r="H11" s="17">
        <v>276626</v>
      </c>
      <c r="I11" s="17">
        <v>7969</v>
      </c>
      <c r="J11" s="17">
        <v>0</v>
      </c>
      <c r="K11" s="13">
        <v>0</v>
      </c>
      <c r="L11" s="13">
        <v>20529</v>
      </c>
      <c r="M11" s="13">
        <v>0</v>
      </c>
      <c r="N11" s="13"/>
      <c r="O11" s="17">
        <v>154618</v>
      </c>
      <c r="P11" s="13">
        <v>124267</v>
      </c>
      <c r="Q11" s="13">
        <v>0</v>
      </c>
      <c r="R11" s="1">
        <v>11152</v>
      </c>
      <c r="S11" s="1">
        <v>0</v>
      </c>
      <c r="T11" s="1">
        <v>2053</v>
      </c>
      <c r="U11" s="17">
        <v>0</v>
      </c>
      <c r="V11" s="1">
        <v>0</v>
      </c>
      <c r="W11" s="17"/>
      <c r="X11" s="17"/>
      <c r="Y11" s="17"/>
      <c r="Z11" s="17"/>
      <c r="AA11" s="17"/>
      <c r="AB11" s="17"/>
      <c r="AC11" s="17"/>
      <c r="AD11" s="17"/>
      <c r="AE11" s="4"/>
      <c r="AF11" s="17"/>
      <c r="AG11" s="17"/>
      <c r="AH11" s="17"/>
      <c r="AI11" s="17"/>
      <c r="AJ11" s="17"/>
      <c r="AK11" s="17"/>
    </row>
    <row r="12" spans="1:37" ht="16.5" x14ac:dyDescent="0.25">
      <c r="A12" s="147"/>
      <c r="B12" s="14">
        <v>1237</v>
      </c>
      <c r="C12" s="13">
        <v>15885</v>
      </c>
      <c r="D12" s="17">
        <v>0</v>
      </c>
      <c r="E12" s="17">
        <v>246730</v>
      </c>
      <c r="F12" s="17">
        <v>0</v>
      </c>
      <c r="G12" s="17">
        <v>147158</v>
      </c>
      <c r="H12" s="17">
        <v>306586</v>
      </c>
      <c r="I12" s="17">
        <v>0</v>
      </c>
      <c r="J12" s="17">
        <v>0</v>
      </c>
      <c r="K12" s="13">
        <v>0</v>
      </c>
      <c r="L12" s="13">
        <v>0</v>
      </c>
      <c r="M12" s="13">
        <v>723</v>
      </c>
      <c r="N12" s="13"/>
      <c r="O12" s="17">
        <v>189521</v>
      </c>
      <c r="P12" s="13">
        <v>186430</v>
      </c>
      <c r="Q12" s="13">
        <v>0</v>
      </c>
      <c r="R12" s="1">
        <v>8752</v>
      </c>
      <c r="S12" s="1">
        <v>0</v>
      </c>
      <c r="T12" s="1">
        <v>0</v>
      </c>
      <c r="U12" s="17">
        <v>0</v>
      </c>
      <c r="V12" s="1">
        <v>325</v>
      </c>
      <c r="W12" s="17"/>
      <c r="X12" s="17"/>
      <c r="Y12" s="17"/>
      <c r="Z12" s="17"/>
      <c r="AA12" s="17"/>
      <c r="AB12" s="17"/>
      <c r="AC12" s="17"/>
      <c r="AD12" s="17"/>
      <c r="AE12" s="4"/>
      <c r="AF12" s="17"/>
      <c r="AG12" s="17"/>
      <c r="AH12" s="17"/>
      <c r="AI12" s="17"/>
      <c r="AJ12" s="17"/>
      <c r="AK12" s="17"/>
    </row>
    <row r="13" spans="1:37" ht="16.5" x14ac:dyDescent="0.25">
      <c r="A13" s="147"/>
      <c r="B13" s="14"/>
      <c r="C13" s="13"/>
      <c r="D13" s="16"/>
      <c r="E13" s="16"/>
      <c r="F13" s="16"/>
      <c r="G13" s="16"/>
      <c r="H13" s="16"/>
      <c r="I13" s="17"/>
      <c r="J13" s="16"/>
      <c r="K13" s="13"/>
      <c r="L13" s="13"/>
      <c r="M13" s="13"/>
      <c r="N13" s="13"/>
      <c r="O13" s="17">
        <v>93987</v>
      </c>
      <c r="P13" s="13"/>
      <c r="Q13" s="13"/>
      <c r="R13" s="4"/>
      <c r="S13" s="17"/>
      <c r="T13" s="17"/>
      <c r="U13" s="17"/>
      <c r="V13" s="17"/>
      <c r="W13" s="17"/>
      <c r="X13" s="17"/>
      <c r="Y13" s="17"/>
      <c r="Z13" s="17"/>
      <c r="AA13" s="17"/>
      <c r="AB13" s="17"/>
      <c r="AC13" s="17"/>
      <c r="AD13" s="17"/>
      <c r="AE13" s="4"/>
      <c r="AF13" s="17"/>
      <c r="AG13" s="17"/>
      <c r="AH13" s="17"/>
      <c r="AI13" s="17"/>
      <c r="AJ13" s="17"/>
      <c r="AK13" s="17"/>
    </row>
    <row r="14" spans="1:37" ht="16.5" x14ac:dyDescent="0.25">
      <c r="A14" s="147"/>
      <c r="B14" s="14"/>
      <c r="C14" s="16"/>
      <c r="D14" s="16"/>
      <c r="E14" s="16"/>
      <c r="F14" s="16"/>
      <c r="G14" s="16"/>
      <c r="H14" s="16"/>
      <c r="I14" s="17"/>
      <c r="J14" s="16"/>
      <c r="K14" s="13"/>
      <c r="L14" s="13"/>
      <c r="M14" s="13"/>
      <c r="N14" s="13"/>
      <c r="O14" s="17">
        <v>125914</v>
      </c>
      <c r="P14" s="13"/>
      <c r="Q14" s="13"/>
      <c r="R14" s="4"/>
      <c r="S14" s="17"/>
      <c r="T14" s="17"/>
      <c r="U14" s="17"/>
      <c r="V14" s="17"/>
      <c r="W14" s="17"/>
      <c r="X14" s="17"/>
      <c r="Y14" s="17"/>
      <c r="Z14" s="17"/>
      <c r="AA14" s="17"/>
      <c r="AB14" s="17"/>
      <c r="AC14" s="17"/>
      <c r="AD14" s="17"/>
      <c r="AE14" s="4"/>
      <c r="AF14" s="17"/>
      <c r="AG14" s="17"/>
      <c r="AH14" s="17"/>
      <c r="AI14" s="17"/>
      <c r="AJ14" s="17"/>
      <c r="AK14" s="17"/>
    </row>
    <row r="15" spans="1:37" ht="16.5" x14ac:dyDescent="0.25">
      <c r="A15" s="147"/>
      <c r="B15" s="14"/>
      <c r="C15" s="16"/>
      <c r="D15" s="16"/>
      <c r="E15" s="16"/>
      <c r="F15" s="16"/>
      <c r="G15" s="16"/>
      <c r="H15" s="16"/>
      <c r="I15" s="17"/>
      <c r="J15" s="16"/>
      <c r="K15" s="13"/>
      <c r="L15" s="13"/>
      <c r="M15" s="13"/>
      <c r="N15" s="13"/>
      <c r="O15" s="17">
        <v>0</v>
      </c>
      <c r="P15" s="13"/>
      <c r="Q15" s="13"/>
      <c r="R15" s="4"/>
      <c r="S15" s="17"/>
      <c r="T15" s="17"/>
      <c r="U15" s="17"/>
      <c r="V15" s="17"/>
      <c r="W15" s="17"/>
      <c r="X15" s="17"/>
      <c r="Y15" s="17"/>
      <c r="Z15" s="17"/>
      <c r="AA15" s="17"/>
      <c r="AB15" s="17"/>
      <c r="AC15" s="17"/>
      <c r="AD15" s="17"/>
      <c r="AE15" s="4"/>
      <c r="AF15" s="17"/>
      <c r="AG15" s="17"/>
      <c r="AH15" s="17"/>
      <c r="AI15" s="17"/>
      <c r="AJ15" s="17"/>
      <c r="AK15" s="17"/>
    </row>
    <row r="16" spans="1:37" ht="16.5" x14ac:dyDescent="0.25">
      <c r="A16" s="147"/>
      <c r="B16" s="14"/>
      <c r="C16" s="16"/>
      <c r="D16" s="16"/>
      <c r="E16" s="16"/>
      <c r="F16" s="16"/>
      <c r="G16" s="16"/>
      <c r="H16" s="16"/>
      <c r="I16" s="17"/>
      <c r="J16" s="16"/>
      <c r="K16" s="13"/>
      <c r="L16" s="13"/>
      <c r="M16" s="13"/>
      <c r="N16" s="13"/>
      <c r="O16" s="17">
        <v>209100</v>
      </c>
      <c r="P16" s="13"/>
      <c r="Q16" s="13"/>
      <c r="R16" s="4"/>
      <c r="S16" s="17"/>
      <c r="T16" s="17"/>
      <c r="U16" s="17"/>
      <c r="V16" s="17"/>
      <c r="W16" s="17"/>
      <c r="X16" s="17"/>
      <c r="Y16" s="17"/>
      <c r="Z16" s="17"/>
      <c r="AA16" s="17"/>
      <c r="AB16" s="17"/>
      <c r="AC16" s="17"/>
      <c r="AD16" s="17"/>
      <c r="AE16" s="4"/>
      <c r="AF16" s="17"/>
      <c r="AG16" s="17"/>
      <c r="AH16" s="17"/>
      <c r="AI16" s="17"/>
      <c r="AJ16" s="17"/>
      <c r="AK16" s="17"/>
    </row>
    <row r="17" spans="1:37" s="1" customFormat="1" ht="16.5" x14ac:dyDescent="0.25">
      <c r="A17" s="147"/>
      <c r="B17" s="14"/>
      <c r="C17" s="17"/>
      <c r="D17" s="17"/>
      <c r="E17" s="17"/>
      <c r="F17" s="17"/>
      <c r="G17" s="17"/>
      <c r="H17" s="17"/>
      <c r="I17" s="17"/>
      <c r="J17" s="17"/>
      <c r="K17" s="13"/>
      <c r="L17" s="13"/>
      <c r="M17" s="13"/>
      <c r="N17" s="13"/>
      <c r="O17" s="17">
        <v>68435</v>
      </c>
      <c r="P17" s="13"/>
      <c r="Q17" s="13"/>
      <c r="R17" s="17"/>
      <c r="S17" s="17"/>
      <c r="T17" s="17"/>
      <c r="U17" s="17"/>
      <c r="V17" s="17"/>
      <c r="W17" s="17"/>
      <c r="X17" s="17"/>
      <c r="Y17" s="17"/>
      <c r="Z17" s="17"/>
      <c r="AA17" s="17"/>
      <c r="AB17" s="17"/>
      <c r="AC17" s="17"/>
      <c r="AD17" s="17"/>
      <c r="AE17" s="17"/>
      <c r="AF17" s="17"/>
      <c r="AG17" s="17"/>
      <c r="AH17" s="17"/>
      <c r="AI17" s="17"/>
      <c r="AJ17" s="17"/>
      <c r="AK17" s="17"/>
    </row>
    <row r="18" spans="1:37" s="1" customFormat="1" ht="16.5" x14ac:dyDescent="0.25">
      <c r="A18" s="147"/>
      <c r="B18" s="14"/>
      <c r="C18" s="17"/>
      <c r="D18" s="17"/>
      <c r="E18" s="17"/>
      <c r="F18" s="17"/>
      <c r="G18" s="17"/>
      <c r="H18" s="17"/>
      <c r="I18" s="17"/>
      <c r="J18" s="17"/>
      <c r="K18" s="13"/>
      <c r="L18" s="13"/>
      <c r="M18" s="13"/>
      <c r="N18" s="13"/>
      <c r="O18" s="17">
        <v>170717</v>
      </c>
      <c r="P18" s="13"/>
      <c r="Q18" s="13"/>
      <c r="R18" s="17"/>
      <c r="S18" s="17"/>
      <c r="T18" s="17"/>
      <c r="U18" s="17"/>
      <c r="V18" s="17"/>
      <c r="W18" s="17"/>
      <c r="X18" s="17"/>
      <c r="Y18" s="17"/>
      <c r="Z18" s="17"/>
      <c r="AA18" s="17"/>
      <c r="AB18" s="17"/>
      <c r="AC18" s="17"/>
      <c r="AD18" s="17"/>
      <c r="AE18" s="17"/>
      <c r="AF18" s="17"/>
      <c r="AG18" s="17"/>
      <c r="AH18" s="17"/>
      <c r="AI18" s="17"/>
      <c r="AJ18" s="17"/>
      <c r="AK18" s="17"/>
    </row>
    <row r="19" spans="1:37" s="1" customFormat="1" ht="16.5" x14ac:dyDescent="0.25">
      <c r="A19" s="147"/>
      <c r="B19" s="14"/>
      <c r="C19" s="17"/>
      <c r="D19" s="17"/>
      <c r="E19" s="17"/>
      <c r="F19" s="17"/>
      <c r="G19" s="17"/>
      <c r="H19" s="17"/>
      <c r="I19" s="17"/>
      <c r="J19" s="17"/>
      <c r="K19" s="13"/>
      <c r="L19" s="13"/>
      <c r="M19" s="13"/>
      <c r="N19" s="13"/>
      <c r="O19" s="17">
        <v>189227</v>
      </c>
      <c r="P19" s="13"/>
      <c r="Q19" s="13"/>
      <c r="R19" s="17"/>
      <c r="S19" s="17"/>
      <c r="T19" s="17"/>
      <c r="U19" s="17"/>
      <c r="V19" s="17"/>
      <c r="W19" s="17"/>
      <c r="X19" s="17"/>
      <c r="Y19" s="17"/>
      <c r="Z19" s="17"/>
      <c r="AA19" s="17"/>
      <c r="AB19" s="17"/>
      <c r="AC19" s="17"/>
      <c r="AD19" s="17"/>
      <c r="AE19" s="17"/>
      <c r="AF19" s="17"/>
      <c r="AG19" s="17"/>
      <c r="AH19" s="17"/>
      <c r="AI19" s="17"/>
      <c r="AJ19" s="17"/>
      <c r="AK19" s="17"/>
    </row>
    <row r="20" spans="1:37" ht="16.5" x14ac:dyDescent="0.25">
      <c r="A20" s="147"/>
      <c r="B20" s="14"/>
      <c r="C20" s="16"/>
      <c r="D20" s="16"/>
      <c r="E20" s="16"/>
      <c r="F20" s="16"/>
      <c r="G20" s="16"/>
      <c r="H20" s="16"/>
      <c r="I20" s="17"/>
      <c r="J20" s="16"/>
      <c r="K20" s="13"/>
      <c r="L20" s="13"/>
      <c r="M20" s="13"/>
      <c r="N20" s="13"/>
      <c r="O20" s="17">
        <v>152068</v>
      </c>
      <c r="P20" s="13"/>
      <c r="Q20" s="13"/>
      <c r="R20" s="4"/>
      <c r="S20" s="17"/>
      <c r="T20" s="17"/>
      <c r="U20" s="17"/>
      <c r="V20" s="17"/>
      <c r="W20" s="17"/>
      <c r="X20" s="17"/>
      <c r="Y20" s="17"/>
      <c r="Z20" s="17"/>
      <c r="AA20" s="17"/>
      <c r="AB20" s="17"/>
      <c r="AC20" s="17"/>
      <c r="AD20" s="17"/>
      <c r="AE20" s="4"/>
      <c r="AF20" s="17"/>
      <c r="AG20" s="17"/>
      <c r="AH20" s="17"/>
      <c r="AI20" s="17"/>
      <c r="AJ20" s="17"/>
      <c r="AK20" s="17"/>
    </row>
    <row r="21" spans="1:37" s="1" customFormat="1" ht="16.5" x14ac:dyDescent="0.25">
      <c r="A21" s="53"/>
      <c r="B21" s="54"/>
      <c r="C21" s="7"/>
      <c r="D21" s="7"/>
      <c r="E21" s="7"/>
      <c r="F21" s="7"/>
      <c r="G21" s="7"/>
      <c r="H21" s="7"/>
      <c r="I21" s="7"/>
      <c r="J21" s="7"/>
      <c r="K21" s="18"/>
      <c r="L21" s="18"/>
      <c r="M21" s="18"/>
      <c r="N21" s="18"/>
      <c r="O21" s="7"/>
      <c r="P21" s="18"/>
      <c r="Q21" s="18"/>
      <c r="R21" s="7"/>
      <c r="S21" s="7"/>
      <c r="T21" s="7"/>
      <c r="U21" s="7"/>
      <c r="V21" s="7"/>
      <c r="W21" s="7"/>
      <c r="X21" s="7"/>
      <c r="Y21" s="7"/>
      <c r="Z21" s="7"/>
      <c r="AA21" s="7"/>
      <c r="AB21" s="7"/>
      <c r="AC21" s="7"/>
      <c r="AD21" s="7"/>
      <c r="AE21" s="7"/>
      <c r="AF21" s="7"/>
      <c r="AG21" s="7"/>
      <c r="AH21" s="7"/>
      <c r="AI21" s="7"/>
      <c r="AJ21" s="7"/>
      <c r="AK21" s="7"/>
    </row>
    <row r="22" spans="1:37" s="56" customFormat="1" x14ac:dyDescent="0.25">
      <c r="A22" s="55" t="str">
        <f t="shared" ref="A22:M22" si="0">A4</f>
        <v>Noms des groupes</v>
      </c>
      <c r="B22" s="55" t="str">
        <f t="shared" si="0"/>
        <v>Solvent control</v>
      </c>
      <c r="C22" s="55" t="str">
        <f t="shared" si="0"/>
        <v>EE2-33.8ng/L</v>
      </c>
      <c r="D22" s="55" t="str">
        <f t="shared" si="0"/>
        <v>EE2-50.6ng/L</v>
      </c>
      <c r="E22" s="55" t="str">
        <f t="shared" si="0"/>
        <v>EE2-76ng/L</v>
      </c>
      <c r="F22" s="55" t="str">
        <f t="shared" si="0"/>
        <v>EE2-114ng/L</v>
      </c>
      <c r="G22" s="55" t="str">
        <f t="shared" si="0"/>
        <v>EE2-170.9ng/L</v>
      </c>
      <c r="H22" s="55" t="str">
        <f t="shared" si="0"/>
        <v>EE2-488ng/L</v>
      </c>
      <c r="I22" s="55" t="str">
        <f t="shared" si="0"/>
        <v>Prochloraz-0.063mg/L</v>
      </c>
      <c r="J22" s="55" t="str">
        <f t="shared" si="0"/>
        <v>Prochloraz-0.13mg/L</v>
      </c>
      <c r="K22" s="55" t="str">
        <f t="shared" si="0"/>
        <v>Prochloraz-0.25mg/L</v>
      </c>
      <c r="L22" s="55" t="str">
        <f t="shared" si="0"/>
        <v>Prochloraz-0.5mg/L</v>
      </c>
      <c r="M22" s="55" t="str">
        <f t="shared" si="0"/>
        <v>Prochloraz-1.0mg/L</v>
      </c>
      <c r="N22" s="55"/>
      <c r="O22" s="55" t="str">
        <f t="shared" ref="O22:AE22" si="1">O4</f>
        <v>Testo -30µg/L</v>
      </c>
      <c r="P22" s="55" t="str">
        <f t="shared" si="1"/>
        <v>Testo 30µg/L + EE2 -64ng/L</v>
      </c>
      <c r="Q22" s="55" t="str">
        <f t="shared" si="1"/>
        <v>Testo 30µg/L + FAD-10mg/L</v>
      </c>
      <c r="R22" s="55" t="str">
        <f t="shared" si="1"/>
        <v>Prochloraz-0.063mg/L + Testostérone</v>
      </c>
      <c r="S22" s="55" t="str">
        <f t="shared" si="1"/>
        <v>Prochloraz-0.13mg/L + Testostérone</v>
      </c>
      <c r="T22" s="55" t="str">
        <f t="shared" si="1"/>
        <v>Prochloraz-0.25mg/L + Testostérone</v>
      </c>
      <c r="U22" s="55" t="str">
        <f t="shared" si="1"/>
        <v>Prochloraz-0.5mg/L + Testostérone</v>
      </c>
      <c r="V22" s="55" t="str">
        <f t="shared" si="1"/>
        <v>Prochloraz-1.0mg/L + Testostérone</v>
      </c>
      <c r="W22" s="55" t="str">
        <f t="shared" si="1"/>
        <v>0-00 + Testostérone</v>
      </c>
      <c r="X22" s="55" t="str">
        <f t="shared" si="1"/>
        <v>0-00 + Testostérone</v>
      </c>
      <c r="Y22" s="55" t="str">
        <f t="shared" si="1"/>
        <v>0-00 + Testostérone</v>
      </c>
      <c r="Z22" s="55" t="str">
        <f t="shared" si="1"/>
        <v>0-00 + Testostérone</v>
      </c>
      <c r="AA22" s="55" t="str">
        <f t="shared" si="1"/>
        <v>0-00 + Testostérone</v>
      </c>
      <c r="AB22" s="55" t="str">
        <f t="shared" si="1"/>
        <v>0-00 + Testostérone</v>
      </c>
      <c r="AC22" s="55" t="str">
        <f t="shared" si="1"/>
        <v>0-00 + Testostérone</v>
      </c>
      <c r="AD22" s="55" t="str">
        <f t="shared" si="1"/>
        <v>0-00 + Testostérone</v>
      </c>
      <c r="AE22" s="55" t="str">
        <f t="shared" si="1"/>
        <v>0-00 + Testostérone</v>
      </c>
      <c r="AF22" s="55" t="str">
        <f t="shared" ref="AF22:AK22" si="2">AF4</f>
        <v>0-00 + Testostérone</v>
      </c>
      <c r="AG22" s="55" t="str">
        <f t="shared" si="2"/>
        <v>0-00 + Testostérone</v>
      </c>
      <c r="AH22" s="55" t="str">
        <f t="shared" si="2"/>
        <v>0-00 + Testostérone</v>
      </c>
      <c r="AI22" s="55" t="str">
        <f t="shared" si="2"/>
        <v>0-00 + Testostérone</v>
      </c>
      <c r="AJ22" s="55" t="str">
        <f t="shared" si="2"/>
        <v>0-00 + Testostérone</v>
      </c>
      <c r="AK22" s="55" t="str">
        <f t="shared" si="2"/>
        <v>0-00 + Testostérone</v>
      </c>
    </row>
    <row r="23" spans="1:37" x14ac:dyDescent="0.25">
      <c r="A23" s="5" t="s">
        <v>0</v>
      </c>
      <c r="B23" s="5">
        <f t="shared" ref="B23:M23" si="3">AVERAGE(B5:B20)</f>
        <v>757.75</v>
      </c>
      <c r="C23" s="5">
        <f t="shared" si="3"/>
        <v>2056.25</v>
      </c>
      <c r="D23" s="5">
        <f t="shared" si="3"/>
        <v>2142.875</v>
      </c>
      <c r="E23" s="5">
        <f t="shared" si="3"/>
        <v>62090</v>
      </c>
      <c r="F23" s="5">
        <f t="shared" si="3"/>
        <v>56371.5</v>
      </c>
      <c r="G23" s="5">
        <f t="shared" si="3"/>
        <v>188795.25</v>
      </c>
      <c r="H23" s="5">
        <f t="shared" si="3"/>
        <v>253324.75</v>
      </c>
      <c r="I23" s="5">
        <f t="shared" si="3"/>
        <v>2992.875</v>
      </c>
      <c r="J23" s="5">
        <f t="shared" si="3"/>
        <v>1166.875</v>
      </c>
      <c r="K23" s="5">
        <f t="shared" si="3"/>
        <v>3035</v>
      </c>
      <c r="L23" s="5">
        <f t="shared" si="3"/>
        <v>2750.5</v>
      </c>
      <c r="M23" s="5">
        <f t="shared" si="3"/>
        <v>2692</v>
      </c>
      <c r="N23" s="5"/>
      <c r="O23" s="5">
        <f t="shared" ref="O23:AE23" si="4">AVERAGE(O5:O20)</f>
        <v>122365.4375</v>
      </c>
      <c r="P23" s="5">
        <f t="shared" si="4"/>
        <v>202654.5</v>
      </c>
      <c r="Q23" s="5">
        <f t="shared" si="4"/>
        <v>645.125</v>
      </c>
      <c r="R23" s="5">
        <f t="shared" si="4"/>
        <v>18809.875</v>
      </c>
      <c r="S23" s="5">
        <f t="shared" si="4"/>
        <v>3552.75</v>
      </c>
      <c r="T23" s="5">
        <f t="shared" si="4"/>
        <v>479.875</v>
      </c>
      <c r="U23" s="5">
        <f t="shared" si="4"/>
        <v>10</v>
      </c>
      <c r="V23" s="5">
        <f t="shared" si="4"/>
        <v>745.25</v>
      </c>
      <c r="W23" s="5" t="e">
        <f t="shared" si="4"/>
        <v>#DIV/0!</v>
      </c>
      <c r="X23" s="5" t="e">
        <f t="shared" si="4"/>
        <v>#DIV/0!</v>
      </c>
      <c r="Y23" s="5" t="e">
        <f t="shared" si="4"/>
        <v>#DIV/0!</v>
      </c>
      <c r="Z23" s="5" t="e">
        <f t="shared" si="4"/>
        <v>#DIV/0!</v>
      </c>
      <c r="AA23" s="5" t="e">
        <f t="shared" si="4"/>
        <v>#DIV/0!</v>
      </c>
      <c r="AB23" s="5" t="e">
        <f t="shared" si="4"/>
        <v>#DIV/0!</v>
      </c>
      <c r="AC23" s="5" t="e">
        <f t="shared" si="4"/>
        <v>#DIV/0!</v>
      </c>
      <c r="AD23" s="5" t="e">
        <f t="shared" si="4"/>
        <v>#DIV/0!</v>
      </c>
      <c r="AE23" s="5" t="e">
        <f t="shared" si="4"/>
        <v>#DIV/0!</v>
      </c>
      <c r="AF23" s="5" t="e">
        <f t="shared" ref="AF23:AK23" si="5">AVERAGE(AF5:AF20)</f>
        <v>#DIV/0!</v>
      </c>
      <c r="AG23" s="5" t="e">
        <f t="shared" si="5"/>
        <v>#DIV/0!</v>
      </c>
      <c r="AH23" s="5" t="e">
        <f t="shared" si="5"/>
        <v>#DIV/0!</v>
      </c>
      <c r="AI23" s="5" t="e">
        <f t="shared" si="5"/>
        <v>#DIV/0!</v>
      </c>
      <c r="AJ23" s="5" t="e">
        <f t="shared" si="5"/>
        <v>#DIV/0!</v>
      </c>
      <c r="AK23" s="5" t="e">
        <f t="shared" si="5"/>
        <v>#DIV/0!</v>
      </c>
    </row>
    <row r="24" spans="1:37" x14ac:dyDescent="0.25">
      <c r="A24" s="3" t="s">
        <v>1</v>
      </c>
      <c r="B24" s="3">
        <f t="shared" ref="B24:M24" si="6">STDEV(B5:B20)</f>
        <v>1538.6915359672134</v>
      </c>
      <c r="C24" s="3">
        <f t="shared" si="6"/>
        <v>5589.311246860897</v>
      </c>
      <c r="D24" s="3">
        <f t="shared" si="6"/>
        <v>4228.6748832059839</v>
      </c>
      <c r="E24" s="3">
        <f t="shared" si="6"/>
        <v>114767.75810180439</v>
      </c>
      <c r="F24" s="3">
        <f t="shared" si="6"/>
        <v>69284.660982273504</v>
      </c>
      <c r="G24" s="3">
        <f t="shared" si="6"/>
        <v>55022.193760466202</v>
      </c>
      <c r="H24" s="3">
        <f t="shared" si="6"/>
        <v>62551.14568266744</v>
      </c>
      <c r="I24" s="3">
        <f t="shared" si="6"/>
        <v>4002.4100038958672</v>
      </c>
      <c r="J24" s="3">
        <f t="shared" si="6"/>
        <v>2733.481476458704</v>
      </c>
      <c r="K24" s="3">
        <f t="shared" si="6"/>
        <v>6397.8292970573793</v>
      </c>
      <c r="L24" s="3">
        <f t="shared" si="6"/>
        <v>7199.9034120505494</v>
      </c>
      <c r="M24" s="3">
        <f t="shared" si="6"/>
        <v>4367.8978925794499</v>
      </c>
      <c r="N24" s="3"/>
      <c r="O24" s="3">
        <f t="shared" ref="O24:AE24" si="7">STDEV(O5:O20)</f>
        <v>72615.489807587423</v>
      </c>
      <c r="P24" s="3">
        <f t="shared" si="7"/>
        <v>43577.583395266753</v>
      </c>
      <c r="Q24" s="3">
        <f t="shared" si="7"/>
        <v>1521.0069444285914</v>
      </c>
      <c r="R24" s="3">
        <f t="shared" si="7"/>
        <v>26447.653865364748</v>
      </c>
      <c r="S24" s="3">
        <f t="shared" si="7"/>
        <v>6431.9417363654657</v>
      </c>
      <c r="T24" s="3">
        <f t="shared" si="7"/>
        <v>848.70025627426321</v>
      </c>
      <c r="U24" s="3">
        <f t="shared" si="7"/>
        <v>28.284271247461902</v>
      </c>
      <c r="V24" s="3">
        <f t="shared" si="7"/>
        <v>1913.0695417126299</v>
      </c>
      <c r="W24" s="3" t="e">
        <f t="shared" si="7"/>
        <v>#DIV/0!</v>
      </c>
      <c r="X24" s="3" t="e">
        <f t="shared" si="7"/>
        <v>#DIV/0!</v>
      </c>
      <c r="Y24" s="3" t="e">
        <f t="shared" si="7"/>
        <v>#DIV/0!</v>
      </c>
      <c r="Z24" s="3" t="e">
        <f t="shared" si="7"/>
        <v>#DIV/0!</v>
      </c>
      <c r="AA24" s="3" t="e">
        <f t="shared" si="7"/>
        <v>#DIV/0!</v>
      </c>
      <c r="AB24" s="3" t="e">
        <f t="shared" si="7"/>
        <v>#DIV/0!</v>
      </c>
      <c r="AC24" s="3" t="e">
        <f t="shared" si="7"/>
        <v>#DIV/0!</v>
      </c>
      <c r="AD24" s="3" t="e">
        <f t="shared" si="7"/>
        <v>#DIV/0!</v>
      </c>
      <c r="AE24" s="3" t="e">
        <f t="shared" si="7"/>
        <v>#DIV/0!</v>
      </c>
      <c r="AF24" s="3" t="e">
        <f t="shared" ref="AF24:AK24" si="8">STDEV(AF5:AF20)</f>
        <v>#DIV/0!</v>
      </c>
      <c r="AG24" s="3" t="e">
        <f t="shared" si="8"/>
        <v>#DIV/0!</v>
      </c>
      <c r="AH24" s="3" t="e">
        <f t="shared" si="8"/>
        <v>#DIV/0!</v>
      </c>
      <c r="AI24" s="3" t="e">
        <f t="shared" si="8"/>
        <v>#DIV/0!</v>
      </c>
      <c r="AJ24" s="3" t="e">
        <f t="shared" si="8"/>
        <v>#DIV/0!</v>
      </c>
      <c r="AK24" s="3" t="e">
        <f t="shared" si="8"/>
        <v>#DIV/0!</v>
      </c>
    </row>
    <row r="25" spans="1:37" ht="15.75" thickBot="1" x14ac:dyDescent="0.3"/>
    <row r="26" spans="1:37" ht="15.75" thickBot="1" x14ac:dyDescent="0.3">
      <c r="B26" s="150" t="s">
        <v>6</v>
      </c>
      <c r="C26" s="151"/>
      <c r="D26" s="151"/>
      <c r="E26" s="151"/>
      <c r="F26" s="151"/>
      <c r="G26" s="151"/>
      <c r="H26" s="151"/>
      <c r="I26" s="151"/>
      <c r="J26" s="151"/>
      <c r="K26" s="151"/>
      <c r="L26" s="151"/>
      <c r="M26" s="151"/>
      <c r="N26" s="124"/>
      <c r="O26" s="150" t="s">
        <v>3</v>
      </c>
      <c r="P26" s="151"/>
      <c r="Q26" s="151"/>
      <c r="R26" s="151"/>
      <c r="S26" s="151"/>
      <c r="T26" s="151"/>
      <c r="U26" s="151"/>
      <c r="V26" s="151"/>
      <c r="W26" s="151"/>
      <c r="X26" s="151"/>
      <c r="Y26" s="151"/>
      <c r="Z26" s="151"/>
      <c r="AA26" s="151"/>
      <c r="AB26" s="151"/>
      <c r="AC26" s="151"/>
      <c r="AD26" s="151"/>
      <c r="AE26" s="151"/>
      <c r="AF26" s="151"/>
      <c r="AG26" s="151"/>
      <c r="AH26" s="151"/>
      <c r="AI26" s="151"/>
      <c r="AJ26" s="151"/>
      <c r="AK26" s="152"/>
    </row>
    <row r="27" spans="1:37" s="1" customFormat="1" x14ac:dyDescent="0.25">
      <c r="A27" s="19" t="s">
        <v>22</v>
      </c>
      <c r="B27" s="20" t="str">
        <f t="shared" ref="B27:M27" si="9">B4</f>
        <v>Solvent control</v>
      </c>
      <c r="C27" s="20" t="str">
        <f t="shared" si="9"/>
        <v>EE2-33.8ng/L</v>
      </c>
      <c r="D27" s="20" t="str">
        <f t="shared" si="9"/>
        <v>EE2-50.6ng/L</v>
      </c>
      <c r="E27" s="20" t="str">
        <f t="shared" si="9"/>
        <v>EE2-76ng/L</v>
      </c>
      <c r="F27" s="20" t="str">
        <f t="shared" si="9"/>
        <v>EE2-114ng/L</v>
      </c>
      <c r="G27" s="20" t="str">
        <f t="shared" si="9"/>
        <v>EE2-170.9ng/L</v>
      </c>
      <c r="H27" s="20" t="str">
        <f t="shared" si="9"/>
        <v>EE2-488ng/L</v>
      </c>
      <c r="I27" s="20" t="str">
        <f t="shared" si="9"/>
        <v>Prochloraz-0.063mg/L</v>
      </c>
      <c r="J27" s="20" t="str">
        <f t="shared" si="9"/>
        <v>Prochloraz-0.13mg/L</v>
      </c>
      <c r="K27" s="20" t="str">
        <f t="shared" si="9"/>
        <v>Prochloraz-0.25mg/L</v>
      </c>
      <c r="L27" s="20" t="str">
        <f t="shared" si="9"/>
        <v>Prochloraz-0.5mg/L</v>
      </c>
      <c r="M27" s="20" t="str">
        <f t="shared" si="9"/>
        <v>Prochloraz-1.0mg/L</v>
      </c>
      <c r="N27" s="20"/>
      <c r="O27" s="21" t="str">
        <f t="shared" ref="O27:AD27" si="10">O4</f>
        <v>Testo -30µg/L</v>
      </c>
      <c r="P27" s="21" t="str">
        <f t="shared" si="10"/>
        <v>Testo 30µg/L + EE2 -64ng/L</v>
      </c>
      <c r="Q27" s="21" t="str">
        <f t="shared" si="10"/>
        <v>Testo 30µg/L + FAD-10mg/L</v>
      </c>
      <c r="R27" s="21" t="str">
        <f t="shared" si="10"/>
        <v>Prochloraz-0.063mg/L + Testostérone</v>
      </c>
      <c r="S27" s="21" t="str">
        <f t="shared" si="10"/>
        <v>Prochloraz-0.13mg/L + Testostérone</v>
      </c>
      <c r="T27" s="21" t="str">
        <f t="shared" si="10"/>
        <v>Prochloraz-0.25mg/L + Testostérone</v>
      </c>
      <c r="U27" s="21" t="str">
        <f t="shared" si="10"/>
        <v>Prochloraz-0.5mg/L + Testostérone</v>
      </c>
      <c r="V27" s="21" t="str">
        <f t="shared" si="10"/>
        <v>Prochloraz-1.0mg/L + Testostérone</v>
      </c>
      <c r="W27" s="21" t="str">
        <f t="shared" si="10"/>
        <v>0-00 + Testostérone</v>
      </c>
      <c r="X27" s="21" t="str">
        <f t="shared" si="10"/>
        <v>0-00 + Testostérone</v>
      </c>
      <c r="Y27" s="21" t="str">
        <f t="shared" si="10"/>
        <v>0-00 + Testostérone</v>
      </c>
      <c r="Z27" s="21" t="str">
        <f t="shared" si="10"/>
        <v>0-00 + Testostérone</v>
      </c>
      <c r="AA27" s="21" t="str">
        <f t="shared" si="10"/>
        <v>0-00 + Testostérone</v>
      </c>
      <c r="AB27" s="21" t="str">
        <f t="shared" si="10"/>
        <v>0-00 + Testostérone</v>
      </c>
      <c r="AC27" s="21" t="str">
        <f t="shared" si="10"/>
        <v>0-00 + Testostérone</v>
      </c>
      <c r="AD27" s="21" t="str">
        <f t="shared" si="10"/>
        <v>0-00 + Testostérone</v>
      </c>
      <c r="AE27" s="21" t="str">
        <f t="shared" ref="AE27:AK27" si="11">AE4</f>
        <v>0-00 + Testostérone</v>
      </c>
      <c r="AF27" s="21" t="str">
        <f t="shared" si="11"/>
        <v>0-00 + Testostérone</v>
      </c>
      <c r="AG27" s="21" t="str">
        <f t="shared" si="11"/>
        <v>0-00 + Testostérone</v>
      </c>
      <c r="AH27" s="21" t="str">
        <f t="shared" si="11"/>
        <v>0-00 + Testostérone</v>
      </c>
      <c r="AI27" s="21" t="str">
        <f t="shared" si="11"/>
        <v>0-00 + Testostérone</v>
      </c>
      <c r="AJ27" s="21" t="str">
        <f t="shared" si="11"/>
        <v>0-00 + Testostérone</v>
      </c>
      <c r="AK27" s="21" t="str">
        <f t="shared" si="11"/>
        <v>0-00 + Testostérone</v>
      </c>
    </row>
    <row r="28" spans="1:37" x14ac:dyDescent="0.25">
      <c r="A28" s="148" t="s">
        <v>17</v>
      </c>
      <c r="B28" s="11">
        <f t="shared" ref="B28:M28" si="12">IF(B5="","",(B5/$O$23))</f>
        <v>0</v>
      </c>
      <c r="C28" s="11">
        <f t="shared" si="12"/>
        <v>0</v>
      </c>
      <c r="D28" s="11">
        <f t="shared" si="12"/>
        <v>0</v>
      </c>
      <c r="E28" s="11">
        <f t="shared" si="12"/>
        <v>0</v>
      </c>
      <c r="F28" s="11">
        <f t="shared" si="12"/>
        <v>6.8728557440903195E-3</v>
      </c>
      <c r="G28" s="11">
        <f t="shared" si="12"/>
        <v>1.3520239324114705</v>
      </c>
      <c r="H28" s="11">
        <f t="shared" si="12"/>
        <v>1.2824781507441592</v>
      </c>
      <c r="I28" s="11">
        <f t="shared" si="12"/>
        <v>0</v>
      </c>
      <c r="J28" s="11">
        <f t="shared" si="12"/>
        <v>0</v>
      </c>
      <c r="K28" s="11">
        <f t="shared" si="12"/>
        <v>0</v>
      </c>
      <c r="L28" s="11">
        <f t="shared" si="12"/>
        <v>0</v>
      </c>
      <c r="M28" s="11">
        <f t="shared" si="12"/>
        <v>1.6679546460984948E-2</v>
      </c>
      <c r="N28" s="11"/>
      <c r="O28" s="11">
        <f t="shared" ref="O28:AK28" si="13">IF(O5="","",(O5/$O$23))</f>
        <v>0</v>
      </c>
      <c r="P28" s="11">
        <f t="shared" si="13"/>
        <v>1.8817650204535901</v>
      </c>
      <c r="Q28" s="11">
        <f t="shared" si="13"/>
        <v>0</v>
      </c>
      <c r="R28" s="11">
        <f t="shared" si="13"/>
        <v>8.9600464183360595E-2</v>
      </c>
      <c r="S28" s="11">
        <f t="shared" si="13"/>
        <v>0</v>
      </c>
      <c r="T28" s="11">
        <f t="shared" si="13"/>
        <v>1.3075587622526173E-3</v>
      </c>
      <c r="U28" s="11">
        <f t="shared" si="13"/>
        <v>0</v>
      </c>
      <c r="V28" s="11">
        <f t="shared" si="13"/>
        <v>4.4718509669039508E-2</v>
      </c>
      <c r="W28" s="11" t="str">
        <f t="shared" si="13"/>
        <v/>
      </c>
      <c r="X28" s="11" t="str">
        <f t="shared" si="13"/>
        <v/>
      </c>
      <c r="Y28" s="11" t="str">
        <f t="shared" si="13"/>
        <v/>
      </c>
      <c r="Z28" s="11" t="str">
        <f t="shared" si="13"/>
        <v/>
      </c>
      <c r="AA28" s="11" t="str">
        <f t="shared" si="13"/>
        <v/>
      </c>
      <c r="AB28" s="11" t="str">
        <f t="shared" si="13"/>
        <v/>
      </c>
      <c r="AC28" s="11" t="str">
        <f t="shared" si="13"/>
        <v/>
      </c>
      <c r="AD28" s="11" t="str">
        <f t="shared" si="13"/>
        <v/>
      </c>
      <c r="AE28" s="11" t="str">
        <f t="shared" si="13"/>
        <v/>
      </c>
      <c r="AF28" s="11" t="str">
        <f t="shared" si="13"/>
        <v/>
      </c>
      <c r="AG28" s="11" t="str">
        <f t="shared" si="13"/>
        <v/>
      </c>
      <c r="AH28" s="11" t="str">
        <f t="shared" si="13"/>
        <v/>
      </c>
      <c r="AI28" s="11" t="str">
        <f t="shared" si="13"/>
        <v/>
      </c>
      <c r="AJ28" s="11" t="str">
        <f t="shared" si="13"/>
        <v/>
      </c>
      <c r="AK28" s="11" t="str">
        <f t="shared" si="13"/>
        <v/>
      </c>
    </row>
    <row r="29" spans="1:37" x14ac:dyDescent="0.25">
      <c r="A29" s="149"/>
      <c r="B29" s="11">
        <f t="shared" ref="B29:M29" si="14">IF(B6="","",(B6/$O$23))</f>
        <v>3.3751360550645683E-3</v>
      </c>
      <c r="C29" s="11">
        <f t="shared" si="14"/>
        <v>3.2852413901597009E-3</v>
      </c>
      <c r="D29" s="11">
        <f t="shared" si="14"/>
        <v>0</v>
      </c>
      <c r="E29" s="11">
        <f t="shared" si="14"/>
        <v>0</v>
      </c>
      <c r="F29" s="11">
        <f t="shared" si="14"/>
        <v>1.0466272390028435</v>
      </c>
      <c r="G29" s="11">
        <f t="shared" si="14"/>
        <v>2.1762027369860872</v>
      </c>
      <c r="H29" s="11">
        <f t="shared" si="14"/>
        <v>2.3434721916472534</v>
      </c>
      <c r="I29" s="11">
        <f t="shared" si="14"/>
        <v>0</v>
      </c>
      <c r="J29" s="11">
        <f t="shared" si="14"/>
        <v>0</v>
      </c>
      <c r="K29" s="11">
        <f t="shared" si="14"/>
        <v>0</v>
      </c>
      <c r="L29" s="11">
        <f t="shared" si="14"/>
        <v>6.5377938112630863E-4</v>
      </c>
      <c r="M29" s="11">
        <f t="shared" si="14"/>
        <v>6.8728557440903195E-3</v>
      </c>
      <c r="N29" s="11"/>
      <c r="O29" s="11">
        <f t="shared" ref="O29:AK29" si="15">IF(O6="","",(O6/$O$23))</f>
        <v>0.90420140082447709</v>
      </c>
      <c r="P29" s="11">
        <f t="shared" si="15"/>
        <v>2.05543334080753</v>
      </c>
      <c r="Q29" s="11">
        <f t="shared" si="15"/>
        <v>0</v>
      </c>
      <c r="R29" s="11">
        <f t="shared" si="15"/>
        <v>0.35356388931310773</v>
      </c>
      <c r="S29" s="11">
        <f t="shared" si="15"/>
        <v>1.9695103856430048E-3</v>
      </c>
      <c r="T29" s="11">
        <f t="shared" si="15"/>
        <v>1.3288065921392223E-2</v>
      </c>
      <c r="U29" s="11">
        <f t="shared" si="15"/>
        <v>6.5377938112630863E-4</v>
      </c>
      <c r="V29" s="11">
        <f t="shared" si="15"/>
        <v>0</v>
      </c>
      <c r="W29" s="11" t="str">
        <f t="shared" si="15"/>
        <v/>
      </c>
      <c r="X29" s="11" t="str">
        <f t="shared" si="15"/>
        <v/>
      </c>
      <c r="Y29" s="11" t="str">
        <f t="shared" si="15"/>
        <v/>
      </c>
      <c r="Z29" s="11" t="str">
        <f t="shared" si="15"/>
        <v/>
      </c>
      <c r="AA29" s="11" t="str">
        <f t="shared" si="15"/>
        <v/>
      </c>
      <c r="AB29" s="11" t="str">
        <f t="shared" si="15"/>
        <v/>
      </c>
      <c r="AC29" s="11" t="str">
        <f t="shared" si="15"/>
        <v/>
      </c>
      <c r="AD29" s="11" t="str">
        <f t="shared" si="15"/>
        <v/>
      </c>
      <c r="AE29" s="11" t="str">
        <f t="shared" si="15"/>
        <v/>
      </c>
      <c r="AF29" s="11" t="str">
        <f t="shared" si="15"/>
        <v/>
      </c>
      <c r="AG29" s="11" t="str">
        <f t="shared" si="15"/>
        <v/>
      </c>
      <c r="AH29" s="11" t="str">
        <f t="shared" si="15"/>
        <v/>
      </c>
      <c r="AI29" s="11" t="str">
        <f t="shared" si="15"/>
        <v/>
      </c>
      <c r="AJ29" s="11" t="str">
        <f t="shared" si="15"/>
        <v/>
      </c>
      <c r="AK29" s="11" t="str">
        <f t="shared" si="15"/>
        <v/>
      </c>
    </row>
    <row r="30" spans="1:37" x14ac:dyDescent="0.25">
      <c r="A30" s="149"/>
      <c r="B30" s="11">
        <f t="shared" ref="B30:M30" si="16">IF(B7="","",(B7/$O$23))</f>
        <v>0</v>
      </c>
      <c r="C30" s="11">
        <f t="shared" si="16"/>
        <v>6.7012386565446641E-4</v>
      </c>
      <c r="D30" s="11">
        <f t="shared" si="16"/>
        <v>0</v>
      </c>
      <c r="E30" s="11">
        <f t="shared" si="16"/>
        <v>2.6314620090333923E-3</v>
      </c>
      <c r="F30" s="11">
        <f t="shared" si="16"/>
        <v>0.52108668348446019</v>
      </c>
      <c r="G30" s="11">
        <f t="shared" si="16"/>
        <v>1.961444382528359</v>
      </c>
      <c r="H30" s="11">
        <f t="shared" si="16"/>
        <v>2.1264174371133189</v>
      </c>
      <c r="I30" s="11">
        <f t="shared" si="16"/>
        <v>6.9586642878631477E-2</v>
      </c>
      <c r="J30" s="11">
        <f t="shared" si="16"/>
        <v>6.3743489659815092E-2</v>
      </c>
      <c r="K30" s="11">
        <f t="shared" si="16"/>
        <v>0.1476152120160564</v>
      </c>
      <c r="L30" s="11">
        <f t="shared" si="16"/>
        <v>0</v>
      </c>
      <c r="M30" s="11">
        <f t="shared" si="16"/>
        <v>4.4162797195082149E-2</v>
      </c>
      <c r="N30" s="11"/>
      <c r="O30" s="11">
        <f t="shared" ref="O30:AK30" si="17">IF(O7="","",(O7/$O$23))</f>
        <v>0.17380724847242915</v>
      </c>
      <c r="P30" s="11">
        <f t="shared" si="17"/>
        <v>2.0845919012057634</v>
      </c>
      <c r="Q30" s="11">
        <f t="shared" si="17"/>
        <v>0</v>
      </c>
      <c r="R30" s="11">
        <f t="shared" si="17"/>
        <v>0</v>
      </c>
      <c r="S30" s="11">
        <f t="shared" si="17"/>
        <v>0</v>
      </c>
      <c r="T30" s="11">
        <f t="shared" si="17"/>
        <v>0</v>
      </c>
      <c r="U30" s="11">
        <f t="shared" si="17"/>
        <v>0</v>
      </c>
      <c r="V30" s="11">
        <f t="shared" si="17"/>
        <v>6.8646835018262408E-4</v>
      </c>
      <c r="W30" s="11" t="str">
        <f t="shared" si="17"/>
        <v/>
      </c>
      <c r="X30" s="11" t="str">
        <f t="shared" si="17"/>
        <v/>
      </c>
      <c r="Y30" s="11" t="str">
        <f t="shared" si="17"/>
        <v/>
      </c>
      <c r="Z30" s="11" t="str">
        <f t="shared" si="17"/>
        <v/>
      </c>
      <c r="AA30" s="11" t="str">
        <f t="shared" si="17"/>
        <v/>
      </c>
      <c r="AB30" s="11" t="str">
        <f t="shared" si="17"/>
        <v/>
      </c>
      <c r="AC30" s="11" t="str">
        <f t="shared" si="17"/>
        <v/>
      </c>
      <c r="AD30" s="11" t="str">
        <f t="shared" si="17"/>
        <v/>
      </c>
      <c r="AE30" s="11" t="str">
        <f t="shared" si="17"/>
        <v/>
      </c>
      <c r="AF30" s="11" t="str">
        <f t="shared" si="17"/>
        <v/>
      </c>
      <c r="AG30" s="11" t="str">
        <f t="shared" si="17"/>
        <v/>
      </c>
      <c r="AH30" s="11" t="str">
        <f t="shared" si="17"/>
        <v/>
      </c>
      <c r="AI30" s="11" t="str">
        <f t="shared" si="17"/>
        <v/>
      </c>
      <c r="AJ30" s="11" t="str">
        <f t="shared" si="17"/>
        <v/>
      </c>
      <c r="AK30" s="11" t="str">
        <f t="shared" si="17"/>
        <v/>
      </c>
    </row>
    <row r="31" spans="1:37" x14ac:dyDescent="0.25">
      <c r="A31" s="149"/>
      <c r="B31" s="11">
        <f t="shared" ref="B31:M31" si="18">IF(B8="","",(B8/$O$23))</f>
        <v>0</v>
      </c>
      <c r="C31" s="11">
        <f t="shared" si="18"/>
        <v>0</v>
      </c>
      <c r="D31" s="11">
        <f t="shared" si="18"/>
        <v>9.2403543279939646E-2</v>
      </c>
      <c r="E31" s="11">
        <f t="shared" si="18"/>
        <v>0</v>
      </c>
      <c r="F31" s="11">
        <f t="shared" si="18"/>
        <v>0</v>
      </c>
      <c r="G31" s="11">
        <f t="shared" si="18"/>
        <v>1.8156188915681357</v>
      </c>
      <c r="H31" s="11">
        <f t="shared" si="18"/>
        <v>1.5827263315264166</v>
      </c>
      <c r="I31" s="11">
        <f t="shared" si="18"/>
        <v>4.6581780905249493E-3</v>
      </c>
      <c r="J31" s="11">
        <f t="shared" si="18"/>
        <v>1.2544391875361048E-2</v>
      </c>
      <c r="K31" s="11">
        <f t="shared" si="18"/>
        <v>0</v>
      </c>
      <c r="L31" s="11">
        <f t="shared" si="18"/>
        <v>1.1400277958390007E-2</v>
      </c>
      <c r="M31" s="11">
        <f t="shared" si="18"/>
        <v>0</v>
      </c>
      <c r="N31" s="11"/>
      <c r="O31" s="11">
        <f t="shared" ref="O31:AK31" si="19">IF(O8="","",(O8/$O$23))</f>
        <v>0.79770073963900145</v>
      </c>
      <c r="P31" s="11">
        <f t="shared" si="19"/>
        <v>1.410014163517374</v>
      </c>
      <c r="Q31" s="11">
        <f t="shared" si="19"/>
        <v>3.5483875910630402E-2</v>
      </c>
      <c r="R31" s="11">
        <f t="shared" si="19"/>
        <v>0.60780234614860096</v>
      </c>
      <c r="S31" s="11">
        <f t="shared" si="19"/>
        <v>3.3015858746878587E-3</v>
      </c>
      <c r="T31" s="11">
        <f t="shared" si="19"/>
        <v>0</v>
      </c>
      <c r="U31" s="11">
        <f t="shared" si="19"/>
        <v>0</v>
      </c>
      <c r="V31" s="11">
        <f t="shared" si="19"/>
        <v>6.6195162339038752E-4</v>
      </c>
      <c r="W31" s="11" t="str">
        <f t="shared" si="19"/>
        <v/>
      </c>
      <c r="X31" s="11" t="str">
        <f t="shared" si="19"/>
        <v/>
      </c>
      <c r="Y31" s="11" t="str">
        <f t="shared" si="19"/>
        <v/>
      </c>
      <c r="Z31" s="11" t="str">
        <f t="shared" si="19"/>
        <v/>
      </c>
      <c r="AA31" s="11" t="str">
        <f t="shared" si="19"/>
        <v/>
      </c>
      <c r="AB31" s="11" t="str">
        <f t="shared" si="19"/>
        <v/>
      </c>
      <c r="AC31" s="11" t="str">
        <f t="shared" si="19"/>
        <v/>
      </c>
      <c r="AD31" s="11" t="str">
        <f t="shared" si="19"/>
        <v/>
      </c>
      <c r="AE31" s="11" t="str">
        <f t="shared" si="19"/>
        <v/>
      </c>
      <c r="AF31" s="11" t="str">
        <f t="shared" si="19"/>
        <v/>
      </c>
      <c r="AG31" s="11" t="str">
        <f t="shared" si="19"/>
        <v/>
      </c>
      <c r="AH31" s="11" t="str">
        <f t="shared" si="19"/>
        <v/>
      </c>
      <c r="AI31" s="11" t="str">
        <f t="shared" si="19"/>
        <v/>
      </c>
      <c r="AJ31" s="11" t="str">
        <f t="shared" si="19"/>
        <v/>
      </c>
      <c r="AK31" s="11" t="str">
        <f t="shared" si="19"/>
        <v/>
      </c>
    </row>
    <row r="32" spans="1:37" x14ac:dyDescent="0.25">
      <c r="A32" s="149"/>
      <c r="B32" s="11">
        <f t="shared" ref="B32:M32" si="20">IF(B9="","",(B9/$O$23))</f>
        <v>0</v>
      </c>
      <c r="C32" s="11">
        <f t="shared" si="20"/>
        <v>6.6195162339038752E-4</v>
      </c>
      <c r="D32" s="11">
        <f t="shared" si="20"/>
        <v>0</v>
      </c>
      <c r="E32" s="11">
        <f t="shared" si="20"/>
        <v>2.0839217773401088E-3</v>
      </c>
      <c r="F32" s="11">
        <f t="shared" si="20"/>
        <v>1.494171914352858</v>
      </c>
      <c r="G32" s="11">
        <f t="shared" si="20"/>
        <v>0.94843774819993598</v>
      </c>
      <c r="H32" s="11">
        <f t="shared" si="20"/>
        <v>2.7853535031082615</v>
      </c>
      <c r="I32" s="11">
        <f t="shared" si="20"/>
        <v>5.6298576957239256E-2</v>
      </c>
      <c r="J32" s="11">
        <f t="shared" si="20"/>
        <v>0</v>
      </c>
      <c r="K32" s="11">
        <f t="shared" si="20"/>
        <v>4.7497072038826325E-2</v>
      </c>
      <c r="L32" s="11">
        <f t="shared" si="20"/>
        <v>0</v>
      </c>
      <c r="M32" s="11">
        <f t="shared" si="20"/>
        <v>0.10237367884211586</v>
      </c>
      <c r="N32" s="11"/>
      <c r="O32" s="11">
        <f t="shared" ref="O32:AK32" si="21">IF(O9="","",(O9/$O$23))</f>
        <v>1.9493984974311067</v>
      </c>
      <c r="P32" s="11">
        <f t="shared" si="21"/>
        <v>1.5903101723474817</v>
      </c>
      <c r="Q32" s="11">
        <f t="shared" si="21"/>
        <v>0</v>
      </c>
      <c r="R32" s="11">
        <f t="shared" si="21"/>
        <v>4.1678435546802176E-3</v>
      </c>
      <c r="S32" s="11">
        <f t="shared" si="21"/>
        <v>0.10115601474476811</v>
      </c>
      <c r="T32" s="11">
        <f t="shared" si="21"/>
        <v>0</v>
      </c>
      <c r="U32" s="11">
        <f t="shared" si="21"/>
        <v>0</v>
      </c>
      <c r="V32" s="11">
        <f t="shared" si="21"/>
        <v>0</v>
      </c>
      <c r="W32" s="11" t="str">
        <f t="shared" si="21"/>
        <v/>
      </c>
      <c r="X32" s="11" t="str">
        <f t="shared" si="21"/>
        <v/>
      </c>
      <c r="Y32" s="11" t="str">
        <f t="shared" si="21"/>
        <v/>
      </c>
      <c r="Z32" s="11" t="str">
        <f t="shared" si="21"/>
        <v/>
      </c>
      <c r="AA32" s="11" t="str">
        <f t="shared" si="21"/>
        <v/>
      </c>
      <c r="AB32" s="11" t="str">
        <f t="shared" si="21"/>
        <v/>
      </c>
      <c r="AC32" s="11" t="str">
        <f t="shared" si="21"/>
        <v/>
      </c>
      <c r="AD32" s="11" t="str">
        <f t="shared" si="21"/>
        <v/>
      </c>
      <c r="AE32" s="11" t="str">
        <f t="shared" si="21"/>
        <v/>
      </c>
      <c r="AF32" s="11" t="str">
        <f t="shared" si="21"/>
        <v/>
      </c>
      <c r="AG32" s="11" t="str">
        <f t="shared" si="21"/>
        <v/>
      </c>
      <c r="AH32" s="11" t="str">
        <f t="shared" si="21"/>
        <v/>
      </c>
      <c r="AI32" s="11" t="str">
        <f t="shared" si="21"/>
        <v/>
      </c>
      <c r="AJ32" s="11" t="str">
        <f t="shared" si="21"/>
        <v/>
      </c>
      <c r="AK32" s="11" t="str">
        <f t="shared" si="21"/>
        <v/>
      </c>
    </row>
    <row r="33" spans="1:37" x14ac:dyDescent="0.25">
      <c r="A33" s="149"/>
      <c r="B33" s="11">
        <f t="shared" ref="B33:M33" si="22">IF(B10="","",(B10/$O$23))</f>
        <v>3.6055932869115924E-2</v>
      </c>
      <c r="C33" s="11">
        <f t="shared" si="22"/>
        <v>0</v>
      </c>
      <c r="D33" s="11">
        <f t="shared" si="22"/>
        <v>0</v>
      </c>
      <c r="E33" s="11">
        <f t="shared" si="22"/>
        <v>2.0376096804295738</v>
      </c>
      <c r="F33" s="11">
        <f t="shared" si="22"/>
        <v>0.58427446067031796</v>
      </c>
      <c r="G33" s="11">
        <f t="shared" si="22"/>
        <v>1.097474930369942</v>
      </c>
      <c r="H33" s="11">
        <f t="shared" si="22"/>
        <v>1.6752524584403174</v>
      </c>
      <c r="I33" s="11">
        <f t="shared" si="22"/>
        <v>0</v>
      </c>
      <c r="J33" s="11">
        <f t="shared" si="22"/>
        <v>0</v>
      </c>
      <c r="K33" s="11">
        <f t="shared" si="22"/>
        <v>3.3097581169519376E-3</v>
      </c>
      <c r="L33" s="11">
        <f t="shared" si="22"/>
        <v>0</v>
      </c>
      <c r="M33" s="11">
        <f t="shared" si="22"/>
        <v>0</v>
      </c>
      <c r="N33" s="11"/>
      <c r="O33" s="11">
        <f t="shared" ref="O33:AK33" si="23">IF(O10="","",(O10/$O$23))</f>
        <v>1.1130512241252764</v>
      </c>
      <c r="P33" s="11">
        <f t="shared" si="23"/>
        <v>1.6879276061919037</v>
      </c>
      <c r="Q33" s="11">
        <f t="shared" si="23"/>
        <v>6.6930664142805848E-3</v>
      </c>
      <c r="R33" s="11">
        <f t="shared" si="23"/>
        <v>1.1955990432347369E-2</v>
      </c>
      <c r="S33" s="11">
        <f t="shared" si="23"/>
        <v>0.12584435862455035</v>
      </c>
      <c r="T33" s="11">
        <f t="shared" si="23"/>
        <v>0</v>
      </c>
      <c r="U33" s="11">
        <f t="shared" si="23"/>
        <v>0</v>
      </c>
      <c r="V33" s="11">
        <f t="shared" si="23"/>
        <v>0</v>
      </c>
      <c r="W33" s="11" t="str">
        <f t="shared" si="23"/>
        <v/>
      </c>
      <c r="X33" s="11" t="str">
        <f t="shared" si="23"/>
        <v/>
      </c>
      <c r="Y33" s="11" t="str">
        <f t="shared" si="23"/>
        <v/>
      </c>
      <c r="Z33" s="11" t="str">
        <f t="shared" si="23"/>
        <v/>
      </c>
      <c r="AA33" s="11" t="str">
        <f t="shared" si="23"/>
        <v/>
      </c>
      <c r="AB33" s="11" t="str">
        <f t="shared" si="23"/>
        <v/>
      </c>
      <c r="AC33" s="11" t="str">
        <f t="shared" si="23"/>
        <v/>
      </c>
      <c r="AD33" s="11" t="str">
        <f t="shared" si="23"/>
        <v/>
      </c>
      <c r="AE33" s="11" t="str">
        <f t="shared" si="23"/>
        <v/>
      </c>
      <c r="AF33" s="11" t="str">
        <f t="shared" si="23"/>
        <v/>
      </c>
      <c r="AG33" s="11" t="str">
        <f t="shared" si="23"/>
        <v/>
      </c>
      <c r="AH33" s="11" t="str">
        <f t="shared" si="23"/>
        <v/>
      </c>
      <c r="AI33" s="11" t="str">
        <f t="shared" si="23"/>
        <v/>
      </c>
      <c r="AJ33" s="11" t="str">
        <f t="shared" si="23"/>
        <v/>
      </c>
      <c r="AK33" s="11" t="str">
        <f t="shared" si="23"/>
        <v/>
      </c>
    </row>
    <row r="34" spans="1:37" x14ac:dyDescent="0.25">
      <c r="A34" s="149"/>
      <c r="B34" s="11">
        <f t="shared" ref="B34:M34" si="24">IF(B11="","",(B11/$O$23))</f>
        <v>0</v>
      </c>
      <c r="C34" s="11">
        <f t="shared" si="24"/>
        <v>0</v>
      </c>
      <c r="D34" s="11">
        <f t="shared" si="24"/>
        <v>4.7693205853164215E-2</v>
      </c>
      <c r="E34" s="11">
        <f t="shared" si="24"/>
        <v>6.5377938112630863E-4</v>
      </c>
      <c r="F34" s="11">
        <f t="shared" si="24"/>
        <v>3.2419285061600828E-2</v>
      </c>
      <c r="G34" s="11">
        <f t="shared" si="24"/>
        <v>1.7892307212974252</v>
      </c>
      <c r="H34" s="11">
        <f t="shared" si="24"/>
        <v>2.2606546885430783</v>
      </c>
      <c r="I34" s="11">
        <f t="shared" si="24"/>
        <v>6.512459860244442E-2</v>
      </c>
      <c r="J34" s="11">
        <f t="shared" si="24"/>
        <v>0</v>
      </c>
      <c r="K34" s="11">
        <f t="shared" si="24"/>
        <v>0</v>
      </c>
      <c r="L34" s="11">
        <f t="shared" si="24"/>
        <v>0.16776796143927489</v>
      </c>
      <c r="M34" s="11">
        <f t="shared" si="24"/>
        <v>0</v>
      </c>
      <c r="N34" s="11"/>
      <c r="O34" s="11">
        <f t="shared" ref="O34:AK34" si="25">IF(O11="","",(O11/$O$23))</f>
        <v>1.2635757543873449</v>
      </c>
      <c r="P34" s="11">
        <f t="shared" si="25"/>
        <v>1.0155400294302874</v>
      </c>
      <c r="Q34" s="11">
        <f t="shared" si="25"/>
        <v>0</v>
      </c>
      <c r="R34" s="11">
        <f t="shared" si="25"/>
        <v>9.1136845729007432E-2</v>
      </c>
      <c r="S34" s="11">
        <f t="shared" si="25"/>
        <v>0</v>
      </c>
      <c r="T34" s="11">
        <f t="shared" si="25"/>
        <v>1.6777613368153897E-2</v>
      </c>
      <c r="U34" s="11">
        <f t="shared" si="25"/>
        <v>0</v>
      </c>
      <c r="V34" s="11">
        <f t="shared" si="25"/>
        <v>0</v>
      </c>
      <c r="W34" s="11" t="str">
        <f t="shared" si="25"/>
        <v/>
      </c>
      <c r="X34" s="11" t="str">
        <f t="shared" si="25"/>
        <v/>
      </c>
      <c r="Y34" s="11" t="str">
        <f t="shared" si="25"/>
        <v/>
      </c>
      <c r="Z34" s="11" t="str">
        <f t="shared" si="25"/>
        <v/>
      </c>
      <c r="AA34" s="11" t="str">
        <f t="shared" si="25"/>
        <v/>
      </c>
      <c r="AB34" s="11" t="str">
        <f t="shared" si="25"/>
        <v/>
      </c>
      <c r="AC34" s="11" t="str">
        <f t="shared" si="25"/>
        <v/>
      </c>
      <c r="AD34" s="11" t="str">
        <f t="shared" si="25"/>
        <v/>
      </c>
      <c r="AE34" s="11" t="str">
        <f t="shared" si="25"/>
        <v/>
      </c>
      <c r="AF34" s="11" t="str">
        <f t="shared" si="25"/>
        <v/>
      </c>
      <c r="AG34" s="11" t="str">
        <f t="shared" si="25"/>
        <v/>
      </c>
      <c r="AH34" s="11" t="str">
        <f t="shared" si="25"/>
        <v/>
      </c>
      <c r="AI34" s="11" t="str">
        <f t="shared" si="25"/>
        <v/>
      </c>
      <c r="AJ34" s="11" t="str">
        <f t="shared" si="25"/>
        <v/>
      </c>
      <c r="AK34" s="11" t="str">
        <f t="shared" si="25"/>
        <v/>
      </c>
    </row>
    <row r="35" spans="1:37" x14ac:dyDescent="0.25">
      <c r="A35" s="149"/>
      <c r="B35" s="11">
        <f t="shared" ref="B35:M35" si="26">IF(B12="","",(B12/$O$23))</f>
        <v>1.0109063680665548E-2</v>
      </c>
      <c r="C35" s="11">
        <f t="shared" si="26"/>
        <v>0.12981606836489265</v>
      </c>
      <c r="D35" s="11">
        <f t="shared" si="26"/>
        <v>0</v>
      </c>
      <c r="E35" s="11">
        <f t="shared" si="26"/>
        <v>2.0163373338161765</v>
      </c>
      <c r="F35" s="11">
        <f t="shared" si="26"/>
        <v>0</v>
      </c>
      <c r="G35" s="11">
        <f t="shared" si="26"/>
        <v>1.2026108270973166</v>
      </c>
      <c r="H35" s="11">
        <f t="shared" si="26"/>
        <v>2.505495066774881</v>
      </c>
      <c r="I35" s="11">
        <f t="shared" si="26"/>
        <v>0</v>
      </c>
      <c r="J35" s="11">
        <f t="shared" si="26"/>
        <v>0</v>
      </c>
      <c r="K35" s="11">
        <f t="shared" si="26"/>
        <v>0</v>
      </c>
      <c r="L35" s="11">
        <f t="shared" si="26"/>
        <v>0</v>
      </c>
      <c r="M35" s="11">
        <f t="shared" si="26"/>
        <v>5.9085311569290148E-3</v>
      </c>
      <c r="N35" s="11"/>
      <c r="O35" s="11">
        <f t="shared" ref="O35:AK35" si="27">IF(O12="","",(O12/$O$23))</f>
        <v>1.5488115261304893</v>
      </c>
      <c r="P35" s="11">
        <f t="shared" si="27"/>
        <v>1.5235511252922216</v>
      </c>
      <c r="Q35" s="11">
        <f t="shared" si="27"/>
        <v>0</v>
      </c>
      <c r="R35" s="11">
        <f t="shared" si="27"/>
        <v>7.1523464295218164E-2</v>
      </c>
      <c r="S35" s="11">
        <f t="shared" si="27"/>
        <v>0</v>
      </c>
      <c r="T35" s="11">
        <f t="shared" si="27"/>
        <v>0</v>
      </c>
      <c r="U35" s="11">
        <f t="shared" si="27"/>
        <v>0</v>
      </c>
      <c r="V35" s="11">
        <f t="shared" si="27"/>
        <v>2.655978735825629E-3</v>
      </c>
      <c r="W35" s="11" t="str">
        <f t="shared" si="27"/>
        <v/>
      </c>
      <c r="X35" s="11" t="str">
        <f t="shared" si="27"/>
        <v/>
      </c>
      <c r="Y35" s="11" t="str">
        <f t="shared" si="27"/>
        <v/>
      </c>
      <c r="Z35" s="11" t="str">
        <f t="shared" si="27"/>
        <v/>
      </c>
      <c r="AA35" s="11" t="str">
        <f t="shared" si="27"/>
        <v/>
      </c>
      <c r="AB35" s="11" t="str">
        <f t="shared" si="27"/>
        <v/>
      </c>
      <c r="AC35" s="11" t="str">
        <f t="shared" si="27"/>
        <v/>
      </c>
      <c r="AD35" s="11" t="str">
        <f t="shared" si="27"/>
        <v/>
      </c>
      <c r="AE35" s="11" t="str">
        <f t="shared" si="27"/>
        <v/>
      </c>
      <c r="AF35" s="11" t="str">
        <f t="shared" si="27"/>
        <v/>
      </c>
      <c r="AG35" s="11" t="str">
        <f t="shared" si="27"/>
        <v/>
      </c>
      <c r="AH35" s="11" t="str">
        <f t="shared" si="27"/>
        <v/>
      </c>
      <c r="AI35" s="11" t="str">
        <f t="shared" si="27"/>
        <v/>
      </c>
      <c r="AJ35" s="11" t="str">
        <f t="shared" si="27"/>
        <v/>
      </c>
      <c r="AK35" s="11" t="str">
        <f t="shared" si="27"/>
        <v/>
      </c>
    </row>
    <row r="36" spans="1:37" s="1" customFormat="1" x14ac:dyDescent="0.25">
      <c r="A36" s="149"/>
      <c r="B36" s="11" t="str">
        <f t="shared" ref="B36:M36" si="28">IF(B13="","",(B13/$O$23))</f>
        <v/>
      </c>
      <c r="C36" s="11" t="str">
        <f t="shared" si="28"/>
        <v/>
      </c>
      <c r="D36" s="11" t="str">
        <f t="shared" si="28"/>
        <v/>
      </c>
      <c r="E36" s="11" t="str">
        <f t="shared" si="28"/>
        <v/>
      </c>
      <c r="F36" s="11" t="str">
        <f t="shared" si="28"/>
        <v/>
      </c>
      <c r="G36" s="11" t="str">
        <f t="shared" si="28"/>
        <v/>
      </c>
      <c r="H36" s="11" t="str">
        <f t="shared" si="28"/>
        <v/>
      </c>
      <c r="I36" s="11" t="str">
        <f t="shared" si="28"/>
        <v/>
      </c>
      <c r="J36" s="11" t="str">
        <f t="shared" si="28"/>
        <v/>
      </c>
      <c r="K36" s="11" t="str">
        <f t="shared" si="28"/>
        <v/>
      </c>
      <c r="L36" s="11" t="str">
        <f t="shared" si="28"/>
        <v/>
      </c>
      <c r="M36" s="11" t="str">
        <f t="shared" si="28"/>
        <v/>
      </c>
      <c r="N36" s="11"/>
      <c r="O36" s="11">
        <f t="shared" ref="O36:AK36" si="29">IF(O13="","",(O13/$O$23))</f>
        <v>0.76808453367397966</v>
      </c>
      <c r="P36" s="11" t="str">
        <f t="shared" si="29"/>
        <v/>
      </c>
      <c r="Q36" s="11" t="str">
        <f t="shared" si="29"/>
        <v/>
      </c>
      <c r="R36" s="11" t="str">
        <f t="shared" si="29"/>
        <v/>
      </c>
      <c r="S36" s="11" t="str">
        <f t="shared" si="29"/>
        <v/>
      </c>
      <c r="T36" s="11" t="str">
        <f t="shared" si="29"/>
        <v/>
      </c>
      <c r="U36" s="11" t="str">
        <f t="shared" si="29"/>
        <v/>
      </c>
      <c r="V36" s="11" t="str">
        <f t="shared" si="29"/>
        <v/>
      </c>
      <c r="W36" s="11" t="str">
        <f t="shared" si="29"/>
        <v/>
      </c>
      <c r="X36" s="11" t="str">
        <f t="shared" si="29"/>
        <v/>
      </c>
      <c r="Y36" s="11" t="str">
        <f t="shared" si="29"/>
        <v/>
      </c>
      <c r="Z36" s="11" t="str">
        <f t="shared" si="29"/>
        <v/>
      </c>
      <c r="AA36" s="11" t="str">
        <f t="shared" si="29"/>
        <v/>
      </c>
      <c r="AB36" s="11" t="str">
        <f t="shared" si="29"/>
        <v/>
      </c>
      <c r="AC36" s="11" t="str">
        <f t="shared" si="29"/>
        <v/>
      </c>
      <c r="AD36" s="11" t="str">
        <f t="shared" si="29"/>
        <v/>
      </c>
      <c r="AE36" s="11" t="str">
        <f t="shared" si="29"/>
        <v/>
      </c>
      <c r="AF36" s="11" t="str">
        <f t="shared" si="29"/>
        <v/>
      </c>
      <c r="AG36" s="11" t="str">
        <f t="shared" si="29"/>
        <v/>
      </c>
      <c r="AH36" s="11" t="str">
        <f t="shared" si="29"/>
        <v/>
      </c>
      <c r="AI36" s="11" t="str">
        <f t="shared" si="29"/>
        <v/>
      </c>
      <c r="AJ36" s="11" t="str">
        <f t="shared" si="29"/>
        <v/>
      </c>
      <c r="AK36" s="11" t="str">
        <f t="shared" si="29"/>
        <v/>
      </c>
    </row>
    <row r="37" spans="1:37" s="1" customFormat="1" x14ac:dyDescent="0.25">
      <c r="A37" s="149"/>
      <c r="B37" s="11" t="str">
        <f t="shared" ref="B37:M37" si="30">IF(B14="","",(B14/$O$23))</f>
        <v/>
      </c>
      <c r="C37" s="11" t="str">
        <f t="shared" si="30"/>
        <v/>
      </c>
      <c r="D37" s="11" t="str">
        <f t="shared" si="30"/>
        <v/>
      </c>
      <c r="E37" s="11" t="str">
        <f t="shared" si="30"/>
        <v/>
      </c>
      <c r="F37" s="11" t="str">
        <f t="shared" si="30"/>
        <v/>
      </c>
      <c r="G37" s="11" t="str">
        <f t="shared" si="30"/>
        <v/>
      </c>
      <c r="H37" s="11" t="str">
        <f t="shared" si="30"/>
        <v/>
      </c>
      <c r="I37" s="11" t="str">
        <f t="shared" si="30"/>
        <v/>
      </c>
      <c r="J37" s="11" t="str">
        <f t="shared" si="30"/>
        <v/>
      </c>
      <c r="K37" s="11" t="str">
        <f t="shared" si="30"/>
        <v/>
      </c>
      <c r="L37" s="11" t="str">
        <f t="shared" si="30"/>
        <v/>
      </c>
      <c r="M37" s="11" t="str">
        <f t="shared" si="30"/>
        <v/>
      </c>
      <c r="N37" s="11"/>
      <c r="O37" s="11">
        <f t="shared" ref="O37:AK37" si="31">IF(O14="","",(O14/$O$23))</f>
        <v>1.0289997124392254</v>
      </c>
      <c r="P37" s="11" t="str">
        <f t="shared" si="31"/>
        <v/>
      </c>
      <c r="Q37" s="11" t="str">
        <f t="shared" si="31"/>
        <v/>
      </c>
      <c r="R37" s="11" t="str">
        <f t="shared" si="31"/>
        <v/>
      </c>
      <c r="S37" s="11" t="str">
        <f t="shared" si="31"/>
        <v/>
      </c>
      <c r="T37" s="11" t="str">
        <f t="shared" si="31"/>
        <v/>
      </c>
      <c r="U37" s="11" t="str">
        <f t="shared" si="31"/>
        <v/>
      </c>
      <c r="V37" s="11" t="str">
        <f t="shared" si="31"/>
        <v/>
      </c>
      <c r="W37" s="11" t="str">
        <f t="shared" si="31"/>
        <v/>
      </c>
      <c r="X37" s="11" t="str">
        <f t="shared" si="31"/>
        <v/>
      </c>
      <c r="Y37" s="11" t="str">
        <f t="shared" si="31"/>
        <v/>
      </c>
      <c r="Z37" s="11" t="str">
        <f t="shared" si="31"/>
        <v/>
      </c>
      <c r="AA37" s="11" t="str">
        <f t="shared" si="31"/>
        <v/>
      </c>
      <c r="AB37" s="11" t="str">
        <f t="shared" si="31"/>
        <v/>
      </c>
      <c r="AC37" s="11" t="str">
        <f t="shared" si="31"/>
        <v/>
      </c>
      <c r="AD37" s="11" t="str">
        <f t="shared" si="31"/>
        <v/>
      </c>
      <c r="AE37" s="11" t="str">
        <f t="shared" si="31"/>
        <v/>
      </c>
      <c r="AF37" s="11" t="str">
        <f t="shared" si="31"/>
        <v/>
      </c>
      <c r="AG37" s="11" t="str">
        <f t="shared" si="31"/>
        <v/>
      </c>
      <c r="AH37" s="11" t="str">
        <f t="shared" si="31"/>
        <v/>
      </c>
      <c r="AI37" s="11" t="str">
        <f t="shared" si="31"/>
        <v/>
      </c>
      <c r="AJ37" s="11" t="str">
        <f t="shared" si="31"/>
        <v/>
      </c>
      <c r="AK37" s="11" t="str">
        <f t="shared" si="31"/>
        <v/>
      </c>
    </row>
    <row r="38" spans="1:37" s="1" customFormat="1" x14ac:dyDescent="0.25">
      <c r="A38" s="149"/>
      <c r="B38" s="11" t="str">
        <f t="shared" ref="B38:M38" si="32">IF(B15="","",(B15/$O$23))</f>
        <v/>
      </c>
      <c r="C38" s="11" t="str">
        <f t="shared" si="32"/>
        <v/>
      </c>
      <c r="D38" s="11" t="str">
        <f t="shared" si="32"/>
        <v/>
      </c>
      <c r="E38" s="11" t="str">
        <f t="shared" si="32"/>
        <v/>
      </c>
      <c r="F38" s="11" t="str">
        <f t="shared" si="32"/>
        <v/>
      </c>
      <c r="G38" s="11" t="str">
        <f t="shared" si="32"/>
        <v/>
      </c>
      <c r="H38" s="11" t="str">
        <f t="shared" si="32"/>
        <v/>
      </c>
      <c r="I38" s="11" t="str">
        <f t="shared" si="32"/>
        <v/>
      </c>
      <c r="J38" s="11" t="str">
        <f t="shared" si="32"/>
        <v/>
      </c>
      <c r="K38" s="11" t="str">
        <f t="shared" si="32"/>
        <v/>
      </c>
      <c r="L38" s="11" t="str">
        <f t="shared" si="32"/>
        <v/>
      </c>
      <c r="M38" s="11" t="str">
        <f t="shared" si="32"/>
        <v/>
      </c>
      <c r="N38" s="11"/>
      <c r="O38" s="11">
        <f t="shared" ref="O38:R38" si="33">IF(O15="","",(O15/$O$23))</f>
        <v>0</v>
      </c>
      <c r="P38" s="11" t="str">
        <f t="shared" si="33"/>
        <v/>
      </c>
      <c r="Q38" s="11" t="str">
        <f t="shared" si="33"/>
        <v/>
      </c>
      <c r="R38" s="11" t="str">
        <f t="shared" si="33"/>
        <v/>
      </c>
      <c r="S38" s="11" t="str">
        <f t="shared" ref="S38:AK38" si="34">IF(S15="","",(S15/$O$23))</f>
        <v/>
      </c>
      <c r="T38" s="11" t="str">
        <f t="shared" si="34"/>
        <v/>
      </c>
      <c r="U38" s="11" t="str">
        <f t="shared" si="34"/>
        <v/>
      </c>
      <c r="V38" s="11" t="str">
        <f t="shared" si="34"/>
        <v/>
      </c>
      <c r="W38" s="11" t="str">
        <f t="shared" si="34"/>
        <v/>
      </c>
      <c r="X38" s="11" t="str">
        <f t="shared" si="34"/>
        <v/>
      </c>
      <c r="Y38" s="11" t="str">
        <f t="shared" si="34"/>
        <v/>
      </c>
      <c r="Z38" s="11" t="str">
        <f t="shared" si="34"/>
        <v/>
      </c>
      <c r="AA38" s="11" t="str">
        <f t="shared" si="34"/>
        <v/>
      </c>
      <c r="AB38" s="11" t="str">
        <f t="shared" si="34"/>
        <v/>
      </c>
      <c r="AC38" s="11" t="str">
        <f t="shared" si="34"/>
        <v/>
      </c>
      <c r="AD38" s="11" t="str">
        <f t="shared" si="34"/>
        <v/>
      </c>
      <c r="AE38" s="11" t="str">
        <f t="shared" si="34"/>
        <v/>
      </c>
      <c r="AF38" s="11" t="str">
        <f t="shared" si="34"/>
        <v/>
      </c>
      <c r="AG38" s="11" t="str">
        <f t="shared" si="34"/>
        <v/>
      </c>
      <c r="AH38" s="11" t="str">
        <f t="shared" si="34"/>
        <v/>
      </c>
      <c r="AI38" s="11" t="str">
        <f t="shared" si="34"/>
        <v/>
      </c>
      <c r="AJ38" s="11" t="str">
        <f t="shared" si="34"/>
        <v/>
      </c>
      <c r="AK38" s="11" t="str">
        <f t="shared" si="34"/>
        <v/>
      </c>
    </row>
    <row r="39" spans="1:37" s="1" customFormat="1" x14ac:dyDescent="0.25">
      <c r="A39" s="149"/>
      <c r="B39" s="11" t="str">
        <f t="shared" ref="B39:M39" si="35">IF(B16="","",(B16/$O$23))</f>
        <v/>
      </c>
      <c r="C39" s="11" t="str">
        <f t="shared" si="35"/>
        <v/>
      </c>
      <c r="D39" s="11" t="str">
        <f t="shared" si="35"/>
        <v/>
      </c>
      <c r="E39" s="11" t="str">
        <f t="shared" si="35"/>
        <v/>
      </c>
      <c r="F39" s="11" t="str">
        <f t="shared" si="35"/>
        <v/>
      </c>
      <c r="G39" s="11" t="str">
        <f t="shared" si="35"/>
        <v/>
      </c>
      <c r="H39" s="11" t="str">
        <f t="shared" si="35"/>
        <v/>
      </c>
      <c r="I39" s="11" t="str">
        <f t="shared" si="35"/>
        <v/>
      </c>
      <c r="J39" s="11" t="str">
        <f t="shared" si="35"/>
        <v/>
      </c>
      <c r="K39" s="11" t="str">
        <f t="shared" si="35"/>
        <v/>
      </c>
      <c r="L39" s="11" t="str">
        <f t="shared" si="35"/>
        <v/>
      </c>
      <c r="M39" s="11" t="str">
        <f t="shared" si="35"/>
        <v/>
      </c>
      <c r="N39" s="11"/>
      <c r="O39" s="11">
        <f t="shared" ref="O39:R39" si="36">IF(O16="","",(O16/$O$23))</f>
        <v>1.7088158574188892</v>
      </c>
      <c r="P39" s="11" t="str">
        <f t="shared" si="36"/>
        <v/>
      </c>
      <c r="Q39" s="11" t="str">
        <f t="shared" si="36"/>
        <v/>
      </c>
      <c r="R39" s="11" t="str">
        <f t="shared" si="36"/>
        <v/>
      </c>
      <c r="S39" s="11" t="str">
        <f t="shared" ref="S39:AK39" si="37">IF(S16="","",(S16/$O$23))</f>
        <v/>
      </c>
      <c r="T39" s="11" t="str">
        <f t="shared" si="37"/>
        <v/>
      </c>
      <c r="U39" s="11" t="str">
        <f t="shared" si="37"/>
        <v/>
      </c>
      <c r="V39" s="11" t="str">
        <f t="shared" si="37"/>
        <v/>
      </c>
      <c r="W39" s="11" t="str">
        <f t="shared" si="37"/>
        <v/>
      </c>
      <c r="X39" s="11" t="str">
        <f t="shared" si="37"/>
        <v/>
      </c>
      <c r="Y39" s="11" t="str">
        <f t="shared" si="37"/>
        <v/>
      </c>
      <c r="Z39" s="11" t="str">
        <f t="shared" si="37"/>
        <v/>
      </c>
      <c r="AA39" s="11" t="str">
        <f t="shared" si="37"/>
        <v/>
      </c>
      <c r="AB39" s="11" t="str">
        <f t="shared" si="37"/>
        <v/>
      </c>
      <c r="AC39" s="11" t="str">
        <f t="shared" si="37"/>
        <v/>
      </c>
      <c r="AD39" s="11" t="str">
        <f t="shared" si="37"/>
        <v/>
      </c>
      <c r="AE39" s="11" t="str">
        <f t="shared" si="37"/>
        <v/>
      </c>
      <c r="AF39" s="11" t="str">
        <f t="shared" si="37"/>
        <v/>
      </c>
      <c r="AG39" s="11" t="str">
        <f t="shared" si="37"/>
        <v/>
      </c>
      <c r="AH39" s="11" t="str">
        <f t="shared" si="37"/>
        <v/>
      </c>
      <c r="AI39" s="11" t="str">
        <f t="shared" si="37"/>
        <v/>
      </c>
      <c r="AJ39" s="11" t="str">
        <f t="shared" si="37"/>
        <v/>
      </c>
      <c r="AK39" s="11" t="str">
        <f t="shared" si="37"/>
        <v/>
      </c>
    </row>
    <row r="40" spans="1:37" s="1" customFormat="1" x14ac:dyDescent="0.25">
      <c r="A40" s="149"/>
      <c r="B40" s="11" t="str">
        <f t="shared" ref="B40:M40" si="38">IF(B17="","",(B17/$O$23))</f>
        <v/>
      </c>
      <c r="C40" s="11" t="str">
        <f t="shared" si="38"/>
        <v/>
      </c>
      <c r="D40" s="11" t="str">
        <f t="shared" si="38"/>
        <v/>
      </c>
      <c r="E40" s="11" t="str">
        <f t="shared" si="38"/>
        <v/>
      </c>
      <c r="F40" s="11" t="str">
        <f t="shared" si="38"/>
        <v/>
      </c>
      <c r="G40" s="11" t="str">
        <f t="shared" si="38"/>
        <v/>
      </c>
      <c r="H40" s="11" t="str">
        <f t="shared" si="38"/>
        <v/>
      </c>
      <c r="I40" s="11" t="str">
        <f t="shared" si="38"/>
        <v/>
      </c>
      <c r="J40" s="11" t="str">
        <f t="shared" si="38"/>
        <v/>
      </c>
      <c r="K40" s="11" t="str">
        <f t="shared" si="38"/>
        <v/>
      </c>
      <c r="L40" s="11" t="str">
        <f t="shared" si="38"/>
        <v/>
      </c>
      <c r="M40" s="11" t="str">
        <f t="shared" si="38"/>
        <v/>
      </c>
      <c r="N40" s="11"/>
      <c r="O40" s="11">
        <f t="shared" ref="O40:R40" si="39">IF(O17="","",(O17/$O$23))</f>
        <v>0.55926739934223668</v>
      </c>
      <c r="P40" s="11" t="str">
        <f t="shared" si="39"/>
        <v/>
      </c>
      <c r="Q40" s="11" t="str">
        <f t="shared" si="39"/>
        <v/>
      </c>
      <c r="R40" s="11" t="str">
        <f t="shared" si="39"/>
        <v/>
      </c>
      <c r="S40" s="11" t="str">
        <f t="shared" ref="S40:AK40" si="40">IF(S17="","",(S17/$O$23))</f>
        <v/>
      </c>
      <c r="T40" s="11" t="str">
        <f t="shared" si="40"/>
        <v/>
      </c>
      <c r="U40" s="11" t="str">
        <f t="shared" si="40"/>
        <v/>
      </c>
      <c r="V40" s="11" t="str">
        <f t="shared" si="40"/>
        <v/>
      </c>
      <c r="W40" s="11" t="str">
        <f t="shared" si="40"/>
        <v/>
      </c>
      <c r="X40" s="11" t="str">
        <f t="shared" si="40"/>
        <v/>
      </c>
      <c r="Y40" s="11" t="str">
        <f t="shared" si="40"/>
        <v/>
      </c>
      <c r="Z40" s="11" t="str">
        <f t="shared" si="40"/>
        <v/>
      </c>
      <c r="AA40" s="11" t="str">
        <f t="shared" si="40"/>
        <v/>
      </c>
      <c r="AB40" s="11" t="str">
        <f t="shared" si="40"/>
        <v/>
      </c>
      <c r="AC40" s="11" t="str">
        <f t="shared" si="40"/>
        <v/>
      </c>
      <c r="AD40" s="11" t="str">
        <f t="shared" si="40"/>
        <v/>
      </c>
      <c r="AE40" s="11" t="str">
        <f t="shared" si="40"/>
        <v/>
      </c>
      <c r="AF40" s="11" t="str">
        <f t="shared" si="40"/>
        <v/>
      </c>
      <c r="AG40" s="11" t="str">
        <f t="shared" si="40"/>
        <v/>
      </c>
      <c r="AH40" s="11" t="str">
        <f t="shared" si="40"/>
        <v/>
      </c>
      <c r="AI40" s="11" t="str">
        <f t="shared" si="40"/>
        <v/>
      </c>
      <c r="AJ40" s="11" t="str">
        <f t="shared" si="40"/>
        <v/>
      </c>
      <c r="AK40" s="11" t="str">
        <f t="shared" si="40"/>
        <v/>
      </c>
    </row>
    <row r="41" spans="1:37" s="1" customFormat="1" x14ac:dyDescent="0.25">
      <c r="A41" s="149"/>
      <c r="B41" s="11" t="str">
        <f t="shared" ref="B41:M41" si="41">IF(B18="","",(B18/$O$23))</f>
        <v/>
      </c>
      <c r="C41" s="11" t="str">
        <f t="shared" si="41"/>
        <v/>
      </c>
      <c r="D41" s="11" t="str">
        <f t="shared" si="41"/>
        <v/>
      </c>
      <c r="E41" s="11" t="str">
        <f t="shared" si="41"/>
        <v/>
      </c>
      <c r="F41" s="11" t="str">
        <f t="shared" si="41"/>
        <v/>
      </c>
      <c r="G41" s="11" t="str">
        <f t="shared" si="41"/>
        <v/>
      </c>
      <c r="H41" s="11" t="str">
        <f t="shared" si="41"/>
        <v/>
      </c>
      <c r="I41" s="11" t="str">
        <f t="shared" si="41"/>
        <v/>
      </c>
      <c r="J41" s="11" t="str">
        <f t="shared" si="41"/>
        <v/>
      </c>
      <c r="K41" s="11" t="str">
        <f t="shared" si="41"/>
        <v/>
      </c>
      <c r="L41" s="11" t="str">
        <f t="shared" si="41"/>
        <v/>
      </c>
      <c r="M41" s="11" t="str">
        <f t="shared" si="41"/>
        <v/>
      </c>
      <c r="N41" s="11"/>
      <c r="O41" s="11">
        <f t="shared" ref="O41:R41" si="42">IF(O18="","",(O18/$O$23))</f>
        <v>1.3951406825967505</v>
      </c>
      <c r="P41" s="11" t="str">
        <f t="shared" si="42"/>
        <v/>
      </c>
      <c r="Q41" s="11" t="str">
        <f t="shared" si="42"/>
        <v/>
      </c>
      <c r="R41" s="11" t="str">
        <f t="shared" si="42"/>
        <v/>
      </c>
      <c r="S41" s="11" t="str">
        <f t="shared" ref="S41:AK41" si="43">IF(S18="","",(S18/$O$23))</f>
        <v/>
      </c>
      <c r="T41" s="11" t="str">
        <f t="shared" si="43"/>
        <v/>
      </c>
      <c r="U41" s="11" t="str">
        <f t="shared" si="43"/>
        <v/>
      </c>
      <c r="V41" s="11" t="str">
        <f t="shared" si="43"/>
        <v/>
      </c>
      <c r="W41" s="11" t="str">
        <f t="shared" si="43"/>
        <v/>
      </c>
      <c r="X41" s="11" t="str">
        <f t="shared" si="43"/>
        <v/>
      </c>
      <c r="Y41" s="11" t="str">
        <f t="shared" si="43"/>
        <v/>
      </c>
      <c r="Z41" s="11" t="str">
        <f t="shared" si="43"/>
        <v/>
      </c>
      <c r="AA41" s="11" t="str">
        <f t="shared" si="43"/>
        <v/>
      </c>
      <c r="AB41" s="11" t="str">
        <f t="shared" si="43"/>
        <v/>
      </c>
      <c r="AC41" s="11" t="str">
        <f t="shared" si="43"/>
        <v/>
      </c>
      <c r="AD41" s="11" t="str">
        <f t="shared" si="43"/>
        <v/>
      </c>
      <c r="AE41" s="11" t="str">
        <f t="shared" si="43"/>
        <v/>
      </c>
      <c r="AF41" s="11" t="str">
        <f t="shared" si="43"/>
        <v/>
      </c>
      <c r="AG41" s="11" t="str">
        <f t="shared" si="43"/>
        <v/>
      </c>
      <c r="AH41" s="11" t="str">
        <f t="shared" si="43"/>
        <v/>
      </c>
      <c r="AI41" s="11" t="str">
        <f t="shared" si="43"/>
        <v/>
      </c>
      <c r="AJ41" s="11" t="str">
        <f t="shared" si="43"/>
        <v/>
      </c>
      <c r="AK41" s="11" t="str">
        <f t="shared" si="43"/>
        <v/>
      </c>
    </row>
    <row r="42" spans="1:37" s="1" customFormat="1" x14ac:dyDescent="0.25">
      <c r="A42" s="149"/>
      <c r="B42" s="11" t="str">
        <f t="shared" ref="B42:M42" si="44">IF(B19="","",(B19/$O$23))</f>
        <v/>
      </c>
      <c r="C42" s="11" t="str">
        <f t="shared" si="44"/>
        <v/>
      </c>
      <c r="D42" s="11" t="str">
        <f t="shared" si="44"/>
        <v/>
      </c>
      <c r="E42" s="11" t="str">
        <f t="shared" si="44"/>
        <v/>
      </c>
      <c r="F42" s="11" t="str">
        <f t="shared" si="44"/>
        <v/>
      </c>
      <c r="G42" s="11" t="str">
        <f t="shared" si="44"/>
        <v/>
      </c>
      <c r="H42" s="11" t="str">
        <f t="shared" si="44"/>
        <v/>
      </c>
      <c r="I42" s="11" t="str">
        <f t="shared" si="44"/>
        <v/>
      </c>
      <c r="J42" s="11" t="str">
        <f t="shared" si="44"/>
        <v/>
      </c>
      <c r="K42" s="11" t="str">
        <f t="shared" si="44"/>
        <v/>
      </c>
      <c r="L42" s="11" t="str">
        <f t="shared" si="44"/>
        <v/>
      </c>
      <c r="M42" s="11" t="str">
        <f t="shared" si="44"/>
        <v/>
      </c>
      <c r="N42" s="11"/>
      <c r="O42" s="11">
        <f t="shared" ref="O42:R42" si="45">IF(O19="","",(O19/$O$23))</f>
        <v>1.54640888690485</v>
      </c>
      <c r="P42" s="11" t="str">
        <f t="shared" si="45"/>
        <v/>
      </c>
      <c r="Q42" s="11" t="str">
        <f t="shared" si="45"/>
        <v/>
      </c>
      <c r="R42" s="11" t="str">
        <f t="shared" si="45"/>
        <v/>
      </c>
      <c r="S42" s="11" t="str">
        <f t="shared" ref="S42:AK42" si="46">IF(S19="","",(S19/$O$23))</f>
        <v/>
      </c>
      <c r="T42" s="11" t="str">
        <f t="shared" si="46"/>
        <v/>
      </c>
      <c r="U42" s="11" t="str">
        <f t="shared" si="46"/>
        <v/>
      </c>
      <c r="V42" s="11" t="str">
        <f t="shared" si="46"/>
        <v/>
      </c>
      <c r="W42" s="11" t="str">
        <f t="shared" si="46"/>
        <v/>
      </c>
      <c r="X42" s="11" t="str">
        <f t="shared" si="46"/>
        <v/>
      </c>
      <c r="Y42" s="11" t="str">
        <f t="shared" si="46"/>
        <v/>
      </c>
      <c r="Z42" s="11" t="str">
        <f t="shared" si="46"/>
        <v/>
      </c>
      <c r="AA42" s="11" t="str">
        <f t="shared" si="46"/>
        <v/>
      </c>
      <c r="AB42" s="11" t="str">
        <f t="shared" si="46"/>
        <v/>
      </c>
      <c r="AC42" s="11" t="str">
        <f t="shared" si="46"/>
        <v/>
      </c>
      <c r="AD42" s="11" t="str">
        <f t="shared" si="46"/>
        <v/>
      </c>
      <c r="AE42" s="11" t="str">
        <f t="shared" si="46"/>
        <v/>
      </c>
      <c r="AF42" s="11" t="str">
        <f t="shared" si="46"/>
        <v/>
      </c>
      <c r="AG42" s="11" t="str">
        <f t="shared" si="46"/>
        <v/>
      </c>
      <c r="AH42" s="11" t="str">
        <f t="shared" si="46"/>
        <v/>
      </c>
      <c r="AI42" s="11" t="str">
        <f t="shared" si="46"/>
        <v/>
      </c>
      <c r="AJ42" s="11" t="str">
        <f t="shared" si="46"/>
        <v/>
      </c>
      <c r="AK42" s="11" t="str">
        <f t="shared" si="46"/>
        <v/>
      </c>
    </row>
    <row r="43" spans="1:37" s="1" customFormat="1" x14ac:dyDescent="0.25">
      <c r="A43" s="149"/>
      <c r="B43" s="11" t="str">
        <f t="shared" ref="B43:M43" si="47">IF(B20="","",(B20/$O$23))</f>
        <v/>
      </c>
      <c r="C43" s="11" t="str">
        <f t="shared" si="47"/>
        <v/>
      </c>
      <c r="D43" s="11" t="str">
        <f t="shared" si="47"/>
        <v/>
      </c>
      <c r="E43" s="11" t="str">
        <f t="shared" si="47"/>
        <v/>
      </c>
      <c r="F43" s="11" t="str">
        <f t="shared" si="47"/>
        <v/>
      </c>
      <c r="G43" s="11" t="str">
        <f t="shared" si="47"/>
        <v/>
      </c>
      <c r="H43" s="11" t="str">
        <f t="shared" si="47"/>
        <v/>
      </c>
      <c r="I43" s="11" t="str">
        <f t="shared" si="47"/>
        <v/>
      </c>
      <c r="J43" s="11" t="str">
        <f t="shared" si="47"/>
        <v/>
      </c>
      <c r="K43" s="11" t="str">
        <f t="shared" si="47"/>
        <v/>
      </c>
      <c r="L43" s="11" t="str">
        <f t="shared" si="47"/>
        <v/>
      </c>
      <c r="M43" s="11" t="str">
        <f t="shared" si="47"/>
        <v/>
      </c>
      <c r="N43" s="11"/>
      <c r="O43" s="11">
        <f t="shared" ref="O43:R43" si="48">IF(O20="","",(O20/$O$23))</f>
        <v>1.2427365366139438</v>
      </c>
      <c r="P43" s="11" t="str">
        <f t="shared" si="48"/>
        <v/>
      </c>
      <c r="Q43" s="11" t="str">
        <f t="shared" si="48"/>
        <v/>
      </c>
      <c r="R43" s="11" t="str">
        <f t="shared" si="48"/>
        <v/>
      </c>
      <c r="S43" s="11" t="str">
        <f t="shared" ref="S43:AK43" si="49">IF(S20="","",(S20/$O$23))</f>
        <v/>
      </c>
      <c r="T43" s="11" t="str">
        <f t="shared" si="49"/>
        <v/>
      </c>
      <c r="U43" s="11" t="str">
        <f t="shared" si="49"/>
        <v/>
      </c>
      <c r="V43" s="11" t="str">
        <f t="shared" si="49"/>
        <v/>
      </c>
      <c r="W43" s="11" t="str">
        <f t="shared" si="49"/>
        <v/>
      </c>
      <c r="X43" s="11" t="str">
        <f t="shared" si="49"/>
        <v/>
      </c>
      <c r="Y43" s="11" t="str">
        <f t="shared" si="49"/>
        <v/>
      </c>
      <c r="Z43" s="11" t="str">
        <f t="shared" si="49"/>
        <v/>
      </c>
      <c r="AA43" s="11" t="str">
        <f t="shared" si="49"/>
        <v/>
      </c>
      <c r="AB43" s="11" t="str">
        <f t="shared" si="49"/>
        <v/>
      </c>
      <c r="AC43" s="11" t="str">
        <f t="shared" si="49"/>
        <v/>
      </c>
      <c r="AD43" s="11" t="str">
        <f t="shared" si="49"/>
        <v/>
      </c>
      <c r="AE43" s="11" t="str">
        <f t="shared" si="49"/>
        <v/>
      </c>
      <c r="AF43" s="11" t="str">
        <f t="shared" si="49"/>
        <v/>
      </c>
      <c r="AG43" s="11" t="str">
        <f t="shared" si="49"/>
        <v/>
      </c>
      <c r="AH43" s="11" t="str">
        <f t="shared" si="49"/>
        <v/>
      </c>
      <c r="AI43" s="11" t="str">
        <f t="shared" si="49"/>
        <v/>
      </c>
      <c r="AJ43" s="11" t="str">
        <f t="shared" si="49"/>
        <v/>
      </c>
      <c r="AK43" s="11" t="str">
        <f t="shared" si="49"/>
        <v/>
      </c>
    </row>
    <row r="44" spans="1:37" x14ac:dyDescent="0.25">
      <c r="A44" s="7"/>
      <c r="B44" s="3"/>
      <c r="C44" s="3"/>
      <c r="D44" s="3"/>
      <c r="E44" s="3"/>
      <c r="F44" s="3"/>
      <c r="G44" s="3"/>
      <c r="H44" s="3"/>
      <c r="I44" s="3"/>
      <c r="J44" s="3"/>
      <c r="O44" s="3"/>
      <c r="P44" s="3"/>
      <c r="Q44" s="3"/>
      <c r="R44" s="3"/>
      <c r="S44" s="3"/>
      <c r="T44" s="3"/>
      <c r="U44" s="3"/>
      <c r="V44" s="3"/>
      <c r="W44" s="3"/>
      <c r="X44" s="3"/>
      <c r="Y44" s="3"/>
      <c r="Z44" s="3"/>
      <c r="AA44" s="3"/>
      <c r="AB44" s="3"/>
      <c r="AC44" s="3"/>
      <c r="AD44" s="3"/>
      <c r="AE44" s="3"/>
      <c r="AF44" s="3"/>
      <c r="AG44" s="3"/>
      <c r="AH44" s="3"/>
      <c r="AI44" s="3"/>
      <c r="AJ44" s="3"/>
      <c r="AK44" s="3"/>
    </row>
    <row r="45" spans="1:37" s="56" customFormat="1" x14ac:dyDescent="0.25">
      <c r="A45" s="57" t="str">
        <f t="shared" ref="A45:M45" si="50">A4</f>
        <v>Noms des groupes</v>
      </c>
      <c r="B45" s="57" t="str">
        <f t="shared" si="50"/>
        <v>Solvent control</v>
      </c>
      <c r="C45" s="57" t="str">
        <f t="shared" si="50"/>
        <v>EE2-33.8ng/L</v>
      </c>
      <c r="D45" s="57" t="str">
        <f t="shared" si="50"/>
        <v>EE2-50.6ng/L</v>
      </c>
      <c r="E45" s="57" t="str">
        <f t="shared" si="50"/>
        <v>EE2-76ng/L</v>
      </c>
      <c r="F45" s="57" t="str">
        <f t="shared" si="50"/>
        <v>EE2-114ng/L</v>
      </c>
      <c r="G45" s="57" t="str">
        <f t="shared" si="50"/>
        <v>EE2-170.9ng/L</v>
      </c>
      <c r="H45" s="57" t="str">
        <f t="shared" si="50"/>
        <v>EE2-488ng/L</v>
      </c>
      <c r="I45" s="57" t="str">
        <f t="shared" si="50"/>
        <v>Prochloraz-0.063mg/L</v>
      </c>
      <c r="J45" s="57" t="str">
        <f t="shared" si="50"/>
        <v>Prochloraz-0.13mg/L</v>
      </c>
      <c r="K45" s="57" t="str">
        <f t="shared" si="50"/>
        <v>Prochloraz-0.25mg/L</v>
      </c>
      <c r="L45" s="57" t="str">
        <f t="shared" si="50"/>
        <v>Prochloraz-0.5mg/L</v>
      </c>
      <c r="M45" s="57" t="str">
        <f t="shared" si="50"/>
        <v>Prochloraz-1.0mg/L</v>
      </c>
      <c r="N45" s="57"/>
      <c r="O45" s="57" t="str">
        <f t="shared" ref="O45:AD45" si="51">O4</f>
        <v>Testo -30µg/L</v>
      </c>
      <c r="P45" s="57" t="str">
        <f t="shared" si="51"/>
        <v>Testo 30µg/L + EE2 -64ng/L</v>
      </c>
      <c r="Q45" s="57" t="str">
        <f t="shared" si="51"/>
        <v>Testo 30µg/L + FAD-10mg/L</v>
      </c>
      <c r="R45" s="57" t="str">
        <f t="shared" si="51"/>
        <v>Prochloraz-0.063mg/L + Testostérone</v>
      </c>
      <c r="S45" s="57" t="str">
        <f t="shared" si="51"/>
        <v>Prochloraz-0.13mg/L + Testostérone</v>
      </c>
      <c r="T45" s="57" t="str">
        <f t="shared" si="51"/>
        <v>Prochloraz-0.25mg/L + Testostérone</v>
      </c>
      <c r="U45" s="57" t="str">
        <f t="shared" si="51"/>
        <v>Prochloraz-0.5mg/L + Testostérone</v>
      </c>
      <c r="V45" s="57" t="str">
        <f t="shared" si="51"/>
        <v>Prochloraz-1.0mg/L + Testostérone</v>
      </c>
      <c r="W45" s="57" t="str">
        <f t="shared" si="51"/>
        <v>0-00 + Testostérone</v>
      </c>
      <c r="X45" s="57" t="str">
        <f t="shared" si="51"/>
        <v>0-00 + Testostérone</v>
      </c>
      <c r="Y45" s="57" t="str">
        <f t="shared" si="51"/>
        <v>0-00 + Testostérone</v>
      </c>
      <c r="Z45" s="57" t="str">
        <f t="shared" si="51"/>
        <v>0-00 + Testostérone</v>
      </c>
      <c r="AA45" s="57" t="str">
        <f t="shared" si="51"/>
        <v>0-00 + Testostérone</v>
      </c>
      <c r="AB45" s="57" t="str">
        <f t="shared" si="51"/>
        <v>0-00 + Testostérone</v>
      </c>
      <c r="AC45" s="57" t="str">
        <f t="shared" si="51"/>
        <v>0-00 + Testostérone</v>
      </c>
      <c r="AD45" s="57" t="str">
        <f t="shared" si="51"/>
        <v>0-00 + Testostérone</v>
      </c>
      <c r="AE45" s="57" t="str">
        <f t="shared" ref="AE45:AK45" si="52">AE4</f>
        <v>0-00 + Testostérone</v>
      </c>
      <c r="AF45" s="57" t="str">
        <f t="shared" si="52"/>
        <v>0-00 + Testostérone</v>
      </c>
      <c r="AG45" s="57" t="str">
        <f t="shared" si="52"/>
        <v>0-00 + Testostérone</v>
      </c>
      <c r="AH45" s="57" t="str">
        <f t="shared" si="52"/>
        <v>0-00 + Testostérone</v>
      </c>
      <c r="AI45" s="57" t="str">
        <f t="shared" si="52"/>
        <v>0-00 + Testostérone</v>
      </c>
      <c r="AJ45" s="57" t="str">
        <f t="shared" si="52"/>
        <v>0-00 + Testostérone</v>
      </c>
      <c r="AK45" s="57" t="str">
        <f t="shared" si="52"/>
        <v>0-00 + Testostérone</v>
      </c>
    </row>
    <row r="46" spans="1:37" x14ac:dyDescent="0.25">
      <c r="A46" s="8" t="s">
        <v>0</v>
      </c>
      <c r="B46" s="10">
        <f t="shared" ref="B46:H46" si="53">AVERAGE(B28:B43)</f>
        <v>6.1925165756057552E-3</v>
      </c>
      <c r="C46" s="10">
        <f t="shared" si="53"/>
        <v>1.680417315551215E-2</v>
      </c>
      <c r="D46" s="10">
        <f t="shared" si="53"/>
        <v>1.7512093641637982E-2</v>
      </c>
      <c r="E46" s="10">
        <f t="shared" si="53"/>
        <v>0.50741452217665617</v>
      </c>
      <c r="F46" s="10">
        <f t="shared" si="53"/>
        <v>0.46068155478952139</v>
      </c>
      <c r="G46" s="10">
        <f t="shared" si="53"/>
        <v>1.542880521307334</v>
      </c>
      <c r="H46" s="10">
        <f t="shared" si="53"/>
        <v>2.0702312284872106</v>
      </c>
      <c r="I46" s="10">
        <f>AVERAGE(I28:I43)</f>
        <v>2.4458499566105012E-2</v>
      </c>
      <c r="J46" s="9">
        <f>AVERAGE(J28:J43)</f>
        <v>9.5359851918970177E-3</v>
      </c>
      <c r="K46" s="9">
        <f>AVERAGE(K28:K43)</f>
        <v>2.4802755271479335E-2</v>
      </c>
      <c r="L46" s="9">
        <f t="shared" ref="L46:M46" si="54">AVERAGE(L28:L43)</f>
        <v>2.24777523473489E-2</v>
      </c>
      <c r="M46" s="9">
        <f t="shared" si="54"/>
        <v>2.1999676174900284E-2</v>
      </c>
      <c r="N46" s="9"/>
      <c r="O46" s="10">
        <f>AVERAGE(O28:O43)</f>
        <v>0.99999999999999978</v>
      </c>
      <c r="P46" s="10">
        <f>AVERAGE(P28:P43)</f>
        <v>1.6561416699057692</v>
      </c>
      <c r="Q46" s="10">
        <f>AVERAGE(Q28:Q43)</f>
        <v>5.2721177906138736E-3</v>
      </c>
      <c r="R46" s="10">
        <f>AVERAGE(R28:R43)</f>
        <v>0.15371885545704028</v>
      </c>
      <c r="S46" s="10">
        <f t="shared" ref="S46:AD46" si="55">AVERAGE(S28:S43)</f>
        <v>2.9033933703706164E-2</v>
      </c>
      <c r="T46" s="10">
        <f t="shared" si="55"/>
        <v>3.9216547564748421E-3</v>
      </c>
      <c r="U46" s="10">
        <f t="shared" si="55"/>
        <v>8.1722422640788579E-5</v>
      </c>
      <c r="V46" s="10">
        <f t="shared" si="55"/>
        <v>6.090363547304768E-3</v>
      </c>
      <c r="W46" s="10" t="e">
        <f t="shared" si="55"/>
        <v>#DIV/0!</v>
      </c>
      <c r="X46" s="10" t="e">
        <f t="shared" si="55"/>
        <v>#DIV/0!</v>
      </c>
      <c r="Y46" s="10" t="e">
        <f t="shared" si="55"/>
        <v>#DIV/0!</v>
      </c>
      <c r="Z46" s="10" t="e">
        <f t="shared" si="55"/>
        <v>#DIV/0!</v>
      </c>
      <c r="AA46" s="10" t="e">
        <f t="shared" si="55"/>
        <v>#DIV/0!</v>
      </c>
      <c r="AB46" s="10" t="e">
        <f t="shared" si="55"/>
        <v>#DIV/0!</v>
      </c>
      <c r="AC46" s="10" t="e">
        <f t="shared" si="55"/>
        <v>#DIV/0!</v>
      </c>
      <c r="AD46" s="10" t="e">
        <f t="shared" si="55"/>
        <v>#DIV/0!</v>
      </c>
      <c r="AE46" s="10" t="e">
        <f t="shared" ref="AE46:AK46" si="56">AVERAGE(AE28:AE43)</f>
        <v>#DIV/0!</v>
      </c>
      <c r="AF46" s="10" t="e">
        <f t="shared" si="56"/>
        <v>#DIV/0!</v>
      </c>
      <c r="AG46" s="10" t="e">
        <f t="shared" si="56"/>
        <v>#DIV/0!</v>
      </c>
      <c r="AH46" s="10" t="e">
        <f t="shared" si="56"/>
        <v>#DIV/0!</v>
      </c>
      <c r="AI46" s="10" t="e">
        <f t="shared" si="56"/>
        <v>#DIV/0!</v>
      </c>
      <c r="AJ46" s="10" t="e">
        <f t="shared" si="56"/>
        <v>#DIV/0!</v>
      </c>
      <c r="AK46" s="10" t="e">
        <f t="shared" si="56"/>
        <v>#DIV/0!</v>
      </c>
    </row>
    <row r="47" spans="1:37" x14ac:dyDescent="0.25">
      <c r="A47" s="8" t="s">
        <v>1</v>
      </c>
      <c r="B47" s="8">
        <f t="shared" ref="B47:K47" si="57">STDEV(B28:B43)</f>
        <v>1.2574560001611678E-2</v>
      </c>
      <c r="C47" s="8">
        <f t="shared" si="57"/>
        <v>4.5677205598687917E-2</v>
      </c>
      <c r="D47" s="8">
        <f t="shared" si="57"/>
        <v>3.4557755601584673E-2</v>
      </c>
      <c r="E47" s="8">
        <f t="shared" si="57"/>
        <v>0.9379099233131446</v>
      </c>
      <c r="F47" s="8">
        <f t="shared" si="57"/>
        <v>0.56621103473171075</v>
      </c>
      <c r="G47" s="8">
        <f t="shared" si="57"/>
        <v>0.44965469731161772</v>
      </c>
      <c r="H47" s="8">
        <f t="shared" si="57"/>
        <v>0.51118311641444947</v>
      </c>
      <c r="I47" s="8">
        <f>STDEV(I28:I43)</f>
        <v>3.2708664192009837E-2</v>
      </c>
      <c r="J47" s="8">
        <f t="shared" si="57"/>
        <v>2.23386728499925E-2</v>
      </c>
      <c r="K47" s="8">
        <f t="shared" si="57"/>
        <v>5.2284610979774236E-2</v>
      </c>
      <c r="L47" s="8">
        <f t="shared" ref="L47:M47" si="58">STDEV(L28:L43)</f>
        <v>5.883935496124508E-2</v>
      </c>
      <c r="M47" s="8">
        <f t="shared" si="58"/>
        <v>3.5695519762918765E-2</v>
      </c>
      <c r="N47" s="8"/>
      <c r="O47" s="8">
        <f>STDEV(O28:O43)</f>
        <v>0.59343137483235386</v>
      </c>
      <c r="P47" s="8">
        <f>STDEV(P28:P43)</f>
        <v>0.35612656878921878</v>
      </c>
      <c r="Q47" s="8">
        <f>STDEV(Q28:Q43)</f>
        <v>1.2430037235216778E-2</v>
      </c>
      <c r="R47" s="8">
        <f>STDEV(R28:R43)</f>
        <v>0.21613663470426239</v>
      </c>
      <c r="S47" s="8">
        <f t="shared" ref="S47:AD47" si="59">STDEV(S28:S43)</f>
        <v>5.2563386098018625E-2</v>
      </c>
      <c r="T47" s="8">
        <f t="shared" si="59"/>
        <v>6.9357841038590919E-3</v>
      </c>
      <c r="U47" s="8">
        <f t="shared" si="59"/>
        <v>2.3114591689717864E-4</v>
      </c>
      <c r="V47" s="8">
        <f t="shared" si="59"/>
        <v>1.5634067762905924E-2</v>
      </c>
      <c r="W47" s="8" t="e">
        <f t="shared" si="59"/>
        <v>#DIV/0!</v>
      </c>
      <c r="X47" s="8" t="e">
        <f t="shared" si="59"/>
        <v>#DIV/0!</v>
      </c>
      <c r="Y47" s="8" t="e">
        <f t="shared" si="59"/>
        <v>#DIV/0!</v>
      </c>
      <c r="Z47" s="8" t="e">
        <f t="shared" si="59"/>
        <v>#DIV/0!</v>
      </c>
      <c r="AA47" s="8" t="e">
        <f t="shared" si="59"/>
        <v>#DIV/0!</v>
      </c>
      <c r="AB47" s="8" t="e">
        <f t="shared" si="59"/>
        <v>#DIV/0!</v>
      </c>
      <c r="AC47" s="8" t="e">
        <f t="shared" si="59"/>
        <v>#DIV/0!</v>
      </c>
      <c r="AD47" s="8" t="e">
        <f t="shared" si="59"/>
        <v>#DIV/0!</v>
      </c>
      <c r="AE47" s="8" t="e">
        <f t="shared" ref="AE47:AK47" si="60">STDEV(AE28:AE43)</f>
        <v>#DIV/0!</v>
      </c>
      <c r="AF47" s="8" t="e">
        <f t="shared" si="60"/>
        <v>#DIV/0!</v>
      </c>
      <c r="AG47" s="8" t="e">
        <f t="shared" si="60"/>
        <v>#DIV/0!</v>
      </c>
      <c r="AH47" s="8" t="e">
        <f t="shared" si="60"/>
        <v>#DIV/0!</v>
      </c>
      <c r="AI47" s="8" t="e">
        <f t="shared" si="60"/>
        <v>#DIV/0!</v>
      </c>
      <c r="AJ47" s="8" t="e">
        <f t="shared" si="60"/>
        <v>#DIV/0!</v>
      </c>
      <c r="AK47" s="8" t="e">
        <f t="shared" si="60"/>
        <v>#DIV/0!</v>
      </c>
    </row>
    <row r="48" spans="1:37" x14ac:dyDescent="0.25">
      <c r="A48" s="8" t="s">
        <v>2</v>
      </c>
      <c r="B48" s="8">
        <f t="shared" ref="B48:K48" si="61" xml:space="preserve"> B47/SQRT(COUNT(B28:B43))</f>
        <v>4.4457783237883703E-3</v>
      </c>
      <c r="C48" s="8">
        <f t="shared" si="61"/>
        <v>1.6149330912242178E-2</v>
      </c>
      <c r="D48" s="8">
        <f t="shared" si="61"/>
        <v>1.221801166423396E-2</v>
      </c>
      <c r="E48" s="8">
        <f t="shared" si="61"/>
        <v>0.33160123345843961</v>
      </c>
      <c r="F48" s="8">
        <f t="shared" si="61"/>
        <v>0.20018583112072222</v>
      </c>
      <c r="G48" s="8">
        <f t="shared" si="61"/>
        <v>0.15897694283071465</v>
      </c>
      <c r="H48" s="8">
        <f t="shared" si="61"/>
        <v>0.18073052402236478</v>
      </c>
      <c r="I48" s="8">
        <f xml:space="preserve"> I47/SQRT(COUNT(I28:I43))</f>
        <v>1.1564259126861881E-2</v>
      </c>
      <c r="J48" s="8">
        <f t="shared" si="61"/>
        <v>7.8979135274687574E-3</v>
      </c>
      <c r="K48" s="8">
        <f t="shared" si="61"/>
        <v>1.8485401487749489E-2</v>
      </c>
      <c r="L48" s="8">
        <f t="shared" ref="L48:M48" si="62" xml:space="preserve"> L47/SQRT(COUNT(L28:L43))</f>
        <v>2.0802853446869361E-2</v>
      </c>
      <c r="M48" s="8">
        <f t="shared" si="62"/>
        <v>1.2620272041169139E-2</v>
      </c>
      <c r="N48" s="8"/>
      <c r="O48" s="8">
        <f xml:space="preserve"> O47/SQRT(COUNT(O28:O43))</f>
        <v>0.14835784370808847</v>
      </c>
      <c r="P48" s="8">
        <f xml:space="preserve"> P47/SQRT(COUNT(P28:P43))</f>
        <v>0.12590975587577705</v>
      </c>
      <c r="Q48" s="8">
        <f xml:space="preserve"> Q47/SQRT(COUNT(Q28:Q43))</f>
        <v>4.394681809711534E-3</v>
      </c>
      <c r="R48" s="8">
        <f xml:space="preserve"> R47/SQRT(COUNT(R28:R43))</f>
        <v>7.6415840031111806E-2</v>
      </c>
      <c r="S48" s="8">
        <f t="shared" ref="S48:AD48" si="63" xml:space="preserve"> S47/SQRT(COUNT(S28:S43))</f>
        <v>1.8583963376017833E-2</v>
      </c>
      <c r="T48" s="8">
        <f t="shared" si="63"/>
        <v>2.4521699863423126E-3</v>
      </c>
      <c r="U48" s="8">
        <f t="shared" si="63"/>
        <v>8.1722422640788592E-5</v>
      </c>
      <c r="V48" s="8">
        <f t="shared" si="63"/>
        <v>5.5274776663403876E-3</v>
      </c>
      <c r="W48" s="8" t="e">
        <f t="shared" si="63"/>
        <v>#DIV/0!</v>
      </c>
      <c r="X48" s="8" t="e">
        <f t="shared" si="63"/>
        <v>#DIV/0!</v>
      </c>
      <c r="Y48" s="8" t="e">
        <f t="shared" si="63"/>
        <v>#DIV/0!</v>
      </c>
      <c r="Z48" s="8" t="e">
        <f t="shared" si="63"/>
        <v>#DIV/0!</v>
      </c>
      <c r="AA48" s="8" t="e">
        <f t="shared" si="63"/>
        <v>#DIV/0!</v>
      </c>
      <c r="AB48" s="8" t="e">
        <f t="shared" si="63"/>
        <v>#DIV/0!</v>
      </c>
      <c r="AC48" s="8" t="e">
        <f t="shared" si="63"/>
        <v>#DIV/0!</v>
      </c>
      <c r="AD48" s="8" t="e">
        <f t="shared" si="63"/>
        <v>#DIV/0!</v>
      </c>
      <c r="AE48" s="8" t="e">
        <f t="shared" ref="AE48:AK48" si="64" xml:space="preserve"> AE47/SQRT(COUNT(AE28:AE43))</f>
        <v>#DIV/0!</v>
      </c>
      <c r="AF48" s="8" t="e">
        <f t="shared" si="64"/>
        <v>#DIV/0!</v>
      </c>
      <c r="AG48" s="8" t="e">
        <f t="shared" si="64"/>
        <v>#DIV/0!</v>
      </c>
      <c r="AH48" s="8" t="e">
        <f t="shared" si="64"/>
        <v>#DIV/0!</v>
      </c>
      <c r="AI48" s="8" t="e">
        <f t="shared" si="64"/>
        <v>#DIV/0!</v>
      </c>
      <c r="AJ48" s="8" t="e">
        <f t="shared" si="64"/>
        <v>#DIV/0!</v>
      </c>
      <c r="AK48" s="8" t="e">
        <f t="shared" si="64"/>
        <v>#DIV/0!</v>
      </c>
    </row>
    <row r="49" spans="1:37" s="1" customFormat="1"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143" t="s">
        <v>19</v>
      </c>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c r="AC50" s="144"/>
      <c r="AD50" s="144"/>
      <c r="AE50" s="144"/>
      <c r="AF50" s="144"/>
      <c r="AG50" s="144"/>
      <c r="AH50" s="144"/>
      <c r="AI50" s="144"/>
      <c r="AJ50" s="144"/>
      <c r="AK50" s="145"/>
    </row>
    <row r="51" spans="1:37" ht="15.75" thickBot="1" x14ac:dyDescent="0.3">
      <c r="A51"/>
      <c r="B51"/>
      <c r="C51"/>
      <c r="D51"/>
      <c r="E51"/>
      <c r="F51"/>
      <c r="G51"/>
      <c r="H51"/>
      <c r="I51"/>
      <c r="J51"/>
      <c r="K51"/>
      <c r="L51"/>
      <c r="M51"/>
      <c r="S51"/>
      <c r="T51"/>
      <c r="U51"/>
      <c r="V51"/>
      <c r="W51"/>
      <c r="X51"/>
      <c r="Y51"/>
      <c r="Z51"/>
      <c r="AA51"/>
      <c r="AB51"/>
      <c r="AC51"/>
      <c r="AD51"/>
    </row>
    <row r="52" spans="1:37" x14ac:dyDescent="0.25">
      <c r="A52" s="29" t="str">
        <f t="shared" ref="A52:H52" si="65">A27</f>
        <v>Noms des groupes</v>
      </c>
      <c r="B52" s="30" t="str">
        <f t="shared" si="65"/>
        <v>Solvent control</v>
      </c>
      <c r="C52" s="30" t="str">
        <f t="shared" si="65"/>
        <v>EE2-33.8ng/L</v>
      </c>
      <c r="D52" s="30" t="str">
        <f t="shared" si="65"/>
        <v>EE2-50.6ng/L</v>
      </c>
      <c r="E52" s="30" t="str">
        <f t="shared" si="65"/>
        <v>EE2-76ng/L</v>
      </c>
      <c r="F52" s="30" t="str">
        <f t="shared" si="65"/>
        <v>EE2-114ng/L</v>
      </c>
      <c r="G52" s="30" t="str">
        <f t="shared" si="65"/>
        <v>EE2-170.9ng/L</v>
      </c>
      <c r="H52" s="30" t="str">
        <f t="shared" si="65"/>
        <v>EE2-488ng/L</v>
      </c>
      <c r="I52" s="30" t="str">
        <f>I4</f>
        <v>Prochloraz-0.063mg/L</v>
      </c>
      <c r="J52" s="30" t="str">
        <f>J4</f>
        <v>Prochloraz-0.13mg/L</v>
      </c>
      <c r="K52" s="30" t="str">
        <f>K27</f>
        <v>Prochloraz-0.25mg/L</v>
      </c>
      <c r="L52" s="30" t="str">
        <f t="shared" ref="L52:M52" si="66">L27</f>
        <v>Prochloraz-0.5mg/L</v>
      </c>
      <c r="M52" s="30" t="str">
        <f t="shared" si="66"/>
        <v>Prochloraz-1.0mg/L</v>
      </c>
      <c r="N52" s="30"/>
      <c r="O52" s="30" t="str">
        <f>O27</f>
        <v>Testo -30µg/L</v>
      </c>
      <c r="P52" s="30" t="str">
        <f>P27</f>
        <v>Testo 30µg/L + EE2 -64ng/L</v>
      </c>
      <c r="Q52" s="30" t="str">
        <f>Q27</f>
        <v>Testo 30µg/L + FAD-10mg/L</v>
      </c>
      <c r="R52" s="30" t="str">
        <f>R27</f>
        <v>Prochloraz-0.063mg/L + Testostérone</v>
      </c>
      <c r="S52" s="30" t="str">
        <f t="shared" ref="S52:AD52" si="67">S27</f>
        <v>Prochloraz-0.13mg/L + Testostérone</v>
      </c>
      <c r="T52" s="30" t="str">
        <f t="shared" si="67"/>
        <v>Prochloraz-0.25mg/L + Testostérone</v>
      </c>
      <c r="U52" s="30" t="str">
        <f t="shared" si="67"/>
        <v>Prochloraz-0.5mg/L + Testostérone</v>
      </c>
      <c r="V52" s="30" t="str">
        <f t="shared" si="67"/>
        <v>Prochloraz-1.0mg/L + Testostérone</v>
      </c>
      <c r="W52" s="30" t="str">
        <f t="shared" si="67"/>
        <v>0-00 + Testostérone</v>
      </c>
      <c r="X52" s="30" t="str">
        <f t="shared" si="67"/>
        <v>0-00 + Testostérone</v>
      </c>
      <c r="Y52" s="30" t="str">
        <f t="shared" si="67"/>
        <v>0-00 + Testostérone</v>
      </c>
      <c r="Z52" s="30" t="str">
        <f t="shared" si="67"/>
        <v>0-00 + Testostérone</v>
      </c>
      <c r="AA52" s="30" t="str">
        <f t="shared" si="67"/>
        <v>0-00 + Testostérone</v>
      </c>
      <c r="AB52" s="30" t="str">
        <f t="shared" si="67"/>
        <v>0-00 + Testostérone</v>
      </c>
      <c r="AC52" s="30" t="str">
        <f t="shared" si="67"/>
        <v>0-00 + Testostérone</v>
      </c>
      <c r="AD52" s="30" t="str">
        <f t="shared" si="67"/>
        <v>0-00 + Testostérone</v>
      </c>
      <c r="AE52" s="30" t="str">
        <f t="shared" ref="AE52:AK52" si="68">AE27</f>
        <v>0-00 + Testostérone</v>
      </c>
      <c r="AF52" s="30" t="str">
        <f t="shared" si="68"/>
        <v>0-00 + Testostérone</v>
      </c>
      <c r="AG52" s="30" t="str">
        <f t="shared" si="68"/>
        <v>0-00 + Testostérone</v>
      </c>
      <c r="AH52" s="30" t="str">
        <f t="shared" si="68"/>
        <v>0-00 + Testostérone</v>
      </c>
      <c r="AI52" s="30" t="str">
        <f t="shared" si="68"/>
        <v>0-00 + Testostérone</v>
      </c>
      <c r="AJ52" s="30" t="str">
        <f t="shared" si="68"/>
        <v>0-00 + Testostérone</v>
      </c>
      <c r="AK52" s="32" t="str">
        <f t="shared" si="68"/>
        <v>0-00 + Testostérone</v>
      </c>
    </row>
    <row r="53" spans="1:37" s="3" customFormat="1" x14ac:dyDescent="0.25">
      <c r="A53" s="49" t="s">
        <v>15</v>
      </c>
      <c r="B53" s="83">
        <f t="shared" ref="B53:M53" si="69">B46</f>
        <v>6.1925165756057552E-3</v>
      </c>
      <c r="C53" s="83">
        <f t="shared" si="69"/>
        <v>1.680417315551215E-2</v>
      </c>
      <c r="D53" s="83">
        <f t="shared" si="69"/>
        <v>1.7512093641637982E-2</v>
      </c>
      <c r="E53" s="83">
        <f t="shared" si="69"/>
        <v>0.50741452217665617</v>
      </c>
      <c r="F53" s="83">
        <f t="shared" si="69"/>
        <v>0.46068155478952139</v>
      </c>
      <c r="G53" s="83">
        <f t="shared" si="69"/>
        <v>1.542880521307334</v>
      </c>
      <c r="H53" s="83">
        <f t="shared" si="69"/>
        <v>2.0702312284872106</v>
      </c>
      <c r="I53" s="83">
        <f t="shared" si="69"/>
        <v>2.4458499566105012E-2</v>
      </c>
      <c r="J53" s="83">
        <f t="shared" si="69"/>
        <v>9.5359851918970177E-3</v>
      </c>
      <c r="K53" s="83">
        <f t="shared" si="69"/>
        <v>2.4802755271479335E-2</v>
      </c>
      <c r="L53" s="83">
        <f t="shared" si="69"/>
        <v>2.24777523473489E-2</v>
      </c>
      <c r="M53" s="83">
        <f t="shared" si="69"/>
        <v>2.1999676174900284E-2</v>
      </c>
      <c r="N53" s="83"/>
      <c r="O53" s="83">
        <f t="shared" ref="O53:AK53" si="70">O46</f>
        <v>0.99999999999999978</v>
      </c>
      <c r="P53" s="83">
        <f t="shared" si="70"/>
        <v>1.6561416699057692</v>
      </c>
      <c r="Q53" s="83">
        <f t="shared" si="70"/>
        <v>5.2721177906138736E-3</v>
      </c>
      <c r="R53" s="83">
        <f t="shared" si="70"/>
        <v>0.15371885545704028</v>
      </c>
      <c r="S53" s="83">
        <f t="shared" si="70"/>
        <v>2.9033933703706164E-2</v>
      </c>
      <c r="T53" s="83">
        <f t="shared" si="70"/>
        <v>3.9216547564748421E-3</v>
      </c>
      <c r="U53" s="83">
        <f t="shared" si="70"/>
        <v>8.1722422640788579E-5</v>
      </c>
      <c r="V53" s="83">
        <f t="shared" si="70"/>
        <v>6.090363547304768E-3</v>
      </c>
      <c r="W53" s="83" t="e">
        <f t="shared" si="70"/>
        <v>#DIV/0!</v>
      </c>
      <c r="X53" s="83" t="e">
        <f t="shared" si="70"/>
        <v>#DIV/0!</v>
      </c>
      <c r="Y53" s="83" t="e">
        <f t="shared" si="70"/>
        <v>#DIV/0!</v>
      </c>
      <c r="Z53" s="83" t="e">
        <f t="shared" si="70"/>
        <v>#DIV/0!</v>
      </c>
      <c r="AA53" s="83" t="e">
        <f t="shared" si="70"/>
        <v>#DIV/0!</v>
      </c>
      <c r="AB53" s="83" t="e">
        <f t="shared" si="70"/>
        <v>#DIV/0!</v>
      </c>
      <c r="AC53" s="83" t="e">
        <f t="shared" si="70"/>
        <v>#DIV/0!</v>
      </c>
      <c r="AD53" s="83" t="e">
        <f t="shared" si="70"/>
        <v>#DIV/0!</v>
      </c>
      <c r="AE53" s="83" t="e">
        <f t="shared" si="70"/>
        <v>#DIV/0!</v>
      </c>
      <c r="AF53" s="83" t="e">
        <f t="shared" si="70"/>
        <v>#DIV/0!</v>
      </c>
      <c r="AG53" s="83" t="e">
        <f t="shared" si="70"/>
        <v>#DIV/0!</v>
      </c>
      <c r="AH53" s="83" t="e">
        <f t="shared" si="70"/>
        <v>#DIV/0!</v>
      </c>
      <c r="AI53" s="83" t="e">
        <f t="shared" si="70"/>
        <v>#DIV/0!</v>
      </c>
      <c r="AJ53" s="83" t="e">
        <f t="shared" si="70"/>
        <v>#DIV/0!</v>
      </c>
      <c r="AK53" s="83" t="e">
        <f t="shared" si="70"/>
        <v>#DIV/0!</v>
      </c>
    </row>
    <row r="54" spans="1:37" s="3" customFormat="1" x14ac:dyDescent="0.25">
      <c r="A54" s="49" t="s">
        <v>2</v>
      </c>
      <c r="B54" s="83">
        <f t="shared" ref="B54:M54" si="71">B48</f>
        <v>4.4457783237883703E-3</v>
      </c>
      <c r="C54" s="83">
        <f t="shared" si="71"/>
        <v>1.6149330912242178E-2</v>
      </c>
      <c r="D54" s="83">
        <f t="shared" si="71"/>
        <v>1.221801166423396E-2</v>
      </c>
      <c r="E54" s="83">
        <f t="shared" si="71"/>
        <v>0.33160123345843961</v>
      </c>
      <c r="F54" s="83">
        <f t="shared" si="71"/>
        <v>0.20018583112072222</v>
      </c>
      <c r="G54" s="83">
        <f t="shared" si="71"/>
        <v>0.15897694283071465</v>
      </c>
      <c r="H54" s="83">
        <f t="shared" si="71"/>
        <v>0.18073052402236478</v>
      </c>
      <c r="I54" s="83">
        <f t="shared" si="71"/>
        <v>1.1564259126861881E-2</v>
      </c>
      <c r="J54" s="83">
        <f t="shared" si="71"/>
        <v>7.8979135274687574E-3</v>
      </c>
      <c r="K54" s="83">
        <f t="shared" si="71"/>
        <v>1.8485401487749489E-2</v>
      </c>
      <c r="L54" s="83">
        <f t="shared" si="71"/>
        <v>2.0802853446869361E-2</v>
      </c>
      <c r="M54" s="83">
        <f t="shared" si="71"/>
        <v>1.2620272041169139E-2</v>
      </c>
      <c r="N54" s="83"/>
      <c r="O54" s="83">
        <f t="shared" ref="O54:AK54" si="72">O48</f>
        <v>0.14835784370808847</v>
      </c>
      <c r="P54" s="83">
        <f t="shared" si="72"/>
        <v>0.12590975587577705</v>
      </c>
      <c r="Q54" s="83">
        <f t="shared" si="72"/>
        <v>4.394681809711534E-3</v>
      </c>
      <c r="R54" s="83">
        <f t="shared" si="72"/>
        <v>7.6415840031111806E-2</v>
      </c>
      <c r="S54" s="83">
        <f t="shared" si="72"/>
        <v>1.8583963376017833E-2</v>
      </c>
      <c r="T54" s="83">
        <f t="shared" si="72"/>
        <v>2.4521699863423126E-3</v>
      </c>
      <c r="U54" s="83">
        <f t="shared" si="72"/>
        <v>8.1722422640788592E-5</v>
      </c>
      <c r="V54" s="83">
        <f t="shared" si="72"/>
        <v>5.5274776663403876E-3</v>
      </c>
      <c r="W54" s="83" t="e">
        <f t="shared" si="72"/>
        <v>#DIV/0!</v>
      </c>
      <c r="X54" s="83" t="e">
        <f t="shared" si="72"/>
        <v>#DIV/0!</v>
      </c>
      <c r="Y54" s="83" t="e">
        <f t="shared" si="72"/>
        <v>#DIV/0!</v>
      </c>
      <c r="Z54" s="83" t="e">
        <f t="shared" si="72"/>
        <v>#DIV/0!</v>
      </c>
      <c r="AA54" s="83" t="e">
        <f t="shared" si="72"/>
        <v>#DIV/0!</v>
      </c>
      <c r="AB54" s="83" t="e">
        <f t="shared" si="72"/>
        <v>#DIV/0!</v>
      </c>
      <c r="AC54" s="83" t="e">
        <f t="shared" si="72"/>
        <v>#DIV/0!</v>
      </c>
      <c r="AD54" s="83" t="e">
        <f t="shared" si="72"/>
        <v>#DIV/0!</v>
      </c>
      <c r="AE54" s="83" t="e">
        <f t="shared" si="72"/>
        <v>#DIV/0!</v>
      </c>
      <c r="AF54" s="83" t="e">
        <f t="shared" si="72"/>
        <v>#DIV/0!</v>
      </c>
      <c r="AG54" s="83" t="e">
        <f t="shared" si="72"/>
        <v>#DIV/0!</v>
      </c>
      <c r="AH54" s="83" t="e">
        <f t="shared" si="72"/>
        <v>#DIV/0!</v>
      </c>
      <c r="AI54" s="83" t="e">
        <f t="shared" si="72"/>
        <v>#DIV/0!</v>
      </c>
      <c r="AJ54" s="83" t="e">
        <f t="shared" si="72"/>
        <v>#DIV/0!</v>
      </c>
      <c r="AK54" s="83" t="e">
        <f t="shared" si="72"/>
        <v>#DIV/0!</v>
      </c>
    </row>
    <row r="55" spans="1:37" s="3" customFormat="1" x14ac:dyDescent="0.25">
      <c r="A55" s="49" t="s">
        <v>42</v>
      </c>
      <c r="B55" s="83">
        <f t="shared" ref="B55:M55" si="73">(B53*100/$B$53)-100</f>
        <v>0</v>
      </c>
      <c r="C55" s="83">
        <f t="shared" si="73"/>
        <v>171.36258660508076</v>
      </c>
      <c r="D55" s="83">
        <f t="shared" si="73"/>
        <v>182.79445727482675</v>
      </c>
      <c r="E55" s="83">
        <f t="shared" si="73"/>
        <v>8093.9953810623538</v>
      </c>
      <c r="F55" s="83">
        <f t="shared" si="73"/>
        <v>7339.3269548003955</v>
      </c>
      <c r="G55" s="83">
        <f t="shared" si="73"/>
        <v>24815.242494226328</v>
      </c>
      <c r="H55" s="83">
        <f t="shared" si="73"/>
        <v>33331.177829099302</v>
      </c>
      <c r="I55" s="83">
        <f t="shared" si="73"/>
        <v>294.96865720884188</v>
      </c>
      <c r="J55" s="83">
        <f t="shared" si="73"/>
        <v>53.992081821181102</v>
      </c>
      <c r="K55" s="83">
        <f t="shared" si="73"/>
        <v>300.52787858792476</v>
      </c>
      <c r="L55" s="83">
        <f t="shared" si="73"/>
        <v>262.98251402177499</v>
      </c>
      <c r="M55" s="83">
        <f t="shared" si="73"/>
        <v>255.26228967337505</v>
      </c>
      <c r="N55" s="83"/>
      <c r="O55" s="83">
        <f>(O53*100/$O$53)-100</f>
        <v>0</v>
      </c>
      <c r="P55" s="83">
        <f t="shared" ref="P55:AK55" si="74">(P53*100/$O$53)-100</f>
        <v>65.614166990576933</v>
      </c>
      <c r="Q55" s="83">
        <f t="shared" si="74"/>
        <v>-99.472788220938611</v>
      </c>
      <c r="R55" s="83">
        <f t="shared" si="74"/>
        <v>-84.628114454295968</v>
      </c>
      <c r="S55" s="83">
        <f t="shared" si="74"/>
        <v>-97.096606629629377</v>
      </c>
      <c r="T55" s="83">
        <f t="shared" si="74"/>
        <v>-99.607834524352512</v>
      </c>
      <c r="U55" s="83">
        <f t="shared" si="74"/>
        <v>-99.991827757735919</v>
      </c>
      <c r="V55" s="83">
        <f t="shared" si="74"/>
        <v>-99.390963645269522</v>
      </c>
      <c r="W55" s="83" t="e">
        <f t="shared" si="74"/>
        <v>#DIV/0!</v>
      </c>
      <c r="X55" s="83" t="e">
        <f t="shared" si="74"/>
        <v>#DIV/0!</v>
      </c>
      <c r="Y55" s="83" t="e">
        <f t="shared" si="74"/>
        <v>#DIV/0!</v>
      </c>
      <c r="Z55" s="83" t="e">
        <f t="shared" si="74"/>
        <v>#DIV/0!</v>
      </c>
      <c r="AA55" s="83" t="e">
        <f t="shared" si="74"/>
        <v>#DIV/0!</v>
      </c>
      <c r="AB55" s="83" t="e">
        <f t="shared" si="74"/>
        <v>#DIV/0!</v>
      </c>
      <c r="AC55" s="83" t="e">
        <f t="shared" si="74"/>
        <v>#DIV/0!</v>
      </c>
      <c r="AD55" s="83" t="e">
        <f t="shared" si="74"/>
        <v>#DIV/0!</v>
      </c>
      <c r="AE55" s="83" t="e">
        <f t="shared" si="74"/>
        <v>#DIV/0!</v>
      </c>
      <c r="AF55" s="83" t="e">
        <f t="shared" si="74"/>
        <v>#DIV/0!</v>
      </c>
      <c r="AG55" s="83" t="e">
        <f t="shared" si="74"/>
        <v>#DIV/0!</v>
      </c>
      <c r="AH55" s="83" t="e">
        <f t="shared" si="74"/>
        <v>#DIV/0!</v>
      </c>
      <c r="AI55" s="83" t="e">
        <f t="shared" si="74"/>
        <v>#DIV/0!</v>
      </c>
      <c r="AJ55" s="83" t="e">
        <f t="shared" si="74"/>
        <v>#DIV/0!</v>
      </c>
      <c r="AK55" s="83" t="e">
        <f t="shared" si="74"/>
        <v>#DIV/0!</v>
      </c>
    </row>
    <row r="56" spans="1:37" s="3" customFormat="1" x14ac:dyDescent="0.25">
      <c r="A56" s="49" t="s">
        <v>43</v>
      </c>
      <c r="B56" s="83" t="e">
        <f ca="1">[1]!SWTEST(B28:B43)</f>
        <v>#NAME?</v>
      </c>
      <c r="C56" s="83" t="e">
        <f ca="1">[1]!SWTEST(C28:C43)</f>
        <v>#NAME?</v>
      </c>
      <c r="D56" s="83" t="e">
        <f ca="1">[1]!SWTEST(D28:D43)</f>
        <v>#NAME?</v>
      </c>
      <c r="E56" s="83" t="e">
        <f ca="1">[1]!SWTEST(E28:E43)</f>
        <v>#NAME?</v>
      </c>
      <c r="F56" s="83" t="e">
        <f ca="1">[1]!SWTEST(F28:F43)</f>
        <v>#NAME?</v>
      </c>
      <c r="G56" s="83" t="e">
        <f ca="1">[1]!SWTEST(G28:G43)</f>
        <v>#NAME?</v>
      </c>
      <c r="H56" s="83" t="e">
        <f ca="1">[1]!SWTEST(H28:H43)</f>
        <v>#NAME?</v>
      </c>
      <c r="I56" s="83" t="e">
        <f ca="1">[1]!SWTEST(I28:I43)</f>
        <v>#NAME?</v>
      </c>
      <c r="J56" s="83" t="e">
        <f ca="1">[1]!SWTEST(J28:J43)</f>
        <v>#NAME?</v>
      </c>
      <c r="K56" s="83" t="e">
        <f ca="1">[1]!SWTEST(K28:K43)</f>
        <v>#NAME?</v>
      </c>
      <c r="L56" s="83" t="e">
        <f ca="1">[1]!SWTEST(L28:L43)</f>
        <v>#NAME?</v>
      </c>
      <c r="M56" s="83" t="e">
        <f ca="1">[1]!SWTEST(M28:M43)</f>
        <v>#NAME?</v>
      </c>
      <c r="N56" s="83"/>
      <c r="O56" s="83" t="e">
        <f ca="1">[1]!SWTEST(O28:O43)</f>
        <v>#NAME?</v>
      </c>
      <c r="P56" s="83" t="e">
        <f ca="1">[1]!SWTEST(P28:P43)</f>
        <v>#NAME?</v>
      </c>
      <c r="Q56" s="83" t="e">
        <f ca="1">[1]!SWTEST(Q28:Q43)</f>
        <v>#NAME?</v>
      </c>
      <c r="R56" s="83" t="e">
        <f ca="1">[1]!SWTEST(R28:R43)</f>
        <v>#NAME?</v>
      </c>
      <c r="S56" s="83" t="e">
        <f ca="1">[1]!SWTEST(S28:S43)</f>
        <v>#NAME?</v>
      </c>
      <c r="T56" s="83" t="e">
        <f ca="1">[1]!SWTEST(T28:T43)</f>
        <v>#NAME?</v>
      </c>
      <c r="U56" s="83" t="e">
        <f ca="1">[1]!SWTEST(U28:U43)</f>
        <v>#NAME?</v>
      </c>
      <c r="V56" s="83" t="e">
        <f ca="1">[1]!SWTEST(V28:V43)</f>
        <v>#NAME?</v>
      </c>
      <c r="W56" s="83" t="e">
        <f ca="1">[1]!SWTEST(W28:W43)</f>
        <v>#NAME?</v>
      </c>
      <c r="X56" s="83" t="e">
        <f ca="1">[1]!SWTEST(X28:X43)</f>
        <v>#NAME?</v>
      </c>
      <c r="Y56" s="83" t="e">
        <f ca="1">[1]!SWTEST(Y28:Y43)</f>
        <v>#NAME?</v>
      </c>
      <c r="Z56" s="83" t="e">
        <f ca="1">[1]!SWTEST(Z28:Z43)</f>
        <v>#NAME?</v>
      </c>
      <c r="AA56" s="83" t="e">
        <f ca="1">[1]!SWTEST(AA28:AA43)</f>
        <v>#NAME?</v>
      </c>
      <c r="AB56" s="83" t="e">
        <f ca="1">[1]!SWTEST(AB28:AB43)</f>
        <v>#NAME?</v>
      </c>
      <c r="AC56" s="83" t="e">
        <f ca="1">[1]!SWTEST(AC28:AC43)</f>
        <v>#NAME?</v>
      </c>
      <c r="AD56" s="83" t="e">
        <f ca="1">[1]!SWTEST(AD28:AD43)</f>
        <v>#NAME?</v>
      </c>
      <c r="AE56" s="83" t="e">
        <f ca="1">[1]!SWTEST(AE28:AE43)</f>
        <v>#NAME?</v>
      </c>
      <c r="AF56" s="83" t="e">
        <f ca="1">[1]!SWTEST(AF28:AF43)</f>
        <v>#NAME?</v>
      </c>
      <c r="AG56" s="83" t="e">
        <f ca="1">[1]!SWTEST(AG28:AG43)</f>
        <v>#NAME?</v>
      </c>
      <c r="AH56" s="83" t="e">
        <f ca="1">[1]!SWTEST(AH28:AH43)</f>
        <v>#NAME?</v>
      </c>
      <c r="AI56" s="83" t="e">
        <f ca="1">[1]!SWTEST(AI28:AI43)</f>
        <v>#NAME?</v>
      </c>
      <c r="AJ56" s="83" t="e">
        <f ca="1">[1]!SWTEST(AJ28:AJ43)</f>
        <v>#NAME?</v>
      </c>
      <c r="AK56" s="83" t="e">
        <f ca="1">[1]!SWTEST(AK28:AK43)</f>
        <v>#NAME?</v>
      </c>
    </row>
    <row r="57" spans="1:37" s="3" customFormat="1" x14ac:dyDescent="0.25">
      <c r="A57" s="49" t="s">
        <v>47</v>
      </c>
      <c r="B57" s="83" t="e">
        <f t="shared" ref="B57:M57" ca="1" si="75">IF(B56&gt;0.05,"Oui","Non")</f>
        <v>#NAME?</v>
      </c>
      <c r="C57" s="83" t="e">
        <f t="shared" ca="1" si="75"/>
        <v>#NAME?</v>
      </c>
      <c r="D57" s="83" t="e">
        <f t="shared" ca="1" si="75"/>
        <v>#NAME?</v>
      </c>
      <c r="E57" s="83" t="e">
        <f t="shared" ca="1" si="75"/>
        <v>#NAME?</v>
      </c>
      <c r="F57" s="83" t="e">
        <f t="shared" ca="1" si="75"/>
        <v>#NAME?</v>
      </c>
      <c r="G57" s="83" t="e">
        <f t="shared" ca="1" si="75"/>
        <v>#NAME?</v>
      </c>
      <c r="H57" s="83" t="e">
        <f t="shared" ca="1" si="75"/>
        <v>#NAME?</v>
      </c>
      <c r="I57" s="83" t="e">
        <f t="shared" ca="1" si="75"/>
        <v>#NAME?</v>
      </c>
      <c r="J57" s="83" t="e">
        <f t="shared" ca="1" si="75"/>
        <v>#NAME?</v>
      </c>
      <c r="K57" s="83" t="e">
        <f t="shared" ca="1" si="75"/>
        <v>#NAME?</v>
      </c>
      <c r="L57" s="83" t="e">
        <f t="shared" ca="1" si="75"/>
        <v>#NAME?</v>
      </c>
      <c r="M57" s="83" t="e">
        <f t="shared" ca="1" si="75"/>
        <v>#NAME?</v>
      </c>
      <c r="N57" s="83"/>
      <c r="O57" s="83" t="e">
        <f t="shared" ref="O57:AK57" ca="1" si="76">IF(O56&gt;0.05,"Oui","Non")</f>
        <v>#NAME?</v>
      </c>
      <c r="P57" s="83" t="e">
        <f t="shared" ca="1" si="76"/>
        <v>#NAME?</v>
      </c>
      <c r="Q57" s="83" t="e">
        <f t="shared" ca="1" si="76"/>
        <v>#NAME?</v>
      </c>
      <c r="R57" s="83" t="e">
        <f t="shared" ca="1" si="76"/>
        <v>#NAME?</v>
      </c>
      <c r="S57" s="83" t="e">
        <f t="shared" ca="1" si="76"/>
        <v>#NAME?</v>
      </c>
      <c r="T57" s="83" t="e">
        <f t="shared" ca="1" si="76"/>
        <v>#NAME?</v>
      </c>
      <c r="U57" s="83" t="e">
        <f t="shared" ca="1" si="76"/>
        <v>#NAME?</v>
      </c>
      <c r="V57" s="83" t="e">
        <f t="shared" ca="1" si="76"/>
        <v>#NAME?</v>
      </c>
      <c r="W57" s="83" t="e">
        <f t="shared" ca="1" si="76"/>
        <v>#NAME?</v>
      </c>
      <c r="X57" s="83" t="e">
        <f t="shared" ca="1" si="76"/>
        <v>#NAME?</v>
      </c>
      <c r="Y57" s="83" t="e">
        <f t="shared" ca="1" si="76"/>
        <v>#NAME?</v>
      </c>
      <c r="Z57" s="83" t="e">
        <f t="shared" ca="1" si="76"/>
        <v>#NAME?</v>
      </c>
      <c r="AA57" s="83" t="e">
        <f t="shared" ca="1" si="76"/>
        <v>#NAME?</v>
      </c>
      <c r="AB57" s="83" t="e">
        <f t="shared" ca="1" si="76"/>
        <v>#NAME?</v>
      </c>
      <c r="AC57" s="83" t="e">
        <f t="shared" ca="1" si="76"/>
        <v>#NAME?</v>
      </c>
      <c r="AD57" s="83" t="e">
        <f t="shared" ca="1" si="76"/>
        <v>#NAME?</v>
      </c>
      <c r="AE57" s="83" t="e">
        <f t="shared" ca="1" si="76"/>
        <v>#NAME?</v>
      </c>
      <c r="AF57" s="83" t="e">
        <f t="shared" ca="1" si="76"/>
        <v>#NAME?</v>
      </c>
      <c r="AG57" s="83" t="e">
        <f t="shared" ca="1" si="76"/>
        <v>#NAME?</v>
      </c>
      <c r="AH57" s="83" t="e">
        <f t="shared" ca="1" si="76"/>
        <v>#NAME?</v>
      </c>
      <c r="AI57" s="83" t="e">
        <f t="shared" ca="1" si="76"/>
        <v>#NAME?</v>
      </c>
      <c r="AJ57" s="83" t="e">
        <f t="shared" ca="1" si="76"/>
        <v>#NAME?</v>
      </c>
      <c r="AK57" s="83" t="e">
        <f t="shared" ca="1" si="76"/>
        <v>#NAME?</v>
      </c>
    </row>
    <row r="58" spans="1:37" s="3" customFormat="1" x14ac:dyDescent="0.25">
      <c r="A58" s="49"/>
      <c r="B58" s="83"/>
      <c r="C58" s="83"/>
      <c r="D58" s="83"/>
      <c r="E58" s="83"/>
      <c r="F58" s="83"/>
      <c r="G58" s="83"/>
      <c r="H58" s="83"/>
      <c r="I58" s="83"/>
      <c r="J58" s="83"/>
      <c r="K58" s="83"/>
      <c r="L58" s="83"/>
      <c r="M58" s="83"/>
      <c r="N58" s="86"/>
      <c r="O58" s="86"/>
      <c r="P58" s="83"/>
      <c r="Q58" s="83"/>
      <c r="R58" s="83"/>
      <c r="S58" s="83"/>
      <c r="T58" s="83"/>
      <c r="U58" s="83"/>
      <c r="V58" s="83"/>
      <c r="W58" s="83"/>
      <c r="X58" s="83"/>
      <c r="Y58" s="83"/>
      <c r="Z58" s="83"/>
      <c r="AA58" s="83"/>
      <c r="AB58" s="83"/>
      <c r="AC58" s="83"/>
      <c r="AD58" s="83"/>
      <c r="AE58" s="87"/>
      <c r="AF58" s="87"/>
      <c r="AG58" s="87"/>
      <c r="AH58" s="87"/>
      <c r="AI58" s="87"/>
      <c r="AJ58" s="87"/>
      <c r="AK58" s="88"/>
    </row>
    <row r="59" spans="1:37" s="3" customFormat="1" x14ac:dyDescent="0.25">
      <c r="A59" s="49" t="s">
        <v>44</v>
      </c>
      <c r="B59" s="89"/>
      <c r="C59" s="89" t="e">
        <f t="shared" ref="C59:M59" ca="1" si="77">IF($B57="Non",IF(C$57="Non","Mann Withney",IF(C$57="Oui","Mann Withney","")),IF($B$57="Oui",IF(C$57="Oui","T-Test Welch",IF(C$57="Non","Mann Withney",""))))</f>
        <v>#NAME?</v>
      </c>
      <c r="D59" s="89" t="e">
        <f t="shared" ca="1" si="77"/>
        <v>#NAME?</v>
      </c>
      <c r="E59" s="89" t="e">
        <f t="shared" ca="1" si="77"/>
        <v>#NAME?</v>
      </c>
      <c r="F59" s="89" t="e">
        <f t="shared" ca="1" si="77"/>
        <v>#NAME?</v>
      </c>
      <c r="G59" s="89" t="e">
        <f t="shared" ca="1" si="77"/>
        <v>#NAME?</v>
      </c>
      <c r="H59" s="89" t="e">
        <f t="shared" ca="1" si="77"/>
        <v>#NAME?</v>
      </c>
      <c r="I59" s="89" t="e">
        <f t="shared" ca="1" si="77"/>
        <v>#NAME?</v>
      </c>
      <c r="J59" s="89" t="e">
        <f t="shared" ca="1" si="77"/>
        <v>#NAME?</v>
      </c>
      <c r="K59" s="89" t="e">
        <f t="shared" ca="1" si="77"/>
        <v>#NAME?</v>
      </c>
      <c r="L59" s="89" t="e">
        <f t="shared" ca="1" si="77"/>
        <v>#NAME?</v>
      </c>
      <c r="M59" s="89" t="e">
        <f t="shared" ca="1" si="77"/>
        <v>#NAME?</v>
      </c>
      <c r="N59" s="89"/>
      <c r="O59" s="89" t="e">
        <f ca="1">IF($B57="Non",IF(O$57="Non","Mann Withney",IF(O$57="Oui","Mann Withney","")),IF($B$57="Oui",IF(O$57="Oui","T-Test Welch",IF(O$57="Non","Mann Withney",""))))</f>
        <v>#NAME?</v>
      </c>
      <c r="P59" s="89" t="e">
        <f ca="1">IF($O57="Non",IF(P$57="Non","Mann Withney",IF(P$57="Oui","Mann Withney","")),IF($O$57="Oui",IF(P$57="Oui","T-Test Welch",IF(P$57="Non","Mann Withney",""))))</f>
        <v>#NAME?</v>
      </c>
      <c r="Q59" s="89" t="e">
        <f t="shared" ref="Q59:AK59" ca="1" si="78">IF($O57="Non",IF(Q$57="Non","Mann Withney",IF(Q$57="Oui","Mann Withney","")),IF($O$57="Oui",IF(Q$57="Oui","T-Test Welch",IF(Q$57="Non","Mann Withney",""))))</f>
        <v>#NAME?</v>
      </c>
      <c r="R59" s="89" t="e">
        <f t="shared" ca="1" si="78"/>
        <v>#NAME?</v>
      </c>
      <c r="S59" s="89" t="e">
        <f t="shared" ca="1" si="78"/>
        <v>#NAME?</v>
      </c>
      <c r="T59" s="89" t="e">
        <f t="shared" ca="1" si="78"/>
        <v>#NAME?</v>
      </c>
      <c r="U59" s="89" t="e">
        <f t="shared" ca="1" si="78"/>
        <v>#NAME?</v>
      </c>
      <c r="V59" s="89" t="e">
        <f t="shared" ca="1" si="78"/>
        <v>#NAME?</v>
      </c>
      <c r="W59" s="89" t="e">
        <f t="shared" ca="1" si="78"/>
        <v>#NAME?</v>
      </c>
      <c r="X59" s="89" t="e">
        <f t="shared" ca="1" si="78"/>
        <v>#NAME?</v>
      </c>
      <c r="Y59" s="89" t="e">
        <f t="shared" ca="1" si="78"/>
        <v>#NAME?</v>
      </c>
      <c r="Z59" s="89" t="e">
        <f t="shared" ca="1" si="78"/>
        <v>#NAME?</v>
      </c>
      <c r="AA59" s="89" t="e">
        <f t="shared" ca="1" si="78"/>
        <v>#NAME?</v>
      </c>
      <c r="AB59" s="89" t="e">
        <f t="shared" ca="1" si="78"/>
        <v>#NAME?</v>
      </c>
      <c r="AC59" s="89" t="e">
        <f t="shared" ca="1" si="78"/>
        <v>#NAME?</v>
      </c>
      <c r="AD59" s="89" t="e">
        <f t="shared" ca="1" si="78"/>
        <v>#NAME?</v>
      </c>
      <c r="AE59" s="89" t="e">
        <f t="shared" ca="1" si="78"/>
        <v>#NAME?</v>
      </c>
      <c r="AF59" s="89" t="e">
        <f t="shared" ca="1" si="78"/>
        <v>#NAME?</v>
      </c>
      <c r="AG59" s="89" t="e">
        <f t="shared" ca="1" si="78"/>
        <v>#NAME?</v>
      </c>
      <c r="AH59" s="89" t="e">
        <f t="shared" ca="1" si="78"/>
        <v>#NAME?</v>
      </c>
      <c r="AI59" s="89" t="e">
        <f t="shared" ca="1" si="78"/>
        <v>#NAME?</v>
      </c>
      <c r="AJ59" s="89" t="e">
        <f t="shared" ca="1" si="78"/>
        <v>#NAME?</v>
      </c>
      <c r="AK59" s="89" t="e">
        <f t="shared" ca="1" si="78"/>
        <v>#NAME?</v>
      </c>
    </row>
    <row r="60" spans="1:37" s="3" customFormat="1" x14ac:dyDescent="0.25">
      <c r="A60" s="49" t="s">
        <v>45</v>
      </c>
      <c r="B60" s="90"/>
      <c r="C60" s="90" t="e">
        <f ca="1">IF(C59="Mann Withney",[1]!MTEST($B28:$B43,C28:C43,2), IF(C59="T-Test Welch",_xlfn.T.TEST($B28:$B43,C28:C43,2,3),""))</f>
        <v>#NAME?</v>
      </c>
      <c r="D60" s="90" t="e">
        <f ca="1">IF(D59="Mann Withney",[1]!MTEST($B28:$B43,D28:D43,2), IF(D59="T-Test Welch",_xlfn.T.TEST($B28:$B43,D28:D43,2,3),""))</f>
        <v>#NAME?</v>
      </c>
      <c r="E60" s="90" t="e">
        <f ca="1">IF(E59="Mann Withney",[1]!MTEST($B28:$B43,E28:E43,2), IF(E59="T-Test Welch",_xlfn.T.TEST($B28:$B43,E28:E43,2,3),""))</f>
        <v>#NAME?</v>
      </c>
      <c r="F60" s="90" t="e">
        <f ca="1">IF(F59="Mann Withney",[1]!MTEST($B28:$B43,F28:F43,2), IF(F59="T-Test Welch",_xlfn.T.TEST($B28:$B43,F28:F43,2,3),""))</f>
        <v>#NAME?</v>
      </c>
      <c r="G60" s="90" t="e">
        <f ca="1">IF(G59="Mann Withney",[1]!MTEST($B28:$B43,G28:G43,2), IF(G59="T-Test Welch",_xlfn.T.TEST($B28:$B43,G28:G43,2,3),""))</f>
        <v>#NAME?</v>
      </c>
      <c r="H60" s="90" t="e">
        <f ca="1">IF(H59="Mann Withney",[1]!MTEST($B28:$B43,H28:H43,2), IF(H59="T-Test Welch",_xlfn.T.TEST($B28:$B43,H28:H43,2,3),""))</f>
        <v>#NAME?</v>
      </c>
      <c r="I60" s="90" t="e">
        <f ca="1">IF(I59="Mann Withney",[1]!MTEST($B28:$B43,I28:I43,2), IF(I59="T-Test Welch",_xlfn.T.TEST($B28:$B43,I28:I43,2,3),""))</f>
        <v>#NAME?</v>
      </c>
      <c r="J60" s="90" t="e">
        <f ca="1">IF(J59="Mann Withney",[1]!MTEST($B28:$B43,J28:J43,2), IF(J59="T-Test Welch",_xlfn.T.TEST($B28:$B43,J28:J43,2,3),""))</f>
        <v>#NAME?</v>
      </c>
      <c r="K60" s="90" t="e">
        <f ca="1">IF(K59="Mann Withney",[1]!MTEST($B28:$B43,K28:K43,2), IF(K59="T-Test Welch",_xlfn.T.TEST($B28:$B43,K28:K43,2,3),""))</f>
        <v>#NAME?</v>
      </c>
      <c r="L60" s="90" t="e">
        <f ca="1">IF(L59="Mann Withney",[1]!MTEST($B28:$B43,L28:L43,2), IF(L59="T-Test Welch",_xlfn.T.TEST($B28:$B43,L28:L43,2,3),""))</f>
        <v>#NAME?</v>
      </c>
      <c r="M60" s="90" t="e">
        <f ca="1">IF(M59="Mann Withney",[1]!MTEST($B28:$B43,M28:M43,2), IF(M59="T-Test Welch",_xlfn.T.TEST($B28:$B43,M28:M43,2,3),""))</f>
        <v>#NAME?</v>
      </c>
      <c r="N60" s="90"/>
      <c r="O60" s="90" t="e">
        <f ca="1">IF(O59="Mann Withney",[1]!MTEST($B28:$B43,O28:O43,2), IF(O59="T-Test Welch",_xlfn.T.TEST($B28:$B43,O28:O43,2,3),""))</f>
        <v>#NAME?</v>
      </c>
      <c r="P60" s="90" t="e">
        <f ca="1">IF(P59="Mann Withney",[1]!MTEST($O28:$O43,P28:P43,2), IF(P59="T-Test Welch",_xlfn.T.TEST($O28:$O43,P28:P43,2,3),""))</f>
        <v>#NAME?</v>
      </c>
      <c r="Q60" s="90" t="e">
        <f ca="1">IF(Q59="Mann Withney",[1]!MTEST($O28:$O43,Q28:Q43,2), IF(Q59="T-Test Welch",_xlfn.T.TEST($O28:$O43,Q28:Q43,2,3),""))</f>
        <v>#NAME?</v>
      </c>
      <c r="R60" s="90" t="e">
        <f ca="1">IF(R59="Mann Withney",[1]!MTEST($O28:$O43,R28:R43,2), IF(R59="T-Test Welch",_xlfn.T.TEST($O28:$O43,R28:R43,2,3),""))</f>
        <v>#NAME?</v>
      </c>
      <c r="S60" s="90" t="e">
        <f ca="1">IF(S59="Mann Withney",[1]!MTEST($O28:$O43,S28:S43,2), IF(S59="T-Test Welch",_xlfn.T.TEST($O28:$O43,S28:S43,2,3),""))</f>
        <v>#NAME?</v>
      </c>
      <c r="T60" s="90" t="e">
        <f ca="1">IF(T59="Mann Withney",[1]!MTEST($O28:$O43,T28:T43,2), IF(T59="T-Test Welch",_xlfn.T.TEST($O28:$O43,T28:T43,2,3),""))</f>
        <v>#NAME?</v>
      </c>
      <c r="U60" s="90" t="e">
        <f ca="1">IF(U59="Mann Withney",[1]!MTEST($O28:$O43,U28:U43,2), IF(U59="T-Test Welch",_xlfn.T.TEST($O28:$O43,U28:U43,2,3),""))</f>
        <v>#NAME?</v>
      </c>
      <c r="V60" s="90" t="e">
        <f ca="1">IF(V59="Mann Withney",[1]!MTEST($O28:$O43,V28:V43,2), IF(V59="T-Test Welch",_xlfn.T.TEST($O28:$O43,V28:V43,2,3),""))</f>
        <v>#NAME?</v>
      </c>
      <c r="W60" s="90" t="e">
        <f ca="1">IF(W59="Mann Withney",[1]!MTEST($O28:$O43,W28:W43,2), IF(W59="T-Test Welch",_xlfn.T.TEST($O28:$O43,W28:W43,2,3),""))</f>
        <v>#NAME?</v>
      </c>
      <c r="X60" s="90" t="e">
        <f ca="1">IF(X59="Mann Withney",[1]!MTEST($O28:$O43,X28:X43,2), IF(X59="T-Test Welch",_xlfn.T.TEST($O28:$O43,X28:X43,2,3),""))</f>
        <v>#NAME?</v>
      </c>
      <c r="Y60" s="90" t="e">
        <f ca="1">IF(Y59="Mann Withney",[1]!MTEST($O28:$O43,Y28:Y43,2), IF(Y59="T-Test Welch",_xlfn.T.TEST($O28:$O43,Y28:Y43,2,3),""))</f>
        <v>#NAME?</v>
      </c>
      <c r="Z60" s="90" t="e">
        <f ca="1">IF(Z59="Mann Withney",[1]!MTEST($O28:$O43,Z28:Z43,2), IF(Z59="T-Test Welch",_xlfn.T.TEST($O28:$O43,Z28:Z43,2,3),""))</f>
        <v>#NAME?</v>
      </c>
      <c r="AA60" s="90" t="e">
        <f ca="1">IF(AA59="Mann Withney",[1]!MTEST($O28:$O43,AA28:AA43,2), IF(AA59="T-Test Welch",_xlfn.T.TEST($O28:$O43,AA28:AA43,2,3),""))</f>
        <v>#NAME?</v>
      </c>
      <c r="AB60" s="90" t="e">
        <f ca="1">IF(AB59="Mann Withney",[1]!MTEST($O28:$O43,AB28:AB43,2), IF(AB59="T-Test Welch",_xlfn.T.TEST($O28:$O43,AB28:AB43,2,3),""))</f>
        <v>#NAME?</v>
      </c>
      <c r="AC60" s="90" t="e">
        <f ca="1">IF(AC59="Mann Withney",[1]!MTEST($O28:$O43,AC28:AC43,2), IF(AC59="T-Test Welch",_xlfn.T.TEST($O28:$O43,AC28:AC43,2,3),""))</f>
        <v>#NAME?</v>
      </c>
      <c r="AD60" s="90" t="e">
        <f ca="1">IF(AD59="Mann Withney",[1]!MTEST($O28:$O43,AD28:AD43,2), IF(AD59="T-Test Welch",_xlfn.T.TEST($O28:$O43,AD28:AD43,2,3),""))</f>
        <v>#NAME?</v>
      </c>
      <c r="AE60" s="90" t="e">
        <f ca="1">IF(AE59="Mann Withney",[1]!MTEST($O28:$O43,AE28:AE43,2), IF(AE59="T-Test Welch",_xlfn.T.TEST($O28:$O43,AE28:AE43,2,3),""))</f>
        <v>#NAME?</v>
      </c>
      <c r="AF60" s="90" t="e">
        <f ca="1">IF(AF59="Mann Withney",[1]!MTEST($O28:$O43,AF28:AF43,2), IF(AF59="T-Test Welch",_xlfn.T.TEST($O28:$O43,AF28:AF43,2,3),""))</f>
        <v>#NAME?</v>
      </c>
      <c r="AG60" s="90" t="e">
        <f ca="1">IF(AG59="Mann Withney",[1]!MTEST($O28:$O43,AG28:AG43,2), IF(AG59="T-Test Welch",_xlfn.T.TEST($O28:$O43,AG28:AG43,2,3),""))</f>
        <v>#NAME?</v>
      </c>
      <c r="AH60" s="90" t="e">
        <f ca="1">IF(AH59="Mann Withney",[1]!MTEST($O28:$O43,AH28:AH43,2), IF(AH59="T-Test Welch",_xlfn.T.TEST($O28:$O43,AH28:AH43,2,3),""))</f>
        <v>#NAME?</v>
      </c>
      <c r="AI60" s="90" t="e">
        <f ca="1">IF(AI59="Mann Withney",[1]!MTEST($O28:$O43,AI28:AI43,2), IF(AI59="T-Test Welch",_xlfn.T.TEST($O28:$O43,AI28:AI43,2,3),""))</f>
        <v>#NAME?</v>
      </c>
      <c r="AJ60" s="90" t="e">
        <f ca="1">IF(AJ59="Mann Withney",[1]!MTEST($O28:$O43,AJ28:AJ43,2), IF(AJ59="T-Test Welch",_xlfn.T.TEST($O28:$O43,AJ28:AJ43,2,3),""))</f>
        <v>#NAME?</v>
      </c>
      <c r="AK60" s="90" t="e">
        <f ca="1">IF(AK59="Mann Withney",[1]!MTEST($O28:$O43,AK28:AK43,2), IF(AK59="T-Test Welch",_xlfn.T.TEST($O28:$O43,AK28:AK43,2,3),""))</f>
        <v>#NAME?</v>
      </c>
    </row>
    <row r="61" spans="1:37" s="3" customFormat="1" ht="15.75" thickBot="1" x14ac:dyDescent="0.3">
      <c r="A61" s="50" t="s">
        <v>46</v>
      </c>
      <c r="B61" s="84"/>
      <c r="C61" s="84" t="e">
        <f t="shared" ref="C61:M61" ca="1" si="79">IF(C60&gt;0.05,"NS",IF(C60&gt;0.01,"*",IF(C60&gt;0.001,"**","***")))</f>
        <v>#NAME?</v>
      </c>
      <c r="D61" s="84" t="e">
        <f t="shared" ca="1" si="79"/>
        <v>#NAME?</v>
      </c>
      <c r="E61" s="84" t="e">
        <f t="shared" ca="1" si="79"/>
        <v>#NAME?</v>
      </c>
      <c r="F61" s="84" t="e">
        <f t="shared" ca="1" si="79"/>
        <v>#NAME?</v>
      </c>
      <c r="G61" s="84" t="e">
        <f t="shared" ca="1" si="79"/>
        <v>#NAME?</v>
      </c>
      <c r="H61" s="84" t="e">
        <f t="shared" ca="1" si="79"/>
        <v>#NAME?</v>
      </c>
      <c r="I61" s="84" t="e">
        <f t="shared" ca="1" si="79"/>
        <v>#NAME?</v>
      </c>
      <c r="J61" s="84" t="e">
        <f t="shared" ca="1" si="79"/>
        <v>#NAME?</v>
      </c>
      <c r="K61" s="84" t="e">
        <f t="shared" ca="1" si="79"/>
        <v>#NAME?</v>
      </c>
      <c r="L61" s="84" t="e">
        <f t="shared" ca="1" si="79"/>
        <v>#NAME?</v>
      </c>
      <c r="M61" s="84" t="e">
        <f t="shared" ca="1" si="79"/>
        <v>#NAME?</v>
      </c>
      <c r="N61" s="84"/>
      <c r="O61" s="84" t="e">
        <f ca="1">IF(O60&gt;0.05,"NS",IF(O60&gt;0.01,"*",IF(O60&gt;0.001,"**","***")))</f>
        <v>#NAME?</v>
      </c>
      <c r="P61" s="84" t="e">
        <f ca="1">IF(P60&gt;0.05,"NS",IF(P60&gt;0.01,"*",IF(P60&gt;0.001,"**","***")))</f>
        <v>#NAME?</v>
      </c>
      <c r="Q61" s="84" t="e">
        <f t="shared" ref="Q61" ca="1" si="80">IF(Q60&gt;0.05,"NS",IF(Q60&gt;0.01,"*",IF(Q60&gt;0.001,"**","***")))</f>
        <v>#NAME?</v>
      </c>
      <c r="R61" s="84" t="e">
        <f t="shared" ref="R61" ca="1" si="81">IF(R60&gt;0.05,"NS",IF(R60&gt;0.01,"*",IF(R60&gt;0.001,"**","***")))</f>
        <v>#NAME?</v>
      </c>
      <c r="S61" s="84" t="e">
        <f t="shared" ref="S61" ca="1" si="82">IF(S60&gt;0.05,"NS",IF(S60&gt;0.01,"*",IF(S60&gt;0.001,"**","***")))</f>
        <v>#NAME?</v>
      </c>
      <c r="T61" s="84" t="e">
        <f t="shared" ref="T61" ca="1" si="83">IF(T60&gt;0.05,"NS",IF(T60&gt;0.01,"*",IF(T60&gt;0.001,"**","***")))</f>
        <v>#NAME?</v>
      </c>
      <c r="U61" s="84" t="e">
        <f t="shared" ref="U61" ca="1" si="84">IF(U60&gt;0.05,"NS",IF(U60&gt;0.01,"*",IF(U60&gt;0.001,"**","***")))</f>
        <v>#NAME?</v>
      </c>
      <c r="V61" s="84" t="e">
        <f t="shared" ref="V61" ca="1" si="85">IF(V60&gt;0.05,"NS",IF(V60&gt;0.01,"*",IF(V60&gt;0.001,"**","***")))</f>
        <v>#NAME?</v>
      </c>
      <c r="W61" s="84" t="e">
        <f t="shared" ref="W61" ca="1" si="86">IF(W60&gt;0.05,"NS",IF(W60&gt;0.01,"*",IF(W60&gt;0.001,"**","***")))</f>
        <v>#NAME?</v>
      </c>
      <c r="X61" s="84" t="e">
        <f t="shared" ref="X61" ca="1" si="87">IF(X60&gt;0.05,"NS",IF(X60&gt;0.01,"*",IF(X60&gt;0.001,"**","***")))</f>
        <v>#NAME?</v>
      </c>
      <c r="Y61" s="84" t="e">
        <f t="shared" ref="Y61" ca="1" si="88">IF(Y60&gt;0.05,"NS",IF(Y60&gt;0.01,"*",IF(Y60&gt;0.001,"**","***")))</f>
        <v>#NAME?</v>
      </c>
      <c r="Z61" s="84" t="e">
        <f t="shared" ref="Z61" ca="1" si="89">IF(Z60&gt;0.05,"NS",IF(Z60&gt;0.01,"*",IF(Z60&gt;0.001,"**","***")))</f>
        <v>#NAME?</v>
      </c>
      <c r="AA61" s="84" t="e">
        <f t="shared" ref="AA61" ca="1" si="90">IF(AA60&gt;0.05,"NS",IF(AA60&gt;0.01,"*",IF(AA60&gt;0.001,"**","***")))</f>
        <v>#NAME?</v>
      </c>
      <c r="AB61" s="84" t="e">
        <f t="shared" ref="AB61" ca="1" si="91">IF(AB60&gt;0.05,"NS",IF(AB60&gt;0.01,"*",IF(AB60&gt;0.001,"**","***")))</f>
        <v>#NAME?</v>
      </c>
      <c r="AC61" s="84" t="e">
        <f t="shared" ref="AC61" ca="1" si="92">IF(AC60&gt;0.05,"NS",IF(AC60&gt;0.01,"*",IF(AC60&gt;0.001,"**","***")))</f>
        <v>#NAME?</v>
      </c>
      <c r="AD61" s="84" t="e">
        <f t="shared" ref="AD61" ca="1" si="93">IF(AD60&gt;0.05,"NS",IF(AD60&gt;0.01,"*",IF(AD60&gt;0.001,"**","***")))</f>
        <v>#NAME?</v>
      </c>
      <c r="AE61" s="84" t="e">
        <f t="shared" ref="AE61" ca="1" si="94">IF(AE60&gt;0.05,"NS",IF(AE60&gt;0.01,"*",IF(AE60&gt;0.001,"**","***")))</f>
        <v>#NAME?</v>
      </c>
      <c r="AF61" s="84" t="e">
        <f t="shared" ref="AF61" ca="1" si="95">IF(AF60&gt;0.05,"NS",IF(AF60&gt;0.01,"*",IF(AF60&gt;0.001,"**","***")))</f>
        <v>#NAME?</v>
      </c>
      <c r="AG61" s="84" t="e">
        <f t="shared" ref="AG61" ca="1" si="96">IF(AG60&gt;0.05,"NS",IF(AG60&gt;0.01,"*",IF(AG60&gt;0.001,"**","***")))</f>
        <v>#NAME?</v>
      </c>
      <c r="AH61" s="84" t="e">
        <f t="shared" ref="AH61" ca="1" si="97">IF(AH60&gt;0.05,"NS",IF(AH60&gt;0.01,"*",IF(AH60&gt;0.001,"**","***")))</f>
        <v>#NAME?</v>
      </c>
      <c r="AI61" s="84" t="e">
        <f t="shared" ref="AI61" ca="1" si="98">IF(AI60&gt;0.05,"NS",IF(AI60&gt;0.01,"*",IF(AI60&gt;0.001,"**","***")))</f>
        <v>#NAME?</v>
      </c>
      <c r="AJ61" s="84" t="e">
        <f t="shared" ref="AJ61" ca="1" si="99">IF(AJ60&gt;0.05,"NS",IF(AJ60&gt;0.01,"*",IF(AJ60&gt;0.001,"**","***")))</f>
        <v>#NAME?</v>
      </c>
      <c r="AK61" s="84" t="e">
        <f t="shared" ref="AK61" ca="1" si="100">IF(AK60&gt;0.05,"NS",IF(AK60&gt;0.01,"*",IF(AK60&gt;0.001,"**","***")))</f>
        <v>#NAME?</v>
      </c>
    </row>
    <row r="63" spans="1:37" x14ac:dyDescent="0.25">
      <c r="A63" s="2" t="s">
        <v>20</v>
      </c>
    </row>
    <row r="64" spans="1:37" x14ac:dyDescent="0.25">
      <c r="A64" s="1" t="s">
        <v>13</v>
      </c>
      <c r="B64" s="1">
        <f>B46+(3*B47)</f>
        <v>4.3916196580440783E-2</v>
      </c>
    </row>
    <row r="65" spans="1:37" x14ac:dyDescent="0.25">
      <c r="A65" s="1" t="s">
        <v>14</v>
      </c>
      <c r="B65" s="1">
        <f>B46+(10*B47)</f>
        <v>0.13193811659172255</v>
      </c>
    </row>
    <row r="66" spans="1:37" ht="15.75" thickBot="1" x14ac:dyDescent="0.3"/>
    <row r="67" spans="1:37" s="1" customFormat="1" ht="27" thickBot="1" x14ac:dyDescent="0.45">
      <c r="A67" s="143" t="s">
        <v>31</v>
      </c>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c r="AA67" s="144"/>
      <c r="AB67" s="144"/>
      <c r="AC67" s="144"/>
      <c r="AD67" s="144"/>
      <c r="AE67" s="144"/>
      <c r="AF67" s="144"/>
      <c r="AG67" s="144"/>
      <c r="AH67" s="144"/>
      <c r="AI67" s="144"/>
      <c r="AJ67" s="144"/>
      <c r="AK67" s="145"/>
    </row>
    <row r="68" spans="1:37" ht="16.5" x14ac:dyDescent="0.25">
      <c r="A68" s="12"/>
      <c r="B68" s="12"/>
      <c r="C68" s="12"/>
      <c r="D68" s="12"/>
      <c r="E68" s="12"/>
      <c r="F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1" name="Plage1"/>
    <protectedRange sqref="B51:J51" name="Plage2_1"/>
    <protectedRange sqref="O21 J5:J12 B13:J21" name="Plage1_1"/>
    <protectedRange sqref="I5:I12" name="Plage1_1_1"/>
    <protectedRange sqref="B5:H12" name="Plage1_1_2"/>
    <protectedRange sqref="O5:O20" name="Plage1_1_3"/>
  </protectedRanges>
  <mergeCells count="9">
    <mergeCell ref="A1:AK1"/>
    <mergeCell ref="A67:AK67"/>
    <mergeCell ref="A50:AK50"/>
    <mergeCell ref="A5:A20"/>
    <mergeCell ref="A28:A43"/>
    <mergeCell ref="B3:M3"/>
    <mergeCell ref="B26:M26"/>
    <mergeCell ref="O26:AK26"/>
    <mergeCell ref="O3:AK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74"/>
  <sheetViews>
    <sheetView showGridLines="0" topLeftCell="G1" zoomScale="70" zoomScaleNormal="70" zoomScaleSheetLayoutView="40" zoomScalePageLayoutView="30" workbookViewId="0">
      <selection activeCell="N2" sqref="N1:AC1048576"/>
    </sheetView>
  </sheetViews>
  <sheetFormatPr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36" width="25.85546875" style="1" customWidth="1"/>
    <col min="37" max="37" width="25.85546875" style="1" bestFit="1" customWidth="1"/>
    <col min="38" max="16384" width="9.140625" style="1"/>
  </cols>
  <sheetData>
    <row r="1" spans="1:37" ht="27" thickBot="1" x14ac:dyDescent="0.45">
      <c r="A1" s="140" t="s">
        <v>23</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2"/>
    </row>
    <row r="2" spans="1:37" customFormat="1" ht="15.75" thickBot="1" x14ac:dyDescent="0.3">
      <c r="AE2" s="1"/>
      <c r="AF2" s="1"/>
      <c r="AG2" s="1"/>
      <c r="AH2" s="1"/>
      <c r="AI2" s="1"/>
      <c r="AJ2" s="1"/>
    </row>
    <row r="3" spans="1:37" ht="15.75" thickBot="1" x14ac:dyDescent="0.3">
      <c r="A3" s="37" t="s">
        <v>9</v>
      </c>
      <c r="B3" s="150" t="s">
        <v>6</v>
      </c>
      <c r="C3" s="151"/>
      <c r="D3" s="151"/>
      <c r="E3" s="151"/>
      <c r="F3" s="151"/>
      <c r="G3" s="151"/>
      <c r="H3" s="151"/>
      <c r="I3" s="151"/>
      <c r="J3" s="151"/>
      <c r="K3" s="151"/>
      <c r="L3" s="151"/>
      <c r="M3" s="151"/>
      <c r="O3" s="150" t="s">
        <v>3</v>
      </c>
      <c r="P3" s="151"/>
      <c r="Q3" s="151"/>
      <c r="R3" s="151"/>
      <c r="S3" s="151"/>
      <c r="T3" s="151"/>
      <c r="U3" s="151"/>
      <c r="V3" s="151"/>
      <c r="W3" s="151"/>
      <c r="X3" s="151"/>
      <c r="Y3" s="151"/>
      <c r="Z3" s="151"/>
      <c r="AA3" s="151"/>
      <c r="AB3" s="151"/>
      <c r="AC3" s="151"/>
      <c r="AD3" s="151"/>
      <c r="AE3" s="151"/>
      <c r="AF3" s="151"/>
      <c r="AG3" s="151"/>
      <c r="AH3" s="151"/>
      <c r="AI3" s="151"/>
      <c r="AJ3" s="151"/>
      <c r="AK3" s="152"/>
    </row>
    <row r="4" spans="1:37" x14ac:dyDescent="0.25">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Prochloraz-0.063mg/L</v>
      </c>
      <c r="J4" s="20" t="str">
        <f>'Front page'!A15</f>
        <v>Prochloraz-0.13mg/L</v>
      </c>
      <c r="K4" s="20" t="str">
        <f>'Front page'!A16</f>
        <v>Prochloraz-0.25mg/L</v>
      </c>
      <c r="L4" s="20" t="str">
        <f>'Front page'!A17</f>
        <v>Prochloraz-0.5mg/L</v>
      </c>
      <c r="M4" s="20" t="str">
        <f>'Front page'!A18</f>
        <v>Prochloraz-1.0mg/L</v>
      </c>
      <c r="N4" s="3"/>
      <c r="O4" s="21" t="str">
        <f>'Front page'!A35</f>
        <v>Testo -30µg/L</v>
      </c>
      <c r="P4" s="21" t="str">
        <f>'Front page'!A36</f>
        <v>Testo 30µg/L + EE2 -64ng/L</v>
      </c>
      <c r="Q4" s="21" t="str">
        <f>'Front page'!A37</f>
        <v>Testo 30µg/L + FAD-10mg/L</v>
      </c>
      <c r="R4" s="21" t="str">
        <f>'Front page'!A38</f>
        <v>Prochloraz-0.063mg/L + Testostérone</v>
      </c>
      <c r="S4" s="21" t="str">
        <f>'Front page'!A39</f>
        <v>Prochloraz-0.13mg/L + Testostérone</v>
      </c>
      <c r="T4" s="21" t="str">
        <f>'Front page'!A40</f>
        <v>Prochloraz-0.25mg/L + Testostérone</v>
      </c>
      <c r="U4" s="21" t="str">
        <f>'Front page'!A41</f>
        <v>Prochloraz-0.5mg/L + Testostérone</v>
      </c>
      <c r="V4" s="21" t="str">
        <f>'Front page'!A42</f>
        <v>Prochloraz-1.0mg/L + Testostérone</v>
      </c>
      <c r="W4" s="21" t="str">
        <f>'Front page'!A43</f>
        <v>0-00 + Testostérone</v>
      </c>
      <c r="X4" s="21" t="str">
        <f>'Front page'!A44</f>
        <v>0-00 + Testostérone</v>
      </c>
      <c r="Y4" s="21" t="str">
        <f>'Front page'!A45</f>
        <v>0-00 + Testostérone</v>
      </c>
      <c r="Z4" s="21" t="str">
        <f>'Front page'!A46</f>
        <v>0-00 + Testostérone</v>
      </c>
      <c r="AA4" s="21" t="str">
        <f>'Front page'!A47</f>
        <v>0-00 + Testostérone</v>
      </c>
      <c r="AB4" s="21" t="str">
        <f>'Front page'!A48</f>
        <v>0-00 + Testostérone</v>
      </c>
      <c r="AC4" s="21" t="str">
        <f>'Front page'!A49</f>
        <v>0-00 + Testostérone</v>
      </c>
      <c r="AD4" s="21" t="str">
        <f>'Front page'!A50</f>
        <v>0-00 + Testostérone</v>
      </c>
      <c r="AE4" s="21" t="str">
        <f>'Front page'!A51</f>
        <v>0-00 + Testostérone</v>
      </c>
      <c r="AF4" s="21" t="str">
        <f>'Front page'!A52</f>
        <v>0-00 + Testostérone</v>
      </c>
      <c r="AG4" s="21" t="str">
        <f>'Front page'!A53</f>
        <v>0-00 + Testostérone</v>
      </c>
      <c r="AH4" s="21" t="str">
        <f>'Front page'!A54</f>
        <v>0-00 + Testostérone</v>
      </c>
      <c r="AI4" s="21" t="str">
        <f>'Front page'!A55</f>
        <v>0-00 + Testostérone</v>
      </c>
      <c r="AJ4" s="21" t="str">
        <f>'Front page'!A56</f>
        <v>0-00 + Testostérone</v>
      </c>
      <c r="AK4" s="21" t="str">
        <f>'Front page'!A57</f>
        <v>0-00 + Testostérone</v>
      </c>
    </row>
    <row r="5" spans="1:37" x14ac:dyDescent="0.25">
      <c r="A5" s="153" t="s">
        <v>16</v>
      </c>
      <c r="B5" s="17">
        <v>26845</v>
      </c>
      <c r="C5" s="17">
        <v>13590</v>
      </c>
      <c r="D5" s="17">
        <v>28511</v>
      </c>
      <c r="E5" s="17">
        <v>277882</v>
      </c>
      <c r="F5" s="17">
        <v>262927</v>
      </c>
      <c r="G5" s="17">
        <v>348222</v>
      </c>
      <c r="H5" s="17">
        <v>285950</v>
      </c>
      <c r="I5" s="17">
        <v>0</v>
      </c>
      <c r="J5" s="17">
        <v>2461</v>
      </c>
      <c r="K5" s="17">
        <v>40408</v>
      </c>
      <c r="L5" s="17">
        <v>15391</v>
      </c>
      <c r="M5" s="17">
        <v>1897</v>
      </c>
      <c r="N5" s="3"/>
      <c r="O5" s="17">
        <v>231768</v>
      </c>
      <c r="P5" s="13">
        <v>388480</v>
      </c>
      <c r="Q5" s="13">
        <v>10047</v>
      </c>
      <c r="R5" s="17">
        <v>116139</v>
      </c>
      <c r="S5" s="17">
        <v>54908</v>
      </c>
      <c r="T5" s="17">
        <v>37271</v>
      </c>
      <c r="U5" s="17">
        <v>23476</v>
      </c>
      <c r="V5" s="17">
        <v>40700</v>
      </c>
      <c r="W5" s="17"/>
      <c r="X5" s="17"/>
      <c r="Y5" s="17"/>
      <c r="Z5" s="17"/>
      <c r="AA5" s="17"/>
      <c r="AB5" s="17"/>
      <c r="AC5" s="17"/>
      <c r="AD5" s="17"/>
      <c r="AE5" s="17"/>
      <c r="AF5" s="17"/>
      <c r="AG5" s="17"/>
      <c r="AH5" s="17"/>
      <c r="AI5" s="17"/>
      <c r="AJ5" s="17"/>
      <c r="AK5" s="17"/>
    </row>
    <row r="6" spans="1:37" ht="16.5" x14ac:dyDescent="0.25">
      <c r="A6" s="153"/>
      <c r="B6" s="14">
        <v>12180</v>
      </c>
      <c r="C6" s="13">
        <v>28850</v>
      </c>
      <c r="D6" s="17">
        <v>13800</v>
      </c>
      <c r="E6" s="17">
        <v>263637</v>
      </c>
      <c r="F6" s="17">
        <v>313319</v>
      </c>
      <c r="G6" s="17">
        <v>289878</v>
      </c>
      <c r="H6" s="17">
        <v>343588</v>
      </c>
      <c r="I6" s="17">
        <v>4263</v>
      </c>
      <c r="J6" s="17">
        <v>37713</v>
      </c>
      <c r="K6" s="17">
        <v>1091</v>
      </c>
      <c r="L6" s="17">
        <v>2337</v>
      </c>
      <c r="M6" s="17">
        <v>21733</v>
      </c>
      <c r="N6" s="3"/>
      <c r="O6" s="17">
        <v>338433</v>
      </c>
      <c r="P6" s="13">
        <v>359984</v>
      </c>
      <c r="Q6" s="13">
        <v>36014</v>
      </c>
      <c r="R6" s="17">
        <v>173789</v>
      </c>
      <c r="S6" s="17">
        <v>4530</v>
      </c>
      <c r="T6" s="17">
        <v>76636</v>
      </c>
      <c r="U6" s="17">
        <v>26042</v>
      </c>
      <c r="V6" s="17">
        <v>3669</v>
      </c>
      <c r="W6" s="17"/>
      <c r="X6" s="17"/>
      <c r="Y6" s="17"/>
      <c r="Z6" s="17"/>
      <c r="AA6" s="17"/>
      <c r="AB6" s="17"/>
      <c r="AC6" s="17"/>
      <c r="AD6" s="17"/>
      <c r="AE6" s="17"/>
      <c r="AF6" s="17"/>
      <c r="AG6" s="17"/>
      <c r="AH6" s="17"/>
      <c r="AI6" s="17"/>
      <c r="AJ6" s="17"/>
      <c r="AK6" s="17"/>
    </row>
    <row r="7" spans="1:37" ht="16.5" x14ac:dyDescent="0.25">
      <c r="A7" s="153"/>
      <c r="B7" s="14">
        <v>11823</v>
      </c>
      <c r="C7" s="13">
        <v>200156</v>
      </c>
      <c r="D7" s="17">
        <v>74335</v>
      </c>
      <c r="E7" s="17">
        <v>197995</v>
      </c>
      <c r="F7" s="17">
        <v>189445</v>
      </c>
      <c r="G7" s="17">
        <v>311846</v>
      </c>
      <c r="H7" s="17">
        <v>354496</v>
      </c>
      <c r="I7" s="17">
        <v>11738</v>
      </c>
      <c r="J7" s="17">
        <v>10207</v>
      </c>
      <c r="K7" s="17">
        <v>0</v>
      </c>
      <c r="L7" s="17">
        <v>70624</v>
      </c>
      <c r="M7" s="17">
        <v>34838</v>
      </c>
      <c r="N7" s="3"/>
      <c r="O7" s="17">
        <v>181358</v>
      </c>
      <c r="P7" s="13">
        <v>321057</v>
      </c>
      <c r="Q7" s="13">
        <v>35801</v>
      </c>
      <c r="R7" s="17">
        <v>198452</v>
      </c>
      <c r="S7" s="17">
        <v>142859</v>
      </c>
      <c r="T7" s="17">
        <v>57786</v>
      </c>
      <c r="U7" s="17">
        <v>30605</v>
      </c>
      <c r="V7" s="17">
        <v>196549</v>
      </c>
      <c r="W7" s="17"/>
      <c r="X7" s="17"/>
      <c r="Y7" s="17"/>
      <c r="Z7" s="17"/>
      <c r="AA7" s="17"/>
      <c r="AB7" s="17"/>
      <c r="AC7" s="17"/>
      <c r="AD7" s="17"/>
      <c r="AE7" s="17"/>
      <c r="AF7" s="17"/>
      <c r="AG7" s="17"/>
      <c r="AH7" s="17"/>
      <c r="AI7" s="17"/>
      <c r="AJ7" s="17"/>
      <c r="AK7" s="17"/>
    </row>
    <row r="8" spans="1:37" ht="16.5" x14ac:dyDescent="0.25">
      <c r="A8" s="153"/>
      <c r="B8" s="14">
        <v>32493</v>
      </c>
      <c r="C8" s="13">
        <v>5588</v>
      </c>
      <c r="D8" s="17">
        <v>38928</v>
      </c>
      <c r="E8" s="17">
        <v>11085</v>
      </c>
      <c r="F8" s="17">
        <v>330421</v>
      </c>
      <c r="G8" s="17">
        <v>323298</v>
      </c>
      <c r="H8" s="17">
        <v>471806</v>
      </c>
      <c r="I8" s="17">
        <v>34057</v>
      </c>
      <c r="J8" s="17">
        <v>7804</v>
      </c>
      <c r="K8" s="17">
        <v>251</v>
      </c>
      <c r="L8" s="17">
        <v>57924</v>
      </c>
      <c r="M8" s="17">
        <v>10608</v>
      </c>
      <c r="N8" s="3"/>
      <c r="O8" s="17">
        <v>251994</v>
      </c>
      <c r="P8" s="13">
        <v>288305</v>
      </c>
      <c r="Q8" s="13">
        <v>20954</v>
      </c>
      <c r="R8" s="17">
        <v>10336</v>
      </c>
      <c r="S8" s="17">
        <v>39697</v>
      </c>
      <c r="T8" s="17">
        <v>76784</v>
      </c>
      <c r="U8" s="17">
        <v>7073</v>
      </c>
      <c r="V8" s="17">
        <v>729</v>
      </c>
      <c r="W8" s="17"/>
      <c r="X8" s="17"/>
      <c r="Y8" s="17"/>
      <c r="Z8" s="17"/>
      <c r="AA8" s="17"/>
      <c r="AB8" s="17"/>
      <c r="AC8" s="17"/>
      <c r="AD8" s="17"/>
      <c r="AE8" s="17"/>
      <c r="AF8" s="17"/>
      <c r="AG8" s="17"/>
      <c r="AH8" s="17"/>
      <c r="AI8" s="17"/>
      <c r="AJ8" s="17"/>
      <c r="AK8" s="17"/>
    </row>
    <row r="9" spans="1:37" ht="16.5" x14ac:dyDescent="0.25">
      <c r="A9" s="153"/>
      <c r="B9" s="14">
        <v>9892</v>
      </c>
      <c r="C9" s="13">
        <v>10998</v>
      </c>
      <c r="D9" s="17">
        <v>51416</v>
      </c>
      <c r="E9" s="17">
        <v>180251</v>
      </c>
      <c r="F9" s="17">
        <v>101761</v>
      </c>
      <c r="G9" s="17">
        <v>397463</v>
      </c>
      <c r="H9" s="17">
        <v>465778</v>
      </c>
      <c r="I9" s="17">
        <v>28401</v>
      </c>
      <c r="J9" s="17">
        <v>3455</v>
      </c>
      <c r="K9" s="17">
        <v>13042</v>
      </c>
      <c r="L9" s="17">
        <v>21144</v>
      </c>
      <c r="M9" s="17">
        <v>31018</v>
      </c>
      <c r="N9" s="3"/>
      <c r="O9" s="17">
        <v>290456</v>
      </c>
      <c r="P9" s="13">
        <v>358008</v>
      </c>
      <c r="Q9" s="13">
        <v>17500</v>
      </c>
      <c r="R9" s="17">
        <v>278257</v>
      </c>
      <c r="S9" s="17">
        <v>121121</v>
      </c>
      <c r="T9" s="17">
        <v>36031</v>
      </c>
      <c r="U9" s="17">
        <v>16399</v>
      </c>
      <c r="V9" s="17">
        <v>126900</v>
      </c>
      <c r="W9" s="17"/>
      <c r="X9" s="17"/>
      <c r="Y9" s="17"/>
      <c r="Z9" s="17"/>
      <c r="AA9" s="17"/>
      <c r="AB9" s="17"/>
      <c r="AC9" s="17"/>
      <c r="AD9" s="17"/>
      <c r="AE9" s="17"/>
      <c r="AF9" s="17"/>
      <c r="AG9" s="17"/>
      <c r="AH9" s="17"/>
      <c r="AI9" s="17"/>
      <c r="AJ9" s="17"/>
      <c r="AK9" s="17"/>
    </row>
    <row r="10" spans="1:37" ht="16.5" x14ac:dyDescent="0.25">
      <c r="A10" s="153"/>
      <c r="B10" s="14">
        <v>30442</v>
      </c>
      <c r="C10" s="13">
        <v>8027</v>
      </c>
      <c r="D10" s="17">
        <v>18895</v>
      </c>
      <c r="E10" s="17">
        <v>237398</v>
      </c>
      <c r="F10" s="17">
        <v>306327</v>
      </c>
      <c r="G10" s="17">
        <v>346056</v>
      </c>
      <c r="H10" s="17">
        <v>431746</v>
      </c>
      <c r="I10" s="17">
        <v>13105</v>
      </c>
      <c r="J10" s="17">
        <v>20290</v>
      </c>
      <c r="K10" s="17">
        <v>36443</v>
      </c>
      <c r="L10" s="17">
        <v>7668</v>
      </c>
      <c r="M10" s="17">
        <v>23922</v>
      </c>
      <c r="N10" s="3"/>
      <c r="O10" s="17">
        <v>271772</v>
      </c>
      <c r="P10" s="13">
        <v>302750</v>
      </c>
      <c r="Q10" s="13">
        <v>53666</v>
      </c>
      <c r="R10" s="17">
        <v>110035</v>
      </c>
      <c r="S10" s="17">
        <v>14356</v>
      </c>
      <c r="T10" s="17">
        <v>34152</v>
      </c>
      <c r="U10" s="17">
        <v>50141</v>
      </c>
      <c r="V10" s="17">
        <v>30029</v>
      </c>
      <c r="W10" s="17"/>
      <c r="X10" s="17"/>
      <c r="Y10" s="17"/>
      <c r="Z10" s="17"/>
      <c r="AA10" s="17"/>
      <c r="AB10" s="17"/>
      <c r="AC10" s="17"/>
      <c r="AD10" s="17"/>
      <c r="AE10" s="17"/>
      <c r="AF10" s="17"/>
      <c r="AG10" s="17"/>
      <c r="AH10" s="17"/>
      <c r="AI10" s="17"/>
      <c r="AJ10" s="17"/>
      <c r="AK10" s="17"/>
    </row>
    <row r="11" spans="1:37" ht="16.5" x14ac:dyDescent="0.25">
      <c r="A11" s="153"/>
      <c r="B11" s="14">
        <v>30282</v>
      </c>
      <c r="C11" s="13">
        <v>8767</v>
      </c>
      <c r="D11" s="17">
        <v>39559</v>
      </c>
      <c r="E11" s="17">
        <v>172279</v>
      </c>
      <c r="F11" s="17">
        <v>368635</v>
      </c>
      <c r="G11" s="17">
        <v>292374</v>
      </c>
      <c r="H11" s="17">
        <v>423648</v>
      </c>
      <c r="I11" s="17">
        <v>27606</v>
      </c>
      <c r="J11" s="17">
        <v>22707</v>
      </c>
      <c r="K11" s="17">
        <v>10238</v>
      </c>
      <c r="L11" s="17">
        <v>6682</v>
      </c>
      <c r="M11" s="17">
        <v>22272</v>
      </c>
      <c r="N11" s="3"/>
      <c r="O11" s="17">
        <v>238751</v>
      </c>
      <c r="P11" s="13">
        <v>377678</v>
      </c>
      <c r="Q11" s="13">
        <v>19197</v>
      </c>
      <c r="R11" s="17">
        <v>187887</v>
      </c>
      <c r="S11" s="17">
        <v>18506</v>
      </c>
      <c r="T11" s="17">
        <v>18820</v>
      </c>
      <c r="U11" s="17">
        <v>35233</v>
      </c>
      <c r="V11" s="17">
        <v>72340</v>
      </c>
      <c r="W11" s="17"/>
      <c r="X11" s="17"/>
      <c r="Y11" s="17"/>
      <c r="Z11" s="17"/>
      <c r="AA11" s="17"/>
      <c r="AB11" s="17"/>
      <c r="AC11" s="17"/>
      <c r="AD11" s="17"/>
      <c r="AE11" s="17"/>
      <c r="AF11" s="17"/>
      <c r="AG11" s="17"/>
      <c r="AH11" s="17"/>
      <c r="AI11" s="17"/>
      <c r="AJ11" s="17"/>
      <c r="AK11" s="17"/>
    </row>
    <row r="12" spans="1:37" ht="16.5" x14ac:dyDescent="0.25">
      <c r="A12" s="153"/>
      <c r="B12" s="14">
        <v>21571</v>
      </c>
      <c r="C12" s="13">
        <v>9519</v>
      </c>
      <c r="D12" s="17">
        <v>7423</v>
      </c>
      <c r="E12" s="17">
        <v>280381</v>
      </c>
      <c r="F12" s="17">
        <v>195040</v>
      </c>
      <c r="G12" s="17">
        <v>349338</v>
      </c>
      <c r="H12" s="17">
        <v>359645</v>
      </c>
      <c r="I12" s="17">
        <v>12727</v>
      </c>
      <c r="J12" s="17"/>
      <c r="K12" s="17">
        <v>26251</v>
      </c>
      <c r="L12" s="17">
        <v>18093</v>
      </c>
      <c r="M12" s="17">
        <v>0</v>
      </c>
      <c r="N12" s="3"/>
      <c r="O12" s="17">
        <v>275166</v>
      </c>
      <c r="P12" s="13">
        <v>317767</v>
      </c>
      <c r="Q12" s="13">
        <v>33133</v>
      </c>
      <c r="R12" s="17">
        <v>214853</v>
      </c>
      <c r="S12" s="17">
        <v>24458</v>
      </c>
      <c r="T12" s="17">
        <v>184119</v>
      </c>
      <c r="U12" s="17">
        <v>23558</v>
      </c>
      <c r="V12" s="17">
        <v>26700</v>
      </c>
      <c r="W12" s="17"/>
      <c r="X12" s="17"/>
      <c r="Y12" s="17"/>
      <c r="Z12" s="17"/>
      <c r="AA12" s="17"/>
      <c r="AB12" s="17"/>
      <c r="AC12" s="17"/>
      <c r="AD12" s="17"/>
      <c r="AE12" s="17"/>
      <c r="AF12" s="17"/>
      <c r="AG12" s="17"/>
      <c r="AH12" s="17"/>
      <c r="AI12" s="17"/>
      <c r="AJ12" s="17"/>
      <c r="AK12" s="17"/>
    </row>
    <row r="13" spans="1:37" ht="16.5" x14ac:dyDescent="0.25">
      <c r="A13" s="153"/>
      <c r="B13" s="14"/>
      <c r="C13" s="13"/>
      <c r="D13" s="17"/>
      <c r="E13" s="17"/>
      <c r="F13" s="17"/>
      <c r="G13" s="17"/>
      <c r="H13" s="17"/>
      <c r="I13" s="17"/>
      <c r="J13" s="17"/>
      <c r="K13" s="13"/>
      <c r="L13" s="13"/>
      <c r="M13" s="13"/>
      <c r="N13" s="3"/>
      <c r="O13" s="17">
        <v>242292</v>
      </c>
      <c r="P13" s="13"/>
      <c r="Q13" s="13"/>
      <c r="R13" s="17"/>
      <c r="S13" s="17"/>
      <c r="T13" s="17"/>
      <c r="U13" s="17"/>
      <c r="V13" s="17"/>
      <c r="W13" s="17"/>
      <c r="X13" s="17"/>
      <c r="Y13" s="17"/>
      <c r="Z13" s="17"/>
      <c r="AA13" s="17"/>
      <c r="AB13" s="17"/>
      <c r="AC13" s="17"/>
      <c r="AD13" s="17"/>
      <c r="AE13" s="17"/>
      <c r="AF13" s="17"/>
      <c r="AG13" s="17"/>
      <c r="AH13" s="17"/>
      <c r="AI13" s="17"/>
      <c r="AJ13" s="17"/>
      <c r="AK13" s="17"/>
    </row>
    <row r="14" spans="1:37" ht="16.5" x14ac:dyDescent="0.25">
      <c r="A14" s="153"/>
      <c r="B14" s="14"/>
      <c r="C14" s="17"/>
      <c r="D14" s="17"/>
      <c r="E14" s="17"/>
      <c r="F14" s="17"/>
      <c r="G14" s="17"/>
      <c r="H14" s="17"/>
      <c r="I14" s="17"/>
      <c r="J14" s="17"/>
      <c r="K14" s="13"/>
      <c r="L14" s="13"/>
      <c r="M14" s="13"/>
      <c r="N14" s="3"/>
      <c r="O14" s="17">
        <v>255389</v>
      </c>
      <c r="P14" s="13"/>
      <c r="Q14" s="13"/>
      <c r="R14" s="17"/>
      <c r="S14" s="17"/>
      <c r="T14" s="17"/>
      <c r="U14" s="17"/>
      <c r="V14" s="17"/>
      <c r="W14" s="17"/>
      <c r="X14" s="17"/>
      <c r="Y14" s="17"/>
      <c r="Z14" s="17"/>
      <c r="AA14" s="17"/>
      <c r="AB14" s="17"/>
      <c r="AC14" s="17"/>
      <c r="AD14" s="17"/>
      <c r="AE14" s="17"/>
      <c r="AF14" s="17"/>
      <c r="AG14" s="17"/>
      <c r="AH14" s="17"/>
      <c r="AI14" s="17"/>
      <c r="AJ14" s="17"/>
      <c r="AK14" s="17"/>
    </row>
    <row r="15" spans="1:37" ht="16.5" x14ac:dyDescent="0.25">
      <c r="A15" s="153"/>
      <c r="B15" s="14"/>
      <c r="C15" s="17"/>
      <c r="D15" s="17"/>
      <c r="E15" s="17"/>
      <c r="F15" s="17"/>
      <c r="G15" s="17"/>
      <c r="H15" s="17"/>
      <c r="I15" s="17"/>
      <c r="J15" s="17"/>
      <c r="K15" s="13"/>
      <c r="L15" s="13"/>
      <c r="M15" s="13"/>
      <c r="N15" s="3"/>
      <c r="O15" s="17">
        <v>338695</v>
      </c>
      <c r="P15" s="13"/>
      <c r="Q15" s="13"/>
      <c r="R15" s="17"/>
      <c r="S15" s="17"/>
      <c r="T15" s="17"/>
      <c r="U15" s="17"/>
      <c r="V15" s="17"/>
      <c r="W15" s="17"/>
      <c r="X15" s="17"/>
      <c r="Y15" s="17"/>
      <c r="Z15" s="17"/>
      <c r="AA15" s="17"/>
      <c r="AB15" s="17"/>
      <c r="AC15" s="17"/>
      <c r="AD15" s="17"/>
      <c r="AE15" s="17"/>
      <c r="AF15" s="17"/>
      <c r="AG15" s="17"/>
      <c r="AH15" s="17"/>
      <c r="AI15" s="17"/>
      <c r="AJ15" s="17"/>
      <c r="AK15" s="17"/>
    </row>
    <row r="16" spans="1:37" ht="16.5" x14ac:dyDescent="0.25">
      <c r="A16" s="153"/>
      <c r="B16" s="14"/>
      <c r="C16" s="17"/>
      <c r="D16" s="17"/>
      <c r="E16" s="17"/>
      <c r="F16" s="17"/>
      <c r="G16" s="17"/>
      <c r="H16" s="17"/>
      <c r="I16" s="17"/>
      <c r="J16" s="17"/>
      <c r="K16" s="13"/>
      <c r="L16" s="13"/>
      <c r="M16" s="13"/>
      <c r="N16" s="3"/>
      <c r="O16" s="17">
        <v>305780</v>
      </c>
      <c r="P16" s="13"/>
      <c r="Q16" s="13"/>
      <c r="R16" s="17"/>
      <c r="S16" s="17"/>
      <c r="T16" s="17"/>
      <c r="U16" s="17"/>
      <c r="V16" s="17"/>
      <c r="W16" s="17"/>
      <c r="X16" s="17"/>
      <c r="Y16" s="17"/>
      <c r="Z16" s="17"/>
      <c r="AA16" s="17"/>
      <c r="AB16" s="17"/>
      <c r="AC16" s="17"/>
      <c r="AD16" s="17"/>
      <c r="AE16" s="17"/>
      <c r="AF16" s="17"/>
      <c r="AG16" s="17"/>
      <c r="AH16" s="17"/>
      <c r="AI16" s="17"/>
      <c r="AJ16" s="17"/>
      <c r="AK16" s="17"/>
    </row>
    <row r="17" spans="1:37" ht="16.5" x14ac:dyDescent="0.25">
      <c r="A17" s="153"/>
      <c r="B17" s="14"/>
      <c r="C17" s="17"/>
      <c r="D17" s="17"/>
      <c r="E17" s="17"/>
      <c r="F17" s="17"/>
      <c r="G17" s="17"/>
      <c r="H17" s="17"/>
      <c r="I17" s="17"/>
      <c r="J17" s="17"/>
      <c r="K17" s="13"/>
      <c r="L17" s="13"/>
      <c r="M17" s="13"/>
      <c r="N17" s="3"/>
      <c r="O17" s="17">
        <v>383153</v>
      </c>
      <c r="P17" s="13"/>
      <c r="Q17" s="13"/>
      <c r="R17" s="17"/>
      <c r="S17" s="17"/>
      <c r="T17" s="17"/>
      <c r="U17" s="17"/>
      <c r="V17" s="17"/>
      <c r="W17" s="17"/>
      <c r="X17" s="17"/>
      <c r="Y17" s="17"/>
      <c r="Z17" s="17"/>
      <c r="AA17" s="17"/>
      <c r="AB17" s="17"/>
      <c r="AC17" s="17"/>
      <c r="AD17" s="17"/>
      <c r="AE17" s="17"/>
      <c r="AF17" s="17"/>
      <c r="AG17" s="17"/>
      <c r="AH17" s="17"/>
      <c r="AI17" s="17"/>
      <c r="AJ17" s="17"/>
      <c r="AK17" s="17"/>
    </row>
    <row r="18" spans="1:37" ht="16.5" x14ac:dyDescent="0.25">
      <c r="A18" s="153"/>
      <c r="B18" s="14"/>
      <c r="C18" s="17"/>
      <c r="D18" s="17"/>
      <c r="E18" s="17"/>
      <c r="F18" s="17"/>
      <c r="G18" s="17"/>
      <c r="H18" s="17"/>
      <c r="I18" s="17"/>
      <c r="J18" s="17"/>
      <c r="K18" s="13"/>
      <c r="L18" s="13"/>
      <c r="M18" s="13"/>
      <c r="N18" s="3"/>
      <c r="O18" s="17">
        <v>207444</v>
      </c>
      <c r="P18" s="13"/>
      <c r="Q18" s="13"/>
      <c r="R18" s="17"/>
      <c r="S18" s="17"/>
      <c r="T18" s="17"/>
      <c r="U18" s="17"/>
      <c r="V18" s="17"/>
      <c r="W18" s="17"/>
      <c r="X18" s="17"/>
      <c r="Y18" s="17"/>
      <c r="Z18" s="17"/>
      <c r="AA18" s="17"/>
      <c r="AB18" s="17"/>
      <c r="AC18" s="17"/>
      <c r="AD18" s="17"/>
      <c r="AE18" s="17"/>
      <c r="AF18" s="17"/>
      <c r="AG18" s="17"/>
      <c r="AH18" s="17"/>
      <c r="AI18" s="17"/>
      <c r="AJ18" s="17"/>
      <c r="AK18" s="17"/>
    </row>
    <row r="19" spans="1:37" ht="16.5" x14ac:dyDescent="0.25">
      <c r="A19" s="153"/>
      <c r="B19" s="14"/>
      <c r="C19" s="17"/>
      <c r="D19" s="17"/>
      <c r="E19" s="17"/>
      <c r="F19" s="17"/>
      <c r="G19" s="17"/>
      <c r="H19" s="17"/>
      <c r="I19" s="17"/>
      <c r="J19" s="17"/>
      <c r="K19" s="13"/>
      <c r="L19" s="13"/>
      <c r="M19" s="13"/>
      <c r="N19" s="3"/>
      <c r="O19" s="17">
        <v>235598</v>
      </c>
      <c r="P19" s="13"/>
      <c r="Q19" s="13"/>
      <c r="R19" s="17"/>
      <c r="S19" s="17"/>
      <c r="T19" s="17"/>
      <c r="U19" s="17"/>
      <c r="V19" s="17"/>
      <c r="W19" s="17"/>
      <c r="X19" s="17"/>
      <c r="Y19" s="17"/>
      <c r="Z19" s="17"/>
      <c r="AA19" s="17"/>
      <c r="AB19" s="17"/>
      <c r="AC19" s="17"/>
      <c r="AD19" s="17"/>
      <c r="AE19" s="17"/>
      <c r="AF19" s="17"/>
      <c r="AG19" s="17"/>
      <c r="AH19" s="17"/>
      <c r="AI19" s="17"/>
      <c r="AJ19" s="17"/>
      <c r="AK19" s="17"/>
    </row>
    <row r="20" spans="1:37" ht="16.5" x14ac:dyDescent="0.25">
      <c r="A20" s="153"/>
      <c r="B20" s="14"/>
      <c r="C20" s="17"/>
      <c r="D20" s="17"/>
      <c r="E20" s="17"/>
      <c r="F20" s="17"/>
      <c r="G20" s="17"/>
      <c r="H20" s="17"/>
      <c r="I20" s="17"/>
      <c r="J20" s="17"/>
      <c r="K20" s="13"/>
      <c r="L20" s="13"/>
      <c r="M20" s="13"/>
      <c r="N20" s="3"/>
      <c r="O20" s="17">
        <v>248680</v>
      </c>
      <c r="P20" s="13"/>
      <c r="Q20" s="13"/>
      <c r="R20" s="17"/>
      <c r="S20" s="17"/>
      <c r="T20" s="17"/>
      <c r="U20" s="17"/>
      <c r="V20" s="17"/>
      <c r="W20" s="17"/>
      <c r="X20" s="17"/>
      <c r="Y20" s="17"/>
      <c r="Z20" s="17"/>
      <c r="AA20" s="17"/>
      <c r="AB20" s="17"/>
      <c r="AC20" s="17"/>
      <c r="AD20" s="17"/>
      <c r="AE20" s="17"/>
      <c r="AF20" s="17"/>
      <c r="AG20" s="17"/>
      <c r="AH20" s="17"/>
      <c r="AI20" s="17"/>
      <c r="AJ20" s="17"/>
      <c r="AK20" s="17"/>
    </row>
    <row r="21" spans="1:37" x14ac:dyDescent="0.25">
      <c r="A21" s="3"/>
      <c r="B21" s="7"/>
      <c r="C21" s="7"/>
      <c r="D21" s="7"/>
      <c r="E21" s="7"/>
      <c r="F21" s="7"/>
      <c r="G21" s="7"/>
      <c r="H21" s="7"/>
      <c r="I21" s="7"/>
      <c r="J21" s="7"/>
      <c r="N21" s="3"/>
      <c r="O21" s="7"/>
      <c r="R21" s="7"/>
      <c r="S21" s="7"/>
      <c r="T21" s="7"/>
      <c r="U21" s="7"/>
      <c r="V21" s="7"/>
      <c r="W21" s="7"/>
      <c r="X21" s="7"/>
      <c r="Y21" s="7"/>
      <c r="Z21" s="7"/>
      <c r="AA21" s="7"/>
      <c r="AB21" s="7"/>
      <c r="AC21" s="7"/>
      <c r="AD21" s="7"/>
      <c r="AE21" s="7"/>
      <c r="AF21" s="7"/>
      <c r="AG21" s="7"/>
      <c r="AH21" s="7"/>
      <c r="AI21" s="7"/>
      <c r="AJ21" s="7"/>
      <c r="AK21" s="7"/>
    </row>
    <row r="22" spans="1:37" x14ac:dyDescent="0.25">
      <c r="A22" s="3" t="str">
        <f>A4</f>
        <v>Noms des groupes</v>
      </c>
      <c r="B22" s="3" t="str">
        <f t="shared" ref="B22:AD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Prochloraz-0.063mg/L</v>
      </c>
      <c r="J22" s="3" t="str">
        <f t="shared" si="0"/>
        <v>Prochloraz-0.13mg/L</v>
      </c>
      <c r="K22" s="3" t="str">
        <f t="shared" si="0"/>
        <v>Prochloraz-0.25mg/L</v>
      </c>
      <c r="L22" s="3" t="str">
        <f t="shared" si="0"/>
        <v>Prochloraz-0.5mg/L</v>
      </c>
      <c r="M22" s="3" t="str">
        <f t="shared" si="0"/>
        <v>Prochloraz-1.0mg/L</v>
      </c>
      <c r="N22" s="3" t="s">
        <v>22</v>
      </c>
      <c r="O22" s="3" t="str">
        <f t="shared" si="0"/>
        <v>Testo -30µg/L</v>
      </c>
      <c r="P22" s="3" t="str">
        <f t="shared" si="0"/>
        <v>Testo 30µg/L + EE2 -64ng/L</v>
      </c>
      <c r="Q22" s="3" t="str">
        <f t="shared" si="0"/>
        <v>Testo 30µg/L + FAD-10mg/L</v>
      </c>
      <c r="R22" s="3" t="str">
        <f t="shared" si="0"/>
        <v>Prochloraz-0.063mg/L + Testostérone</v>
      </c>
      <c r="S22" s="3" t="str">
        <f t="shared" si="0"/>
        <v>Prochloraz-0.13mg/L + Testostérone</v>
      </c>
      <c r="T22" s="3" t="str">
        <f t="shared" si="0"/>
        <v>Prochloraz-0.25mg/L + Testostérone</v>
      </c>
      <c r="U22" s="3" t="str">
        <f t="shared" si="0"/>
        <v>Prochloraz-0.5mg/L + Testostérone</v>
      </c>
      <c r="V22" s="3" t="str">
        <f t="shared" si="0"/>
        <v>Prochloraz-1.0mg/L + Testostérone</v>
      </c>
      <c r="W22" s="3" t="str">
        <f t="shared" si="0"/>
        <v>0-00 + Testostérone</v>
      </c>
      <c r="X22" s="3" t="str">
        <f t="shared" si="0"/>
        <v>0-00 + Testostérone</v>
      </c>
      <c r="Y22" s="3" t="str">
        <f t="shared" si="0"/>
        <v>0-00 + Testostérone</v>
      </c>
      <c r="Z22" s="3" t="str">
        <f t="shared" si="0"/>
        <v>0-00 + Testostérone</v>
      </c>
      <c r="AA22" s="3" t="str">
        <f t="shared" si="0"/>
        <v>0-00 + Testostérone</v>
      </c>
      <c r="AB22" s="3" t="str">
        <f t="shared" si="0"/>
        <v>0-00 + Testostérone</v>
      </c>
      <c r="AC22" s="3" t="str">
        <f t="shared" si="0"/>
        <v>0-00 + Testostérone</v>
      </c>
      <c r="AD22" s="3" t="str">
        <f t="shared" si="0"/>
        <v>0-00 + Testostérone</v>
      </c>
      <c r="AE22" s="3" t="str">
        <f t="shared" ref="AE22:AK22" si="1">AE4</f>
        <v>0-00 + Testostérone</v>
      </c>
      <c r="AF22" s="3" t="str">
        <f t="shared" si="1"/>
        <v>0-00 + Testostérone</v>
      </c>
      <c r="AG22" s="3" t="str">
        <f t="shared" si="1"/>
        <v>0-00 + Testostérone</v>
      </c>
      <c r="AH22" s="3" t="str">
        <f t="shared" si="1"/>
        <v>0-00 + Testostérone</v>
      </c>
      <c r="AI22" s="3" t="str">
        <f t="shared" si="1"/>
        <v>0-00 + Testostérone</v>
      </c>
      <c r="AJ22" s="3" t="str">
        <f t="shared" si="1"/>
        <v>0-00 + Testostérone</v>
      </c>
      <c r="AK22" s="3" t="str">
        <f t="shared" si="1"/>
        <v>0-00 + Testostérone</v>
      </c>
    </row>
    <row r="23" spans="1:37" x14ac:dyDescent="0.25">
      <c r="A23" s="5" t="s">
        <v>0</v>
      </c>
      <c r="B23" s="5">
        <f t="shared" ref="B23:J23" si="2">AVERAGE(B5:B20)</f>
        <v>21941</v>
      </c>
      <c r="C23" s="5">
        <f t="shared" si="2"/>
        <v>35686.875</v>
      </c>
      <c r="D23" s="5">
        <f t="shared" si="2"/>
        <v>34108.375</v>
      </c>
      <c r="E23" s="5">
        <f t="shared" si="2"/>
        <v>202613.5</v>
      </c>
      <c r="F23" s="5">
        <f t="shared" si="2"/>
        <v>258484.375</v>
      </c>
      <c r="G23" s="5">
        <f t="shared" si="2"/>
        <v>332309.375</v>
      </c>
      <c r="H23" s="5">
        <f t="shared" si="2"/>
        <v>392082.125</v>
      </c>
      <c r="I23" s="5">
        <f t="shared" si="2"/>
        <v>16487.125</v>
      </c>
      <c r="J23" s="5">
        <f t="shared" si="2"/>
        <v>14948.142857142857</v>
      </c>
      <c r="K23" s="5"/>
      <c r="L23" s="5">
        <f>AVERAGE(L5:L20)</f>
        <v>24982.875</v>
      </c>
      <c r="M23" s="5"/>
      <c r="N23" s="5" t="s">
        <v>0</v>
      </c>
      <c r="O23" s="5">
        <f>AVERAGE(O5:O20)</f>
        <v>268545.5625</v>
      </c>
      <c r="P23" s="5">
        <f>AVERAGE(P5:P20)</f>
        <v>339253.625</v>
      </c>
      <c r="Q23" s="5">
        <f>AVERAGE(Q5:Q20)</f>
        <v>28289</v>
      </c>
      <c r="R23" s="5">
        <f>AVERAGE(R5:R20)</f>
        <v>161218.5</v>
      </c>
      <c r="S23" s="5">
        <f>AVERAGE(S5:S20)</f>
        <v>52554.375</v>
      </c>
      <c r="T23" s="5">
        <f t="shared" ref="T23:AD23" si="3">AVERAGE(T5:T20)</f>
        <v>65199.875</v>
      </c>
      <c r="U23" s="5">
        <f t="shared" si="3"/>
        <v>26565.875</v>
      </c>
      <c r="V23" s="5">
        <f t="shared" si="3"/>
        <v>62202</v>
      </c>
      <c r="W23" s="5" t="e">
        <f t="shared" si="3"/>
        <v>#DIV/0!</v>
      </c>
      <c r="X23" s="5" t="e">
        <f t="shared" si="3"/>
        <v>#DIV/0!</v>
      </c>
      <c r="Y23" s="5" t="e">
        <f t="shared" si="3"/>
        <v>#DIV/0!</v>
      </c>
      <c r="Z23" s="5" t="e">
        <f t="shared" si="3"/>
        <v>#DIV/0!</v>
      </c>
      <c r="AA23" s="5" t="e">
        <f t="shared" si="3"/>
        <v>#DIV/0!</v>
      </c>
      <c r="AB23" s="5" t="e">
        <f t="shared" si="3"/>
        <v>#DIV/0!</v>
      </c>
      <c r="AC23" s="5" t="e">
        <f t="shared" si="3"/>
        <v>#DIV/0!</v>
      </c>
      <c r="AD23" s="5" t="e">
        <f t="shared" si="3"/>
        <v>#DIV/0!</v>
      </c>
      <c r="AE23" s="5" t="e">
        <f t="shared" ref="AE23:AK23" si="4">AVERAGE(AE5:AE20)</f>
        <v>#DIV/0!</v>
      </c>
      <c r="AF23" s="5" t="e">
        <f t="shared" si="4"/>
        <v>#DIV/0!</v>
      </c>
      <c r="AG23" s="5" t="e">
        <f t="shared" si="4"/>
        <v>#DIV/0!</v>
      </c>
      <c r="AH23" s="5" t="e">
        <f t="shared" si="4"/>
        <v>#DIV/0!</v>
      </c>
      <c r="AI23" s="5" t="e">
        <f t="shared" si="4"/>
        <v>#DIV/0!</v>
      </c>
      <c r="AJ23" s="5" t="e">
        <f t="shared" si="4"/>
        <v>#DIV/0!</v>
      </c>
      <c r="AK23" s="5" t="e">
        <f t="shared" si="4"/>
        <v>#DIV/0!</v>
      </c>
    </row>
    <row r="24" spans="1:37" x14ac:dyDescent="0.25">
      <c r="A24" s="3" t="s">
        <v>1</v>
      </c>
      <c r="B24" s="3">
        <f t="shared" ref="B24:J24" si="5">STDEV(B5:B20)</f>
        <v>9412.753870604045</v>
      </c>
      <c r="C24" s="3">
        <f t="shared" si="5"/>
        <v>66842.134578289333</v>
      </c>
      <c r="D24" s="3">
        <f t="shared" si="5"/>
        <v>21902.348405968449</v>
      </c>
      <c r="E24" s="3">
        <f t="shared" si="5"/>
        <v>88456.381738604439</v>
      </c>
      <c r="F24" s="3">
        <f t="shared" si="5"/>
        <v>89424.643677452172</v>
      </c>
      <c r="G24" s="3">
        <f t="shared" si="5"/>
        <v>35601.686576972723</v>
      </c>
      <c r="H24" s="3">
        <f t="shared" si="5"/>
        <v>65940.663444899998</v>
      </c>
      <c r="I24" s="3">
        <f t="shared" si="5"/>
        <v>12210.395611205349</v>
      </c>
      <c r="J24" s="3">
        <f t="shared" si="5"/>
        <v>12705.066606523182</v>
      </c>
      <c r="K24" s="3"/>
      <c r="L24" s="3">
        <f>STDEV(L5:L20)</f>
        <v>25269.982160870521</v>
      </c>
      <c r="M24" s="3"/>
      <c r="N24" s="3" t="s">
        <v>1</v>
      </c>
      <c r="O24" s="3">
        <f>STDEV(O5:O20)</f>
        <v>52314.836221947276</v>
      </c>
      <c r="P24" s="3">
        <f>STDEV(P5:P20)</f>
        <v>36649.328315565937</v>
      </c>
      <c r="Q24" s="3">
        <f>STDEV(Q5:Q20)</f>
        <v>13985.717245001875</v>
      </c>
      <c r="R24" s="3">
        <f>STDEV(R5:R20)</f>
        <v>81282.286557404368</v>
      </c>
      <c r="S24" s="3">
        <f>STDEV(S5:S20)</f>
        <v>51742.927160385894</v>
      </c>
      <c r="T24" s="3">
        <f t="shared" ref="T24:AD24" si="6">STDEV(T5:T20)</f>
        <v>52382.670818935912</v>
      </c>
      <c r="U24" s="3">
        <f t="shared" si="6"/>
        <v>12814.203686729816</v>
      </c>
      <c r="V24" s="3">
        <f t="shared" si="6"/>
        <v>67929.163116545795</v>
      </c>
      <c r="W24" s="3" t="e">
        <f t="shared" si="6"/>
        <v>#DIV/0!</v>
      </c>
      <c r="X24" s="3" t="e">
        <f t="shared" si="6"/>
        <v>#DIV/0!</v>
      </c>
      <c r="Y24" s="3" t="e">
        <f t="shared" si="6"/>
        <v>#DIV/0!</v>
      </c>
      <c r="Z24" s="3" t="e">
        <f t="shared" si="6"/>
        <v>#DIV/0!</v>
      </c>
      <c r="AA24" s="3" t="e">
        <f t="shared" si="6"/>
        <v>#DIV/0!</v>
      </c>
      <c r="AB24" s="3" t="e">
        <f t="shared" si="6"/>
        <v>#DIV/0!</v>
      </c>
      <c r="AC24" s="3" t="e">
        <f t="shared" si="6"/>
        <v>#DIV/0!</v>
      </c>
      <c r="AD24" s="3" t="e">
        <f t="shared" si="6"/>
        <v>#DIV/0!</v>
      </c>
      <c r="AE24" s="3" t="e">
        <f t="shared" ref="AE24:AK24" si="7">STDEV(AE5:AE20)</f>
        <v>#DIV/0!</v>
      </c>
      <c r="AF24" s="3" t="e">
        <f t="shared" si="7"/>
        <v>#DIV/0!</v>
      </c>
      <c r="AG24" s="3" t="e">
        <f t="shared" si="7"/>
        <v>#DIV/0!</v>
      </c>
      <c r="AH24" s="3" t="e">
        <f t="shared" si="7"/>
        <v>#DIV/0!</v>
      </c>
      <c r="AI24" s="3" t="e">
        <f t="shared" si="7"/>
        <v>#DIV/0!</v>
      </c>
      <c r="AJ24" s="3" t="e">
        <f t="shared" si="7"/>
        <v>#DIV/0!</v>
      </c>
      <c r="AK24" s="3" t="e">
        <f t="shared" si="7"/>
        <v>#DIV/0!</v>
      </c>
    </row>
    <row r="25" spans="1:37" ht="15.75" thickBot="1" x14ac:dyDescent="0.3"/>
    <row r="26" spans="1:37" ht="15.75" thickBot="1" x14ac:dyDescent="0.3">
      <c r="B26" s="150" t="s">
        <v>6</v>
      </c>
      <c r="C26" s="151"/>
      <c r="D26" s="151"/>
      <c r="E26" s="151"/>
      <c r="F26" s="151"/>
      <c r="G26" s="151"/>
      <c r="H26" s="151"/>
      <c r="I26" s="151"/>
      <c r="J26" s="151"/>
      <c r="K26" s="151"/>
      <c r="L26" s="151"/>
      <c r="M26" s="151"/>
      <c r="O26" s="150" t="s">
        <v>3</v>
      </c>
      <c r="P26" s="151"/>
      <c r="Q26" s="151"/>
      <c r="R26" s="151"/>
      <c r="S26" s="151"/>
      <c r="T26" s="151"/>
      <c r="U26" s="151"/>
      <c r="V26" s="151"/>
      <c r="W26" s="151"/>
      <c r="X26" s="151"/>
      <c r="Y26" s="151"/>
      <c r="Z26" s="151"/>
      <c r="AA26" s="151"/>
      <c r="AB26" s="151"/>
      <c r="AC26" s="151"/>
      <c r="AD26" s="151"/>
      <c r="AE26" s="151"/>
      <c r="AF26" s="151"/>
      <c r="AG26" s="151"/>
      <c r="AH26" s="151"/>
      <c r="AI26" s="151"/>
      <c r="AJ26" s="151"/>
      <c r="AK26" s="152"/>
    </row>
    <row r="27" spans="1:37" x14ac:dyDescent="0.25">
      <c r="A27" s="19" t="s">
        <v>22</v>
      </c>
      <c r="B27" s="20" t="str">
        <f>B4</f>
        <v>Solvent control</v>
      </c>
      <c r="C27" s="20" t="str">
        <f t="shared" ref="C27:M27" si="8">C4</f>
        <v>EE2-33.8ng/L</v>
      </c>
      <c r="D27" s="20" t="str">
        <f t="shared" si="8"/>
        <v>EE2-50.6ng/L</v>
      </c>
      <c r="E27" s="20" t="str">
        <f t="shared" si="8"/>
        <v>EE2-76ng/L</v>
      </c>
      <c r="F27" s="20" t="str">
        <f t="shared" si="8"/>
        <v>EE2-114ng/L</v>
      </c>
      <c r="G27" s="20" t="str">
        <f t="shared" si="8"/>
        <v>EE2-170.9ng/L</v>
      </c>
      <c r="H27" s="20" t="str">
        <f t="shared" si="8"/>
        <v>EE2-488ng/L</v>
      </c>
      <c r="I27" s="20" t="str">
        <f t="shared" si="8"/>
        <v>Prochloraz-0.063mg/L</v>
      </c>
      <c r="J27" s="20" t="str">
        <f t="shared" si="8"/>
        <v>Prochloraz-0.13mg/L</v>
      </c>
      <c r="K27" s="20" t="str">
        <f t="shared" si="8"/>
        <v>Prochloraz-0.25mg/L</v>
      </c>
      <c r="L27" s="20" t="str">
        <f t="shared" si="8"/>
        <v>Prochloraz-0.5mg/L</v>
      </c>
      <c r="M27" s="20" t="str">
        <f t="shared" si="8"/>
        <v>Prochloraz-1.0mg/L</v>
      </c>
      <c r="N27" s="3"/>
      <c r="O27" s="21" t="str">
        <f>O4</f>
        <v>Testo -30µg/L</v>
      </c>
      <c r="P27" s="21" t="str">
        <f t="shared" ref="P27:R27" si="9">P4</f>
        <v>Testo 30µg/L + EE2 -64ng/L</v>
      </c>
      <c r="Q27" s="21" t="str">
        <f t="shared" si="9"/>
        <v>Testo 30µg/L + FAD-10mg/L</v>
      </c>
      <c r="R27" s="21" t="str">
        <f t="shared" si="9"/>
        <v>Prochloraz-0.063mg/L + Testostérone</v>
      </c>
      <c r="S27" s="21" t="str">
        <f t="shared" ref="S27:AK27" si="10">S4</f>
        <v>Prochloraz-0.13mg/L + Testostérone</v>
      </c>
      <c r="T27" s="21" t="str">
        <f t="shared" si="10"/>
        <v>Prochloraz-0.25mg/L + Testostérone</v>
      </c>
      <c r="U27" s="21" t="str">
        <f t="shared" si="10"/>
        <v>Prochloraz-0.5mg/L + Testostérone</v>
      </c>
      <c r="V27" s="21" t="str">
        <f t="shared" si="10"/>
        <v>Prochloraz-1.0mg/L + Testostérone</v>
      </c>
      <c r="W27" s="21" t="str">
        <f t="shared" si="10"/>
        <v>0-00 + Testostérone</v>
      </c>
      <c r="X27" s="21" t="str">
        <f t="shared" si="10"/>
        <v>0-00 + Testostérone</v>
      </c>
      <c r="Y27" s="21" t="str">
        <f t="shared" si="10"/>
        <v>0-00 + Testostérone</v>
      </c>
      <c r="Z27" s="21" t="str">
        <f t="shared" si="10"/>
        <v>0-00 + Testostérone</v>
      </c>
      <c r="AA27" s="21" t="str">
        <f t="shared" si="10"/>
        <v>0-00 + Testostérone</v>
      </c>
      <c r="AB27" s="21" t="str">
        <f t="shared" si="10"/>
        <v>0-00 + Testostérone</v>
      </c>
      <c r="AC27" s="21" t="str">
        <f t="shared" si="10"/>
        <v>0-00 + Testostérone</v>
      </c>
      <c r="AD27" s="21" t="str">
        <f t="shared" si="10"/>
        <v>0-00 + Testostérone</v>
      </c>
      <c r="AE27" s="21" t="str">
        <f t="shared" si="10"/>
        <v>0-00 + Testostérone</v>
      </c>
      <c r="AF27" s="21" t="str">
        <f t="shared" si="10"/>
        <v>0-00 + Testostérone</v>
      </c>
      <c r="AG27" s="21" t="str">
        <f t="shared" si="10"/>
        <v>0-00 + Testostérone</v>
      </c>
      <c r="AH27" s="21" t="str">
        <f t="shared" si="10"/>
        <v>0-00 + Testostérone</v>
      </c>
      <c r="AI27" s="21" t="str">
        <f t="shared" si="10"/>
        <v>0-00 + Testostérone</v>
      </c>
      <c r="AJ27" s="21" t="str">
        <f t="shared" si="10"/>
        <v>0-00 + Testostérone</v>
      </c>
      <c r="AK27" s="21" t="str">
        <f t="shared" si="10"/>
        <v>0-00 + Testostérone</v>
      </c>
    </row>
    <row r="28" spans="1:37" x14ac:dyDescent="0.25">
      <c r="A28" s="154" t="s">
        <v>17</v>
      </c>
      <c r="B28" s="11">
        <f t="shared" ref="B28:M28" si="11">IF(B5="","",(B5/$O$23))</f>
        <v>9.9964414790879294E-2</v>
      </c>
      <c r="C28" s="11">
        <f t="shared" si="11"/>
        <v>5.0605937679569737E-2</v>
      </c>
      <c r="D28" s="11">
        <f t="shared" si="11"/>
        <v>0.10616820376616724</v>
      </c>
      <c r="E28" s="11">
        <f t="shared" si="11"/>
        <v>1.0347666794903752</v>
      </c>
      <c r="F28" s="11">
        <f t="shared" si="11"/>
        <v>0.97907780546550649</v>
      </c>
      <c r="G28" s="11">
        <f t="shared" si="11"/>
        <v>1.2966961611961099</v>
      </c>
      <c r="H28" s="11">
        <f t="shared" si="11"/>
        <v>1.0648099984895487</v>
      </c>
      <c r="I28" s="11">
        <f t="shared" si="11"/>
        <v>0</v>
      </c>
      <c r="J28" s="11">
        <f t="shared" si="11"/>
        <v>9.16418047309942E-3</v>
      </c>
      <c r="K28" s="11">
        <f t="shared" si="11"/>
        <v>0.15046981087241015</v>
      </c>
      <c r="L28" s="11">
        <f t="shared" si="11"/>
        <v>5.7312434645052084E-2</v>
      </c>
      <c r="M28" s="11">
        <f t="shared" si="11"/>
        <v>7.0639782029539213E-3</v>
      </c>
      <c r="N28" s="6"/>
      <c r="O28" s="11">
        <f t="shared" ref="O28:S37" si="12">IF(O5="","",(O5/$O$23))</f>
        <v>0.86304907756574822</v>
      </c>
      <c r="P28" s="11">
        <f t="shared" si="12"/>
        <v>1.4466074076349706</v>
      </c>
      <c r="Q28" s="11">
        <f t="shared" si="12"/>
        <v>3.7412645759134451E-2</v>
      </c>
      <c r="R28" s="11">
        <f t="shared" si="12"/>
        <v>0.43247409831990802</v>
      </c>
      <c r="S28" s="11">
        <f t="shared" si="12"/>
        <v>0.20446437278217919</v>
      </c>
      <c r="T28" s="11">
        <f t="shared" ref="T28:AK28" si="13">IF(T5="","",(T5/$O$23))</f>
        <v>0.13878836668544839</v>
      </c>
      <c r="U28" s="11">
        <f t="shared" si="13"/>
        <v>8.7419057613361231E-2</v>
      </c>
      <c r="V28" s="11">
        <f t="shared" si="13"/>
        <v>0.1515571496363862</v>
      </c>
      <c r="W28" s="11" t="str">
        <f t="shared" si="13"/>
        <v/>
      </c>
      <c r="X28" s="11" t="str">
        <f t="shared" si="13"/>
        <v/>
      </c>
      <c r="Y28" s="11" t="str">
        <f t="shared" si="13"/>
        <v/>
      </c>
      <c r="Z28" s="11" t="str">
        <f t="shared" si="13"/>
        <v/>
      </c>
      <c r="AA28" s="11" t="str">
        <f t="shared" si="13"/>
        <v/>
      </c>
      <c r="AB28" s="11" t="str">
        <f t="shared" si="13"/>
        <v/>
      </c>
      <c r="AC28" s="11" t="str">
        <f t="shared" si="13"/>
        <v/>
      </c>
      <c r="AD28" s="11" t="str">
        <f t="shared" si="13"/>
        <v/>
      </c>
      <c r="AE28" s="11" t="str">
        <f t="shared" si="13"/>
        <v/>
      </c>
      <c r="AF28" s="11" t="str">
        <f t="shared" si="13"/>
        <v/>
      </c>
      <c r="AG28" s="11" t="str">
        <f t="shared" si="13"/>
        <v/>
      </c>
      <c r="AH28" s="11" t="str">
        <f t="shared" si="13"/>
        <v/>
      </c>
      <c r="AI28" s="11" t="str">
        <f t="shared" si="13"/>
        <v/>
      </c>
      <c r="AJ28" s="11" t="str">
        <f t="shared" si="13"/>
        <v/>
      </c>
      <c r="AK28" s="11" t="str">
        <f t="shared" si="13"/>
        <v/>
      </c>
    </row>
    <row r="29" spans="1:37" x14ac:dyDescent="0.25">
      <c r="A29" s="154"/>
      <c r="B29" s="11">
        <f t="shared" ref="B29:M29" si="14">IF(B6="","",(B6/$O$23))</f>
        <v>4.5355432004205991E-2</v>
      </c>
      <c r="C29" s="11">
        <f t="shared" si="14"/>
        <v>0.10743055938598874</v>
      </c>
      <c r="D29" s="11">
        <f t="shared" si="14"/>
        <v>5.1387927886538808E-2</v>
      </c>
      <c r="E29" s="11">
        <f t="shared" si="14"/>
        <v>0.98172167711763991</v>
      </c>
      <c r="F29" s="11">
        <f t="shared" si="14"/>
        <v>1.1667256650349602</v>
      </c>
      <c r="G29" s="11">
        <f t="shared" si="14"/>
        <v>1.0794369391227605</v>
      </c>
      <c r="H29" s="11">
        <f t="shared" si="14"/>
        <v>1.2794402439623258</v>
      </c>
      <c r="I29" s="11">
        <f t="shared" si="14"/>
        <v>1.5874401201472096E-2</v>
      </c>
      <c r="J29" s="11">
        <f t="shared" si="14"/>
        <v>0.14043426988297378</v>
      </c>
      <c r="K29" s="11">
        <f t="shared" si="14"/>
        <v>4.0626253133488289E-3</v>
      </c>
      <c r="L29" s="11">
        <f t="shared" si="14"/>
        <v>8.7024338746986372E-3</v>
      </c>
      <c r="M29" s="11">
        <f t="shared" si="14"/>
        <v>8.092853889551796E-2</v>
      </c>
      <c r="N29" s="6"/>
      <c r="O29" s="11">
        <f t="shared" si="12"/>
        <v>1.2602442462626804</v>
      </c>
      <c r="P29" s="11">
        <f t="shared" si="12"/>
        <v>1.3404950603121584</v>
      </c>
      <c r="Q29" s="11">
        <f t="shared" si="12"/>
        <v>0.13410759673230496</v>
      </c>
      <c r="R29" s="11">
        <f t="shared" si="12"/>
        <v>0.64714902894736903</v>
      </c>
      <c r="S29" s="11">
        <f t="shared" si="12"/>
        <v>1.6868645893189912E-2</v>
      </c>
      <c r="T29" s="11">
        <f t="shared" ref="T29:AK29" si="15">IF(T6="","",(T6/$O$23))</f>
        <v>0.2853742928632455</v>
      </c>
      <c r="U29" s="11">
        <f t="shared" si="15"/>
        <v>9.6974233189945191E-2</v>
      </c>
      <c r="V29" s="11">
        <f t="shared" si="15"/>
        <v>1.366248604461673E-2</v>
      </c>
      <c r="W29" s="11" t="str">
        <f t="shared" si="15"/>
        <v/>
      </c>
      <c r="X29" s="11" t="str">
        <f t="shared" si="15"/>
        <v/>
      </c>
      <c r="Y29" s="11" t="str">
        <f t="shared" si="15"/>
        <v/>
      </c>
      <c r="Z29" s="11" t="str">
        <f t="shared" si="15"/>
        <v/>
      </c>
      <c r="AA29" s="11" t="str">
        <f t="shared" si="15"/>
        <v/>
      </c>
      <c r="AB29" s="11" t="str">
        <f t="shared" si="15"/>
        <v/>
      </c>
      <c r="AC29" s="11" t="str">
        <f t="shared" si="15"/>
        <v/>
      </c>
      <c r="AD29" s="11" t="str">
        <f t="shared" si="15"/>
        <v/>
      </c>
      <c r="AE29" s="11" t="str">
        <f t="shared" si="15"/>
        <v/>
      </c>
      <c r="AF29" s="11" t="str">
        <f t="shared" si="15"/>
        <v/>
      </c>
      <c r="AG29" s="11" t="str">
        <f t="shared" si="15"/>
        <v/>
      </c>
      <c r="AH29" s="11" t="str">
        <f t="shared" si="15"/>
        <v/>
      </c>
      <c r="AI29" s="11" t="str">
        <f t="shared" si="15"/>
        <v/>
      </c>
      <c r="AJ29" s="11" t="str">
        <f t="shared" si="15"/>
        <v/>
      </c>
      <c r="AK29" s="11" t="str">
        <f t="shared" si="15"/>
        <v/>
      </c>
    </row>
    <row r="30" spans="1:37" x14ac:dyDescent="0.25">
      <c r="A30" s="154"/>
      <c r="B30" s="11">
        <f t="shared" ref="B30:M30" si="16">IF(B7="","",(B7/$O$23))</f>
        <v>4.4026048652358575E-2</v>
      </c>
      <c r="C30" s="11">
        <f t="shared" si="16"/>
        <v>0.74533348507667108</v>
      </c>
      <c r="D30" s="11">
        <f t="shared" si="16"/>
        <v>0.27680591445259872</v>
      </c>
      <c r="E30" s="11">
        <f t="shared" si="16"/>
        <v>0.73728643347067035</v>
      </c>
      <c r="F30" s="11">
        <f t="shared" si="16"/>
        <v>0.70544826075835831</v>
      </c>
      <c r="G30" s="11">
        <f t="shared" si="16"/>
        <v>1.1612405622975059</v>
      </c>
      <c r="H30" s="11">
        <f t="shared" si="16"/>
        <v>1.3200590495700333</v>
      </c>
      <c r="I30" s="11">
        <f t="shared" si="16"/>
        <v>4.3709528806680616E-2</v>
      </c>
      <c r="J30" s="11">
        <f t="shared" si="16"/>
        <v>3.800844782158707E-2</v>
      </c>
      <c r="K30" s="11">
        <f t="shared" si="16"/>
        <v>0</v>
      </c>
      <c r="L30" s="11">
        <f t="shared" si="16"/>
        <v>0.26298703036658816</v>
      </c>
      <c r="M30" s="11">
        <f t="shared" si="16"/>
        <v>0.1297284515732782</v>
      </c>
      <c r="N30" s="6"/>
      <c r="O30" s="11">
        <f t="shared" si="12"/>
        <v>0.67533419026426844</v>
      </c>
      <c r="P30" s="11">
        <f t="shared" si="12"/>
        <v>1.1955401422803253</v>
      </c>
      <c r="Q30" s="11">
        <f t="shared" si="12"/>
        <v>0.13331443523666492</v>
      </c>
      <c r="R30" s="11">
        <f t="shared" si="12"/>
        <v>0.73898819311155062</v>
      </c>
      <c r="S30" s="11">
        <f t="shared" si="12"/>
        <v>0.53197304274949619</v>
      </c>
      <c r="T30" s="11">
        <f t="shared" ref="T30:AK30" si="17">IF(T7="","",(T7/$O$23))</f>
        <v>0.21518136238054575</v>
      </c>
      <c r="U30" s="11">
        <f t="shared" si="17"/>
        <v>0.11396576325851596</v>
      </c>
      <c r="V30" s="11">
        <f t="shared" si="17"/>
        <v>0.73190187233125481</v>
      </c>
      <c r="W30" s="11" t="str">
        <f t="shared" si="17"/>
        <v/>
      </c>
      <c r="X30" s="11" t="str">
        <f t="shared" si="17"/>
        <v/>
      </c>
      <c r="Y30" s="11" t="str">
        <f t="shared" si="17"/>
        <v/>
      </c>
      <c r="Z30" s="11" t="str">
        <f t="shared" si="17"/>
        <v/>
      </c>
      <c r="AA30" s="11" t="str">
        <f t="shared" si="17"/>
        <v/>
      </c>
      <c r="AB30" s="11" t="str">
        <f t="shared" si="17"/>
        <v/>
      </c>
      <c r="AC30" s="11" t="str">
        <f t="shared" si="17"/>
        <v/>
      </c>
      <c r="AD30" s="11" t="str">
        <f t="shared" si="17"/>
        <v/>
      </c>
      <c r="AE30" s="11" t="str">
        <f t="shared" si="17"/>
        <v/>
      </c>
      <c r="AF30" s="11" t="str">
        <f t="shared" si="17"/>
        <v/>
      </c>
      <c r="AG30" s="11" t="str">
        <f t="shared" si="17"/>
        <v/>
      </c>
      <c r="AH30" s="11" t="str">
        <f t="shared" si="17"/>
        <v/>
      </c>
      <c r="AI30" s="11" t="str">
        <f t="shared" si="17"/>
        <v/>
      </c>
      <c r="AJ30" s="11" t="str">
        <f t="shared" si="17"/>
        <v/>
      </c>
      <c r="AK30" s="11" t="str">
        <f t="shared" si="17"/>
        <v/>
      </c>
    </row>
    <row r="31" spans="1:37" x14ac:dyDescent="0.25">
      <c r="A31" s="154"/>
      <c r="B31" s="11">
        <f t="shared" ref="B31:M31" si="18">IF(B8="","",(B8/$O$23))</f>
        <v>0.12099622759545692</v>
      </c>
      <c r="C31" s="11">
        <f t="shared" si="18"/>
        <v>2.0808387031157886E-2</v>
      </c>
      <c r="D31" s="11">
        <f t="shared" si="18"/>
        <v>0.14495864179472337</v>
      </c>
      <c r="E31" s="11">
        <f t="shared" si="18"/>
        <v>4.1277911639295846E-2</v>
      </c>
      <c r="F31" s="11">
        <f t="shared" si="18"/>
        <v>1.2304094579853651</v>
      </c>
      <c r="G31" s="11">
        <f t="shared" si="18"/>
        <v>1.2038850949175524</v>
      </c>
      <c r="H31" s="11">
        <f t="shared" si="18"/>
        <v>1.7568936742345165</v>
      </c>
      <c r="I31" s="11">
        <f t="shared" si="18"/>
        <v>0.12682019275593132</v>
      </c>
      <c r="J31" s="11">
        <f t="shared" si="18"/>
        <v>2.906024559612673E-2</v>
      </c>
      <c r="K31" s="11">
        <f t="shared" si="18"/>
        <v>9.3466448547255363E-4</v>
      </c>
      <c r="L31" s="11">
        <f t="shared" si="18"/>
        <v>0.21569524165941115</v>
      </c>
      <c r="M31" s="11">
        <f t="shared" si="18"/>
        <v>3.9501676740608963E-2</v>
      </c>
      <c r="N31" s="6"/>
      <c r="O31" s="11">
        <f t="shared" si="12"/>
        <v>0.93836590578554058</v>
      </c>
      <c r="P31" s="11">
        <f t="shared" si="12"/>
        <v>1.0735794600962731</v>
      </c>
      <c r="Q31" s="11">
        <f t="shared" si="12"/>
        <v>7.8027727603951755E-2</v>
      </c>
      <c r="R31" s="11">
        <f t="shared" si="12"/>
        <v>3.8488813234439499E-2</v>
      </c>
      <c r="S31" s="11">
        <f t="shared" si="12"/>
        <v>0.1478222154573863</v>
      </c>
      <c r="T31" s="11">
        <f t="shared" ref="T31:AK31" si="19">IF(T8="","",(T8/$O$23))</f>
        <v>0.28592540977101416</v>
      </c>
      <c r="U31" s="11">
        <f t="shared" si="19"/>
        <v>2.6338174923296303E-2</v>
      </c>
      <c r="V31" s="11">
        <f t="shared" si="19"/>
        <v>2.7146231470497675E-3</v>
      </c>
      <c r="W31" s="11" t="str">
        <f t="shared" si="19"/>
        <v/>
      </c>
      <c r="X31" s="11" t="str">
        <f t="shared" si="19"/>
        <v/>
      </c>
      <c r="Y31" s="11" t="str">
        <f t="shared" si="19"/>
        <v/>
      </c>
      <c r="Z31" s="11" t="str">
        <f t="shared" si="19"/>
        <v/>
      </c>
      <c r="AA31" s="11" t="str">
        <f t="shared" si="19"/>
        <v/>
      </c>
      <c r="AB31" s="11" t="str">
        <f t="shared" si="19"/>
        <v/>
      </c>
      <c r="AC31" s="11" t="str">
        <f t="shared" si="19"/>
        <v/>
      </c>
      <c r="AD31" s="11" t="str">
        <f t="shared" si="19"/>
        <v/>
      </c>
      <c r="AE31" s="11" t="str">
        <f t="shared" si="19"/>
        <v/>
      </c>
      <c r="AF31" s="11" t="str">
        <f t="shared" si="19"/>
        <v/>
      </c>
      <c r="AG31" s="11" t="str">
        <f t="shared" si="19"/>
        <v/>
      </c>
      <c r="AH31" s="11" t="str">
        <f t="shared" si="19"/>
        <v/>
      </c>
      <c r="AI31" s="11" t="str">
        <f t="shared" si="19"/>
        <v/>
      </c>
      <c r="AJ31" s="11" t="str">
        <f t="shared" si="19"/>
        <v/>
      </c>
      <c r="AK31" s="11" t="str">
        <f t="shared" si="19"/>
        <v/>
      </c>
    </row>
    <row r="32" spans="1:37" x14ac:dyDescent="0.25">
      <c r="A32" s="154"/>
      <c r="B32" s="11">
        <f t="shared" ref="B32:M32" si="20">IF(B9="","",(B9/$O$23))</f>
        <v>3.6835462511133468E-2</v>
      </c>
      <c r="C32" s="11">
        <f t="shared" si="20"/>
        <v>4.0953944267837231E-2</v>
      </c>
      <c r="D32" s="11">
        <f t="shared" si="20"/>
        <v>0.19146099276915068</v>
      </c>
      <c r="E32" s="11">
        <f t="shared" si="20"/>
        <v>0.67121198474467436</v>
      </c>
      <c r="F32" s="11">
        <f t="shared" si="20"/>
        <v>0.37893383548275911</v>
      </c>
      <c r="G32" s="11">
        <f t="shared" si="20"/>
        <v>1.4800579696787952</v>
      </c>
      <c r="H32" s="11">
        <f t="shared" si="20"/>
        <v>1.7344468315316139</v>
      </c>
      <c r="I32" s="11">
        <f t="shared" si="20"/>
        <v>0.10575858984823105</v>
      </c>
      <c r="J32" s="11">
        <f t="shared" si="20"/>
        <v>1.2865600786086347E-2</v>
      </c>
      <c r="K32" s="11">
        <f t="shared" si="20"/>
        <v>4.8565315615669499E-2</v>
      </c>
      <c r="L32" s="11">
        <f t="shared" si="20"/>
        <v>7.8735242553114246E-2</v>
      </c>
      <c r="M32" s="11">
        <f t="shared" si="20"/>
        <v>0.11550367733222179</v>
      </c>
      <c r="N32" s="6"/>
      <c r="O32" s="11">
        <f t="shared" si="12"/>
        <v>1.0815892740733708</v>
      </c>
      <c r="P32" s="11">
        <f t="shared" si="12"/>
        <v>1.3331369048408686</v>
      </c>
      <c r="Q32" s="11">
        <f t="shared" si="12"/>
        <v>6.5165850580755733E-2</v>
      </c>
      <c r="R32" s="11">
        <f t="shared" si="12"/>
        <v>1.0361630905742485</v>
      </c>
      <c r="S32" s="11">
        <f t="shared" si="12"/>
        <v>0.45102588503952656</v>
      </c>
      <c r="T32" s="11">
        <f t="shared" ref="T32:AK32" si="21">IF(T9="","",(T9/$O$23))</f>
        <v>0.13417090070144055</v>
      </c>
      <c r="U32" s="11">
        <f t="shared" si="21"/>
        <v>6.1065987638503613E-2</v>
      </c>
      <c r="V32" s="11">
        <f t="shared" si="21"/>
        <v>0.47254551078273727</v>
      </c>
      <c r="W32" s="11" t="str">
        <f t="shared" si="21"/>
        <v/>
      </c>
      <c r="X32" s="11" t="str">
        <f t="shared" si="21"/>
        <v/>
      </c>
      <c r="Y32" s="11" t="str">
        <f t="shared" si="21"/>
        <v/>
      </c>
      <c r="Z32" s="11" t="str">
        <f t="shared" si="21"/>
        <v/>
      </c>
      <c r="AA32" s="11" t="str">
        <f t="shared" si="21"/>
        <v/>
      </c>
      <c r="AB32" s="11" t="str">
        <f t="shared" si="21"/>
        <v/>
      </c>
      <c r="AC32" s="11" t="str">
        <f t="shared" si="21"/>
        <v/>
      </c>
      <c r="AD32" s="11" t="str">
        <f t="shared" si="21"/>
        <v/>
      </c>
      <c r="AE32" s="11" t="str">
        <f t="shared" si="21"/>
        <v/>
      </c>
      <c r="AF32" s="11" t="str">
        <f t="shared" si="21"/>
        <v/>
      </c>
      <c r="AG32" s="11" t="str">
        <f t="shared" si="21"/>
        <v/>
      </c>
      <c r="AH32" s="11" t="str">
        <f t="shared" si="21"/>
        <v/>
      </c>
      <c r="AI32" s="11" t="str">
        <f t="shared" si="21"/>
        <v/>
      </c>
      <c r="AJ32" s="11" t="str">
        <f t="shared" si="21"/>
        <v/>
      </c>
      <c r="AK32" s="11" t="str">
        <f t="shared" si="21"/>
        <v/>
      </c>
    </row>
    <row r="33" spans="1:37" x14ac:dyDescent="0.25">
      <c r="A33" s="154"/>
      <c r="B33" s="11">
        <f t="shared" ref="B33:M33" si="22">IF(B10="","",(B10/$O$23))</f>
        <v>0.11335878990739234</v>
      </c>
      <c r="C33" s="11">
        <f t="shared" si="22"/>
        <v>2.9890644720670073E-2</v>
      </c>
      <c r="D33" s="11">
        <f t="shared" si="22"/>
        <v>7.0360499812764543E-2</v>
      </c>
      <c r="E33" s="11">
        <f t="shared" si="22"/>
        <v>0.88401386263829995</v>
      </c>
      <c r="F33" s="11">
        <f t="shared" si="22"/>
        <v>1.1406891149057807</v>
      </c>
      <c r="G33" s="11">
        <f t="shared" si="22"/>
        <v>1.2886304907756574</v>
      </c>
      <c r="H33" s="11">
        <f t="shared" si="22"/>
        <v>1.6077197328479409</v>
      </c>
      <c r="I33" s="11">
        <f t="shared" si="22"/>
        <v>4.8799912677760224E-2</v>
      </c>
      <c r="J33" s="11">
        <f t="shared" si="22"/>
        <v>7.5555149044773368E-2</v>
      </c>
      <c r="K33" s="11">
        <f t="shared" si="22"/>
        <v>0.13570509101225606</v>
      </c>
      <c r="L33" s="11">
        <f t="shared" si="22"/>
        <v>2.8553813843041998E-2</v>
      </c>
      <c r="M33" s="11">
        <f t="shared" si="22"/>
        <v>8.9079855862447918E-2</v>
      </c>
      <c r="N33" s="6"/>
      <c r="O33" s="11">
        <f t="shared" si="12"/>
        <v>1.0120144882304656</v>
      </c>
      <c r="P33" s="11">
        <f t="shared" si="12"/>
        <v>1.1273692150470742</v>
      </c>
      <c r="Q33" s="11">
        <f t="shared" si="12"/>
        <v>0.19983945927239069</v>
      </c>
      <c r="R33" s="11">
        <f t="shared" si="12"/>
        <v>0.40974424963734041</v>
      </c>
      <c r="S33" s="11">
        <f t="shared" si="12"/>
        <v>5.3458340053561676E-2</v>
      </c>
      <c r="T33" s="11">
        <f t="shared" ref="T33:AK33" si="23">IF(T10="","",(T10/$O$23))</f>
        <v>0.12717395023051256</v>
      </c>
      <c r="U33" s="11">
        <f t="shared" si="23"/>
        <v>0.18671319508398132</v>
      </c>
      <c r="V33" s="11">
        <f t="shared" si="23"/>
        <v>0.11182087583368651</v>
      </c>
      <c r="W33" s="11" t="str">
        <f t="shared" si="23"/>
        <v/>
      </c>
      <c r="X33" s="11" t="str">
        <f t="shared" si="23"/>
        <v/>
      </c>
      <c r="Y33" s="11" t="str">
        <f t="shared" si="23"/>
        <v/>
      </c>
      <c r="Z33" s="11" t="str">
        <f t="shared" si="23"/>
        <v/>
      </c>
      <c r="AA33" s="11" t="str">
        <f t="shared" si="23"/>
        <v/>
      </c>
      <c r="AB33" s="11" t="str">
        <f t="shared" si="23"/>
        <v/>
      </c>
      <c r="AC33" s="11" t="str">
        <f t="shared" si="23"/>
        <v/>
      </c>
      <c r="AD33" s="11" t="str">
        <f t="shared" si="23"/>
        <v/>
      </c>
      <c r="AE33" s="11" t="str">
        <f t="shared" si="23"/>
        <v/>
      </c>
      <c r="AF33" s="11" t="str">
        <f t="shared" si="23"/>
        <v/>
      </c>
      <c r="AG33" s="11" t="str">
        <f t="shared" si="23"/>
        <v/>
      </c>
      <c r="AH33" s="11" t="str">
        <f t="shared" si="23"/>
        <v/>
      </c>
      <c r="AI33" s="11" t="str">
        <f t="shared" si="23"/>
        <v/>
      </c>
      <c r="AJ33" s="11" t="str">
        <f t="shared" si="23"/>
        <v/>
      </c>
      <c r="AK33" s="11" t="str">
        <f t="shared" si="23"/>
        <v/>
      </c>
    </row>
    <row r="34" spans="1:37" x14ac:dyDescent="0.25">
      <c r="A34" s="154"/>
      <c r="B34" s="11">
        <f t="shared" ref="B34:M34" si="24">IF(B11="","",(B11/$O$23))</f>
        <v>0.11276298784493972</v>
      </c>
      <c r="C34" s="11">
        <f t="shared" si="24"/>
        <v>3.2646229259513458E-2</v>
      </c>
      <c r="D34" s="11">
        <f t="shared" si="24"/>
        <v>0.1473083361785209</v>
      </c>
      <c r="E34" s="11">
        <f t="shared" si="24"/>
        <v>0.64152614698297239</v>
      </c>
      <c r="F34" s="11">
        <f t="shared" si="24"/>
        <v>1.3727093330763938</v>
      </c>
      <c r="G34" s="11">
        <f t="shared" si="24"/>
        <v>1.0887314512970214</v>
      </c>
      <c r="H34" s="11">
        <f t="shared" si="24"/>
        <v>1.5775647009620575</v>
      </c>
      <c r="I34" s="11">
        <f t="shared" si="24"/>
        <v>0.10279819835041959</v>
      </c>
      <c r="J34" s="11">
        <f t="shared" si="24"/>
        <v>8.4555483950698312E-2</v>
      </c>
      <c r="K34" s="11">
        <f t="shared" si="24"/>
        <v>3.8123884471187267E-2</v>
      </c>
      <c r="L34" s="11">
        <f t="shared" si="24"/>
        <v>2.4882183633177703E-2</v>
      </c>
      <c r="M34" s="11">
        <f t="shared" si="24"/>
        <v>8.2935647093405243E-2</v>
      </c>
      <c r="N34" s="6"/>
      <c r="O34" s="11">
        <f t="shared" si="12"/>
        <v>0.88905211382891502</v>
      </c>
      <c r="P34" s="11">
        <f t="shared" si="12"/>
        <v>1.4063833208936378</v>
      </c>
      <c r="Q34" s="11">
        <f t="shared" si="12"/>
        <v>7.1485076205643872E-2</v>
      </c>
      <c r="R34" s="11">
        <f t="shared" si="12"/>
        <v>0.69964663817522588</v>
      </c>
      <c r="S34" s="11">
        <f t="shared" si="12"/>
        <v>6.8911956048426606E-2</v>
      </c>
      <c r="T34" s="11">
        <f t="shared" ref="T34:AK34" si="25">IF(T11="","",(T11/$O$23))</f>
        <v>7.0081217595989884E-2</v>
      </c>
      <c r="U34" s="11">
        <f t="shared" si="25"/>
        <v>0.13119933791495811</v>
      </c>
      <c r="V34" s="11">
        <f t="shared" si="25"/>
        <v>0.26937700748639254</v>
      </c>
      <c r="W34" s="11" t="str">
        <f t="shared" si="25"/>
        <v/>
      </c>
      <c r="X34" s="11" t="str">
        <f t="shared" si="25"/>
        <v/>
      </c>
      <c r="Y34" s="11" t="str">
        <f t="shared" si="25"/>
        <v/>
      </c>
      <c r="Z34" s="11" t="str">
        <f t="shared" si="25"/>
        <v/>
      </c>
      <c r="AA34" s="11" t="str">
        <f t="shared" si="25"/>
        <v/>
      </c>
      <c r="AB34" s="11" t="str">
        <f t="shared" si="25"/>
        <v/>
      </c>
      <c r="AC34" s="11" t="str">
        <f t="shared" si="25"/>
        <v/>
      </c>
      <c r="AD34" s="11" t="str">
        <f t="shared" si="25"/>
        <v/>
      </c>
      <c r="AE34" s="11" t="str">
        <f t="shared" si="25"/>
        <v/>
      </c>
      <c r="AF34" s="11" t="str">
        <f t="shared" si="25"/>
        <v/>
      </c>
      <c r="AG34" s="11" t="str">
        <f t="shared" si="25"/>
        <v/>
      </c>
      <c r="AH34" s="11" t="str">
        <f t="shared" si="25"/>
        <v/>
      </c>
      <c r="AI34" s="11" t="str">
        <f t="shared" si="25"/>
        <v/>
      </c>
      <c r="AJ34" s="11" t="str">
        <f t="shared" si="25"/>
        <v/>
      </c>
      <c r="AK34" s="11" t="str">
        <f t="shared" si="25"/>
        <v/>
      </c>
    </row>
    <row r="35" spans="1:37" x14ac:dyDescent="0.25">
      <c r="A35" s="154"/>
      <c r="B35" s="11">
        <f t="shared" ref="B35:M35" si="26">IF(B12="","",(B12/$O$23))</f>
        <v>8.0325289307284678E-2</v>
      </c>
      <c r="C35" s="11">
        <f t="shared" si="26"/>
        <v>3.5446498953040792E-2</v>
      </c>
      <c r="D35" s="11">
        <f t="shared" si="26"/>
        <v>2.7641491934911416E-2</v>
      </c>
      <c r="E35" s="11">
        <f t="shared" si="26"/>
        <v>1.0440723629533071</v>
      </c>
      <c r="F35" s="11">
        <f t="shared" si="26"/>
        <v>0.72628271412974843</v>
      </c>
      <c r="G35" s="11">
        <f t="shared" si="26"/>
        <v>1.3008518805817169</v>
      </c>
      <c r="H35" s="11">
        <f t="shared" si="26"/>
        <v>1.3392327046923369</v>
      </c>
      <c r="I35" s="11">
        <f t="shared" si="26"/>
        <v>4.7392330305215898E-2</v>
      </c>
      <c r="J35" s="11" t="str">
        <f t="shared" si="26"/>
        <v/>
      </c>
      <c r="K35" s="11">
        <f t="shared" si="26"/>
        <v>9.7752499634023923E-2</v>
      </c>
      <c r="L35" s="11">
        <f t="shared" si="26"/>
        <v>6.7374041974720772E-2</v>
      </c>
      <c r="M35" s="11">
        <f t="shared" si="26"/>
        <v>0</v>
      </c>
      <c r="N35" s="6"/>
      <c r="O35" s="11">
        <f t="shared" si="12"/>
        <v>1.0246529394802417</v>
      </c>
      <c r="P35" s="11">
        <f t="shared" si="12"/>
        <v>1.1832889623711433</v>
      </c>
      <c r="Q35" s="11">
        <f t="shared" si="12"/>
        <v>0.12337943584526741</v>
      </c>
      <c r="R35" s="11">
        <f t="shared" si="12"/>
        <v>0.80006162827583494</v>
      </c>
      <c r="S35" s="11">
        <f t="shared" si="12"/>
        <v>9.1075792771664207E-2</v>
      </c>
      <c r="T35" s="11">
        <f t="shared" ref="T35:AK35" si="27">IF(T12="","",(T12/$O$23))</f>
        <v>0.68561549960446655</v>
      </c>
      <c r="U35" s="11">
        <f t="shared" si="27"/>
        <v>8.7724406170368197E-2</v>
      </c>
      <c r="V35" s="11">
        <f t="shared" si="27"/>
        <v>9.9424469171781604E-2</v>
      </c>
      <c r="W35" s="11" t="str">
        <f t="shared" si="27"/>
        <v/>
      </c>
      <c r="X35" s="11" t="str">
        <f t="shared" si="27"/>
        <v/>
      </c>
      <c r="Y35" s="11" t="str">
        <f t="shared" si="27"/>
        <v/>
      </c>
      <c r="Z35" s="11" t="str">
        <f t="shared" si="27"/>
        <v/>
      </c>
      <c r="AA35" s="11" t="str">
        <f t="shared" si="27"/>
        <v/>
      </c>
      <c r="AB35" s="11" t="str">
        <f t="shared" si="27"/>
        <v/>
      </c>
      <c r="AC35" s="11" t="str">
        <f t="shared" si="27"/>
        <v/>
      </c>
      <c r="AD35" s="11" t="str">
        <f t="shared" si="27"/>
        <v/>
      </c>
      <c r="AE35" s="11" t="str">
        <f t="shared" si="27"/>
        <v/>
      </c>
      <c r="AF35" s="11" t="str">
        <f t="shared" si="27"/>
        <v/>
      </c>
      <c r="AG35" s="11" t="str">
        <f t="shared" si="27"/>
        <v/>
      </c>
      <c r="AH35" s="11" t="str">
        <f t="shared" si="27"/>
        <v/>
      </c>
      <c r="AI35" s="11" t="str">
        <f t="shared" si="27"/>
        <v/>
      </c>
      <c r="AJ35" s="11" t="str">
        <f t="shared" si="27"/>
        <v/>
      </c>
      <c r="AK35" s="11" t="str">
        <f t="shared" si="27"/>
        <v/>
      </c>
    </row>
    <row r="36" spans="1:37" x14ac:dyDescent="0.25">
      <c r="A36" s="154"/>
      <c r="B36" s="11" t="str">
        <f t="shared" ref="B36:M36" si="28">IF(B13="","",(B13/$O$23))</f>
        <v/>
      </c>
      <c r="C36" s="11" t="str">
        <f t="shared" si="28"/>
        <v/>
      </c>
      <c r="D36" s="11" t="str">
        <f t="shared" si="28"/>
        <v/>
      </c>
      <c r="E36" s="11" t="str">
        <f t="shared" si="28"/>
        <v/>
      </c>
      <c r="F36" s="11" t="str">
        <f t="shared" si="28"/>
        <v/>
      </c>
      <c r="G36" s="11" t="str">
        <f t="shared" si="28"/>
        <v/>
      </c>
      <c r="H36" s="11" t="str">
        <f t="shared" si="28"/>
        <v/>
      </c>
      <c r="I36" s="11" t="str">
        <f t="shared" si="28"/>
        <v/>
      </c>
      <c r="J36" s="11" t="str">
        <f t="shared" si="28"/>
        <v/>
      </c>
      <c r="K36" s="11" t="str">
        <f t="shared" si="28"/>
        <v/>
      </c>
      <c r="L36" s="11" t="str">
        <f t="shared" si="28"/>
        <v/>
      </c>
      <c r="M36" s="11" t="str">
        <f t="shared" si="28"/>
        <v/>
      </c>
      <c r="N36" s="6"/>
      <c r="O36" s="11">
        <f t="shared" si="12"/>
        <v>0.90223795822356956</v>
      </c>
      <c r="P36" s="11" t="str">
        <f t="shared" si="12"/>
        <v/>
      </c>
      <c r="Q36" s="11" t="str">
        <f t="shared" si="12"/>
        <v/>
      </c>
      <c r="R36" s="11" t="str">
        <f t="shared" si="12"/>
        <v/>
      </c>
      <c r="S36" s="11" t="str">
        <f t="shared" si="12"/>
        <v/>
      </c>
      <c r="T36" s="11" t="str">
        <f t="shared" ref="T36:AK36" si="29">IF(T13="","",(T13/$O$23))</f>
        <v/>
      </c>
      <c r="U36" s="11" t="str">
        <f t="shared" si="29"/>
        <v/>
      </c>
      <c r="V36" s="11" t="str">
        <f t="shared" si="29"/>
        <v/>
      </c>
      <c r="W36" s="11" t="str">
        <f t="shared" si="29"/>
        <v/>
      </c>
      <c r="X36" s="11" t="str">
        <f t="shared" si="29"/>
        <v/>
      </c>
      <c r="Y36" s="11" t="str">
        <f t="shared" si="29"/>
        <v/>
      </c>
      <c r="Z36" s="11" t="str">
        <f t="shared" si="29"/>
        <v/>
      </c>
      <c r="AA36" s="11" t="str">
        <f t="shared" si="29"/>
        <v/>
      </c>
      <c r="AB36" s="11" t="str">
        <f t="shared" si="29"/>
        <v/>
      </c>
      <c r="AC36" s="11" t="str">
        <f t="shared" si="29"/>
        <v/>
      </c>
      <c r="AD36" s="11" t="str">
        <f t="shared" si="29"/>
        <v/>
      </c>
      <c r="AE36" s="11" t="str">
        <f t="shared" si="29"/>
        <v/>
      </c>
      <c r="AF36" s="11" t="str">
        <f t="shared" si="29"/>
        <v/>
      </c>
      <c r="AG36" s="11" t="str">
        <f t="shared" si="29"/>
        <v/>
      </c>
      <c r="AH36" s="11" t="str">
        <f t="shared" si="29"/>
        <v/>
      </c>
      <c r="AI36" s="11" t="str">
        <f t="shared" si="29"/>
        <v/>
      </c>
      <c r="AJ36" s="11" t="str">
        <f t="shared" si="29"/>
        <v/>
      </c>
      <c r="AK36" s="11" t="str">
        <f t="shared" si="29"/>
        <v/>
      </c>
    </row>
    <row r="37" spans="1:37" x14ac:dyDescent="0.25">
      <c r="A37" s="154"/>
      <c r="B37" s="11" t="str">
        <f t="shared" ref="B37:M37" si="30">IF(B14="","",(B14/$O$23))</f>
        <v/>
      </c>
      <c r="C37" s="11" t="str">
        <f t="shared" si="30"/>
        <v/>
      </c>
      <c r="D37" s="11" t="str">
        <f t="shared" si="30"/>
        <v/>
      </c>
      <c r="E37" s="11" t="str">
        <f t="shared" si="30"/>
        <v/>
      </c>
      <c r="F37" s="11" t="str">
        <f t="shared" si="30"/>
        <v/>
      </c>
      <c r="G37" s="11" t="str">
        <f t="shared" si="30"/>
        <v/>
      </c>
      <c r="H37" s="11" t="str">
        <f t="shared" si="30"/>
        <v/>
      </c>
      <c r="I37" s="11" t="str">
        <f t="shared" si="30"/>
        <v/>
      </c>
      <c r="J37" s="11" t="str">
        <f t="shared" si="30"/>
        <v/>
      </c>
      <c r="K37" s="11" t="str">
        <f t="shared" si="30"/>
        <v/>
      </c>
      <c r="L37" s="11" t="str">
        <f t="shared" si="30"/>
        <v/>
      </c>
      <c r="M37" s="11" t="str">
        <f t="shared" si="30"/>
        <v/>
      </c>
      <c r="N37" s="6"/>
      <c r="O37" s="11">
        <f t="shared" si="12"/>
        <v>0.9510080807982072</v>
      </c>
      <c r="P37" s="11" t="str">
        <f t="shared" si="12"/>
        <v/>
      </c>
      <c r="Q37" s="11" t="str">
        <f t="shared" si="12"/>
        <v/>
      </c>
      <c r="R37" s="11" t="str">
        <f t="shared" si="12"/>
        <v/>
      </c>
      <c r="S37" s="11" t="str">
        <f t="shared" si="12"/>
        <v/>
      </c>
      <c r="T37" s="11" t="str">
        <f t="shared" ref="T37:AK37" si="31">IF(T14="","",(T14/$O$23))</f>
        <v/>
      </c>
      <c r="U37" s="11" t="str">
        <f t="shared" si="31"/>
        <v/>
      </c>
      <c r="V37" s="11" t="str">
        <f t="shared" si="31"/>
        <v/>
      </c>
      <c r="W37" s="11" t="str">
        <f t="shared" si="31"/>
        <v/>
      </c>
      <c r="X37" s="11" t="str">
        <f t="shared" si="31"/>
        <v/>
      </c>
      <c r="Y37" s="11" t="str">
        <f t="shared" si="31"/>
        <v/>
      </c>
      <c r="Z37" s="11" t="str">
        <f t="shared" si="31"/>
        <v/>
      </c>
      <c r="AA37" s="11" t="str">
        <f t="shared" si="31"/>
        <v/>
      </c>
      <c r="AB37" s="11" t="str">
        <f t="shared" si="31"/>
        <v/>
      </c>
      <c r="AC37" s="11" t="str">
        <f t="shared" si="31"/>
        <v/>
      </c>
      <c r="AD37" s="11" t="str">
        <f t="shared" si="31"/>
        <v/>
      </c>
      <c r="AE37" s="11" t="str">
        <f t="shared" si="31"/>
        <v/>
      </c>
      <c r="AF37" s="11" t="str">
        <f t="shared" si="31"/>
        <v/>
      </c>
      <c r="AG37" s="11" t="str">
        <f t="shared" si="31"/>
        <v/>
      </c>
      <c r="AH37" s="11" t="str">
        <f t="shared" si="31"/>
        <v/>
      </c>
      <c r="AI37" s="11" t="str">
        <f t="shared" si="31"/>
        <v/>
      </c>
      <c r="AJ37" s="11" t="str">
        <f t="shared" si="31"/>
        <v/>
      </c>
      <c r="AK37" s="11" t="str">
        <f t="shared" si="31"/>
        <v/>
      </c>
    </row>
    <row r="38" spans="1:37" x14ac:dyDescent="0.25">
      <c r="A38" s="154"/>
      <c r="B38" s="11" t="str">
        <f t="shared" ref="B38:M38" si="32">IF(B15="","",(B15/$O$23))</f>
        <v/>
      </c>
      <c r="C38" s="11" t="str">
        <f t="shared" si="32"/>
        <v/>
      </c>
      <c r="D38" s="11" t="str">
        <f t="shared" si="32"/>
        <v/>
      </c>
      <c r="E38" s="11" t="str">
        <f t="shared" si="32"/>
        <v/>
      </c>
      <c r="F38" s="11" t="str">
        <f t="shared" si="32"/>
        <v/>
      </c>
      <c r="G38" s="11" t="str">
        <f t="shared" si="32"/>
        <v/>
      </c>
      <c r="H38" s="11" t="str">
        <f t="shared" si="32"/>
        <v/>
      </c>
      <c r="I38" s="11" t="str">
        <f t="shared" si="32"/>
        <v/>
      </c>
      <c r="J38" s="11" t="str">
        <f t="shared" si="32"/>
        <v/>
      </c>
      <c r="K38" s="11" t="str">
        <f t="shared" si="32"/>
        <v/>
      </c>
      <c r="L38" s="11" t="str">
        <f t="shared" si="32"/>
        <v/>
      </c>
      <c r="M38" s="11" t="str">
        <f t="shared" si="32"/>
        <v/>
      </c>
      <c r="N38" s="6"/>
      <c r="O38" s="11">
        <f t="shared" ref="O38:AK38" si="33">IF(O15="","",(O15/$O$23))</f>
        <v>1.2612198721399464</v>
      </c>
      <c r="P38" s="11" t="str">
        <f t="shared" si="33"/>
        <v/>
      </c>
      <c r="Q38" s="11" t="str">
        <f t="shared" si="33"/>
        <v/>
      </c>
      <c r="R38" s="11" t="str">
        <f t="shared" si="33"/>
        <v/>
      </c>
      <c r="S38" s="11" t="str">
        <f t="shared" si="33"/>
        <v/>
      </c>
      <c r="T38" s="11" t="str">
        <f t="shared" si="33"/>
        <v/>
      </c>
      <c r="U38" s="11" t="str">
        <f t="shared" si="33"/>
        <v/>
      </c>
      <c r="V38" s="11" t="str">
        <f t="shared" si="33"/>
        <v/>
      </c>
      <c r="W38" s="11" t="str">
        <f t="shared" si="33"/>
        <v/>
      </c>
      <c r="X38" s="11" t="str">
        <f t="shared" si="33"/>
        <v/>
      </c>
      <c r="Y38" s="11" t="str">
        <f t="shared" si="33"/>
        <v/>
      </c>
      <c r="Z38" s="11" t="str">
        <f t="shared" si="33"/>
        <v/>
      </c>
      <c r="AA38" s="11" t="str">
        <f t="shared" si="33"/>
        <v/>
      </c>
      <c r="AB38" s="11" t="str">
        <f t="shared" si="33"/>
        <v/>
      </c>
      <c r="AC38" s="11" t="str">
        <f t="shared" si="33"/>
        <v/>
      </c>
      <c r="AD38" s="11" t="str">
        <f t="shared" si="33"/>
        <v/>
      </c>
      <c r="AE38" s="11" t="str">
        <f t="shared" si="33"/>
        <v/>
      </c>
      <c r="AF38" s="11" t="str">
        <f t="shared" si="33"/>
        <v/>
      </c>
      <c r="AG38" s="11" t="str">
        <f t="shared" si="33"/>
        <v/>
      </c>
      <c r="AH38" s="11" t="str">
        <f t="shared" si="33"/>
        <v/>
      </c>
      <c r="AI38" s="11" t="str">
        <f t="shared" si="33"/>
        <v/>
      </c>
      <c r="AJ38" s="11" t="str">
        <f t="shared" si="33"/>
        <v/>
      </c>
      <c r="AK38" s="11" t="str">
        <f t="shared" si="33"/>
        <v/>
      </c>
    </row>
    <row r="39" spans="1:37" x14ac:dyDescent="0.25">
      <c r="A39" s="154"/>
      <c r="B39" s="11" t="str">
        <f t="shared" ref="B39:M39" si="34">IF(B16="","",(B16/$O$23))</f>
        <v/>
      </c>
      <c r="C39" s="11" t="str">
        <f t="shared" si="34"/>
        <v/>
      </c>
      <c r="D39" s="11" t="str">
        <f t="shared" si="34"/>
        <v/>
      </c>
      <c r="E39" s="11" t="str">
        <f t="shared" si="34"/>
        <v/>
      </c>
      <c r="F39" s="11" t="str">
        <f t="shared" si="34"/>
        <v/>
      </c>
      <c r="G39" s="11" t="str">
        <f t="shared" si="34"/>
        <v/>
      </c>
      <c r="H39" s="11" t="str">
        <f t="shared" si="34"/>
        <v/>
      </c>
      <c r="I39" s="11" t="str">
        <f t="shared" si="34"/>
        <v/>
      </c>
      <c r="J39" s="11" t="str">
        <f t="shared" si="34"/>
        <v/>
      </c>
      <c r="K39" s="11" t="str">
        <f t="shared" si="34"/>
        <v/>
      </c>
      <c r="L39" s="11" t="str">
        <f t="shared" si="34"/>
        <v/>
      </c>
      <c r="M39" s="11" t="str">
        <f t="shared" si="34"/>
        <v/>
      </c>
      <c r="N39" s="6"/>
      <c r="O39" s="11">
        <f t="shared" ref="O39:AK39" si="35">IF(O16="","",(O16/$O$23))</f>
        <v>1.1386522166047708</v>
      </c>
      <c r="P39" s="11" t="str">
        <f t="shared" si="35"/>
        <v/>
      </c>
      <c r="Q39" s="11" t="str">
        <f t="shared" si="35"/>
        <v/>
      </c>
      <c r="R39" s="11" t="str">
        <f t="shared" si="35"/>
        <v/>
      </c>
      <c r="S39" s="11" t="str">
        <f t="shared" si="35"/>
        <v/>
      </c>
      <c r="T39" s="11" t="str">
        <f t="shared" si="35"/>
        <v/>
      </c>
      <c r="U39" s="11" t="str">
        <f t="shared" si="35"/>
        <v/>
      </c>
      <c r="V39" s="11" t="str">
        <f t="shared" si="35"/>
        <v/>
      </c>
      <c r="W39" s="11" t="str">
        <f t="shared" si="35"/>
        <v/>
      </c>
      <c r="X39" s="11" t="str">
        <f t="shared" si="35"/>
        <v/>
      </c>
      <c r="Y39" s="11" t="str">
        <f t="shared" si="35"/>
        <v/>
      </c>
      <c r="Z39" s="11" t="str">
        <f t="shared" si="35"/>
        <v/>
      </c>
      <c r="AA39" s="11" t="str">
        <f t="shared" si="35"/>
        <v/>
      </c>
      <c r="AB39" s="11" t="str">
        <f t="shared" si="35"/>
        <v/>
      </c>
      <c r="AC39" s="11" t="str">
        <f t="shared" si="35"/>
        <v/>
      </c>
      <c r="AD39" s="11" t="str">
        <f t="shared" si="35"/>
        <v/>
      </c>
      <c r="AE39" s="11" t="str">
        <f t="shared" si="35"/>
        <v/>
      </c>
      <c r="AF39" s="11" t="str">
        <f t="shared" si="35"/>
        <v/>
      </c>
      <c r="AG39" s="11" t="str">
        <f t="shared" si="35"/>
        <v/>
      </c>
      <c r="AH39" s="11" t="str">
        <f t="shared" si="35"/>
        <v/>
      </c>
      <c r="AI39" s="11" t="str">
        <f t="shared" si="35"/>
        <v/>
      </c>
      <c r="AJ39" s="11" t="str">
        <f t="shared" si="35"/>
        <v/>
      </c>
      <c r="AK39" s="11" t="str">
        <f t="shared" si="35"/>
        <v/>
      </c>
    </row>
    <row r="40" spans="1:37" x14ac:dyDescent="0.25">
      <c r="A40" s="154"/>
      <c r="B40" s="11" t="str">
        <f t="shared" ref="B40:M40" si="36">IF(B17="","",(B17/$O$23))</f>
        <v/>
      </c>
      <c r="C40" s="11" t="str">
        <f t="shared" si="36"/>
        <v/>
      </c>
      <c r="D40" s="11" t="str">
        <f t="shared" si="36"/>
        <v/>
      </c>
      <c r="E40" s="11" t="str">
        <f t="shared" si="36"/>
        <v/>
      </c>
      <c r="F40" s="11" t="str">
        <f t="shared" si="36"/>
        <v/>
      </c>
      <c r="G40" s="11" t="str">
        <f t="shared" si="36"/>
        <v/>
      </c>
      <c r="H40" s="11" t="str">
        <f t="shared" si="36"/>
        <v/>
      </c>
      <c r="I40" s="11" t="str">
        <f t="shared" si="36"/>
        <v/>
      </c>
      <c r="J40" s="11" t="str">
        <f t="shared" si="36"/>
        <v/>
      </c>
      <c r="K40" s="11" t="str">
        <f t="shared" si="36"/>
        <v/>
      </c>
      <c r="L40" s="11" t="str">
        <f t="shared" si="36"/>
        <v/>
      </c>
      <c r="M40" s="11" t="str">
        <f t="shared" si="36"/>
        <v/>
      </c>
      <c r="N40" s="6"/>
      <c r="O40" s="11">
        <f t="shared" ref="O40:AK40" si="37">IF(O17="","",(O17/$O$23))</f>
        <v>1.4267709227181886</v>
      </c>
      <c r="P40" s="11" t="str">
        <f t="shared" si="37"/>
        <v/>
      </c>
      <c r="Q40" s="11" t="str">
        <f t="shared" si="37"/>
        <v/>
      </c>
      <c r="R40" s="11" t="str">
        <f t="shared" si="37"/>
        <v/>
      </c>
      <c r="S40" s="11" t="str">
        <f t="shared" si="37"/>
        <v/>
      </c>
      <c r="T40" s="11" t="str">
        <f t="shared" si="37"/>
        <v/>
      </c>
      <c r="U40" s="11" t="str">
        <f t="shared" si="37"/>
        <v/>
      </c>
      <c r="V40" s="11" t="str">
        <f t="shared" si="37"/>
        <v/>
      </c>
      <c r="W40" s="11" t="str">
        <f t="shared" si="37"/>
        <v/>
      </c>
      <c r="X40" s="11" t="str">
        <f t="shared" si="37"/>
        <v/>
      </c>
      <c r="Y40" s="11" t="str">
        <f t="shared" si="37"/>
        <v/>
      </c>
      <c r="Z40" s="11" t="str">
        <f t="shared" si="37"/>
        <v/>
      </c>
      <c r="AA40" s="11" t="str">
        <f t="shared" si="37"/>
        <v/>
      </c>
      <c r="AB40" s="11" t="str">
        <f t="shared" si="37"/>
        <v/>
      </c>
      <c r="AC40" s="11" t="str">
        <f t="shared" si="37"/>
        <v/>
      </c>
      <c r="AD40" s="11" t="str">
        <f t="shared" si="37"/>
        <v/>
      </c>
      <c r="AE40" s="11" t="str">
        <f t="shared" si="37"/>
        <v/>
      </c>
      <c r="AF40" s="11" t="str">
        <f t="shared" si="37"/>
        <v/>
      </c>
      <c r="AG40" s="11" t="str">
        <f t="shared" si="37"/>
        <v/>
      </c>
      <c r="AH40" s="11" t="str">
        <f t="shared" si="37"/>
        <v/>
      </c>
      <c r="AI40" s="11" t="str">
        <f t="shared" si="37"/>
        <v/>
      </c>
      <c r="AJ40" s="11" t="str">
        <f t="shared" si="37"/>
        <v/>
      </c>
      <c r="AK40" s="11" t="str">
        <f t="shared" si="37"/>
        <v/>
      </c>
    </row>
    <row r="41" spans="1:37" x14ac:dyDescent="0.25">
      <c r="A41" s="154"/>
      <c r="B41" s="11" t="str">
        <f t="shared" ref="B41:M41" si="38">IF(B18="","",(B18/$O$23))</f>
        <v/>
      </c>
      <c r="C41" s="11" t="str">
        <f t="shared" si="38"/>
        <v/>
      </c>
      <c r="D41" s="11" t="str">
        <f t="shared" si="38"/>
        <v/>
      </c>
      <c r="E41" s="11" t="str">
        <f t="shared" si="38"/>
        <v/>
      </c>
      <c r="F41" s="11" t="str">
        <f t="shared" si="38"/>
        <v/>
      </c>
      <c r="G41" s="11" t="str">
        <f t="shared" si="38"/>
        <v/>
      </c>
      <c r="H41" s="11" t="str">
        <f t="shared" si="38"/>
        <v/>
      </c>
      <c r="I41" s="11" t="str">
        <f t="shared" si="38"/>
        <v/>
      </c>
      <c r="J41" s="11" t="str">
        <f t="shared" si="38"/>
        <v/>
      </c>
      <c r="K41" s="11" t="str">
        <f t="shared" si="38"/>
        <v/>
      </c>
      <c r="L41" s="11" t="str">
        <f t="shared" si="38"/>
        <v/>
      </c>
      <c r="M41" s="11" t="str">
        <f t="shared" si="38"/>
        <v/>
      </c>
      <c r="N41" s="6"/>
      <c r="O41" s="11">
        <f t="shared" ref="O41:AK41" si="39">IF(O18="","",(O18/$O$23))</f>
        <v>0.7724722690213881</v>
      </c>
      <c r="P41" s="11" t="str">
        <f t="shared" si="39"/>
        <v/>
      </c>
      <c r="Q41" s="11" t="str">
        <f t="shared" si="39"/>
        <v/>
      </c>
      <c r="R41" s="11" t="str">
        <f t="shared" si="39"/>
        <v/>
      </c>
      <c r="S41" s="11" t="str">
        <f t="shared" si="39"/>
        <v/>
      </c>
      <c r="T41" s="11" t="str">
        <f t="shared" si="39"/>
        <v/>
      </c>
      <c r="U41" s="11" t="str">
        <f t="shared" si="39"/>
        <v/>
      </c>
      <c r="V41" s="11" t="str">
        <f t="shared" si="39"/>
        <v/>
      </c>
      <c r="W41" s="11" t="str">
        <f t="shared" si="39"/>
        <v/>
      </c>
      <c r="X41" s="11" t="str">
        <f t="shared" si="39"/>
        <v/>
      </c>
      <c r="Y41" s="11" t="str">
        <f t="shared" si="39"/>
        <v/>
      </c>
      <c r="Z41" s="11" t="str">
        <f t="shared" si="39"/>
        <v/>
      </c>
      <c r="AA41" s="11" t="str">
        <f t="shared" si="39"/>
        <v/>
      </c>
      <c r="AB41" s="11" t="str">
        <f t="shared" si="39"/>
        <v/>
      </c>
      <c r="AC41" s="11" t="str">
        <f t="shared" si="39"/>
        <v/>
      </c>
      <c r="AD41" s="11" t="str">
        <f t="shared" si="39"/>
        <v/>
      </c>
      <c r="AE41" s="11" t="str">
        <f t="shared" si="39"/>
        <v/>
      </c>
      <c r="AF41" s="11" t="str">
        <f t="shared" si="39"/>
        <v/>
      </c>
      <c r="AG41" s="11" t="str">
        <f t="shared" si="39"/>
        <v/>
      </c>
      <c r="AH41" s="11" t="str">
        <f t="shared" si="39"/>
        <v/>
      </c>
      <c r="AI41" s="11" t="str">
        <f t="shared" si="39"/>
        <v/>
      </c>
      <c r="AJ41" s="11" t="str">
        <f t="shared" si="39"/>
        <v/>
      </c>
      <c r="AK41" s="11" t="str">
        <f t="shared" si="39"/>
        <v/>
      </c>
    </row>
    <row r="42" spans="1:37" x14ac:dyDescent="0.25">
      <c r="A42" s="154"/>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AK42" si="41">IF(O19="","",(O19/$O$23))</f>
        <v>0.8773110894357079</v>
      </c>
      <c r="P42" s="11" t="str">
        <f t="shared" si="41"/>
        <v/>
      </c>
      <c r="Q42" s="11" t="str">
        <f t="shared" si="41"/>
        <v/>
      </c>
      <c r="R42" s="11" t="str">
        <f t="shared" si="41"/>
        <v/>
      </c>
      <c r="S42" s="11" t="str">
        <f t="shared" si="41"/>
        <v/>
      </c>
      <c r="T42" s="11" t="str">
        <f t="shared" si="41"/>
        <v/>
      </c>
      <c r="U42" s="11" t="str">
        <f t="shared" si="41"/>
        <v/>
      </c>
      <c r="V42" s="11" t="str">
        <f t="shared" si="41"/>
        <v/>
      </c>
      <c r="W42" s="11" t="str">
        <f t="shared" si="41"/>
        <v/>
      </c>
      <c r="X42" s="11" t="str">
        <f t="shared" si="41"/>
        <v/>
      </c>
      <c r="Y42" s="11" t="str">
        <f t="shared" si="41"/>
        <v/>
      </c>
      <c r="Z42" s="11" t="str">
        <f t="shared" si="41"/>
        <v/>
      </c>
      <c r="AA42" s="11" t="str">
        <f t="shared" si="41"/>
        <v/>
      </c>
      <c r="AB42" s="11" t="str">
        <f t="shared" si="41"/>
        <v/>
      </c>
      <c r="AC42" s="11" t="str">
        <f t="shared" si="41"/>
        <v/>
      </c>
      <c r="AD42" s="11" t="str">
        <f t="shared" si="41"/>
        <v/>
      </c>
      <c r="AE42" s="11" t="str">
        <f t="shared" si="41"/>
        <v/>
      </c>
      <c r="AF42" s="11" t="str">
        <f t="shared" si="41"/>
        <v/>
      </c>
      <c r="AG42" s="11" t="str">
        <f t="shared" si="41"/>
        <v/>
      </c>
      <c r="AH42" s="11" t="str">
        <f t="shared" si="41"/>
        <v/>
      </c>
      <c r="AI42" s="11" t="str">
        <f t="shared" si="41"/>
        <v/>
      </c>
      <c r="AJ42" s="11" t="str">
        <f t="shared" si="41"/>
        <v/>
      </c>
      <c r="AK42" s="11" t="str">
        <f t="shared" si="41"/>
        <v/>
      </c>
    </row>
    <row r="43" spans="1:37" x14ac:dyDescent="0.25">
      <c r="A43" s="154"/>
      <c r="B43" s="11" t="str">
        <f t="shared" ref="B43:M43" si="42">IF(B20="","",(B20/$O$23))</f>
        <v/>
      </c>
      <c r="C43" s="11" t="str">
        <f t="shared" si="42"/>
        <v/>
      </c>
      <c r="D43" s="11" t="str">
        <f t="shared" si="42"/>
        <v/>
      </c>
      <c r="E43" s="11" t="str">
        <f t="shared" si="42"/>
        <v/>
      </c>
      <c r="F43" s="11" t="str">
        <f t="shared" si="42"/>
        <v/>
      </c>
      <c r="G43" s="11" t="str">
        <f t="shared" si="42"/>
        <v/>
      </c>
      <c r="H43" s="11" t="str">
        <f t="shared" si="42"/>
        <v/>
      </c>
      <c r="I43" s="11" t="str">
        <f t="shared" si="42"/>
        <v/>
      </c>
      <c r="J43" s="11" t="str">
        <f t="shared" si="42"/>
        <v/>
      </c>
      <c r="K43" s="11" t="str">
        <f t="shared" si="42"/>
        <v/>
      </c>
      <c r="L43" s="11" t="str">
        <f t="shared" si="42"/>
        <v/>
      </c>
      <c r="M43" s="11" t="str">
        <f t="shared" si="42"/>
        <v/>
      </c>
      <c r="N43" s="6"/>
      <c r="O43" s="11">
        <f t="shared" ref="O43:AK43" si="43">IF(O20="","",(O20/$O$23))</f>
        <v>0.92602535556699062</v>
      </c>
      <c r="P43" s="11" t="str">
        <f t="shared" si="43"/>
        <v/>
      </c>
      <c r="Q43" s="11" t="str">
        <f t="shared" si="43"/>
        <v/>
      </c>
      <c r="R43" s="11" t="str">
        <f t="shared" si="43"/>
        <v/>
      </c>
      <c r="S43" s="11" t="str">
        <f t="shared" si="43"/>
        <v/>
      </c>
      <c r="T43" s="11" t="str">
        <f t="shared" si="43"/>
        <v/>
      </c>
      <c r="U43" s="11" t="str">
        <f t="shared" si="43"/>
        <v/>
      </c>
      <c r="V43" s="11" t="str">
        <f t="shared" si="43"/>
        <v/>
      </c>
      <c r="W43" s="11" t="str">
        <f t="shared" si="43"/>
        <v/>
      </c>
      <c r="X43" s="11" t="str">
        <f t="shared" si="43"/>
        <v/>
      </c>
      <c r="Y43" s="11" t="str">
        <f t="shared" si="43"/>
        <v/>
      </c>
      <c r="Z43" s="11" t="str">
        <f t="shared" si="43"/>
        <v/>
      </c>
      <c r="AA43" s="11" t="str">
        <f t="shared" si="43"/>
        <v/>
      </c>
      <c r="AB43" s="11" t="str">
        <f t="shared" si="43"/>
        <v/>
      </c>
      <c r="AC43" s="11" t="str">
        <f t="shared" si="43"/>
        <v/>
      </c>
      <c r="AD43" s="11" t="str">
        <f t="shared" si="43"/>
        <v/>
      </c>
      <c r="AE43" s="11" t="str">
        <f t="shared" si="43"/>
        <v/>
      </c>
      <c r="AF43" s="11" t="str">
        <f t="shared" si="43"/>
        <v/>
      </c>
      <c r="AG43" s="11" t="str">
        <f t="shared" si="43"/>
        <v/>
      </c>
      <c r="AH43" s="11" t="str">
        <f t="shared" si="43"/>
        <v/>
      </c>
      <c r="AI43" s="11" t="str">
        <f t="shared" si="43"/>
        <v/>
      </c>
      <c r="AJ43" s="11" t="str">
        <f t="shared" si="43"/>
        <v/>
      </c>
      <c r="AK43" s="11" t="str">
        <f t="shared" si="43"/>
        <v/>
      </c>
    </row>
    <row r="44" spans="1:37" x14ac:dyDescent="0.25">
      <c r="A44" s="7"/>
      <c r="B44" s="3"/>
      <c r="C44" s="3"/>
      <c r="D44" s="3"/>
      <c r="E44" s="3"/>
      <c r="F44" s="3"/>
      <c r="G44" s="3"/>
      <c r="H44" s="3"/>
      <c r="I44" s="3"/>
      <c r="J44" s="3"/>
      <c r="K44" s="3"/>
      <c r="L44" s="3"/>
      <c r="M44" s="3"/>
      <c r="N44" s="7"/>
      <c r="O44" s="3"/>
      <c r="P44" s="3"/>
      <c r="Q44" s="3"/>
      <c r="R44" s="3"/>
      <c r="S44" s="3"/>
      <c r="T44" s="3"/>
      <c r="U44" s="3"/>
      <c r="V44" s="3"/>
      <c r="W44" s="3"/>
      <c r="X44" s="3"/>
      <c r="Y44" s="3"/>
      <c r="Z44" s="3"/>
      <c r="AA44" s="3"/>
      <c r="AB44" s="3"/>
      <c r="AC44" s="3"/>
      <c r="AD44" s="3"/>
      <c r="AE44" s="3"/>
      <c r="AF44" s="3"/>
      <c r="AG44" s="3"/>
      <c r="AH44" s="3"/>
      <c r="AI44" s="3"/>
      <c r="AJ44" s="3"/>
      <c r="AK44" s="3"/>
    </row>
    <row r="45" spans="1:37" x14ac:dyDescent="0.25">
      <c r="A45" s="7" t="str">
        <f>A4</f>
        <v>Noms des groupes</v>
      </c>
      <c r="B45" s="7" t="str">
        <f t="shared" ref="B45:R45" si="44">B4</f>
        <v>Solvent control</v>
      </c>
      <c r="C45" s="7" t="str">
        <f t="shared" si="44"/>
        <v>EE2-33.8ng/L</v>
      </c>
      <c r="D45" s="7" t="str">
        <f t="shared" si="44"/>
        <v>EE2-50.6ng/L</v>
      </c>
      <c r="E45" s="7" t="str">
        <f t="shared" si="44"/>
        <v>EE2-76ng/L</v>
      </c>
      <c r="F45" s="7" t="str">
        <f t="shared" si="44"/>
        <v>EE2-114ng/L</v>
      </c>
      <c r="G45" s="7" t="str">
        <f t="shared" si="44"/>
        <v>EE2-170.9ng/L</v>
      </c>
      <c r="H45" s="7" t="str">
        <f t="shared" si="44"/>
        <v>EE2-488ng/L</v>
      </c>
      <c r="I45" s="7" t="str">
        <f t="shared" si="44"/>
        <v>Prochloraz-0.063mg/L</v>
      </c>
      <c r="J45" s="7" t="str">
        <f t="shared" si="44"/>
        <v>Prochloraz-0.13mg/L</v>
      </c>
      <c r="K45" s="7" t="str">
        <f t="shared" ref="K45:M45" si="45">K4</f>
        <v>Prochloraz-0.25mg/L</v>
      </c>
      <c r="L45" s="7" t="str">
        <f t="shared" si="45"/>
        <v>Prochloraz-0.5mg/L</v>
      </c>
      <c r="M45" s="7" t="str">
        <f t="shared" si="45"/>
        <v>Prochloraz-1.0mg/L</v>
      </c>
      <c r="N45" s="7"/>
      <c r="O45" s="7" t="str">
        <f t="shared" si="44"/>
        <v>Testo -30µg/L</v>
      </c>
      <c r="P45" s="7" t="str">
        <f t="shared" si="44"/>
        <v>Testo 30µg/L + EE2 -64ng/L</v>
      </c>
      <c r="Q45" s="7" t="str">
        <f t="shared" si="44"/>
        <v>Testo 30µg/L + FAD-10mg/L</v>
      </c>
      <c r="R45" s="7" t="str">
        <f t="shared" si="44"/>
        <v>Prochloraz-0.063mg/L + Testostérone</v>
      </c>
      <c r="S45" s="7" t="str">
        <f t="shared" ref="S45:AK45" si="46">S4</f>
        <v>Prochloraz-0.13mg/L + Testostérone</v>
      </c>
      <c r="T45" s="7" t="str">
        <f t="shared" si="46"/>
        <v>Prochloraz-0.25mg/L + Testostérone</v>
      </c>
      <c r="U45" s="7" t="str">
        <f t="shared" si="46"/>
        <v>Prochloraz-0.5mg/L + Testostérone</v>
      </c>
      <c r="V45" s="7" t="str">
        <f t="shared" si="46"/>
        <v>Prochloraz-1.0mg/L + Testostérone</v>
      </c>
      <c r="W45" s="7" t="str">
        <f t="shared" si="46"/>
        <v>0-00 + Testostérone</v>
      </c>
      <c r="X45" s="7" t="str">
        <f t="shared" si="46"/>
        <v>0-00 + Testostérone</v>
      </c>
      <c r="Y45" s="7" t="str">
        <f t="shared" si="46"/>
        <v>0-00 + Testostérone</v>
      </c>
      <c r="Z45" s="7" t="str">
        <f t="shared" si="46"/>
        <v>0-00 + Testostérone</v>
      </c>
      <c r="AA45" s="7" t="str">
        <f t="shared" si="46"/>
        <v>0-00 + Testostérone</v>
      </c>
      <c r="AB45" s="7" t="str">
        <f t="shared" si="46"/>
        <v>0-00 + Testostérone</v>
      </c>
      <c r="AC45" s="7" t="str">
        <f t="shared" si="46"/>
        <v>0-00 + Testostérone</v>
      </c>
      <c r="AD45" s="7" t="str">
        <f t="shared" si="46"/>
        <v>0-00 + Testostérone</v>
      </c>
      <c r="AE45" s="7" t="str">
        <f t="shared" si="46"/>
        <v>0-00 + Testostérone</v>
      </c>
      <c r="AF45" s="7" t="str">
        <f t="shared" si="46"/>
        <v>0-00 + Testostérone</v>
      </c>
      <c r="AG45" s="7" t="str">
        <f t="shared" si="46"/>
        <v>0-00 + Testostérone</v>
      </c>
      <c r="AH45" s="7" t="str">
        <f t="shared" si="46"/>
        <v>0-00 + Testostérone</v>
      </c>
      <c r="AI45" s="7" t="str">
        <f t="shared" si="46"/>
        <v>0-00 + Testostérone</v>
      </c>
      <c r="AJ45" s="7" t="str">
        <f t="shared" si="46"/>
        <v>0-00 + Testostérone</v>
      </c>
      <c r="AK45" s="7" t="str">
        <f t="shared" si="46"/>
        <v>0-00 + Testostérone</v>
      </c>
    </row>
    <row r="46" spans="1:37" x14ac:dyDescent="0.25">
      <c r="A46" s="8" t="s">
        <v>0</v>
      </c>
      <c r="B46" s="10">
        <f t="shared" ref="B46:H46" si="47">AVERAGE(B28:B43)</f>
        <v>8.1703081576706374E-2</v>
      </c>
      <c r="C46" s="10">
        <f t="shared" si="47"/>
        <v>0.13288946079680611</v>
      </c>
      <c r="D46" s="10">
        <f t="shared" si="47"/>
        <v>0.12701150107442194</v>
      </c>
      <c r="E46" s="10">
        <f t="shared" si="47"/>
        <v>0.75448463237965435</v>
      </c>
      <c r="F46" s="10">
        <f t="shared" si="47"/>
        <v>0.96253452335485912</v>
      </c>
      <c r="G46" s="10">
        <f t="shared" si="47"/>
        <v>1.2374413187333901</v>
      </c>
      <c r="H46" s="10">
        <f t="shared" si="47"/>
        <v>1.4600208670362964</v>
      </c>
      <c r="I46" s="10">
        <f>AVERAGE(I28:I43)</f>
        <v>6.139414424321385E-2</v>
      </c>
      <c r="J46" s="9">
        <f>AVERAGE(J28:J43)</f>
        <v>5.5663339650763581E-2</v>
      </c>
      <c r="K46" s="9">
        <f t="shared" ref="K46:M46" si="48">AVERAGE(K28:K43)</f>
        <v>5.9451736425546034E-2</v>
      </c>
      <c r="L46" s="9">
        <f t="shared" si="48"/>
        <v>9.3030302818725596E-2</v>
      </c>
      <c r="M46" s="9">
        <f t="shared" si="48"/>
        <v>6.8092728212554243E-2</v>
      </c>
      <c r="N46" s="8" t="s">
        <v>0</v>
      </c>
      <c r="O46" s="10">
        <f t="shared" ref="O46:R46" si="49">AVERAGE(O28:O43)</f>
        <v>1</v>
      </c>
      <c r="P46" s="10">
        <f t="shared" si="49"/>
        <v>1.2633000591845565</v>
      </c>
      <c r="Q46" s="10">
        <f t="shared" si="49"/>
        <v>0.10534152840451423</v>
      </c>
      <c r="R46" s="10">
        <f t="shared" si="49"/>
        <v>0.60033946753448963</v>
      </c>
      <c r="S46" s="10">
        <f t="shared" ref="S46:AK46" si="50">AVERAGE(S28:S43)</f>
        <v>0.19570003134942882</v>
      </c>
      <c r="T46" s="10">
        <f t="shared" si="50"/>
        <v>0.24278887497908294</v>
      </c>
      <c r="U46" s="10">
        <f t="shared" si="50"/>
        <v>9.8925019474116249E-2</v>
      </c>
      <c r="V46" s="10">
        <f t="shared" si="50"/>
        <v>0.23162549930423817</v>
      </c>
      <c r="W46" s="10" t="e">
        <f t="shared" si="50"/>
        <v>#DIV/0!</v>
      </c>
      <c r="X46" s="10" t="e">
        <f t="shared" si="50"/>
        <v>#DIV/0!</v>
      </c>
      <c r="Y46" s="10" t="e">
        <f t="shared" si="50"/>
        <v>#DIV/0!</v>
      </c>
      <c r="Z46" s="10" t="e">
        <f t="shared" si="50"/>
        <v>#DIV/0!</v>
      </c>
      <c r="AA46" s="10" t="e">
        <f t="shared" si="50"/>
        <v>#DIV/0!</v>
      </c>
      <c r="AB46" s="10" t="e">
        <f t="shared" si="50"/>
        <v>#DIV/0!</v>
      </c>
      <c r="AC46" s="10" t="e">
        <f t="shared" si="50"/>
        <v>#DIV/0!</v>
      </c>
      <c r="AD46" s="10" t="e">
        <f t="shared" si="50"/>
        <v>#DIV/0!</v>
      </c>
      <c r="AE46" s="10" t="e">
        <f t="shared" si="50"/>
        <v>#DIV/0!</v>
      </c>
      <c r="AF46" s="10" t="e">
        <f t="shared" si="50"/>
        <v>#DIV/0!</v>
      </c>
      <c r="AG46" s="10" t="e">
        <f t="shared" si="50"/>
        <v>#DIV/0!</v>
      </c>
      <c r="AH46" s="10" t="e">
        <f t="shared" si="50"/>
        <v>#DIV/0!</v>
      </c>
      <c r="AI46" s="10" t="e">
        <f t="shared" si="50"/>
        <v>#DIV/0!</v>
      </c>
      <c r="AJ46" s="10" t="e">
        <f t="shared" si="50"/>
        <v>#DIV/0!</v>
      </c>
      <c r="AK46" s="10" t="e">
        <f t="shared" si="50"/>
        <v>#DIV/0!</v>
      </c>
    </row>
    <row r="47" spans="1:37" x14ac:dyDescent="0.25">
      <c r="A47" s="8" t="s">
        <v>1</v>
      </c>
      <c r="B47" s="8">
        <f t="shared" ref="B47:J47" si="51">STDEV(B28:B43)</f>
        <v>3.5050863559155057E-2</v>
      </c>
      <c r="C47" s="8">
        <f t="shared" si="51"/>
        <v>0.24890426025300391</v>
      </c>
      <c r="D47" s="8">
        <f t="shared" si="51"/>
        <v>8.1559152205199673E-2</v>
      </c>
      <c r="E47" s="8">
        <f t="shared" si="51"/>
        <v>0.32939059173098217</v>
      </c>
      <c r="F47" s="8">
        <f t="shared" si="51"/>
        <v>0.33299616960698064</v>
      </c>
      <c r="G47" s="8">
        <f t="shared" si="51"/>
        <v>0.13257223930845155</v>
      </c>
      <c r="H47" s="8">
        <f t="shared" si="51"/>
        <v>0.24554739549978757</v>
      </c>
      <c r="I47" s="8">
        <f t="shared" si="51"/>
        <v>4.546861805324133E-2</v>
      </c>
      <c r="J47" s="8">
        <f t="shared" si="51"/>
        <v>4.7310655548527945E-2</v>
      </c>
      <c r="K47" s="8">
        <f t="shared" ref="K47:M47" si="52">STDEV(K28:K43)</f>
        <v>6.1139085176320655E-2</v>
      </c>
      <c r="L47" s="8">
        <f t="shared" si="52"/>
        <v>9.4099421809922923E-2</v>
      </c>
      <c r="M47" s="8">
        <f t="shared" si="52"/>
        <v>4.7885080411106944E-2</v>
      </c>
      <c r="N47" s="8" t="s">
        <v>1</v>
      </c>
      <c r="O47" s="8">
        <f t="shared" ref="O47:R47" si="53">STDEV(O28:O43)</f>
        <v>0.19480804573692118</v>
      </c>
      <c r="P47" s="8">
        <f t="shared" si="53"/>
        <v>0.13647340873698358</v>
      </c>
      <c r="Q47" s="8">
        <f t="shared" si="53"/>
        <v>5.2079494871570882E-2</v>
      </c>
      <c r="R47" s="8">
        <f t="shared" si="53"/>
        <v>0.30267596232354194</v>
      </c>
      <c r="S47" s="8">
        <f t="shared" ref="S47:AK47" si="54">STDEV(S28:S43)</f>
        <v>0.19267839199683631</v>
      </c>
      <c r="T47" s="8">
        <f t="shared" si="54"/>
        <v>0.19506064569186804</v>
      </c>
      <c r="U47" s="8">
        <f t="shared" si="54"/>
        <v>4.7717056157760236E-2</v>
      </c>
      <c r="V47" s="8">
        <f t="shared" si="54"/>
        <v>0.25295209678449182</v>
      </c>
      <c r="W47" s="8" t="e">
        <f t="shared" si="54"/>
        <v>#DIV/0!</v>
      </c>
      <c r="X47" s="8" t="e">
        <f t="shared" si="54"/>
        <v>#DIV/0!</v>
      </c>
      <c r="Y47" s="8" t="e">
        <f t="shared" si="54"/>
        <v>#DIV/0!</v>
      </c>
      <c r="Z47" s="8" t="e">
        <f t="shared" si="54"/>
        <v>#DIV/0!</v>
      </c>
      <c r="AA47" s="8" t="e">
        <f t="shared" si="54"/>
        <v>#DIV/0!</v>
      </c>
      <c r="AB47" s="8" t="e">
        <f t="shared" si="54"/>
        <v>#DIV/0!</v>
      </c>
      <c r="AC47" s="8" t="e">
        <f t="shared" si="54"/>
        <v>#DIV/0!</v>
      </c>
      <c r="AD47" s="8" t="e">
        <f t="shared" si="54"/>
        <v>#DIV/0!</v>
      </c>
      <c r="AE47" s="8" t="e">
        <f t="shared" si="54"/>
        <v>#DIV/0!</v>
      </c>
      <c r="AF47" s="8" t="e">
        <f t="shared" si="54"/>
        <v>#DIV/0!</v>
      </c>
      <c r="AG47" s="8" t="e">
        <f t="shared" si="54"/>
        <v>#DIV/0!</v>
      </c>
      <c r="AH47" s="8" t="e">
        <f t="shared" si="54"/>
        <v>#DIV/0!</v>
      </c>
      <c r="AI47" s="8" t="e">
        <f t="shared" si="54"/>
        <v>#DIV/0!</v>
      </c>
      <c r="AJ47" s="8" t="e">
        <f t="shared" si="54"/>
        <v>#DIV/0!</v>
      </c>
      <c r="AK47" s="8" t="e">
        <f t="shared" si="54"/>
        <v>#DIV/0!</v>
      </c>
    </row>
    <row r="48" spans="1:37" x14ac:dyDescent="0.25">
      <c r="A48" s="8" t="s">
        <v>2</v>
      </c>
      <c r="B48" s="8">
        <f t="shared" ref="B48:J48" si="55" xml:space="preserve"> B47/SQRT(COUNT(B28:B43))</f>
        <v>1.2392351654561493E-2</v>
      </c>
      <c r="C48" s="8">
        <f t="shared" si="55"/>
        <v>8.8000945145560158E-2</v>
      </c>
      <c r="D48" s="8">
        <f t="shared" si="55"/>
        <v>2.8835514796061223E-2</v>
      </c>
      <c r="E48" s="8">
        <f t="shared" si="55"/>
        <v>0.1164571605360135</v>
      </c>
      <c r="F48" s="8">
        <f t="shared" si="55"/>
        <v>0.11773192481912086</v>
      </c>
      <c r="G48" s="8">
        <f t="shared" si="55"/>
        <v>4.6871364706045929E-2</v>
      </c>
      <c r="H48" s="8">
        <f t="shared" si="55"/>
        <v>8.6814114230297459E-2</v>
      </c>
      <c r="I48" s="8">
        <f t="shared" si="55"/>
        <v>1.6075584078314008E-2</v>
      </c>
      <c r="J48" s="8">
        <f t="shared" si="55"/>
        <v>1.7881746992120435E-2</v>
      </c>
      <c r="K48" s="8">
        <f t="shared" ref="K48:M48" si="56" xml:space="preserve"> K47/SQRT(COUNT(K28:K43))</f>
        <v>2.1615930861859128E-2</v>
      </c>
      <c r="L48" s="8">
        <f t="shared" si="56"/>
        <v>3.3269169633764903E-2</v>
      </c>
      <c r="M48" s="8">
        <f t="shared" si="56"/>
        <v>1.6929932538178413E-2</v>
      </c>
      <c r="N48" s="8" t="s">
        <v>2</v>
      </c>
      <c r="O48" s="8">
        <f t="shared" ref="O48:R48" si="57" xml:space="preserve"> O47/SQRT(COUNT(O28:O43))</f>
        <v>4.8702011434230294E-2</v>
      </c>
      <c r="P48" s="8">
        <f t="shared" si="57"/>
        <v>4.8250636384782254E-2</v>
      </c>
      <c r="Q48" s="8">
        <f t="shared" si="57"/>
        <v>1.8412881992228895E-2</v>
      </c>
      <c r="R48" s="8">
        <f t="shared" si="57"/>
        <v>0.10701211273057022</v>
      </c>
      <c r="S48" s="8">
        <f t="shared" ref="S48:AK48" si="58" xml:space="preserve"> S47/SQRT(COUNT(S28:S43))</f>
        <v>6.8122098784541382E-2</v>
      </c>
      <c r="T48" s="8">
        <f t="shared" si="58"/>
        <v>6.8964352655673203E-2</v>
      </c>
      <c r="U48" s="8">
        <f t="shared" si="58"/>
        <v>1.6870526993705781E-2</v>
      </c>
      <c r="V48" s="8">
        <f t="shared" si="58"/>
        <v>8.9432071475835012E-2</v>
      </c>
      <c r="W48" s="8" t="e">
        <f t="shared" si="58"/>
        <v>#DIV/0!</v>
      </c>
      <c r="X48" s="8" t="e">
        <f t="shared" si="58"/>
        <v>#DIV/0!</v>
      </c>
      <c r="Y48" s="8" t="e">
        <f t="shared" si="58"/>
        <v>#DIV/0!</v>
      </c>
      <c r="Z48" s="8" t="e">
        <f t="shared" si="58"/>
        <v>#DIV/0!</v>
      </c>
      <c r="AA48" s="8" t="e">
        <f t="shared" si="58"/>
        <v>#DIV/0!</v>
      </c>
      <c r="AB48" s="8" t="e">
        <f t="shared" si="58"/>
        <v>#DIV/0!</v>
      </c>
      <c r="AC48" s="8" t="e">
        <f t="shared" si="58"/>
        <v>#DIV/0!</v>
      </c>
      <c r="AD48" s="8" t="e">
        <f t="shared" si="58"/>
        <v>#DIV/0!</v>
      </c>
      <c r="AE48" s="8" t="e">
        <f t="shared" si="58"/>
        <v>#DIV/0!</v>
      </c>
      <c r="AF48" s="8" t="e">
        <f t="shared" si="58"/>
        <v>#DIV/0!</v>
      </c>
      <c r="AG48" s="8" t="e">
        <f t="shared" si="58"/>
        <v>#DIV/0!</v>
      </c>
      <c r="AH48" s="8" t="e">
        <f t="shared" si="58"/>
        <v>#DIV/0!</v>
      </c>
      <c r="AI48" s="8" t="e">
        <f t="shared" si="58"/>
        <v>#DIV/0!</v>
      </c>
      <c r="AJ48" s="8" t="e">
        <f t="shared" si="58"/>
        <v>#DIV/0!</v>
      </c>
      <c r="AK48" s="8" t="e">
        <f t="shared" si="58"/>
        <v>#DIV/0!</v>
      </c>
    </row>
    <row r="49" spans="1:37"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143" t="s">
        <v>24</v>
      </c>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c r="AC50" s="144"/>
      <c r="AD50" s="144"/>
      <c r="AE50" s="144"/>
      <c r="AF50" s="144"/>
      <c r="AG50" s="144"/>
      <c r="AH50" s="144"/>
      <c r="AI50" s="144"/>
      <c r="AJ50" s="144"/>
      <c r="AK50" s="145"/>
    </row>
    <row r="51" spans="1:37" customFormat="1" ht="15.75" thickBot="1" x14ac:dyDescent="0.3">
      <c r="AE51" s="1"/>
      <c r="AF51" s="1"/>
      <c r="AG51" s="1"/>
      <c r="AH51" s="1"/>
      <c r="AI51" s="1"/>
      <c r="AJ51" s="1"/>
    </row>
    <row r="52" spans="1:37" x14ac:dyDescent="0.25">
      <c r="A52" s="29" t="str">
        <f t="shared" ref="A52:H52" si="59">A27</f>
        <v>Noms des groupes</v>
      </c>
      <c r="B52" s="30" t="str">
        <f t="shared" si="59"/>
        <v>Solvent control</v>
      </c>
      <c r="C52" s="30" t="str">
        <f t="shared" si="59"/>
        <v>EE2-33.8ng/L</v>
      </c>
      <c r="D52" s="30" t="str">
        <f t="shared" si="59"/>
        <v>EE2-50.6ng/L</v>
      </c>
      <c r="E52" s="30" t="str">
        <f t="shared" si="59"/>
        <v>EE2-76ng/L</v>
      </c>
      <c r="F52" s="30" t="str">
        <f t="shared" si="59"/>
        <v>EE2-114ng/L</v>
      </c>
      <c r="G52" s="30" t="str">
        <f t="shared" si="59"/>
        <v>EE2-170.9ng/L</v>
      </c>
      <c r="H52" s="30" t="str">
        <f t="shared" si="59"/>
        <v>EE2-488ng/L</v>
      </c>
      <c r="I52" s="30" t="str">
        <f>I4</f>
        <v>Prochloraz-0.063mg/L</v>
      </c>
      <c r="J52" s="30" t="str">
        <f>J4</f>
        <v>Prochloraz-0.13mg/L</v>
      </c>
      <c r="K52" s="30" t="str">
        <f t="shared" ref="K52:M52" si="60">K4</f>
        <v>Prochloraz-0.25mg/L</v>
      </c>
      <c r="L52" s="30" t="str">
        <f t="shared" si="60"/>
        <v>Prochloraz-0.5mg/L</v>
      </c>
      <c r="M52" s="30" t="str">
        <f t="shared" si="60"/>
        <v>Prochloraz-1.0mg/L</v>
      </c>
      <c r="N52" s="31"/>
      <c r="O52" s="30" t="str">
        <f>O27</f>
        <v>Testo -30µg/L</v>
      </c>
      <c r="P52" s="30" t="str">
        <f>P27</f>
        <v>Testo 30µg/L + EE2 -64ng/L</v>
      </c>
      <c r="Q52" s="30" t="str">
        <f>Q27</f>
        <v>Testo 30µg/L + FAD-10mg/L</v>
      </c>
      <c r="R52" s="30" t="str">
        <f>R27</f>
        <v>Prochloraz-0.063mg/L + Testostérone</v>
      </c>
      <c r="S52" s="30" t="str">
        <f t="shared" ref="S52:AC52" si="61">S27</f>
        <v>Prochloraz-0.13mg/L + Testostérone</v>
      </c>
      <c r="T52" s="30" t="str">
        <f t="shared" si="61"/>
        <v>Prochloraz-0.25mg/L + Testostérone</v>
      </c>
      <c r="U52" s="30" t="str">
        <f t="shared" si="61"/>
        <v>Prochloraz-0.5mg/L + Testostérone</v>
      </c>
      <c r="V52" s="30" t="str">
        <f t="shared" si="61"/>
        <v>Prochloraz-1.0mg/L + Testostérone</v>
      </c>
      <c r="W52" s="30" t="str">
        <f t="shared" si="61"/>
        <v>0-00 + Testostérone</v>
      </c>
      <c r="X52" s="30" t="str">
        <f t="shared" si="61"/>
        <v>0-00 + Testostérone</v>
      </c>
      <c r="Y52" s="30" t="str">
        <f t="shared" si="61"/>
        <v>0-00 + Testostérone</v>
      </c>
      <c r="Z52" s="30" t="str">
        <f t="shared" si="61"/>
        <v>0-00 + Testostérone</v>
      </c>
      <c r="AA52" s="30" t="str">
        <f t="shared" si="61"/>
        <v>0-00 + Testostérone</v>
      </c>
      <c r="AB52" s="30" t="str">
        <f t="shared" si="61"/>
        <v>0-00 + Testostérone</v>
      </c>
      <c r="AC52" s="30" t="str">
        <f t="shared" si="61"/>
        <v>0-00 + Testostérone</v>
      </c>
      <c r="AD52" s="30" t="str">
        <f t="shared" ref="AD52:AK52" si="62">AD27</f>
        <v>0-00 + Testostérone</v>
      </c>
      <c r="AE52" s="30" t="str">
        <f t="shared" si="62"/>
        <v>0-00 + Testostérone</v>
      </c>
      <c r="AF52" s="30" t="str">
        <f t="shared" si="62"/>
        <v>0-00 + Testostérone</v>
      </c>
      <c r="AG52" s="30" t="str">
        <f t="shared" si="62"/>
        <v>0-00 + Testostérone</v>
      </c>
      <c r="AH52" s="30" t="str">
        <f t="shared" si="62"/>
        <v>0-00 + Testostérone</v>
      </c>
      <c r="AI52" s="30" t="str">
        <f t="shared" si="62"/>
        <v>0-00 + Testostérone</v>
      </c>
      <c r="AJ52" s="30" t="str">
        <f t="shared" si="62"/>
        <v>0-00 + Testostérone</v>
      </c>
      <c r="AK52" s="30" t="str">
        <f t="shared" si="62"/>
        <v>0-00 + Testostérone</v>
      </c>
    </row>
    <row r="53" spans="1:37" s="3" customFormat="1" x14ac:dyDescent="0.25">
      <c r="A53" s="49" t="s">
        <v>15</v>
      </c>
      <c r="B53" s="83">
        <f t="shared" ref="B53" si="63">B46</f>
        <v>8.1703081576706374E-2</v>
      </c>
      <c r="C53" s="83">
        <f t="shared" ref="C53:AK53" si="64">C46</f>
        <v>0.13288946079680611</v>
      </c>
      <c r="D53" s="83">
        <f t="shared" si="64"/>
        <v>0.12701150107442194</v>
      </c>
      <c r="E53" s="83">
        <f t="shared" si="64"/>
        <v>0.75448463237965435</v>
      </c>
      <c r="F53" s="83">
        <f t="shared" si="64"/>
        <v>0.96253452335485912</v>
      </c>
      <c r="G53" s="83">
        <f t="shared" si="64"/>
        <v>1.2374413187333901</v>
      </c>
      <c r="H53" s="83">
        <f t="shared" si="64"/>
        <v>1.4600208670362964</v>
      </c>
      <c r="I53" s="83">
        <f t="shared" si="64"/>
        <v>6.139414424321385E-2</v>
      </c>
      <c r="J53" s="83">
        <f t="shared" si="64"/>
        <v>5.5663339650763581E-2</v>
      </c>
      <c r="K53" s="83">
        <f t="shared" si="64"/>
        <v>5.9451736425546034E-2</v>
      </c>
      <c r="L53" s="83">
        <f t="shared" si="64"/>
        <v>9.3030302818725596E-2</v>
      </c>
      <c r="M53" s="83">
        <f t="shared" si="64"/>
        <v>6.8092728212554243E-2</v>
      </c>
      <c r="N53" s="83"/>
      <c r="O53" s="83">
        <f t="shared" si="64"/>
        <v>1</v>
      </c>
      <c r="P53" s="83">
        <f t="shared" si="64"/>
        <v>1.2633000591845565</v>
      </c>
      <c r="Q53" s="83">
        <f t="shared" si="64"/>
        <v>0.10534152840451423</v>
      </c>
      <c r="R53" s="83">
        <f t="shared" si="64"/>
        <v>0.60033946753448963</v>
      </c>
      <c r="S53" s="83">
        <f t="shared" si="64"/>
        <v>0.19570003134942882</v>
      </c>
      <c r="T53" s="83">
        <f t="shared" si="64"/>
        <v>0.24278887497908294</v>
      </c>
      <c r="U53" s="83">
        <f t="shared" si="64"/>
        <v>9.8925019474116249E-2</v>
      </c>
      <c r="V53" s="83">
        <f t="shared" si="64"/>
        <v>0.23162549930423817</v>
      </c>
      <c r="W53" s="83" t="e">
        <f t="shared" si="64"/>
        <v>#DIV/0!</v>
      </c>
      <c r="X53" s="83" t="e">
        <f t="shared" si="64"/>
        <v>#DIV/0!</v>
      </c>
      <c r="Y53" s="83" t="e">
        <f t="shared" si="64"/>
        <v>#DIV/0!</v>
      </c>
      <c r="Z53" s="83" t="e">
        <f t="shared" si="64"/>
        <v>#DIV/0!</v>
      </c>
      <c r="AA53" s="83" t="e">
        <f t="shared" si="64"/>
        <v>#DIV/0!</v>
      </c>
      <c r="AB53" s="83" t="e">
        <f t="shared" si="64"/>
        <v>#DIV/0!</v>
      </c>
      <c r="AC53" s="83" t="e">
        <f t="shared" si="64"/>
        <v>#DIV/0!</v>
      </c>
      <c r="AD53" s="83" t="e">
        <f t="shared" si="64"/>
        <v>#DIV/0!</v>
      </c>
      <c r="AE53" s="83" t="e">
        <f t="shared" si="64"/>
        <v>#DIV/0!</v>
      </c>
      <c r="AF53" s="83" t="e">
        <f t="shared" si="64"/>
        <v>#DIV/0!</v>
      </c>
      <c r="AG53" s="83" t="e">
        <f t="shared" si="64"/>
        <v>#DIV/0!</v>
      </c>
      <c r="AH53" s="83" t="e">
        <f t="shared" si="64"/>
        <v>#DIV/0!</v>
      </c>
      <c r="AI53" s="83" t="e">
        <f t="shared" si="64"/>
        <v>#DIV/0!</v>
      </c>
      <c r="AJ53" s="83" t="e">
        <f t="shared" si="64"/>
        <v>#DIV/0!</v>
      </c>
      <c r="AK53" s="83" t="e">
        <f t="shared" si="64"/>
        <v>#DIV/0!</v>
      </c>
    </row>
    <row r="54" spans="1:37" s="3" customFormat="1" x14ac:dyDescent="0.25">
      <c r="A54" s="49" t="s">
        <v>2</v>
      </c>
      <c r="B54" s="83">
        <f t="shared" ref="B54" si="65">B48</f>
        <v>1.2392351654561493E-2</v>
      </c>
      <c r="C54" s="83">
        <f t="shared" ref="C54:AK54" si="66">C48</f>
        <v>8.8000945145560158E-2</v>
      </c>
      <c r="D54" s="83">
        <f t="shared" si="66"/>
        <v>2.8835514796061223E-2</v>
      </c>
      <c r="E54" s="83">
        <f t="shared" si="66"/>
        <v>0.1164571605360135</v>
      </c>
      <c r="F54" s="83">
        <f t="shared" si="66"/>
        <v>0.11773192481912086</v>
      </c>
      <c r="G54" s="83">
        <f t="shared" si="66"/>
        <v>4.6871364706045929E-2</v>
      </c>
      <c r="H54" s="83">
        <f t="shared" si="66"/>
        <v>8.6814114230297459E-2</v>
      </c>
      <c r="I54" s="83">
        <f t="shared" si="66"/>
        <v>1.6075584078314008E-2</v>
      </c>
      <c r="J54" s="83">
        <f t="shared" si="66"/>
        <v>1.7881746992120435E-2</v>
      </c>
      <c r="K54" s="83">
        <f t="shared" si="66"/>
        <v>2.1615930861859128E-2</v>
      </c>
      <c r="L54" s="83">
        <f t="shared" si="66"/>
        <v>3.3269169633764903E-2</v>
      </c>
      <c r="M54" s="83">
        <f t="shared" si="66"/>
        <v>1.6929932538178413E-2</v>
      </c>
      <c r="N54" s="83"/>
      <c r="O54" s="83">
        <f t="shared" si="66"/>
        <v>4.8702011434230294E-2</v>
      </c>
      <c r="P54" s="83">
        <f t="shared" si="66"/>
        <v>4.8250636384782254E-2</v>
      </c>
      <c r="Q54" s="83">
        <f t="shared" si="66"/>
        <v>1.8412881992228895E-2</v>
      </c>
      <c r="R54" s="83">
        <f t="shared" si="66"/>
        <v>0.10701211273057022</v>
      </c>
      <c r="S54" s="83">
        <f t="shared" si="66"/>
        <v>6.8122098784541382E-2</v>
      </c>
      <c r="T54" s="83">
        <f t="shared" si="66"/>
        <v>6.8964352655673203E-2</v>
      </c>
      <c r="U54" s="83">
        <f t="shared" si="66"/>
        <v>1.6870526993705781E-2</v>
      </c>
      <c r="V54" s="83">
        <f t="shared" si="66"/>
        <v>8.9432071475835012E-2</v>
      </c>
      <c r="W54" s="83" t="e">
        <f t="shared" si="66"/>
        <v>#DIV/0!</v>
      </c>
      <c r="X54" s="83" t="e">
        <f t="shared" si="66"/>
        <v>#DIV/0!</v>
      </c>
      <c r="Y54" s="83" t="e">
        <f t="shared" si="66"/>
        <v>#DIV/0!</v>
      </c>
      <c r="Z54" s="83" t="e">
        <f t="shared" si="66"/>
        <v>#DIV/0!</v>
      </c>
      <c r="AA54" s="83" t="e">
        <f t="shared" si="66"/>
        <v>#DIV/0!</v>
      </c>
      <c r="AB54" s="83" t="e">
        <f t="shared" si="66"/>
        <v>#DIV/0!</v>
      </c>
      <c r="AC54" s="83" t="e">
        <f t="shared" si="66"/>
        <v>#DIV/0!</v>
      </c>
      <c r="AD54" s="83" t="e">
        <f t="shared" si="66"/>
        <v>#DIV/0!</v>
      </c>
      <c r="AE54" s="83" t="e">
        <f t="shared" si="66"/>
        <v>#DIV/0!</v>
      </c>
      <c r="AF54" s="83" t="e">
        <f t="shared" si="66"/>
        <v>#DIV/0!</v>
      </c>
      <c r="AG54" s="83" t="e">
        <f t="shared" si="66"/>
        <v>#DIV/0!</v>
      </c>
      <c r="AH54" s="83" t="e">
        <f t="shared" si="66"/>
        <v>#DIV/0!</v>
      </c>
      <c r="AI54" s="83" t="e">
        <f t="shared" si="66"/>
        <v>#DIV/0!</v>
      </c>
      <c r="AJ54" s="83" t="e">
        <f t="shared" si="66"/>
        <v>#DIV/0!</v>
      </c>
      <c r="AK54" s="83" t="e">
        <f t="shared" si="66"/>
        <v>#DIV/0!</v>
      </c>
    </row>
    <row r="55" spans="1:37" s="3" customFormat="1" x14ac:dyDescent="0.25">
      <c r="A55" s="49" t="s">
        <v>42</v>
      </c>
      <c r="B55" s="83">
        <f>(B53*100/$B53)-100</f>
        <v>0</v>
      </c>
      <c r="C55" s="83">
        <f t="shared" ref="C55:M55" si="67">(C53*100/$B53)-100</f>
        <v>62.649263935098645</v>
      </c>
      <c r="D55" s="83">
        <f t="shared" si="67"/>
        <v>55.454970147212947</v>
      </c>
      <c r="E55" s="83">
        <f t="shared" si="67"/>
        <v>823.4469714233627</v>
      </c>
      <c r="F55" s="83">
        <f t="shared" si="67"/>
        <v>1078.0883961533204</v>
      </c>
      <c r="G55" s="83">
        <f t="shared" si="67"/>
        <v>1414.5589307688804</v>
      </c>
      <c r="H55" s="83">
        <f t="shared" si="67"/>
        <v>1686.9838430335897</v>
      </c>
      <c r="I55" s="83">
        <f t="shared" si="67"/>
        <v>-24.857002871336775</v>
      </c>
      <c r="J55" s="83">
        <f t="shared" si="67"/>
        <v>-31.871187014525958</v>
      </c>
      <c r="K55" s="83">
        <f t="shared" si="67"/>
        <v>-27.234401349072513</v>
      </c>
      <c r="L55" s="83">
        <f t="shared" si="67"/>
        <v>13.863884964222223</v>
      </c>
      <c r="M55" s="83">
        <f t="shared" si="67"/>
        <v>-16.658310924752755</v>
      </c>
      <c r="N55" s="83"/>
      <c r="O55" s="83">
        <f>(O53*100/$O53)-100</f>
        <v>0</v>
      </c>
      <c r="P55" s="83">
        <f t="shared" ref="P55:AK55" si="68">(P53*100/$O53)-100</f>
        <v>26.33000591845564</v>
      </c>
      <c r="Q55" s="83">
        <f t="shared" si="68"/>
        <v>-89.465847159548574</v>
      </c>
      <c r="R55" s="83">
        <f t="shared" si="68"/>
        <v>-39.966053246551034</v>
      </c>
      <c r="S55" s="83">
        <f t="shared" si="68"/>
        <v>-80.42999686505712</v>
      </c>
      <c r="T55" s="83">
        <f t="shared" si="68"/>
        <v>-75.7211125020917</v>
      </c>
      <c r="U55" s="83">
        <f t="shared" si="68"/>
        <v>-90.107498052588369</v>
      </c>
      <c r="V55" s="83">
        <f t="shared" si="68"/>
        <v>-76.837450069576178</v>
      </c>
      <c r="W55" s="83" t="e">
        <f t="shared" si="68"/>
        <v>#DIV/0!</v>
      </c>
      <c r="X55" s="83" t="e">
        <f t="shared" si="68"/>
        <v>#DIV/0!</v>
      </c>
      <c r="Y55" s="83" t="e">
        <f t="shared" si="68"/>
        <v>#DIV/0!</v>
      </c>
      <c r="Z55" s="83" t="e">
        <f t="shared" si="68"/>
        <v>#DIV/0!</v>
      </c>
      <c r="AA55" s="83" t="e">
        <f t="shared" si="68"/>
        <v>#DIV/0!</v>
      </c>
      <c r="AB55" s="83" t="e">
        <f t="shared" si="68"/>
        <v>#DIV/0!</v>
      </c>
      <c r="AC55" s="83" t="e">
        <f t="shared" si="68"/>
        <v>#DIV/0!</v>
      </c>
      <c r="AD55" s="83" t="e">
        <f t="shared" si="68"/>
        <v>#DIV/0!</v>
      </c>
      <c r="AE55" s="83" t="e">
        <f t="shared" si="68"/>
        <v>#DIV/0!</v>
      </c>
      <c r="AF55" s="83" t="e">
        <f t="shared" si="68"/>
        <v>#DIV/0!</v>
      </c>
      <c r="AG55" s="83" t="e">
        <f t="shared" si="68"/>
        <v>#DIV/0!</v>
      </c>
      <c r="AH55" s="83" t="e">
        <f t="shared" si="68"/>
        <v>#DIV/0!</v>
      </c>
      <c r="AI55" s="83" t="e">
        <f t="shared" si="68"/>
        <v>#DIV/0!</v>
      </c>
      <c r="AJ55" s="83" t="e">
        <f t="shared" si="68"/>
        <v>#DIV/0!</v>
      </c>
      <c r="AK55" s="83" t="e">
        <f t="shared" si="68"/>
        <v>#DIV/0!</v>
      </c>
    </row>
    <row r="56" spans="1:37" s="3" customFormat="1" x14ac:dyDescent="0.25">
      <c r="A56" s="49" t="s">
        <v>43</v>
      </c>
      <c r="B56" s="83" t="e">
        <f ca="1">[1]!SWTEST(B28:B43)</f>
        <v>#NAME?</v>
      </c>
      <c r="C56" s="83" t="e">
        <f ca="1">[1]!SWTEST(C28:C43)</f>
        <v>#NAME?</v>
      </c>
      <c r="D56" s="83" t="e">
        <f ca="1">[1]!SWTEST(D28:D43)</f>
        <v>#NAME?</v>
      </c>
      <c r="E56" s="83" t="e">
        <f ca="1">[1]!SWTEST(E28:E43)</f>
        <v>#NAME?</v>
      </c>
      <c r="F56" s="83" t="e">
        <f ca="1">[1]!SWTEST(F28:F43)</f>
        <v>#NAME?</v>
      </c>
      <c r="G56" s="83" t="e">
        <f ca="1">[1]!SWTEST(G28:G43)</f>
        <v>#NAME?</v>
      </c>
      <c r="H56" s="83" t="e">
        <f ca="1">[1]!SWTEST(H28:H43)</f>
        <v>#NAME?</v>
      </c>
      <c r="I56" s="83" t="e">
        <f ca="1">[1]!SWTEST(I28:I43)</f>
        <v>#NAME?</v>
      </c>
      <c r="J56" s="83" t="e">
        <f ca="1">[1]!SWTEST(J28:J43)</f>
        <v>#NAME?</v>
      </c>
      <c r="K56" s="83" t="e">
        <f ca="1">[1]!SWTEST(K28:K43)</f>
        <v>#NAME?</v>
      </c>
      <c r="L56" s="83" t="e">
        <f ca="1">[1]!SWTEST(L28:L43)</f>
        <v>#NAME?</v>
      </c>
      <c r="M56" s="83" t="e">
        <f ca="1">[1]!SWTEST(M28:M43)</f>
        <v>#NAME?</v>
      </c>
      <c r="N56" s="83"/>
      <c r="O56" s="83" t="e">
        <f ca="1">[1]!SWTEST(O28:O43)</f>
        <v>#NAME?</v>
      </c>
      <c r="P56" s="83" t="e">
        <f ca="1">[1]!SWTEST(P28:P43)</f>
        <v>#NAME?</v>
      </c>
      <c r="Q56" s="83" t="e">
        <f ca="1">[1]!SWTEST(Q28:Q43)</f>
        <v>#NAME?</v>
      </c>
      <c r="R56" s="83" t="e">
        <f ca="1">[1]!SWTEST(R28:R43)</f>
        <v>#NAME?</v>
      </c>
      <c r="S56" s="83" t="e">
        <f ca="1">[1]!SWTEST(S28:S43)</f>
        <v>#NAME?</v>
      </c>
      <c r="T56" s="83" t="e">
        <f ca="1">[1]!SWTEST(T28:T43)</f>
        <v>#NAME?</v>
      </c>
      <c r="U56" s="83" t="e">
        <f ca="1">[1]!SWTEST(U28:U43)</f>
        <v>#NAME?</v>
      </c>
      <c r="V56" s="83" t="e">
        <f ca="1">[1]!SWTEST(V28:V43)</f>
        <v>#NAME?</v>
      </c>
      <c r="W56" s="83" t="e">
        <f ca="1">[1]!SWTEST(W28:W43)</f>
        <v>#NAME?</v>
      </c>
      <c r="X56" s="83" t="e">
        <f ca="1">[1]!SWTEST(X28:X43)</f>
        <v>#NAME?</v>
      </c>
      <c r="Y56" s="83" t="e">
        <f ca="1">[1]!SWTEST(Y28:Y43)</f>
        <v>#NAME?</v>
      </c>
      <c r="Z56" s="83" t="e">
        <f ca="1">[1]!SWTEST(Z28:Z43)</f>
        <v>#NAME?</v>
      </c>
      <c r="AA56" s="83" t="e">
        <f ca="1">[1]!SWTEST(AA28:AA43)</f>
        <v>#NAME?</v>
      </c>
      <c r="AB56" s="83" t="e">
        <f ca="1">[1]!SWTEST(AB28:AB43)</f>
        <v>#NAME?</v>
      </c>
      <c r="AC56" s="83" t="e">
        <f ca="1">[1]!SWTEST(AC28:AC43)</f>
        <v>#NAME?</v>
      </c>
      <c r="AD56" s="83" t="e">
        <f ca="1">[1]!SWTEST(AD28:AD43)</f>
        <v>#NAME?</v>
      </c>
      <c r="AE56" s="83" t="e">
        <f ca="1">[1]!SWTEST(AE28:AE43)</f>
        <v>#NAME?</v>
      </c>
      <c r="AF56" s="83" t="e">
        <f ca="1">[1]!SWTEST(AF28:AF43)</f>
        <v>#NAME?</v>
      </c>
      <c r="AG56" s="83" t="e">
        <f ca="1">[1]!SWTEST(AG28:AG43)</f>
        <v>#NAME?</v>
      </c>
      <c r="AH56" s="83" t="e">
        <f ca="1">[1]!SWTEST(AH28:AH43)</f>
        <v>#NAME?</v>
      </c>
      <c r="AI56" s="83" t="e">
        <f ca="1">[1]!SWTEST(AI28:AI43)</f>
        <v>#NAME?</v>
      </c>
      <c r="AJ56" s="83" t="e">
        <f ca="1">[1]!SWTEST(AJ28:AJ43)</f>
        <v>#NAME?</v>
      </c>
      <c r="AK56" s="83" t="e">
        <f ca="1">[1]!SWTEST(AK28:AK43)</f>
        <v>#NAME?</v>
      </c>
    </row>
    <row r="57" spans="1:37" s="3" customFormat="1" x14ac:dyDescent="0.25">
      <c r="A57" s="49" t="s">
        <v>47</v>
      </c>
      <c r="B57" s="83" t="e">
        <f ca="1">IF(B56&gt;0.05,"Oui","Non")</f>
        <v>#NAME?</v>
      </c>
      <c r="C57" s="83" t="e">
        <f t="shared" ref="C57:AK57" ca="1" si="69">IF(C56&gt;0.05,"Oui","Non")</f>
        <v>#NAME?</v>
      </c>
      <c r="D57" s="83" t="e">
        <f t="shared" ca="1" si="69"/>
        <v>#NAME?</v>
      </c>
      <c r="E57" s="83" t="e">
        <f t="shared" ca="1" si="69"/>
        <v>#NAME?</v>
      </c>
      <c r="F57" s="83" t="e">
        <f t="shared" ca="1" si="69"/>
        <v>#NAME?</v>
      </c>
      <c r="G57" s="83" t="e">
        <f t="shared" ca="1" si="69"/>
        <v>#NAME?</v>
      </c>
      <c r="H57" s="83" t="e">
        <f t="shared" ca="1" si="69"/>
        <v>#NAME?</v>
      </c>
      <c r="I57" s="83" t="e">
        <f t="shared" ca="1" si="69"/>
        <v>#NAME?</v>
      </c>
      <c r="J57" s="83" t="e">
        <f t="shared" ca="1" si="69"/>
        <v>#NAME?</v>
      </c>
      <c r="K57" s="83" t="e">
        <f t="shared" ca="1" si="69"/>
        <v>#NAME?</v>
      </c>
      <c r="L57" s="83" t="e">
        <f t="shared" ca="1" si="69"/>
        <v>#NAME?</v>
      </c>
      <c r="M57" s="83" t="e">
        <f t="shared" ca="1" si="69"/>
        <v>#NAME?</v>
      </c>
      <c r="N57" s="83"/>
      <c r="O57" s="83" t="e">
        <f t="shared" ca="1" si="69"/>
        <v>#NAME?</v>
      </c>
      <c r="P57" s="83" t="e">
        <f t="shared" ca="1" si="69"/>
        <v>#NAME?</v>
      </c>
      <c r="Q57" s="83" t="e">
        <f t="shared" ca="1" si="69"/>
        <v>#NAME?</v>
      </c>
      <c r="R57" s="83" t="e">
        <f t="shared" ca="1" si="69"/>
        <v>#NAME?</v>
      </c>
      <c r="S57" s="83" t="e">
        <f t="shared" ca="1" si="69"/>
        <v>#NAME?</v>
      </c>
      <c r="T57" s="83" t="e">
        <f t="shared" ca="1" si="69"/>
        <v>#NAME?</v>
      </c>
      <c r="U57" s="83" t="e">
        <f t="shared" ca="1" si="69"/>
        <v>#NAME?</v>
      </c>
      <c r="V57" s="83" t="e">
        <f t="shared" ca="1" si="69"/>
        <v>#NAME?</v>
      </c>
      <c r="W57" s="83" t="e">
        <f t="shared" ca="1" si="69"/>
        <v>#NAME?</v>
      </c>
      <c r="X57" s="83" t="e">
        <f t="shared" ca="1" si="69"/>
        <v>#NAME?</v>
      </c>
      <c r="Y57" s="83" t="e">
        <f t="shared" ca="1" si="69"/>
        <v>#NAME?</v>
      </c>
      <c r="Z57" s="83" t="e">
        <f t="shared" ca="1" si="69"/>
        <v>#NAME?</v>
      </c>
      <c r="AA57" s="83" t="e">
        <f t="shared" ca="1" si="69"/>
        <v>#NAME?</v>
      </c>
      <c r="AB57" s="83" t="e">
        <f t="shared" ca="1" si="69"/>
        <v>#NAME?</v>
      </c>
      <c r="AC57" s="83" t="e">
        <f t="shared" ca="1" si="69"/>
        <v>#NAME?</v>
      </c>
      <c r="AD57" s="83" t="e">
        <f t="shared" ca="1" si="69"/>
        <v>#NAME?</v>
      </c>
      <c r="AE57" s="83" t="e">
        <f t="shared" ca="1" si="69"/>
        <v>#NAME?</v>
      </c>
      <c r="AF57" s="83" t="e">
        <f t="shared" ca="1" si="69"/>
        <v>#NAME?</v>
      </c>
      <c r="AG57" s="83" t="e">
        <f t="shared" ca="1" si="69"/>
        <v>#NAME?</v>
      </c>
      <c r="AH57" s="83" t="e">
        <f t="shared" ca="1" si="69"/>
        <v>#NAME?</v>
      </c>
      <c r="AI57" s="83" t="e">
        <f t="shared" ca="1" si="69"/>
        <v>#NAME?</v>
      </c>
      <c r="AJ57" s="83" t="e">
        <f t="shared" ca="1" si="69"/>
        <v>#NAME?</v>
      </c>
      <c r="AK57" s="83" t="e">
        <f t="shared" ca="1" si="69"/>
        <v>#NAME?</v>
      </c>
    </row>
    <row r="58" spans="1:37" s="3" customFormat="1" x14ac:dyDescent="0.25">
      <c r="A58" s="49"/>
      <c r="B58" s="83"/>
      <c r="C58" s="83"/>
      <c r="D58" s="83"/>
      <c r="E58" s="83"/>
      <c r="F58" s="83"/>
      <c r="G58" s="83"/>
      <c r="H58" s="83"/>
      <c r="I58" s="83"/>
      <c r="J58" s="83"/>
      <c r="K58" s="83"/>
      <c r="L58" s="83"/>
      <c r="M58" s="83"/>
      <c r="N58" s="85"/>
      <c r="O58" s="86"/>
      <c r="P58" s="83"/>
      <c r="Q58" s="83"/>
      <c r="R58" s="83"/>
      <c r="S58" s="83"/>
      <c r="T58" s="83"/>
      <c r="U58" s="83"/>
      <c r="V58" s="83"/>
      <c r="W58" s="83"/>
      <c r="X58" s="83"/>
      <c r="Y58" s="83"/>
      <c r="Z58" s="83"/>
      <c r="AA58" s="83"/>
      <c r="AB58" s="83"/>
      <c r="AC58" s="83"/>
      <c r="AD58" s="83"/>
      <c r="AE58" s="87"/>
      <c r="AF58" s="87"/>
      <c r="AG58" s="87"/>
      <c r="AH58" s="87"/>
      <c r="AI58" s="87"/>
      <c r="AJ58" s="87"/>
      <c r="AK58" s="88"/>
    </row>
    <row r="59" spans="1:37" s="3" customFormat="1" x14ac:dyDescent="0.25">
      <c r="A59" s="49" t="s">
        <v>44</v>
      </c>
      <c r="B59" s="89"/>
      <c r="C59" s="89" t="e">
        <f t="shared" ref="C59:O59" ca="1" si="70">IF($B57="Non",IF(C57="Non","MW",IF(C57="Oui","MW","")),IF($B57="Oui",IF(C57="Oui","T-Test Welch",IF(C57="Non","MW",""))))</f>
        <v>#NAME?</v>
      </c>
      <c r="D59" s="89" t="e">
        <f t="shared" ca="1" si="70"/>
        <v>#NAME?</v>
      </c>
      <c r="E59" s="89" t="e">
        <f t="shared" ca="1" si="70"/>
        <v>#NAME?</v>
      </c>
      <c r="F59" s="89" t="e">
        <f t="shared" ca="1" si="70"/>
        <v>#NAME?</v>
      </c>
      <c r="G59" s="89" t="e">
        <f t="shared" ca="1" si="70"/>
        <v>#NAME?</v>
      </c>
      <c r="H59" s="89" t="e">
        <f t="shared" ca="1" si="70"/>
        <v>#NAME?</v>
      </c>
      <c r="I59" s="89" t="e">
        <f t="shared" ca="1" si="70"/>
        <v>#NAME?</v>
      </c>
      <c r="J59" s="89" t="e">
        <f t="shared" ca="1" si="70"/>
        <v>#NAME?</v>
      </c>
      <c r="K59" s="89" t="e">
        <f t="shared" ca="1" si="70"/>
        <v>#NAME?</v>
      </c>
      <c r="L59" s="89" t="e">
        <f t="shared" ca="1" si="70"/>
        <v>#NAME?</v>
      </c>
      <c r="M59" s="89" t="e">
        <f t="shared" ca="1" si="70"/>
        <v>#NAME?</v>
      </c>
      <c r="N59" s="89"/>
      <c r="O59" s="89" t="e">
        <f t="shared" ca="1" si="70"/>
        <v>#NAME?</v>
      </c>
      <c r="P59" s="89" t="e">
        <f ca="1">IF($O57="Non",IF(P57="Non","MW",IF(P57="Oui","MW","")),IF($O57="Oui",IF(P57="Oui","T-Test Welch",IF(P57="Non","MW",""))))</f>
        <v>#NAME?</v>
      </c>
      <c r="Q59" s="89" t="e">
        <f t="shared" ref="Q59:AK59" ca="1" si="71">IF($O57="Non",IF(Q57="Non","MW",IF(Q57="Oui","MW","")),IF($O57="Oui",IF(Q57="Oui","T-Test Welch",IF(Q57="Non","MW",""))))</f>
        <v>#NAME?</v>
      </c>
      <c r="R59" s="89" t="e">
        <f t="shared" ca="1" si="71"/>
        <v>#NAME?</v>
      </c>
      <c r="S59" s="89" t="e">
        <f t="shared" ca="1" si="71"/>
        <v>#NAME?</v>
      </c>
      <c r="T59" s="89" t="e">
        <f t="shared" ca="1" si="71"/>
        <v>#NAME?</v>
      </c>
      <c r="U59" s="89" t="e">
        <f t="shared" ca="1" si="71"/>
        <v>#NAME?</v>
      </c>
      <c r="V59" s="89" t="e">
        <f t="shared" ca="1" si="71"/>
        <v>#NAME?</v>
      </c>
      <c r="W59" s="89" t="e">
        <f t="shared" ca="1" si="71"/>
        <v>#NAME?</v>
      </c>
      <c r="X59" s="89" t="e">
        <f t="shared" ca="1" si="71"/>
        <v>#NAME?</v>
      </c>
      <c r="Y59" s="89" t="e">
        <f t="shared" ca="1" si="71"/>
        <v>#NAME?</v>
      </c>
      <c r="Z59" s="89" t="e">
        <f t="shared" ca="1" si="71"/>
        <v>#NAME?</v>
      </c>
      <c r="AA59" s="89" t="e">
        <f t="shared" ca="1" si="71"/>
        <v>#NAME?</v>
      </c>
      <c r="AB59" s="89" t="e">
        <f t="shared" ca="1" si="71"/>
        <v>#NAME?</v>
      </c>
      <c r="AC59" s="89" t="e">
        <f t="shared" ca="1" si="71"/>
        <v>#NAME?</v>
      </c>
      <c r="AD59" s="89" t="e">
        <f t="shared" ca="1" si="71"/>
        <v>#NAME?</v>
      </c>
      <c r="AE59" s="89" t="e">
        <f t="shared" ca="1" si="71"/>
        <v>#NAME?</v>
      </c>
      <c r="AF59" s="89" t="e">
        <f t="shared" ca="1" si="71"/>
        <v>#NAME?</v>
      </c>
      <c r="AG59" s="89" t="e">
        <f t="shared" ca="1" si="71"/>
        <v>#NAME?</v>
      </c>
      <c r="AH59" s="89" t="e">
        <f t="shared" ca="1" si="71"/>
        <v>#NAME?</v>
      </c>
      <c r="AI59" s="89" t="e">
        <f t="shared" ca="1" si="71"/>
        <v>#NAME?</v>
      </c>
      <c r="AJ59" s="89" t="e">
        <f t="shared" ca="1" si="71"/>
        <v>#NAME?</v>
      </c>
      <c r="AK59" s="89" t="e">
        <f t="shared" ca="1" si="71"/>
        <v>#NAME?</v>
      </c>
    </row>
    <row r="60" spans="1:37" s="3" customFormat="1" x14ac:dyDescent="0.25">
      <c r="A60" s="49" t="s">
        <v>45</v>
      </c>
      <c r="B60" s="90"/>
      <c r="C60" s="90" t="e">
        <f ca="1">IF(C59="MW",[1]!MTEST($B28:$B43,C28:C43,2), IF(C59="T-Test Welch",_xlfn.T.TEST($B28:$B43,C28:C43,2,3),""))</f>
        <v>#NAME?</v>
      </c>
      <c r="D60" s="90" t="e">
        <f ca="1">IF(D59="MW",[1]!MTEST($B28:$B43,D28:D43,2), IF(D59="T-Test Welch",_xlfn.T.TEST($B28:$B43,D28:D43,2,3),""))</f>
        <v>#NAME?</v>
      </c>
      <c r="E60" s="90" t="e">
        <f ca="1">IF(E59="MW",[1]!MTEST($B28:$B43,E28:E43,2), IF(E59="T-Test Welch",_xlfn.T.TEST($B28:$B43,E28:E43,2,3),""))</f>
        <v>#NAME?</v>
      </c>
      <c r="F60" s="90" t="e">
        <f ca="1">IF(F59="MW",[1]!MTEST($B28:$B43,F28:F43,2), IF(F59="T-Test Welch",_xlfn.T.TEST($B28:$B43,F28:F43,2,3),""))</f>
        <v>#NAME?</v>
      </c>
      <c r="G60" s="90" t="e">
        <f ca="1">IF(G59="MW",[1]!MTEST($B28:$B43,G28:G43,2), IF(G59="T-Test Welch",_xlfn.T.TEST($B28:$B43,G28:G43,2,3),""))</f>
        <v>#NAME?</v>
      </c>
      <c r="H60" s="90" t="e">
        <f ca="1">IF(H59="MW",[1]!MTEST($B28:$B43,H28:H43,2), IF(H59="T-Test Welch",_xlfn.T.TEST($B28:$B43,H28:H43,2,3),""))</f>
        <v>#NAME?</v>
      </c>
      <c r="I60" s="90" t="e">
        <f ca="1">IF(I59="MW",[1]!MTEST($B28:$B43,I28:I43,2), IF(I59="T-Test Welch",_xlfn.T.TEST($B28:$B43,I28:I43,2,3),""))</f>
        <v>#NAME?</v>
      </c>
      <c r="J60" s="90" t="e">
        <f ca="1">IF(J59="MW",[1]!MTEST($B28:$B43,J28:J43,2), IF(J59="T-Test Welch",_xlfn.T.TEST($B28:$B43,J28:J43,2,3),""))</f>
        <v>#NAME?</v>
      </c>
      <c r="K60" s="90" t="e">
        <f ca="1">IF(K59="MW",[1]!MTEST($B28:$B43,K28:K43,2), IF(K59="T-Test Welch",_xlfn.T.TEST($B28:$B43,K28:K43,2,3),""))</f>
        <v>#NAME?</v>
      </c>
      <c r="L60" s="90" t="e">
        <f ca="1">IF(L59="MW",[1]!MTEST($B28:$B43,L28:L43,2), IF(L59="T-Test Welch",_xlfn.T.TEST($B28:$B43,L28:L43,2,3),""))</f>
        <v>#NAME?</v>
      </c>
      <c r="M60" s="90" t="e">
        <f ca="1">IF(M59="MW",[1]!MTEST($B28:$B43,M28:M43,2), IF(M59="T-Test Welch",_xlfn.T.TEST($B28:$B43,M28:M43,2,3),""))</f>
        <v>#NAME?</v>
      </c>
      <c r="N60" s="90"/>
      <c r="O60" s="90" t="e">
        <f ca="1">IF(O59="MW",[1]!MTEST($B28:$B43,O28:O43,2), IF(O59="T-Test Welch",_xlfn.T.TEST($B28:$B43,O28:O43,2,3),""))</f>
        <v>#NAME?</v>
      </c>
      <c r="P60" s="90" t="e">
        <f ca="1">IF(P59="MW",[1]!MTEST($O28:$O43,P28:P43,2), IF(P59="T-Test Welch",_xlfn.T.TEST($O28:$O43,P28:P43,2,3),""))</f>
        <v>#NAME?</v>
      </c>
      <c r="Q60" s="90" t="e">
        <f ca="1">IF(Q59="MW",[1]!MTEST($O28:$O43,Q28:Q43,2), IF(Q59="T-Test Welch",_xlfn.T.TEST($O28:$O43,Q28:Q43,2,3),""))</f>
        <v>#NAME?</v>
      </c>
      <c r="R60" s="90" t="e">
        <f ca="1">IF(R59="MW",[1]!MTEST($O28:$O43,R28:R43,2), IF(R59="T-Test Welch",_xlfn.T.TEST($O28:$O43,R28:R43,2,3),""))</f>
        <v>#NAME?</v>
      </c>
      <c r="S60" s="90" t="e">
        <f ca="1">IF(S59="MW",[1]!MTEST($O28:$O43,S28:S43,2), IF(S59="T-Test Welch",_xlfn.T.TEST($O28:$O43,S28:S43,2,3),""))</f>
        <v>#NAME?</v>
      </c>
      <c r="T60" s="90" t="e">
        <f ca="1">IF(T59="MW",[1]!MTEST($O28:$O43,T28:T43,2), IF(T59="T-Test Welch",_xlfn.T.TEST($O28:$O43,T28:T43,2,3),""))</f>
        <v>#NAME?</v>
      </c>
      <c r="U60" s="90" t="e">
        <f ca="1">IF(U59="MW",[1]!MTEST($O28:$O43,U28:U43,2), IF(U59="T-Test Welch",_xlfn.T.TEST($O28:$O43,U28:U43,2,3),""))</f>
        <v>#NAME?</v>
      </c>
      <c r="V60" s="90" t="e">
        <f ca="1">IF(V59="MW",[1]!MTEST($O28:$O43,V28:V43,2), IF(V59="T-Test Welch",_xlfn.T.TEST($O28:$O43,V28:V43,2,3),""))</f>
        <v>#NAME?</v>
      </c>
      <c r="W60" s="90" t="e">
        <f ca="1">IF(W59="MW",[1]!MTEST($O28:$O43,W28:W43,2), IF(W59="T-Test Welch",_xlfn.T.TEST($O28:$O43,W28:W43,2,3),""))</f>
        <v>#NAME?</v>
      </c>
      <c r="X60" s="90" t="e">
        <f ca="1">IF(X59="MW",[1]!MTEST($O28:$O43,X28:X43,2), IF(X59="T-Test Welch",_xlfn.T.TEST($O28:$O43,X28:X43,2,3),""))</f>
        <v>#NAME?</v>
      </c>
      <c r="Y60" s="90" t="e">
        <f ca="1">IF(Y59="MW",[1]!MTEST($O28:$O43,Y28:Y43,2), IF(Y59="T-Test Welch",_xlfn.T.TEST($O28:$O43,Y28:Y43,2,3),""))</f>
        <v>#NAME?</v>
      </c>
      <c r="Z60" s="90" t="e">
        <f ca="1">IF(Z59="MW",[1]!MTEST($O28:$O43,Z28:Z43,2), IF(Z59="T-Test Welch",_xlfn.T.TEST($O28:$O43,Z28:Z43,2,3),""))</f>
        <v>#NAME?</v>
      </c>
      <c r="AA60" s="90" t="e">
        <f ca="1">IF(AA59="MW",[1]!MTEST($O28:$O43,AA28:AA43,2), IF(AA59="T-Test Welch",_xlfn.T.TEST($O28:$O43,AA28:AA43,2,3),""))</f>
        <v>#NAME?</v>
      </c>
      <c r="AB60" s="90" t="e">
        <f ca="1">IF(AB59="MW",[1]!MTEST($O28:$O43,AB28:AB43,2), IF(AB59="T-Test Welch",_xlfn.T.TEST($O28:$O43,AB28:AB43,2,3),""))</f>
        <v>#NAME?</v>
      </c>
      <c r="AC60" s="90" t="e">
        <f ca="1">IF(AC59="MW",[1]!MTEST($O28:$O43,AC28:AC43,2), IF(AC59="T-Test Welch",_xlfn.T.TEST($O28:$O43,AC28:AC43,2,3),""))</f>
        <v>#NAME?</v>
      </c>
      <c r="AD60" s="90" t="e">
        <f ca="1">IF(AD59="MW",[1]!MTEST($O28:$O43,AD28:AD43,2), IF(AD59="T-Test Welch",_xlfn.T.TEST($O28:$O43,AD28:AD43,2,3),""))</f>
        <v>#NAME?</v>
      </c>
      <c r="AE60" s="90" t="e">
        <f ca="1">IF(AE59="MW",[1]!MTEST($O28:$O43,AE28:AE43,2), IF(AE59="T-Test Welch",_xlfn.T.TEST($O28:$O43,AE28:AE43,2,3),""))</f>
        <v>#NAME?</v>
      </c>
      <c r="AF60" s="90" t="e">
        <f ca="1">IF(AF59="MW",[1]!MTEST($O28:$O43,AF28:AF43,2), IF(AF59="T-Test Welch",_xlfn.T.TEST($O28:$O43,AF28:AF43,2,3),""))</f>
        <v>#NAME?</v>
      </c>
      <c r="AG60" s="90" t="e">
        <f ca="1">IF(AG59="MW",[1]!MTEST($O28:$O43,AG28:AG43,2), IF(AG59="T-Test Welch",_xlfn.T.TEST($O28:$O43,AG28:AG43,2,3),""))</f>
        <v>#NAME?</v>
      </c>
      <c r="AH60" s="90" t="e">
        <f ca="1">IF(AH59="MW",[1]!MTEST($O28:$O43,AH28:AH43,2), IF(AH59="T-Test Welch",_xlfn.T.TEST($O28:$O43,AH28:AH43,2,3),""))</f>
        <v>#NAME?</v>
      </c>
      <c r="AI60" s="90" t="e">
        <f ca="1">IF(AI59="MW",[1]!MTEST($O28:$O43,AI28:AI43,2), IF(AI59="T-Test Welch",_xlfn.T.TEST($O28:$O43,AI28:AI43,2,3),""))</f>
        <v>#NAME?</v>
      </c>
      <c r="AJ60" s="90" t="e">
        <f ca="1">IF(AJ59="MW",[1]!MTEST($O28:$O43,AJ28:AJ43,2), IF(AJ59="T-Test Welch",_xlfn.T.TEST($O28:$O43,AJ28:AJ43,2,3),""))</f>
        <v>#NAME?</v>
      </c>
      <c r="AK60" s="90" t="e">
        <f ca="1">IF(AK59="MW",[1]!MTEST($O28:$O43,AK28:AK43,2), IF(AK59="T-Test Welch",_xlfn.T.TEST($O28:$O43,AK28:AK43,2,3),""))</f>
        <v>#NAME?</v>
      </c>
    </row>
    <row r="61" spans="1:37" s="3" customFormat="1" ht="15.75" thickBot="1" x14ac:dyDescent="0.3">
      <c r="A61" s="50" t="s">
        <v>46</v>
      </c>
      <c r="B61" s="84"/>
      <c r="C61" s="84" t="e">
        <f t="shared" ref="C61:O61" ca="1" si="72">IF(C60&gt;0.05,"NS",IF(C60&gt;0.01,"*",IF(C60&gt;0.001,"**","***")))</f>
        <v>#NAME?</v>
      </c>
      <c r="D61" s="84" t="e">
        <f t="shared" ca="1" si="72"/>
        <v>#NAME?</v>
      </c>
      <c r="E61" s="84" t="e">
        <f t="shared" ca="1" si="72"/>
        <v>#NAME?</v>
      </c>
      <c r="F61" s="84" t="e">
        <f t="shared" ca="1" si="72"/>
        <v>#NAME?</v>
      </c>
      <c r="G61" s="84" t="e">
        <f t="shared" ca="1" si="72"/>
        <v>#NAME?</v>
      </c>
      <c r="H61" s="84" t="e">
        <f t="shared" ca="1" si="72"/>
        <v>#NAME?</v>
      </c>
      <c r="I61" s="84" t="e">
        <f t="shared" ca="1" si="72"/>
        <v>#NAME?</v>
      </c>
      <c r="J61" s="84" t="e">
        <f t="shared" ca="1" si="72"/>
        <v>#NAME?</v>
      </c>
      <c r="K61" s="84" t="e">
        <f t="shared" ca="1" si="72"/>
        <v>#NAME?</v>
      </c>
      <c r="L61" s="84" t="e">
        <f t="shared" ca="1" si="72"/>
        <v>#NAME?</v>
      </c>
      <c r="M61" s="84" t="e">
        <f t="shared" ca="1" si="72"/>
        <v>#NAME?</v>
      </c>
      <c r="N61" s="84"/>
      <c r="O61" s="84" t="e">
        <f t="shared" ca="1" si="72"/>
        <v>#NAME?</v>
      </c>
      <c r="P61" s="84" t="e">
        <f ca="1">IF(P60&gt;0.05,"NS",IF(P60&gt;0.01,"*",IF(P60&gt;0.001,"**","***")))</f>
        <v>#NAME?</v>
      </c>
      <c r="Q61" s="84" t="e">
        <f t="shared" ref="Q61:AK61" ca="1" si="73">IF(Q60&gt;0.05,"NS",IF(Q60&gt;0.01,"*",IF(Q60&gt;0.001,"**","***")))</f>
        <v>#NAME?</v>
      </c>
      <c r="R61" s="84" t="e">
        <f t="shared" ca="1" si="73"/>
        <v>#NAME?</v>
      </c>
      <c r="S61" s="84" t="e">
        <f t="shared" ca="1" si="73"/>
        <v>#NAME?</v>
      </c>
      <c r="T61" s="84" t="e">
        <f t="shared" ca="1" si="73"/>
        <v>#NAME?</v>
      </c>
      <c r="U61" s="84" t="e">
        <f t="shared" ca="1" si="73"/>
        <v>#NAME?</v>
      </c>
      <c r="V61" s="84" t="e">
        <f t="shared" ca="1" si="73"/>
        <v>#NAME?</v>
      </c>
      <c r="W61" s="84" t="e">
        <f t="shared" ca="1" si="73"/>
        <v>#NAME?</v>
      </c>
      <c r="X61" s="84" t="e">
        <f t="shared" ca="1" si="73"/>
        <v>#NAME?</v>
      </c>
      <c r="Y61" s="84" t="e">
        <f t="shared" ca="1" si="73"/>
        <v>#NAME?</v>
      </c>
      <c r="Z61" s="84" t="e">
        <f t="shared" ca="1" si="73"/>
        <v>#NAME?</v>
      </c>
      <c r="AA61" s="84" t="e">
        <f t="shared" ca="1" si="73"/>
        <v>#NAME?</v>
      </c>
      <c r="AB61" s="84" t="e">
        <f t="shared" ca="1" si="73"/>
        <v>#NAME?</v>
      </c>
      <c r="AC61" s="84" t="e">
        <f t="shared" ca="1" si="73"/>
        <v>#NAME?</v>
      </c>
      <c r="AD61" s="84" t="e">
        <f t="shared" ca="1" si="73"/>
        <v>#NAME?</v>
      </c>
      <c r="AE61" s="84" t="e">
        <f t="shared" ca="1" si="73"/>
        <v>#NAME?</v>
      </c>
      <c r="AF61" s="84" t="e">
        <f t="shared" ca="1" si="73"/>
        <v>#NAME?</v>
      </c>
      <c r="AG61" s="84" t="e">
        <f t="shared" ca="1" si="73"/>
        <v>#NAME?</v>
      </c>
      <c r="AH61" s="84" t="e">
        <f t="shared" ca="1" si="73"/>
        <v>#NAME?</v>
      </c>
      <c r="AI61" s="84" t="e">
        <f t="shared" ca="1" si="73"/>
        <v>#NAME?</v>
      </c>
      <c r="AJ61" s="84" t="e">
        <f t="shared" ca="1" si="73"/>
        <v>#NAME?</v>
      </c>
      <c r="AK61" s="84" t="e">
        <f t="shared" ca="1" si="73"/>
        <v>#NAME?</v>
      </c>
    </row>
    <row r="63" spans="1:37" x14ac:dyDescent="0.25">
      <c r="A63" s="2" t="s">
        <v>20</v>
      </c>
    </row>
    <row r="64" spans="1:37" x14ac:dyDescent="0.25">
      <c r="A64" s="1" t="s">
        <v>13</v>
      </c>
      <c r="B64" s="1">
        <f>B46+(3*B47)</f>
        <v>0.18685567225417155</v>
      </c>
    </row>
    <row r="65" spans="1:37" x14ac:dyDescent="0.25">
      <c r="A65" s="1" t="s">
        <v>14</v>
      </c>
      <c r="B65" s="1">
        <f>B46+(10*B47)</f>
        <v>0.4322117171682569</v>
      </c>
    </row>
    <row r="66" spans="1:37" ht="15.75" thickBot="1" x14ac:dyDescent="0.3"/>
    <row r="67" spans="1:37" ht="27" thickBot="1" x14ac:dyDescent="0.45">
      <c r="A67" s="143" t="s">
        <v>25</v>
      </c>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c r="AA67" s="144"/>
      <c r="AB67" s="144"/>
      <c r="AC67" s="144"/>
      <c r="AD67" s="144"/>
      <c r="AE67" s="144"/>
      <c r="AF67" s="144"/>
      <c r="AG67" s="144"/>
      <c r="AH67" s="144"/>
      <c r="AI67" s="144"/>
      <c r="AJ67" s="144"/>
      <c r="AK67" s="145"/>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0 I5:M12" name="Plage1"/>
    <protectedRange sqref="B51:J51" name="Plage2_1"/>
    <protectedRange sqref="B13:J20" name="Plage1_1"/>
    <protectedRange sqref="B5:H12" name="Plage1_1_1"/>
    <protectedRange sqref="O5:O20" name="Plage1_1_2"/>
  </protectedRanges>
  <mergeCells count="9">
    <mergeCell ref="A1:AK1"/>
    <mergeCell ref="A67:AK67"/>
    <mergeCell ref="A5:A20"/>
    <mergeCell ref="B3:M3"/>
    <mergeCell ref="O3:AK3"/>
    <mergeCell ref="B26:M26"/>
    <mergeCell ref="O26:AK26"/>
    <mergeCell ref="A28:A43"/>
    <mergeCell ref="A50:AK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74"/>
  <sheetViews>
    <sheetView showGridLines="0" tabSelected="1" topLeftCell="G1" zoomScale="70" zoomScaleNormal="70" zoomScaleSheetLayoutView="40" zoomScalePageLayoutView="30" workbookViewId="0">
      <selection activeCell="AC2" sqref="N1:AC1048576"/>
    </sheetView>
  </sheetViews>
  <sheetFormatPr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36" width="25.85546875" style="1" customWidth="1"/>
    <col min="37" max="37" width="25.85546875" style="1" bestFit="1" customWidth="1"/>
    <col min="38" max="16384" width="9.140625" style="1"/>
  </cols>
  <sheetData>
    <row r="1" spans="1:37" ht="27" thickBot="1" x14ac:dyDescent="0.45">
      <c r="A1" s="140" t="s">
        <v>23</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2"/>
    </row>
    <row r="2" spans="1:37" ht="15.75" thickBot="1" x14ac:dyDescent="0.3"/>
    <row r="3" spans="1:37" ht="15.75" thickBot="1" x14ac:dyDescent="0.3">
      <c r="A3" s="91" t="s">
        <v>12</v>
      </c>
      <c r="B3" s="150" t="s">
        <v>6</v>
      </c>
      <c r="C3" s="151"/>
      <c r="D3" s="151"/>
      <c r="E3" s="151"/>
      <c r="F3" s="151"/>
      <c r="G3" s="151"/>
      <c r="H3" s="151"/>
      <c r="I3" s="151"/>
      <c r="J3" s="151"/>
      <c r="K3" s="151"/>
      <c r="L3" s="151"/>
      <c r="M3" s="151"/>
      <c r="O3" s="150" t="s">
        <v>3</v>
      </c>
      <c r="P3" s="151"/>
      <c r="Q3" s="151"/>
      <c r="R3" s="151"/>
      <c r="S3" s="151"/>
      <c r="T3" s="151"/>
      <c r="U3" s="151"/>
      <c r="V3" s="151"/>
      <c r="W3" s="151"/>
      <c r="X3" s="151"/>
      <c r="Y3" s="151"/>
      <c r="Z3" s="151"/>
      <c r="AA3" s="151"/>
      <c r="AB3" s="151"/>
      <c r="AC3" s="151"/>
      <c r="AD3" s="151"/>
      <c r="AE3" s="151"/>
      <c r="AF3" s="151"/>
      <c r="AG3" s="151"/>
      <c r="AH3" s="151"/>
      <c r="AI3" s="151"/>
      <c r="AJ3" s="151"/>
      <c r="AK3" s="152"/>
    </row>
    <row r="4" spans="1:37" x14ac:dyDescent="0.25">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Prochloraz-0.063mg/L</v>
      </c>
      <c r="J4" s="20" t="str">
        <f>'Front page'!A15</f>
        <v>Prochloraz-0.13mg/L</v>
      </c>
      <c r="K4" s="20" t="str">
        <f>'Front page'!A16</f>
        <v>Prochloraz-0.25mg/L</v>
      </c>
      <c r="L4" s="20" t="str">
        <f>'Front page'!A17</f>
        <v>Prochloraz-0.5mg/L</v>
      </c>
      <c r="M4" s="20" t="str">
        <f>'Front page'!A18</f>
        <v>Prochloraz-1.0mg/L</v>
      </c>
      <c r="N4" s="3"/>
      <c r="O4" s="21" t="str">
        <f>'Front page'!A35</f>
        <v>Testo -30µg/L</v>
      </c>
      <c r="P4" s="21" t="str">
        <f>'Front page'!A36</f>
        <v>Testo 30µg/L + EE2 -64ng/L</v>
      </c>
      <c r="Q4" s="21" t="str">
        <f>'Front page'!A37</f>
        <v>Testo 30µg/L + FAD-10mg/L</v>
      </c>
      <c r="R4" s="21" t="str">
        <f>'Front page'!A38</f>
        <v>Prochloraz-0.063mg/L + Testostérone</v>
      </c>
      <c r="S4" s="21" t="str">
        <f>'Front page'!A39</f>
        <v>Prochloraz-0.13mg/L + Testostérone</v>
      </c>
      <c r="T4" s="21" t="str">
        <f>'Front page'!A40</f>
        <v>Prochloraz-0.25mg/L + Testostérone</v>
      </c>
      <c r="U4" s="21" t="str">
        <f>'Front page'!A41</f>
        <v>Prochloraz-0.5mg/L + Testostérone</v>
      </c>
      <c r="V4" s="21" t="str">
        <f>'Front page'!A42</f>
        <v>Prochloraz-1.0mg/L + Testostérone</v>
      </c>
      <c r="W4" s="21" t="str">
        <f>'Front page'!A43</f>
        <v>0-00 + Testostérone</v>
      </c>
      <c r="X4" s="21" t="str">
        <f>'Front page'!A44</f>
        <v>0-00 + Testostérone</v>
      </c>
      <c r="Y4" s="21" t="str">
        <f>'Front page'!A45</f>
        <v>0-00 + Testostérone</v>
      </c>
      <c r="Z4" s="21" t="str">
        <f>'Front page'!A46</f>
        <v>0-00 + Testostérone</v>
      </c>
      <c r="AA4" s="21" t="str">
        <f>'Front page'!A47</f>
        <v>0-00 + Testostérone</v>
      </c>
      <c r="AB4" s="21" t="str">
        <f>'Front page'!A48</f>
        <v>0-00 + Testostérone</v>
      </c>
      <c r="AC4" s="21" t="str">
        <f>'Front page'!A49</f>
        <v>0-00 + Testostérone</v>
      </c>
      <c r="AD4" s="21" t="str">
        <f>'Front page'!A50</f>
        <v>0-00 + Testostérone</v>
      </c>
      <c r="AE4" s="21" t="str">
        <f>'Front page'!A51</f>
        <v>0-00 + Testostérone</v>
      </c>
      <c r="AF4" s="21" t="str">
        <f>'Front page'!A52</f>
        <v>0-00 + Testostérone</v>
      </c>
      <c r="AG4" s="21" t="str">
        <f>'Front page'!A53</f>
        <v>0-00 + Testostérone</v>
      </c>
      <c r="AH4" s="21" t="str">
        <f>'Front page'!A54</f>
        <v>0-00 + Testostérone</v>
      </c>
      <c r="AI4" s="21" t="str">
        <f>'Front page'!A55</f>
        <v>0-00 + Testostérone</v>
      </c>
      <c r="AJ4" s="21" t="str">
        <f>'Front page'!A56</f>
        <v>0-00 + Testostérone</v>
      </c>
      <c r="AK4" s="21" t="str">
        <f>'Front page'!A57</f>
        <v>0-00 + Testostérone</v>
      </c>
    </row>
    <row r="5" spans="1:37" x14ac:dyDescent="0.25">
      <c r="A5" s="153" t="s">
        <v>16</v>
      </c>
      <c r="B5" s="17">
        <v>8996</v>
      </c>
      <c r="C5" s="17"/>
      <c r="D5" s="17">
        <v>1902</v>
      </c>
      <c r="E5" s="17">
        <v>12968</v>
      </c>
      <c r="F5" s="17">
        <v>173295</v>
      </c>
      <c r="G5" s="17">
        <v>2906</v>
      </c>
      <c r="H5" s="17">
        <v>253804</v>
      </c>
      <c r="I5" s="17">
        <v>2426</v>
      </c>
      <c r="J5" s="17">
        <v>1840</v>
      </c>
      <c r="K5" s="13">
        <v>82</v>
      </c>
      <c r="L5" s="13">
        <v>1816</v>
      </c>
      <c r="M5" s="13">
        <v>0</v>
      </c>
      <c r="N5" s="3"/>
      <c r="O5" s="17">
        <v>203055</v>
      </c>
      <c r="P5" s="13">
        <v>111683</v>
      </c>
      <c r="Q5" s="13">
        <v>0</v>
      </c>
      <c r="R5" s="17">
        <v>14801</v>
      </c>
      <c r="S5" s="17">
        <v>11802</v>
      </c>
      <c r="T5" s="17">
        <v>578</v>
      </c>
      <c r="U5" s="17">
        <v>0</v>
      </c>
      <c r="V5" s="17">
        <v>40136</v>
      </c>
      <c r="W5" s="17"/>
      <c r="X5" s="17"/>
      <c r="Y5" s="17"/>
      <c r="Z5" s="17"/>
      <c r="AA5" s="17"/>
      <c r="AB5" s="17"/>
      <c r="AC5" s="17"/>
      <c r="AD5" s="17"/>
      <c r="AE5" s="17"/>
      <c r="AF5" s="17"/>
      <c r="AG5" s="17"/>
      <c r="AH5" s="17"/>
      <c r="AI5" s="17"/>
      <c r="AJ5" s="17"/>
      <c r="AK5" s="17"/>
    </row>
    <row r="6" spans="1:37" ht="16.5" x14ac:dyDescent="0.25">
      <c r="A6" s="153"/>
      <c r="B6" s="14">
        <v>5484</v>
      </c>
      <c r="C6" s="13"/>
      <c r="D6" s="17">
        <v>1338</v>
      </c>
      <c r="E6" s="17">
        <v>0</v>
      </c>
      <c r="F6" s="17">
        <v>1508</v>
      </c>
      <c r="G6" s="17">
        <v>384499</v>
      </c>
      <c r="H6" s="17">
        <v>282945</v>
      </c>
      <c r="I6" s="17">
        <v>0</v>
      </c>
      <c r="J6" s="17">
        <v>1739</v>
      </c>
      <c r="K6" s="13">
        <v>335</v>
      </c>
      <c r="L6" s="13">
        <v>2764</v>
      </c>
      <c r="M6" s="13">
        <v>3553</v>
      </c>
      <c r="N6" s="3"/>
      <c r="O6" s="17">
        <v>144189</v>
      </c>
      <c r="P6" s="13">
        <v>256201</v>
      </c>
      <c r="Q6" s="13">
        <v>99735</v>
      </c>
      <c r="R6" s="17">
        <v>40980</v>
      </c>
      <c r="S6" s="17">
        <v>245</v>
      </c>
      <c r="T6" s="17">
        <v>21662</v>
      </c>
      <c r="U6" s="17">
        <v>1833</v>
      </c>
      <c r="V6" s="17">
        <v>490</v>
      </c>
      <c r="W6" s="17"/>
      <c r="X6" s="17"/>
      <c r="Y6" s="17"/>
      <c r="Z6" s="17"/>
      <c r="AA6" s="17"/>
      <c r="AB6" s="17"/>
      <c r="AC6" s="17"/>
      <c r="AD6" s="17"/>
      <c r="AE6" s="17"/>
      <c r="AF6" s="17"/>
      <c r="AG6" s="17"/>
      <c r="AH6" s="17"/>
      <c r="AI6" s="17"/>
      <c r="AJ6" s="17"/>
      <c r="AK6" s="17"/>
    </row>
    <row r="7" spans="1:37" ht="16.5" x14ac:dyDescent="0.25">
      <c r="A7" s="153"/>
      <c r="B7" s="14">
        <v>422</v>
      </c>
      <c r="C7" s="13"/>
      <c r="D7" s="17">
        <v>242</v>
      </c>
      <c r="E7" s="17">
        <v>30668</v>
      </c>
      <c r="F7" s="17">
        <v>169276</v>
      </c>
      <c r="G7" s="17">
        <v>243198</v>
      </c>
      <c r="H7" s="17">
        <v>223912</v>
      </c>
      <c r="I7" s="17">
        <v>4381</v>
      </c>
      <c r="J7" s="17">
        <v>1171</v>
      </c>
      <c r="K7" s="13">
        <v>9141</v>
      </c>
      <c r="L7" s="13">
        <v>0</v>
      </c>
      <c r="M7" s="13">
        <v>0</v>
      </c>
      <c r="N7" s="3"/>
      <c r="O7" s="17">
        <v>221053</v>
      </c>
      <c r="P7" s="13">
        <v>276536</v>
      </c>
      <c r="Q7" s="13">
        <v>839</v>
      </c>
      <c r="R7" s="17">
        <v>56078</v>
      </c>
      <c r="S7" s="17">
        <v>30588</v>
      </c>
      <c r="T7" s="17">
        <v>566</v>
      </c>
      <c r="U7" s="17">
        <v>562</v>
      </c>
      <c r="V7" s="17">
        <v>4909</v>
      </c>
      <c r="W7" s="17"/>
      <c r="X7" s="17"/>
      <c r="Y7" s="17"/>
      <c r="Z7" s="17"/>
      <c r="AA7" s="17"/>
      <c r="AB7" s="17"/>
      <c r="AC7" s="17"/>
      <c r="AD7" s="17"/>
      <c r="AE7" s="17"/>
      <c r="AF7" s="17"/>
      <c r="AG7" s="17"/>
      <c r="AH7" s="17"/>
      <c r="AI7" s="17"/>
      <c r="AJ7" s="17"/>
      <c r="AK7" s="17"/>
    </row>
    <row r="8" spans="1:37" ht="16.5" x14ac:dyDescent="0.25">
      <c r="A8" s="153"/>
      <c r="B8" s="14">
        <v>734</v>
      </c>
      <c r="C8" s="13"/>
      <c r="D8" s="17">
        <v>8791</v>
      </c>
      <c r="E8" s="17">
        <v>1473</v>
      </c>
      <c r="F8" s="17">
        <v>273980</v>
      </c>
      <c r="G8" s="17">
        <v>251816</v>
      </c>
      <c r="H8" s="17">
        <v>402101</v>
      </c>
      <c r="I8" s="17">
        <v>920</v>
      </c>
      <c r="J8" s="17">
        <v>253</v>
      </c>
      <c r="K8" s="13">
        <v>5814</v>
      </c>
      <c r="L8" s="13">
        <v>0</v>
      </c>
      <c r="M8" s="13">
        <v>4543</v>
      </c>
      <c r="N8" s="3"/>
      <c r="O8" s="17">
        <v>162948</v>
      </c>
      <c r="P8" s="13">
        <v>249176</v>
      </c>
      <c r="Q8" s="13">
        <v>322</v>
      </c>
      <c r="R8" s="17">
        <v>27783</v>
      </c>
      <c r="S8" s="17">
        <v>6571</v>
      </c>
      <c r="T8" s="17">
        <v>19775</v>
      </c>
      <c r="U8" s="17">
        <v>12710</v>
      </c>
      <c r="V8" s="17">
        <v>0</v>
      </c>
      <c r="W8" s="17"/>
      <c r="X8" s="17"/>
      <c r="Y8" s="17"/>
      <c r="Z8" s="17"/>
      <c r="AA8" s="17"/>
      <c r="AB8" s="17"/>
      <c r="AC8" s="17"/>
      <c r="AD8" s="17"/>
      <c r="AE8" s="17"/>
      <c r="AF8" s="17"/>
      <c r="AG8" s="17"/>
      <c r="AH8" s="17"/>
      <c r="AI8" s="17"/>
      <c r="AJ8" s="17"/>
      <c r="AK8" s="17"/>
    </row>
    <row r="9" spans="1:37" ht="16.5" x14ac:dyDescent="0.25">
      <c r="A9" s="153"/>
      <c r="B9" s="14">
        <v>9934</v>
      </c>
      <c r="C9" s="13"/>
      <c r="D9" s="17">
        <v>814</v>
      </c>
      <c r="E9" s="17">
        <v>0</v>
      </c>
      <c r="F9" s="17">
        <v>143728</v>
      </c>
      <c r="G9" s="17">
        <v>60661</v>
      </c>
      <c r="H9" s="17">
        <v>319761</v>
      </c>
      <c r="I9" s="17">
        <v>8673</v>
      </c>
      <c r="J9" s="17">
        <v>2328</v>
      </c>
      <c r="K9" s="13">
        <v>487</v>
      </c>
      <c r="L9" s="13">
        <v>1645</v>
      </c>
      <c r="M9" s="13">
        <v>3758</v>
      </c>
      <c r="N9" s="3"/>
      <c r="O9" s="17">
        <v>178232</v>
      </c>
      <c r="P9" s="13">
        <v>240916</v>
      </c>
      <c r="Q9" s="13">
        <v>0</v>
      </c>
      <c r="R9" s="17">
        <v>131607</v>
      </c>
      <c r="S9" s="17">
        <v>168322</v>
      </c>
      <c r="T9" s="17">
        <v>72554</v>
      </c>
      <c r="U9" s="17">
        <v>3176</v>
      </c>
      <c r="V9" s="17">
        <v>18033</v>
      </c>
      <c r="W9" s="17"/>
      <c r="X9" s="17"/>
      <c r="Y9" s="17"/>
      <c r="Z9" s="17"/>
      <c r="AA9" s="17"/>
      <c r="AB9" s="17"/>
      <c r="AC9" s="17"/>
      <c r="AD9" s="17"/>
      <c r="AE9" s="17"/>
      <c r="AF9" s="17"/>
      <c r="AG9" s="17"/>
      <c r="AH9" s="17"/>
      <c r="AI9" s="17"/>
      <c r="AJ9" s="17"/>
      <c r="AK9" s="17"/>
    </row>
    <row r="10" spans="1:37" ht="16.5" x14ac:dyDescent="0.25">
      <c r="A10" s="153"/>
      <c r="B10" s="14">
        <v>2025</v>
      </c>
      <c r="C10" s="13"/>
      <c r="D10" s="17">
        <v>164</v>
      </c>
      <c r="E10" s="17">
        <v>15240</v>
      </c>
      <c r="F10" s="17">
        <v>31364</v>
      </c>
      <c r="G10" s="17">
        <v>182330</v>
      </c>
      <c r="H10" s="17">
        <v>168932</v>
      </c>
      <c r="I10" s="17">
        <v>1429</v>
      </c>
      <c r="J10" s="17">
        <v>4418</v>
      </c>
      <c r="K10" s="13">
        <v>335</v>
      </c>
      <c r="L10" s="13">
        <v>9212</v>
      </c>
      <c r="M10" s="13">
        <v>0</v>
      </c>
      <c r="N10" s="3"/>
      <c r="O10" s="17">
        <v>78581</v>
      </c>
      <c r="P10" s="13">
        <v>197655</v>
      </c>
      <c r="Q10" s="13">
        <v>18038</v>
      </c>
      <c r="R10" s="17">
        <v>24251</v>
      </c>
      <c r="S10" s="17">
        <v>56968</v>
      </c>
      <c r="T10" s="17">
        <v>0</v>
      </c>
      <c r="U10" s="17">
        <v>326</v>
      </c>
      <c r="V10" s="17">
        <v>12515</v>
      </c>
      <c r="W10" s="17"/>
      <c r="X10" s="17"/>
      <c r="Y10" s="17"/>
      <c r="Z10" s="17"/>
      <c r="AA10" s="17"/>
      <c r="AB10" s="17"/>
      <c r="AC10" s="17"/>
      <c r="AD10" s="17"/>
      <c r="AE10" s="17"/>
      <c r="AF10" s="17"/>
      <c r="AG10" s="17"/>
      <c r="AH10" s="17"/>
      <c r="AI10" s="17"/>
      <c r="AJ10" s="17"/>
      <c r="AK10" s="17"/>
    </row>
    <row r="11" spans="1:37" ht="16.5" x14ac:dyDescent="0.25">
      <c r="A11" s="153"/>
      <c r="B11" s="14">
        <v>5565</v>
      </c>
      <c r="C11" s="13"/>
      <c r="D11" s="17">
        <v>11287</v>
      </c>
      <c r="E11" s="17">
        <v>247232</v>
      </c>
      <c r="F11" s="17">
        <v>150063</v>
      </c>
      <c r="G11" s="17">
        <v>139396</v>
      </c>
      <c r="H11" s="17">
        <v>400259</v>
      </c>
      <c r="I11" s="17">
        <v>3298</v>
      </c>
      <c r="J11" s="17">
        <v>80</v>
      </c>
      <c r="K11" s="13">
        <v>569</v>
      </c>
      <c r="L11" s="13">
        <v>81</v>
      </c>
      <c r="M11" s="13">
        <v>15097</v>
      </c>
      <c r="N11" s="3"/>
      <c r="O11" s="17">
        <v>69173</v>
      </c>
      <c r="P11" s="13">
        <v>214172</v>
      </c>
      <c r="Q11" s="13">
        <v>0</v>
      </c>
      <c r="R11" s="17">
        <v>54914</v>
      </c>
      <c r="S11" s="17">
        <v>13540</v>
      </c>
      <c r="T11" s="17">
        <v>59761</v>
      </c>
      <c r="U11" s="17">
        <v>9194</v>
      </c>
      <c r="V11" s="17">
        <v>4851</v>
      </c>
      <c r="W11" s="17"/>
      <c r="X11" s="17"/>
      <c r="Y11" s="17"/>
      <c r="Z11" s="17"/>
      <c r="AA11" s="17"/>
      <c r="AB11" s="17"/>
      <c r="AC11" s="17"/>
      <c r="AD11" s="17"/>
      <c r="AE11" s="17"/>
      <c r="AF11" s="17"/>
      <c r="AG11" s="17"/>
      <c r="AH11" s="17"/>
      <c r="AI11" s="17"/>
      <c r="AJ11" s="17"/>
      <c r="AK11" s="17"/>
    </row>
    <row r="12" spans="1:37" ht="16.5" x14ac:dyDescent="0.25">
      <c r="A12" s="153"/>
      <c r="B12" s="14">
        <v>247</v>
      </c>
      <c r="C12" s="13"/>
      <c r="D12" s="17">
        <v>15995</v>
      </c>
      <c r="E12" s="17">
        <v>73568</v>
      </c>
      <c r="F12" s="17">
        <v>206765</v>
      </c>
      <c r="G12" s="17">
        <v>176759</v>
      </c>
      <c r="H12" s="17">
        <v>202632</v>
      </c>
      <c r="I12" s="17">
        <v>832</v>
      </c>
      <c r="J12" s="17"/>
      <c r="K12" s="13">
        <v>5207</v>
      </c>
      <c r="L12" s="13">
        <v>0</v>
      </c>
      <c r="M12" s="13">
        <v>7191</v>
      </c>
      <c r="N12" s="3"/>
      <c r="O12" s="17">
        <v>119524</v>
      </c>
      <c r="P12" s="13">
        <v>233263</v>
      </c>
      <c r="Q12" s="13">
        <v>2618</v>
      </c>
      <c r="R12" s="17">
        <v>150692</v>
      </c>
      <c r="S12" s="17">
        <v>22153</v>
      </c>
      <c r="T12" s="17">
        <v>26771</v>
      </c>
      <c r="U12" s="17">
        <v>1660</v>
      </c>
      <c r="V12" s="17">
        <v>0</v>
      </c>
      <c r="W12" s="17"/>
      <c r="X12" s="17"/>
      <c r="Y12" s="17"/>
      <c r="Z12" s="17"/>
      <c r="AA12" s="17"/>
      <c r="AB12" s="17"/>
      <c r="AC12" s="17"/>
      <c r="AD12" s="17"/>
      <c r="AE12" s="17"/>
      <c r="AF12" s="17"/>
      <c r="AG12" s="17"/>
      <c r="AH12" s="17"/>
      <c r="AI12" s="17"/>
      <c r="AJ12" s="17"/>
      <c r="AK12" s="17"/>
    </row>
    <row r="13" spans="1:37" ht="16.5" x14ac:dyDescent="0.25">
      <c r="A13" s="153"/>
      <c r="B13" s="14"/>
      <c r="C13" s="13"/>
      <c r="D13" s="17"/>
      <c r="E13" s="17"/>
      <c r="F13" s="17"/>
      <c r="G13" s="17"/>
      <c r="H13" s="17"/>
      <c r="I13" s="17"/>
      <c r="J13" s="17"/>
      <c r="K13" s="13"/>
      <c r="L13" s="13"/>
      <c r="M13" s="13"/>
      <c r="N13" s="3"/>
      <c r="O13" s="17">
        <v>239567</v>
      </c>
      <c r="P13" s="13"/>
      <c r="Q13" s="13"/>
      <c r="R13" s="17"/>
      <c r="S13" s="17"/>
      <c r="T13" s="17"/>
      <c r="U13" s="17"/>
      <c r="V13" s="17"/>
      <c r="W13" s="17"/>
      <c r="X13" s="17"/>
      <c r="Y13" s="17"/>
      <c r="Z13" s="17"/>
      <c r="AA13" s="17"/>
      <c r="AB13" s="17"/>
      <c r="AC13" s="17"/>
      <c r="AD13" s="17"/>
      <c r="AE13" s="17"/>
      <c r="AF13" s="17"/>
      <c r="AG13" s="17"/>
      <c r="AH13" s="17"/>
      <c r="AI13" s="17"/>
      <c r="AJ13" s="17"/>
      <c r="AK13" s="17"/>
    </row>
    <row r="14" spans="1:37" ht="16.5" x14ac:dyDescent="0.25">
      <c r="A14" s="153"/>
      <c r="B14" s="14"/>
      <c r="C14" s="17"/>
      <c r="D14" s="17"/>
      <c r="E14" s="17"/>
      <c r="F14" s="17"/>
      <c r="G14" s="17"/>
      <c r="H14" s="17"/>
      <c r="I14" s="17"/>
      <c r="J14" s="17"/>
      <c r="K14" s="13"/>
      <c r="L14" s="13"/>
      <c r="M14" s="13"/>
      <c r="N14" s="3"/>
      <c r="O14" s="17">
        <v>249233</v>
      </c>
      <c r="P14" s="13"/>
      <c r="Q14" s="13"/>
      <c r="R14" s="17"/>
      <c r="S14" s="17"/>
      <c r="T14" s="17"/>
      <c r="U14" s="17"/>
      <c r="V14" s="17"/>
      <c r="W14" s="17"/>
      <c r="X14" s="17"/>
      <c r="Y14" s="17"/>
      <c r="Z14" s="17"/>
      <c r="AA14" s="17"/>
      <c r="AB14" s="17"/>
      <c r="AC14" s="17"/>
      <c r="AD14" s="17"/>
      <c r="AE14" s="17"/>
      <c r="AF14" s="17"/>
      <c r="AG14" s="17"/>
      <c r="AH14" s="17"/>
      <c r="AI14" s="17"/>
      <c r="AJ14" s="17"/>
      <c r="AK14" s="17"/>
    </row>
    <row r="15" spans="1:37" ht="16.5" x14ac:dyDescent="0.25">
      <c r="A15" s="153"/>
      <c r="B15" s="14"/>
      <c r="C15" s="17"/>
      <c r="D15" s="17"/>
      <c r="E15" s="17"/>
      <c r="F15" s="17"/>
      <c r="G15" s="17"/>
      <c r="H15" s="17"/>
      <c r="I15" s="17"/>
      <c r="J15" s="17"/>
      <c r="K15" s="13"/>
      <c r="L15" s="13"/>
      <c r="M15" s="13"/>
      <c r="N15" s="3"/>
      <c r="O15" s="17">
        <v>108959</v>
      </c>
      <c r="P15" s="13"/>
      <c r="Q15" s="13"/>
      <c r="R15" s="17"/>
      <c r="S15" s="17"/>
      <c r="T15" s="17"/>
      <c r="U15" s="17"/>
      <c r="V15" s="17"/>
      <c r="W15" s="17"/>
      <c r="X15" s="17"/>
      <c r="Y15" s="17"/>
      <c r="Z15" s="17"/>
      <c r="AA15" s="17"/>
      <c r="AB15" s="17"/>
      <c r="AC15" s="17"/>
      <c r="AD15" s="17"/>
      <c r="AE15" s="17"/>
      <c r="AF15" s="17"/>
      <c r="AG15" s="17"/>
      <c r="AH15" s="17"/>
      <c r="AI15" s="17"/>
      <c r="AJ15" s="17"/>
      <c r="AK15" s="17"/>
    </row>
    <row r="16" spans="1:37" ht="16.5" x14ac:dyDescent="0.25">
      <c r="A16" s="153"/>
      <c r="B16" s="14"/>
      <c r="C16" s="17"/>
      <c r="D16" s="17"/>
      <c r="E16" s="17"/>
      <c r="F16" s="17"/>
      <c r="G16" s="17"/>
      <c r="H16" s="17"/>
      <c r="I16" s="17"/>
      <c r="J16" s="17"/>
      <c r="K16" s="13"/>
      <c r="L16" s="13"/>
      <c r="M16" s="13"/>
      <c r="N16" s="3"/>
      <c r="O16" s="17">
        <v>176288</v>
      </c>
      <c r="P16" s="13"/>
      <c r="Q16" s="13"/>
      <c r="R16" s="17"/>
      <c r="S16" s="17"/>
      <c r="T16" s="17"/>
      <c r="U16" s="17"/>
      <c r="V16" s="17"/>
      <c r="W16" s="17"/>
      <c r="X16" s="17"/>
      <c r="Y16" s="17"/>
      <c r="Z16" s="17"/>
      <c r="AA16" s="17"/>
      <c r="AB16" s="17"/>
      <c r="AC16" s="17"/>
      <c r="AD16" s="17"/>
      <c r="AE16" s="17"/>
      <c r="AF16" s="17"/>
      <c r="AG16" s="17"/>
      <c r="AH16" s="17"/>
      <c r="AI16" s="17"/>
      <c r="AJ16" s="17"/>
      <c r="AK16" s="17"/>
    </row>
    <row r="17" spans="1:37" ht="16.5" x14ac:dyDescent="0.25">
      <c r="A17" s="153"/>
      <c r="B17" s="14"/>
      <c r="C17" s="17"/>
      <c r="D17" s="17"/>
      <c r="E17" s="17"/>
      <c r="F17" s="17"/>
      <c r="G17" s="17"/>
      <c r="H17" s="17"/>
      <c r="I17" s="17"/>
      <c r="J17" s="17"/>
      <c r="K17" s="13"/>
      <c r="L17" s="13"/>
      <c r="M17" s="13"/>
      <c r="N17" s="3"/>
      <c r="O17" s="17">
        <v>238737</v>
      </c>
      <c r="P17" s="13"/>
      <c r="Q17" s="13"/>
      <c r="R17" s="17"/>
      <c r="S17" s="17"/>
      <c r="T17" s="17"/>
      <c r="U17" s="17"/>
      <c r="V17" s="17"/>
      <c r="W17" s="17"/>
      <c r="X17" s="17"/>
      <c r="Y17" s="17"/>
      <c r="Z17" s="17"/>
      <c r="AA17" s="17"/>
      <c r="AB17" s="17"/>
      <c r="AC17" s="17"/>
      <c r="AD17" s="17"/>
      <c r="AE17" s="17"/>
      <c r="AF17" s="17"/>
      <c r="AG17" s="17"/>
      <c r="AH17" s="17"/>
      <c r="AI17" s="17"/>
      <c r="AJ17" s="17"/>
      <c r="AK17" s="17"/>
    </row>
    <row r="18" spans="1:37" ht="16.5" x14ac:dyDescent="0.25">
      <c r="A18" s="153"/>
      <c r="B18" s="14"/>
      <c r="C18" s="17"/>
      <c r="D18" s="17"/>
      <c r="E18" s="17"/>
      <c r="F18" s="17"/>
      <c r="G18" s="17"/>
      <c r="H18" s="17"/>
      <c r="I18" s="17"/>
      <c r="J18" s="17"/>
      <c r="K18" s="13"/>
      <c r="L18" s="13"/>
      <c r="M18" s="13"/>
      <c r="N18" s="3"/>
      <c r="O18" s="17">
        <v>176305</v>
      </c>
      <c r="P18" s="13"/>
      <c r="Q18" s="13"/>
      <c r="R18" s="17"/>
      <c r="S18" s="17"/>
      <c r="T18" s="17"/>
      <c r="U18" s="17"/>
      <c r="V18" s="17"/>
      <c r="W18" s="17"/>
      <c r="X18" s="17"/>
      <c r="Y18" s="17"/>
      <c r="Z18" s="17"/>
      <c r="AA18" s="17"/>
      <c r="AB18" s="17"/>
      <c r="AC18" s="17"/>
      <c r="AD18" s="17"/>
      <c r="AE18" s="17"/>
      <c r="AF18" s="17"/>
      <c r="AG18" s="17"/>
      <c r="AH18" s="17"/>
      <c r="AI18" s="17"/>
      <c r="AJ18" s="17"/>
      <c r="AK18" s="17"/>
    </row>
    <row r="19" spans="1:37" ht="16.5" x14ac:dyDescent="0.25">
      <c r="A19" s="153"/>
      <c r="B19" s="14"/>
      <c r="C19" s="17"/>
      <c r="D19" s="17"/>
      <c r="E19" s="17"/>
      <c r="F19" s="17"/>
      <c r="G19" s="17"/>
      <c r="H19" s="17"/>
      <c r="I19" s="17"/>
      <c r="J19" s="17"/>
      <c r="K19" s="13"/>
      <c r="L19" s="13"/>
      <c r="M19" s="13"/>
      <c r="N19" s="3"/>
      <c r="O19" s="17">
        <v>157188</v>
      </c>
      <c r="P19" s="13"/>
      <c r="Q19" s="13"/>
      <c r="R19" s="17"/>
      <c r="S19" s="17"/>
      <c r="T19" s="17"/>
      <c r="U19" s="17"/>
      <c r="V19" s="17"/>
      <c r="W19" s="17"/>
      <c r="X19" s="17"/>
      <c r="Y19" s="17"/>
      <c r="Z19" s="17"/>
      <c r="AA19" s="17"/>
      <c r="AB19" s="17"/>
      <c r="AC19" s="17"/>
      <c r="AD19" s="17"/>
      <c r="AE19" s="17"/>
      <c r="AF19" s="17"/>
      <c r="AG19" s="17"/>
      <c r="AH19" s="17"/>
      <c r="AI19" s="17"/>
      <c r="AJ19" s="17"/>
      <c r="AK19" s="17"/>
    </row>
    <row r="20" spans="1:37" ht="16.5" x14ac:dyDescent="0.25">
      <c r="A20" s="153"/>
      <c r="B20" s="14"/>
      <c r="C20" s="17"/>
      <c r="D20" s="17"/>
      <c r="E20" s="17"/>
      <c r="F20" s="17"/>
      <c r="G20" s="17"/>
      <c r="H20" s="17"/>
      <c r="I20" s="17"/>
      <c r="J20" s="17"/>
      <c r="K20" s="13"/>
      <c r="L20" s="13"/>
      <c r="M20" s="13"/>
      <c r="N20" s="3"/>
      <c r="O20" s="17">
        <v>220295</v>
      </c>
      <c r="P20" s="13"/>
      <c r="Q20" s="13"/>
      <c r="R20" s="17"/>
      <c r="S20" s="17"/>
      <c r="T20" s="17"/>
      <c r="U20" s="17"/>
      <c r="V20" s="17"/>
      <c r="W20" s="17"/>
      <c r="X20" s="17"/>
      <c r="Y20" s="17"/>
      <c r="Z20" s="17"/>
      <c r="AA20" s="17"/>
      <c r="AB20" s="17"/>
      <c r="AC20" s="17"/>
      <c r="AD20" s="17"/>
      <c r="AE20" s="17"/>
      <c r="AF20" s="17"/>
      <c r="AG20" s="17"/>
      <c r="AH20" s="17"/>
      <c r="AI20" s="17"/>
      <c r="AJ20" s="17"/>
      <c r="AK20" s="17"/>
    </row>
    <row r="21" spans="1:37" x14ac:dyDescent="0.25">
      <c r="A21" s="3"/>
      <c r="B21" s="7"/>
      <c r="C21" s="7"/>
      <c r="D21" s="7"/>
      <c r="E21" s="7"/>
      <c r="F21" s="7"/>
      <c r="G21" s="7"/>
      <c r="H21" s="7"/>
      <c r="I21" s="7"/>
      <c r="J21" s="7"/>
      <c r="N21" s="3"/>
      <c r="O21" s="7"/>
      <c r="R21" s="7"/>
      <c r="S21" s="7"/>
      <c r="T21" s="7"/>
      <c r="U21" s="7"/>
      <c r="V21" s="7"/>
      <c r="W21" s="7"/>
      <c r="X21" s="7"/>
      <c r="Y21" s="7"/>
      <c r="Z21" s="7"/>
      <c r="AA21" s="7"/>
      <c r="AB21" s="7"/>
      <c r="AC21" s="7"/>
      <c r="AD21" s="7"/>
      <c r="AE21" s="7"/>
      <c r="AF21" s="7"/>
      <c r="AG21" s="7"/>
      <c r="AH21" s="7"/>
      <c r="AI21" s="7"/>
      <c r="AJ21" s="7"/>
      <c r="AK21" s="7"/>
    </row>
    <row r="22" spans="1:37" x14ac:dyDescent="0.25">
      <c r="A22" s="3" t="str">
        <f>A4</f>
        <v>Noms des groupes</v>
      </c>
      <c r="B22" s="3" t="str">
        <f t="shared" ref="B22:AK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Prochloraz-0.063mg/L</v>
      </c>
      <c r="J22" s="3" t="str">
        <f t="shared" si="0"/>
        <v>Prochloraz-0.13mg/L</v>
      </c>
      <c r="K22" s="3" t="str">
        <f t="shared" si="0"/>
        <v>Prochloraz-0.25mg/L</v>
      </c>
      <c r="L22" s="3" t="str">
        <f t="shared" si="0"/>
        <v>Prochloraz-0.5mg/L</v>
      </c>
      <c r="M22" s="3" t="str">
        <f t="shared" si="0"/>
        <v>Prochloraz-1.0mg/L</v>
      </c>
      <c r="N22" s="3" t="s">
        <v>22</v>
      </c>
      <c r="O22" s="3" t="str">
        <f t="shared" si="0"/>
        <v>Testo -30µg/L</v>
      </c>
      <c r="P22" s="3" t="str">
        <f t="shared" si="0"/>
        <v>Testo 30µg/L + EE2 -64ng/L</v>
      </c>
      <c r="Q22" s="3" t="str">
        <f t="shared" si="0"/>
        <v>Testo 30µg/L + FAD-10mg/L</v>
      </c>
      <c r="R22" s="3" t="str">
        <f t="shared" si="0"/>
        <v>Prochloraz-0.063mg/L + Testostérone</v>
      </c>
      <c r="S22" s="3" t="str">
        <f t="shared" si="0"/>
        <v>Prochloraz-0.13mg/L + Testostérone</v>
      </c>
      <c r="T22" s="3" t="str">
        <f t="shared" si="0"/>
        <v>Prochloraz-0.25mg/L + Testostérone</v>
      </c>
      <c r="U22" s="3" t="str">
        <f t="shared" si="0"/>
        <v>Prochloraz-0.5mg/L + Testostérone</v>
      </c>
      <c r="V22" s="3" t="str">
        <f t="shared" si="0"/>
        <v>Prochloraz-1.0mg/L + Testostérone</v>
      </c>
      <c r="W22" s="3" t="str">
        <f t="shared" si="0"/>
        <v>0-00 + Testostérone</v>
      </c>
      <c r="X22" s="3" t="str">
        <f t="shared" si="0"/>
        <v>0-00 + Testostérone</v>
      </c>
      <c r="Y22" s="3" t="str">
        <f t="shared" si="0"/>
        <v>0-00 + Testostérone</v>
      </c>
      <c r="Z22" s="3" t="str">
        <f t="shared" si="0"/>
        <v>0-00 + Testostérone</v>
      </c>
      <c r="AA22" s="3" t="str">
        <f t="shared" si="0"/>
        <v>0-00 + Testostérone</v>
      </c>
      <c r="AB22" s="3" t="str">
        <f t="shared" si="0"/>
        <v>0-00 + Testostérone</v>
      </c>
      <c r="AC22" s="3" t="str">
        <f t="shared" si="0"/>
        <v>0-00 + Testostérone</v>
      </c>
      <c r="AD22" s="3" t="str">
        <f t="shared" si="0"/>
        <v>0-00 + Testostérone</v>
      </c>
      <c r="AE22" s="3" t="str">
        <f t="shared" si="0"/>
        <v>0-00 + Testostérone</v>
      </c>
      <c r="AF22" s="3" t="str">
        <f t="shared" si="0"/>
        <v>0-00 + Testostérone</v>
      </c>
      <c r="AG22" s="3" t="str">
        <f t="shared" si="0"/>
        <v>0-00 + Testostérone</v>
      </c>
      <c r="AH22" s="3" t="str">
        <f t="shared" si="0"/>
        <v>0-00 + Testostérone</v>
      </c>
      <c r="AI22" s="3" t="str">
        <f t="shared" si="0"/>
        <v>0-00 + Testostérone</v>
      </c>
      <c r="AJ22" s="3" t="str">
        <f t="shared" si="0"/>
        <v>0-00 + Testostérone</v>
      </c>
      <c r="AK22" s="3" t="str">
        <f t="shared" si="0"/>
        <v>0-00 + Testostérone</v>
      </c>
    </row>
    <row r="23" spans="1:37" x14ac:dyDescent="0.25">
      <c r="A23" s="5" t="s">
        <v>0</v>
      </c>
      <c r="B23" s="5">
        <f t="shared" ref="B23:J23" si="1">AVERAGE(B5:B20)</f>
        <v>4175.875</v>
      </c>
      <c r="C23" s="5" t="e">
        <f t="shared" si="1"/>
        <v>#DIV/0!</v>
      </c>
      <c r="D23" s="5">
        <f t="shared" si="1"/>
        <v>5066.625</v>
      </c>
      <c r="E23" s="5">
        <f t="shared" si="1"/>
        <v>47643.625</v>
      </c>
      <c r="F23" s="5">
        <f t="shared" si="1"/>
        <v>143747.375</v>
      </c>
      <c r="G23" s="5">
        <f t="shared" si="1"/>
        <v>180195.625</v>
      </c>
      <c r="H23" s="5">
        <f t="shared" si="1"/>
        <v>281793.25</v>
      </c>
      <c r="I23" s="5">
        <f t="shared" si="1"/>
        <v>2744.875</v>
      </c>
      <c r="J23" s="5">
        <f t="shared" si="1"/>
        <v>1689.8571428571429</v>
      </c>
      <c r="K23" s="5">
        <f t="shared" ref="K23" si="2">AVERAGE(K5:K20)</f>
        <v>2746.25</v>
      </c>
      <c r="L23" s="5">
        <f>AVERAGE(L5:L20)</f>
        <v>1939.75</v>
      </c>
      <c r="M23" s="5">
        <f>AVERAGE(M5:M20)</f>
        <v>4267.75</v>
      </c>
      <c r="N23" s="5" t="s">
        <v>0</v>
      </c>
      <c r="O23" s="5">
        <f>AVERAGE(O5:O20)</f>
        <v>171457.9375</v>
      </c>
      <c r="P23" s="5">
        <f>AVERAGE(P5:P20)</f>
        <v>222450.25</v>
      </c>
      <c r="Q23" s="5">
        <f>AVERAGE(Q5:Q20)</f>
        <v>15194</v>
      </c>
      <c r="R23" s="5">
        <f>AVERAGE(R5:R20)</f>
        <v>62638.25</v>
      </c>
      <c r="S23" s="5">
        <f>AVERAGE(S5:S20)</f>
        <v>38773.625</v>
      </c>
      <c r="T23" s="5">
        <f t="shared" ref="T23:AK23" si="3">AVERAGE(T5:T20)</f>
        <v>25208.375</v>
      </c>
      <c r="U23" s="5">
        <f t="shared" si="3"/>
        <v>3682.625</v>
      </c>
      <c r="V23" s="5">
        <f t="shared" si="3"/>
        <v>10116.75</v>
      </c>
      <c r="W23" s="5" t="e">
        <f t="shared" si="3"/>
        <v>#DIV/0!</v>
      </c>
      <c r="X23" s="5" t="e">
        <f t="shared" si="3"/>
        <v>#DIV/0!</v>
      </c>
      <c r="Y23" s="5" t="e">
        <f t="shared" si="3"/>
        <v>#DIV/0!</v>
      </c>
      <c r="Z23" s="5" t="e">
        <f t="shared" si="3"/>
        <v>#DIV/0!</v>
      </c>
      <c r="AA23" s="5" t="e">
        <f t="shared" si="3"/>
        <v>#DIV/0!</v>
      </c>
      <c r="AB23" s="5" t="e">
        <f t="shared" si="3"/>
        <v>#DIV/0!</v>
      </c>
      <c r="AC23" s="5" t="e">
        <f t="shared" si="3"/>
        <v>#DIV/0!</v>
      </c>
      <c r="AD23" s="5" t="e">
        <f t="shared" si="3"/>
        <v>#DIV/0!</v>
      </c>
      <c r="AE23" s="5" t="e">
        <f t="shared" si="3"/>
        <v>#DIV/0!</v>
      </c>
      <c r="AF23" s="5" t="e">
        <f t="shared" si="3"/>
        <v>#DIV/0!</v>
      </c>
      <c r="AG23" s="5" t="e">
        <f t="shared" si="3"/>
        <v>#DIV/0!</v>
      </c>
      <c r="AH23" s="5" t="e">
        <f t="shared" si="3"/>
        <v>#DIV/0!</v>
      </c>
      <c r="AI23" s="5" t="e">
        <f t="shared" si="3"/>
        <v>#DIV/0!</v>
      </c>
      <c r="AJ23" s="5" t="e">
        <f t="shared" si="3"/>
        <v>#DIV/0!</v>
      </c>
      <c r="AK23" s="5" t="e">
        <f t="shared" si="3"/>
        <v>#DIV/0!</v>
      </c>
    </row>
    <row r="24" spans="1:37" x14ac:dyDescent="0.25">
      <c r="A24" s="3" t="s">
        <v>1</v>
      </c>
      <c r="B24" s="3">
        <f t="shared" ref="B24:J24" si="4">STDEV(B5:B20)</f>
        <v>3891.9490320220207</v>
      </c>
      <c r="C24" s="3" t="e">
        <f t="shared" si="4"/>
        <v>#DIV/0!</v>
      </c>
      <c r="D24" s="3">
        <f t="shared" si="4"/>
        <v>6109.8102364148754</v>
      </c>
      <c r="E24" s="3">
        <f t="shared" si="4"/>
        <v>84278.208503465299</v>
      </c>
      <c r="F24" s="3">
        <f t="shared" si="4"/>
        <v>88928.928913466778</v>
      </c>
      <c r="G24" s="3">
        <f t="shared" si="4"/>
        <v>118466.24562168089</v>
      </c>
      <c r="H24" s="3">
        <f t="shared" si="4"/>
        <v>87086.793874600422</v>
      </c>
      <c r="I24" s="3">
        <f t="shared" si="4"/>
        <v>2789.836781580088</v>
      </c>
      <c r="J24" s="3">
        <f t="shared" si="4"/>
        <v>1460.6139609277816</v>
      </c>
      <c r="K24" s="3">
        <f t="shared" ref="K24" si="5">STDEV(K5:K20)</f>
        <v>3483.2316173346844</v>
      </c>
      <c r="L24" s="3">
        <f>STDEV(L5:L20)</f>
        <v>3126.1578769199373</v>
      </c>
      <c r="M24" s="3">
        <f>STDEV(M5:M20)</f>
        <v>5089.2827378437414</v>
      </c>
      <c r="N24" s="3" t="s">
        <v>1</v>
      </c>
      <c r="O24" s="3">
        <f>STDEV(O5:O20)</f>
        <v>56486.766477903184</v>
      </c>
      <c r="P24" s="3">
        <f>STDEV(P5:P20)</f>
        <v>50975.153885425956</v>
      </c>
      <c r="Q24" s="3">
        <f>STDEV(Q5:Q20)</f>
        <v>34709.48843101634</v>
      </c>
      <c r="R24" s="3">
        <f>STDEV(R5:R20)</f>
        <v>50792.018466768684</v>
      </c>
      <c r="S24" s="3">
        <f>STDEV(S5:S20)</f>
        <v>55217.407666520478</v>
      </c>
      <c r="T24" s="3">
        <f t="shared" ref="T24:AK24" si="6">STDEV(T5:T20)</f>
        <v>27592.432777005572</v>
      </c>
      <c r="U24" s="3">
        <f t="shared" si="6"/>
        <v>4693.5290693677398</v>
      </c>
      <c r="V24" s="3">
        <f t="shared" si="6"/>
        <v>13741.461491725377</v>
      </c>
      <c r="W24" s="3" t="e">
        <f t="shared" si="6"/>
        <v>#DIV/0!</v>
      </c>
      <c r="X24" s="3" t="e">
        <f t="shared" si="6"/>
        <v>#DIV/0!</v>
      </c>
      <c r="Y24" s="3" t="e">
        <f t="shared" si="6"/>
        <v>#DIV/0!</v>
      </c>
      <c r="Z24" s="3" t="e">
        <f t="shared" si="6"/>
        <v>#DIV/0!</v>
      </c>
      <c r="AA24" s="3" t="e">
        <f t="shared" si="6"/>
        <v>#DIV/0!</v>
      </c>
      <c r="AB24" s="3" t="e">
        <f t="shared" si="6"/>
        <v>#DIV/0!</v>
      </c>
      <c r="AC24" s="3" t="e">
        <f t="shared" si="6"/>
        <v>#DIV/0!</v>
      </c>
      <c r="AD24" s="3" t="e">
        <f t="shared" si="6"/>
        <v>#DIV/0!</v>
      </c>
      <c r="AE24" s="3" t="e">
        <f t="shared" si="6"/>
        <v>#DIV/0!</v>
      </c>
      <c r="AF24" s="3" t="e">
        <f t="shared" si="6"/>
        <v>#DIV/0!</v>
      </c>
      <c r="AG24" s="3" t="e">
        <f t="shared" si="6"/>
        <v>#DIV/0!</v>
      </c>
      <c r="AH24" s="3" t="e">
        <f t="shared" si="6"/>
        <v>#DIV/0!</v>
      </c>
      <c r="AI24" s="3" t="e">
        <f t="shared" si="6"/>
        <v>#DIV/0!</v>
      </c>
      <c r="AJ24" s="3" t="e">
        <f t="shared" si="6"/>
        <v>#DIV/0!</v>
      </c>
      <c r="AK24" s="3" t="e">
        <f t="shared" si="6"/>
        <v>#DIV/0!</v>
      </c>
    </row>
    <row r="25" spans="1:37" ht="15.75" thickBot="1" x14ac:dyDescent="0.3"/>
    <row r="26" spans="1:37" ht="15.75" thickBot="1" x14ac:dyDescent="0.3">
      <c r="B26" s="150" t="s">
        <v>6</v>
      </c>
      <c r="C26" s="151"/>
      <c r="D26" s="151"/>
      <c r="E26" s="151"/>
      <c r="F26" s="151"/>
      <c r="G26" s="151"/>
      <c r="H26" s="151"/>
      <c r="I26" s="151"/>
      <c r="J26" s="151"/>
      <c r="K26" s="151"/>
      <c r="L26" s="151"/>
      <c r="M26" s="151"/>
      <c r="O26" s="150" t="s">
        <v>3</v>
      </c>
      <c r="P26" s="151"/>
      <c r="Q26" s="151"/>
      <c r="R26" s="151"/>
      <c r="S26" s="151"/>
      <c r="T26" s="151"/>
      <c r="U26" s="151"/>
      <c r="V26" s="151"/>
      <c r="W26" s="151"/>
      <c r="X26" s="151"/>
      <c r="Y26" s="151"/>
      <c r="Z26" s="151"/>
      <c r="AA26" s="151"/>
      <c r="AB26" s="151"/>
      <c r="AC26" s="151"/>
      <c r="AD26" s="151"/>
      <c r="AE26" s="151"/>
      <c r="AF26" s="151"/>
      <c r="AG26" s="151"/>
      <c r="AH26" s="151"/>
      <c r="AI26" s="151"/>
      <c r="AJ26" s="151"/>
      <c r="AK26" s="152"/>
    </row>
    <row r="27" spans="1:37" x14ac:dyDescent="0.25">
      <c r="A27" s="19" t="s">
        <v>22</v>
      </c>
      <c r="B27" s="20" t="str">
        <f>B4</f>
        <v>Solvent control</v>
      </c>
      <c r="C27" s="20" t="str">
        <f t="shared" ref="C27:M27" si="7">C4</f>
        <v>EE2-33.8ng/L</v>
      </c>
      <c r="D27" s="20" t="str">
        <f t="shared" si="7"/>
        <v>EE2-50.6ng/L</v>
      </c>
      <c r="E27" s="20" t="str">
        <f t="shared" si="7"/>
        <v>EE2-76ng/L</v>
      </c>
      <c r="F27" s="20" t="str">
        <f t="shared" si="7"/>
        <v>EE2-114ng/L</v>
      </c>
      <c r="G27" s="20" t="str">
        <f t="shared" si="7"/>
        <v>EE2-170.9ng/L</v>
      </c>
      <c r="H27" s="20" t="str">
        <f t="shared" si="7"/>
        <v>EE2-488ng/L</v>
      </c>
      <c r="I27" s="20" t="str">
        <f t="shared" si="7"/>
        <v>Prochloraz-0.063mg/L</v>
      </c>
      <c r="J27" s="20" t="str">
        <f t="shared" si="7"/>
        <v>Prochloraz-0.13mg/L</v>
      </c>
      <c r="K27" s="20" t="str">
        <f t="shared" si="7"/>
        <v>Prochloraz-0.25mg/L</v>
      </c>
      <c r="L27" s="20" t="str">
        <f t="shared" si="7"/>
        <v>Prochloraz-0.5mg/L</v>
      </c>
      <c r="M27" s="20" t="str">
        <f t="shared" si="7"/>
        <v>Prochloraz-1.0mg/L</v>
      </c>
      <c r="N27" s="3"/>
      <c r="O27" s="21" t="str">
        <f>O4</f>
        <v>Testo -30µg/L</v>
      </c>
      <c r="P27" s="21" t="str">
        <f t="shared" ref="P27:AK27" si="8">P4</f>
        <v>Testo 30µg/L + EE2 -64ng/L</v>
      </c>
      <c r="Q27" s="21" t="str">
        <f t="shared" si="8"/>
        <v>Testo 30µg/L + FAD-10mg/L</v>
      </c>
      <c r="R27" s="21" t="str">
        <f t="shared" si="8"/>
        <v>Prochloraz-0.063mg/L + Testostérone</v>
      </c>
      <c r="S27" s="21" t="str">
        <f t="shared" si="8"/>
        <v>Prochloraz-0.13mg/L + Testostérone</v>
      </c>
      <c r="T27" s="21" t="str">
        <f t="shared" si="8"/>
        <v>Prochloraz-0.25mg/L + Testostérone</v>
      </c>
      <c r="U27" s="21" t="str">
        <f t="shared" si="8"/>
        <v>Prochloraz-0.5mg/L + Testostérone</v>
      </c>
      <c r="V27" s="21" t="str">
        <f t="shared" si="8"/>
        <v>Prochloraz-1.0mg/L + Testostérone</v>
      </c>
      <c r="W27" s="21" t="str">
        <f t="shared" si="8"/>
        <v>0-00 + Testostérone</v>
      </c>
      <c r="X27" s="21" t="str">
        <f t="shared" si="8"/>
        <v>0-00 + Testostérone</v>
      </c>
      <c r="Y27" s="21" t="str">
        <f t="shared" si="8"/>
        <v>0-00 + Testostérone</v>
      </c>
      <c r="Z27" s="21" t="str">
        <f t="shared" si="8"/>
        <v>0-00 + Testostérone</v>
      </c>
      <c r="AA27" s="21" t="str">
        <f t="shared" si="8"/>
        <v>0-00 + Testostérone</v>
      </c>
      <c r="AB27" s="21" t="str">
        <f t="shared" si="8"/>
        <v>0-00 + Testostérone</v>
      </c>
      <c r="AC27" s="21" t="str">
        <f t="shared" si="8"/>
        <v>0-00 + Testostérone</v>
      </c>
      <c r="AD27" s="21" t="str">
        <f t="shared" si="8"/>
        <v>0-00 + Testostérone</v>
      </c>
      <c r="AE27" s="21" t="str">
        <f t="shared" si="8"/>
        <v>0-00 + Testostérone</v>
      </c>
      <c r="AF27" s="21" t="str">
        <f t="shared" si="8"/>
        <v>0-00 + Testostérone</v>
      </c>
      <c r="AG27" s="21" t="str">
        <f t="shared" si="8"/>
        <v>0-00 + Testostérone</v>
      </c>
      <c r="AH27" s="21" t="str">
        <f t="shared" si="8"/>
        <v>0-00 + Testostérone</v>
      </c>
      <c r="AI27" s="21" t="str">
        <f t="shared" si="8"/>
        <v>0-00 + Testostérone</v>
      </c>
      <c r="AJ27" s="21" t="str">
        <f t="shared" si="8"/>
        <v>0-00 + Testostérone</v>
      </c>
      <c r="AK27" s="21" t="str">
        <f t="shared" si="8"/>
        <v>0-00 + Testostérone</v>
      </c>
    </row>
    <row r="28" spans="1:37" x14ac:dyDescent="0.25">
      <c r="A28" s="154" t="s">
        <v>17</v>
      </c>
      <c r="B28" s="11">
        <f t="shared" ref="B28:M28" si="9">IF(B5="","",(B5/$O$23))</f>
        <v>5.2467678843973027E-2</v>
      </c>
      <c r="C28" s="11" t="str">
        <f t="shared" si="9"/>
        <v/>
      </c>
      <c r="D28" s="11">
        <f t="shared" si="9"/>
        <v>1.1093099728905815E-2</v>
      </c>
      <c r="E28" s="11">
        <f t="shared" si="9"/>
        <v>7.5633710454495587E-2</v>
      </c>
      <c r="F28" s="11">
        <f t="shared" si="9"/>
        <v>1.0107143625240447</v>
      </c>
      <c r="G28" s="11">
        <f t="shared" si="9"/>
        <v>1.6948763308202049E-2</v>
      </c>
      <c r="H28" s="11">
        <f t="shared" si="9"/>
        <v>1.4802697600395431</v>
      </c>
      <c r="I28" s="11">
        <f t="shared" si="9"/>
        <v>1.4149242871885124E-2</v>
      </c>
      <c r="J28" s="11">
        <f t="shared" si="9"/>
        <v>1.0731495005881544E-2</v>
      </c>
      <c r="K28" s="11">
        <f t="shared" si="9"/>
        <v>4.7825140787080794E-4</v>
      </c>
      <c r="L28" s="11">
        <f t="shared" si="9"/>
        <v>1.0591518984065698E-2</v>
      </c>
      <c r="M28" s="11">
        <f t="shared" si="9"/>
        <v>0</v>
      </c>
      <c r="N28" s="6"/>
      <c r="O28" s="11">
        <f t="shared" ref="O28:AK39" si="10">IF(O5="","",(O5/$O$23))</f>
        <v>1.1842846295756941</v>
      </c>
      <c r="P28" s="11">
        <f t="shared" si="10"/>
        <v>0.6513725851857981</v>
      </c>
      <c r="Q28" s="11">
        <f t="shared" si="10"/>
        <v>0</v>
      </c>
      <c r="R28" s="11">
        <f t="shared" si="10"/>
        <v>8.6324379120680833E-2</v>
      </c>
      <c r="S28" s="11">
        <f t="shared" si="10"/>
        <v>6.883320872794238E-2</v>
      </c>
      <c r="T28" s="11">
        <f t="shared" si="10"/>
        <v>3.3710891920649636E-3</v>
      </c>
      <c r="U28" s="11">
        <f t="shared" si="10"/>
        <v>0</v>
      </c>
      <c r="V28" s="11">
        <f t="shared" si="10"/>
        <v>0.23408656715003351</v>
      </c>
      <c r="W28" s="11" t="str">
        <f t="shared" si="10"/>
        <v/>
      </c>
      <c r="X28" s="11" t="str">
        <f t="shared" si="10"/>
        <v/>
      </c>
      <c r="Y28" s="11" t="str">
        <f t="shared" si="10"/>
        <v/>
      </c>
      <c r="Z28" s="11" t="str">
        <f t="shared" si="10"/>
        <v/>
      </c>
      <c r="AA28" s="11" t="str">
        <f t="shared" si="10"/>
        <v/>
      </c>
      <c r="AB28" s="11" t="str">
        <f t="shared" si="10"/>
        <v/>
      </c>
      <c r="AC28" s="11" t="str">
        <f t="shared" si="10"/>
        <v/>
      </c>
      <c r="AD28" s="11" t="str">
        <f t="shared" si="10"/>
        <v/>
      </c>
      <c r="AE28" s="11" t="str">
        <f t="shared" si="10"/>
        <v/>
      </c>
      <c r="AF28" s="11" t="str">
        <f t="shared" si="10"/>
        <v/>
      </c>
      <c r="AG28" s="11" t="str">
        <f t="shared" si="10"/>
        <v/>
      </c>
      <c r="AH28" s="11" t="str">
        <f t="shared" si="10"/>
        <v/>
      </c>
      <c r="AI28" s="11" t="str">
        <f t="shared" si="10"/>
        <v/>
      </c>
      <c r="AJ28" s="11" t="str">
        <f t="shared" si="10"/>
        <v/>
      </c>
      <c r="AK28" s="11" t="str">
        <f t="shared" si="10"/>
        <v/>
      </c>
    </row>
    <row r="29" spans="1:37" x14ac:dyDescent="0.25">
      <c r="A29" s="154"/>
      <c r="B29" s="11">
        <f t="shared" ref="B29:M29" si="11">IF(B6="","",(B6/$O$23))</f>
        <v>3.1984520984920863E-2</v>
      </c>
      <c r="C29" s="11" t="str">
        <f t="shared" si="11"/>
        <v/>
      </c>
      <c r="D29" s="11">
        <f t="shared" si="11"/>
        <v>7.8036632162334276E-3</v>
      </c>
      <c r="E29" s="11">
        <f t="shared" si="11"/>
        <v>0</v>
      </c>
      <c r="F29" s="11">
        <f t="shared" si="11"/>
        <v>8.7951600374290059E-3</v>
      </c>
      <c r="G29" s="11">
        <f t="shared" si="11"/>
        <v>2.2425266838404609</v>
      </c>
      <c r="H29" s="11">
        <f t="shared" si="11"/>
        <v>1.6502298121951922</v>
      </c>
      <c r="I29" s="11">
        <f t="shared" si="11"/>
        <v>0</v>
      </c>
      <c r="J29" s="11">
        <f t="shared" si="11"/>
        <v>1.0142429247406526E-2</v>
      </c>
      <c r="K29" s="11">
        <f t="shared" si="11"/>
        <v>1.9538319711795205E-3</v>
      </c>
      <c r="L29" s="11">
        <f t="shared" si="11"/>
        <v>1.6120571845791624E-2</v>
      </c>
      <c r="M29" s="11">
        <f t="shared" si="11"/>
        <v>2.0722283562987571E-2</v>
      </c>
      <c r="N29" s="6"/>
      <c r="O29" s="11">
        <f t="shared" si="10"/>
        <v>0.8409584420668772</v>
      </c>
      <c r="P29" s="11">
        <f t="shared" si="10"/>
        <v>1.4942498652184009</v>
      </c>
      <c r="Q29" s="11">
        <f t="shared" si="10"/>
        <v>0.58168785565847603</v>
      </c>
      <c r="R29" s="11">
        <f t="shared" si="10"/>
        <v>0.23900905725055743</v>
      </c>
      <c r="S29" s="11">
        <f t="shared" si="10"/>
        <v>1.428921889370097E-3</v>
      </c>
      <c r="T29" s="11">
        <f t="shared" si="10"/>
        <v>0.12634002435728589</v>
      </c>
      <c r="U29" s="11">
        <f t="shared" si="10"/>
        <v>1.0690668666185257E-2</v>
      </c>
      <c r="V29" s="11">
        <f t="shared" si="10"/>
        <v>2.857843778740194E-3</v>
      </c>
      <c r="W29" s="11" t="str">
        <f t="shared" si="10"/>
        <v/>
      </c>
      <c r="X29" s="11" t="str">
        <f t="shared" si="10"/>
        <v/>
      </c>
      <c r="Y29" s="11" t="str">
        <f t="shared" si="10"/>
        <v/>
      </c>
      <c r="Z29" s="11" t="str">
        <f t="shared" si="10"/>
        <v/>
      </c>
      <c r="AA29" s="11" t="str">
        <f t="shared" si="10"/>
        <v/>
      </c>
      <c r="AB29" s="11" t="str">
        <f t="shared" si="10"/>
        <v/>
      </c>
      <c r="AC29" s="11" t="str">
        <f t="shared" si="10"/>
        <v/>
      </c>
      <c r="AD29" s="11" t="str">
        <f t="shared" si="10"/>
        <v/>
      </c>
      <c r="AE29" s="11" t="str">
        <f t="shared" si="10"/>
        <v/>
      </c>
      <c r="AF29" s="11" t="str">
        <f t="shared" si="10"/>
        <v/>
      </c>
      <c r="AG29" s="11" t="str">
        <f t="shared" si="10"/>
        <v/>
      </c>
      <c r="AH29" s="11" t="str">
        <f t="shared" si="10"/>
        <v/>
      </c>
      <c r="AI29" s="11" t="str">
        <f t="shared" si="10"/>
        <v/>
      </c>
      <c r="AJ29" s="11" t="str">
        <f t="shared" si="10"/>
        <v/>
      </c>
      <c r="AK29" s="11" t="str">
        <f t="shared" si="10"/>
        <v/>
      </c>
    </row>
    <row r="30" spans="1:37" x14ac:dyDescent="0.25">
      <c r="A30" s="154"/>
      <c r="B30" s="11">
        <f t="shared" ref="B30:M30" si="12">IF(B7="","",(B7/$O$23))</f>
        <v>2.4612450502619629E-3</v>
      </c>
      <c r="C30" s="11" t="str">
        <f t="shared" si="12"/>
        <v/>
      </c>
      <c r="D30" s="11">
        <f t="shared" si="12"/>
        <v>1.4114248866431162E-3</v>
      </c>
      <c r="E30" s="11">
        <f t="shared" si="12"/>
        <v>0.17886602654368217</v>
      </c>
      <c r="F30" s="11">
        <f t="shared" si="12"/>
        <v>0.98727421120413283</v>
      </c>
      <c r="G30" s="11">
        <f t="shared" si="12"/>
        <v>1.4184120230654238</v>
      </c>
      <c r="H30" s="11">
        <f t="shared" si="12"/>
        <v>1.3059296248679066</v>
      </c>
      <c r="I30" s="11">
        <f t="shared" si="12"/>
        <v>2.5551456315634265E-2</v>
      </c>
      <c r="J30" s="11">
        <f t="shared" si="12"/>
        <v>6.8296633977648312E-3</v>
      </c>
      <c r="K30" s="11">
        <f t="shared" si="12"/>
        <v>5.3313367309110432E-2</v>
      </c>
      <c r="L30" s="11">
        <f t="shared" si="12"/>
        <v>0</v>
      </c>
      <c r="M30" s="11">
        <f t="shared" si="12"/>
        <v>0</v>
      </c>
      <c r="N30" s="6"/>
      <c r="O30" s="11">
        <f t="shared" si="10"/>
        <v>1.2892549812690941</v>
      </c>
      <c r="P30" s="11">
        <f t="shared" si="10"/>
        <v>1.6128503820361189</v>
      </c>
      <c r="Q30" s="11">
        <f t="shared" si="10"/>
        <v>4.8933284293122912E-3</v>
      </c>
      <c r="R30" s="11">
        <f t="shared" si="10"/>
        <v>0.32706563964120938</v>
      </c>
      <c r="S30" s="11">
        <f t="shared" si="10"/>
        <v>0.17839943980429601</v>
      </c>
      <c r="T30" s="11">
        <f t="shared" si="10"/>
        <v>3.3011011811570402E-3</v>
      </c>
      <c r="U30" s="11">
        <f t="shared" si="10"/>
        <v>3.2777718441877328E-3</v>
      </c>
      <c r="V30" s="11">
        <f t="shared" si="10"/>
        <v>2.8630928795582881E-2</v>
      </c>
      <c r="W30" s="11" t="str">
        <f t="shared" si="10"/>
        <v/>
      </c>
      <c r="X30" s="11" t="str">
        <f t="shared" si="10"/>
        <v/>
      </c>
      <c r="Y30" s="11" t="str">
        <f t="shared" si="10"/>
        <v/>
      </c>
      <c r="Z30" s="11" t="str">
        <f t="shared" si="10"/>
        <v/>
      </c>
      <c r="AA30" s="11" t="str">
        <f t="shared" si="10"/>
        <v/>
      </c>
      <c r="AB30" s="11" t="str">
        <f t="shared" si="10"/>
        <v/>
      </c>
      <c r="AC30" s="11" t="str">
        <f t="shared" si="10"/>
        <v/>
      </c>
      <c r="AD30" s="11" t="str">
        <f t="shared" si="10"/>
        <v/>
      </c>
      <c r="AE30" s="11" t="str">
        <f t="shared" si="10"/>
        <v/>
      </c>
      <c r="AF30" s="11" t="str">
        <f t="shared" si="10"/>
        <v/>
      </c>
      <c r="AG30" s="11" t="str">
        <f t="shared" si="10"/>
        <v/>
      </c>
      <c r="AH30" s="11" t="str">
        <f t="shared" si="10"/>
        <v/>
      </c>
      <c r="AI30" s="11" t="str">
        <f t="shared" si="10"/>
        <v/>
      </c>
      <c r="AJ30" s="11" t="str">
        <f t="shared" si="10"/>
        <v/>
      </c>
      <c r="AK30" s="11" t="str">
        <f t="shared" si="10"/>
        <v/>
      </c>
    </row>
    <row r="31" spans="1:37" x14ac:dyDescent="0.25">
      <c r="A31" s="154"/>
      <c r="B31" s="11">
        <f t="shared" ref="B31:M31" si="13">IF(B8="","",(B8/$O$23))</f>
        <v>4.2809333338679643E-3</v>
      </c>
      <c r="C31" s="11" t="str">
        <f t="shared" si="13"/>
        <v/>
      </c>
      <c r="D31" s="11">
        <f t="shared" si="13"/>
        <v>5.1272050324296013E-2</v>
      </c>
      <c r="E31" s="11">
        <f t="shared" si="13"/>
        <v>8.5910283389475633E-3</v>
      </c>
      <c r="F31" s="11">
        <f t="shared" si="13"/>
        <v>1.5979429357127313</v>
      </c>
      <c r="G31" s="11">
        <f t="shared" si="13"/>
        <v>1.4686750795657972</v>
      </c>
      <c r="H31" s="11">
        <f t="shared" si="13"/>
        <v>2.3451874311738994</v>
      </c>
      <c r="I31" s="11">
        <f t="shared" si="13"/>
        <v>5.3657475029407721E-3</v>
      </c>
      <c r="J31" s="11">
        <f t="shared" si="13"/>
        <v>1.4755805633087124E-3</v>
      </c>
      <c r="K31" s="11">
        <f t="shared" si="13"/>
        <v>3.390919128488875E-2</v>
      </c>
      <c r="L31" s="11">
        <f t="shared" si="13"/>
        <v>0</v>
      </c>
      <c r="M31" s="11">
        <f t="shared" si="13"/>
        <v>2.6496294462891225E-2</v>
      </c>
      <c r="N31" s="6"/>
      <c r="O31" s="11">
        <f t="shared" si="10"/>
        <v>0.95036720011868803</v>
      </c>
      <c r="P31" s="11">
        <f t="shared" si="10"/>
        <v>1.4532777171660543</v>
      </c>
      <c r="Q31" s="11">
        <f t="shared" si="10"/>
        <v>1.8780116260292703E-3</v>
      </c>
      <c r="R31" s="11">
        <f t="shared" si="10"/>
        <v>0.16203974225456899</v>
      </c>
      <c r="S31" s="11">
        <f t="shared" si="10"/>
        <v>3.8324268306330234E-2</v>
      </c>
      <c r="T31" s="11">
        <f t="shared" si="10"/>
        <v>0.11533440964201497</v>
      </c>
      <c r="U31" s="11">
        <f t="shared" si="10"/>
        <v>7.4128968219975236E-2</v>
      </c>
      <c r="V31" s="11">
        <f t="shared" si="10"/>
        <v>0</v>
      </c>
      <c r="W31" s="11" t="str">
        <f t="shared" si="10"/>
        <v/>
      </c>
      <c r="X31" s="11" t="str">
        <f t="shared" si="10"/>
        <v/>
      </c>
      <c r="Y31" s="11" t="str">
        <f t="shared" si="10"/>
        <v/>
      </c>
      <c r="Z31" s="11" t="str">
        <f t="shared" si="10"/>
        <v/>
      </c>
      <c r="AA31" s="11" t="str">
        <f t="shared" si="10"/>
        <v/>
      </c>
      <c r="AB31" s="11" t="str">
        <f t="shared" si="10"/>
        <v/>
      </c>
      <c r="AC31" s="11" t="str">
        <f t="shared" si="10"/>
        <v/>
      </c>
      <c r="AD31" s="11" t="str">
        <f t="shared" si="10"/>
        <v/>
      </c>
      <c r="AE31" s="11" t="str">
        <f t="shared" si="10"/>
        <v/>
      </c>
      <c r="AF31" s="11" t="str">
        <f t="shared" si="10"/>
        <v/>
      </c>
      <c r="AG31" s="11" t="str">
        <f t="shared" si="10"/>
        <v/>
      </c>
      <c r="AH31" s="11" t="str">
        <f t="shared" si="10"/>
        <v/>
      </c>
      <c r="AI31" s="11" t="str">
        <f t="shared" si="10"/>
        <v/>
      </c>
      <c r="AJ31" s="11" t="str">
        <f t="shared" si="10"/>
        <v/>
      </c>
      <c r="AK31" s="11" t="str">
        <f t="shared" si="10"/>
        <v/>
      </c>
    </row>
    <row r="32" spans="1:37" x14ac:dyDescent="0.25">
      <c r="A32" s="154"/>
      <c r="B32" s="11">
        <f t="shared" ref="B32:M32" si="14">IF(B9="","",(B9/$O$23))</f>
        <v>5.7938408363275684E-2</v>
      </c>
      <c r="C32" s="11" t="str">
        <f t="shared" si="14"/>
        <v/>
      </c>
      <c r="D32" s="11">
        <f t="shared" si="14"/>
        <v>4.7475200732541179E-3</v>
      </c>
      <c r="E32" s="11">
        <f t="shared" si="14"/>
        <v>0</v>
      </c>
      <c r="F32" s="11">
        <f t="shared" si="14"/>
        <v>0.8382697359811645</v>
      </c>
      <c r="G32" s="11">
        <f t="shared" si="14"/>
        <v>0.35379522747379366</v>
      </c>
      <c r="H32" s="11">
        <f t="shared" si="14"/>
        <v>1.8649530296607002</v>
      </c>
      <c r="I32" s="11">
        <f t="shared" si="14"/>
        <v>5.0583834883701433E-2</v>
      </c>
      <c r="J32" s="11">
        <f t="shared" si="14"/>
        <v>1.3577674116137084E-2</v>
      </c>
      <c r="K32" s="11">
        <f t="shared" si="14"/>
        <v>2.840346776013213E-3</v>
      </c>
      <c r="L32" s="11">
        <f t="shared" si="14"/>
        <v>9.5941898286277943E-3</v>
      </c>
      <c r="M32" s="11">
        <f t="shared" si="14"/>
        <v>2.1917912082664588E-2</v>
      </c>
      <c r="N32" s="6"/>
      <c r="O32" s="11">
        <f t="shared" si="10"/>
        <v>1.0395085966784128</v>
      </c>
      <c r="P32" s="11">
        <f t="shared" si="10"/>
        <v>1.4051026363244339</v>
      </c>
      <c r="Q32" s="11">
        <f t="shared" si="10"/>
        <v>0</v>
      </c>
      <c r="R32" s="11">
        <f t="shared" si="10"/>
        <v>0.76757601262991981</v>
      </c>
      <c r="S32" s="11">
        <f t="shared" si="10"/>
        <v>0.98171016433695291</v>
      </c>
      <c r="T32" s="11">
        <f t="shared" si="10"/>
        <v>0.42315917861778779</v>
      </c>
      <c r="U32" s="11">
        <f t="shared" si="10"/>
        <v>1.8523493553630317E-2</v>
      </c>
      <c r="V32" s="11">
        <f t="shared" si="10"/>
        <v>0.10517448339188146</v>
      </c>
      <c r="W32" s="11" t="str">
        <f t="shared" si="10"/>
        <v/>
      </c>
      <c r="X32" s="11" t="str">
        <f t="shared" si="10"/>
        <v/>
      </c>
      <c r="Y32" s="11" t="str">
        <f t="shared" si="10"/>
        <v/>
      </c>
      <c r="Z32" s="11" t="str">
        <f t="shared" si="10"/>
        <v/>
      </c>
      <c r="AA32" s="11" t="str">
        <f t="shared" si="10"/>
        <v/>
      </c>
      <c r="AB32" s="11" t="str">
        <f t="shared" si="10"/>
        <v/>
      </c>
      <c r="AC32" s="11" t="str">
        <f t="shared" si="10"/>
        <v/>
      </c>
      <c r="AD32" s="11" t="str">
        <f t="shared" si="10"/>
        <v/>
      </c>
      <c r="AE32" s="11" t="str">
        <f t="shared" si="10"/>
        <v/>
      </c>
      <c r="AF32" s="11" t="str">
        <f t="shared" si="10"/>
        <v/>
      </c>
      <c r="AG32" s="11" t="str">
        <f t="shared" si="10"/>
        <v/>
      </c>
      <c r="AH32" s="11" t="str">
        <f t="shared" si="10"/>
        <v/>
      </c>
      <c r="AI32" s="11" t="str">
        <f t="shared" si="10"/>
        <v/>
      </c>
      <c r="AJ32" s="11" t="str">
        <f t="shared" si="10"/>
        <v/>
      </c>
      <c r="AK32" s="11" t="str">
        <f t="shared" si="10"/>
        <v/>
      </c>
    </row>
    <row r="33" spans="1:37" x14ac:dyDescent="0.25">
      <c r="A33" s="154"/>
      <c r="B33" s="11">
        <f t="shared" ref="B33:M33" si="15">IF(B10="","",(B10/$O$23))</f>
        <v>1.1810476840712026E-2</v>
      </c>
      <c r="C33" s="11" t="str">
        <f t="shared" si="15"/>
        <v/>
      </c>
      <c r="D33" s="11">
        <f t="shared" si="15"/>
        <v>9.5650281574161588E-4</v>
      </c>
      <c r="E33" s="11">
        <f t="shared" si="15"/>
        <v>8.8884773853062357E-2</v>
      </c>
      <c r="F33" s="11">
        <f t="shared" si="15"/>
        <v>0.18292533117634172</v>
      </c>
      <c r="G33" s="11">
        <f t="shared" si="15"/>
        <v>1.0634095024034684</v>
      </c>
      <c r="H33" s="11">
        <f t="shared" si="15"/>
        <v>0.98526788822477229</v>
      </c>
      <c r="I33" s="11">
        <f t="shared" si="15"/>
        <v>8.3344056322851787E-3</v>
      </c>
      <c r="J33" s="11">
        <f t="shared" si="15"/>
        <v>2.5767252682600359E-2</v>
      </c>
      <c r="K33" s="11">
        <f t="shared" si="15"/>
        <v>1.9538319711795205E-3</v>
      </c>
      <c r="L33" s="11">
        <f t="shared" si="15"/>
        <v>5.3727463040315643E-2</v>
      </c>
      <c r="M33" s="11">
        <f t="shared" si="15"/>
        <v>0</v>
      </c>
      <c r="N33" s="6"/>
      <c r="O33" s="11">
        <f t="shared" si="10"/>
        <v>0.45831065709629221</v>
      </c>
      <c r="P33" s="11">
        <f t="shared" si="10"/>
        <v>1.1527900246671285</v>
      </c>
      <c r="Q33" s="11">
        <f t="shared" si="10"/>
        <v>0.1052036450630931</v>
      </c>
      <c r="R33" s="11">
        <f t="shared" si="10"/>
        <v>0.14143993771067029</v>
      </c>
      <c r="S33" s="11">
        <f t="shared" si="10"/>
        <v>0.33225641711688036</v>
      </c>
      <c r="T33" s="11">
        <f t="shared" si="10"/>
        <v>0</v>
      </c>
      <c r="U33" s="11">
        <f t="shared" si="10"/>
        <v>1.9013409629985781E-3</v>
      </c>
      <c r="V33" s="11">
        <f t="shared" si="10"/>
        <v>7.2991663042721477E-2</v>
      </c>
      <c r="W33" s="11" t="str">
        <f t="shared" si="10"/>
        <v/>
      </c>
      <c r="X33" s="11" t="str">
        <f t="shared" si="10"/>
        <v/>
      </c>
      <c r="Y33" s="11" t="str">
        <f t="shared" si="10"/>
        <v/>
      </c>
      <c r="Z33" s="11" t="str">
        <f t="shared" si="10"/>
        <v/>
      </c>
      <c r="AA33" s="11" t="str">
        <f t="shared" si="10"/>
        <v/>
      </c>
      <c r="AB33" s="11" t="str">
        <f t="shared" si="10"/>
        <v/>
      </c>
      <c r="AC33" s="11" t="str">
        <f t="shared" si="10"/>
        <v/>
      </c>
      <c r="AD33" s="11" t="str">
        <f t="shared" si="10"/>
        <v/>
      </c>
      <c r="AE33" s="11" t="str">
        <f t="shared" si="10"/>
        <v/>
      </c>
      <c r="AF33" s="11" t="str">
        <f t="shared" si="10"/>
        <v/>
      </c>
      <c r="AG33" s="11" t="str">
        <f t="shared" si="10"/>
        <v/>
      </c>
      <c r="AH33" s="11" t="str">
        <f t="shared" si="10"/>
        <v/>
      </c>
      <c r="AI33" s="11" t="str">
        <f t="shared" si="10"/>
        <v/>
      </c>
      <c r="AJ33" s="11" t="str">
        <f t="shared" si="10"/>
        <v/>
      </c>
      <c r="AK33" s="11" t="str">
        <f t="shared" si="10"/>
        <v/>
      </c>
    </row>
    <row r="34" spans="1:37" x14ac:dyDescent="0.25">
      <c r="A34" s="154"/>
      <c r="B34" s="11">
        <f t="shared" ref="B34:M34" si="16">IF(B11="","",(B11/$O$23))</f>
        <v>3.2456940058549343E-2</v>
      </c>
      <c r="C34" s="11" t="str">
        <f t="shared" si="16"/>
        <v/>
      </c>
      <c r="D34" s="11">
        <f t="shared" si="16"/>
        <v>6.5829556593144017E-2</v>
      </c>
      <c r="E34" s="11">
        <f t="shared" si="16"/>
        <v>1.4419396593989706</v>
      </c>
      <c r="F34" s="11">
        <f t="shared" si="16"/>
        <v>0.87521757340630557</v>
      </c>
      <c r="G34" s="11">
        <f t="shared" si="16"/>
        <v>0.8130040640434042</v>
      </c>
      <c r="H34" s="11">
        <f t="shared" si="16"/>
        <v>2.334444271499533</v>
      </c>
      <c r="I34" s="11">
        <f t="shared" si="16"/>
        <v>1.9235038331194203E-2</v>
      </c>
      <c r="J34" s="11">
        <f t="shared" si="16"/>
        <v>4.6658673938615409E-4</v>
      </c>
      <c r="K34" s="11">
        <f t="shared" si="16"/>
        <v>3.3185981838840212E-3</v>
      </c>
      <c r="L34" s="11">
        <f t="shared" si="16"/>
        <v>4.7241907362848104E-4</v>
      </c>
      <c r="M34" s="11">
        <f t="shared" si="16"/>
        <v>8.805075005640961E-2</v>
      </c>
      <c r="N34" s="6"/>
      <c r="O34" s="11">
        <f t="shared" si="10"/>
        <v>0.40344005654448045</v>
      </c>
      <c r="P34" s="11">
        <f t="shared" si="10"/>
        <v>1.2491226893476426</v>
      </c>
      <c r="Q34" s="11">
        <f t="shared" si="10"/>
        <v>0</v>
      </c>
      <c r="R34" s="11">
        <f t="shared" si="10"/>
        <v>0.32027680258314084</v>
      </c>
      <c r="S34" s="11">
        <f t="shared" si="10"/>
        <v>7.8969805641106589E-2</v>
      </c>
      <c r="T34" s="11">
        <f t="shared" si="10"/>
        <v>0.34854612665569945</v>
      </c>
      <c r="U34" s="11">
        <f t="shared" si="10"/>
        <v>5.3622481023953762E-2</v>
      </c>
      <c r="V34" s="11">
        <f t="shared" si="10"/>
        <v>2.8292653409527919E-2</v>
      </c>
      <c r="W34" s="11" t="str">
        <f t="shared" si="10"/>
        <v/>
      </c>
      <c r="X34" s="11" t="str">
        <f t="shared" si="10"/>
        <v/>
      </c>
      <c r="Y34" s="11" t="str">
        <f t="shared" si="10"/>
        <v/>
      </c>
      <c r="Z34" s="11" t="str">
        <f t="shared" si="10"/>
        <v/>
      </c>
      <c r="AA34" s="11" t="str">
        <f t="shared" si="10"/>
        <v/>
      </c>
      <c r="AB34" s="11" t="str">
        <f t="shared" si="10"/>
        <v/>
      </c>
      <c r="AC34" s="11" t="str">
        <f t="shared" si="10"/>
        <v/>
      </c>
      <c r="AD34" s="11" t="str">
        <f t="shared" si="10"/>
        <v/>
      </c>
      <c r="AE34" s="11" t="str">
        <f t="shared" si="10"/>
        <v/>
      </c>
      <c r="AF34" s="11" t="str">
        <f t="shared" si="10"/>
        <v/>
      </c>
      <c r="AG34" s="11" t="str">
        <f t="shared" si="10"/>
        <v/>
      </c>
      <c r="AH34" s="11" t="str">
        <f t="shared" si="10"/>
        <v/>
      </c>
      <c r="AI34" s="11" t="str">
        <f t="shared" si="10"/>
        <v/>
      </c>
      <c r="AJ34" s="11" t="str">
        <f t="shared" si="10"/>
        <v/>
      </c>
      <c r="AK34" s="11" t="str">
        <f t="shared" si="10"/>
        <v/>
      </c>
    </row>
    <row r="35" spans="1:37" x14ac:dyDescent="0.25">
      <c r="A35" s="154"/>
      <c r="B35" s="11">
        <f t="shared" ref="B35:M35" si="17">IF(B12="","",(B12/$O$23))</f>
        <v>1.4405865578547509E-3</v>
      </c>
      <c r="C35" s="11" t="str">
        <f t="shared" si="17"/>
        <v/>
      </c>
      <c r="D35" s="11">
        <f t="shared" si="17"/>
        <v>9.3288186206019183E-2</v>
      </c>
      <c r="E35" s="11">
        <f t="shared" si="17"/>
        <v>0.42907316553950731</v>
      </c>
      <c r="F35" s="11">
        <f t="shared" si="17"/>
        <v>1.205922589614727</v>
      </c>
      <c r="G35" s="11">
        <f t="shared" si="17"/>
        <v>1.0309175683394651</v>
      </c>
      <c r="H35" s="11">
        <f t="shared" si="17"/>
        <v>1.1818175521911898</v>
      </c>
      <c r="I35" s="11">
        <f t="shared" si="17"/>
        <v>4.8525020896160028E-3</v>
      </c>
      <c r="J35" s="11" t="str">
        <f t="shared" si="17"/>
        <v/>
      </c>
      <c r="K35" s="11">
        <f t="shared" si="17"/>
        <v>3.0368964399796305E-2</v>
      </c>
      <c r="L35" s="11">
        <f t="shared" si="17"/>
        <v>0</v>
      </c>
      <c r="M35" s="11">
        <f t="shared" si="17"/>
        <v>4.1940315536572931E-2</v>
      </c>
      <c r="N35" s="6"/>
      <c r="O35" s="11">
        <f t="shared" si="10"/>
        <v>0.69710391797988358</v>
      </c>
      <c r="P35" s="11">
        <f t="shared" si="10"/>
        <v>1.3604677823679059</v>
      </c>
      <c r="Q35" s="11">
        <f t="shared" si="10"/>
        <v>1.5269051046411894E-2</v>
      </c>
      <c r="R35" s="11">
        <f t="shared" si="10"/>
        <v>0.87888611164472918</v>
      </c>
      <c r="S35" s="11">
        <f t="shared" si="10"/>
        <v>0.12920370047026841</v>
      </c>
      <c r="T35" s="11">
        <f t="shared" si="10"/>
        <v>0.15613742000133415</v>
      </c>
      <c r="U35" s="11">
        <f t="shared" si="10"/>
        <v>9.6816748422626983E-3</v>
      </c>
      <c r="V35" s="11">
        <f t="shared" si="10"/>
        <v>0</v>
      </c>
      <c r="W35" s="11" t="str">
        <f t="shared" si="10"/>
        <v/>
      </c>
      <c r="X35" s="11" t="str">
        <f t="shared" si="10"/>
        <v/>
      </c>
      <c r="Y35" s="11" t="str">
        <f t="shared" si="10"/>
        <v/>
      </c>
      <c r="Z35" s="11" t="str">
        <f t="shared" si="10"/>
        <v/>
      </c>
      <c r="AA35" s="11" t="str">
        <f t="shared" si="10"/>
        <v/>
      </c>
      <c r="AB35" s="11" t="str">
        <f t="shared" si="10"/>
        <v/>
      </c>
      <c r="AC35" s="11" t="str">
        <f t="shared" si="10"/>
        <v/>
      </c>
      <c r="AD35" s="11" t="str">
        <f t="shared" si="10"/>
        <v/>
      </c>
      <c r="AE35" s="11" t="str">
        <f t="shared" si="10"/>
        <v/>
      </c>
      <c r="AF35" s="11" t="str">
        <f t="shared" si="10"/>
        <v/>
      </c>
      <c r="AG35" s="11" t="str">
        <f t="shared" si="10"/>
        <v/>
      </c>
      <c r="AH35" s="11" t="str">
        <f t="shared" si="10"/>
        <v/>
      </c>
      <c r="AI35" s="11" t="str">
        <f t="shared" si="10"/>
        <v/>
      </c>
      <c r="AJ35" s="11" t="str">
        <f t="shared" si="10"/>
        <v/>
      </c>
      <c r="AK35" s="11" t="str">
        <f t="shared" si="10"/>
        <v/>
      </c>
    </row>
    <row r="36" spans="1:37" x14ac:dyDescent="0.25">
      <c r="A36" s="154"/>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6"/>
      <c r="O36" s="11">
        <f t="shared" si="10"/>
        <v>1.3972348174315348</v>
      </c>
      <c r="P36" s="11" t="str">
        <f t="shared" si="10"/>
        <v/>
      </c>
      <c r="Q36" s="11" t="str">
        <f t="shared" si="10"/>
        <v/>
      </c>
      <c r="R36" s="11" t="str">
        <f t="shared" si="10"/>
        <v/>
      </c>
      <c r="S36" s="11" t="str">
        <f t="shared" si="10"/>
        <v/>
      </c>
      <c r="T36" s="11" t="str">
        <f t="shared" si="10"/>
        <v/>
      </c>
      <c r="U36" s="11" t="str">
        <f t="shared" si="10"/>
        <v/>
      </c>
      <c r="V36" s="11" t="str">
        <f t="shared" si="10"/>
        <v/>
      </c>
      <c r="W36" s="11" t="str">
        <f t="shared" si="10"/>
        <v/>
      </c>
      <c r="X36" s="11" t="str">
        <f t="shared" si="10"/>
        <v/>
      </c>
      <c r="Y36" s="11" t="str">
        <f t="shared" si="10"/>
        <v/>
      </c>
      <c r="Z36" s="11" t="str">
        <f t="shared" si="10"/>
        <v/>
      </c>
      <c r="AA36" s="11" t="str">
        <f t="shared" si="10"/>
        <v/>
      </c>
      <c r="AB36" s="11" t="str">
        <f t="shared" si="10"/>
        <v/>
      </c>
      <c r="AC36" s="11" t="str">
        <f t="shared" si="10"/>
        <v/>
      </c>
      <c r="AD36" s="11" t="str">
        <f t="shared" si="10"/>
        <v/>
      </c>
      <c r="AE36" s="11" t="str">
        <f t="shared" si="10"/>
        <v/>
      </c>
      <c r="AF36" s="11" t="str">
        <f t="shared" si="10"/>
        <v/>
      </c>
      <c r="AG36" s="11" t="str">
        <f t="shared" si="10"/>
        <v/>
      </c>
      <c r="AH36" s="11" t="str">
        <f t="shared" si="10"/>
        <v/>
      </c>
      <c r="AI36" s="11" t="str">
        <f t="shared" si="10"/>
        <v/>
      </c>
      <c r="AJ36" s="11" t="str">
        <f t="shared" si="10"/>
        <v/>
      </c>
      <c r="AK36" s="11" t="str">
        <f t="shared" si="10"/>
        <v/>
      </c>
    </row>
    <row r="37" spans="1:37" x14ac:dyDescent="0.25">
      <c r="A37" s="154"/>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10"/>
        <v>1.4536101602178668</v>
      </c>
      <c r="P37" s="11" t="str">
        <f t="shared" si="10"/>
        <v/>
      </c>
      <c r="Q37" s="11" t="str">
        <f t="shared" si="10"/>
        <v/>
      </c>
      <c r="R37" s="11" t="str">
        <f t="shared" si="10"/>
        <v/>
      </c>
      <c r="S37" s="11" t="str">
        <f t="shared" si="10"/>
        <v/>
      </c>
      <c r="T37" s="11" t="str">
        <f t="shared" si="10"/>
        <v/>
      </c>
      <c r="U37" s="11" t="str">
        <f t="shared" si="10"/>
        <v/>
      </c>
      <c r="V37" s="11" t="str">
        <f t="shared" si="10"/>
        <v/>
      </c>
      <c r="W37" s="11" t="str">
        <f t="shared" si="10"/>
        <v/>
      </c>
      <c r="X37" s="11" t="str">
        <f t="shared" si="10"/>
        <v/>
      </c>
      <c r="Y37" s="11" t="str">
        <f t="shared" si="10"/>
        <v/>
      </c>
      <c r="Z37" s="11" t="str">
        <f t="shared" si="10"/>
        <v/>
      </c>
      <c r="AA37" s="11" t="str">
        <f t="shared" si="10"/>
        <v/>
      </c>
      <c r="AB37" s="11" t="str">
        <f t="shared" si="10"/>
        <v/>
      </c>
      <c r="AC37" s="11" t="str">
        <f t="shared" si="10"/>
        <v/>
      </c>
      <c r="AD37" s="11" t="str">
        <f t="shared" si="10"/>
        <v/>
      </c>
      <c r="AE37" s="11" t="str">
        <f t="shared" si="10"/>
        <v/>
      </c>
      <c r="AF37" s="11" t="str">
        <f t="shared" si="10"/>
        <v/>
      </c>
      <c r="AG37" s="11" t="str">
        <f t="shared" si="10"/>
        <v/>
      </c>
      <c r="AH37" s="11" t="str">
        <f t="shared" si="10"/>
        <v/>
      </c>
      <c r="AI37" s="11" t="str">
        <f t="shared" si="10"/>
        <v/>
      </c>
      <c r="AJ37" s="11" t="str">
        <f t="shared" si="10"/>
        <v/>
      </c>
      <c r="AK37" s="11" t="str">
        <f t="shared" si="10"/>
        <v/>
      </c>
    </row>
    <row r="38" spans="1:37" x14ac:dyDescent="0.25">
      <c r="A38" s="154"/>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f t="shared" si="10"/>
        <v>0.6354853067096996</v>
      </c>
      <c r="P38" s="11" t="str">
        <f t="shared" si="10"/>
        <v/>
      </c>
      <c r="Q38" s="11" t="str">
        <f t="shared" si="10"/>
        <v/>
      </c>
      <c r="R38" s="11" t="str">
        <f t="shared" si="10"/>
        <v/>
      </c>
      <c r="S38" s="11" t="str">
        <f t="shared" si="10"/>
        <v/>
      </c>
      <c r="T38" s="11" t="str">
        <f t="shared" si="10"/>
        <v/>
      </c>
      <c r="U38" s="11" t="str">
        <f t="shared" si="10"/>
        <v/>
      </c>
      <c r="V38" s="11" t="str">
        <f t="shared" si="10"/>
        <v/>
      </c>
      <c r="W38" s="11" t="str">
        <f t="shared" si="10"/>
        <v/>
      </c>
      <c r="X38" s="11" t="str">
        <f t="shared" si="10"/>
        <v/>
      </c>
      <c r="Y38" s="11" t="str">
        <f t="shared" si="10"/>
        <v/>
      </c>
      <c r="Z38" s="11" t="str">
        <f t="shared" si="10"/>
        <v/>
      </c>
      <c r="AA38" s="11" t="str">
        <f t="shared" si="10"/>
        <v/>
      </c>
      <c r="AB38" s="11" t="str">
        <f t="shared" si="10"/>
        <v/>
      </c>
      <c r="AC38" s="11" t="str">
        <f t="shared" si="10"/>
        <v/>
      </c>
      <c r="AD38" s="11" t="str">
        <f t="shared" si="10"/>
        <v/>
      </c>
      <c r="AE38" s="11" t="str">
        <f t="shared" si="10"/>
        <v/>
      </c>
      <c r="AF38" s="11" t="str">
        <f t="shared" si="10"/>
        <v/>
      </c>
      <c r="AG38" s="11" t="str">
        <f t="shared" si="10"/>
        <v/>
      </c>
      <c r="AH38" s="11" t="str">
        <f t="shared" si="10"/>
        <v/>
      </c>
      <c r="AI38" s="11" t="str">
        <f t="shared" si="10"/>
        <v/>
      </c>
      <c r="AJ38" s="11" t="str">
        <f t="shared" si="10"/>
        <v/>
      </c>
      <c r="AK38" s="11" t="str">
        <f t="shared" si="10"/>
        <v/>
      </c>
    </row>
    <row r="39" spans="1:37" x14ac:dyDescent="0.25">
      <c r="A39" s="154"/>
      <c r="B39" s="11" t="str">
        <f t="shared" ref="B39:M39" si="21">IF(B16="","",(B16/$O$23))</f>
        <v/>
      </c>
      <c r="C39" s="11" t="str">
        <f t="shared" si="21"/>
        <v/>
      </c>
      <c r="D39" s="11" t="str">
        <f t="shared" si="21"/>
        <v/>
      </c>
      <c r="E39" s="11" t="str">
        <f t="shared" si="21"/>
        <v/>
      </c>
      <c r="F39" s="11" t="str">
        <f t="shared" si="21"/>
        <v/>
      </c>
      <c r="G39" s="11" t="str">
        <f t="shared" si="21"/>
        <v/>
      </c>
      <c r="H39" s="11" t="str">
        <f t="shared" si="21"/>
        <v/>
      </c>
      <c r="I39" s="11" t="str">
        <f t="shared" si="21"/>
        <v/>
      </c>
      <c r="J39" s="11" t="str">
        <f t="shared" si="21"/>
        <v/>
      </c>
      <c r="K39" s="11" t="str">
        <f t="shared" si="21"/>
        <v/>
      </c>
      <c r="L39" s="11" t="str">
        <f t="shared" si="21"/>
        <v/>
      </c>
      <c r="M39" s="11" t="str">
        <f t="shared" si="21"/>
        <v/>
      </c>
      <c r="N39" s="6"/>
      <c r="O39" s="11">
        <f t="shared" si="10"/>
        <v>1.0281705389113291</v>
      </c>
      <c r="P39" s="11" t="str">
        <f t="shared" si="10"/>
        <v/>
      </c>
      <c r="Q39" s="11" t="str">
        <f t="shared" ref="Q39:AK39" si="22">IF(Q16="","",(Q16/$O$23))</f>
        <v/>
      </c>
      <c r="R39" s="11" t="str">
        <f t="shared" si="22"/>
        <v/>
      </c>
      <c r="S39" s="11" t="str">
        <f t="shared" si="22"/>
        <v/>
      </c>
      <c r="T39" s="11" t="str">
        <f t="shared" si="22"/>
        <v/>
      </c>
      <c r="U39" s="11" t="str">
        <f t="shared" si="22"/>
        <v/>
      </c>
      <c r="V39" s="11" t="str">
        <f t="shared" si="22"/>
        <v/>
      </c>
      <c r="W39" s="11" t="str">
        <f t="shared" si="22"/>
        <v/>
      </c>
      <c r="X39" s="11" t="str">
        <f t="shared" si="22"/>
        <v/>
      </c>
      <c r="Y39" s="11" t="str">
        <f t="shared" si="22"/>
        <v/>
      </c>
      <c r="Z39" s="11" t="str">
        <f t="shared" si="22"/>
        <v/>
      </c>
      <c r="AA39" s="11" t="str">
        <f t="shared" si="22"/>
        <v/>
      </c>
      <c r="AB39" s="11" t="str">
        <f t="shared" si="22"/>
        <v/>
      </c>
      <c r="AC39" s="11" t="str">
        <f t="shared" si="22"/>
        <v/>
      </c>
      <c r="AD39" s="11" t="str">
        <f t="shared" si="22"/>
        <v/>
      </c>
      <c r="AE39" s="11" t="str">
        <f t="shared" si="22"/>
        <v/>
      </c>
      <c r="AF39" s="11" t="str">
        <f t="shared" si="22"/>
        <v/>
      </c>
      <c r="AG39" s="11" t="str">
        <f t="shared" si="22"/>
        <v/>
      </c>
      <c r="AH39" s="11" t="str">
        <f t="shared" si="22"/>
        <v/>
      </c>
      <c r="AI39" s="11" t="str">
        <f t="shared" si="22"/>
        <v/>
      </c>
      <c r="AJ39" s="11" t="str">
        <f t="shared" si="22"/>
        <v/>
      </c>
      <c r="AK39" s="11" t="str">
        <f t="shared" si="22"/>
        <v/>
      </c>
    </row>
    <row r="40" spans="1:37" x14ac:dyDescent="0.25">
      <c r="A40" s="154"/>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ref="O40:AK43" si="24">IF(O17="","",(O17/$O$23))</f>
        <v>1.3923939800104035</v>
      </c>
      <c r="P40" s="11" t="str">
        <f t="shared" si="24"/>
        <v/>
      </c>
      <c r="Q40" s="11" t="str">
        <f t="shared" si="24"/>
        <v/>
      </c>
      <c r="R40" s="11" t="str">
        <f t="shared" si="24"/>
        <v/>
      </c>
      <c r="S40" s="11" t="str">
        <f t="shared" si="24"/>
        <v/>
      </c>
      <c r="T40" s="11" t="str">
        <f t="shared" si="24"/>
        <v/>
      </c>
      <c r="U40" s="11" t="str">
        <f t="shared" si="24"/>
        <v/>
      </c>
      <c r="V40" s="11" t="str">
        <f t="shared" si="24"/>
        <v/>
      </c>
      <c r="W40" s="11" t="str">
        <f t="shared" si="24"/>
        <v/>
      </c>
      <c r="X40" s="11" t="str">
        <f t="shared" si="24"/>
        <v/>
      </c>
      <c r="Y40" s="11" t="str">
        <f t="shared" si="24"/>
        <v/>
      </c>
      <c r="Z40" s="11" t="str">
        <f t="shared" si="24"/>
        <v/>
      </c>
      <c r="AA40" s="11" t="str">
        <f t="shared" si="24"/>
        <v/>
      </c>
      <c r="AB40" s="11" t="str">
        <f t="shared" si="24"/>
        <v/>
      </c>
      <c r="AC40" s="11" t="str">
        <f t="shared" si="24"/>
        <v/>
      </c>
      <c r="AD40" s="11" t="str">
        <f t="shared" si="24"/>
        <v/>
      </c>
      <c r="AE40" s="11" t="str">
        <f t="shared" si="24"/>
        <v/>
      </c>
      <c r="AF40" s="11" t="str">
        <f t="shared" si="24"/>
        <v/>
      </c>
      <c r="AG40" s="11" t="str">
        <f t="shared" si="24"/>
        <v/>
      </c>
      <c r="AH40" s="11" t="str">
        <f t="shared" si="24"/>
        <v/>
      </c>
      <c r="AI40" s="11" t="str">
        <f t="shared" si="24"/>
        <v/>
      </c>
      <c r="AJ40" s="11" t="str">
        <f t="shared" si="24"/>
        <v/>
      </c>
      <c r="AK40" s="11" t="str">
        <f t="shared" si="24"/>
        <v/>
      </c>
    </row>
    <row r="41" spans="1:37" x14ac:dyDescent="0.25">
      <c r="A41" s="154"/>
      <c r="B41" s="11" t="str">
        <f t="shared" ref="B41:M41" si="25">IF(B18="","",(B18/$O$23))</f>
        <v/>
      </c>
      <c r="C41" s="11" t="str">
        <f t="shared" si="25"/>
        <v/>
      </c>
      <c r="D41" s="11" t="str">
        <f t="shared" si="25"/>
        <v/>
      </c>
      <c r="E41" s="11" t="str">
        <f t="shared" si="25"/>
        <v/>
      </c>
      <c r="F41" s="11" t="str">
        <f t="shared" si="25"/>
        <v/>
      </c>
      <c r="G41" s="11" t="str">
        <f t="shared" si="25"/>
        <v/>
      </c>
      <c r="H41" s="11" t="str">
        <f t="shared" si="25"/>
        <v/>
      </c>
      <c r="I41" s="11" t="str">
        <f t="shared" si="25"/>
        <v/>
      </c>
      <c r="J41" s="11" t="str">
        <f t="shared" si="25"/>
        <v/>
      </c>
      <c r="K41" s="11" t="str">
        <f t="shared" si="25"/>
        <v/>
      </c>
      <c r="L41" s="11" t="str">
        <f t="shared" si="25"/>
        <v/>
      </c>
      <c r="M41" s="11" t="str">
        <f t="shared" si="25"/>
        <v/>
      </c>
      <c r="N41" s="6"/>
      <c r="O41" s="11">
        <f t="shared" si="24"/>
        <v>1.0282696885934488</v>
      </c>
      <c r="P41" s="11" t="str">
        <f t="shared" si="24"/>
        <v/>
      </c>
      <c r="Q41" s="11" t="str">
        <f t="shared" si="24"/>
        <v/>
      </c>
      <c r="R41" s="11" t="str">
        <f t="shared" si="24"/>
        <v/>
      </c>
      <c r="S41" s="11" t="str">
        <f t="shared" si="24"/>
        <v/>
      </c>
      <c r="T41" s="11" t="str">
        <f t="shared" si="24"/>
        <v/>
      </c>
      <c r="U41" s="11" t="str">
        <f t="shared" si="24"/>
        <v/>
      </c>
      <c r="V41" s="11" t="str">
        <f t="shared" si="24"/>
        <v/>
      </c>
      <c r="W41" s="11" t="str">
        <f t="shared" si="24"/>
        <v/>
      </c>
      <c r="X41" s="11" t="str">
        <f t="shared" si="24"/>
        <v/>
      </c>
      <c r="Y41" s="11" t="str">
        <f t="shared" si="24"/>
        <v/>
      </c>
      <c r="Z41" s="11" t="str">
        <f t="shared" si="24"/>
        <v/>
      </c>
      <c r="AA41" s="11" t="str">
        <f t="shared" si="24"/>
        <v/>
      </c>
      <c r="AB41" s="11" t="str">
        <f t="shared" si="24"/>
        <v/>
      </c>
      <c r="AC41" s="11" t="str">
        <f t="shared" si="24"/>
        <v/>
      </c>
      <c r="AD41" s="11" t="str">
        <f t="shared" si="24"/>
        <v/>
      </c>
      <c r="AE41" s="11" t="str">
        <f t="shared" si="24"/>
        <v/>
      </c>
      <c r="AF41" s="11" t="str">
        <f t="shared" si="24"/>
        <v/>
      </c>
      <c r="AG41" s="11" t="str">
        <f t="shared" si="24"/>
        <v/>
      </c>
      <c r="AH41" s="11" t="str">
        <f t="shared" si="24"/>
        <v/>
      </c>
      <c r="AI41" s="11" t="str">
        <f t="shared" si="24"/>
        <v/>
      </c>
      <c r="AJ41" s="11" t="str">
        <f t="shared" si="24"/>
        <v/>
      </c>
      <c r="AK41" s="11" t="str">
        <f t="shared" si="24"/>
        <v/>
      </c>
    </row>
    <row r="42" spans="1:37" x14ac:dyDescent="0.25">
      <c r="A42" s="154"/>
      <c r="B42" s="11" t="str">
        <f t="shared" ref="B42:M42" si="26">IF(B19="","",(B19/$O$23))</f>
        <v/>
      </c>
      <c r="C42" s="11" t="str">
        <f t="shared" si="26"/>
        <v/>
      </c>
      <c r="D42" s="11" t="str">
        <f t="shared" si="26"/>
        <v/>
      </c>
      <c r="E42" s="11" t="str">
        <f t="shared" si="26"/>
        <v/>
      </c>
      <c r="F42" s="11" t="str">
        <f t="shared" si="26"/>
        <v/>
      </c>
      <c r="G42" s="11" t="str">
        <f t="shared" si="26"/>
        <v/>
      </c>
      <c r="H42" s="11" t="str">
        <f t="shared" si="26"/>
        <v/>
      </c>
      <c r="I42" s="11" t="str">
        <f t="shared" si="26"/>
        <v/>
      </c>
      <c r="J42" s="11" t="str">
        <f t="shared" si="26"/>
        <v/>
      </c>
      <c r="K42" s="11" t="str">
        <f t="shared" si="26"/>
        <v/>
      </c>
      <c r="L42" s="11" t="str">
        <f t="shared" si="26"/>
        <v/>
      </c>
      <c r="M42" s="11" t="str">
        <f t="shared" si="26"/>
        <v/>
      </c>
      <c r="N42" s="6"/>
      <c r="O42" s="11">
        <f t="shared" si="24"/>
        <v>0.91677295488288491</v>
      </c>
      <c r="P42" s="11" t="str">
        <f t="shared" si="24"/>
        <v/>
      </c>
      <c r="Q42" s="11" t="str">
        <f t="shared" si="24"/>
        <v/>
      </c>
      <c r="R42" s="11" t="str">
        <f t="shared" si="24"/>
        <v/>
      </c>
      <c r="S42" s="11" t="str">
        <f t="shared" si="24"/>
        <v/>
      </c>
      <c r="T42" s="11" t="str">
        <f t="shared" si="24"/>
        <v/>
      </c>
      <c r="U42" s="11" t="str">
        <f t="shared" si="24"/>
        <v/>
      </c>
      <c r="V42" s="11" t="str">
        <f t="shared" si="24"/>
        <v/>
      </c>
      <c r="W42" s="11" t="str">
        <f t="shared" si="24"/>
        <v/>
      </c>
      <c r="X42" s="11" t="str">
        <f t="shared" si="24"/>
        <v/>
      </c>
      <c r="Y42" s="11" t="str">
        <f t="shared" si="24"/>
        <v/>
      </c>
      <c r="Z42" s="11" t="str">
        <f t="shared" si="24"/>
        <v/>
      </c>
      <c r="AA42" s="11" t="str">
        <f t="shared" si="24"/>
        <v/>
      </c>
      <c r="AB42" s="11" t="str">
        <f t="shared" si="24"/>
        <v/>
      </c>
      <c r="AC42" s="11" t="str">
        <f t="shared" si="24"/>
        <v/>
      </c>
      <c r="AD42" s="11" t="str">
        <f t="shared" si="24"/>
        <v/>
      </c>
      <c r="AE42" s="11" t="str">
        <f t="shared" si="24"/>
        <v/>
      </c>
      <c r="AF42" s="11" t="str">
        <f t="shared" si="24"/>
        <v/>
      </c>
      <c r="AG42" s="11" t="str">
        <f t="shared" si="24"/>
        <v/>
      </c>
      <c r="AH42" s="11" t="str">
        <f t="shared" si="24"/>
        <v/>
      </c>
      <c r="AI42" s="11" t="str">
        <f t="shared" si="24"/>
        <v/>
      </c>
      <c r="AJ42" s="11" t="str">
        <f t="shared" si="24"/>
        <v/>
      </c>
      <c r="AK42" s="11" t="str">
        <f t="shared" si="24"/>
        <v/>
      </c>
    </row>
    <row r="43" spans="1:37" x14ac:dyDescent="0.25">
      <c r="A43" s="154"/>
      <c r="B43" s="11" t="str">
        <f t="shared" ref="B43:M43" si="27">IF(B20="","",(B20/$O$23))</f>
        <v/>
      </c>
      <c r="C43" s="11" t="str">
        <f t="shared" si="27"/>
        <v/>
      </c>
      <c r="D43" s="11" t="str">
        <f t="shared" si="27"/>
        <v/>
      </c>
      <c r="E43" s="11" t="str">
        <f t="shared" si="27"/>
        <v/>
      </c>
      <c r="F43" s="11" t="str">
        <f t="shared" si="27"/>
        <v/>
      </c>
      <c r="G43" s="11" t="str">
        <f t="shared" si="27"/>
        <v/>
      </c>
      <c r="H43" s="11" t="str">
        <f t="shared" si="27"/>
        <v/>
      </c>
      <c r="I43" s="11" t="str">
        <f t="shared" si="27"/>
        <v/>
      </c>
      <c r="J43" s="11" t="str">
        <f t="shared" si="27"/>
        <v/>
      </c>
      <c r="K43" s="11" t="str">
        <f t="shared" si="27"/>
        <v/>
      </c>
      <c r="L43" s="11" t="str">
        <f t="shared" si="27"/>
        <v/>
      </c>
      <c r="M43" s="11" t="str">
        <f t="shared" si="27"/>
        <v/>
      </c>
      <c r="N43" s="6"/>
      <c r="O43" s="11">
        <f t="shared" si="24"/>
        <v>1.2848340719134101</v>
      </c>
      <c r="P43" s="11" t="str">
        <f t="shared" si="24"/>
        <v/>
      </c>
      <c r="Q43" s="11" t="str">
        <f t="shared" si="24"/>
        <v/>
      </c>
      <c r="R43" s="11" t="str">
        <f t="shared" si="24"/>
        <v/>
      </c>
      <c r="S43" s="11" t="str">
        <f t="shared" si="24"/>
        <v/>
      </c>
      <c r="T43" s="11" t="str">
        <f t="shared" si="24"/>
        <v/>
      </c>
      <c r="U43" s="11" t="str">
        <f t="shared" si="24"/>
        <v/>
      </c>
      <c r="V43" s="11" t="str">
        <f t="shared" si="24"/>
        <v/>
      </c>
      <c r="W43" s="11" t="str">
        <f t="shared" si="24"/>
        <v/>
      </c>
      <c r="X43" s="11" t="str">
        <f t="shared" si="24"/>
        <v/>
      </c>
      <c r="Y43" s="11" t="str">
        <f t="shared" si="24"/>
        <v/>
      </c>
      <c r="Z43" s="11" t="str">
        <f t="shared" si="24"/>
        <v/>
      </c>
      <c r="AA43" s="11" t="str">
        <f t="shared" si="24"/>
        <v/>
      </c>
      <c r="AB43" s="11" t="str">
        <f t="shared" si="24"/>
        <v/>
      </c>
      <c r="AC43" s="11" t="str">
        <f t="shared" si="24"/>
        <v/>
      </c>
      <c r="AD43" s="11" t="str">
        <f t="shared" si="24"/>
        <v/>
      </c>
      <c r="AE43" s="11" t="str">
        <f t="shared" si="24"/>
        <v/>
      </c>
      <c r="AF43" s="11" t="str">
        <f t="shared" si="24"/>
        <v/>
      </c>
      <c r="AG43" s="11" t="str">
        <f t="shared" si="24"/>
        <v/>
      </c>
      <c r="AH43" s="11" t="str">
        <f t="shared" si="24"/>
        <v/>
      </c>
      <c r="AI43" s="11" t="str">
        <f t="shared" si="24"/>
        <v/>
      </c>
      <c r="AJ43" s="11" t="str">
        <f t="shared" si="24"/>
        <v/>
      </c>
      <c r="AK43" s="11" t="str">
        <f t="shared" si="24"/>
        <v/>
      </c>
    </row>
    <row r="44" spans="1:37" x14ac:dyDescent="0.25">
      <c r="A44" s="7"/>
      <c r="B44" s="3"/>
      <c r="C44" s="3"/>
      <c r="D44" s="3"/>
      <c r="E44" s="3"/>
      <c r="F44" s="3"/>
      <c r="G44" s="3"/>
      <c r="H44" s="3"/>
      <c r="I44" s="3"/>
      <c r="J44" s="3"/>
      <c r="K44" s="3"/>
      <c r="L44" s="3"/>
      <c r="M44" s="3"/>
      <c r="N44" s="7"/>
      <c r="O44" s="3"/>
      <c r="P44" s="3"/>
      <c r="Q44" s="3"/>
      <c r="R44" s="3"/>
      <c r="S44" s="3"/>
      <c r="T44" s="3"/>
      <c r="U44" s="3"/>
      <c r="V44" s="3"/>
      <c r="W44" s="3"/>
      <c r="X44" s="3"/>
      <c r="Y44" s="3"/>
      <c r="Z44" s="3"/>
      <c r="AA44" s="3"/>
      <c r="AB44" s="3"/>
      <c r="AC44" s="3"/>
      <c r="AD44" s="3"/>
      <c r="AE44" s="3"/>
      <c r="AF44" s="3"/>
      <c r="AG44" s="3"/>
      <c r="AH44" s="3"/>
      <c r="AI44" s="3"/>
      <c r="AJ44" s="3"/>
      <c r="AK44" s="3"/>
    </row>
    <row r="45" spans="1:37" x14ac:dyDescent="0.25">
      <c r="A45" s="7" t="str">
        <f>A4</f>
        <v>Noms des groupes</v>
      </c>
      <c r="B45" s="7" t="str">
        <f t="shared" ref="B45:AK45" si="28">B4</f>
        <v>Solvent control</v>
      </c>
      <c r="C45" s="7" t="str">
        <f t="shared" si="28"/>
        <v>EE2-33.8ng/L</v>
      </c>
      <c r="D45" s="7" t="str">
        <f t="shared" si="28"/>
        <v>EE2-50.6ng/L</v>
      </c>
      <c r="E45" s="7" t="str">
        <f t="shared" si="28"/>
        <v>EE2-76ng/L</v>
      </c>
      <c r="F45" s="7" t="str">
        <f t="shared" si="28"/>
        <v>EE2-114ng/L</v>
      </c>
      <c r="G45" s="7" t="str">
        <f t="shared" si="28"/>
        <v>EE2-170.9ng/L</v>
      </c>
      <c r="H45" s="7" t="str">
        <f t="shared" si="28"/>
        <v>EE2-488ng/L</v>
      </c>
      <c r="I45" s="7" t="str">
        <f t="shared" si="28"/>
        <v>Prochloraz-0.063mg/L</v>
      </c>
      <c r="J45" s="7" t="str">
        <f t="shared" si="28"/>
        <v>Prochloraz-0.13mg/L</v>
      </c>
      <c r="K45" s="7" t="str">
        <f t="shared" si="28"/>
        <v>Prochloraz-0.25mg/L</v>
      </c>
      <c r="L45" s="7" t="str">
        <f t="shared" si="28"/>
        <v>Prochloraz-0.5mg/L</v>
      </c>
      <c r="M45" s="7" t="str">
        <f t="shared" si="28"/>
        <v>Prochloraz-1.0mg/L</v>
      </c>
      <c r="N45" s="7"/>
      <c r="O45" s="7" t="str">
        <f t="shared" si="28"/>
        <v>Testo -30µg/L</v>
      </c>
      <c r="P45" s="7" t="str">
        <f t="shared" si="28"/>
        <v>Testo 30µg/L + EE2 -64ng/L</v>
      </c>
      <c r="Q45" s="7" t="str">
        <f t="shared" si="28"/>
        <v>Testo 30µg/L + FAD-10mg/L</v>
      </c>
      <c r="R45" s="7" t="str">
        <f t="shared" si="28"/>
        <v>Prochloraz-0.063mg/L + Testostérone</v>
      </c>
      <c r="S45" s="7" t="str">
        <f t="shared" si="28"/>
        <v>Prochloraz-0.13mg/L + Testostérone</v>
      </c>
      <c r="T45" s="7" t="str">
        <f t="shared" si="28"/>
        <v>Prochloraz-0.25mg/L + Testostérone</v>
      </c>
      <c r="U45" s="7" t="str">
        <f t="shared" si="28"/>
        <v>Prochloraz-0.5mg/L + Testostérone</v>
      </c>
      <c r="V45" s="7" t="str">
        <f t="shared" si="28"/>
        <v>Prochloraz-1.0mg/L + Testostérone</v>
      </c>
      <c r="W45" s="7" t="str">
        <f t="shared" si="28"/>
        <v>0-00 + Testostérone</v>
      </c>
      <c r="X45" s="7" t="str">
        <f t="shared" si="28"/>
        <v>0-00 + Testostérone</v>
      </c>
      <c r="Y45" s="7" t="str">
        <f t="shared" si="28"/>
        <v>0-00 + Testostérone</v>
      </c>
      <c r="Z45" s="7" t="str">
        <f t="shared" si="28"/>
        <v>0-00 + Testostérone</v>
      </c>
      <c r="AA45" s="7" t="str">
        <f t="shared" si="28"/>
        <v>0-00 + Testostérone</v>
      </c>
      <c r="AB45" s="7" t="str">
        <f t="shared" si="28"/>
        <v>0-00 + Testostérone</v>
      </c>
      <c r="AC45" s="7" t="str">
        <f t="shared" si="28"/>
        <v>0-00 + Testostérone</v>
      </c>
      <c r="AD45" s="7" t="str">
        <f t="shared" si="28"/>
        <v>0-00 + Testostérone</v>
      </c>
      <c r="AE45" s="7" t="str">
        <f t="shared" si="28"/>
        <v>0-00 + Testostérone</v>
      </c>
      <c r="AF45" s="7" t="str">
        <f t="shared" si="28"/>
        <v>0-00 + Testostérone</v>
      </c>
      <c r="AG45" s="7" t="str">
        <f t="shared" si="28"/>
        <v>0-00 + Testostérone</v>
      </c>
      <c r="AH45" s="7" t="str">
        <f t="shared" si="28"/>
        <v>0-00 + Testostérone</v>
      </c>
      <c r="AI45" s="7" t="str">
        <f t="shared" si="28"/>
        <v>0-00 + Testostérone</v>
      </c>
      <c r="AJ45" s="7" t="str">
        <f t="shared" si="28"/>
        <v>0-00 + Testostérone</v>
      </c>
      <c r="AK45" s="7" t="str">
        <f t="shared" si="28"/>
        <v>0-00 + Testostérone</v>
      </c>
    </row>
    <row r="46" spans="1:37" x14ac:dyDescent="0.25">
      <c r="A46" s="8" t="s">
        <v>0</v>
      </c>
      <c r="B46" s="10">
        <f t="shared" ref="B46:H46" si="29">AVERAGE(B28:B43)</f>
        <v>2.4355098754176952E-2</v>
      </c>
      <c r="C46" s="10" t="e">
        <f t="shared" si="29"/>
        <v>#DIV/0!</v>
      </c>
      <c r="D46" s="10">
        <f t="shared" si="29"/>
        <v>2.9550250480529665E-2</v>
      </c>
      <c r="E46" s="10">
        <f t="shared" si="29"/>
        <v>0.27787354551608318</v>
      </c>
      <c r="F46" s="10">
        <f t="shared" si="29"/>
        <v>0.83838273745710956</v>
      </c>
      <c r="G46" s="10">
        <f t="shared" si="29"/>
        <v>1.0509611140050019</v>
      </c>
      <c r="H46" s="10">
        <f t="shared" si="29"/>
        <v>1.6435124212315921</v>
      </c>
      <c r="I46" s="10">
        <f>AVERAGE(I28:I43)</f>
        <v>1.6009028453407122E-2</v>
      </c>
      <c r="J46" s="9">
        <f>AVERAGE(J28:J43)</f>
        <v>9.8558116789264592E-3</v>
      </c>
      <c r="K46" s="9">
        <f t="shared" ref="K46:M46" si="30">AVERAGE(K28:K43)</f>
        <v>1.6017047912990322E-2</v>
      </c>
      <c r="L46" s="9">
        <f t="shared" si="30"/>
        <v>1.1313270346553656E-2</v>
      </c>
      <c r="M46" s="9">
        <f t="shared" si="30"/>
        <v>2.4890944462690742E-2</v>
      </c>
      <c r="N46" s="8" t="s">
        <v>0</v>
      </c>
      <c r="O46" s="10">
        <f t="shared" ref="O46:AK46" si="31">AVERAGE(O28:O43)</f>
        <v>1</v>
      </c>
      <c r="P46" s="10">
        <f t="shared" si="31"/>
        <v>1.2974042102891852</v>
      </c>
      <c r="Q46" s="10">
        <f t="shared" si="31"/>
        <v>8.8616486477915327E-2</v>
      </c>
      <c r="R46" s="10">
        <f t="shared" si="31"/>
        <v>0.36532721035443455</v>
      </c>
      <c r="S46" s="10">
        <f t="shared" si="31"/>
        <v>0.22614074078664337</v>
      </c>
      <c r="T46" s="10">
        <f t="shared" si="31"/>
        <v>0.14702366870591804</v>
      </c>
      <c r="U46" s="10">
        <f t="shared" si="31"/>
        <v>2.1478299889149198E-2</v>
      </c>
      <c r="V46" s="10">
        <f t="shared" si="31"/>
        <v>5.900426744606093E-2</v>
      </c>
      <c r="W46" s="10" t="e">
        <f t="shared" si="31"/>
        <v>#DIV/0!</v>
      </c>
      <c r="X46" s="10" t="e">
        <f t="shared" si="31"/>
        <v>#DIV/0!</v>
      </c>
      <c r="Y46" s="10" t="e">
        <f t="shared" si="31"/>
        <v>#DIV/0!</v>
      </c>
      <c r="Z46" s="10" t="e">
        <f t="shared" si="31"/>
        <v>#DIV/0!</v>
      </c>
      <c r="AA46" s="10" t="e">
        <f t="shared" si="31"/>
        <v>#DIV/0!</v>
      </c>
      <c r="AB46" s="10" t="e">
        <f t="shared" si="31"/>
        <v>#DIV/0!</v>
      </c>
      <c r="AC46" s="10" t="e">
        <f t="shared" si="31"/>
        <v>#DIV/0!</v>
      </c>
      <c r="AD46" s="10" t="e">
        <f t="shared" si="31"/>
        <v>#DIV/0!</v>
      </c>
      <c r="AE46" s="10" t="e">
        <f t="shared" si="31"/>
        <v>#DIV/0!</v>
      </c>
      <c r="AF46" s="10" t="e">
        <f t="shared" si="31"/>
        <v>#DIV/0!</v>
      </c>
      <c r="AG46" s="10" t="e">
        <f t="shared" si="31"/>
        <v>#DIV/0!</v>
      </c>
      <c r="AH46" s="10" t="e">
        <f t="shared" si="31"/>
        <v>#DIV/0!</v>
      </c>
      <c r="AI46" s="10" t="e">
        <f t="shared" si="31"/>
        <v>#DIV/0!</v>
      </c>
      <c r="AJ46" s="10" t="e">
        <f t="shared" si="31"/>
        <v>#DIV/0!</v>
      </c>
      <c r="AK46" s="10" t="e">
        <f t="shared" si="31"/>
        <v>#DIV/0!</v>
      </c>
    </row>
    <row r="47" spans="1:37" x14ac:dyDescent="0.25">
      <c r="A47" s="8" t="s">
        <v>1</v>
      </c>
      <c r="B47" s="8">
        <f t="shared" ref="B47:M47" si="32">STDEV(B28:B43)</f>
        <v>2.2699147608853165E-2</v>
      </c>
      <c r="C47" s="8" t="e">
        <f t="shared" si="32"/>
        <v>#DIV/0!</v>
      </c>
      <c r="D47" s="8">
        <f t="shared" si="32"/>
        <v>3.5634455455962055E-2</v>
      </c>
      <c r="E47" s="8">
        <f t="shared" si="32"/>
        <v>0.49153868133672907</v>
      </c>
      <c r="F47" s="8">
        <f t="shared" si="32"/>
        <v>0.51866323723546948</v>
      </c>
      <c r="G47" s="8">
        <f t="shared" si="32"/>
        <v>0.69093474089924178</v>
      </c>
      <c r="H47" s="8">
        <f t="shared" si="32"/>
        <v>0.50791928996929869</v>
      </c>
      <c r="I47" s="8">
        <f t="shared" si="32"/>
        <v>1.6271260591712692E-2</v>
      </c>
      <c r="J47" s="8">
        <f t="shared" si="32"/>
        <v>8.5187888191398664E-3</v>
      </c>
      <c r="K47" s="8">
        <f t="shared" si="32"/>
        <v>2.0315371035736877E-2</v>
      </c>
      <c r="L47" s="8">
        <f t="shared" si="32"/>
        <v>1.8232797632480195E-2</v>
      </c>
      <c r="M47" s="8">
        <f t="shared" si="32"/>
        <v>2.9682397980809381E-2</v>
      </c>
      <c r="N47" s="8" t="s">
        <v>1</v>
      </c>
      <c r="O47" s="8">
        <f t="shared" ref="O47:AK47" si="33">STDEV(O28:O43)</f>
        <v>0.32944970236739951</v>
      </c>
      <c r="P47" s="8">
        <f t="shared" si="33"/>
        <v>0.29730413551385532</v>
      </c>
      <c r="Q47" s="8">
        <f t="shared" si="33"/>
        <v>0.2024373379098669</v>
      </c>
      <c r="R47" s="8">
        <f t="shared" si="33"/>
        <v>0.29623602854063663</v>
      </c>
      <c r="S47" s="8">
        <f t="shared" si="33"/>
        <v>0.32204637750597276</v>
      </c>
      <c r="T47" s="8">
        <f t="shared" si="33"/>
        <v>0.16092829051443341</v>
      </c>
      <c r="U47" s="8">
        <f t="shared" si="33"/>
        <v>2.7374230308630301E-2</v>
      </c>
      <c r="V47" s="8">
        <f t="shared" si="33"/>
        <v>8.0144796397806764E-2</v>
      </c>
      <c r="W47" s="8" t="e">
        <f t="shared" si="33"/>
        <v>#DIV/0!</v>
      </c>
      <c r="X47" s="8" t="e">
        <f t="shared" si="33"/>
        <v>#DIV/0!</v>
      </c>
      <c r="Y47" s="8" t="e">
        <f t="shared" si="33"/>
        <v>#DIV/0!</v>
      </c>
      <c r="Z47" s="8" t="e">
        <f t="shared" si="33"/>
        <v>#DIV/0!</v>
      </c>
      <c r="AA47" s="8" t="e">
        <f t="shared" si="33"/>
        <v>#DIV/0!</v>
      </c>
      <c r="AB47" s="8" t="e">
        <f t="shared" si="33"/>
        <v>#DIV/0!</v>
      </c>
      <c r="AC47" s="8" t="e">
        <f t="shared" si="33"/>
        <v>#DIV/0!</v>
      </c>
      <c r="AD47" s="8" t="e">
        <f t="shared" si="33"/>
        <v>#DIV/0!</v>
      </c>
      <c r="AE47" s="8" t="e">
        <f t="shared" si="33"/>
        <v>#DIV/0!</v>
      </c>
      <c r="AF47" s="8" t="e">
        <f t="shared" si="33"/>
        <v>#DIV/0!</v>
      </c>
      <c r="AG47" s="8" t="e">
        <f t="shared" si="33"/>
        <v>#DIV/0!</v>
      </c>
      <c r="AH47" s="8" t="e">
        <f t="shared" si="33"/>
        <v>#DIV/0!</v>
      </c>
      <c r="AI47" s="8" t="e">
        <f t="shared" si="33"/>
        <v>#DIV/0!</v>
      </c>
      <c r="AJ47" s="8" t="e">
        <f t="shared" si="33"/>
        <v>#DIV/0!</v>
      </c>
      <c r="AK47" s="8" t="e">
        <f t="shared" si="33"/>
        <v>#DIV/0!</v>
      </c>
    </row>
    <row r="48" spans="1:37" x14ac:dyDescent="0.25">
      <c r="A48" s="8" t="s">
        <v>2</v>
      </c>
      <c r="B48" s="8">
        <f t="shared" ref="B48:M48" si="34" xml:space="preserve"> B47/SQRT(COUNT(B28:B43))</f>
        <v>8.0253606006872383E-3</v>
      </c>
      <c r="C48" s="8" t="e">
        <f t="shared" si="34"/>
        <v>#DIV/0!</v>
      </c>
      <c r="D48" s="8">
        <f t="shared" si="34"/>
        <v>1.2598682548400367E-2</v>
      </c>
      <c r="E48" s="8">
        <f t="shared" si="34"/>
        <v>0.1737851673943473</v>
      </c>
      <c r="F48" s="8">
        <f t="shared" si="34"/>
        <v>0.18337514610068373</v>
      </c>
      <c r="G48" s="8">
        <f t="shared" si="34"/>
        <v>0.24428232032361202</v>
      </c>
      <c r="H48" s="8">
        <f t="shared" si="34"/>
        <v>0.17957658711637373</v>
      </c>
      <c r="I48" s="8">
        <f t="shared" si="34"/>
        <v>5.7527593514267398E-3</v>
      </c>
      <c r="J48" s="8">
        <f t="shared" si="34"/>
        <v>3.2197995267030967E-3</v>
      </c>
      <c r="K48" s="8">
        <f t="shared" si="34"/>
        <v>7.1825683108451607E-3</v>
      </c>
      <c r="L48" s="8">
        <f t="shared" si="34"/>
        <v>6.4462674229643869E-3</v>
      </c>
      <c r="M48" s="8">
        <f t="shared" si="34"/>
        <v>1.0494312447054099E-2</v>
      </c>
      <c r="N48" s="8" t="s">
        <v>2</v>
      </c>
      <c r="O48" s="8">
        <f t="shared" ref="O48:AK48" si="35" xml:space="preserve"> O47/SQRT(COUNT(O28:O43))</f>
        <v>8.2362425591849878E-2</v>
      </c>
      <c r="P48" s="8">
        <f t="shared" si="35"/>
        <v>0.10511288514832567</v>
      </c>
      <c r="Q48" s="8">
        <f t="shared" si="35"/>
        <v>7.1572407200709717E-2</v>
      </c>
      <c r="R48" s="8">
        <f t="shared" si="35"/>
        <v>0.10473525230642788</v>
      </c>
      <c r="S48" s="8">
        <f t="shared" si="35"/>
        <v>0.11386058869551807</v>
      </c>
      <c r="T48" s="8">
        <f t="shared" si="35"/>
        <v>5.6896742753757307E-2</v>
      </c>
      <c r="U48" s="8">
        <f t="shared" si="35"/>
        <v>9.678251940497401E-3</v>
      </c>
      <c r="V48" s="8">
        <f t="shared" si="35"/>
        <v>2.8335464504852172E-2</v>
      </c>
      <c r="W48" s="8" t="e">
        <f t="shared" si="35"/>
        <v>#DIV/0!</v>
      </c>
      <c r="X48" s="8" t="e">
        <f t="shared" si="35"/>
        <v>#DIV/0!</v>
      </c>
      <c r="Y48" s="8" t="e">
        <f t="shared" si="35"/>
        <v>#DIV/0!</v>
      </c>
      <c r="Z48" s="8" t="e">
        <f t="shared" si="35"/>
        <v>#DIV/0!</v>
      </c>
      <c r="AA48" s="8" t="e">
        <f t="shared" si="35"/>
        <v>#DIV/0!</v>
      </c>
      <c r="AB48" s="8" t="e">
        <f t="shared" si="35"/>
        <v>#DIV/0!</v>
      </c>
      <c r="AC48" s="8" t="e">
        <f t="shared" si="35"/>
        <v>#DIV/0!</v>
      </c>
      <c r="AD48" s="8" t="e">
        <f t="shared" si="35"/>
        <v>#DIV/0!</v>
      </c>
      <c r="AE48" s="8" t="e">
        <f t="shared" si="35"/>
        <v>#DIV/0!</v>
      </c>
      <c r="AF48" s="8" t="e">
        <f t="shared" si="35"/>
        <v>#DIV/0!</v>
      </c>
      <c r="AG48" s="8" t="e">
        <f t="shared" si="35"/>
        <v>#DIV/0!</v>
      </c>
      <c r="AH48" s="8" t="e">
        <f t="shared" si="35"/>
        <v>#DIV/0!</v>
      </c>
      <c r="AI48" s="8" t="e">
        <f t="shared" si="35"/>
        <v>#DIV/0!</v>
      </c>
      <c r="AJ48" s="8" t="e">
        <f t="shared" si="35"/>
        <v>#DIV/0!</v>
      </c>
      <c r="AK48" s="8" t="e">
        <f t="shared" si="35"/>
        <v>#DIV/0!</v>
      </c>
    </row>
    <row r="49" spans="1:37"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143" t="s">
        <v>24</v>
      </c>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c r="AC50" s="144"/>
      <c r="AD50" s="144"/>
      <c r="AE50" s="144"/>
      <c r="AF50" s="144"/>
      <c r="AG50" s="144"/>
      <c r="AH50" s="144"/>
      <c r="AI50" s="144"/>
      <c r="AJ50" s="144"/>
      <c r="AK50" s="145"/>
    </row>
    <row r="51" spans="1:37" ht="15.75" thickBot="1" x14ac:dyDescent="0.3"/>
    <row r="52" spans="1:37" x14ac:dyDescent="0.25">
      <c r="A52" s="29" t="str">
        <f t="shared" ref="A52:H52" si="36">A27</f>
        <v>Noms des groupes</v>
      </c>
      <c r="B52" s="30" t="str">
        <f t="shared" si="36"/>
        <v>Solvent control</v>
      </c>
      <c r="C52" s="30" t="str">
        <f t="shared" si="36"/>
        <v>EE2-33.8ng/L</v>
      </c>
      <c r="D52" s="30" t="str">
        <f t="shared" si="36"/>
        <v>EE2-50.6ng/L</v>
      </c>
      <c r="E52" s="30" t="str">
        <f t="shared" si="36"/>
        <v>EE2-76ng/L</v>
      </c>
      <c r="F52" s="30" t="str">
        <f t="shared" si="36"/>
        <v>EE2-114ng/L</v>
      </c>
      <c r="G52" s="30" t="str">
        <f t="shared" si="36"/>
        <v>EE2-170.9ng/L</v>
      </c>
      <c r="H52" s="30" t="str">
        <f t="shared" si="36"/>
        <v>EE2-488ng/L</v>
      </c>
      <c r="I52" s="30" t="str">
        <f>I4</f>
        <v>Prochloraz-0.063mg/L</v>
      </c>
      <c r="J52" s="30" t="str">
        <f>J4</f>
        <v>Prochloraz-0.13mg/L</v>
      </c>
      <c r="K52" s="30" t="str">
        <f t="shared" ref="K52:M52" si="37">K4</f>
        <v>Prochloraz-0.25mg/L</v>
      </c>
      <c r="L52" s="30" t="str">
        <f t="shared" si="37"/>
        <v>Prochloraz-0.5mg/L</v>
      </c>
      <c r="M52" s="30" t="str">
        <f t="shared" si="37"/>
        <v>Prochloraz-1.0mg/L</v>
      </c>
      <c r="N52" s="31"/>
      <c r="O52" s="30" t="str">
        <f>O27</f>
        <v>Testo -30µg/L</v>
      </c>
      <c r="P52" s="30" t="str">
        <f>P27</f>
        <v>Testo 30µg/L + EE2 -64ng/L</v>
      </c>
      <c r="Q52" s="30" t="str">
        <f>Q27</f>
        <v>Testo 30µg/L + FAD-10mg/L</v>
      </c>
      <c r="R52" s="30" t="str">
        <f>R27</f>
        <v>Prochloraz-0.063mg/L + Testostérone</v>
      </c>
      <c r="S52" s="30" t="str">
        <f t="shared" ref="S52:AK52" si="38">S27</f>
        <v>Prochloraz-0.13mg/L + Testostérone</v>
      </c>
      <c r="T52" s="30" t="str">
        <f t="shared" si="38"/>
        <v>Prochloraz-0.25mg/L + Testostérone</v>
      </c>
      <c r="U52" s="30" t="str">
        <f t="shared" si="38"/>
        <v>Prochloraz-0.5mg/L + Testostérone</v>
      </c>
      <c r="V52" s="30" t="str">
        <f t="shared" si="38"/>
        <v>Prochloraz-1.0mg/L + Testostérone</v>
      </c>
      <c r="W52" s="30" t="str">
        <f t="shared" si="38"/>
        <v>0-00 + Testostérone</v>
      </c>
      <c r="X52" s="30" t="str">
        <f t="shared" si="38"/>
        <v>0-00 + Testostérone</v>
      </c>
      <c r="Y52" s="30" t="str">
        <f t="shared" si="38"/>
        <v>0-00 + Testostérone</v>
      </c>
      <c r="Z52" s="30" t="str">
        <f t="shared" si="38"/>
        <v>0-00 + Testostérone</v>
      </c>
      <c r="AA52" s="30" t="str">
        <f t="shared" si="38"/>
        <v>0-00 + Testostérone</v>
      </c>
      <c r="AB52" s="30" t="str">
        <f t="shared" si="38"/>
        <v>0-00 + Testostérone</v>
      </c>
      <c r="AC52" s="30" t="str">
        <f t="shared" si="38"/>
        <v>0-00 + Testostérone</v>
      </c>
      <c r="AD52" s="30" t="str">
        <f t="shared" si="38"/>
        <v>0-00 + Testostérone</v>
      </c>
      <c r="AE52" s="30" t="str">
        <f t="shared" si="38"/>
        <v>0-00 + Testostérone</v>
      </c>
      <c r="AF52" s="30" t="str">
        <f t="shared" si="38"/>
        <v>0-00 + Testostérone</v>
      </c>
      <c r="AG52" s="30" t="str">
        <f t="shared" si="38"/>
        <v>0-00 + Testostérone</v>
      </c>
      <c r="AH52" s="30" t="str">
        <f t="shared" si="38"/>
        <v>0-00 + Testostérone</v>
      </c>
      <c r="AI52" s="30" t="str">
        <f t="shared" si="38"/>
        <v>0-00 + Testostérone</v>
      </c>
      <c r="AJ52" s="30" t="str">
        <f t="shared" si="38"/>
        <v>0-00 + Testostérone</v>
      </c>
      <c r="AK52" s="30" t="str">
        <f t="shared" si="38"/>
        <v>0-00 + Testostérone</v>
      </c>
    </row>
    <row r="53" spans="1:37" s="3" customFormat="1" x14ac:dyDescent="0.25">
      <c r="A53" s="49" t="s">
        <v>15</v>
      </c>
      <c r="B53" s="83">
        <f t="shared" ref="B53:AK53" si="39">B46</f>
        <v>2.4355098754176952E-2</v>
      </c>
      <c r="C53" s="83" t="e">
        <f t="shared" si="39"/>
        <v>#DIV/0!</v>
      </c>
      <c r="D53" s="83">
        <f t="shared" si="39"/>
        <v>2.9550250480529665E-2</v>
      </c>
      <c r="E53" s="83">
        <f t="shared" si="39"/>
        <v>0.27787354551608318</v>
      </c>
      <c r="F53" s="83">
        <f t="shared" si="39"/>
        <v>0.83838273745710956</v>
      </c>
      <c r="G53" s="83">
        <f t="shared" si="39"/>
        <v>1.0509611140050019</v>
      </c>
      <c r="H53" s="83">
        <f t="shared" si="39"/>
        <v>1.6435124212315921</v>
      </c>
      <c r="I53" s="83">
        <f t="shared" si="39"/>
        <v>1.6009028453407122E-2</v>
      </c>
      <c r="J53" s="83">
        <f t="shared" si="39"/>
        <v>9.8558116789264592E-3</v>
      </c>
      <c r="K53" s="83">
        <f t="shared" si="39"/>
        <v>1.6017047912990322E-2</v>
      </c>
      <c r="L53" s="83">
        <f t="shared" si="39"/>
        <v>1.1313270346553656E-2</v>
      </c>
      <c r="M53" s="83">
        <f t="shared" si="39"/>
        <v>2.4890944462690742E-2</v>
      </c>
      <c r="N53" s="83"/>
      <c r="O53" s="83">
        <f t="shared" si="39"/>
        <v>1</v>
      </c>
      <c r="P53" s="83">
        <f t="shared" si="39"/>
        <v>1.2974042102891852</v>
      </c>
      <c r="Q53" s="83">
        <f t="shared" si="39"/>
        <v>8.8616486477915327E-2</v>
      </c>
      <c r="R53" s="83">
        <f t="shared" si="39"/>
        <v>0.36532721035443455</v>
      </c>
      <c r="S53" s="83">
        <f t="shared" si="39"/>
        <v>0.22614074078664337</v>
      </c>
      <c r="T53" s="83">
        <f t="shared" si="39"/>
        <v>0.14702366870591804</v>
      </c>
      <c r="U53" s="83">
        <f t="shared" si="39"/>
        <v>2.1478299889149198E-2</v>
      </c>
      <c r="V53" s="83">
        <f t="shared" si="39"/>
        <v>5.900426744606093E-2</v>
      </c>
      <c r="W53" s="83" t="e">
        <f t="shared" si="39"/>
        <v>#DIV/0!</v>
      </c>
      <c r="X53" s="83" t="e">
        <f t="shared" si="39"/>
        <v>#DIV/0!</v>
      </c>
      <c r="Y53" s="83" t="e">
        <f t="shared" si="39"/>
        <v>#DIV/0!</v>
      </c>
      <c r="Z53" s="83" t="e">
        <f t="shared" si="39"/>
        <v>#DIV/0!</v>
      </c>
      <c r="AA53" s="83" t="e">
        <f t="shared" si="39"/>
        <v>#DIV/0!</v>
      </c>
      <c r="AB53" s="83" t="e">
        <f t="shared" si="39"/>
        <v>#DIV/0!</v>
      </c>
      <c r="AC53" s="83" t="e">
        <f t="shared" si="39"/>
        <v>#DIV/0!</v>
      </c>
      <c r="AD53" s="83" t="e">
        <f t="shared" si="39"/>
        <v>#DIV/0!</v>
      </c>
      <c r="AE53" s="83" t="e">
        <f t="shared" si="39"/>
        <v>#DIV/0!</v>
      </c>
      <c r="AF53" s="83" t="e">
        <f t="shared" si="39"/>
        <v>#DIV/0!</v>
      </c>
      <c r="AG53" s="83" t="e">
        <f t="shared" si="39"/>
        <v>#DIV/0!</v>
      </c>
      <c r="AH53" s="83" t="e">
        <f t="shared" si="39"/>
        <v>#DIV/0!</v>
      </c>
      <c r="AI53" s="83" t="e">
        <f t="shared" si="39"/>
        <v>#DIV/0!</v>
      </c>
      <c r="AJ53" s="83" t="e">
        <f t="shared" si="39"/>
        <v>#DIV/0!</v>
      </c>
      <c r="AK53" s="83" t="e">
        <f t="shared" si="39"/>
        <v>#DIV/0!</v>
      </c>
    </row>
    <row r="54" spans="1:37" s="3" customFormat="1" x14ac:dyDescent="0.25">
      <c r="A54" s="49" t="s">
        <v>2</v>
      </c>
      <c r="B54" s="83">
        <f t="shared" ref="B54:AK54" si="40">B48</f>
        <v>8.0253606006872383E-3</v>
      </c>
      <c r="C54" s="83" t="e">
        <f t="shared" si="40"/>
        <v>#DIV/0!</v>
      </c>
      <c r="D54" s="83">
        <f t="shared" si="40"/>
        <v>1.2598682548400367E-2</v>
      </c>
      <c r="E54" s="83">
        <f t="shared" si="40"/>
        <v>0.1737851673943473</v>
      </c>
      <c r="F54" s="83">
        <f t="shared" si="40"/>
        <v>0.18337514610068373</v>
      </c>
      <c r="G54" s="83">
        <f t="shared" si="40"/>
        <v>0.24428232032361202</v>
      </c>
      <c r="H54" s="83">
        <f t="shared" si="40"/>
        <v>0.17957658711637373</v>
      </c>
      <c r="I54" s="83">
        <f t="shared" si="40"/>
        <v>5.7527593514267398E-3</v>
      </c>
      <c r="J54" s="83">
        <f t="shared" si="40"/>
        <v>3.2197995267030967E-3</v>
      </c>
      <c r="K54" s="83">
        <f t="shared" si="40"/>
        <v>7.1825683108451607E-3</v>
      </c>
      <c r="L54" s="83">
        <f t="shared" si="40"/>
        <v>6.4462674229643869E-3</v>
      </c>
      <c r="M54" s="83">
        <f t="shared" si="40"/>
        <v>1.0494312447054099E-2</v>
      </c>
      <c r="N54" s="83"/>
      <c r="O54" s="83">
        <f t="shared" si="40"/>
        <v>8.2362425591849878E-2</v>
      </c>
      <c r="P54" s="83">
        <f t="shared" si="40"/>
        <v>0.10511288514832567</v>
      </c>
      <c r="Q54" s="83">
        <f t="shared" si="40"/>
        <v>7.1572407200709717E-2</v>
      </c>
      <c r="R54" s="83">
        <f t="shared" si="40"/>
        <v>0.10473525230642788</v>
      </c>
      <c r="S54" s="83">
        <f t="shared" si="40"/>
        <v>0.11386058869551807</v>
      </c>
      <c r="T54" s="83">
        <f t="shared" si="40"/>
        <v>5.6896742753757307E-2</v>
      </c>
      <c r="U54" s="83">
        <f t="shared" si="40"/>
        <v>9.678251940497401E-3</v>
      </c>
      <c r="V54" s="83">
        <f t="shared" si="40"/>
        <v>2.8335464504852172E-2</v>
      </c>
      <c r="W54" s="83" t="e">
        <f t="shared" si="40"/>
        <v>#DIV/0!</v>
      </c>
      <c r="X54" s="83" t="e">
        <f t="shared" si="40"/>
        <v>#DIV/0!</v>
      </c>
      <c r="Y54" s="83" t="e">
        <f t="shared" si="40"/>
        <v>#DIV/0!</v>
      </c>
      <c r="Z54" s="83" t="e">
        <f t="shared" si="40"/>
        <v>#DIV/0!</v>
      </c>
      <c r="AA54" s="83" t="e">
        <f t="shared" si="40"/>
        <v>#DIV/0!</v>
      </c>
      <c r="AB54" s="83" t="e">
        <f t="shared" si="40"/>
        <v>#DIV/0!</v>
      </c>
      <c r="AC54" s="83" t="e">
        <f t="shared" si="40"/>
        <v>#DIV/0!</v>
      </c>
      <c r="AD54" s="83" t="e">
        <f t="shared" si="40"/>
        <v>#DIV/0!</v>
      </c>
      <c r="AE54" s="83" t="e">
        <f t="shared" si="40"/>
        <v>#DIV/0!</v>
      </c>
      <c r="AF54" s="83" t="e">
        <f t="shared" si="40"/>
        <v>#DIV/0!</v>
      </c>
      <c r="AG54" s="83" t="e">
        <f t="shared" si="40"/>
        <v>#DIV/0!</v>
      </c>
      <c r="AH54" s="83" t="e">
        <f t="shared" si="40"/>
        <v>#DIV/0!</v>
      </c>
      <c r="AI54" s="83" t="e">
        <f t="shared" si="40"/>
        <v>#DIV/0!</v>
      </c>
      <c r="AJ54" s="83" t="e">
        <f t="shared" si="40"/>
        <v>#DIV/0!</v>
      </c>
      <c r="AK54" s="83" t="e">
        <f t="shared" si="40"/>
        <v>#DIV/0!</v>
      </c>
    </row>
    <row r="55" spans="1:37" s="3" customFormat="1" x14ac:dyDescent="0.25">
      <c r="A55" s="49" t="s">
        <v>42</v>
      </c>
      <c r="B55" s="83">
        <f>(B53*100/$B53)-100</f>
        <v>0</v>
      </c>
      <c r="C55" s="83" t="e">
        <f t="shared" ref="C55:M55" si="41">(C53*100/$B53)-100</f>
        <v>#DIV/0!</v>
      </c>
      <c r="D55" s="83">
        <f t="shared" si="41"/>
        <v>21.330858802047487</v>
      </c>
      <c r="E55" s="83">
        <f t="shared" si="41"/>
        <v>1040.9255545245007</v>
      </c>
      <c r="F55" s="83">
        <f t="shared" si="41"/>
        <v>3342.329451911276</v>
      </c>
      <c r="G55" s="83">
        <f t="shared" si="41"/>
        <v>4215.1584997156287</v>
      </c>
      <c r="H55" s="83">
        <f t="shared" si="41"/>
        <v>6648.1246445355764</v>
      </c>
      <c r="I55" s="83">
        <f t="shared" si="41"/>
        <v>-34.26826712964349</v>
      </c>
      <c r="J55" s="83">
        <f t="shared" si="41"/>
        <v>-59.532860948731873</v>
      </c>
      <c r="K55" s="83">
        <f t="shared" si="41"/>
        <v>-34.235339898823597</v>
      </c>
      <c r="L55" s="83">
        <f t="shared" si="41"/>
        <v>-53.548657466997923</v>
      </c>
      <c r="M55" s="83">
        <f t="shared" si="41"/>
        <v>2.2001376956925327</v>
      </c>
      <c r="N55" s="83"/>
      <c r="O55" s="83">
        <f>(O53*100/$O53)-100</f>
        <v>0</v>
      </c>
      <c r="P55" s="83">
        <f t="shared" ref="P55:AK55" si="42">(P53*100/$O53)-100</f>
        <v>29.740421028918519</v>
      </c>
      <c r="Q55" s="83">
        <f t="shared" si="42"/>
        <v>-91.138351352208474</v>
      </c>
      <c r="R55" s="83">
        <f t="shared" si="42"/>
        <v>-63.467278964556542</v>
      </c>
      <c r="S55" s="83">
        <f t="shared" si="42"/>
        <v>-77.385925921335655</v>
      </c>
      <c r="T55" s="83">
        <f t="shared" si="42"/>
        <v>-85.297633129408197</v>
      </c>
      <c r="U55" s="83">
        <f t="shared" si="42"/>
        <v>-97.852170011085079</v>
      </c>
      <c r="V55" s="83">
        <f t="shared" si="42"/>
        <v>-94.099573255393906</v>
      </c>
      <c r="W55" s="83" t="e">
        <f t="shared" si="42"/>
        <v>#DIV/0!</v>
      </c>
      <c r="X55" s="83" t="e">
        <f t="shared" si="42"/>
        <v>#DIV/0!</v>
      </c>
      <c r="Y55" s="83" t="e">
        <f t="shared" si="42"/>
        <v>#DIV/0!</v>
      </c>
      <c r="Z55" s="83" t="e">
        <f t="shared" si="42"/>
        <v>#DIV/0!</v>
      </c>
      <c r="AA55" s="83" t="e">
        <f t="shared" si="42"/>
        <v>#DIV/0!</v>
      </c>
      <c r="AB55" s="83" t="e">
        <f t="shared" si="42"/>
        <v>#DIV/0!</v>
      </c>
      <c r="AC55" s="83" t="e">
        <f t="shared" si="42"/>
        <v>#DIV/0!</v>
      </c>
      <c r="AD55" s="83" t="e">
        <f t="shared" si="42"/>
        <v>#DIV/0!</v>
      </c>
      <c r="AE55" s="83" t="e">
        <f t="shared" si="42"/>
        <v>#DIV/0!</v>
      </c>
      <c r="AF55" s="83" t="e">
        <f t="shared" si="42"/>
        <v>#DIV/0!</v>
      </c>
      <c r="AG55" s="83" t="e">
        <f t="shared" si="42"/>
        <v>#DIV/0!</v>
      </c>
      <c r="AH55" s="83" t="e">
        <f t="shared" si="42"/>
        <v>#DIV/0!</v>
      </c>
      <c r="AI55" s="83" t="e">
        <f t="shared" si="42"/>
        <v>#DIV/0!</v>
      </c>
      <c r="AJ55" s="83" t="e">
        <f t="shared" si="42"/>
        <v>#DIV/0!</v>
      </c>
      <c r="AK55" s="83" t="e">
        <f t="shared" si="42"/>
        <v>#DIV/0!</v>
      </c>
    </row>
    <row r="56" spans="1:37" s="3" customFormat="1" x14ac:dyDescent="0.25">
      <c r="A56" s="49" t="s">
        <v>43</v>
      </c>
      <c r="B56" s="83" t="e">
        <f ca="1">[1]!SWTEST(B28:B43)</f>
        <v>#NAME?</v>
      </c>
      <c r="C56" s="83" t="e">
        <f ca="1">[1]!SWTEST(C28:C43)</f>
        <v>#NAME?</v>
      </c>
      <c r="D56" s="83" t="e">
        <f ca="1">[1]!SWTEST(D28:D43)</f>
        <v>#NAME?</v>
      </c>
      <c r="E56" s="83" t="e">
        <f ca="1">[1]!SWTEST(E28:E43)</f>
        <v>#NAME?</v>
      </c>
      <c r="F56" s="83" t="e">
        <f ca="1">[1]!SWTEST(F28:F43)</f>
        <v>#NAME?</v>
      </c>
      <c r="G56" s="83" t="e">
        <f ca="1">[1]!SWTEST(G28:G43)</f>
        <v>#NAME?</v>
      </c>
      <c r="H56" s="83" t="e">
        <f ca="1">[1]!SWTEST(H28:H43)</f>
        <v>#NAME?</v>
      </c>
      <c r="I56" s="83" t="e">
        <f ca="1">[1]!SWTEST(I28:I43)</f>
        <v>#NAME?</v>
      </c>
      <c r="J56" s="83" t="e">
        <f ca="1">[1]!SWTEST(J28:J43)</f>
        <v>#NAME?</v>
      </c>
      <c r="K56" s="83" t="e">
        <f ca="1">[1]!SWTEST(K28:K43)</f>
        <v>#NAME?</v>
      </c>
      <c r="L56" s="83" t="e">
        <f ca="1">[1]!SWTEST(L28:L43)</f>
        <v>#NAME?</v>
      </c>
      <c r="M56" s="83" t="e">
        <f ca="1">[1]!SWTEST(M28:M43)</f>
        <v>#NAME?</v>
      </c>
      <c r="N56" s="83"/>
      <c r="O56" s="83" t="e">
        <f ca="1">[1]!SWTEST(O28:O43)</f>
        <v>#NAME?</v>
      </c>
      <c r="P56" s="83" t="e">
        <f ca="1">[1]!SWTEST(P28:P43)</f>
        <v>#NAME?</v>
      </c>
      <c r="Q56" s="83" t="e">
        <f ca="1">[1]!SWTEST(Q28:Q43)</f>
        <v>#NAME?</v>
      </c>
      <c r="R56" s="83" t="e">
        <f ca="1">[1]!SWTEST(R28:R43)</f>
        <v>#NAME?</v>
      </c>
      <c r="S56" s="83" t="e">
        <f ca="1">[1]!SWTEST(S28:S43)</f>
        <v>#NAME?</v>
      </c>
      <c r="T56" s="83" t="e">
        <f ca="1">[1]!SWTEST(T28:T43)</f>
        <v>#NAME?</v>
      </c>
      <c r="U56" s="83" t="e">
        <f ca="1">[1]!SWTEST(U28:U43)</f>
        <v>#NAME?</v>
      </c>
      <c r="V56" s="83" t="e">
        <f ca="1">[1]!SWTEST(V28:V43)</f>
        <v>#NAME?</v>
      </c>
      <c r="W56" s="83" t="e">
        <f ca="1">[1]!SWTEST(W28:W43)</f>
        <v>#NAME?</v>
      </c>
      <c r="X56" s="83" t="e">
        <f ca="1">[1]!SWTEST(X28:X43)</f>
        <v>#NAME?</v>
      </c>
      <c r="Y56" s="83" t="e">
        <f ca="1">[1]!SWTEST(Y28:Y43)</f>
        <v>#NAME?</v>
      </c>
      <c r="Z56" s="83" t="e">
        <f ca="1">[1]!SWTEST(Z28:Z43)</f>
        <v>#NAME?</v>
      </c>
      <c r="AA56" s="83" t="e">
        <f ca="1">[1]!SWTEST(AA28:AA43)</f>
        <v>#NAME?</v>
      </c>
      <c r="AB56" s="83" t="e">
        <f ca="1">[1]!SWTEST(AB28:AB43)</f>
        <v>#NAME?</v>
      </c>
      <c r="AC56" s="83" t="e">
        <f ca="1">[1]!SWTEST(AC28:AC43)</f>
        <v>#NAME?</v>
      </c>
      <c r="AD56" s="83" t="e">
        <f ca="1">[1]!SWTEST(AD28:AD43)</f>
        <v>#NAME?</v>
      </c>
      <c r="AE56" s="83" t="e">
        <f ca="1">[1]!SWTEST(AE28:AE43)</f>
        <v>#NAME?</v>
      </c>
      <c r="AF56" s="83" t="e">
        <f ca="1">[1]!SWTEST(AF28:AF43)</f>
        <v>#NAME?</v>
      </c>
      <c r="AG56" s="83" t="e">
        <f ca="1">[1]!SWTEST(AG28:AG43)</f>
        <v>#NAME?</v>
      </c>
      <c r="AH56" s="83" t="e">
        <f ca="1">[1]!SWTEST(AH28:AH43)</f>
        <v>#NAME?</v>
      </c>
      <c r="AI56" s="83" t="e">
        <f ca="1">[1]!SWTEST(AI28:AI43)</f>
        <v>#NAME?</v>
      </c>
      <c r="AJ56" s="83" t="e">
        <f ca="1">[1]!SWTEST(AJ28:AJ43)</f>
        <v>#NAME?</v>
      </c>
      <c r="AK56" s="83" t="e">
        <f ca="1">[1]!SWTEST(AK28:AK43)</f>
        <v>#NAME?</v>
      </c>
    </row>
    <row r="57" spans="1:37" s="3" customFormat="1" x14ac:dyDescent="0.25">
      <c r="A57" s="49" t="s">
        <v>47</v>
      </c>
      <c r="B57" s="83" t="e">
        <f ca="1">IF(B56&gt;0.05,"Oui","Non")</f>
        <v>#NAME?</v>
      </c>
      <c r="C57" s="83" t="e">
        <f t="shared" ref="C57:AK57" ca="1" si="43">IF(C56&gt;0.05,"Oui","Non")</f>
        <v>#NAME?</v>
      </c>
      <c r="D57" s="83" t="e">
        <f t="shared" ca="1" si="43"/>
        <v>#NAME?</v>
      </c>
      <c r="E57" s="83" t="e">
        <f t="shared" ca="1" si="43"/>
        <v>#NAME?</v>
      </c>
      <c r="F57" s="83" t="e">
        <f t="shared" ca="1" si="43"/>
        <v>#NAME?</v>
      </c>
      <c r="G57" s="83" t="e">
        <f t="shared" ca="1" si="43"/>
        <v>#NAME?</v>
      </c>
      <c r="H57" s="83" t="e">
        <f t="shared" ca="1" si="43"/>
        <v>#NAME?</v>
      </c>
      <c r="I57" s="83" t="e">
        <f t="shared" ca="1" si="43"/>
        <v>#NAME?</v>
      </c>
      <c r="J57" s="83" t="e">
        <f t="shared" ca="1" si="43"/>
        <v>#NAME?</v>
      </c>
      <c r="K57" s="83" t="e">
        <f t="shared" ca="1" si="43"/>
        <v>#NAME?</v>
      </c>
      <c r="L57" s="83" t="e">
        <f t="shared" ca="1" si="43"/>
        <v>#NAME?</v>
      </c>
      <c r="M57" s="83" t="e">
        <f t="shared" ca="1" si="43"/>
        <v>#NAME?</v>
      </c>
      <c r="N57" s="83"/>
      <c r="O57" s="83" t="e">
        <f t="shared" ca="1" si="43"/>
        <v>#NAME?</v>
      </c>
      <c r="P57" s="83" t="e">
        <f t="shared" ca="1" si="43"/>
        <v>#NAME?</v>
      </c>
      <c r="Q57" s="83" t="e">
        <f t="shared" ca="1" si="43"/>
        <v>#NAME?</v>
      </c>
      <c r="R57" s="83" t="e">
        <f t="shared" ca="1" si="43"/>
        <v>#NAME?</v>
      </c>
      <c r="S57" s="83" t="e">
        <f t="shared" ca="1" si="43"/>
        <v>#NAME?</v>
      </c>
      <c r="T57" s="83" t="e">
        <f t="shared" ca="1" si="43"/>
        <v>#NAME?</v>
      </c>
      <c r="U57" s="83" t="e">
        <f t="shared" ca="1" si="43"/>
        <v>#NAME?</v>
      </c>
      <c r="V57" s="83" t="e">
        <f t="shared" ca="1" si="43"/>
        <v>#NAME?</v>
      </c>
      <c r="W57" s="83" t="e">
        <f t="shared" ca="1" si="43"/>
        <v>#NAME?</v>
      </c>
      <c r="X57" s="83" t="e">
        <f t="shared" ca="1" si="43"/>
        <v>#NAME?</v>
      </c>
      <c r="Y57" s="83" t="e">
        <f t="shared" ca="1" si="43"/>
        <v>#NAME?</v>
      </c>
      <c r="Z57" s="83" t="e">
        <f t="shared" ca="1" si="43"/>
        <v>#NAME?</v>
      </c>
      <c r="AA57" s="83" t="e">
        <f t="shared" ca="1" si="43"/>
        <v>#NAME?</v>
      </c>
      <c r="AB57" s="83" t="e">
        <f t="shared" ca="1" si="43"/>
        <v>#NAME?</v>
      </c>
      <c r="AC57" s="83" t="e">
        <f t="shared" ca="1" si="43"/>
        <v>#NAME?</v>
      </c>
      <c r="AD57" s="83" t="e">
        <f t="shared" ca="1" si="43"/>
        <v>#NAME?</v>
      </c>
      <c r="AE57" s="83" t="e">
        <f t="shared" ca="1" si="43"/>
        <v>#NAME?</v>
      </c>
      <c r="AF57" s="83" t="e">
        <f t="shared" ca="1" si="43"/>
        <v>#NAME?</v>
      </c>
      <c r="AG57" s="83" t="e">
        <f t="shared" ca="1" si="43"/>
        <v>#NAME?</v>
      </c>
      <c r="AH57" s="83" t="e">
        <f t="shared" ca="1" si="43"/>
        <v>#NAME?</v>
      </c>
      <c r="AI57" s="83" t="e">
        <f t="shared" ca="1" si="43"/>
        <v>#NAME?</v>
      </c>
      <c r="AJ57" s="83" t="e">
        <f t="shared" ca="1" si="43"/>
        <v>#NAME?</v>
      </c>
      <c r="AK57" s="83" t="e">
        <f t="shared" ca="1" si="43"/>
        <v>#NAME?</v>
      </c>
    </row>
    <row r="58" spans="1:37" s="3" customFormat="1" x14ac:dyDescent="0.25">
      <c r="A58" s="49"/>
      <c r="B58" s="83"/>
      <c r="C58" s="83"/>
      <c r="D58" s="83"/>
      <c r="E58" s="83"/>
      <c r="F58" s="83"/>
      <c r="G58" s="83"/>
      <c r="H58" s="83"/>
      <c r="I58" s="83"/>
      <c r="J58" s="83"/>
      <c r="K58" s="83"/>
      <c r="L58" s="83"/>
      <c r="M58" s="83"/>
      <c r="N58" s="85"/>
      <c r="O58" s="86"/>
      <c r="P58" s="83"/>
      <c r="Q58" s="83"/>
      <c r="R58" s="83"/>
      <c r="S58" s="83"/>
      <c r="T58" s="83"/>
      <c r="U58" s="83"/>
      <c r="V58" s="83"/>
      <c r="W58" s="83"/>
      <c r="X58" s="83"/>
      <c r="Y58" s="83"/>
      <c r="Z58" s="83"/>
      <c r="AA58" s="83"/>
      <c r="AB58" s="83"/>
      <c r="AC58" s="83"/>
      <c r="AD58" s="83"/>
      <c r="AE58" s="87"/>
      <c r="AF58" s="87"/>
      <c r="AG58" s="87"/>
      <c r="AH58" s="87"/>
      <c r="AI58" s="87"/>
      <c r="AJ58" s="87"/>
      <c r="AK58" s="88"/>
    </row>
    <row r="59" spans="1:37" s="3" customFormat="1" x14ac:dyDescent="0.25">
      <c r="A59" s="49" t="s">
        <v>44</v>
      </c>
      <c r="B59" s="89"/>
      <c r="C59" s="89" t="e">
        <f t="shared" ref="C59:O59" ca="1" si="44">IF($B57="Non",IF(C57="Non","MW",IF(C57="Oui","MW","")),IF($B57="Oui",IF(C57="Oui","T-Test Welch",IF(C57="Non","MW",""))))</f>
        <v>#NAME?</v>
      </c>
      <c r="D59" s="89" t="e">
        <f t="shared" ca="1" si="44"/>
        <v>#NAME?</v>
      </c>
      <c r="E59" s="89" t="e">
        <f t="shared" ca="1" si="44"/>
        <v>#NAME?</v>
      </c>
      <c r="F59" s="89" t="e">
        <f t="shared" ca="1" si="44"/>
        <v>#NAME?</v>
      </c>
      <c r="G59" s="89" t="e">
        <f t="shared" ca="1" si="44"/>
        <v>#NAME?</v>
      </c>
      <c r="H59" s="89" t="e">
        <f t="shared" ca="1" si="44"/>
        <v>#NAME?</v>
      </c>
      <c r="I59" s="89" t="e">
        <f t="shared" ca="1" si="44"/>
        <v>#NAME?</v>
      </c>
      <c r="J59" s="89" t="e">
        <f t="shared" ca="1" si="44"/>
        <v>#NAME?</v>
      </c>
      <c r="K59" s="89" t="e">
        <f t="shared" ca="1" si="44"/>
        <v>#NAME?</v>
      </c>
      <c r="L59" s="89" t="e">
        <f t="shared" ca="1" si="44"/>
        <v>#NAME?</v>
      </c>
      <c r="M59" s="89" t="e">
        <f t="shared" ca="1" si="44"/>
        <v>#NAME?</v>
      </c>
      <c r="N59" s="89"/>
      <c r="O59" s="89" t="e">
        <f t="shared" ca="1" si="44"/>
        <v>#NAME?</v>
      </c>
      <c r="P59" s="89" t="e">
        <f ca="1">IF($O57="Non",IF(P57="Non","MW",IF(P57="Oui","MW","")),IF($O57="Oui",IF(P57="Oui","T-Test Welch",IF(P57="Non","MW",""))))</f>
        <v>#NAME?</v>
      </c>
      <c r="Q59" s="89" t="e">
        <f t="shared" ref="Q59:AK59" ca="1" si="45">IF($O57="Non",IF(Q57="Non","MW",IF(Q57="Oui","MW","")),IF($O57="Oui",IF(Q57="Oui","T-Test Welch",IF(Q57="Non","MW",""))))</f>
        <v>#NAME?</v>
      </c>
      <c r="R59" s="89" t="e">
        <f t="shared" ca="1" si="45"/>
        <v>#NAME?</v>
      </c>
      <c r="S59" s="89" t="e">
        <f t="shared" ca="1" si="45"/>
        <v>#NAME?</v>
      </c>
      <c r="T59" s="89" t="e">
        <f t="shared" ca="1" si="45"/>
        <v>#NAME?</v>
      </c>
      <c r="U59" s="89" t="e">
        <f t="shared" ca="1" si="45"/>
        <v>#NAME?</v>
      </c>
      <c r="V59" s="89" t="e">
        <f t="shared" ca="1" si="45"/>
        <v>#NAME?</v>
      </c>
      <c r="W59" s="89" t="e">
        <f t="shared" ca="1" si="45"/>
        <v>#NAME?</v>
      </c>
      <c r="X59" s="89" t="e">
        <f t="shared" ca="1" si="45"/>
        <v>#NAME?</v>
      </c>
      <c r="Y59" s="89" t="e">
        <f t="shared" ca="1" si="45"/>
        <v>#NAME?</v>
      </c>
      <c r="Z59" s="89" t="e">
        <f t="shared" ca="1" si="45"/>
        <v>#NAME?</v>
      </c>
      <c r="AA59" s="89" t="e">
        <f t="shared" ca="1" si="45"/>
        <v>#NAME?</v>
      </c>
      <c r="AB59" s="89" t="e">
        <f t="shared" ca="1" si="45"/>
        <v>#NAME?</v>
      </c>
      <c r="AC59" s="89" t="e">
        <f t="shared" ca="1" si="45"/>
        <v>#NAME?</v>
      </c>
      <c r="AD59" s="89" t="e">
        <f t="shared" ca="1" si="45"/>
        <v>#NAME?</v>
      </c>
      <c r="AE59" s="89" t="e">
        <f t="shared" ca="1" si="45"/>
        <v>#NAME?</v>
      </c>
      <c r="AF59" s="89" t="e">
        <f t="shared" ca="1" si="45"/>
        <v>#NAME?</v>
      </c>
      <c r="AG59" s="89" t="e">
        <f t="shared" ca="1" si="45"/>
        <v>#NAME?</v>
      </c>
      <c r="AH59" s="89" t="e">
        <f t="shared" ca="1" si="45"/>
        <v>#NAME?</v>
      </c>
      <c r="AI59" s="89" t="e">
        <f t="shared" ca="1" si="45"/>
        <v>#NAME?</v>
      </c>
      <c r="AJ59" s="89" t="e">
        <f t="shared" ca="1" si="45"/>
        <v>#NAME?</v>
      </c>
      <c r="AK59" s="89" t="e">
        <f t="shared" ca="1" si="45"/>
        <v>#NAME?</v>
      </c>
    </row>
    <row r="60" spans="1:37" s="3" customFormat="1" x14ac:dyDescent="0.25">
      <c r="A60" s="49" t="s">
        <v>45</v>
      </c>
      <c r="B60" s="90"/>
      <c r="C60" s="90" t="e">
        <f ca="1">IF(C59="MW",[1]!MTEST($B28:$B43,C28:C43,2), IF(C59="T-Test Welch",_xlfn.T.TEST($B28:$B43,C28:C43,2,3),""))</f>
        <v>#NAME?</v>
      </c>
      <c r="D60" s="90" t="e">
        <f ca="1">IF(D59="MW",[1]!MTEST($B28:$B43,D28:D43,2), IF(D59="T-Test Welch",_xlfn.T.TEST($B28:$B43,D28:D43,2,3),""))</f>
        <v>#NAME?</v>
      </c>
      <c r="E60" s="90" t="e">
        <f ca="1">IF(E59="MW",[1]!MTEST($B28:$B43,E28:E43,2), IF(E59="T-Test Welch",_xlfn.T.TEST($B28:$B43,E28:E43,2,3),""))</f>
        <v>#NAME?</v>
      </c>
      <c r="F60" s="90" t="e">
        <f ca="1">IF(F59="MW",[1]!MTEST($B28:$B43,F28:F43,2), IF(F59="T-Test Welch",_xlfn.T.TEST($B28:$B43,F28:F43,2,3),""))</f>
        <v>#NAME?</v>
      </c>
      <c r="G60" s="90" t="e">
        <f ca="1">IF(G59="MW",[1]!MTEST($B28:$B43,G28:G43,2), IF(G59="T-Test Welch",_xlfn.T.TEST($B28:$B43,G28:G43,2,3),""))</f>
        <v>#NAME?</v>
      </c>
      <c r="H60" s="90" t="e">
        <f ca="1">IF(H59="MW",[1]!MTEST($B28:$B43,H28:H43,2), IF(H59="T-Test Welch",_xlfn.T.TEST($B28:$B43,H28:H43,2,3),""))</f>
        <v>#NAME?</v>
      </c>
      <c r="I60" s="90" t="e">
        <f ca="1">IF(I59="MW",[1]!MTEST($B28:$B43,I28:I43,2), IF(I59="T-Test Welch",_xlfn.T.TEST($B28:$B43,I28:I43,2,3),""))</f>
        <v>#NAME?</v>
      </c>
      <c r="J60" s="90" t="e">
        <f ca="1">IF(J59="MW",[1]!MTEST($B28:$B43,J28:J43,2), IF(J59="T-Test Welch",_xlfn.T.TEST($B28:$B43,J28:J43,2,3),""))</f>
        <v>#NAME?</v>
      </c>
      <c r="K60" s="90" t="e">
        <f ca="1">IF(K59="MW",[1]!MTEST($B28:$B43,K28:K43,2), IF(K59="T-Test Welch",_xlfn.T.TEST($B28:$B43,K28:K43,2,3),""))</f>
        <v>#NAME?</v>
      </c>
      <c r="L60" s="90" t="e">
        <f ca="1">IF(L59="MW",[1]!MTEST($B28:$B43,L28:L43,2), IF(L59="T-Test Welch",_xlfn.T.TEST($B28:$B43,L28:L43,2,3),""))</f>
        <v>#NAME?</v>
      </c>
      <c r="M60" s="90" t="e">
        <f ca="1">IF(M59="MW",[1]!MTEST($B28:$B43,M28:M43,2), IF(M59="T-Test Welch",_xlfn.T.TEST($B28:$B43,M28:M43,2,3),""))</f>
        <v>#NAME?</v>
      </c>
      <c r="N60" s="90"/>
      <c r="O60" s="90" t="e">
        <f ca="1">IF(O59="MW",[1]!MTEST($B28:$B43,O28:O43,2), IF(O59="T-Test Welch",_xlfn.T.TEST($B28:$B43,O28:O43,2,3),""))</f>
        <v>#NAME?</v>
      </c>
      <c r="P60" s="90" t="e">
        <f ca="1">IF(P59="MW",[1]!MTEST($O28:$O43,P28:P43,2), IF(P59="T-Test Welch",_xlfn.T.TEST($O28:$O43,P28:P43,2,3),""))</f>
        <v>#NAME?</v>
      </c>
      <c r="Q60" s="90" t="e">
        <f ca="1">IF(Q59="MW",[1]!MTEST($O28:$O43,Q28:Q43,2), IF(Q59="T-Test Welch",_xlfn.T.TEST($O28:$O43,Q28:Q43,2,3),""))</f>
        <v>#NAME?</v>
      </c>
      <c r="R60" s="90" t="e">
        <f ca="1">IF(R59="MW",[1]!MTEST($O28:$O43,R28:R43,2), IF(R59="T-Test Welch",_xlfn.T.TEST($O28:$O43,R28:R43,2,3),""))</f>
        <v>#NAME?</v>
      </c>
      <c r="S60" s="90" t="e">
        <f ca="1">IF(S59="MW",[1]!MTEST($O28:$O43,S28:S43,2), IF(S59="T-Test Welch",_xlfn.T.TEST($O28:$O43,S28:S43,2,3),""))</f>
        <v>#NAME?</v>
      </c>
      <c r="T60" s="90" t="e">
        <f ca="1">IF(T59="MW",[1]!MTEST($O28:$O43,T28:T43,2), IF(T59="T-Test Welch",_xlfn.T.TEST($O28:$O43,T28:T43,2,3),""))</f>
        <v>#NAME?</v>
      </c>
      <c r="U60" s="90" t="e">
        <f ca="1">IF(U59="MW",[1]!MTEST($O28:$O43,U28:U43,2), IF(U59="T-Test Welch",_xlfn.T.TEST($O28:$O43,U28:U43,2,3),""))</f>
        <v>#NAME?</v>
      </c>
      <c r="V60" s="90" t="e">
        <f ca="1">IF(V59="MW",[1]!MTEST($O28:$O43,V28:V43,2), IF(V59="T-Test Welch",_xlfn.T.TEST($O28:$O43,V28:V43,2,3),""))</f>
        <v>#NAME?</v>
      </c>
      <c r="W60" s="90" t="e">
        <f ca="1">IF(W59="MW",[1]!MTEST($O28:$O43,W28:W43,2), IF(W59="T-Test Welch",_xlfn.T.TEST($O28:$O43,W28:W43,2,3),""))</f>
        <v>#NAME?</v>
      </c>
      <c r="X60" s="90" t="e">
        <f ca="1">IF(X59="MW",[1]!MTEST($O28:$O43,X28:X43,2), IF(X59="T-Test Welch",_xlfn.T.TEST($O28:$O43,X28:X43,2,3),""))</f>
        <v>#NAME?</v>
      </c>
      <c r="Y60" s="90" t="e">
        <f ca="1">IF(Y59="MW",[1]!MTEST($O28:$O43,Y28:Y43,2), IF(Y59="T-Test Welch",_xlfn.T.TEST($O28:$O43,Y28:Y43,2,3),""))</f>
        <v>#NAME?</v>
      </c>
      <c r="Z60" s="90" t="e">
        <f ca="1">IF(Z59="MW",[1]!MTEST($O28:$O43,Z28:Z43,2), IF(Z59="T-Test Welch",_xlfn.T.TEST($O28:$O43,Z28:Z43,2,3),""))</f>
        <v>#NAME?</v>
      </c>
      <c r="AA60" s="90" t="e">
        <f ca="1">IF(AA59="MW",[1]!MTEST($O28:$O43,AA28:AA43,2), IF(AA59="T-Test Welch",_xlfn.T.TEST($O28:$O43,AA28:AA43,2,3),""))</f>
        <v>#NAME?</v>
      </c>
      <c r="AB60" s="90" t="e">
        <f ca="1">IF(AB59="MW",[1]!MTEST($O28:$O43,AB28:AB43,2), IF(AB59="T-Test Welch",_xlfn.T.TEST($O28:$O43,AB28:AB43,2,3),""))</f>
        <v>#NAME?</v>
      </c>
      <c r="AC60" s="90" t="e">
        <f ca="1">IF(AC59="MW",[1]!MTEST($O28:$O43,AC28:AC43,2), IF(AC59="T-Test Welch",_xlfn.T.TEST($O28:$O43,AC28:AC43,2,3),""))</f>
        <v>#NAME?</v>
      </c>
      <c r="AD60" s="90" t="e">
        <f ca="1">IF(AD59="MW",[1]!MTEST($O28:$O43,AD28:AD43,2), IF(AD59="T-Test Welch",_xlfn.T.TEST($O28:$O43,AD28:AD43,2,3),""))</f>
        <v>#NAME?</v>
      </c>
      <c r="AE60" s="90" t="e">
        <f ca="1">IF(AE59="MW",[1]!MTEST($O28:$O43,AE28:AE43,2), IF(AE59="T-Test Welch",_xlfn.T.TEST($O28:$O43,AE28:AE43,2,3),""))</f>
        <v>#NAME?</v>
      </c>
      <c r="AF60" s="90" t="e">
        <f ca="1">IF(AF59="MW",[1]!MTEST($O28:$O43,AF28:AF43,2), IF(AF59="T-Test Welch",_xlfn.T.TEST($O28:$O43,AF28:AF43,2,3),""))</f>
        <v>#NAME?</v>
      </c>
      <c r="AG60" s="90" t="e">
        <f ca="1">IF(AG59="MW",[1]!MTEST($O28:$O43,AG28:AG43,2), IF(AG59="T-Test Welch",_xlfn.T.TEST($O28:$O43,AG28:AG43,2,3),""))</f>
        <v>#NAME?</v>
      </c>
      <c r="AH60" s="90" t="e">
        <f ca="1">IF(AH59="MW",[1]!MTEST($O28:$O43,AH28:AH43,2), IF(AH59="T-Test Welch",_xlfn.T.TEST($O28:$O43,AH28:AH43,2,3),""))</f>
        <v>#NAME?</v>
      </c>
      <c r="AI60" s="90" t="e">
        <f ca="1">IF(AI59="MW",[1]!MTEST($O28:$O43,AI28:AI43,2), IF(AI59="T-Test Welch",_xlfn.T.TEST($O28:$O43,AI28:AI43,2,3),""))</f>
        <v>#NAME?</v>
      </c>
      <c r="AJ60" s="90" t="e">
        <f ca="1">IF(AJ59="MW",[1]!MTEST($O28:$O43,AJ28:AJ43,2), IF(AJ59="T-Test Welch",_xlfn.T.TEST($O28:$O43,AJ28:AJ43,2,3),""))</f>
        <v>#NAME?</v>
      </c>
      <c r="AK60" s="90" t="e">
        <f ca="1">IF(AK59="MW",[1]!MTEST($O28:$O43,AK28:AK43,2), IF(AK59="T-Test Welch",_xlfn.T.TEST($O28:$O43,AK28:AK43,2,3),""))</f>
        <v>#NAME?</v>
      </c>
    </row>
    <row r="61" spans="1:37" s="3" customFormat="1" ht="15.75" thickBot="1" x14ac:dyDescent="0.3">
      <c r="A61" s="50" t="s">
        <v>46</v>
      </c>
      <c r="B61" s="84"/>
      <c r="C61" s="84" t="e">
        <f t="shared" ref="C61:O61" ca="1" si="46">IF(C60&gt;0.05,"NS",IF(C60&gt;0.01,"*",IF(C60&gt;0.001,"**","***")))</f>
        <v>#NAME?</v>
      </c>
      <c r="D61" s="84" t="e">
        <f t="shared" ca="1" si="46"/>
        <v>#NAME?</v>
      </c>
      <c r="E61" s="84" t="e">
        <f t="shared" ca="1" si="46"/>
        <v>#NAME?</v>
      </c>
      <c r="F61" s="84" t="e">
        <f t="shared" ca="1" si="46"/>
        <v>#NAME?</v>
      </c>
      <c r="G61" s="84" t="e">
        <f t="shared" ca="1" si="46"/>
        <v>#NAME?</v>
      </c>
      <c r="H61" s="84" t="e">
        <f t="shared" ca="1" si="46"/>
        <v>#NAME?</v>
      </c>
      <c r="I61" s="84" t="e">
        <f t="shared" ca="1" si="46"/>
        <v>#NAME?</v>
      </c>
      <c r="J61" s="84" t="e">
        <f t="shared" ca="1" si="46"/>
        <v>#NAME?</v>
      </c>
      <c r="K61" s="84" t="e">
        <f t="shared" ca="1" si="46"/>
        <v>#NAME?</v>
      </c>
      <c r="L61" s="84" t="e">
        <f t="shared" ca="1" si="46"/>
        <v>#NAME?</v>
      </c>
      <c r="M61" s="84" t="e">
        <f t="shared" ca="1" si="46"/>
        <v>#NAME?</v>
      </c>
      <c r="N61" s="84"/>
      <c r="O61" s="84" t="e">
        <f t="shared" ca="1" si="46"/>
        <v>#NAME?</v>
      </c>
      <c r="P61" s="84" t="e">
        <f ca="1">IF(P60&gt;0.05,"NS",IF(P60&gt;0.01,"*",IF(P60&gt;0.001,"**","***")))</f>
        <v>#NAME?</v>
      </c>
      <c r="Q61" s="84" t="e">
        <f t="shared" ref="Q61:AK61" ca="1" si="47">IF(Q60&gt;0.05,"NS",IF(Q60&gt;0.01,"*",IF(Q60&gt;0.001,"**","***")))</f>
        <v>#NAME?</v>
      </c>
      <c r="R61" s="84" t="e">
        <f t="shared" ca="1" si="47"/>
        <v>#NAME?</v>
      </c>
      <c r="S61" s="84" t="e">
        <f t="shared" ca="1" si="47"/>
        <v>#NAME?</v>
      </c>
      <c r="T61" s="84" t="e">
        <f t="shared" ca="1" si="47"/>
        <v>#NAME?</v>
      </c>
      <c r="U61" s="84" t="e">
        <f t="shared" ca="1" si="47"/>
        <v>#NAME?</v>
      </c>
      <c r="V61" s="84" t="e">
        <f t="shared" ca="1" si="47"/>
        <v>#NAME?</v>
      </c>
      <c r="W61" s="84" t="e">
        <f t="shared" ca="1" si="47"/>
        <v>#NAME?</v>
      </c>
      <c r="X61" s="84" t="e">
        <f t="shared" ca="1" si="47"/>
        <v>#NAME?</v>
      </c>
      <c r="Y61" s="84" t="e">
        <f t="shared" ca="1" si="47"/>
        <v>#NAME?</v>
      </c>
      <c r="Z61" s="84" t="e">
        <f t="shared" ca="1" si="47"/>
        <v>#NAME?</v>
      </c>
      <c r="AA61" s="84" t="e">
        <f t="shared" ca="1" si="47"/>
        <v>#NAME?</v>
      </c>
      <c r="AB61" s="84" t="e">
        <f t="shared" ca="1" si="47"/>
        <v>#NAME?</v>
      </c>
      <c r="AC61" s="84" t="e">
        <f t="shared" ca="1" si="47"/>
        <v>#NAME?</v>
      </c>
      <c r="AD61" s="84" t="e">
        <f t="shared" ca="1" si="47"/>
        <v>#NAME?</v>
      </c>
      <c r="AE61" s="84" t="e">
        <f t="shared" ca="1" si="47"/>
        <v>#NAME?</v>
      </c>
      <c r="AF61" s="84" t="e">
        <f t="shared" ca="1" si="47"/>
        <v>#NAME?</v>
      </c>
      <c r="AG61" s="84" t="e">
        <f t="shared" ca="1" si="47"/>
        <v>#NAME?</v>
      </c>
      <c r="AH61" s="84" t="e">
        <f t="shared" ca="1" si="47"/>
        <v>#NAME?</v>
      </c>
      <c r="AI61" s="84" t="e">
        <f t="shared" ca="1" si="47"/>
        <v>#NAME?</v>
      </c>
      <c r="AJ61" s="84" t="e">
        <f t="shared" ca="1" si="47"/>
        <v>#NAME?</v>
      </c>
      <c r="AK61" s="84" t="e">
        <f t="shared" ca="1" si="47"/>
        <v>#NAME?</v>
      </c>
    </row>
    <row r="63" spans="1:37" x14ac:dyDescent="0.25">
      <c r="A63" s="2" t="s">
        <v>20</v>
      </c>
    </row>
    <row r="64" spans="1:37" x14ac:dyDescent="0.25">
      <c r="A64" s="1" t="s">
        <v>13</v>
      </c>
      <c r="B64" s="1">
        <f>B46+(3*B47)</f>
        <v>9.2452541580736444E-2</v>
      </c>
    </row>
    <row r="65" spans="1:37" x14ac:dyDescent="0.25">
      <c r="A65" s="1" t="s">
        <v>14</v>
      </c>
      <c r="B65" s="1">
        <f>B46+(10*B47)</f>
        <v>0.25134657484270861</v>
      </c>
    </row>
    <row r="66" spans="1:37" ht="15.75" thickBot="1" x14ac:dyDescent="0.3"/>
    <row r="67" spans="1:37" ht="27" thickBot="1" x14ac:dyDescent="0.45">
      <c r="A67" s="143" t="s">
        <v>25</v>
      </c>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c r="AA67" s="144"/>
      <c r="AB67" s="144"/>
      <c r="AC67" s="144"/>
      <c r="AD67" s="144"/>
      <c r="AE67" s="144"/>
      <c r="AF67" s="144"/>
      <c r="AG67" s="144"/>
      <c r="AH67" s="144"/>
      <c r="AI67" s="144"/>
      <c r="AJ67" s="144"/>
      <c r="AK67" s="145"/>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0" name="Plage1"/>
    <protectedRange sqref="B51:J51" name="Plage2_1"/>
    <protectedRange sqref="O5:O20 B5:J20" name="Plage1_1"/>
  </protectedRanges>
  <mergeCells count="9">
    <mergeCell ref="A28:A43"/>
    <mergeCell ref="A50:AK50"/>
    <mergeCell ref="A67:AK67"/>
    <mergeCell ref="A1:AK1"/>
    <mergeCell ref="B3:M3"/>
    <mergeCell ref="O3:AK3"/>
    <mergeCell ref="A5:A20"/>
    <mergeCell ref="B26:M26"/>
    <mergeCell ref="O26:AK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C93"/>
  <sheetViews>
    <sheetView showGridLines="0" topLeftCell="AF16" zoomScale="70" zoomScaleNormal="70" workbookViewId="0">
      <selection activeCell="AL84" sqref="AL84"/>
    </sheetView>
  </sheetViews>
  <sheetFormatPr defaultColWidth="11.42578125" defaultRowHeight="15" x14ac:dyDescent="0.25"/>
  <cols>
    <col min="1" max="1" width="42.85546875" customWidth="1"/>
    <col min="2" max="2" width="14" bestFit="1" customWidth="1"/>
    <col min="3" max="20" width="22.7109375" bestFit="1" customWidth="1"/>
    <col min="21" max="23" width="22.7109375" customWidth="1"/>
    <col min="24" max="28" width="22.7109375" style="1" customWidth="1"/>
    <col min="29" max="29" width="22.7109375" customWidth="1"/>
    <col min="30" max="30" width="8.42578125" customWidth="1"/>
    <col min="31" max="31" width="22.7109375" customWidth="1"/>
    <col min="34" max="46" width="29.140625" customWidth="1"/>
    <col min="47" max="52" width="29.140625" style="1" customWidth="1"/>
    <col min="53" max="53" width="29.140625" customWidth="1"/>
  </cols>
  <sheetData>
    <row r="1" spans="1:53" s="1" customFormat="1" ht="21.75" thickBot="1" x14ac:dyDescent="0.3">
      <c r="A1" s="22" t="s">
        <v>7</v>
      </c>
      <c r="B1" s="41" t="e">
        <f>'Front page'!#REF!</f>
        <v>#REF!</v>
      </c>
      <c r="C1" s="23"/>
      <c r="D1" s="23"/>
      <c r="E1" s="23"/>
      <c r="F1" s="23"/>
      <c r="G1" s="23"/>
      <c r="H1" s="42"/>
      <c r="I1" s="41"/>
      <c r="J1" s="43"/>
      <c r="K1" s="43"/>
      <c r="L1" s="43"/>
      <c r="M1" s="43"/>
      <c r="N1" s="43"/>
      <c r="O1" s="43"/>
      <c r="P1" s="43"/>
      <c r="Q1" s="43"/>
      <c r="R1" s="43"/>
      <c r="S1" s="43"/>
      <c r="T1" s="43"/>
      <c r="U1" s="43"/>
      <c r="V1" s="44"/>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5"/>
    </row>
    <row r="2" spans="1:53" ht="15.75" thickBot="1" x14ac:dyDescent="0.3">
      <c r="A2" s="1"/>
      <c r="B2" s="1"/>
      <c r="C2" s="1"/>
      <c r="D2" s="1"/>
      <c r="E2" s="1"/>
      <c r="F2" s="1"/>
      <c r="G2" s="1"/>
      <c r="H2" s="1"/>
      <c r="I2" s="1"/>
      <c r="J2" s="1"/>
      <c r="K2" s="1"/>
      <c r="L2" s="1"/>
      <c r="M2" s="1"/>
      <c r="N2" s="1"/>
      <c r="O2" s="1"/>
      <c r="P2" s="1"/>
    </row>
    <row r="3" spans="1:53" s="18" customFormat="1" ht="15.75" thickBot="1" x14ac:dyDescent="0.3">
      <c r="B3" s="150" t="s">
        <v>6</v>
      </c>
      <c r="C3" s="151"/>
      <c r="D3" s="151"/>
      <c r="E3" s="151"/>
      <c r="F3" s="151"/>
      <c r="G3" s="151"/>
      <c r="H3" s="151"/>
      <c r="I3" s="151"/>
      <c r="J3" s="151"/>
      <c r="K3" s="151"/>
      <c r="L3" s="151"/>
      <c r="M3" s="151"/>
      <c r="N3" s="151"/>
      <c r="O3" s="151"/>
      <c r="P3" s="151"/>
      <c r="Q3" s="151"/>
      <c r="R3" s="151"/>
      <c r="S3" s="151"/>
      <c r="T3" s="151"/>
      <c r="U3" s="151"/>
      <c r="V3" s="151"/>
      <c r="W3" s="151"/>
      <c r="X3" s="151"/>
      <c r="Y3" s="151"/>
      <c r="Z3" s="151"/>
      <c r="AA3" s="151"/>
      <c r="AB3" s="151"/>
      <c r="AC3" s="152"/>
      <c r="AD3" s="59"/>
      <c r="AE3" s="150" t="s">
        <v>3</v>
      </c>
      <c r="AF3" s="151"/>
      <c r="AG3" s="151"/>
      <c r="AH3" s="151"/>
      <c r="AI3" s="151"/>
      <c r="AJ3" s="151"/>
      <c r="AK3" s="151"/>
      <c r="AL3" s="151"/>
      <c r="AM3" s="151"/>
      <c r="AN3" s="151"/>
      <c r="AO3" s="151"/>
      <c r="AP3" s="151"/>
      <c r="AQ3" s="151"/>
      <c r="AR3" s="151"/>
      <c r="AS3" s="151"/>
      <c r="AT3" s="151"/>
      <c r="AU3" s="151"/>
      <c r="AV3" s="151"/>
      <c r="AW3" s="151"/>
      <c r="AX3" s="151"/>
      <c r="AY3" s="151"/>
      <c r="AZ3" s="151"/>
      <c r="BA3" s="152"/>
    </row>
    <row r="4" spans="1:53" x14ac:dyDescent="0.25">
      <c r="A4" s="19" t="s">
        <v>22</v>
      </c>
      <c r="B4" s="20" t="str">
        <f>'R1'!B4</f>
        <v>Solvent control</v>
      </c>
      <c r="C4" s="20" t="str">
        <f>'R1'!C4</f>
        <v>EE2-33.8ng/L</v>
      </c>
      <c r="D4" s="20" t="str">
        <f>'R1'!D4</f>
        <v>EE2-50.6ng/L</v>
      </c>
      <c r="E4" s="20" t="str">
        <f>'R1'!E4</f>
        <v>EE2-76ng/L</v>
      </c>
      <c r="F4" s="20" t="str">
        <f>'R1'!F4</f>
        <v>EE2-114ng/L</v>
      </c>
      <c r="G4" s="20" t="str">
        <f>'R1'!G4</f>
        <v>EE2-170.9ng/L</v>
      </c>
      <c r="H4" s="20" t="str">
        <f>'R1'!H4</f>
        <v>EE2-488ng/L</v>
      </c>
      <c r="I4" s="20" t="str">
        <f>'R1'!I4</f>
        <v>Prochloraz-0.063mg/L</v>
      </c>
      <c r="J4" s="20" t="str">
        <f>'R1'!J4</f>
        <v>Prochloraz-0.13mg/L</v>
      </c>
      <c r="K4" s="20" t="str">
        <f>'R1'!K4</f>
        <v>Prochloraz-0.25mg/L</v>
      </c>
      <c r="L4" s="20" t="str">
        <f>'R1'!L4</f>
        <v>Prochloraz-0.5mg/L</v>
      </c>
      <c r="M4" s="20" t="str">
        <f>'R1'!M4</f>
        <v>Prochloraz-1.0mg/L</v>
      </c>
      <c r="N4" s="20" t="e">
        <f>'R1'!#REF!</f>
        <v>#REF!</v>
      </c>
      <c r="O4" s="20" t="e">
        <f>'R1'!#REF!</f>
        <v>#REF!</v>
      </c>
      <c r="P4" s="20" t="e">
        <f>'R1'!#REF!</f>
        <v>#REF!</v>
      </c>
      <c r="Q4" s="20" t="e">
        <f>'R1'!#REF!</f>
        <v>#REF!</v>
      </c>
      <c r="R4" s="20" t="e">
        <f>'R1'!#REF!</f>
        <v>#REF!</v>
      </c>
      <c r="S4" s="20" t="e">
        <f>'R1'!#REF!</f>
        <v>#REF!</v>
      </c>
      <c r="T4" s="20" t="e">
        <f>'R1'!#REF!</f>
        <v>#REF!</v>
      </c>
      <c r="U4" s="20" t="e">
        <f>'R1'!#REF!</f>
        <v>#REF!</v>
      </c>
      <c r="V4" s="20" t="e">
        <f>'R1'!#REF!</f>
        <v>#REF!</v>
      </c>
      <c r="W4" s="20" t="e">
        <f>'R1'!#REF!</f>
        <v>#REF!</v>
      </c>
      <c r="X4" s="20" t="e">
        <f>'R1'!#REF!</f>
        <v>#REF!</v>
      </c>
      <c r="Y4" s="20" t="e">
        <f>'R1'!#REF!</f>
        <v>#REF!</v>
      </c>
      <c r="Z4" s="20" t="e">
        <f>'R1'!#REF!</f>
        <v>#REF!</v>
      </c>
      <c r="AA4" s="20" t="e">
        <f>'R1'!#REF!</f>
        <v>#REF!</v>
      </c>
      <c r="AB4" s="20" t="e">
        <f>'R1'!#REF!</f>
        <v>#REF!</v>
      </c>
      <c r="AC4" s="20" t="e">
        <f>'R1'!#REF!</f>
        <v>#REF!</v>
      </c>
      <c r="AE4" s="20" t="str">
        <f>'R1'!O4</f>
        <v>Testo -30µg/L</v>
      </c>
      <c r="AF4" s="20" t="str">
        <f>'R1'!P4</f>
        <v>Testo 30µg/L + EE2 -64ng/L</v>
      </c>
      <c r="AG4" s="20" t="str">
        <f>'R1'!Q4</f>
        <v>Testo 30µg/L + FAD-10mg/L</v>
      </c>
      <c r="AH4" s="20" t="str">
        <f>'R1'!R4</f>
        <v>Prochloraz-0.063mg/L + Testostérone</v>
      </c>
      <c r="AI4" s="20" t="str">
        <f>'R1'!S4</f>
        <v>Prochloraz-0.13mg/L + Testostérone</v>
      </c>
      <c r="AJ4" s="20" t="str">
        <f>'R1'!T4</f>
        <v>Prochloraz-0.25mg/L + Testostérone</v>
      </c>
      <c r="AK4" s="20" t="str">
        <f>'R1'!U4</f>
        <v>Prochloraz-0.5mg/L + Testostérone</v>
      </c>
      <c r="AL4" s="20" t="str">
        <f>'R1'!V4</f>
        <v>Prochloraz-1.0mg/L + Testostérone</v>
      </c>
      <c r="AM4" s="20" t="str">
        <f>'R1'!W4</f>
        <v>0-00 + Testostérone</v>
      </c>
      <c r="AN4" s="20" t="str">
        <f>'R1'!X4</f>
        <v>0-00 + Testostérone</v>
      </c>
      <c r="AO4" s="20" t="str">
        <f>'R1'!Y4</f>
        <v>0-00 + Testostérone</v>
      </c>
      <c r="AP4" s="20" t="str">
        <f>'R1'!Z4</f>
        <v>0-00 + Testostérone</v>
      </c>
      <c r="AQ4" s="20" t="str">
        <f>'R1'!AA4</f>
        <v>0-00 + Testostérone</v>
      </c>
      <c r="AR4" s="20" t="str">
        <f>'R1'!AB4</f>
        <v>0-00 + Testostérone</v>
      </c>
      <c r="AS4" s="20" t="str">
        <f>'R1'!AC4</f>
        <v>0-00 + Testostérone</v>
      </c>
      <c r="AT4" s="20" t="str">
        <f>'R1'!AD4</f>
        <v>0-00 + Testostérone</v>
      </c>
      <c r="AU4" s="20" t="str">
        <f>'R1'!AE4</f>
        <v>0-00 + Testostérone</v>
      </c>
      <c r="AV4" s="20" t="str">
        <f>'R1'!AF4</f>
        <v>0-00 + Testostérone</v>
      </c>
      <c r="AW4" s="20" t="str">
        <f>'R1'!AG4</f>
        <v>0-00 + Testostérone</v>
      </c>
      <c r="AX4" s="20" t="str">
        <f>'R1'!AH4</f>
        <v>0-00 + Testostérone</v>
      </c>
      <c r="AY4" s="20" t="str">
        <f>'R1'!AI4</f>
        <v>0-00 + Testostérone</v>
      </c>
      <c r="AZ4" s="20" t="str">
        <f>'R1'!AJ4</f>
        <v>0-00 + Testostérone</v>
      </c>
      <c r="BA4" s="20" t="str">
        <f>'R1'!AK4</f>
        <v>0-00 + Testostérone</v>
      </c>
    </row>
    <row r="5" spans="1:53" s="1" customFormat="1" x14ac:dyDescent="0.25">
      <c r="A5" s="19"/>
      <c r="B5" s="20"/>
      <c r="C5" s="122"/>
      <c r="D5" s="20"/>
      <c r="E5" s="20"/>
      <c r="F5" s="20"/>
      <c r="G5" s="20"/>
      <c r="H5" s="20"/>
      <c r="I5" s="20"/>
      <c r="J5" s="20"/>
      <c r="K5" s="20"/>
      <c r="L5" s="20"/>
      <c r="M5" s="20"/>
      <c r="N5" s="20"/>
      <c r="O5" s="20"/>
      <c r="P5" s="20"/>
      <c r="Q5" s="20"/>
      <c r="R5" s="20"/>
      <c r="S5" s="20"/>
      <c r="T5" s="20"/>
      <c r="U5" s="20"/>
      <c r="V5" s="20"/>
      <c r="W5" s="20"/>
      <c r="X5" s="20"/>
      <c r="Y5" s="20"/>
      <c r="Z5" s="20"/>
      <c r="AA5" s="20"/>
      <c r="AB5" s="20"/>
      <c r="AC5" s="20"/>
      <c r="AE5" s="20"/>
      <c r="AF5" s="20"/>
      <c r="AG5" s="20"/>
      <c r="AH5" s="20"/>
      <c r="AI5" s="20"/>
      <c r="AJ5" s="20"/>
      <c r="AK5" s="20"/>
      <c r="AL5" s="20"/>
      <c r="AM5" s="20"/>
      <c r="AN5" s="20"/>
      <c r="AO5" s="20"/>
      <c r="AP5" s="20"/>
      <c r="AQ5" s="20"/>
      <c r="AR5" s="20"/>
      <c r="AS5" s="20"/>
      <c r="AT5" s="20"/>
      <c r="AU5" s="20"/>
      <c r="AV5" s="20"/>
      <c r="AW5" s="20"/>
      <c r="AX5" s="20"/>
      <c r="AY5" s="20"/>
      <c r="AZ5" s="20"/>
      <c r="BA5" s="20"/>
    </row>
    <row r="6" spans="1:53" s="1" customFormat="1" x14ac:dyDescent="0.25">
      <c r="A6" s="58" t="s">
        <v>4</v>
      </c>
      <c r="B6" s="39">
        <f>'R1'!B28</f>
        <v>0</v>
      </c>
      <c r="C6" s="39">
        <f>'R1'!C28</f>
        <v>0</v>
      </c>
      <c r="D6" s="39">
        <f>'R1'!D28</f>
        <v>0</v>
      </c>
      <c r="E6" s="39">
        <f>'R1'!E28</f>
        <v>0</v>
      </c>
      <c r="F6" s="39">
        <f>'R1'!F28</f>
        <v>6.8728557440903195E-3</v>
      </c>
      <c r="G6" s="39">
        <f>'R1'!G28</f>
        <v>1.3520239324114705</v>
      </c>
      <c r="H6" s="39">
        <f>'R1'!H28</f>
        <v>1.2824781507441592</v>
      </c>
      <c r="I6" s="39">
        <f>'R1'!I28</f>
        <v>0</v>
      </c>
      <c r="J6" s="39">
        <f>'R1'!J28</f>
        <v>0</v>
      </c>
      <c r="K6" s="39">
        <f>'R1'!K28</f>
        <v>0</v>
      </c>
      <c r="L6" s="39">
        <f>'R1'!L28</f>
        <v>0</v>
      </c>
      <c r="M6" s="39">
        <f>'R1'!M28</f>
        <v>1.6679546460984948E-2</v>
      </c>
      <c r="N6" s="39" t="e">
        <f>'R1'!#REF!</f>
        <v>#REF!</v>
      </c>
      <c r="O6" s="39" t="e">
        <f>'R1'!#REF!</f>
        <v>#REF!</v>
      </c>
      <c r="P6" s="39" t="e">
        <f>'R1'!#REF!</f>
        <v>#REF!</v>
      </c>
      <c r="Q6" s="39" t="e">
        <f>'R1'!#REF!</f>
        <v>#REF!</v>
      </c>
      <c r="R6" s="39" t="e">
        <f>'R1'!#REF!</f>
        <v>#REF!</v>
      </c>
      <c r="S6" s="39" t="e">
        <f>'R1'!#REF!</f>
        <v>#REF!</v>
      </c>
      <c r="T6" s="39" t="e">
        <f>'R1'!#REF!</f>
        <v>#REF!</v>
      </c>
      <c r="U6" s="39" t="e">
        <f>'R1'!#REF!</f>
        <v>#REF!</v>
      </c>
      <c r="V6" s="39" t="e">
        <f>'R1'!#REF!</f>
        <v>#REF!</v>
      </c>
      <c r="W6" s="39" t="e">
        <f>'R1'!#REF!</f>
        <v>#REF!</v>
      </c>
      <c r="X6" s="39" t="e">
        <f>'R1'!#REF!</f>
        <v>#REF!</v>
      </c>
      <c r="Y6" s="39" t="e">
        <f>'R1'!#REF!</f>
        <v>#REF!</v>
      </c>
      <c r="Z6" s="39" t="e">
        <f>'R1'!#REF!</f>
        <v>#REF!</v>
      </c>
      <c r="AA6" s="39" t="e">
        <f>'R1'!#REF!</f>
        <v>#REF!</v>
      </c>
      <c r="AB6" s="39" t="e">
        <f>'R1'!#REF!</f>
        <v>#REF!</v>
      </c>
      <c r="AC6" s="39" t="e">
        <f>'R1'!#REF!</f>
        <v>#REF!</v>
      </c>
      <c r="AD6"/>
      <c r="AE6" s="39">
        <f>'R1'!O28</f>
        <v>0</v>
      </c>
      <c r="AF6" s="39">
        <f>'R1'!P28</f>
        <v>1.8817650204535901</v>
      </c>
      <c r="AG6" s="39">
        <f>'R1'!Q28</f>
        <v>0</v>
      </c>
      <c r="AH6" s="39">
        <f>'R1'!R28</f>
        <v>8.9600464183360595E-2</v>
      </c>
      <c r="AI6" s="39">
        <f>'R1'!S28</f>
        <v>0</v>
      </c>
      <c r="AJ6" s="39">
        <f>'R1'!T28</f>
        <v>1.3075587622526173E-3</v>
      </c>
      <c r="AK6" s="39">
        <f>'R1'!U28</f>
        <v>0</v>
      </c>
      <c r="AL6" s="39">
        <f>'R1'!V28</f>
        <v>4.4718509669039508E-2</v>
      </c>
      <c r="AM6" s="39" t="str">
        <f>'R1'!W28</f>
        <v/>
      </c>
      <c r="AN6" s="39" t="str">
        <f>'R1'!X28</f>
        <v/>
      </c>
      <c r="AO6" s="39" t="str">
        <f>'R1'!Y28</f>
        <v/>
      </c>
      <c r="AP6" s="39" t="str">
        <f>'R1'!Z28</f>
        <v/>
      </c>
      <c r="AQ6" s="39" t="str">
        <f>'R1'!AA28</f>
        <v/>
      </c>
      <c r="AR6" s="39" t="str">
        <f>'R1'!AB28</f>
        <v/>
      </c>
      <c r="AS6" s="39" t="str">
        <f>'R1'!AC28</f>
        <v/>
      </c>
      <c r="AT6" s="39" t="str">
        <f>'R1'!AD28</f>
        <v/>
      </c>
      <c r="AU6" s="39" t="str">
        <f>'R1'!AE28</f>
        <v/>
      </c>
      <c r="AV6" s="39" t="str">
        <f>'R1'!AF28</f>
        <v/>
      </c>
      <c r="AW6" s="39" t="str">
        <f>'R1'!AG28</f>
        <v/>
      </c>
      <c r="AX6" s="39" t="str">
        <f>'R1'!AH28</f>
        <v/>
      </c>
      <c r="AY6" s="39" t="str">
        <f>'R1'!AI28</f>
        <v/>
      </c>
      <c r="AZ6" s="39" t="str">
        <f>'R1'!AJ28</f>
        <v/>
      </c>
      <c r="BA6" s="39" t="str">
        <f>'R1'!AK28</f>
        <v/>
      </c>
    </row>
    <row r="7" spans="1:53" s="1" customFormat="1" x14ac:dyDescent="0.25">
      <c r="A7" s="155" t="s">
        <v>17</v>
      </c>
      <c r="B7" s="39">
        <f>'R1'!B29</f>
        <v>3.3751360550645683E-3</v>
      </c>
      <c r="C7" s="39">
        <f>'R1'!C29</f>
        <v>3.2852413901597009E-3</v>
      </c>
      <c r="D7" s="39">
        <f>'R1'!D29</f>
        <v>0</v>
      </c>
      <c r="E7" s="39">
        <f>'R1'!E29</f>
        <v>0</v>
      </c>
      <c r="F7" s="39">
        <f>'R1'!F29</f>
        <v>1.0466272390028435</v>
      </c>
      <c r="G7" s="39">
        <f>'R1'!G29</f>
        <v>2.1762027369860872</v>
      </c>
      <c r="H7" s="39">
        <f>'R1'!H29</f>
        <v>2.3434721916472534</v>
      </c>
      <c r="I7" s="39">
        <f>'R1'!I29</f>
        <v>0</v>
      </c>
      <c r="J7" s="39">
        <f>'R1'!J29</f>
        <v>0</v>
      </c>
      <c r="K7" s="39">
        <f>'R1'!K29</f>
        <v>0</v>
      </c>
      <c r="L7" s="39">
        <f>'R1'!L29</f>
        <v>6.5377938112630863E-4</v>
      </c>
      <c r="M7" s="39">
        <f>'R1'!M29</f>
        <v>6.8728557440903195E-3</v>
      </c>
      <c r="N7" s="39" t="e">
        <f>'R1'!#REF!</f>
        <v>#REF!</v>
      </c>
      <c r="O7" s="39" t="e">
        <f>'R1'!#REF!</f>
        <v>#REF!</v>
      </c>
      <c r="P7" s="39" t="e">
        <f>'R1'!#REF!</f>
        <v>#REF!</v>
      </c>
      <c r="Q7" s="39" t="e">
        <f>'R1'!#REF!</f>
        <v>#REF!</v>
      </c>
      <c r="R7" s="39" t="e">
        <f>'R1'!#REF!</f>
        <v>#REF!</v>
      </c>
      <c r="S7" s="39" t="e">
        <f>'R1'!#REF!</f>
        <v>#REF!</v>
      </c>
      <c r="T7" s="39" t="e">
        <f>'R1'!#REF!</f>
        <v>#REF!</v>
      </c>
      <c r="U7" s="39" t="e">
        <f>'R1'!#REF!</f>
        <v>#REF!</v>
      </c>
      <c r="V7" s="39" t="e">
        <f>'R1'!#REF!</f>
        <v>#REF!</v>
      </c>
      <c r="W7" s="39" t="e">
        <f>'R1'!#REF!</f>
        <v>#REF!</v>
      </c>
      <c r="X7" s="39" t="e">
        <f>'R1'!#REF!</f>
        <v>#REF!</v>
      </c>
      <c r="Y7" s="39" t="e">
        <f>'R1'!#REF!</f>
        <v>#REF!</v>
      </c>
      <c r="Z7" s="39" t="e">
        <f>'R1'!#REF!</f>
        <v>#REF!</v>
      </c>
      <c r="AA7" s="39" t="e">
        <f>'R1'!#REF!</f>
        <v>#REF!</v>
      </c>
      <c r="AB7" s="39" t="e">
        <f>'R1'!#REF!</f>
        <v>#REF!</v>
      </c>
      <c r="AC7" s="39" t="e">
        <f>'R1'!#REF!</f>
        <v>#REF!</v>
      </c>
      <c r="AD7"/>
      <c r="AE7" s="39">
        <f>'R1'!O29</f>
        <v>0.90420140082447709</v>
      </c>
      <c r="AF7" s="39">
        <f>'R1'!P29</f>
        <v>2.05543334080753</v>
      </c>
      <c r="AG7" s="39">
        <f>'R1'!Q29</f>
        <v>0</v>
      </c>
      <c r="AH7" s="39">
        <f>'R1'!R29</f>
        <v>0.35356388931310773</v>
      </c>
      <c r="AI7" s="39">
        <f>'R1'!S29</f>
        <v>1.9695103856430048E-3</v>
      </c>
      <c r="AJ7" s="39">
        <f>'R1'!T29</f>
        <v>1.3288065921392223E-2</v>
      </c>
      <c r="AK7" s="39">
        <f>'R1'!U29</f>
        <v>6.5377938112630863E-4</v>
      </c>
      <c r="AL7" s="39">
        <f>'R1'!V29</f>
        <v>0</v>
      </c>
      <c r="AM7" s="39" t="str">
        <f>'R1'!W29</f>
        <v/>
      </c>
      <c r="AN7" s="39" t="str">
        <f>'R1'!X29</f>
        <v/>
      </c>
      <c r="AO7" s="39" t="str">
        <f>'R1'!Y29</f>
        <v/>
      </c>
      <c r="AP7" s="39" t="str">
        <f>'R1'!Z29</f>
        <v/>
      </c>
      <c r="AQ7" s="39" t="str">
        <f>'R1'!AA29</f>
        <v/>
      </c>
      <c r="AR7" s="39" t="str">
        <f>'R1'!AB29</f>
        <v/>
      </c>
      <c r="AS7" s="39" t="str">
        <f>'R1'!AC29</f>
        <v/>
      </c>
      <c r="AT7" s="39" t="str">
        <f>'R1'!AD29</f>
        <v/>
      </c>
      <c r="AU7" s="39" t="str">
        <f>'R1'!AE29</f>
        <v/>
      </c>
      <c r="AV7" s="39" t="str">
        <f>'R1'!AF29</f>
        <v/>
      </c>
      <c r="AW7" s="39" t="str">
        <f>'R1'!AG29</f>
        <v/>
      </c>
      <c r="AX7" s="39" t="str">
        <f>'R1'!AH29</f>
        <v/>
      </c>
      <c r="AY7" s="39" t="str">
        <f>'R1'!AI29</f>
        <v/>
      </c>
      <c r="AZ7" s="39" t="str">
        <f>'R1'!AJ29</f>
        <v/>
      </c>
      <c r="BA7" s="39" t="str">
        <f>'R1'!AK29</f>
        <v/>
      </c>
    </row>
    <row r="8" spans="1:53" s="1" customFormat="1" x14ac:dyDescent="0.25">
      <c r="A8" s="156"/>
      <c r="B8" s="39">
        <f>'R1'!B30</f>
        <v>0</v>
      </c>
      <c r="C8" s="39">
        <f>'R1'!C30</f>
        <v>6.7012386565446641E-4</v>
      </c>
      <c r="D8" s="39">
        <f>'R1'!D30</f>
        <v>0</v>
      </c>
      <c r="E8" s="39">
        <f>'R1'!E30</f>
        <v>2.6314620090333923E-3</v>
      </c>
      <c r="F8" s="39">
        <f>'R1'!F30</f>
        <v>0.52108668348446019</v>
      </c>
      <c r="G8" s="39">
        <f>'R1'!G30</f>
        <v>1.961444382528359</v>
      </c>
      <c r="H8" s="39">
        <f>'R1'!H30</f>
        <v>2.1264174371133189</v>
      </c>
      <c r="I8" s="39">
        <f>'R1'!I30</f>
        <v>6.9586642878631477E-2</v>
      </c>
      <c r="J8" s="39">
        <f>'R1'!J30</f>
        <v>6.3743489659815092E-2</v>
      </c>
      <c r="K8" s="39">
        <f>'R1'!K30</f>
        <v>0.1476152120160564</v>
      </c>
      <c r="L8" s="39">
        <f>'R1'!L30</f>
        <v>0</v>
      </c>
      <c r="M8" s="39">
        <f>'R1'!M30</f>
        <v>4.4162797195082149E-2</v>
      </c>
      <c r="N8" s="39" t="e">
        <f>'R1'!#REF!</f>
        <v>#REF!</v>
      </c>
      <c r="O8" s="39" t="e">
        <f>'R1'!#REF!</f>
        <v>#REF!</v>
      </c>
      <c r="P8" s="39" t="e">
        <f>'R1'!#REF!</f>
        <v>#REF!</v>
      </c>
      <c r="Q8" s="39" t="e">
        <f>'R1'!#REF!</f>
        <v>#REF!</v>
      </c>
      <c r="R8" s="39" t="e">
        <f>'R1'!#REF!</f>
        <v>#REF!</v>
      </c>
      <c r="S8" s="39" t="e">
        <f>'R1'!#REF!</f>
        <v>#REF!</v>
      </c>
      <c r="T8" s="39" t="e">
        <f>'R1'!#REF!</f>
        <v>#REF!</v>
      </c>
      <c r="U8" s="39" t="e">
        <f>'R1'!#REF!</f>
        <v>#REF!</v>
      </c>
      <c r="V8" s="39" t="e">
        <f>'R1'!#REF!</f>
        <v>#REF!</v>
      </c>
      <c r="W8" s="39" t="e">
        <f>'R1'!#REF!</f>
        <v>#REF!</v>
      </c>
      <c r="X8" s="39" t="e">
        <f>'R1'!#REF!</f>
        <v>#REF!</v>
      </c>
      <c r="Y8" s="39" t="e">
        <f>'R1'!#REF!</f>
        <v>#REF!</v>
      </c>
      <c r="Z8" s="39" t="e">
        <f>'R1'!#REF!</f>
        <v>#REF!</v>
      </c>
      <c r="AA8" s="39" t="e">
        <f>'R1'!#REF!</f>
        <v>#REF!</v>
      </c>
      <c r="AB8" s="39" t="e">
        <f>'R1'!#REF!</f>
        <v>#REF!</v>
      </c>
      <c r="AC8" s="39" t="e">
        <f>'R1'!#REF!</f>
        <v>#REF!</v>
      </c>
      <c r="AD8"/>
      <c r="AE8" s="39">
        <f>'R1'!O30</f>
        <v>0.17380724847242915</v>
      </c>
      <c r="AF8" s="39">
        <f>'R1'!P30</f>
        <v>2.0845919012057634</v>
      </c>
      <c r="AG8" s="39">
        <f>'R1'!Q30</f>
        <v>0</v>
      </c>
      <c r="AH8" s="39">
        <f>'R1'!R30</f>
        <v>0</v>
      </c>
      <c r="AI8" s="39">
        <f>'R1'!S30</f>
        <v>0</v>
      </c>
      <c r="AJ8" s="39">
        <f>'R1'!T30</f>
        <v>0</v>
      </c>
      <c r="AK8" s="39">
        <f>'R1'!U30</f>
        <v>0</v>
      </c>
      <c r="AL8" s="39">
        <f>'R1'!V30</f>
        <v>6.8646835018262408E-4</v>
      </c>
      <c r="AM8" s="39" t="str">
        <f>'R1'!W30</f>
        <v/>
      </c>
      <c r="AN8" s="39" t="str">
        <f>'R1'!X30</f>
        <v/>
      </c>
      <c r="AO8" s="39" t="str">
        <f>'R1'!Y30</f>
        <v/>
      </c>
      <c r="AP8" s="39" t="str">
        <f>'R1'!Z30</f>
        <v/>
      </c>
      <c r="AQ8" s="39" t="str">
        <f>'R1'!AA30</f>
        <v/>
      </c>
      <c r="AR8" s="39" t="str">
        <f>'R1'!AB30</f>
        <v/>
      </c>
      <c r="AS8" s="39" t="str">
        <f>'R1'!AC30</f>
        <v/>
      </c>
      <c r="AT8" s="39" t="str">
        <f>'R1'!AD30</f>
        <v/>
      </c>
      <c r="AU8" s="39" t="str">
        <f>'R1'!AE30</f>
        <v/>
      </c>
      <c r="AV8" s="39" t="str">
        <f>'R1'!AF30</f>
        <v/>
      </c>
      <c r="AW8" s="39" t="str">
        <f>'R1'!AG30</f>
        <v/>
      </c>
      <c r="AX8" s="39" t="str">
        <f>'R1'!AH30</f>
        <v/>
      </c>
      <c r="AY8" s="39" t="str">
        <f>'R1'!AI30</f>
        <v/>
      </c>
      <c r="AZ8" s="39" t="str">
        <f>'R1'!AJ30</f>
        <v/>
      </c>
      <c r="BA8" s="39" t="str">
        <f>'R1'!AK30</f>
        <v/>
      </c>
    </row>
    <row r="9" spans="1:53" s="1" customFormat="1" x14ac:dyDescent="0.25">
      <c r="A9" s="156"/>
      <c r="B9" s="39">
        <f>'R1'!B31</f>
        <v>0</v>
      </c>
      <c r="C9" s="39">
        <f>'R1'!C31</f>
        <v>0</v>
      </c>
      <c r="D9" s="39">
        <f>'R1'!D31</f>
        <v>9.2403543279939646E-2</v>
      </c>
      <c r="E9" s="39">
        <f>'R1'!E31</f>
        <v>0</v>
      </c>
      <c r="F9" s="39">
        <f>'R1'!F31</f>
        <v>0</v>
      </c>
      <c r="G9" s="39">
        <f>'R1'!G31</f>
        <v>1.8156188915681357</v>
      </c>
      <c r="H9" s="39">
        <f>'R1'!H31</f>
        <v>1.5827263315264166</v>
      </c>
      <c r="I9" s="39">
        <f>'R1'!I31</f>
        <v>4.6581780905249493E-3</v>
      </c>
      <c r="J9" s="39">
        <f>'R1'!J31</f>
        <v>1.2544391875361048E-2</v>
      </c>
      <c r="K9" s="39">
        <f>'R1'!K31</f>
        <v>0</v>
      </c>
      <c r="L9" s="39">
        <f>'R1'!L31</f>
        <v>1.1400277958390007E-2</v>
      </c>
      <c r="M9" s="39">
        <f>'R1'!M31</f>
        <v>0</v>
      </c>
      <c r="N9" s="39" t="e">
        <f>'R1'!#REF!</f>
        <v>#REF!</v>
      </c>
      <c r="O9" s="39" t="e">
        <f>'R1'!#REF!</f>
        <v>#REF!</v>
      </c>
      <c r="P9" s="39" t="e">
        <f>'R1'!#REF!</f>
        <v>#REF!</v>
      </c>
      <c r="Q9" s="39" t="e">
        <f>'R1'!#REF!</f>
        <v>#REF!</v>
      </c>
      <c r="R9" s="39" t="e">
        <f>'R1'!#REF!</f>
        <v>#REF!</v>
      </c>
      <c r="S9" s="39" t="e">
        <f>'R1'!#REF!</f>
        <v>#REF!</v>
      </c>
      <c r="T9" s="39" t="e">
        <f>'R1'!#REF!</f>
        <v>#REF!</v>
      </c>
      <c r="U9" s="39" t="e">
        <f>'R1'!#REF!</f>
        <v>#REF!</v>
      </c>
      <c r="V9" s="39" t="e">
        <f>'R1'!#REF!</f>
        <v>#REF!</v>
      </c>
      <c r="W9" s="39" t="e">
        <f>'R1'!#REF!</f>
        <v>#REF!</v>
      </c>
      <c r="X9" s="39" t="e">
        <f>'R1'!#REF!</f>
        <v>#REF!</v>
      </c>
      <c r="Y9" s="39" t="e">
        <f>'R1'!#REF!</f>
        <v>#REF!</v>
      </c>
      <c r="Z9" s="39" t="e">
        <f>'R1'!#REF!</f>
        <v>#REF!</v>
      </c>
      <c r="AA9" s="39" t="e">
        <f>'R1'!#REF!</f>
        <v>#REF!</v>
      </c>
      <c r="AB9" s="39" t="e">
        <f>'R1'!#REF!</f>
        <v>#REF!</v>
      </c>
      <c r="AC9" s="39" t="e">
        <f>'R1'!#REF!</f>
        <v>#REF!</v>
      </c>
      <c r="AD9"/>
      <c r="AE9" s="39">
        <f>'R1'!O31</f>
        <v>0.79770073963900145</v>
      </c>
      <c r="AF9" s="39">
        <f>'R1'!P31</f>
        <v>1.410014163517374</v>
      </c>
      <c r="AG9" s="39">
        <f>'R1'!Q31</f>
        <v>3.5483875910630402E-2</v>
      </c>
      <c r="AH9" s="39">
        <f>'R1'!R31</f>
        <v>0.60780234614860096</v>
      </c>
      <c r="AI9" s="39">
        <f>'R1'!S31</f>
        <v>3.3015858746878587E-3</v>
      </c>
      <c r="AJ9" s="39">
        <f>'R1'!T31</f>
        <v>0</v>
      </c>
      <c r="AK9" s="39">
        <f>'R1'!U31</f>
        <v>0</v>
      </c>
      <c r="AL9" s="39">
        <f>'R1'!V31</f>
        <v>6.6195162339038752E-4</v>
      </c>
      <c r="AM9" s="39" t="str">
        <f>'R1'!W31</f>
        <v/>
      </c>
      <c r="AN9" s="39" t="str">
        <f>'R1'!X31</f>
        <v/>
      </c>
      <c r="AO9" s="39" t="str">
        <f>'R1'!Y31</f>
        <v/>
      </c>
      <c r="AP9" s="39" t="str">
        <f>'R1'!Z31</f>
        <v/>
      </c>
      <c r="AQ9" s="39" t="str">
        <f>'R1'!AA31</f>
        <v/>
      </c>
      <c r="AR9" s="39" t="str">
        <f>'R1'!AB31</f>
        <v/>
      </c>
      <c r="AS9" s="39" t="str">
        <f>'R1'!AC31</f>
        <v/>
      </c>
      <c r="AT9" s="39" t="str">
        <f>'R1'!AD31</f>
        <v/>
      </c>
      <c r="AU9" s="39" t="str">
        <f>'R1'!AE31</f>
        <v/>
      </c>
      <c r="AV9" s="39" t="str">
        <f>'R1'!AF31</f>
        <v/>
      </c>
      <c r="AW9" s="39" t="str">
        <f>'R1'!AG31</f>
        <v/>
      </c>
      <c r="AX9" s="39" t="str">
        <f>'R1'!AH31</f>
        <v/>
      </c>
      <c r="AY9" s="39" t="str">
        <f>'R1'!AI31</f>
        <v/>
      </c>
      <c r="AZ9" s="39" t="str">
        <f>'R1'!AJ31</f>
        <v/>
      </c>
      <c r="BA9" s="39" t="str">
        <f>'R1'!AK31</f>
        <v/>
      </c>
    </row>
    <row r="10" spans="1:53" s="1" customFormat="1" x14ac:dyDescent="0.25">
      <c r="A10" s="156"/>
      <c r="B10" s="39">
        <f>'R1'!B32</f>
        <v>0</v>
      </c>
      <c r="C10" s="39">
        <f>'R1'!C32</f>
        <v>6.6195162339038752E-4</v>
      </c>
      <c r="D10" s="39">
        <f>'R1'!D32</f>
        <v>0</v>
      </c>
      <c r="E10" s="39">
        <f>'R1'!E32</f>
        <v>2.0839217773401088E-3</v>
      </c>
      <c r="F10" s="39">
        <f>'R1'!F32</f>
        <v>1.494171914352858</v>
      </c>
      <c r="G10" s="39">
        <f>'R1'!G32</f>
        <v>0.94843774819993598</v>
      </c>
      <c r="H10" s="39">
        <f>'R1'!H32</f>
        <v>2.7853535031082615</v>
      </c>
      <c r="I10" s="39">
        <f>'R1'!I32</f>
        <v>5.6298576957239256E-2</v>
      </c>
      <c r="J10" s="39">
        <f>'R1'!J32</f>
        <v>0</v>
      </c>
      <c r="K10" s="39">
        <f>'R1'!K32</f>
        <v>4.7497072038826325E-2</v>
      </c>
      <c r="L10" s="39">
        <f>'R1'!L32</f>
        <v>0</v>
      </c>
      <c r="M10" s="39">
        <f>'R1'!M32</f>
        <v>0.10237367884211586</v>
      </c>
      <c r="N10" s="39" t="e">
        <f>'R1'!#REF!</f>
        <v>#REF!</v>
      </c>
      <c r="O10" s="39" t="e">
        <f>'R1'!#REF!</f>
        <v>#REF!</v>
      </c>
      <c r="P10" s="39" t="e">
        <f>'R1'!#REF!</f>
        <v>#REF!</v>
      </c>
      <c r="Q10" s="39" t="e">
        <f>'R1'!#REF!</f>
        <v>#REF!</v>
      </c>
      <c r="R10" s="39" t="e">
        <f>'R1'!#REF!</f>
        <v>#REF!</v>
      </c>
      <c r="S10" s="39" t="e">
        <f>'R1'!#REF!</f>
        <v>#REF!</v>
      </c>
      <c r="T10" s="39" t="e">
        <f>'R1'!#REF!</f>
        <v>#REF!</v>
      </c>
      <c r="U10" s="39" t="e">
        <f>'R1'!#REF!</f>
        <v>#REF!</v>
      </c>
      <c r="V10" s="39" t="e">
        <f>'R1'!#REF!</f>
        <v>#REF!</v>
      </c>
      <c r="W10" s="39" t="e">
        <f>'R1'!#REF!</f>
        <v>#REF!</v>
      </c>
      <c r="X10" s="39" t="e">
        <f>'R1'!#REF!</f>
        <v>#REF!</v>
      </c>
      <c r="Y10" s="39" t="e">
        <f>'R1'!#REF!</f>
        <v>#REF!</v>
      </c>
      <c r="Z10" s="39" t="e">
        <f>'R1'!#REF!</f>
        <v>#REF!</v>
      </c>
      <c r="AA10" s="39" t="e">
        <f>'R1'!#REF!</f>
        <v>#REF!</v>
      </c>
      <c r="AB10" s="39" t="e">
        <f>'R1'!#REF!</f>
        <v>#REF!</v>
      </c>
      <c r="AC10" s="39" t="e">
        <f>'R1'!#REF!</f>
        <v>#REF!</v>
      </c>
      <c r="AD10"/>
      <c r="AE10" s="39">
        <f>'R1'!O32</f>
        <v>1.9493984974311067</v>
      </c>
      <c r="AF10" s="39">
        <f>'R1'!P32</f>
        <v>1.5903101723474817</v>
      </c>
      <c r="AG10" s="39">
        <f>'R1'!Q32</f>
        <v>0</v>
      </c>
      <c r="AH10" s="39">
        <f>'R1'!R32</f>
        <v>4.1678435546802176E-3</v>
      </c>
      <c r="AI10" s="39">
        <f>'R1'!S32</f>
        <v>0.10115601474476811</v>
      </c>
      <c r="AJ10" s="39">
        <f>'R1'!T32</f>
        <v>0</v>
      </c>
      <c r="AK10" s="39">
        <f>'R1'!U32</f>
        <v>0</v>
      </c>
      <c r="AL10" s="39">
        <f>'R1'!V32</f>
        <v>0</v>
      </c>
      <c r="AM10" s="39" t="str">
        <f>'R1'!W32</f>
        <v/>
      </c>
      <c r="AN10" s="39" t="str">
        <f>'R1'!X32</f>
        <v/>
      </c>
      <c r="AO10" s="39" t="str">
        <f>'R1'!Y32</f>
        <v/>
      </c>
      <c r="AP10" s="39" t="str">
        <f>'R1'!Z32</f>
        <v/>
      </c>
      <c r="AQ10" s="39" t="str">
        <f>'R1'!AA32</f>
        <v/>
      </c>
      <c r="AR10" s="39" t="str">
        <f>'R1'!AB32</f>
        <v/>
      </c>
      <c r="AS10" s="39" t="str">
        <f>'R1'!AC32</f>
        <v/>
      </c>
      <c r="AT10" s="39" t="str">
        <f>'R1'!AD32</f>
        <v/>
      </c>
      <c r="AU10" s="39" t="str">
        <f>'R1'!AE32</f>
        <v/>
      </c>
      <c r="AV10" s="39" t="str">
        <f>'R1'!AF32</f>
        <v/>
      </c>
      <c r="AW10" s="39" t="str">
        <f>'R1'!AG32</f>
        <v/>
      </c>
      <c r="AX10" s="39" t="str">
        <f>'R1'!AH32</f>
        <v/>
      </c>
      <c r="AY10" s="39" t="str">
        <f>'R1'!AI32</f>
        <v/>
      </c>
      <c r="AZ10" s="39" t="str">
        <f>'R1'!AJ32</f>
        <v/>
      </c>
      <c r="BA10" s="39" t="str">
        <f>'R1'!AK32</f>
        <v/>
      </c>
    </row>
    <row r="11" spans="1:53" s="1" customFormat="1" x14ac:dyDescent="0.25">
      <c r="A11" s="156"/>
      <c r="B11" s="39">
        <f>'R1'!B33</f>
        <v>3.6055932869115924E-2</v>
      </c>
      <c r="C11" s="39">
        <f>'R1'!C33</f>
        <v>0</v>
      </c>
      <c r="D11" s="39">
        <f>'R1'!D33</f>
        <v>0</v>
      </c>
      <c r="E11" s="39">
        <f>'R1'!E33</f>
        <v>2.0376096804295738</v>
      </c>
      <c r="F11" s="39">
        <f>'R1'!F33</f>
        <v>0.58427446067031796</v>
      </c>
      <c r="G11" s="39">
        <f>'R1'!G33</f>
        <v>1.097474930369942</v>
      </c>
      <c r="H11" s="39">
        <f>'R1'!H33</f>
        <v>1.6752524584403174</v>
      </c>
      <c r="I11" s="39">
        <f>'R1'!I33</f>
        <v>0</v>
      </c>
      <c r="J11" s="39">
        <f>'R1'!J33</f>
        <v>0</v>
      </c>
      <c r="K11" s="39">
        <f>'R1'!K33</f>
        <v>3.3097581169519376E-3</v>
      </c>
      <c r="L11" s="39">
        <f>'R1'!L33</f>
        <v>0</v>
      </c>
      <c r="M11" s="39">
        <f>'R1'!M33</f>
        <v>0</v>
      </c>
      <c r="N11" s="39" t="e">
        <f>'R1'!#REF!</f>
        <v>#REF!</v>
      </c>
      <c r="O11" s="39" t="e">
        <f>'R1'!#REF!</f>
        <v>#REF!</v>
      </c>
      <c r="P11" s="39" t="e">
        <f>'R1'!#REF!</f>
        <v>#REF!</v>
      </c>
      <c r="Q11" s="39" t="e">
        <f>'R1'!#REF!</f>
        <v>#REF!</v>
      </c>
      <c r="R11" s="39" t="e">
        <f>'R1'!#REF!</f>
        <v>#REF!</v>
      </c>
      <c r="S11" s="39" t="e">
        <f>'R1'!#REF!</f>
        <v>#REF!</v>
      </c>
      <c r="T11" s="39" t="e">
        <f>'R1'!#REF!</f>
        <v>#REF!</v>
      </c>
      <c r="U11" s="39" t="e">
        <f>'R1'!#REF!</f>
        <v>#REF!</v>
      </c>
      <c r="V11" s="39" t="e">
        <f>'R1'!#REF!</f>
        <v>#REF!</v>
      </c>
      <c r="W11" s="39" t="e">
        <f>'R1'!#REF!</f>
        <v>#REF!</v>
      </c>
      <c r="X11" s="39" t="e">
        <f>'R1'!#REF!</f>
        <v>#REF!</v>
      </c>
      <c r="Y11" s="39" t="e">
        <f>'R1'!#REF!</f>
        <v>#REF!</v>
      </c>
      <c r="Z11" s="39" t="e">
        <f>'R1'!#REF!</f>
        <v>#REF!</v>
      </c>
      <c r="AA11" s="39" t="e">
        <f>'R1'!#REF!</f>
        <v>#REF!</v>
      </c>
      <c r="AB11" s="39" t="e">
        <f>'R1'!#REF!</f>
        <v>#REF!</v>
      </c>
      <c r="AC11" s="39" t="e">
        <f>'R1'!#REF!</f>
        <v>#REF!</v>
      </c>
      <c r="AD11"/>
      <c r="AE11" s="39">
        <f>'R1'!O33</f>
        <v>1.1130512241252764</v>
      </c>
      <c r="AF11" s="39">
        <f>'R1'!P33</f>
        <v>1.6879276061919037</v>
      </c>
      <c r="AG11" s="39">
        <f>'R1'!Q33</f>
        <v>6.6930664142805848E-3</v>
      </c>
      <c r="AH11" s="39">
        <f>'R1'!R33</f>
        <v>1.1955990432347369E-2</v>
      </c>
      <c r="AI11" s="39">
        <f>'R1'!S33</f>
        <v>0.12584435862455035</v>
      </c>
      <c r="AJ11" s="39">
        <f>'R1'!T33</f>
        <v>0</v>
      </c>
      <c r="AK11" s="39">
        <f>'R1'!U33</f>
        <v>0</v>
      </c>
      <c r="AL11" s="39">
        <f>'R1'!V33</f>
        <v>0</v>
      </c>
      <c r="AM11" s="39" t="str">
        <f>'R1'!W33</f>
        <v/>
      </c>
      <c r="AN11" s="39" t="str">
        <f>'R1'!X33</f>
        <v/>
      </c>
      <c r="AO11" s="39" t="str">
        <f>'R1'!Y33</f>
        <v/>
      </c>
      <c r="AP11" s="39" t="str">
        <f>'R1'!Z33</f>
        <v/>
      </c>
      <c r="AQ11" s="39" t="str">
        <f>'R1'!AA33</f>
        <v/>
      </c>
      <c r="AR11" s="39" t="str">
        <f>'R1'!AB33</f>
        <v/>
      </c>
      <c r="AS11" s="39" t="str">
        <f>'R1'!AC33</f>
        <v/>
      </c>
      <c r="AT11" s="39" t="str">
        <f>'R1'!AD33</f>
        <v/>
      </c>
      <c r="AU11" s="39" t="str">
        <f>'R1'!AE33</f>
        <v/>
      </c>
      <c r="AV11" s="39" t="str">
        <f>'R1'!AF33</f>
        <v/>
      </c>
      <c r="AW11" s="39" t="str">
        <f>'R1'!AG33</f>
        <v/>
      </c>
      <c r="AX11" s="39" t="str">
        <f>'R1'!AH33</f>
        <v/>
      </c>
      <c r="AY11" s="39" t="str">
        <f>'R1'!AI33</f>
        <v/>
      </c>
      <c r="AZ11" s="39" t="str">
        <f>'R1'!AJ33</f>
        <v/>
      </c>
      <c r="BA11" s="39" t="str">
        <f>'R1'!AK33</f>
        <v/>
      </c>
    </row>
    <row r="12" spans="1:53" s="1" customFormat="1" x14ac:dyDescent="0.25">
      <c r="A12" s="156"/>
      <c r="B12" s="39">
        <f>'R1'!B34</f>
        <v>0</v>
      </c>
      <c r="C12" s="39">
        <f>'R1'!C34</f>
        <v>0</v>
      </c>
      <c r="D12" s="39">
        <f>'R1'!D34</f>
        <v>4.7693205853164215E-2</v>
      </c>
      <c r="E12" s="39">
        <f>'R1'!E34</f>
        <v>6.5377938112630863E-4</v>
      </c>
      <c r="F12" s="39">
        <f>'R1'!F34</f>
        <v>3.2419285061600828E-2</v>
      </c>
      <c r="G12" s="39">
        <f>'R1'!G34</f>
        <v>1.7892307212974252</v>
      </c>
      <c r="H12" s="39">
        <f>'R1'!H34</f>
        <v>2.2606546885430783</v>
      </c>
      <c r="I12" s="39">
        <f>'R1'!I34</f>
        <v>6.512459860244442E-2</v>
      </c>
      <c r="J12" s="39">
        <f>'R1'!J34</f>
        <v>0</v>
      </c>
      <c r="K12" s="39">
        <f>'R1'!K34</f>
        <v>0</v>
      </c>
      <c r="L12" s="39">
        <f>'R1'!L34</f>
        <v>0.16776796143927489</v>
      </c>
      <c r="M12" s="39">
        <f>'R1'!M34</f>
        <v>0</v>
      </c>
      <c r="N12" s="39" t="e">
        <f>'R1'!#REF!</f>
        <v>#REF!</v>
      </c>
      <c r="O12" s="39" t="e">
        <f>'R1'!#REF!</f>
        <v>#REF!</v>
      </c>
      <c r="P12" s="39" t="e">
        <f>'R1'!#REF!</f>
        <v>#REF!</v>
      </c>
      <c r="Q12" s="39" t="e">
        <f>'R1'!#REF!</f>
        <v>#REF!</v>
      </c>
      <c r="R12" s="39" t="e">
        <f>'R1'!#REF!</f>
        <v>#REF!</v>
      </c>
      <c r="S12" s="39" t="e">
        <f>'R1'!#REF!</f>
        <v>#REF!</v>
      </c>
      <c r="T12" s="39" t="e">
        <f>'R1'!#REF!</f>
        <v>#REF!</v>
      </c>
      <c r="U12" s="39" t="e">
        <f>'R1'!#REF!</f>
        <v>#REF!</v>
      </c>
      <c r="V12" s="39" t="e">
        <f>'R1'!#REF!</f>
        <v>#REF!</v>
      </c>
      <c r="W12" s="39" t="e">
        <f>'R1'!#REF!</f>
        <v>#REF!</v>
      </c>
      <c r="X12" s="39" t="e">
        <f>'R1'!#REF!</f>
        <v>#REF!</v>
      </c>
      <c r="Y12" s="39" t="e">
        <f>'R1'!#REF!</f>
        <v>#REF!</v>
      </c>
      <c r="Z12" s="39" t="e">
        <f>'R1'!#REF!</f>
        <v>#REF!</v>
      </c>
      <c r="AA12" s="39" t="e">
        <f>'R1'!#REF!</f>
        <v>#REF!</v>
      </c>
      <c r="AB12" s="39" t="e">
        <f>'R1'!#REF!</f>
        <v>#REF!</v>
      </c>
      <c r="AC12" s="39" t="e">
        <f>'R1'!#REF!</f>
        <v>#REF!</v>
      </c>
      <c r="AD12"/>
      <c r="AE12" s="39">
        <f>'R1'!O34</f>
        <v>1.2635757543873449</v>
      </c>
      <c r="AF12" s="39">
        <f>'R1'!P34</f>
        <v>1.0155400294302874</v>
      </c>
      <c r="AG12" s="39">
        <f>'R1'!Q34</f>
        <v>0</v>
      </c>
      <c r="AH12" s="39">
        <f>'R1'!R34</f>
        <v>9.1136845729007432E-2</v>
      </c>
      <c r="AI12" s="39">
        <f>'R1'!S34</f>
        <v>0</v>
      </c>
      <c r="AJ12" s="39">
        <f>'R1'!T34</f>
        <v>1.6777613368153897E-2</v>
      </c>
      <c r="AK12" s="39">
        <f>'R1'!U34</f>
        <v>0</v>
      </c>
      <c r="AL12" s="39">
        <f>'R1'!V34</f>
        <v>0</v>
      </c>
      <c r="AM12" s="39" t="str">
        <f>'R1'!W34</f>
        <v/>
      </c>
      <c r="AN12" s="39" t="str">
        <f>'R1'!X34</f>
        <v/>
      </c>
      <c r="AO12" s="39" t="str">
        <f>'R1'!Y34</f>
        <v/>
      </c>
      <c r="AP12" s="39" t="str">
        <f>'R1'!Z34</f>
        <v/>
      </c>
      <c r="AQ12" s="39" t="str">
        <f>'R1'!AA34</f>
        <v/>
      </c>
      <c r="AR12" s="39" t="str">
        <f>'R1'!AB34</f>
        <v/>
      </c>
      <c r="AS12" s="39" t="str">
        <f>'R1'!AC34</f>
        <v/>
      </c>
      <c r="AT12" s="39" t="str">
        <f>'R1'!AD34</f>
        <v/>
      </c>
      <c r="AU12" s="39" t="str">
        <f>'R1'!AE34</f>
        <v/>
      </c>
      <c r="AV12" s="39" t="str">
        <f>'R1'!AF34</f>
        <v/>
      </c>
      <c r="AW12" s="39" t="str">
        <f>'R1'!AG34</f>
        <v/>
      </c>
      <c r="AX12" s="39" t="str">
        <f>'R1'!AH34</f>
        <v/>
      </c>
      <c r="AY12" s="39" t="str">
        <f>'R1'!AI34</f>
        <v/>
      </c>
      <c r="AZ12" s="39" t="str">
        <f>'R1'!AJ34</f>
        <v/>
      </c>
      <c r="BA12" s="39" t="str">
        <f>'R1'!AK34</f>
        <v/>
      </c>
    </row>
    <row r="13" spans="1:53" s="1" customFormat="1" x14ac:dyDescent="0.25">
      <c r="A13" s="156"/>
      <c r="B13" s="39">
        <f>'R1'!B35</f>
        <v>1.0109063680665548E-2</v>
      </c>
      <c r="C13" s="39">
        <f>'R1'!C35</f>
        <v>0.12981606836489265</v>
      </c>
      <c r="D13" s="39">
        <f>'R1'!D35</f>
        <v>0</v>
      </c>
      <c r="E13" s="39">
        <f>'R1'!E35</f>
        <v>2.0163373338161765</v>
      </c>
      <c r="F13" s="39">
        <f>'R1'!F35</f>
        <v>0</v>
      </c>
      <c r="G13" s="39">
        <f>'R1'!G35</f>
        <v>1.2026108270973166</v>
      </c>
      <c r="H13" s="39">
        <f>'R1'!H35</f>
        <v>2.505495066774881</v>
      </c>
      <c r="I13" s="39">
        <f>'R1'!I35</f>
        <v>0</v>
      </c>
      <c r="J13" s="39">
        <f>'R1'!J35</f>
        <v>0</v>
      </c>
      <c r="K13" s="39">
        <f>'R1'!K35</f>
        <v>0</v>
      </c>
      <c r="L13" s="39">
        <f>'R1'!L35</f>
        <v>0</v>
      </c>
      <c r="M13" s="39">
        <f>'R1'!M35</f>
        <v>5.9085311569290148E-3</v>
      </c>
      <c r="N13" s="39" t="e">
        <f>'R1'!#REF!</f>
        <v>#REF!</v>
      </c>
      <c r="O13" s="39" t="e">
        <f>'R1'!#REF!</f>
        <v>#REF!</v>
      </c>
      <c r="P13" s="39" t="e">
        <f>'R1'!#REF!</f>
        <v>#REF!</v>
      </c>
      <c r="Q13" s="39" t="e">
        <f>'R1'!#REF!</f>
        <v>#REF!</v>
      </c>
      <c r="R13" s="39" t="e">
        <f>'R1'!#REF!</f>
        <v>#REF!</v>
      </c>
      <c r="S13" s="39" t="e">
        <f>'R1'!#REF!</f>
        <v>#REF!</v>
      </c>
      <c r="T13" s="39" t="e">
        <f>'R1'!#REF!</f>
        <v>#REF!</v>
      </c>
      <c r="U13" s="39" t="e">
        <f>'R1'!#REF!</f>
        <v>#REF!</v>
      </c>
      <c r="V13" s="39" t="e">
        <f>'R1'!#REF!</f>
        <v>#REF!</v>
      </c>
      <c r="W13" s="39" t="e">
        <f>'R1'!#REF!</f>
        <v>#REF!</v>
      </c>
      <c r="X13" s="39" t="e">
        <f>'R1'!#REF!</f>
        <v>#REF!</v>
      </c>
      <c r="Y13" s="39" t="e">
        <f>'R1'!#REF!</f>
        <v>#REF!</v>
      </c>
      <c r="Z13" s="39" t="e">
        <f>'R1'!#REF!</f>
        <v>#REF!</v>
      </c>
      <c r="AA13" s="39" t="e">
        <f>'R1'!#REF!</f>
        <v>#REF!</v>
      </c>
      <c r="AB13" s="39" t="e">
        <f>'R1'!#REF!</f>
        <v>#REF!</v>
      </c>
      <c r="AC13" s="39" t="e">
        <f>'R1'!#REF!</f>
        <v>#REF!</v>
      </c>
      <c r="AD13"/>
      <c r="AE13" s="39">
        <f>'R1'!O35</f>
        <v>1.5488115261304893</v>
      </c>
      <c r="AF13" s="39">
        <f>'R1'!P35</f>
        <v>1.5235511252922216</v>
      </c>
      <c r="AG13" s="39">
        <f>'R1'!Q35</f>
        <v>0</v>
      </c>
      <c r="AH13" s="39">
        <f>'R1'!R35</f>
        <v>7.1523464295218164E-2</v>
      </c>
      <c r="AI13" s="39">
        <f>'R1'!S35</f>
        <v>0</v>
      </c>
      <c r="AJ13" s="39">
        <f>'R1'!T35</f>
        <v>0</v>
      </c>
      <c r="AK13" s="39">
        <f>'R1'!U35</f>
        <v>0</v>
      </c>
      <c r="AL13" s="39">
        <f>'R1'!V35</f>
        <v>2.655978735825629E-3</v>
      </c>
      <c r="AM13" s="39" t="str">
        <f>'R1'!W35</f>
        <v/>
      </c>
      <c r="AN13" s="39" t="str">
        <f>'R1'!X35</f>
        <v/>
      </c>
      <c r="AO13" s="39" t="str">
        <f>'R1'!Y35</f>
        <v/>
      </c>
      <c r="AP13" s="39" t="str">
        <f>'R1'!Z35</f>
        <v/>
      </c>
      <c r="AQ13" s="39" t="str">
        <f>'R1'!AA35</f>
        <v/>
      </c>
      <c r="AR13" s="39" t="str">
        <f>'R1'!AB35</f>
        <v/>
      </c>
      <c r="AS13" s="39" t="str">
        <f>'R1'!AC35</f>
        <v/>
      </c>
      <c r="AT13" s="39" t="str">
        <f>'R1'!AD35</f>
        <v/>
      </c>
      <c r="AU13" s="39" t="str">
        <f>'R1'!AE35</f>
        <v/>
      </c>
      <c r="AV13" s="39" t="str">
        <f>'R1'!AF35</f>
        <v/>
      </c>
      <c r="AW13" s="39" t="str">
        <f>'R1'!AG35</f>
        <v/>
      </c>
      <c r="AX13" s="39" t="str">
        <f>'R1'!AH35</f>
        <v/>
      </c>
      <c r="AY13" s="39" t="str">
        <f>'R1'!AI35</f>
        <v/>
      </c>
      <c r="AZ13" s="39" t="str">
        <f>'R1'!AJ35</f>
        <v/>
      </c>
      <c r="BA13" s="39" t="str">
        <f>'R1'!AK35</f>
        <v/>
      </c>
    </row>
    <row r="14" spans="1:53" s="1" customFormat="1" x14ac:dyDescent="0.25">
      <c r="A14" s="156"/>
      <c r="B14" s="39" t="str">
        <f>'R1'!B36</f>
        <v/>
      </c>
      <c r="C14" s="39" t="str">
        <f>'R1'!C36</f>
        <v/>
      </c>
      <c r="D14" s="39" t="str">
        <f>'R1'!D36</f>
        <v/>
      </c>
      <c r="E14" s="39" t="str">
        <f>'R1'!E36</f>
        <v/>
      </c>
      <c r="F14" s="39" t="str">
        <f>'R1'!F36</f>
        <v/>
      </c>
      <c r="G14" s="39" t="str">
        <f>'R1'!G36</f>
        <v/>
      </c>
      <c r="H14" s="39" t="str">
        <f>'R1'!H36</f>
        <v/>
      </c>
      <c r="I14" s="39" t="str">
        <f>'R1'!I36</f>
        <v/>
      </c>
      <c r="J14" s="39" t="str">
        <f>'R1'!J36</f>
        <v/>
      </c>
      <c r="K14" s="39" t="str">
        <f>'R1'!K36</f>
        <v/>
      </c>
      <c r="L14" s="39" t="str">
        <f>'R1'!L36</f>
        <v/>
      </c>
      <c r="M14" s="39" t="str">
        <f>'R1'!M36</f>
        <v/>
      </c>
      <c r="N14" s="39" t="e">
        <f>'R1'!#REF!</f>
        <v>#REF!</v>
      </c>
      <c r="O14" s="39" t="e">
        <f>'R1'!#REF!</f>
        <v>#REF!</v>
      </c>
      <c r="P14" s="39" t="e">
        <f>'R1'!#REF!</f>
        <v>#REF!</v>
      </c>
      <c r="Q14" s="39" t="e">
        <f>'R1'!#REF!</f>
        <v>#REF!</v>
      </c>
      <c r="R14" s="39" t="e">
        <f>'R1'!#REF!</f>
        <v>#REF!</v>
      </c>
      <c r="S14" s="39" t="e">
        <f>'R1'!#REF!</f>
        <v>#REF!</v>
      </c>
      <c r="T14" s="39" t="e">
        <f>'R1'!#REF!</f>
        <v>#REF!</v>
      </c>
      <c r="U14" s="39" t="e">
        <f>'R1'!#REF!</f>
        <v>#REF!</v>
      </c>
      <c r="V14" s="39" t="e">
        <f>'R1'!#REF!</f>
        <v>#REF!</v>
      </c>
      <c r="W14" s="39" t="e">
        <f>'R1'!#REF!</f>
        <v>#REF!</v>
      </c>
      <c r="X14" s="39" t="e">
        <f>'R1'!#REF!</f>
        <v>#REF!</v>
      </c>
      <c r="Y14" s="39" t="e">
        <f>'R1'!#REF!</f>
        <v>#REF!</v>
      </c>
      <c r="Z14" s="39" t="e">
        <f>'R1'!#REF!</f>
        <v>#REF!</v>
      </c>
      <c r="AA14" s="39" t="e">
        <f>'R1'!#REF!</f>
        <v>#REF!</v>
      </c>
      <c r="AB14" s="39" t="e">
        <f>'R1'!#REF!</f>
        <v>#REF!</v>
      </c>
      <c r="AC14" s="39" t="e">
        <f>'R1'!#REF!</f>
        <v>#REF!</v>
      </c>
      <c r="AD14"/>
      <c r="AE14" s="39">
        <f>'R1'!O36</f>
        <v>0.76808453367397966</v>
      </c>
      <c r="AF14" s="39" t="str">
        <f>'R1'!P36</f>
        <v/>
      </c>
      <c r="AG14" s="39" t="str">
        <f>'R1'!Q36</f>
        <v/>
      </c>
      <c r="AH14" s="39" t="str">
        <f>'R1'!R36</f>
        <v/>
      </c>
      <c r="AI14" s="39" t="str">
        <f>'R1'!S36</f>
        <v/>
      </c>
      <c r="AJ14" s="39" t="str">
        <f>'R1'!T36</f>
        <v/>
      </c>
      <c r="AK14" s="39" t="str">
        <f>'R1'!U36</f>
        <v/>
      </c>
      <c r="AL14" s="39" t="str">
        <f>'R1'!V36</f>
        <v/>
      </c>
      <c r="AM14" s="39" t="str">
        <f>'R1'!W36</f>
        <v/>
      </c>
      <c r="AN14" s="39" t="str">
        <f>'R1'!X36</f>
        <v/>
      </c>
      <c r="AO14" s="39" t="str">
        <f>'R1'!Y36</f>
        <v/>
      </c>
      <c r="AP14" s="39" t="str">
        <f>'R1'!Z36</f>
        <v/>
      </c>
      <c r="AQ14" s="39" t="str">
        <f>'R1'!AA36</f>
        <v/>
      </c>
      <c r="AR14" s="39" t="str">
        <f>'R1'!AB36</f>
        <v/>
      </c>
      <c r="AS14" s="39" t="str">
        <f>'R1'!AC36</f>
        <v/>
      </c>
      <c r="AT14" s="39" t="str">
        <f>'R1'!AD36</f>
        <v/>
      </c>
      <c r="AU14" s="39" t="str">
        <f>'R1'!AE36</f>
        <v/>
      </c>
      <c r="AV14" s="39" t="str">
        <f>'R1'!AF36</f>
        <v/>
      </c>
      <c r="AW14" s="39" t="str">
        <f>'R1'!AG36</f>
        <v/>
      </c>
      <c r="AX14" s="39" t="str">
        <f>'R1'!AH36</f>
        <v/>
      </c>
      <c r="AY14" s="39" t="str">
        <f>'R1'!AI36</f>
        <v/>
      </c>
      <c r="AZ14" s="39" t="str">
        <f>'R1'!AJ36</f>
        <v/>
      </c>
      <c r="BA14" s="39" t="str">
        <f>'R1'!AK36</f>
        <v/>
      </c>
    </row>
    <row r="15" spans="1:53" s="1" customFormat="1" x14ac:dyDescent="0.25">
      <c r="A15" s="156"/>
      <c r="B15" s="39" t="str">
        <f>'R1'!B37</f>
        <v/>
      </c>
      <c r="C15" s="39" t="str">
        <f>'R1'!C37</f>
        <v/>
      </c>
      <c r="D15" s="39" t="str">
        <f>'R1'!D37</f>
        <v/>
      </c>
      <c r="E15" s="39" t="str">
        <f>'R1'!E37</f>
        <v/>
      </c>
      <c r="F15" s="39" t="str">
        <f>'R1'!F37</f>
        <v/>
      </c>
      <c r="G15" s="39" t="str">
        <f>'R1'!G37</f>
        <v/>
      </c>
      <c r="H15" s="39" t="str">
        <f>'R1'!H37</f>
        <v/>
      </c>
      <c r="I15" s="39" t="str">
        <f>'R1'!I37</f>
        <v/>
      </c>
      <c r="J15" s="39" t="str">
        <f>'R1'!J37</f>
        <v/>
      </c>
      <c r="K15" s="39" t="str">
        <f>'R1'!K37</f>
        <v/>
      </c>
      <c r="L15" s="39" t="str">
        <f>'R1'!L37</f>
        <v/>
      </c>
      <c r="M15" s="39" t="str">
        <f>'R1'!M37</f>
        <v/>
      </c>
      <c r="N15" s="39" t="e">
        <f>'R1'!#REF!</f>
        <v>#REF!</v>
      </c>
      <c r="O15" s="39" t="e">
        <f>'R1'!#REF!</f>
        <v>#REF!</v>
      </c>
      <c r="P15" s="39" t="e">
        <f>'R1'!#REF!</f>
        <v>#REF!</v>
      </c>
      <c r="Q15" s="39" t="e">
        <f>'R1'!#REF!</f>
        <v>#REF!</v>
      </c>
      <c r="R15" s="39" t="e">
        <f>'R1'!#REF!</f>
        <v>#REF!</v>
      </c>
      <c r="S15" s="39" t="e">
        <f>'R1'!#REF!</f>
        <v>#REF!</v>
      </c>
      <c r="T15" s="39" t="e">
        <f>'R1'!#REF!</f>
        <v>#REF!</v>
      </c>
      <c r="U15" s="39" t="e">
        <f>'R1'!#REF!</f>
        <v>#REF!</v>
      </c>
      <c r="V15" s="39" t="e">
        <f>'R1'!#REF!</f>
        <v>#REF!</v>
      </c>
      <c r="W15" s="39" t="e">
        <f>'R1'!#REF!</f>
        <v>#REF!</v>
      </c>
      <c r="X15" s="39" t="e">
        <f>'R1'!#REF!</f>
        <v>#REF!</v>
      </c>
      <c r="Y15" s="39" t="e">
        <f>'R1'!#REF!</f>
        <v>#REF!</v>
      </c>
      <c r="Z15" s="39" t="e">
        <f>'R1'!#REF!</f>
        <v>#REF!</v>
      </c>
      <c r="AA15" s="39" t="e">
        <f>'R1'!#REF!</f>
        <v>#REF!</v>
      </c>
      <c r="AB15" s="39" t="e">
        <f>'R1'!#REF!</f>
        <v>#REF!</v>
      </c>
      <c r="AC15" s="39" t="e">
        <f>'R1'!#REF!</f>
        <v>#REF!</v>
      </c>
      <c r="AD15"/>
      <c r="AE15" s="39">
        <f>'R1'!O37</f>
        <v>1.0289997124392254</v>
      </c>
      <c r="AF15" s="39" t="str">
        <f>'R1'!P37</f>
        <v/>
      </c>
      <c r="AG15" s="39" t="str">
        <f>'R1'!Q37</f>
        <v/>
      </c>
      <c r="AH15" s="39" t="str">
        <f>'R1'!R37</f>
        <v/>
      </c>
      <c r="AI15" s="39" t="str">
        <f>'R1'!S37</f>
        <v/>
      </c>
      <c r="AJ15" s="39" t="str">
        <f>'R1'!T37</f>
        <v/>
      </c>
      <c r="AK15" s="39" t="str">
        <f>'R1'!U37</f>
        <v/>
      </c>
      <c r="AL15" s="39" t="str">
        <f>'R1'!V37</f>
        <v/>
      </c>
      <c r="AM15" s="39" t="str">
        <f>'R1'!W37</f>
        <v/>
      </c>
      <c r="AN15" s="39" t="str">
        <f>'R1'!X37</f>
        <v/>
      </c>
      <c r="AO15" s="39" t="str">
        <f>'R1'!Y37</f>
        <v/>
      </c>
      <c r="AP15" s="39" t="str">
        <f>'R1'!Z37</f>
        <v/>
      </c>
      <c r="AQ15" s="39" t="str">
        <f>'R1'!AA37</f>
        <v/>
      </c>
      <c r="AR15" s="39" t="str">
        <f>'R1'!AB37</f>
        <v/>
      </c>
      <c r="AS15" s="39" t="str">
        <f>'R1'!AC37</f>
        <v/>
      </c>
      <c r="AT15" s="39" t="str">
        <f>'R1'!AD37</f>
        <v/>
      </c>
      <c r="AU15" s="39" t="str">
        <f>'R1'!AE37</f>
        <v/>
      </c>
      <c r="AV15" s="39" t="str">
        <f>'R1'!AF37</f>
        <v/>
      </c>
      <c r="AW15" s="39" t="str">
        <f>'R1'!AG37</f>
        <v/>
      </c>
      <c r="AX15" s="39" t="str">
        <f>'R1'!AH37</f>
        <v/>
      </c>
      <c r="AY15" s="39" t="str">
        <f>'R1'!AI37</f>
        <v/>
      </c>
      <c r="AZ15" s="39" t="str">
        <f>'R1'!AJ37</f>
        <v/>
      </c>
      <c r="BA15" s="39" t="str">
        <f>'R1'!AK37</f>
        <v/>
      </c>
    </row>
    <row r="16" spans="1:53" s="1" customFormat="1" x14ac:dyDescent="0.25">
      <c r="A16" s="156"/>
      <c r="B16" s="39" t="str">
        <f>'R1'!B38</f>
        <v/>
      </c>
      <c r="C16" s="39" t="str">
        <f>'R1'!C38</f>
        <v/>
      </c>
      <c r="D16" s="39" t="str">
        <f>'R1'!D38</f>
        <v/>
      </c>
      <c r="E16" s="39" t="str">
        <f>'R1'!E38</f>
        <v/>
      </c>
      <c r="F16" s="39" t="str">
        <f>'R1'!F38</f>
        <v/>
      </c>
      <c r="G16" s="39" t="str">
        <f>'R1'!G38</f>
        <v/>
      </c>
      <c r="H16" s="39" t="str">
        <f>'R1'!H38</f>
        <v/>
      </c>
      <c r="I16" s="39" t="str">
        <f>'R1'!I38</f>
        <v/>
      </c>
      <c r="J16" s="39" t="str">
        <f>'R1'!J38</f>
        <v/>
      </c>
      <c r="K16" s="39" t="str">
        <f>'R1'!K38</f>
        <v/>
      </c>
      <c r="L16" s="39" t="str">
        <f>'R1'!L38</f>
        <v/>
      </c>
      <c r="M16" s="39" t="str">
        <f>'R1'!M38</f>
        <v/>
      </c>
      <c r="N16" s="39" t="e">
        <f>'R1'!#REF!</f>
        <v>#REF!</v>
      </c>
      <c r="O16" s="39" t="e">
        <f>'R1'!#REF!</f>
        <v>#REF!</v>
      </c>
      <c r="P16" s="39" t="e">
        <f>'R1'!#REF!</f>
        <v>#REF!</v>
      </c>
      <c r="Q16" s="39" t="e">
        <f>'R1'!#REF!</f>
        <v>#REF!</v>
      </c>
      <c r="R16" s="39" t="e">
        <f>'R1'!#REF!</f>
        <v>#REF!</v>
      </c>
      <c r="S16" s="39" t="e">
        <f>'R1'!#REF!</f>
        <v>#REF!</v>
      </c>
      <c r="T16" s="39" t="e">
        <f>'R1'!#REF!</f>
        <v>#REF!</v>
      </c>
      <c r="U16" s="39" t="e">
        <f>'R1'!#REF!</f>
        <v>#REF!</v>
      </c>
      <c r="V16" s="39" t="e">
        <f>'R1'!#REF!</f>
        <v>#REF!</v>
      </c>
      <c r="W16" s="39" t="e">
        <f>'R1'!#REF!</f>
        <v>#REF!</v>
      </c>
      <c r="X16" s="39" t="e">
        <f>'R1'!#REF!</f>
        <v>#REF!</v>
      </c>
      <c r="Y16" s="39" t="e">
        <f>'R1'!#REF!</f>
        <v>#REF!</v>
      </c>
      <c r="Z16" s="39" t="e">
        <f>'R1'!#REF!</f>
        <v>#REF!</v>
      </c>
      <c r="AA16" s="39" t="e">
        <f>'R1'!#REF!</f>
        <v>#REF!</v>
      </c>
      <c r="AB16" s="39" t="e">
        <f>'R1'!#REF!</f>
        <v>#REF!</v>
      </c>
      <c r="AC16" s="39" t="e">
        <f>'R1'!#REF!</f>
        <v>#REF!</v>
      </c>
      <c r="AD16"/>
      <c r="AE16" s="39">
        <f>'R1'!O38</f>
        <v>0</v>
      </c>
      <c r="AF16" s="39" t="str">
        <f>'R1'!P38</f>
        <v/>
      </c>
      <c r="AG16" s="39" t="str">
        <f>'R1'!Q38</f>
        <v/>
      </c>
      <c r="AH16" s="39" t="str">
        <f>'R1'!R38</f>
        <v/>
      </c>
      <c r="AI16" s="39" t="str">
        <f>'R1'!S38</f>
        <v/>
      </c>
      <c r="AJ16" s="39" t="str">
        <f>'R1'!T38</f>
        <v/>
      </c>
      <c r="AK16" s="39" t="str">
        <f>'R1'!U38</f>
        <v/>
      </c>
      <c r="AL16" s="39" t="str">
        <f>'R1'!V38</f>
        <v/>
      </c>
      <c r="AM16" s="39" t="str">
        <f>'R1'!W38</f>
        <v/>
      </c>
      <c r="AN16" s="39" t="str">
        <f>'R1'!X38</f>
        <v/>
      </c>
      <c r="AO16" s="39" t="str">
        <f>'R1'!Y38</f>
        <v/>
      </c>
      <c r="AP16" s="39" t="str">
        <f>'R1'!Z38</f>
        <v/>
      </c>
      <c r="AQ16" s="39" t="str">
        <f>'R1'!AA38</f>
        <v/>
      </c>
      <c r="AR16" s="39" t="str">
        <f>'R1'!AB38</f>
        <v/>
      </c>
      <c r="AS16" s="39" t="str">
        <f>'R1'!AC38</f>
        <v/>
      </c>
      <c r="AT16" s="39" t="str">
        <f>'R1'!AD38</f>
        <v/>
      </c>
      <c r="AU16" s="39" t="str">
        <f>'R1'!AE38</f>
        <v/>
      </c>
      <c r="AV16" s="39" t="str">
        <f>'R1'!AF38</f>
        <v/>
      </c>
      <c r="AW16" s="39" t="str">
        <f>'R1'!AG38</f>
        <v/>
      </c>
      <c r="AX16" s="39" t="str">
        <f>'R1'!AH38</f>
        <v/>
      </c>
      <c r="AY16" s="39" t="str">
        <f>'R1'!AI38</f>
        <v/>
      </c>
      <c r="AZ16" s="39" t="str">
        <f>'R1'!AJ38</f>
        <v/>
      </c>
      <c r="BA16" s="39" t="str">
        <f>'R1'!AK38</f>
        <v/>
      </c>
    </row>
    <row r="17" spans="1:53" s="1" customFormat="1" x14ac:dyDescent="0.25">
      <c r="A17" s="156"/>
      <c r="B17" s="39" t="str">
        <f>'R1'!B39</f>
        <v/>
      </c>
      <c r="C17" s="39" t="str">
        <f>'R1'!C39</f>
        <v/>
      </c>
      <c r="D17" s="39" t="str">
        <f>'R1'!D39</f>
        <v/>
      </c>
      <c r="E17" s="39" t="str">
        <f>'R1'!E39</f>
        <v/>
      </c>
      <c r="F17" s="39" t="str">
        <f>'R1'!F39</f>
        <v/>
      </c>
      <c r="G17" s="39" t="str">
        <f>'R1'!G39</f>
        <v/>
      </c>
      <c r="H17" s="39" t="str">
        <f>'R1'!H39</f>
        <v/>
      </c>
      <c r="I17" s="39" t="str">
        <f>'R1'!I39</f>
        <v/>
      </c>
      <c r="J17" s="39" t="str">
        <f>'R1'!J39</f>
        <v/>
      </c>
      <c r="K17" s="39" t="str">
        <f>'R1'!K39</f>
        <v/>
      </c>
      <c r="L17" s="39" t="str">
        <f>'R1'!L39</f>
        <v/>
      </c>
      <c r="M17" s="39" t="str">
        <f>'R1'!M39</f>
        <v/>
      </c>
      <c r="N17" s="39" t="e">
        <f>'R1'!#REF!</f>
        <v>#REF!</v>
      </c>
      <c r="O17" s="39" t="e">
        <f>'R1'!#REF!</f>
        <v>#REF!</v>
      </c>
      <c r="P17" s="39" t="e">
        <f>'R1'!#REF!</f>
        <v>#REF!</v>
      </c>
      <c r="Q17" s="39" t="e">
        <f>'R1'!#REF!</f>
        <v>#REF!</v>
      </c>
      <c r="R17" s="39" t="e">
        <f>'R1'!#REF!</f>
        <v>#REF!</v>
      </c>
      <c r="S17" s="39" t="e">
        <f>'R1'!#REF!</f>
        <v>#REF!</v>
      </c>
      <c r="T17" s="39" t="e">
        <f>'R1'!#REF!</f>
        <v>#REF!</v>
      </c>
      <c r="U17" s="39" t="e">
        <f>'R1'!#REF!</f>
        <v>#REF!</v>
      </c>
      <c r="V17" s="39" t="e">
        <f>'R1'!#REF!</f>
        <v>#REF!</v>
      </c>
      <c r="W17" s="39" t="e">
        <f>'R1'!#REF!</f>
        <v>#REF!</v>
      </c>
      <c r="X17" s="39" t="e">
        <f>'R1'!#REF!</f>
        <v>#REF!</v>
      </c>
      <c r="Y17" s="39" t="e">
        <f>'R1'!#REF!</f>
        <v>#REF!</v>
      </c>
      <c r="Z17" s="39" t="e">
        <f>'R1'!#REF!</f>
        <v>#REF!</v>
      </c>
      <c r="AA17" s="39" t="e">
        <f>'R1'!#REF!</f>
        <v>#REF!</v>
      </c>
      <c r="AB17" s="39" t="e">
        <f>'R1'!#REF!</f>
        <v>#REF!</v>
      </c>
      <c r="AC17" s="39" t="e">
        <f>'R1'!#REF!</f>
        <v>#REF!</v>
      </c>
      <c r="AD17"/>
      <c r="AE17" s="39">
        <f>'R1'!O39</f>
        <v>1.7088158574188892</v>
      </c>
      <c r="AF17" s="39" t="str">
        <f>'R1'!P39</f>
        <v/>
      </c>
      <c r="AG17" s="39" t="str">
        <f>'R1'!Q39</f>
        <v/>
      </c>
      <c r="AH17" s="39" t="str">
        <f>'R1'!R39</f>
        <v/>
      </c>
      <c r="AI17" s="39" t="str">
        <f>'R1'!S39</f>
        <v/>
      </c>
      <c r="AJ17" s="39" t="str">
        <f>'R1'!T39</f>
        <v/>
      </c>
      <c r="AK17" s="39" t="str">
        <f>'R1'!U39</f>
        <v/>
      </c>
      <c r="AL17" s="39" t="str">
        <f>'R1'!V39</f>
        <v/>
      </c>
      <c r="AM17" s="39" t="str">
        <f>'R1'!W39</f>
        <v/>
      </c>
      <c r="AN17" s="39" t="str">
        <f>'R1'!X39</f>
        <v/>
      </c>
      <c r="AO17" s="39" t="str">
        <f>'R1'!Y39</f>
        <v/>
      </c>
      <c r="AP17" s="39" t="str">
        <f>'R1'!Z39</f>
        <v/>
      </c>
      <c r="AQ17" s="39" t="str">
        <f>'R1'!AA39</f>
        <v/>
      </c>
      <c r="AR17" s="39" t="str">
        <f>'R1'!AB39</f>
        <v/>
      </c>
      <c r="AS17" s="39" t="str">
        <f>'R1'!AC39</f>
        <v/>
      </c>
      <c r="AT17" s="39" t="str">
        <f>'R1'!AD39</f>
        <v/>
      </c>
      <c r="AU17" s="39" t="str">
        <f>'R1'!AE39</f>
        <v/>
      </c>
      <c r="AV17" s="39" t="str">
        <f>'R1'!AF39</f>
        <v/>
      </c>
      <c r="AW17" s="39" t="str">
        <f>'R1'!AG39</f>
        <v/>
      </c>
      <c r="AX17" s="39" t="str">
        <f>'R1'!AH39</f>
        <v/>
      </c>
      <c r="AY17" s="39" t="str">
        <f>'R1'!AI39</f>
        <v/>
      </c>
      <c r="AZ17" s="39" t="str">
        <f>'R1'!AJ39</f>
        <v/>
      </c>
      <c r="BA17" s="39" t="str">
        <f>'R1'!AK39</f>
        <v/>
      </c>
    </row>
    <row r="18" spans="1:53" s="1" customFormat="1" x14ac:dyDescent="0.25">
      <c r="A18" s="156"/>
      <c r="B18" s="39" t="str">
        <f>'R1'!B40</f>
        <v/>
      </c>
      <c r="C18" s="39" t="str">
        <f>'R1'!C40</f>
        <v/>
      </c>
      <c r="D18" s="39" t="str">
        <f>'R1'!D40</f>
        <v/>
      </c>
      <c r="E18" s="39" t="str">
        <f>'R1'!E40</f>
        <v/>
      </c>
      <c r="F18" s="39" t="str">
        <f>'R1'!F40</f>
        <v/>
      </c>
      <c r="G18" s="39" t="str">
        <f>'R1'!G40</f>
        <v/>
      </c>
      <c r="H18" s="39" t="str">
        <f>'R1'!H40</f>
        <v/>
      </c>
      <c r="I18" s="39" t="str">
        <f>'R1'!I40</f>
        <v/>
      </c>
      <c r="J18" s="39" t="str">
        <f>'R1'!J40</f>
        <v/>
      </c>
      <c r="K18" s="39" t="str">
        <f>'R1'!K40</f>
        <v/>
      </c>
      <c r="L18" s="39" t="str">
        <f>'R1'!L40</f>
        <v/>
      </c>
      <c r="M18" s="39" t="str">
        <f>'R1'!M40</f>
        <v/>
      </c>
      <c r="N18" s="39" t="e">
        <f>'R1'!#REF!</f>
        <v>#REF!</v>
      </c>
      <c r="O18" s="39" t="e">
        <f>'R1'!#REF!</f>
        <v>#REF!</v>
      </c>
      <c r="P18" s="39" t="e">
        <f>'R1'!#REF!</f>
        <v>#REF!</v>
      </c>
      <c r="Q18" s="39" t="e">
        <f>'R1'!#REF!</f>
        <v>#REF!</v>
      </c>
      <c r="R18" s="39" t="e">
        <f>'R1'!#REF!</f>
        <v>#REF!</v>
      </c>
      <c r="S18" s="39" t="e">
        <f>'R1'!#REF!</f>
        <v>#REF!</v>
      </c>
      <c r="T18" s="39" t="e">
        <f>'R1'!#REF!</f>
        <v>#REF!</v>
      </c>
      <c r="U18" s="39" t="e">
        <f>'R1'!#REF!</f>
        <v>#REF!</v>
      </c>
      <c r="V18" s="39" t="e">
        <f>'R1'!#REF!</f>
        <v>#REF!</v>
      </c>
      <c r="W18" s="39" t="e">
        <f>'R1'!#REF!</f>
        <v>#REF!</v>
      </c>
      <c r="X18" s="39" t="e">
        <f>'R1'!#REF!</f>
        <v>#REF!</v>
      </c>
      <c r="Y18" s="39" t="e">
        <f>'R1'!#REF!</f>
        <v>#REF!</v>
      </c>
      <c r="Z18" s="39" t="e">
        <f>'R1'!#REF!</f>
        <v>#REF!</v>
      </c>
      <c r="AA18" s="39" t="e">
        <f>'R1'!#REF!</f>
        <v>#REF!</v>
      </c>
      <c r="AB18" s="39" t="e">
        <f>'R1'!#REF!</f>
        <v>#REF!</v>
      </c>
      <c r="AC18" s="39" t="e">
        <f>'R1'!#REF!</f>
        <v>#REF!</v>
      </c>
      <c r="AD18"/>
      <c r="AE18" s="39">
        <f>'R1'!O40</f>
        <v>0.55926739934223668</v>
      </c>
      <c r="AF18" s="39" t="str">
        <f>'R1'!P40</f>
        <v/>
      </c>
      <c r="AG18" s="39" t="str">
        <f>'R1'!Q40</f>
        <v/>
      </c>
      <c r="AH18" s="39" t="str">
        <f>'R1'!R40</f>
        <v/>
      </c>
      <c r="AI18" s="39" t="str">
        <f>'R1'!S40</f>
        <v/>
      </c>
      <c r="AJ18" s="39" t="str">
        <f>'R1'!T40</f>
        <v/>
      </c>
      <c r="AK18" s="39" t="str">
        <f>'R1'!U40</f>
        <v/>
      </c>
      <c r="AL18" s="39" t="str">
        <f>'R1'!V40</f>
        <v/>
      </c>
      <c r="AM18" s="39" t="str">
        <f>'R1'!W40</f>
        <v/>
      </c>
      <c r="AN18" s="39" t="str">
        <f>'R1'!X40</f>
        <v/>
      </c>
      <c r="AO18" s="39" t="str">
        <f>'R1'!Y40</f>
        <v/>
      </c>
      <c r="AP18" s="39" t="str">
        <f>'R1'!Z40</f>
        <v/>
      </c>
      <c r="AQ18" s="39" t="str">
        <f>'R1'!AA40</f>
        <v/>
      </c>
      <c r="AR18" s="39" t="str">
        <f>'R1'!AB40</f>
        <v/>
      </c>
      <c r="AS18" s="39" t="str">
        <f>'R1'!AC40</f>
        <v/>
      </c>
      <c r="AT18" s="39" t="str">
        <f>'R1'!AD40</f>
        <v/>
      </c>
      <c r="AU18" s="39" t="str">
        <f>'R1'!AE40</f>
        <v/>
      </c>
      <c r="AV18" s="39" t="str">
        <f>'R1'!AF40</f>
        <v/>
      </c>
      <c r="AW18" s="39" t="str">
        <f>'R1'!AG40</f>
        <v/>
      </c>
      <c r="AX18" s="39" t="str">
        <f>'R1'!AH40</f>
        <v/>
      </c>
      <c r="AY18" s="39" t="str">
        <f>'R1'!AI40</f>
        <v/>
      </c>
      <c r="AZ18" s="39" t="str">
        <f>'R1'!AJ40</f>
        <v/>
      </c>
      <c r="BA18" s="39" t="str">
        <f>'R1'!AK40</f>
        <v/>
      </c>
    </row>
    <row r="19" spans="1:53" s="1" customFormat="1" x14ac:dyDescent="0.25">
      <c r="A19" s="156"/>
      <c r="B19" s="39" t="str">
        <f>'R1'!B41</f>
        <v/>
      </c>
      <c r="C19" s="39" t="str">
        <f>'R1'!C41</f>
        <v/>
      </c>
      <c r="D19" s="39" t="str">
        <f>'R1'!D41</f>
        <v/>
      </c>
      <c r="E19" s="39" t="str">
        <f>'R1'!E41</f>
        <v/>
      </c>
      <c r="F19" s="39" t="str">
        <f>'R1'!F41</f>
        <v/>
      </c>
      <c r="G19" s="39" t="str">
        <f>'R1'!G41</f>
        <v/>
      </c>
      <c r="H19" s="39" t="str">
        <f>'R1'!H41</f>
        <v/>
      </c>
      <c r="I19" s="39" t="str">
        <f>'R1'!I41</f>
        <v/>
      </c>
      <c r="J19" s="39" t="str">
        <f>'R1'!J41</f>
        <v/>
      </c>
      <c r="K19" s="39" t="str">
        <f>'R1'!K41</f>
        <v/>
      </c>
      <c r="L19" s="39" t="str">
        <f>'R1'!L41</f>
        <v/>
      </c>
      <c r="M19" s="39" t="str">
        <f>'R1'!M41</f>
        <v/>
      </c>
      <c r="N19" s="39" t="e">
        <f>'R1'!#REF!</f>
        <v>#REF!</v>
      </c>
      <c r="O19" s="39" t="e">
        <f>'R1'!#REF!</f>
        <v>#REF!</v>
      </c>
      <c r="P19" s="39" t="e">
        <f>'R1'!#REF!</f>
        <v>#REF!</v>
      </c>
      <c r="Q19" s="39" t="e">
        <f>'R1'!#REF!</f>
        <v>#REF!</v>
      </c>
      <c r="R19" s="39" t="e">
        <f>'R1'!#REF!</f>
        <v>#REF!</v>
      </c>
      <c r="S19" s="39" t="e">
        <f>'R1'!#REF!</f>
        <v>#REF!</v>
      </c>
      <c r="T19" s="39" t="e">
        <f>'R1'!#REF!</f>
        <v>#REF!</v>
      </c>
      <c r="U19" s="39" t="e">
        <f>'R1'!#REF!</f>
        <v>#REF!</v>
      </c>
      <c r="V19" s="39" t="e">
        <f>'R1'!#REF!</f>
        <v>#REF!</v>
      </c>
      <c r="W19" s="39" t="e">
        <f>'R1'!#REF!</f>
        <v>#REF!</v>
      </c>
      <c r="X19" s="39" t="e">
        <f>'R1'!#REF!</f>
        <v>#REF!</v>
      </c>
      <c r="Y19" s="39" t="e">
        <f>'R1'!#REF!</f>
        <v>#REF!</v>
      </c>
      <c r="Z19" s="39" t="e">
        <f>'R1'!#REF!</f>
        <v>#REF!</v>
      </c>
      <c r="AA19" s="39" t="e">
        <f>'R1'!#REF!</f>
        <v>#REF!</v>
      </c>
      <c r="AB19" s="39" t="e">
        <f>'R1'!#REF!</f>
        <v>#REF!</v>
      </c>
      <c r="AC19" s="39" t="e">
        <f>'R1'!#REF!</f>
        <v>#REF!</v>
      </c>
      <c r="AD19"/>
      <c r="AE19" s="39">
        <f>'R1'!O41</f>
        <v>1.3951406825967505</v>
      </c>
      <c r="AF19" s="39" t="str">
        <f>'R1'!P41</f>
        <v/>
      </c>
      <c r="AG19" s="39" t="str">
        <f>'R1'!Q41</f>
        <v/>
      </c>
      <c r="AH19" s="39" t="str">
        <f>'R1'!R41</f>
        <v/>
      </c>
      <c r="AI19" s="39" t="str">
        <f>'R1'!S41</f>
        <v/>
      </c>
      <c r="AJ19" s="39" t="str">
        <f>'R1'!T41</f>
        <v/>
      </c>
      <c r="AK19" s="39" t="str">
        <f>'R1'!U41</f>
        <v/>
      </c>
      <c r="AL19" s="39" t="str">
        <f>'R1'!V41</f>
        <v/>
      </c>
      <c r="AM19" s="39" t="str">
        <f>'R1'!W41</f>
        <v/>
      </c>
      <c r="AN19" s="39" t="str">
        <f>'R1'!X41</f>
        <v/>
      </c>
      <c r="AO19" s="39" t="str">
        <f>'R1'!Y41</f>
        <v/>
      </c>
      <c r="AP19" s="39" t="str">
        <f>'R1'!Z41</f>
        <v/>
      </c>
      <c r="AQ19" s="39" t="str">
        <f>'R1'!AA41</f>
        <v/>
      </c>
      <c r="AR19" s="39" t="str">
        <f>'R1'!AB41</f>
        <v/>
      </c>
      <c r="AS19" s="39" t="str">
        <f>'R1'!AC41</f>
        <v/>
      </c>
      <c r="AT19" s="39" t="str">
        <f>'R1'!AD41</f>
        <v/>
      </c>
      <c r="AU19" s="39" t="str">
        <f>'R1'!AE41</f>
        <v/>
      </c>
      <c r="AV19" s="39" t="str">
        <f>'R1'!AF41</f>
        <v/>
      </c>
      <c r="AW19" s="39" t="str">
        <f>'R1'!AG41</f>
        <v/>
      </c>
      <c r="AX19" s="39" t="str">
        <f>'R1'!AH41</f>
        <v/>
      </c>
      <c r="AY19" s="39" t="str">
        <f>'R1'!AI41</f>
        <v/>
      </c>
      <c r="AZ19" s="39" t="str">
        <f>'R1'!AJ41</f>
        <v/>
      </c>
      <c r="BA19" s="39" t="str">
        <f>'R1'!AK41</f>
        <v/>
      </c>
    </row>
    <row r="20" spans="1:53" s="1" customFormat="1" x14ac:dyDescent="0.25">
      <c r="A20" s="156"/>
      <c r="B20" s="39" t="str">
        <f>'R1'!B42</f>
        <v/>
      </c>
      <c r="C20" s="39" t="str">
        <f>'R1'!C42</f>
        <v/>
      </c>
      <c r="D20" s="39" t="str">
        <f>'R1'!D42</f>
        <v/>
      </c>
      <c r="E20" s="39" t="str">
        <f>'R1'!E42</f>
        <v/>
      </c>
      <c r="F20" s="39" t="str">
        <f>'R1'!F42</f>
        <v/>
      </c>
      <c r="G20" s="39" t="str">
        <f>'R1'!G42</f>
        <v/>
      </c>
      <c r="H20" s="39" t="str">
        <f>'R1'!H42</f>
        <v/>
      </c>
      <c r="I20" s="39" t="str">
        <f>'R1'!I42</f>
        <v/>
      </c>
      <c r="J20" s="39" t="str">
        <f>'R1'!J42</f>
        <v/>
      </c>
      <c r="K20" s="39" t="str">
        <f>'R1'!K42</f>
        <v/>
      </c>
      <c r="L20" s="39" t="str">
        <f>'R1'!L42</f>
        <v/>
      </c>
      <c r="M20" s="39" t="str">
        <f>'R1'!M42</f>
        <v/>
      </c>
      <c r="N20" s="39" t="e">
        <f>'R1'!#REF!</f>
        <v>#REF!</v>
      </c>
      <c r="O20" s="39" t="e">
        <f>'R1'!#REF!</f>
        <v>#REF!</v>
      </c>
      <c r="P20" s="39" t="e">
        <f>'R1'!#REF!</f>
        <v>#REF!</v>
      </c>
      <c r="Q20" s="39" t="e">
        <f>'R1'!#REF!</f>
        <v>#REF!</v>
      </c>
      <c r="R20" s="39" t="e">
        <f>'R1'!#REF!</f>
        <v>#REF!</v>
      </c>
      <c r="S20" s="39" t="e">
        <f>'R1'!#REF!</f>
        <v>#REF!</v>
      </c>
      <c r="T20" s="39" t="e">
        <f>'R1'!#REF!</f>
        <v>#REF!</v>
      </c>
      <c r="U20" s="39" t="e">
        <f>'R1'!#REF!</f>
        <v>#REF!</v>
      </c>
      <c r="V20" s="39" t="e">
        <f>'R1'!#REF!</f>
        <v>#REF!</v>
      </c>
      <c r="W20" s="39" t="e">
        <f>'R1'!#REF!</f>
        <v>#REF!</v>
      </c>
      <c r="X20" s="39" t="e">
        <f>'R1'!#REF!</f>
        <v>#REF!</v>
      </c>
      <c r="Y20" s="39" t="e">
        <f>'R1'!#REF!</f>
        <v>#REF!</v>
      </c>
      <c r="Z20" s="39" t="e">
        <f>'R1'!#REF!</f>
        <v>#REF!</v>
      </c>
      <c r="AA20" s="39" t="e">
        <f>'R1'!#REF!</f>
        <v>#REF!</v>
      </c>
      <c r="AB20" s="39" t="e">
        <f>'R1'!#REF!</f>
        <v>#REF!</v>
      </c>
      <c r="AC20" s="39" t="e">
        <f>'R1'!#REF!</f>
        <v>#REF!</v>
      </c>
      <c r="AD20"/>
      <c r="AE20" s="39">
        <f>'R1'!O42</f>
        <v>1.54640888690485</v>
      </c>
      <c r="AF20" s="39" t="str">
        <f>'R1'!P42</f>
        <v/>
      </c>
      <c r="AG20" s="39" t="str">
        <f>'R1'!Q42</f>
        <v/>
      </c>
      <c r="AH20" s="39" t="str">
        <f>'R1'!R42</f>
        <v/>
      </c>
      <c r="AI20" s="39" t="str">
        <f>'R1'!S42</f>
        <v/>
      </c>
      <c r="AJ20" s="39" t="str">
        <f>'R1'!T42</f>
        <v/>
      </c>
      <c r="AK20" s="39" t="str">
        <f>'R1'!U42</f>
        <v/>
      </c>
      <c r="AL20" s="39" t="str">
        <f>'R1'!V42</f>
        <v/>
      </c>
      <c r="AM20" s="39" t="str">
        <f>'R1'!W42</f>
        <v/>
      </c>
      <c r="AN20" s="39" t="str">
        <f>'R1'!X42</f>
        <v/>
      </c>
      <c r="AO20" s="39" t="str">
        <f>'R1'!Y42</f>
        <v/>
      </c>
      <c r="AP20" s="39" t="str">
        <f>'R1'!Z42</f>
        <v/>
      </c>
      <c r="AQ20" s="39" t="str">
        <f>'R1'!AA42</f>
        <v/>
      </c>
      <c r="AR20" s="39" t="str">
        <f>'R1'!AB42</f>
        <v/>
      </c>
      <c r="AS20" s="39" t="str">
        <f>'R1'!AC42</f>
        <v/>
      </c>
      <c r="AT20" s="39" t="str">
        <f>'R1'!AD42</f>
        <v/>
      </c>
      <c r="AU20" s="39" t="str">
        <f>'R1'!AE42</f>
        <v/>
      </c>
      <c r="AV20" s="39" t="str">
        <f>'R1'!AF42</f>
        <v/>
      </c>
      <c r="AW20" s="39" t="str">
        <f>'R1'!AG42</f>
        <v/>
      </c>
      <c r="AX20" s="39" t="str">
        <f>'R1'!AH42</f>
        <v/>
      </c>
      <c r="AY20" s="39" t="str">
        <f>'R1'!AI42</f>
        <v/>
      </c>
      <c r="AZ20" s="39" t="str">
        <f>'R1'!AJ42</f>
        <v/>
      </c>
      <c r="BA20" s="39" t="str">
        <f>'R1'!AK42</f>
        <v/>
      </c>
    </row>
    <row r="21" spans="1:53" s="1" customFormat="1" x14ac:dyDescent="0.25">
      <c r="A21" s="157"/>
      <c r="B21" s="39" t="str">
        <f>'R1'!B43</f>
        <v/>
      </c>
      <c r="C21" s="39" t="str">
        <f>'R1'!C43</f>
        <v/>
      </c>
      <c r="D21" s="39" t="str">
        <f>'R1'!D43</f>
        <v/>
      </c>
      <c r="E21" s="39" t="str">
        <f>'R1'!E43</f>
        <v/>
      </c>
      <c r="F21" s="39" t="str">
        <f>'R1'!F43</f>
        <v/>
      </c>
      <c r="G21" s="39" t="str">
        <f>'R1'!G43</f>
        <v/>
      </c>
      <c r="H21" s="39" t="str">
        <f>'R1'!H43</f>
        <v/>
      </c>
      <c r="I21" s="39" t="str">
        <f>'R1'!I43</f>
        <v/>
      </c>
      <c r="J21" s="39" t="str">
        <f>'R1'!J43</f>
        <v/>
      </c>
      <c r="K21" s="39" t="str">
        <f>'R1'!K43</f>
        <v/>
      </c>
      <c r="L21" s="39" t="str">
        <f>'R1'!L43</f>
        <v/>
      </c>
      <c r="M21" s="39" t="str">
        <f>'R1'!M43</f>
        <v/>
      </c>
      <c r="N21" s="39" t="e">
        <f>'R1'!#REF!</f>
        <v>#REF!</v>
      </c>
      <c r="O21" s="39" t="e">
        <f>'R1'!#REF!</f>
        <v>#REF!</v>
      </c>
      <c r="P21" s="39" t="e">
        <f>'R1'!#REF!</f>
        <v>#REF!</v>
      </c>
      <c r="Q21" s="39" t="e">
        <f>'R1'!#REF!</f>
        <v>#REF!</v>
      </c>
      <c r="R21" s="39" t="e">
        <f>'R1'!#REF!</f>
        <v>#REF!</v>
      </c>
      <c r="S21" s="39" t="e">
        <f>'R1'!#REF!</f>
        <v>#REF!</v>
      </c>
      <c r="T21" s="39" t="e">
        <f>'R1'!#REF!</f>
        <v>#REF!</v>
      </c>
      <c r="U21" s="39" t="e">
        <f>'R1'!#REF!</f>
        <v>#REF!</v>
      </c>
      <c r="V21" s="39" t="e">
        <f>'R1'!#REF!</f>
        <v>#REF!</v>
      </c>
      <c r="W21" s="39" t="e">
        <f>'R1'!#REF!</f>
        <v>#REF!</v>
      </c>
      <c r="X21" s="39" t="e">
        <f>'R1'!#REF!</f>
        <v>#REF!</v>
      </c>
      <c r="Y21" s="39" t="e">
        <f>'R1'!#REF!</f>
        <v>#REF!</v>
      </c>
      <c r="Z21" s="39" t="e">
        <f>'R1'!#REF!</f>
        <v>#REF!</v>
      </c>
      <c r="AA21" s="39" t="e">
        <f>'R1'!#REF!</f>
        <v>#REF!</v>
      </c>
      <c r="AB21" s="39" t="e">
        <f>'R1'!#REF!</f>
        <v>#REF!</v>
      </c>
      <c r="AC21" s="39" t="e">
        <f>'R1'!#REF!</f>
        <v>#REF!</v>
      </c>
      <c r="AD21"/>
      <c r="AE21" s="39">
        <f>'R1'!O43</f>
        <v>1.2427365366139438</v>
      </c>
      <c r="AF21" s="39" t="str">
        <f>'R1'!P43</f>
        <v/>
      </c>
      <c r="AG21" s="39" t="str">
        <f>'R1'!Q43</f>
        <v/>
      </c>
      <c r="AH21" s="39" t="str">
        <f>'R1'!R43</f>
        <v/>
      </c>
      <c r="AI21" s="39" t="str">
        <f>'R1'!S43</f>
        <v/>
      </c>
      <c r="AJ21" s="39" t="str">
        <f>'R1'!T43</f>
        <v/>
      </c>
      <c r="AK21" s="39" t="str">
        <f>'R1'!U43</f>
        <v/>
      </c>
      <c r="AL21" s="39" t="str">
        <f>'R1'!V43</f>
        <v/>
      </c>
      <c r="AM21" s="39" t="str">
        <f>'R1'!W43</f>
        <v/>
      </c>
      <c r="AN21" s="39" t="str">
        <f>'R1'!X43</f>
        <v/>
      </c>
      <c r="AO21" s="39" t="str">
        <f>'R1'!Y43</f>
        <v/>
      </c>
      <c r="AP21" s="39" t="str">
        <f>'R1'!Z43</f>
        <v/>
      </c>
      <c r="AQ21" s="39" t="str">
        <f>'R1'!AA43</f>
        <v/>
      </c>
      <c r="AR21" s="39" t="str">
        <f>'R1'!AB43</f>
        <v/>
      </c>
      <c r="AS21" s="39" t="str">
        <f>'R1'!AC43</f>
        <v/>
      </c>
      <c r="AT21" s="39" t="str">
        <f>'R1'!AD43</f>
        <v/>
      </c>
      <c r="AU21" s="39" t="str">
        <f>'R1'!AE43</f>
        <v/>
      </c>
      <c r="AV21" s="39" t="str">
        <f>'R1'!AF43</f>
        <v/>
      </c>
      <c r="AW21" s="39" t="str">
        <f>'R1'!AG43</f>
        <v/>
      </c>
      <c r="AX21" s="39" t="str">
        <f>'R1'!AH43</f>
        <v/>
      </c>
      <c r="AY21" s="39" t="str">
        <f>'R1'!AI43</f>
        <v/>
      </c>
      <c r="AZ21" s="39" t="str">
        <f>'R1'!AJ43</f>
        <v/>
      </c>
      <c r="BA21" s="39" t="str">
        <f>'R1'!AK43</f>
        <v/>
      </c>
    </row>
    <row r="22" spans="1:53" x14ac:dyDescent="0.25">
      <c r="A22" s="24" t="s">
        <v>5</v>
      </c>
      <c r="B22" s="40">
        <f>'R2'!B28</f>
        <v>9.9964414790879294E-2</v>
      </c>
      <c r="C22" s="40">
        <f>'R2'!C28</f>
        <v>5.0605937679569737E-2</v>
      </c>
      <c r="D22" s="40">
        <f>'R2'!D28</f>
        <v>0.10616820376616724</v>
      </c>
      <c r="E22" s="40">
        <f>'R2'!E28</f>
        <v>1.0347666794903752</v>
      </c>
      <c r="F22" s="40">
        <f>'R2'!F28</f>
        <v>0.97907780546550649</v>
      </c>
      <c r="G22" s="40">
        <f>'R2'!G28</f>
        <v>1.2966961611961099</v>
      </c>
      <c r="H22" s="40">
        <f>'R2'!H28</f>
        <v>1.0648099984895487</v>
      </c>
      <c r="I22" s="40">
        <f>'R2'!I28</f>
        <v>0</v>
      </c>
      <c r="J22" s="40">
        <f>'R2'!J28</f>
        <v>9.16418047309942E-3</v>
      </c>
      <c r="K22" s="40">
        <f>'R2'!K28</f>
        <v>0.15046981087241015</v>
      </c>
      <c r="L22" s="40">
        <f>'R2'!L28</f>
        <v>5.7312434645052084E-2</v>
      </c>
      <c r="M22" s="40">
        <f>'R2'!M28</f>
        <v>7.0639782029539213E-3</v>
      </c>
      <c r="N22" s="40" t="e">
        <f>'R2'!#REF!</f>
        <v>#REF!</v>
      </c>
      <c r="O22" s="40" t="e">
        <f>'R2'!#REF!</f>
        <v>#REF!</v>
      </c>
      <c r="P22" s="40" t="e">
        <f>'R2'!#REF!</f>
        <v>#REF!</v>
      </c>
      <c r="Q22" s="40" t="e">
        <f>'R2'!#REF!</f>
        <v>#REF!</v>
      </c>
      <c r="R22" s="40" t="e">
        <f>'R2'!#REF!</f>
        <v>#REF!</v>
      </c>
      <c r="S22" s="40" t="e">
        <f>'R2'!#REF!</f>
        <v>#REF!</v>
      </c>
      <c r="T22" s="40" t="e">
        <f>'R2'!#REF!</f>
        <v>#REF!</v>
      </c>
      <c r="U22" s="40" t="e">
        <f>'R2'!#REF!</f>
        <v>#REF!</v>
      </c>
      <c r="V22" s="40" t="e">
        <f>'R2'!#REF!</f>
        <v>#REF!</v>
      </c>
      <c r="W22" s="40" t="e">
        <f>'R2'!#REF!</f>
        <v>#REF!</v>
      </c>
      <c r="X22" s="40" t="e">
        <f>'R2'!#REF!</f>
        <v>#REF!</v>
      </c>
      <c r="Y22" s="40" t="e">
        <f>'R2'!#REF!</f>
        <v>#REF!</v>
      </c>
      <c r="Z22" s="40" t="e">
        <f>'R2'!#REF!</f>
        <v>#REF!</v>
      </c>
      <c r="AA22" s="40" t="e">
        <f>'R2'!#REF!</f>
        <v>#REF!</v>
      </c>
      <c r="AB22" s="40" t="e">
        <f>'R2'!#REF!</f>
        <v>#REF!</v>
      </c>
      <c r="AC22" s="40" t="e">
        <f>'R2'!#REF!</f>
        <v>#REF!</v>
      </c>
      <c r="AE22" s="40">
        <f>'R2'!O28</f>
        <v>0.86304907756574822</v>
      </c>
      <c r="AF22" s="40">
        <f>'R2'!P28</f>
        <v>1.4466074076349706</v>
      </c>
      <c r="AG22" s="40">
        <f>'R2'!Q28</f>
        <v>3.7412645759134451E-2</v>
      </c>
      <c r="AH22" s="40">
        <f>'R2'!R28</f>
        <v>0.43247409831990802</v>
      </c>
      <c r="AI22" s="40">
        <f>'R2'!S28</f>
        <v>0.20446437278217919</v>
      </c>
      <c r="AJ22" s="40">
        <f>'R2'!T28</f>
        <v>0.13878836668544839</v>
      </c>
      <c r="AK22" s="40">
        <f>'R2'!U28</f>
        <v>8.7419057613361231E-2</v>
      </c>
      <c r="AL22" s="40">
        <f>'R2'!V28</f>
        <v>0.1515571496363862</v>
      </c>
      <c r="AM22" s="40" t="str">
        <f>'R2'!W28</f>
        <v/>
      </c>
      <c r="AN22" s="40" t="str">
        <f>'R2'!X28</f>
        <v/>
      </c>
      <c r="AO22" s="40" t="str">
        <f>'R2'!Y28</f>
        <v/>
      </c>
      <c r="AP22" s="40" t="str">
        <f>'R2'!Z28</f>
        <v/>
      </c>
      <c r="AQ22" s="40" t="str">
        <f>'R2'!AA28</f>
        <v/>
      </c>
      <c r="AR22" s="40" t="str">
        <f>'R2'!AB28</f>
        <v/>
      </c>
      <c r="AS22" s="40" t="str">
        <f>'R2'!AC28</f>
        <v/>
      </c>
      <c r="AT22" s="40" t="str">
        <f>'R2'!AD28</f>
        <v/>
      </c>
      <c r="AU22" s="40" t="str">
        <f>'R2'!AE28</f>
        <v/>
      </c>
      <c r="AV22" s="40" t="str">
        <f>'R2'!AF28</f>
        <v/>
      </c>
      <c r="AW22" s="40" t="str">
        <f>'R2'!AG28</f>
        <v/>
      </c>
      <c r="AX22" s="40" t="str">
        <f>'R2'!AH28</f>
        <v/>
      </c>
      <c r="AY22" s="40" t="str">
        <f>'R2'!AI28</f>
        <v/>
      </c>
      <c r="AZ22" s="40" t="str">
        <f>'R2'!AJ28</f>
        <v/>
      </c>
      <c r="BA22" s="40" t="str">
        <f>'R2'!AK28</f>
        <v/>
      </c>
    </row>
    <row r="23" spans="1:53" x14ac:dyDescent="0.25">
      <c r="A23" s="155" t="s">
        <v>17</v>
      </c>
      <c r="B23" s="40">
        <f>'R2'!B29</f>
        <v>4.5355432004205991E-2</v>
      </c>
      <c r="C23" s="40">
        <f>'R2'!C29</f>
        <v>0.10743055938598874</v>
      </c>
      <c r="D23" s="40">
        <f>'R2'!D29</f>
        <v>5.1387927886538808E-2</v>
      </c>
      <c r="E23" s="40">
        <f>'R2'!E29</f>
        <v>0.98172167711763991</v>
      </c>
      <c r="F23" s="40">
        <f>'R2'!F29</f>
        <v>1.1667256650349602</v>
      </c>
      <c r="G23" s="40">
        <f>'R2'!G29</f>
        <v>1.0794369391227605</v>
      </c>
      <c r="H23" s="40">
        <f>'R2'!H29</f>
        <v>1.2794402439623258</v>
      </c>
      <c r="I23" s="40">
        <f>'R2'!I29</f>
        <v>1.5874401201472096E-2</v>
      </c>
      <c r="J23" s="40">
        <f>'R2'!J29</f>
        <v>0.14043426988297378</v>
      </c>
      <c r="K23" s="40">
        <f>'R2'!K29</f>
        <v>4.0626253133488289E-3</v>
      </c>
      <c r="L23" s="40">
        <f>'R2'!L29</f>
        <v>8.7024338746986372E-3</v>
      </c>
      <c r="M23" s="40">
        <f>'R2'!M29</f>
        <v>8.092853889551796E-2</v>
      </c>
      <c r="N23" s="40" t="e">
        <f>'R2'!#REF!</f>
        <v>#REF!</v>
      </c>
      <c r="O23" s="40" t="e">
        <f>'R2'!#REF!</f>
        <v>#REF!</v>
      </c>
      <c r="P23" s="40" t="e">
        <f>'R2'!#REF!</f>
        <v>#REF!</v>
      </c>
      <c r="Q23" s="40" t="e">
        <f>'R2'!#REF!</f>
        <v>#REF!</v>
      </c>
      <c r="R23" s="40" t="e">
        <f>'R2'!#REF!</f>
        <v>#REF!</v>
      </c>
      <c r="S23" s="40" t="e">
        <f>'R2'!#REF!</f>
        <v>#REF!</v>
      </c>
      <c r="T23" s="40" t="e">
        <f>'R2'!#REF!</f>
        <v>#REF!</v>
      </c>
      <c r="U23" s="40" t="e">
        <f>'R2'!#REF!</f>
        <v>#REF!</v>
      </c>
      <c r="V23" s="40" t="e">
        <f>'R2'!#REF!</f>
        <v>#REF!</v>
      </c>
      <c r="W23" s="40" t="e">
        <f>'R2'!#REF!</f>
        <v>#REF!</v>
      </c>
      <c r="X23" s="40" t="e">
        <f>'R2'!#REF!</f>
        <v>#REF!</v>
      </c>
      <c r="Y23" s="40" t="e">
        <f>'R2'!#REF!</f>
        <v>#REF!</v>
      </c>
      <c r="Z23" s="40" t="e">
        <f>'R2'!#REF!</f>
        <v>#REF!</v>
      </c>
      <c r="AA23" s="40" t="e">
        <f>'R2'!#REF!</f>
        <v>#REF!</v>
      </c>
      <c r="AB23" s="40" t="e">
        <f>'R2'!#REF!</f>
        <v>#REF!</v>
      </c>
      <c r="AC23" s="40" t="e">
        <f>'R2'!#REF!</f>
        <v>#REF!</v>
      </c>
      <c r="AE23" s="40">
        <f>'R2'!O29</f>
        <v>1.2602442462626804</v>
      </c>
      <c r="AF23" s="40">
        <f>'R2'!P29</f>
        <v>1.3404950603121584</v>
      </c>
      <c r="AG23" s="40">
        <f>'R2'!Q29</f>
        <v>0.13410759673230496</v>
      </c>
      <c r="AH23" s="40">
        <f>'R2'!R29</f>
        <v>0.64714902894736903</v>
      </c>
      <c r="AI23" s="40">
        <f>'R2'!S29</f>
        <v>1.6868645893189912E-2</v>
      </c>
      <c r="AJ23" s="40">
        <f>'R2'!T29</f>
        <v>0.2853742928632455</v>
      </c>
      <c r="AK23" s="40">
        <f>'R2'!U29</f>
        <v>9.6974233189945191E-2</v>
      </c>
      <c r="AL23" s="40">
        <f>'R2'!V29</f>
        <v>1.366248604461673E-2</v>
      </c>
      <c r="AM23" s="40" t="str">
        <f>'R2'!W29</f>
        <v/>
      </c>
      <c r="AN23" s="40" t="str">
        <f>'R2'!X29</f>
        <v/>
      </c>
      <c r="AO23" s="40" t="str">
        <f>'R2'!Y29</f>
        <v/>
      </c>
      <c r="AP23" s="40" t="str">
        <f>'R2'!Z29</f>
        <v/>
      </c>
      <c r="AQ23" s="40" t="str">
        <f>'R2'!AA29</f>
        <v/>
      </c>
      <c r="AR23" s="40" t="str">
        <f>'R2'!AB29</f>
        <v/>
      </c>
      <c r="AS23" s="40" t="str">
        <f>'R2'!AC29</f>
        <v/>
      </c>
      <c r="AT23" s="40" t="str">
        <f>'R2'!AD29</f>
        <v/>
      </c>
      <c r="AU23" s="40" t="str">
        <f>'R2'!AE29</f>
        <v/>
      </c>
      <c r="AV23" s="40" t="str">
        <f>'R2'!AF29</f>
        <v/>
      </c>
      <c r="AW23" s="40" t="str">
        <f>'R2'!AG29</f>
        <v/>
      </c>
      <c r="AX23" s="40" t="str">
        <f>'R2'!AH29</f>
        <v/>
      </c>
      <c r="AY23" s="40" t="str">
        <f>'R2'!AI29</f>
        <v/>
      </c>
      <c r="AZ23" s="40" t="str">
        <f>'R2'!AJ29</f>
        <v/>
      </c>
      <c r="BA23" s="40" t="str">
        <f>'R2'!AK29</f>
        <v/>
      </c>
    </row>
    <row r="24" spans="1:53" x14ac:dyDescent="0.25">
      <c r="A24" s="156"/>
      <c r="B24" s="40">
        <f>'R2'!B30</f>
        <v>4.4026048652358575E-2</v>
      </c>
      <c r="C24" s="40">
        <f>'R2'!C30</f>
        <v>0.74533348507667108</v>
      </c>
      <c r="D24" s="40">
        <f>'R2'!D30</f>
        <v>0.27680591445259872</v>
      </c>
      <c r="E24" s="40">
        <f>'R2'!E30</f>
        <v>0.73728643347067035</v>
      </c>
      <c r="F24" s="40">
        <f>'R2'!F30</f>
        <v>0.70544826075835831</v>
      </c>
      <c r="G24" s="40">
        <f>'R2'!G30</f>
        <v>1.1612405622975059</v>
      </c>
      <c r="H24" s="40">
        <f>'R2'!H30</f>
        <v>1.3200590495700333</v>
      </c>
      <c r="I24" s="40">
        <f>'R2'!I30</f>
        <v>4.3709528806680616E-2</v>
      </c>
      <c r="J24" s="40">
        <f>'R2'!J30</f>
        <v>3.800844782158707E-2</v>
      </c>
      <c r="K24" s="40">
        <f>'R2'!K30</f>
        <v>0</v>
      </c>
      <c r="L24" s="40">
        <f>'R2'!L30</f>
        <v>0.26298703036658816</v>
      </c>
      <c r="M24" s="40">
        <f>'R2'!M30</f>
        <v>0.1297284515732782</v>
      </c>
      <c r="N24" s="40" t="e">
        <f>'R2'!#REF!</f>
        <v>#REF!</v>
      </c>
      <c r="O24" s="40" t="e">
        <f>'R2'!#REF!</f>
        <v>#REF!</v>
      </c>
      <c r="P24" s="40" t="e">
        <f>'R2'!#REF!</f>
        <v>#REF!</v>
      </c>
      <c r="Q24" s="40" t="e">
        <f>'R2'!#REF!</f>
        <v>#REF!</v>
      </c>
      <c r="R24" s="40" t="e">
        <f>'R2'!#REF!</f>
        <v>#REF!</v>
      </c>
      <c r="S24" s="40" t="e">
        <f>'R2'!#REF!</f>
        <v>#REF!</v>
      </c>
      <c r="T24" s="40" t="e">
        <f>'R2'!#REF!</f>
        <v>#REF!</v>
      </c>
      <c r="U24" s="40" t="e">
        <f>'R2'!#REF!</f>
        <v>#REF!</v>
      </c>
      <c r="V24" s="40" t="e">
        <f>'R2'!#REF!</f>
        <v>#REF!</v>
      </c>
      <c r="W24" s="40" t="e">
        <f>'R2'!#REF!</f>
        <v>#REF!</v>
      </c>
      <c r="X24" s="40" t="e">
        <f>'R2'!#REF!</f>
        <v>#REF!</v>
      </c>
      <c r="Y24" s="40" t="e">
        <f>'R2'!#REF!</f>
        <v>#REF!</v>
      </c>
      <c r="Z24" s="40" t="e">
        <f>'R2'!#REF!</f>
        <v>#REF!</v>
      </c>
      <c r="AA24" s="40" t="e">
        <f>'R2'!#REF!</f>
        <v>#REF!</v>
      </c>
      <c r="AB24" s="40" t="e">
        <f>'R2'!#REF!</f>
        <v>#REF!</v>
      </c>
      <c r="AC24" s="40" t="e">
        <f>'R2'!#REF!</f>
        <v>#REF!</v>
      </c>
      <c r="AE24" s="40">
        <f>'R2'!O30</f>
        <v>0.67533419026426844</v>
      </c>
      <c r="AF24" s="40">
        <f>'R2'!P30</f>
        <v>1.1955401422803253</v>
      </c>
      <c r="AG24" s="40">
        <f>'R2'!Q30</f>
        <v>0.13331443523666492</v>
      </c>
      <c r="AH24" s="40">
        <f>'R2'!R30</f>
        <v>0.73898819311155062</v>
      </c>
      <c r="AI24" s="40">
        <f>'R2'!S30</f>
        <v>0.53197304274949619</v>
      </c>
      <c r="AJ24" s="40">
        <f>'R2'!T30</f>
        <v>0.21518136238054575</v>
      </c>
      <c r="AK24" s="40">
        <f>'R2'!U30</f>
        <v>0.11396576325851596</v>
      </c>
      <c r="AL24" s="40">
        <f>'R2'!V30</f>
        <v>0.73190187233125481</v>
      </c>
      <c r="AM24" s="40" t="str">
        <f>'R2'!W30</f>
        <v/>
      </c>
      <c r="AN24" s="40" t="str">
        <f>'R2'!X30</f>
        <v/>
      </c>
      <c r="AO24" s="40" t="str">
        <f>'R2'!Y30</f>
        <v/>
      </c>
      <c r="AP24" s="40" t="str">
        <f>'R2'!Z30</f>
        <v/>
      </c>
      <c r="AQ24" s="40" t="str">
        <f>'R2'!AA30</f>
        <v/>
      </c>
      <c r="AR24" s="40" t="str">
        <f>'R2'!AB30</f>
        <v/>
      </c>
      <c r="AS24" s="40" t="str">
        <f>'R2'!AC30</f>
        <v/>
      </c>
      <c r="AT24" s="40" t="str">
        <f>'R2'!AD30</f>
        <v/>
      </c>
      <c r="AU24" s="40" t="str">
        <f>'R2'!AE30</f>
        <v/>
      </c>
      <c r="AV24" s="40" t="str">
        <f>'R2'!AF30</f>
        <v/>
      </c>
      <c r="AW24" s="40" t="str">
        <f>'R2'!AG30</f>
        <v/>
      </c>
      <c r="AX24" s="40" t="str">
        <f>'R2'!AH30</f>
        <v/>
      </c>
      <c r="AY24" s="40" t="str">
        <f>'R2'!AI30</f>
        <v/>
      </c>
      <c r="AZ24" s="40" t="str">
        <f>'R2'!AJ30</f>
        <v/>
      </c>
      <c r="BA24" s="40" t="str">
        <f>'R2'!AK30</f>
        <v/>
      </c>
    </row>
    <row r="25" spans="1:53" x14ac:dyDescent="0.25">
      <c r="A25" s="156"/>
      <c r="B25" s="40">
        <f>'R2'!B31</f>
        <v>0.12099622759545692</v>
      </c>
      <c r="C25" s="40">
        <f>'R2'!C31</f>
        <v>2.0808387031157886E-2</v>
      </c>
      <c r="D25" s="40">
        <f>'R2'!D31</f>
        <v>0.14495864179472337</v>
      </c>
      <c r="E25" s="40">
        <f>'R2'!E31</f>
        <v>4.1277911639295846E-2</v>
      </c>
      <c r="F25" s="40">
        <f>'R2'!F31</f>
        <v>1.2304094579853651</v>
      </c>
      <c r="G25" s="40">
        <f>'R2'!G31</f>
        <v>1.2038850949175524</v>
      </c>
      <c r="H25" s="40">
        <f>'R2'!H31</f>
        <v>1.7568936742345165</v>
      </c>
      <c r="I25" s="40">
        <f>'R2'!I31</f>
        <v>0.12682019275593132</v>
      </c>
      <c r="J25" s="40">
        <f>'R2'!J31</f>
        <v>2.906024559612673E-2</v>
      </c>
      <c r="K25" s="40">
        <f>'R2'!K31</f>
        <v>9.3466448547255363E-4</v>
      </c>
      <c r="L25" s="40">
        <f>'R2'!L31</f>
        <v>0.21569524165941115</v>
      </c>
      <c r="M25" s="40">
        <f>'R2'!M31</f>
        <v>3.9501676740608963E-2</v>
      </c>
      <c r="N25" s="40" t="e">
        <f>'R2'!#REF!</f>
        <v>#REF!</v>
      </c>
      <c r="O25" s="40" t="e">
        <f>'R2'!#REF!</f>
        <v>#REF!</v>
      </c>
      <c r="P25" s="40" t="e">
        <f>'R2'!#REF!</f>
        <v>#REF!</v>
      </c>
      <c r="Q25" s="40" t="e">
        <f>'R2'!#REF!</f>
        <v>#REF!</v>
      </c>
      <c r="R25" s="40" t="e">
        <f>'R2'!#REF!</f>
        <v>#REF!</v>
      </c>
      <c r="S25" s="40" t="e">
        <f>'R2'!#REF!</f>
        <v>#REF!</v>
      </c>
      <c r="T25" s="40" t="e">
        <f>'R2'!#REF!</f>
        <v>#REF!</v>
      </c>
      <c r="U25" s="40" t="e">
        <f>'R2'!#REF!</f>
        <v>#REF!</v>
      </c>
      <c r="V25" s="40" t="e">
        <f>'R2'!#REF!</f>
        <v>#REF!</v>
      </c>
      <c r="W25" s="40" t="e">
        <f>'R2'!#REF!</f>
        <v>#REF!</v>
      </c>
      <c r="X25" s="40" t="e">
        <f>'R2'!#REF!</f>
        <v>#REF!</v>
      </c>
      <c r="Y25" s="40" t="e">
        <f>'R2'!#REF!</f>
        <v>#REF!</v>
      </c>
      <c r="Z25" s="40" t="e">
        <f>'R2'!#REF!</f>
        <v>#REF!</v>
      </c>
      <c r="AA25" s="40" t="e">
        <f>'R2'!#REF!</f>
        <v>#REF!</v>
      </c>
      <c r="AB25" s="40" t="e">
        <f>'R2'!#REF!</f>
        <v>#REF!</v>
      </c>
      <c r="AC25" s="40" t="e">
        <f>'R2'!#REF!</f>
        <v>#REF!</v>
      </c>
      <c r="AE25" s="40">
        <f>'R2'!O31</f>
        <v>0.93836590578554058</v>
      </c>
      <c r="AF25" s="40">
        <f>'R2'!P31</f>
        <v>1.0735794600962731</v>
      </c>
      <c r="AG25" s="40">
        <f>'R2'!Q31</f>
        <v>7.8027727603951755E-2</v>
      </c>
      <c r="AH25" s="40">
        <f>'R2'!R31</f>
        <v>3.8488813234439499E-2</v>
      </c>
      <c r="AI25" s="40">
        <f>'R2'!S31</f>
        <v>0.1478222154573863</v>
      </c>
      <c r="AJ25" s="40">
        <f>'R2'!T31</f>
        <v>0.28592540977101416</v>
      </c>
      <c r="AK25" s="40">
        <f>'R2'!U31</f>
        <v>2.6338174923296303E-2</v>
      </c>
      <c r="AL25" s="40">
        <f>'R2'!V31</f>
        <v>2.7146231470497675E-3</v>
      </c>
      <c r="AM25" s="40" t="str">
        <f>'R2'!W31</f>
        <v/>
      </c>
      <c r="AN25" s="40" t="str">
        <f>'R2'!X31</f>
        <v/>
      </c>
      <c r="AO25" s="40" t="str">
        <f>'R2'!Y31</f>
        <v/>
      </c>
      <c r="AP25" s="40" t="str">
        <f>'R2'!Z31</f>
        <v/>
      </c>
      <c r="AQ25" s="40" t="str">
        <f>'R2'!AA31</f>
        <v/>
      </c>
      <c r="AR25" s="40" t="str">
        <f>'R2'!AB31</f>
        <v/>
      </c>
      <c r="AS25" s="40" t="str">
        <f>'R2'!AC31</f>
        <v/>
      </c>
      <c r="AT25" s="40" t="str">
        <f>'R2'!AD31</f>
        <v/>
      </c>
      <c r="AU25" s="40" t="str">
        <f>'R2'!AE31</f>
        <v/>
      </c>
      <c r="AV25" s="40" t="str">
        <f>'R2'!AF31</f>
        <v/>
      </c>
      <c r="AW25" s="40" t="str">
        <f>'R2'!AG31</f>
        <v/>
      </c>
      <c r="AX25" s="40" t="str">
        <f>'R2'!AH31</f>
        <v/>
      </c>
      <c r="AY25" s="40" t="str">
        <f>'R2'!AI31</f>
        <v/>
      </c>
      <c r="AZ25" s="40" t="str">
        <f>'R2'!AJ31</f>
        <v/>
      </c>
      <c r="BA25" s="40" t="str">
        <f>'R2'!AK31</f>
        <v/>
      </c>
    </row>
    <row r="26" spans="1:53" x14ac:dyDescent="0.25">
      <c r="A26" s="156"/>
      <c r="B26" s="40">
        <f>'R2'!B32</f>
        <v>3.6835462511133468E-2</v>
      </c>
      <c r="C26" s="40">
        <f>'R2'!C32</f>
        <v>4.0953944267837231E-2</v>
      </c>
      <c r="D26" s="40">
        <f>'R2'!D32</f>
        <v>0.19146099276915068</v>
      </c>
      <c r="E26" s="40">
        <f>'R2'!E32</f>
        <v>0.67121198474467436</v>
      </c>
      <c r="F26" s="40">
        <f>'R2'!F32</f>
        <v>0.37893383548275911</v>
      </c>
      <c r="G26" s="40">
        <f>'R2'!G32</f>
        <v>1.4800579696787952</v>
      </c>
      <c r="H26" s="40">
        <f>'R2'!H32</f>
        <v>1.7344468315316139</v>
      </c>
      <c r="I26" s="40">
        <f>'R2'!I32</f>
        <v>0.10575858984823105</v>
      </c>
      <c r="J26" s="40">
        <f>'R2'!J32</f>
        <v>1.2865600786086347E-2</v>
      </c>
      <c r="K26" s="40">
        <f>'R2'!K32</f>
        <v>4.8565315615669499E-2</v>
      </c>
      <c r="L26" s="40">
        <f>'R2'!L32</f>
        <v>7.8735242553114246E-2</v>
      </c>
      <c r="M26" s="40">
        <f>'R2'!M32</f>
        <v>0.11550367733222179</v>
      </c>
      <c r="N26" s="40" t="e">
        <f>'R2'!#REF!</f>
        <v>#REF!</v>
      </c>
      <c r="O26" s="40" t="e">
        <f>'R2'!#REF!</f>
        <v>#REF!</v>
      </c>
      <c r="P26" s="40" t="e">
        <f>'R2'!#REF!</f>
        <v>#REF!</v>
      </c>
      <c r="Q26" s="40" t="e">
        <f>'R2'!#REF!</f>
        <v>#REF!</v>
      </c>
      <c r="R26" s="40" t="e">
        <f>'R2'!#REF!</f>
        <v>#REF!</v>
      </c>
      <c r="S26" s="40" t="e">
        <f>'R2'!#REF!</f>
        <v>#REF!</v>
      </c>
      <c r="T26" s="40" t="e">
        <f>'R2'!#REF!</f>
        <v>#REF!</v>
      </c>
      <c r="U26" s="40" t="e">
        <f>'R2'!#REF!</f>
        <v>#REF!</v>
      </c>
      <c r="V26" s="40" t="e">
        <f>'R2'!#REF!</f>
        <v>#REF!</v>
      </c>
      <c r="W26" s="40" t="e">
        <f>'R2'!#REF!</f>
        <v>#REF!</v>
      </c>
      <c r="X26" s="40" t="e">
        <f>'R2'!#REF!</f>
        <v>#REF!</v>
      </c>
      <c r="Y26" s="40" t="e">
        <f>'R2'!#REF!</f>
        <v>#REF!</v>
      </c>
      <c r="Z26" s="40" t="e">
        <f>'R2'!#REF!</f>
        <v>#REF!</v>
      </c>
      <c r="AA26" s="40" t="e">
        <f>'R2'!#REF!</f>
        <v>#REF!</v>
      </c>
      <c r="AB26" s="40" t="e">
        <f>'R2'!#REF!</f>
        <v>#REF!</v>
      </c>
      <c r="AC26" s="40" t="e">
        <f>'R2'!#REF!</f>
        <v>#REF!</v>
      </c>
      <c r="AE26" s="40">
        <f>'R2'!O32</f>
        <v>1.0815892740733708</v>
      </c>
      <c r="AF26" s="40">
        <f>'R2'!P32</f>
        <v>1.3331369048408686</v>
      </c>
      <c r="AG26" s="40">
        <f>'R2'!Q32</f>
        <v>6.5165850580755733E-2</v>
      </c>
      <c r="AH26" s="40">
        <f>'R2'!R32</f>
        <v>1.0361630905742485</v>
      </c>
      <c r="AI26" s="40">
        <f>'R2'!S32</f>
        <v>0.45102588503952656</v>
      </c>
      <c r="AJ26" s="40">
        <f>'R2'!T32</f>
        <v>0.13417090070144055</v>
      </c>
      <c r="AK26" s="40">
        <f>'R2'!U32</f>
        <v>6.1065987638503613E-2</v>
      </c>
      <c r="AL26" s="40">
        <f>'R2'!V32</f>
        <v>0.47254551078273727</v>
      </c>
      <c r="AM26" s="40" t="str">
        <f>'R2'!W32</f>
        <v/>
      </c>
      <c r="AN26" s="40" t="str">
        <f>'R2'!X32</f>
        <v/>
      </c>
      <c r="AO26" s="40" t="str">
        <f>'R2'!Y32</f>
        <v/>
      </c>
      <c r="AP26" s="40" t="str">
        <f>'R2'!Z32</f>
        <v/>
      </c>
      <c r="AQ26" s="40" t="str">
        <f>'R2'!AA32</f>
        <v/>
      </c>
      <c r="AR26" s="40" t="str">
        <f>'R2'!AB32</f>
        <v/>
      </c>
      <c r="AS26" s="40" t="str">
        <f>'R2'!AC32</f>
        <v/>
      </c>
      <c r="AT26" s="40" t="str">
        <f>'R2'!AD32</f>
        <v/>
      </c>
      <c r="AU26" s="40" t="str">
        <f>'R2'!AE32</f>
        <v/>
      </c>
      <c r="AV26" s="40" t="str">
        <f>'R2'!AF32</f>
        <v/>
      </c>
      <c r="AW26" s="40" t="str">
        <f>'R2'!AG32</f>
        <v/>
      </c>
      <c r="AX26" s="40" t="str">
        <f>'R2'!AH32</f>
        <v/>
      </c>
      <c r="AY26" s="40" t="str">
        <f>'R2'!AI32</f>
        <v/>
      </c>
      <c r="AZ26" s="40" t="str">
        <f>'R2'!AJ32</f>
        <v/>
      </c>
      <c r="BA26" s="40" t="str">
        <f>'R2'!AK32</f>
        <v/>
      </c>
    </row>
    <row r="27" spans="1:53" x14ac:dyDescent="0.25">
      <c r="A27" s="156"/>
      <c r="B27" s="40">
        <f>'R2'!B33</f>
        <v>0.11335878990739234</v>
      </c>
      <c r="C27" s="40">
        <f>'R2'!C33</f>
        <v>2.9890644720670073E-2</v>
      </c>
      <c r="D27" s="40">
        <f>'R2'!D33</f>
        <v>7.0360499812764543E-2</v>
      </c>
      <c r="E27" s="40">
        <f>'R2'!E33</f>
        <v>0.88401386263829995</v>
      </c>
      <c r="F27" s="40">
        <f>'R2'!F33</f>
        <v>1.1406891149057807</v>
      </c>
      <c r="G27" s="40">
        <f>'R2'!G33</f>
        <v>1.2886304907756574</v>
      </c>
      <c r="H27" s="40">
        <f>'R2'!H33</f>
        <v>1.6077197328479409</v>
      </c>
      <c r="I27" s="40">
        <f>'R2'!I33</f>
        <v>4.8799912677760224E-2</v>
      </c>
      <c r="J27" s="40">
        <f>'R2'!J33</f>
        <v>7.5555149044773368E-2</v>
      </c>
      <c r="K27" s="40">
        <f>'R2'!K33</f>
        <v>0.13570509101225606</v>
      </c>
      <c r="L27" s="40">
        <f>'R2'!L33</f>
        <v>2.8553813843041998E-2</v>
      </c>
      <c r="M27" s="40">
        <f>'R2'!M33</f>
        <v>8.9079855862447918E-2</v>
      </c>
      <c r="N27" s="40" t="e">
        <f>'R2'!#REF!</f>
        <v>#REF!</v>
      </c>
      <c r="O27" s="40" t="e">
        <f>'R2'!#REF!</f>
        <v>#REF!</v>
      </c>
      <c r="P27" s="40" t="e">
        <f>'R2'!#REF!</f>
        <v>#REF!</v>
      </c>
      <c r="Q27" s="40" t="e">
        <f>'R2'!#REF!</f>
        <v>#REF!</v>
      </c>
      <c r="R27" s="40" t="e">
        <f>'R2'!#REF!</f>
        <v>#REF!</v>
      </c>
      <c r="S27" s="40" t="e">
        <f>'R2'!#REF!</f>
        <v>#REF!</v>
      </c>
      <c r="T27" s="40" t="e">
        <f>'R2'!#REF!</f>
        <v>#REF!</v>
      </c>
      <c r="U27" s="40" t="e">
        <f>'R2'!#REF!</f>
        <v>#REF!</v>
      </c>
      <c r="V27" s="40" t="e">
        <f>'R2'!#REF!</f>
        <v>#REF!</v>
      </c>
      <c r="W27" s="40" t="e">
        <f>'R2'!#REF!</f>
        <v>#REF!</v>
      </c>
      <c r="X27" s="40" t="e">
        <f>'R2'!#REF!</f>
        <v>#REF!</v>
      </c>
      <c r="Y27" s="40" t="e">
        <f>'R2'!#REF!</f>
        <v>#REF!</v>
      </c>
      <c r="Z27" s="40" t="e">
        <f>'R2'!#REF!</f>
        <v>#REF!</v>
      </c>
      <c r="AA27" s="40" t="e">
        <f>'R2'!#REF!</f>
        <v>#REF!</v>
      </c>
      <c r="AB27" s="40" t="e">
        <f>'R2'!#REF!</f>
        <v>#REF!</v>
      </c>
      <c r="AC27" s="40" t="e">
        <f>'R2'!#REF!</f>
        <v>#REF!</v>
      </c>
      <c r="AE27" s="40">
        <f>'R2'!O33</f>
        <v>1.0120144882304656</v>
      </c>
      <c r="AF27" s="40">
        <f>'R2'!P33</f>
        <v>1.1273692150470742</v>
      </c>
      <c r="AG27" s="40">
        <f>'R2'!Q33</f>
        <v>0.19983945927239069</v>
      </c>
      <c r="AH27" s="40">
        <f>'R2'!R33</f>
        <v>0.40974424963734041</v>
      </c>
      <c r="AI27" s="40">
        <f>'R2'!S33</f>
        <v>5.3458340053561676E-2</v>
      </c>
      <c r="AJ27" s="40">
        <f>'R2'!T33</f>
        <v>0.12717395023051256</v>
      </c>
      <c r="AK27" s="40">
        <f>'R2'!U33</f>
        <v>0.18671319508398132</v>
      </c>
      <c r="AL27" s="40">
        <f>'R2'!V33</f>
        <v>0.11182087583368651</v>
      </c>
      <c r="AM27" s="40" t="str">
        <f>'R2'!W33</f>
        <v/>
      </c>
      <c r="AN27" s="40" t="str">
        <f>'R2'!X33</f>
        <v/>
      </c>
      <c r="AO27" s="40" t="str">
        <f>'R2'!Y33</f>
        <v/>
      </c>
      <c r="AP27" s="40" t="str">
        <f>'R2'!Z33</f>
        <v/>
      </c>
      <c r="AQ27" s="40" t="str">
        <f>'R2'!AA33</f>
        <v/>
      </c>
      <c r="AR27" s="40" t="str">
        <f>'R2'!AB33</f>
        <v/>
      </c>
      <c r="AS27" s="40" t="str">
        <f>'R2'!AC33</f>
        <v/>
      </c>
      <c r="AT27" s="40" t="str">
        <f>'R2'!AD33</f>
        <v/>
      </c>
      <c r="AU27" s="40" t="str">
        <f>'R2'!AE33</f>
        <v/>
      </c>
      <c r="AV27" s="40" t="str">
        <f>'R2'!AF33</f>
        <v/>
      </c>
      <c r="AW27" s="40" t="str">
        <f>'R2'!AG33</f>
        <v/>
      </c>
      <c r="AX27" s="40" t="str">
        <f>'R2'!AH33</f>
        <v/>
      </c>
      <c r="AY27" s="40" t="str">
        <f>'R2'!AI33</f>
        <v/>
      </c>
      <c r="AZ27" s="40" t="str">
        <f>'R2'!AJ33</f>
        <v/>
      </c>
      <c r="BA27" s="40" t="str">
        <f>'R2'!AK33</f>
        <v/>
      </c>
    </row>
    <row r="28" spans="1:53" x14ac:dyDescent="0.25">
      <c r="A28" s="156"/>
      <c r="B28" s="40">
        <f>'R2'!B34</f>
        <v>0.11276298784493972</v>
      </c>
      <c r="C28" s="40">
        <f>'R2'!C34</f>
        <v>3.2646229259513458E-2</v>
      </c>
      <c r="D28" s="40">
        <f>'R2'!D34</f>
        <v>0.1473083361785209</v>
      </c>
      <c r="E28" s="40">
        <f>'R2'!E34</f>
        <v>0.64152614698297239</v>
      </c>
      <c r="F28" s="40">
        <f>'R2'!F34</f>
        <v>1.3727093330763938</v>
      </c>
      <c r="G28" s="40">
        <f>'R2'!G34</f>
        <v>1.0887314512970214</v>
      </c>
      <c r="H28" s="40">
        <f>'R2'!H34</f>
        <v>1.5775647009620575</v>
      </c>
      <c r="I28" s="40">
        <f>'R2'!I34</f>
        <v>0.10279819835041959</v>
      </c>
      <c r="J28" s="40">
        <f>'R2'!J34</f>
        <v>8.4555483950698312E-2</v>
      </c>
      <c r="K28" s="40">
        <f>'R2'!K34</f>
        <v>3.8123884471187267E-2</v>
      </c>
      <c r="L28" s="40">
        <f>'R2'!L34</f>
        <v>2.4882183633177703E-2</v>
      </c>
      <c r="M28" s="40">
        <f>'R2'!M34</f>
        <v>8.2935647093405243E-2</v>
      </c>
      <c r="N28" s="40" t="e">
        <f>'R2'!#REF!</f>
        <v>#REF!</v>
      </c>
      <c r="O28" s="40" t="e">
        <f>'R2'!#REF!</f>
        <v>#REF!</v>
      </c>
      <c r="P28" s="40" t="e">
        <f>'R2'!#REF!</f>
        <v>#REF!</v>
      </c>
      <c r="Q28" s="40" t="e">
        <f>'R2'!#REF!</f>
        <v>#REF!</v>
      </c>
      <c r="R28" s="40" t="e">
        <f>'R2'!#REF!</f>
        <v>#REF!</v>
      </c>
      <c r="S28" s="40" t="e">
        <f>'R2'!#REF!</f>
        <v>#REF!</v>
      </c>
      <c r="T28" s="40" t="e">
        <f>'R2'!#REF!</f>
        <v>#REF!</v>
      </c>
      <c r="U28" s="40" t="e">
        <f>'R2'!#REF!</f>
        <v>#REF!</v>
      </c>
      <c r="V28" s="40" t="e">
        <f>'R2'!#REF!</f>
        <v>#REF!</v>
      </c>
      <c r="W28" s="40" t="e">
        <f>'R2'!#REF!</f>
        <v>#REF!</v>
      </c>
      <c r="X28" s="40" t="e">
        <f>'R2'!#REF!</f>
        <v>#REF!</v>
      </c>
      <c r="Y28" s="40" t="e">
        <f>'R2'!#REF!</f>
        <v>#REF!</v>
      </c>
      <c r="Z28" s="40" t="e">
        <f>'R2'!#REF!</f>
        <v>#REF!</v>
      </c>
      <c r="AA28" s="40" t="e">
        <f>'R2'!#REF!</f>
        <v>#REF!</v>
      </c>
      <c r="AB28" s="40" t="e">
        <f>'R2'!#REF!</f>
        <v>#REF!</v>
      </c>
      <c r="AC28" s="40" t="e">
        <f>'R2'!#REF!</f>
        <v>#REF!</v>
      </c>
      <c r="AE28" s="40">
        <f>'R2'!O34</f>
        <v>0.88905211382891502</v>
      </c>
      <c r="AF28" s="40">
        <f>'R2'!P34</f>
        <v>1.4063833208936378</v>
      </c>
      <c r="AG28" s="40">
        <f>'R2'!Q34</f>
        <v>7.1485076205643872E-2</v>
      </c>
      <c r="AH28" s="40">
        <f>'R2'!R34</f>
        <v>0.69964663817522588</v>
      </c>
      <c r="AI28" s="40">
        <f>'R2'!S34</f>
        <v>6.8911956048426606E-2</v>
      </c>
      <c r="AJ28" s="40">
        <f>'R2'!T34</f>
        <v>7.0081217595989884E-2</v>
      </c>
      <c r="AK28" s="40">
        <f>'R2'!U34</f>
        <v>0.13119933791495811</v>
      </c>
      <c r="AL28" s="40">
        <f>'R2'!V34</f>
        <v>0.26937700748639254</v>
      </c>
      <c r="AM28" s="40" t="str">
        <f>'R2'!W34</f>
        <v/>
      </c>
      <c r="AN28" s="40" t="str">
        <f>'R2'!X34</f>
        <v/>
      </c>
      <c r="AO28" s="40" t="str">
        <f>'R2'!Y34</f>
        <v/>
      </c>
      <c r="AP28" s="40" t="str">
        <f>'R2'!Z34</f>
        <v/>
      </c>
      <c r="AQ28" s="40" t="str">
        <f>'R2'!AA34</f>
        <v/>
      </c>
      <c r="AR28" s="40" t="str">
        <f>'R2'!AB34</f>
        <v/>
      </c>
      <c r="AS28" s="40" t="str">
        <f>'R2'!AC34</f>
        <v/>
      </c>
      <c r="AT28" s="40" t="str">
        <f>'R2'!AD34</f>
        <v/>
      </c>
      <c r="AU28" s="40" t="str">
        <f>'R2'!AE34</f>
        <v/>
      </c>
      <c r="AV28" s="40" t="str">
        <f>'R2'!AF34</f>
        <v/>
      </c>
      <c r="AW28" s="40" t="str">
        <f>'R2'!AG34</f>
        <v/>
      </c>
      <c r="AX28" s="40" t="str">
        <f>'R2'!AH34</f>
        <v/>
      </c>
      <c r="AY28" s="40" t="str">
        <f>'R2'!AI34</f>
        <v/>
      </c>
      <c r="AZ28" s="40" t="str">
        <f>'R2'!AJ34</f>
        <v/>
      </c>
      <c r="BA28" s="40" t="str">
        <f>'R2'!AK34</f>
        <v/>
      </c>
    </row>
    <row r="29" spans="1:53" x14ac:dyDescent="0.25">
      <c r="A29" s="156"/>
      <c r="B29" s="40">
        <f>'R2'!B35</f>
        <v>8.0325289307284678E-2</v>
      </c>
      <c r="C29" s="40">
        <f>'R2'!C35</f>
        <v>3.5446498953040792E-2</v>
      </c>
      <c r="D29" s="40">
        <f>'R2'!D35</f>
        <v>2.7641491934911416E-2</v>
      </c>
      <c r="E29" s="40">
        <f>'R2'!E35</f>
        <v>1.0440723629533071</v>
      </c>
      <c r="F29" s="40">
        <f>'R2'!F35</f>
        <v>0.72628271412974843</v>
      </c>
      <c r="G29" s="40">
        <f>'R2'!G35</f>
        <v>1.3008518805817169</v>
      </c>
      <c r="H29" s="40">
        <f>'R2'!H35</f>
        <v>1.3392327046923369</v>
      </c>
      <c r="I29" s="40">
        <f>'R2'!I35</f>
        <v>4.7392330305215898E-2</v>
      </c>
      <c r="J29" s="40" t="str">
        <f>'R2'!J35</f>
        <v/>
      </c>
      <c r="K29" s="40">
        <f>'R2'!K35</f>
        <v>9.7752499634023923E-2</v>
      </c>
      <c r="L29" s="40">
        <f>'R2'!L35</f>
        <v>6.7374041974720772E-2</v>
      </c>
      <c r="M29" s="40">
        <f>'R2'!M35</f>
        <v>0</v>
      </c>
      <c r="N29" s="40" t="e">
        <f>'R2'!#REF!</f>
        <v>#REF!</v>
      </c>
      <c r="O29" s="40" t="e">
        <f>'R2'!#REF!</f>
        <v>#REF!</v>
      </c>
      <c r="P29" s="40" t="e">
        <f>'R2'!#REF!</f>
        <v>#REF!</v>
      </c>
      <c r="Q29" s="40" t="e">
        <f>'R2'!#REF!</f>
        <v>#REF!</v>
      </c>
      <c r="R29" s="40" t="e">
        <f>'R2'!#REF!</f>
        <v>#REF!</v>
      </c>
      <c r="S29" s="40" t="e">
        <f>'R2'!#REF!</f>
        <v>#REF!</v>
      </c>
      <c r="T29" s="40" t="e">
        <f>'R2'!#REF!</f>
        <v>#REF!</v>
      </c>
      <c r="U29" s="40" t="e">
        <f>'R2'!#REF!</f>
        <v>#REF!</v>
      </c>
      <c r="V29" s="40" t="e">
        <f>'R2'!#REF!</f>
        <v>#REF!</v>
      </c>
      <c r="W29" s="40" t="e">
        <f>'R2'!#REF!</f>
        <v>#REF!</v>
      </c>
      <c r="X29" s="40" t="e">
        <f>'R2'!#REF!</f>
        <v>#REF!</v>
      </c>
      <c r="Y29" s="40" t="e">
        <f>'R2'!#REF!</f>
        <v>#REF!</v>
      </c>
      <c r="Z29" s="40" t="e">
        <f>'R2'!#REF!</f>
        <v>#REF!</v>
      </c>
      <c r="AA29" s="40" t="e">
        <f>'R2'!#REF!</f>
        <v>#REF!</v>
      </c>
      <c r="AB29" s="40" t="e">
        <f>'R2'!#REF!</f>
        <v>#REF!</v>
      </c>
      <c r="AC29" s="40" t="e">
        <f>'R2'!#REF!</f>
        <v>#REF!</v>
      </c>
      <c r="AE29" s="40">
        <f>'R2'!O35</f>
        <v>1.0246529394802417</v>
      </c>
      <c r="AF29" s="40">
        <f>'R2'!P35</f>
        <v>1.1832889623711433</v>
      </c>
      <c r="AG29" s="40">
        <f>'R2'!Q35</f>
        <v>0.12337943584526741</v>
      </c>
      <c r="AH29" s="40">
        <f>'R2'!R35</f>
        <v>0.80006162827583494</v>
      </c>
      <c r="AI29" s="40">
        <f>'R2'!S35</f>
        <v>9.1075792771664207E-2</v>
      </c>
      <c r="AJ29" s="40">
        <f>'R2'!T35</f>
        <v>0.68561549960446655</v>
      </c>
      <c r="AK29" s="40">
        <f>'R2'!U35</f>
        <v>8.7724406170368197E-2</v>
      </c>
      <c r="AL29" s="40">
        <f>'R2'!V35</f>
        <v>9.9424469171781604E-2</v>
      </c>
      <c r="AM29" s="40" t="str">
        <f>'R2'!W35</f>
        <v/>
      </c>
      <c r="AN29" s="40" t="str">
        <f>'R2'!X35</f>
        <v/>
      </c>
      <c r="AO29" s="40" t="str">
        <f>'R2'!Y35</f>
        <v/>
      </c>
      <c r="AP29" s="40" t="str">
        <f>'R2'!Z35</f>
        <v/>
      </c>
      <c r="AQ29" s="40" t="str">
        <f>'R2'!AA35</f>
        <v/>
      </c>
      <c r="AR29" s="40" t="str">
        <f>'R2'!AB35</f>
        <v/>
      </c>
      <c r="AS29" s="40" t="str">
        <f>'R2'!AC35</f>
        <v/>
      </c>
      <c r="AT29" s="40" t="str">
        <f>'R2'!AD35</f>
        <v/>
      </c>
      <c r="AU29" s="40" t="str">
        <f>'R2'!AE35</f>
        <v/>
      </c>
      <c r="AV29" s="40" t="str">
        <f>'R2'!AF35</f>
        <v/>
      </c>
      <c r="AW29" s="40" t="str">
        <f>'R2'!AG35</f>
        <v/>
      </c>
      <c r="AX29" s="40" t="str">
        <f>'R2'!AH35</f>
        <v/>
      </c>
      <c r="AY29" s="40" t="str">
        <f>'R2'!AI35</f>
        <v/>
      </c>
      <c r="AZ29" s="40" t="str">
        <f>'R2'!AJ35</f>
        <v/>
      </c>
      <c r="BA29" s="40" t="str">
        <f>'R2'!AK35</f>
        <v/>
      </c>
    </row>
    <row r="30" spans="1:53" x14ac:dyDescent="0.25">
      <c r="A30" s="156"/>
      <c r="B30" s="40" t="str">
        <f>'R2'!B36</f>
        <v/>
      </c>
      <c r="C30" s="40" t="str">
        <f>'R2'!C36</f>
        <v/>
      </c>
      <c r="D30" s="40" t="str">
        <f>'R2'!D36</f>
        <v/>
      </c>
      <c r="E30" s="40" t="str">
        <f>'R2'!E36</f>
        <v/>
      </c>
      <c r="F30" s="40" t="str">
        <f>'R2'!F36</f>
        <v/>
      </c>
      <c r="G30" s="40" t="str">
        <f>'R2'!G36</f>
        <v/>
      </c>
      <c r="H30" s="40" t="str">
        <f>'R2'!H36</f>
        <v/>
      </c>
      <c r="I30" s="40" t="str">
        <f>'R2'!I36</f>
        <v/>
      </c>
      <c r="J30" s="40" t="str">
        <f>'R2'!J36</f>
        <v/>
      </c>
      <c r="K30" s="40" t="str">
        <f>'R2'!K36</f>
        <v/>
      </c>
      <c r="L30" s="40" t="str">
        <f>'R2'!L36</f>
        <v/>
      </c>
      <c r="M30" s="40" t="str">
        <f>'R2'!M36</f>
        <v/>
      </c>
      <c r="N30" s="40" t="e">
        <f>'R2'!#REF!</f>
        <v>#REF!</v>
      </c>
      <c r="O30" s="40" t="e">
        <f>'R2'!#REF!</f>
        <v>#REF!</v>
      </c>
      <c r="P30" s="40" t="e">
        <f>'R2'!#REF!</f>
        <v>#REF!</v>
      </c>
      <c r="Q30" s="40" t="e">
        <f>'R2'!#REF!</f>
        <v>#REF!</v>
      </c>
      <c r="R30" s="40" t="e">
        <f>'R2'!#REF!</f>
        <v>#REF!</v>
      </c>
      <c r="S30" s="40" t="e">
        <f>'R2'!#REF!</f>
        <v>#REF!</v>
      </c>
      <c r="T30" s="40" t="e">
        <f>'R2'!#REF!</f>
        <v>#REF!</v>
      </c>
      <c r="U30" s="40" t="e">
        <f>'R2'!#REF!</f>
        <v>#REF!</v>
      </c>
      <c r="V30" s="40" t="e">
        <f>'R2'!#REF!</f>
        <v>#REF!</v>
      </c>
      <c r="W30" s="40" t="e">
        <f>'R2'!#REF!</f>
        <v>#REF!</v>
      </c>
      <c r="X30" s="40" t="e">
        <f>'R2'!#REF!</f>
        <v>#REF!</v>
      </c>
      <c r="Y30" s="40" t="e">
        <f>'R2'!#REF!</f>
        <v>#REF!</v>
      </c>
      <c r="Z30" s="40" t="e">
        <f>'R2'!#REF!</f>
        <v>#REF!</v>
      </c>
      <c r="AA30" s="40" t="e">
        <f>'R2'!#REF!</f>
        <v>#REF!</v>
      </c>
      <c r="AB30" s="40" t="e">
        <f>'R2'!#REF!</f>
        <v>#REF!</v>
      </c>
      <c r="AC30" s="40" t="e">
        <f>'R2'!#REF!</f>
        <v>#REF!</v>
      </c>
      <c r="AE30" s="40">
        <f>'R2'!O36</f>
        <v>0.90223795822356956</v>
      </c>
      <c r="AF30" s="40" t="str">
        <f>'R2'!P36</f>
        <v/>
      </c>
      <c r="AG30" s="40" t="str">
        <f>'R2'!Q36</f>
        <v/>
      </c>
      <c r="AH30" s="40" t="str">
        <f>'R2'!R36</f>
        <v/>
      </c>
      <c r="AI30" s="40" t="str">
        <f>'R2'!S36</f>
        <v/>
      </c>
      <c r="AJ30" s="40" t="str">
        <f>'R2'!T36</f>
        <v/>
      </c>
      <c r="AK30" s="40" t="str">
        <f>'R2'!U36</f>
        <v/>
      </c>
      <c r="AL30" s="40" t="str">
        <f>'R2'!V36</f>
        <v/>
      </c>
      <c r="AM30" s="40" t="str">
        <f>'R2'!W36</f>
        <v/>
      </c>
      <c r="AN30" s="40" t="str">
        <f>'R2'!X36</f>
        <v/>
      </c>
      <c r="AO30" s="40" t="str">
        <f>'R2'!Y36</f>
        <v/>
      </c>
      <c r="AP30" s="40" t="str">
        <f>'R2'!Z36</f>
        <v/>
      </c>
      <c r="AQ30" s="40" t="str">
        <f>'R2'!AA36</f>
        <v/>
      </c>
      <c r="AR30" s="40" t="str">
        <f>'R2'!AB36</f>
        <v/>
      </c>
      <c r="AS30" s="40" t="str">
        <f>'R2'!AC36</f>
        <v/>
      </c>
      <c r="AT30" s="40" t="str">
        <f>'R2'!AD36</f>
        <v/>
      </c>
      <c r="AU30" s="40" t="str">
        <f>'R2'!AE36</f>
        <v/>
      </c>
      <c r="AV30" s="40" t="str">
        <f>'R2'!AF36</f>
        <v/>
      </c>
      <c r="AW30" s="40" t="str">
        <f>'R2'!AG36</f>
        <v/>
      </c>
      <c r="AX30" s="40" t="str">
        <f>'R2'!AH36</f>
        <v/>
      </c>
      <c r="AY30" s="40" t="str">
        <f>'R2'!AI36</f>
        <v/>
      </c>
      <c r="AZ30" s="40" t="str">
        <f>'R2'!AJ36</f>
        <v/>
      </c>
      <c r="BA30" s="40" t="str">
        <f>'R2'!AK36</f>
        <v/>
      </c>
    </row>
    <row r="31" spans="1:53" s="1" customFormat="1" x14ac:dyDescent="0.25">
      <c r="A31" s="156"/>
      <c r="B31" s="40" t="str">
        <f>'R2'!B37</f>
        <v/>
      </c>
      <c r="C31" s="40" t="str">
        <f>'R2'!C37</f>
        <v/>
      </c>
      <c r="D31" s="40" t="str">
        <f>'R2'!D37</f>
        <v/>
      </c>
      <c r="E31" s="40" t="str">
        <f>'R2'!E37</f>
        <v/>
      </c>
      <c r="F31" s="40" t="str">
        <f>'R2'!F37</f>
        <v/>
      </c>
      <c r="G31" s="40" t="str">
        <f>'R2'!G37</f>
        <v/>
      </c>
      <c r="H31" s="40" t="str">
        <f>'R2'!H37</f>
        <v/>
      </c>
      <c r="I31" s="40" t="str">
        <f>'R2'!I37</f>
        <v/>
      </c>
      <c r="J31" s="40" t="str">
        <f>'R2'!J37</f>
        <v/>
      </c>
      <c r="K31" s="40" t="str">
        <f>'R2'!K37</f>
        <v/>
      </c>
      <c r="L31" s="40" t="str">
        <f>'R2'!L37</f>
        <v/>
      </c>
      <c r="M31" s="40" t="str">
        <f>'R2'!M37</f>
        <v/>
      </c>
      <c r="N31" s="40" t="e">
        <f>'R2'!#REF!</f>
        <v>#REF!</v>
      </c>
      <c r="O31" s="40" t="e">
        <f>'R2'!#REF!</f>
        <v>#REF!</v>
      </c>
      <c r="P31" s="40" t="e">
        <f>'R2'!#REF!</f>
        <v>#REF!</v>
      </c>
      <c r="Q31" s="40" t="e">
        <f>'R2'!#REF!</f>
        <v>#REF!</v>
      </c>
      <c r="R31" s="40" t="e">
        <f>'R2'!#REF!</f>
        <v>#REF!</v>
      </c>
      <c r="S31" s="40" t="e">
        <f>'R2'!#REF!</f>
        <v>#REF!</v>
      </c>
      <c r="T31" s="40" t="e">
        <f>'R2'!#REF!</f>
        <v>#REF!</v>
      </c>
      <c r="U31" s="40" t="e">
        <f>'R2'!#REF!</f>
        <v>#REF!</v>
      </c>
      <c r="V31" s="40" t="e">
        <f>'R2'!#REF!</f>
        <v>#REF!</v>
      </c>
      <c r="W31" s="40" t="e">
        <f>'R2'!#REF!</f>
        <v>#REF!</v>
      </c>
      <c r="X31" s="40" t="e">
        <f>'R2'!#REF!</f>
        <v>#REF!</v>
      </c>
      <c r="Y31" s="40" t="e">
        <f>'R2'!#REF!</f>
        <v>#REF!</v>
      </c>
      <c r="Z31" s="40" t="e">
        <f>'R2'!#REF!</f>
        <v>#REF!</v>
      </c>
      <c r="AA31" s="40" t="e">
        <f>'R2'!#REF!</f>
        <v>#REF!</v>
      </c>
      <c r="AB31" s="40" t="e">
        <f>'R2'!#REF!</f>
        <v>#REF!</v>
      </c>
      <c r="AC31" s="40" t="e">
        <f>'R2'!#REF!</f>
        <v>#REF!</v>
      </c>
      <c r="AD31"/>
      <c r="AE31" s="40">
        <f>'R2'!O37</f>
        <v>0.9510080807982072</v>
      </c>
      <c r="AF31" s="40" t="str">
        <f>'R2'!P37</f>
        <v/>
      </c>
      <c r="AG31" s="40" t="str">
        <f>'R2'!Q37</f>
        <v/>
      </c>
      <c r="AH31" s="40" t="str">
        <f>'R2'!R37</f>
        <v/>
      </c>
      <c r="AI31" s="40" t="str">
        <f>'R2'!S37</f>
        <v/>
      </c>
      <c r="AJ31" s="40" t="str">
        <f>'R2'!T37</f>
        <v/>
      </c>
      <c r="AK31" s="40" t="str">
        <f>'R2'!U37</f>
        <v/>
      </c>
      <c r="AL31" s="40" t="str">
        <f>'R2'!V37</f>
        <v/>
      </c>
      <c r="AM31" s="40" t="str">
        <f>'R2'!W37</f>
        <v/>
      </c>
      <c r="AN31" s="40" t="str">
        <f>'R2'!X37</f>
        <v/>
      </c>
      <c r="AO31" s="40" t="str">
        <f>'R2'!Y37</f>
        <v/>
      </c>
      <c r="AP31" s="40" t="str">
        <f>'R2'!Z37</f>
        <v/>
      </c>
      <c r="AQ31" s="40" t="str">
        <f>'R2'!AA37</f>
        <v/>
      </c>
      <c r="AR31" s="40" t="str">
        <f>'R2'!AB37</f>
        <v/>
      </c>
      <c r="AS31" s="40" t="str">
        <f>'R2'!AC37</f>
        <v/>
      </c>
      <c r="AT31" s="40" t="str">
        <f>'R2'!AD37</f>
        <v/>
      </c>
      <c r="AU31" s="40" t="str">
        <f>'R2'!AE37</f>
        <v/>
      </c>
      <c r="AV31" s="40" t="str">
        <f>'R2'!AF37</f>
        <v/>
      </c>
      <c r="AW31" s="40" t="str">
        <f>'R2'!AG37</f>
        <v/>
      </c>
      <c r="AX31" s="40" t="str">
        <f>'R2'!AH37</f>
        <v/>
      </c>
      <c r="AY31" s="40" t="str">
        <f>'R2'!AI37</f>
        <v/>
      </c>
      <c r="AZ31" s="40" t="str">
        <f>'R2'!AJ37</f>
        <v/>
      </c>
      <c r="BA31" s="40" t="str">
        <f>'R2'!AK37</f>
        <v/>
      </c>
    </row>
    <row r="32" spans="1:53" s="1" customFormat="1" x14ac:dyDescent="0.25">
      <c r="A32" s="156"/>
      <c r="B32" s="40" t="str">
        <f>'R2'!B38</f>
        <v/>
      </c>
      <c r="C32" s="40" t="str">
        <f>'R2'!C38</f>
        <v/>
      </c>
      <c r="D32" s="40" t="str">
        <f>'R2'!D38</f>
        <v/>
      </c>
      <c r="E32" s="40" t="str">
        <f>'R2'!E38</f>
        <v/>
      </c>
      <c r="F32" s="40" t="str">
        <f>'R2'!F38</f>
        <v/>
      </c>
      <c r="G32" s="40" t="str">
        <f>'R2'!G38</f>
        <v/>
      </c>
      <c r="H32" s="40" t="str">
        <f>'R2'!H38</f>
        <v/>
      </c>
      <c r="I32" s="40" t="str">
        <f>'R2'!I38</f>
        <v/>
      </c>
      <c r="J32" s="40" t="str">
        <f>'R2'!J38</f>
        <v/>
      </c>
      <c r="K32" s="40" t="str">
        <f>'R2'!K38</f>
        <v/>
      </c>
      <c r="L32" s="40" t="str">
        <f>'R2'!L38</f>
        <v/>
      </c>
      <c r="M32" s="40" t="str">
        <f>'R2'!M38</f>
        <v/>
      </c>
      <c r="N32" s="40" t="e">
        <f>'R2'!#REF!</f>
        <v>#REF!</v>
      </c>
      <c r="O32" s="40" t="e">
        <f>'R2'!#REF!</f>
        <v>#REF!</v>
      </c>
      <c r="P32" s="40" t="e">
        <f>'R2'!#REF!</f>
        <v>#REF!</v>
      </c>
      <c r="Q32" s="40" t="e">
        <f>'R2'!#REF!</f>
        <v>#REF!</v>
      </c>
      <c r="R32" s="40" t="e">
        <f>'R2'!#REF!</f>
        <v>#REF!</v>
      </c>
      <c r="S32" s="40" t="e">
        <f>'R2'!#REF!</f>
        <v>#REF!</v>
      </c>
      <c r="T32" s="40" t="e">
        <f>'R2'!#REF!</f>
        <v>#REF!</v>
      </c>
      <c r="U32" s="40" t="e">
        <f>'R2'!#REF!</f>
        <v>#REF!</v>
      </c>
      <c r="V32" s="40" t="e">
        <f>'R2'!#REF!</f>
        <v>#REF!</v>
      </c>
      <c r="W32" s="40" t="e">
        <f>'R2'!#REF!</f>
        <v>#REF!</v>
      </c>
      <c r="X32" s="40" t="e">
        <f>'R2'!#REF!</f>
        <v>#REF!</v>
      </c>
      <c r="Y32" s="40" t="e">
        <f>'R2'!#REF!</f>
        <v>#REF!</v>
      </c>
      <c r="Z32" s="40" t="e">
        <f>'R2'!#REF!</f>
        <v>#REF!</v>
      </c>
      <c r="AA32" s="40" t="e">
        <f>'R2'!#REF!</f>
        <v>#REF!</v>
      </c>
      <c r="AB32" s="40" t="e">
        <f>'R2'!#REF!</f>
        <v>#REF!</v>
      </c>
      <c r="AC32" s="40" t="e">
        <f>'R2'!#REF!</f>
        <v>#REF!</v>
      </c>
      <c r="AD32"/>
      <c r="AE32" s="40">
        <f>'R2'!O38</f>
        <v>1.2612198721399464</v>
      </c>
      <c r="AF32" s="40" t="str">
        <f>'R2'!P38</f>
        <v/>
      </c>
      <c r="AG32" s="40" t="str">
        <f>'R2'!Q38</f>
        <v/>
      </c>
      <c r="AH32" s="40" t="str">
        <f>'R2'!R38</f>
        <v/>
      </c>
      <c r="AI32" s="40" t="str">
        <f>'R2'!S38</f>
        <v/>
      </c>
      <c r="AJ32" s="40" t="str">
        <f>'R2'!T38</f>
        <v/>
      </c>
      <c r="AK32" s="40" t="str">
        <f>'R2'!U38</f>
        <v/>
      </c>
      <c r="AL32" s="40" t="str">
        <f>'R2'!V38</f>
        <v/>
      </c>
      <c r="AM32" s="40" t="str">
        <f>'R2'!W38</f>
        <v/>
      </c>
      <c r="AN32" s="40" t="str">
        <f>'R2'!X38</f>
        <v/>
      </c>
      <c r="AO32" s="40" t="str">
        <f>'R2'!Y38</f>
        <v/>
      </c>
      <c r="AP32" s="40" t="str">
        <f>'R2'!Z38</f>
        <v/>
      </c>
      <c r="AQ32" s="40" t="str">
        <f>'R2'!AA38</f>
        <v/>
      </c>
      <c r="AR32" s="40" t="str">
        <f>'R2'!AB38</f>
        <v/>
      </c>
      <c r="AS32" s="40" t="str">
        <f>'R2'!AC38</f>
        <v/>
      </c>
      <c r="AT32" s="40" t="str">
        <f>'R2'!AD38</f>
        <v/>
      </c>
      <c r="AU32" s="40" t="str">
        <f>'R2'!AE38</f>
        <v/>
      </c>
      <c r="AV32" s="40" t="str">
        <f>'R2'!AF38</f>
        <v/>
      </c>
      <c r="AW32" s="40" t="str">
        <f>'R2'!AG38</f>
        <v/>
      </c>
      <c r="AX32" s="40" t="str">
        <f>'R2'!AH38</f>
        <v/>
      </c>
      <c r="AY32" s="40" t="str">
        <f>'R2'!AI38</f>
        <v/>
      </c>
      <c r="AZ32" s="40" t="str">
        <f>'R2'!AJ38</f>
        <v/>
      </c>
      <c r="BA32" s="40" t="str">
        <f>'R2'!AK38</f>
        <v/>
      </c>
    </row>
    <row r="33" spans="1:53" s="1" customFormat="1" x14ac:dyDescent="0.25">
      <c r="A33" s="156"/>
      <c r="B33" s="40" t="str">
        <f>'R2'!B39</f>
        <v/>
      </c>
      <c r="C33" s="40" t="str">
        <f>'R2'!C39</f>
        <v/>
      </c>
      <c r="D33" s="40" t="str">
        <f>'R2'!D39</f>
        <v/>
      </c>
      <c r="E33" s="40" t="str">
        <f>'R2'!E39</f>
        <v/>
      </c>
      <c r="F33" s="40" t="str">
        <f>'R2'!F39</f>
        <v/>
      </c>
      <c r="G33" s="40" t="str">
        <f>'R2'!G39</f>
        <v/>
      </c>
      <c r="H33" s="40" t="str">
        <f>'R2'!H39</f>
        <v/>
      </c>
      <c r="I33" s="40" t="str">
        <f>'R2'!I39</f>
        <v/>
      </c>
      <c r="J33" s="40" t="str">
        <f>'R2'!J39</f>
        <v/>
      </c>
      <c r="K33" s="40" t="str">
        <f>'R2'!K39</f>
        <v/>
      </c>
      <c r="L33" s="40" t="str">
        <f>'R2'!L39</f>
        <v/>
      </c>
      <c r="M33" s="40" t="str">
        <f>'R2'!M39</f>
        <v/>
      </c>
      <c r="N33" s="40" t="e">
        <f>'R2'!#REF!</f>
        <v>#REF!</v>
      </c>
      <c r="O33" s="40" t="e">
        <f>'R2'!#REF!</f>
        <v>#REF!</v>
      </c>
      <c r="P33" s="40" t="e">
        <f>'R2'!#REF!</f>
        <v>#REF!</v>
      </c>
      <c r="Q33" s="40" t="e">
        <f>'R2'!#REF!</f>
        <v>#REF!</v>
      </c>
      <c r="R33" s="40" t="e">
        <f>'R2'!#REF!</f>
        <v>#REF!</v>
      </c>
      <c r="S33" s="40" t="e">
        <f>'R2'!#REF!</f>
        <v>#REF!</v>
      </c>
      <c r="T33" s="40" t="e">
        <f>'R2'!#REF!</f>
        <v>#REF!</v>
      </c>
      <c r="U33" s="40" t="e">
        <f>'R2'!#REF!</f>
        <v>#REF!</v>
      </c>
      <c r="V33" s="40" t="e">
        <f>'R2'!#REF!</f>
        <v>#REF!</v>
      </c>
      <c r="W33" s="40" t="e">
        <f>'R2'!#REF!</f>
        <v>#REF!</v>
      </c>
      <c r="X33" s="40" t="e">
        <f>'R2'!#REF!</f>
        <v>#REF!</v>
      </c>
      <c r="Y33" s="40" t="e">
        <f>'R2'!#REF!</f>
        <v>#REF!</v>
      </c>
      <c r="Z33" s="40" t="e">
        <f>'R2'!#REF!</f>
        <v>#REF!</v>
      </c>
      <c r="AA33" s="40" t="e">
        <f>'R2'!#REF!</f>
        <v>#REF!</v>
      </c>
      <c r="AB33" s="40" t="e">
        <f>'R2'!#REF!</f>
        <v>#REF!</v>
      </c>
      <c r="AC33" s="40" t="e">
        <f>'R2'!#REF!</f>
        <v>#REF!</v>
      </c>
      <c r="AD33"/>
      <c r="AE33" s="40">
        <f>'R2'!O39</f>
        <v>1.1386522166047708</v>
      </c>
      <c r="AF33" s="40" t="str">
        <f>'R2'!P39</f>
        <v/>
      </c>
      <c r="AG33" s="40" t="str">
        <f>'R2'!Q39</f>
        <v/>
      </c>
      <c r="AH33" s="40" t="str">
        <f>'R2'!R39</f>
        <v/>
      </c>
      <c r="AI33" s="40" t="str">
        <f>'R2'!S39</f>
        <v/>
      </c>
      <c r="AJ33" s="40" t="str">
        <f>'R2'!T39</f>
        <v/>
      </c>
      <c r="AK33" s="40" t="str">
        <f>'R2'!U39</f>
        <v/>
      </c>
      <c r="AL33" s="40" t="str">
        <f>'R2'!V39</f>
        <v/>
      </c>
      <c r="AM33" s="40" t="str">
        <f>'R2'!W39</f>
        <v/>
      </c>
      <c r="AN33" s="40" t="str">
        <f>'R2'!X39</f>
        <v/>
      </c>
      <c r="AO33" s="40" t="str">
        <f>'R2'!Y39</f>
        <v/>
      </c>
      <c r="AP33" s="40" t="str">
        <f>'R2'!Z39</f>
        <v/>
      </c>
      <c r="AQ33" s="40" t="str">
        <f>'R2'!AA39</f>
        <v/>
      </c>
      <c r="AR33" s="40" t="str">
        <f>'R2'!AB39</f>
        <v/>
      </c>
      <c r="AS33" s="40" t="str">
        <f>'R2'!AC39</f>
        <v/>
      </c>
      <c r="AT33" s="40" t="str">
        <f>'R2'!AD39</f>
        <v/>
      </c>
      <c r="AU33" s="40" t="str">
        <f>'R2'!AE39</f>
        <v/>
      </c>
      <c r="AV33" s="40" t="str">
        <f>'R2'!AF39</f>
        <v/>
      </c>
      <c r="AW33" s="40" t="str">
        <f>'R2'!AG39</f>
        <v/>
      </c>
      <c r="AX33" s="40" t="str">
        <f>'R2'!AH39</f>
        <v/>
      </c>
      <c r="AY33" s="40" t="str">
        <f>'R2'!AI39</f>
        <v/>
      </c>
      <c r="AZ33" s="40" t="str">
        <f>'R2'!AJ39</f>
        <v/>
      </c>
      <c r="BA33" s="40" t="str">
        <f>'R2'!AK39</f>
        <v/>
      </c>
    </row>
    <row r="34" spans="1:53" s="1" customFormat="1" x14ac:dyDescent="0.25">
      <c r="A34" s="156"/>
      <c r="B34" s="40" t="str">
        <f>'R2'!B40</f>
        <v/>
      </c>
      <c r="C34" s="40" t="str">
        <f>'R2'!C40</f>
        <v/>
      </c>
      <c r="D34" s="40" t="str">
        <f>'R2'!D40</f>
        <v/>
      </c>
      <c r="E34" s="40" t="str">
        <f>'R2'!E40</f>
        <v/>
      </c>
      <c r="F34" s="40" t="str">
        <f>'R2'!F40</f>
        <v/>
      </c>
      <c r="G34" s="40" t="str">
        <f>'R2'!G40</f>
        <v/>
      </c>
      <c r="H34" s="40" t="str">
        <f>'R2'!H40</f>
        <v/>
      </c>
      <c r="I34" s="40" t="str">
        <f>'R2'!I40</f>
        <v/>
      </c>
      <c r="J34" s="40" t="str">
        <f>'R2'!J40</f>
        <v/>
      </c>
      <c r="K34" s="40" t="str">
        <f>'R2'!K40</f>
        <v/>
      </c>
      <c r="L34" s="40" t="str">
        <f>'R2'!L40</f>
        <v/>
      </c>
      <c r="M34" s="40" t="str">
        <f>'R2'!M40</f>
        <v/>
      </c>
      <c r="N34" s="40" t="e">
        <f>'R2'!#REF!</f>
        <v>#REF!</v>
      </c>
      <c r="O34" s="40" t="e">
        <f>'R2'!#REF!</f>
        <v>#REF!</v>
      </c>
      <c r="P34" s="40" t="e">
        <f>'R2'!#REF!</f>
        <v>#REF!</v>
      </c>
      <c r="Q34" s="40" t="e">
        <f>'R2'!#REF!</f>
        <v>#REF!</v>
      </c>
      <c r="R34" s="40" t="e">
        <f>'R2'!#REF!</f>
        <v>#REF!</v>
      </c>
      <c r="S34" s="40" t="e">
        <f>'R2'!#REF!</f>
        <v>#REF!</v>
      </c>
      <c r="T34" s="40" t="e">
        <f>'R2'!#REF!</f>
        <v>#REF!</v>
      </c>
      <c r="U34" s="40" t="e">
        <f>'R2'!#REF!</f>
        <v>#REF!</v>
      </c>
      <c r="V34" s="40" t="e">
        <f>'R2'!#REF!</f>
        <v>#REF!</v>
      </c>
      <c r="W34" s="40" t="e">
        <f>'R2'!#REF!</f>
        <v>#REF!</v>
      </c>
      <c r="X34" s="40" t="e">
        <f>'R2'!#REF!</f>
        <v>#REF!</v>
      </c>
      <c r="Y34" s="40" t="e">
        <f>'R2'!#REF!</f>
        <v>#REF!</v>
      </c>
      <c r="Z34" s="40" t="e">
        <f>'R2'!#REF!</f>
        <v>#REF!</v>
      </c>
      <c r="AA34" s="40" t="e">
        <f>'R2'!#REF!</f>
        <v>#REF!</v>
      </c>
      <c r="AB34" s="40" t="e">
        <f>'R2'!#REF!</f>
        <v>#REF!</v>
      </c>
      <c r="AC34" s="40" t="e">
        <f>'R2'!#REF!</f>
        <v>#REF!</v>
      </c>
      <c r="AD34"/>
      <c r="AE34" s="40">
        <f>'R2'!O40</f>
        <v>1.4267709227181886</v>
      </c>
      <c r="AF34" s="40" t="str">
        <f>'R2'!P40</f>
        <v/>
      </c>
      <c r="AG34" s="40" t="str">
        <f>'R2'!Q40</f>
        <v/>
      </c>
      <c r="AH34" s="40" t="str">
        <f>'R2'!R40</f>
        <v/>
      </c>
      <c r="AI34" s="40" t="str">
        <f>'R2'!S40</f>
        <v/>
      </c>
      <c r="AJ34" s="40" t="str">
        <f>'R2'!T40</f>
        <v/>
      </c>
      <c r="AK34" s="40" t="str">
        <f>'R2'!U40</f>
        <v/>
      </c>
      <c r="AL34" s="40" t="str">
        <f>'R2'!V40</f>
        <v/>
      </c>
      <c r="AM34" s="40" t="str">
        <f>'R2'!W40</f>
        <v/>
      </c>
      <c r="AN34" s="40" t="str">
        <f>'R2'!X40</f>
        <v/>
      </c>
      <c r="AO34" s="40" t="str">
        <f>'R2'!Y40</f>
        <v/>
      </c>
      <c r="AP34" s="40" t="str">
        <f>'R2'!Z40</f>
        <v/>
      </c>
      <c r="AQ34" s="40" t="str">
        <f>'R2'!AA40</f>
        <v/>
      </c>
      <c r="AR34" s="40" t="str">
        <f>'R2'!AB40</f>
        <v/>
      </c>
      <c r="AS34" s="40" t="str">
        <f>'R2'!AC40</f>
        <v/>
      </c>
      <c r="AT34" s="40" t="str">
        <f>'R2'!AD40</f>
        <v/>
      </c>
      <c r="AU34" s="40" t="str">
        <f>'R2'!AE40</f>
        <v/>
      </c>
      <c r="AV34" s="40" t="str">
        <f>'R2'!AF40</f>
        <v/>
      </c>
      <c r="AW34" s="40" t="str">
        <f>'R2'!AG40</f>
        <v/>
      </c>
      <c r="AX34" s="40" t="str">
        <f>'R2'!AH40</f>
        <v/>
      </c>
      <c r="AY34" s="40" t="str">
        <f>'R2'!AI40</f>
        <v/>
      </c>
      <c r="AZ34" s="40" t="str">
        <f>'R2'!AJ40</f>
        <v/>
      </c>
      <c r="BA34" s="40" t="str">
        <f>'R2'!AK40</f>
        <v/>
      </c>
    </row>
    <row r="35" spans="1:53" s="1" customFormat="1" x14ac:dyDescent="0.25">
      <c r="A35" s="156"/>
      <c r="B35" s="40" t="str">
        <f>'R2'!B41</f>
        <v/>
      </c>
      <c r="C35" s="40" t="str">
        <f>'R2'!C41</f>
        <v/>
      </c>
      <c r="D35" s="40" t="str">
        <f>'R2'!D41</f>
        <v/>
      </c>
      <c r="E35" s="40" t="str">
        <f>'R2'!E41</f>
        <v/>
      </c>
      <c r="F35" s="40" t="str">
        <f>'R2'!F41</f>
        <v/>
      </c>
      <c r="G35" s="40" t="str">
        <f>'R2'!G41</f>
        <v/>
      </c>
      <c r="H35" s="40" t="str">
        <f>'R2'!H41</f>
        <v/>
      </c>
      <c r="I35" s="40" t="str">
        <f>'R2'!I41</f>
        <v/>
      </c>
      <c r="J35" s="40" t="str">
        <f>'R2'!J41</f>
        <v/>
      </c>
      <c r="K35" s="40" t="str">
        <f>'R2'!K41</f>
        <v/>
      </c>
      <c r="L35" s="40" t="str">
        <f>'R2'!L41</f>
        <v/>
      </c>
      <c r="M35" s="40" t="str">
        <f>'R2'!M41</f>
        <v/>
      </c>
      <c r="N35" s="40" t="e">
        <f>'R2'!#REF!</f>
        <v>#REF!</v>
      </c>
      <c r="O35" s="40" t="e">
        <f>'R2'!#REF!</f>
        <v>#REF!</v>
      </c>
      <c r="P35" s="40" t="e">
        <f>'R2'!#REF!</f>
        <v>#REF!</v>
      </c>
      <c r="Q35" s="40" t="e">
        <f>'R2'!#REF!</f>
        <v>#REF!</v>
      </c>
      <c r="R35" s="40" t="e">
        <f>'R2'!#REF!</f>
        <v>#REF!</v>
      </c>
      <c r="S35" s="40" t="e">
        <f>'R2'!#REF!</f>
        <v>#REF!</v>
      </c>
      <c r="T35" s="40" t="e">
        <f>'R2'!#REF!</f>
        <v>#REF!</v>
      </c>
      <c r="U35" s="40" t="e">
        <f>'R2'!#REF!</f>
        <v>#REF!</v>
      </c>
      <c r="V35" s="40" t="e">
        <f>'R2'!#REF!</f>
        <v>#REF!</v>
      </c>
      <c r="W35" s="40" t="e">
        <f>'R2'!#REF!</f>
        <v>#REF!</v>
      </c>
      <c r="X35" s="40" t="e">
        <f>'R2'!#REF!</f>
        <v>#REF!</v>
      </c>
      <c r="Y35" s="40" t="e">
        <f>'R2'!#REF!</f>
        <v>#REF!</v>
      </c>
      <c r="Z35" s="40" t="e">
        <f>'R2'!#REF!</f>
        <v>#REF!</v>
      </c>
      <c r="AA35" s="40" t="e">
        <f>'R2'!#REF!</f>
        <v>#REF!</v>
      </c>
      <c r="AB35" s="40" t="e">
        <f>'R2'!#REF!</f>
        <v>#REF!</v>
      </c>
      <c r="AC35" s="40" t="e">
        <f>'R2'!#REF!</f>
        <v>#REF!</v>
      </c>
      <c r="AD35"/>
      <c r="AE35" s="40">
        <f>'R2'!O41</f>
        <v>0.7724722690213881</v>
      </c>
      <c r="AF35" s="40" t="str">
        <f>'R2'!P41</f>
        <v/>
      </c>
      <c r="AG35" s="40" t="str">
        <f>'R2'!Q41</f>
        <v/>
      </c>
      <c r="AH35" s="40" t="str">
        <f>'R2'!R41</f>
        <v/>
      </c>
      <c r="AI35" s="40" t="str">
        <f>'R2'!S41</f>
        <v/>
      </c>
      <c r="AJ35" s="40" t="str">
        <f>'R2'!T41</f>
        <v/>
      </c>
      <c r="AK35" s="40" t="str">
        <f>'R2'!U41</f>
        <v/>
      </c>
      <c r="AL35" s="40" t="str">
        <f>'R2'!V41</f>
        <v/>
      </c>
      <c r="AM35" s="40" t="str">
        <f>'R2'!W41</f>
        <v/>
      </c>
      <c r="AN35" s="40" t="str">
        <f>'R2'!X41</f>
        <v/>
      </c>
      <c r="AO35" s="40" t="str">
        <f>'R2'!Y41</f>
        <v/>
      </c>
      <c r="AP35" s="40" t="str">
        <f>'R2'!Z41</f>
        <v/>
      </c>
      <c r="AQ35" s="40" t="str">
        <f>'R2'!AA41</f>
        <v/>
      </c>
      <c r="AR35" s="40" t="str">
        <f>'R2'!AB41</f>
        <v/>
      </c>
      <c r="AS35" s="40" t="str">
        <f>'R2'!AC41</f>
        <v/>
      </c>
      <c r="AT35" s="40" t="str">
        <f>'R2'!AD41</f>
        <v/>
      </c>
      <c r="AU35" s="40" t="str">
        <f>'R2'!AE41</f>
        <v/>
      </c>
      <c r="AV35" s="40" t="str">
        <f>'R2'!AF41</f>
        <v/>
      </c>
      <c r="AW35" s="40" t="str">
        <f>'R2'!AG41</f>
        <v/>
      </c>
      <c r="AX35" s="40" t="str">
        <f>'R2'!AH41</f>
        <v/>
      </c>
      <c r="AY35" s="40" t="str">
        <f>'R2'!AI41</f>
        <v/>
      </c>
      <c r="AZ35" s="40" t="str">
        <f>'R2'!AJ41</f>
        <v/>
      </c>
      <c r="BA35" s="40" t="str">
        <f>'R2'!AK41</f>
        <v/>
      </c>
    </row>
    <row r="36" spans="1:53" x14ac:dyDescent="0.25">
      <c r="A36" s="156"/>
      <c r="B36" s="40" t="str">
        <f>'R2'!B42</f>
        <v/>
      </c>
      <c r="C36" s="40" t="str">
        <f>'R2'!C42</f>
        <v/>
      </c>
      <c r="D36" s="40" t="str">
        <f>'R2'!D42</f>
        <v/>
      </c>
      <c r="E36" s="40" t="str">
        <f>'R2'!E42</f>
        <v/>
      </c>
      <c r="F36" s="40" t="str">
        <f>'R2'!F42</f>
        <v/>
      </c>
      <c r="G36" s="40" t="str">
        <f>'R2'!G42</f>
        <v/>
      </c>
      <c r="H36" s="40" t="str">
        <f>'R2'!H42</f>
        <v/>
      </c>
      <c r="I36" s="40" t="str">
        <f>'R2'!I42</f>
        <v/>
      </c>
      <c r="J36" s="40" t="str">
        <f>'R2'!J42</f>
        <v/>
      </c>
      <c r="K36" s="40" t="str">
        <f>'R2'!K42</f>
        <v/>
      </c>
      <c r="L36" s="40" t="str">
        <f>'R2'!L42</f>
        <v/>
      </c>
      <c r="M36" s="40" t="str">
        <f>'R2'!M42</f>
        <v/>
      </c>
      <c r="N36" s="40" t="e">
        <f>'R2'!#REF!</f>
        <v>#REF!</v>
      </c>
      <c r="O36" s="40" t="e">
        <f>'R2'!#REF!</f>
        <v>#REF!</v>
      </c>
      <c r="P36" s="40" t="e">
        <f>'R2'!#REF!</f>
        <v>#REF!</v>
      </c>
      <c r="Q36" s="40" t="e">
        <f>'R2'!#REF!</f>
        <v>#REF!</v>
      </c>
      <c r="R36" s="40" t="e">
        <f>'R2'!#REF!</f>
        <v>#REF!</v>
      </c>
      <c r="S36" s="40" t="e">
        <f>'R2'!#REF!</f>
        <v>#REF!</v>
      </c>
      <c r="T36" s="40" t="e">
        <f>'R2'!#REF!</f>
        <v>#REF!</v>
      </c>
      <c r="U36" s="40" t="e">
        <f>'R2'!#REF!</f>
        <v>#REF!</v>
      </c>
      <c r="V36" s="40" t="e">
        <f>'R2'!#REF!</f>
        <v>#REF!</v>
      </c>
      <c r="W36" s="40" t="e">
        <f>'R2'!#REF!</f>
        <v>#REF!</v>
      </c>
      <c r="X36" s="40" t="e">
        <f>'R2'!#REF!</f>
        <v>#REF!</v>
      </c>
      <c r="Y36" s="40" t="e">
        <f>'R2'!#REF!</f>
        <v>#REF!</v>
      </c>
      <c r="Z36" s="40" t="e">
        <f>'R2'!#REF!</f>
        <v>#REF!</v>
      </c>
      <c r="AA36" s="40" t="e">
        <f>'R2'!#REF!</f>
        <v>#REF!</v>
      </c>
      <c r="AB36" s="40" t="e">
        <f>'R2'!#REF!</f>
        <v>#REF!</v>
      </c>
      <c r="AC36" s="40" t="e">
        <f>'R2'!#REF!</f>
        <v>#REF!</v>
      </c>
      <c r="AE36" s="40">
        <f>'R2'!O42</f>
        <v>0.8773110894357079</v>
      </c>
      <c r="AF36" s="40" t="str">
        <f>'R2'!P42</f>
        <v/>
      </c>
      <c r="AG36" s="40" t="str">
        <f>'R2'!Q42</f>
        <v/>
      </c>
      <c r="AH36" s="40" t="str">
        <f>'R2'!R42</f>
        <v/>
      </c>
      <c r="AI36" s="40" t="str">
        <f>'R2'!S42</f>
        <v/>
      </c>
      <c r="AJ36" s="40" t="str">
        <f>'R2'!T42</f>
        <v/>
      </c>
      <c r="AK36" s="40" t="str">
        <f>'R2'!U42</f>
        <v/>
      </c>
      <c r="AL36" s="40" t="str">
        <f>'R2'!V42</f>
        <v/>
      </c>
      <c r="AM36" s="40" t="str">
        <f>'R2'!W42</f>
        <v/>
      </c>
      <c r="AN36" s="40" t="str">
        <f>'R2'!X42</f>
        <v/>
      </c>
      <c r="AO36" s="40" t="str">
        <f>'R2'!Y42</f>
        <v/>
      </c>
      <c r="AP36" s="40" t="str">
        <f>'R2'!Z42</f>
        <v/>
      </c>
      <c r="AQ36" s="40" t="str">
        <f>'R2'!AA42</f>
        <v/>
      </c>
      <c r="AR36" s="40" t="str">
        <f>'R2'!AB42</f>
        <v/>
      </c>
      <c r="AS36" s="40" t="str">
        <f>'R2'!AC42</f>
        <v/>
      </c>
      <c r="AT36" s="40" t="str">
        <f>'R2'!AD42</f>
        <v/>
      </c>
      <c r="AU36" s="40" t="str">
        <f>'R2'!AE42</f>
        <v/>
      </c>
      <c r="AV36" s="40" t="str">
        <f>'R2'!AF42</f>
        <v/>
      </c>
      <c r="AW36" s="40" t="str">
        <f>'R2'!AG42</f>
        <v/>
      </c>
      <c r="AX36" s="40" t="str">
        <f>'R2'!AH42</f>
        <v/>
      </c>
      <c r="AY36" s="40" t="str">
        <f>'R2'!AI42</f>
        <v/>
      </c>
      <c r="AZ36" s="40" t="str">
        <f>'R2'!AJ42</f>
        <v/>
      </c>
      <c r="BA36" s="40" t="str">
        <f>'R2'!AK42</f>
        <v/>
      </c>
    </row>
    <row r="37" spans="1:53" x14ac:dyDescent="0.25">
      <c r="A37" s="157"/>
      <c r="B37" s="40" t="str">
        <f>'R2'!B43</f>
        <v/>
      </c>
      <c r="C37" s="40" t="str">
        <f>'R2'!C43</f>
        <v/>
      </c>
      <c r="D37" s="40" t="str">
        <f>'R2'!D43</f>
        <v/>
      </c>
      <c r="E37" s="40" t="str">
        <f>'R2'!E43</f>
        <v/>
      </c>
      <c r="F37" s="40" t="str">
        <f>'R2'!F43</f>
        <v/>
      </c>
      <c r="G37" s="40" t="str">
        <f>'R2'!G43</f>
        <v/>
      </c>
      <c r="H37" s="40" t="str">
        <f>'R2'!H43</f>
        <v/>
      </c>
      <c r="I37" s="40" t="str">
        <f>'R2'!I43</f>
        <v/>
      </c>
      <c r="J37" s="40" t="str">
        <f>'R2'!J43</f>
        <v/>
      </c>
      <c r="K37" s="40" t="str">
        <f>'R2'!K43</f>
        <v/>
      </c>
      <c r="L37" s="40" t="str">
        <f>'R2'!L43</f>
        <v/>
      </c>
      <c r="M37" s="40" t="str">
        <f>'R2'!M43</f>
        <v/>
      </c>
      <c r="N37" s="40" t="e">
        <f>'R2'!#REF!</f>
        <v>#REF!</v>
      </c>
      <c r="O37" s="40" t="e">
        <f>'R2'!#REF!</f>
        <v>#REF!</v>
      </c>
      <c r="P37" s="40" t="e">
        <f>'R2'!#REF!</f>
        <v>#REF!</v>
      </c>
      <c r="Q37" s="40" t="e">
        <f>'R2'!#REF!</f>
        <v>#REF!</v>
      </c>
      <c r="R37" s="40" t="e">
        <f>'R2'!#REF!</f>
        <v>#REF!</v>
      </c>
      <c r="S37" s="40" t="e">
        <f>'R2'!#REF!</f>
        <v>#REF!</v>
      </c>
      <c r="T37" s="40" t="e">
        <f>'R2'!#REF!</f>
        <v>#REF!</v>
      </c>
      <c r="U37" s="40" t="e">
        <f>'R2'!#REF!</f>
        <v>#REF!</v>
      </c>
      <c r="V37" s="40" t="e">
        <f>'R2'!#REF!</f>
        <v>#REF!</v>
      </c>
      <c r="W37" s="40" t="e">
        <f>'R2'!#REF!</f>
        <v>#REF!</v>
      </c>
      <c r="X37" s="40" t="e">
        <f>'R2'!#REF!</f>
        <v>#REF!</v>
      </c>
      <c r="Y37" s="40" t="e">
        <f>'R2'!#REF!</f>
        <v>#REF!</v>
      </c>
      <c r="Z37" s="40" t="e">
        <f>'R2'!#REF!</f>
        <v>#REF!</v>
      </c>
      <c r="AA37" s="40" t="e">
        <f>'R2'!#REF!</f>
        <v>#REF!</v>
      </c>
      <c r="AB37" s="40" t="e">
        <f>'R2'!#REF!</f>
        <v>#REF!</v>
      </c>
      <c r="AC37" s="40" t="e">
        <f>'R2'!#REF!</f>
        <v>#REF!</v>
      </c>
      <c r="AE37" s="40">
        <f>'R2'!O43</f>
        <v>0.92602535556699062</v>
      </c>
      <c r="AF37" s="40" t="str">
        <f>'R2'!P43</f>
        <v/>
      </c>
      <c r="AG37" s="40" t="str">
        <f>'R2'!Q43</f>
        <v/>
      </c>
      <c r="AH37" s="40" t="str">
        <f>'R2'!R43</f>
        <v/>
      </c>
      <c r="AI37" s="40" t="str">
        <f>'R2'!S43</f>
        <v/>
      </c>
      <c r="AJ37" s="40" t="str">
        <f>'R2'!T43</f>
        <v/>
      </c>
      <c r="AK37" s="40" t="str">
        <f>'R2'!U43</f>
        <v/>
      </c>
      <c r="AL37" s="40" t="str">
        <f>'R2'!V43</f>
        <v/>
      </c>
      <c r="AM37" s="40" t="str">
        <f>'R2'!W43</f>
        <v/>
      </c>
      <c r="AN37" s="40" t="str">
        <f>'R2'!X43</f>
        <v/>
      </c>
      <c r="AO37" s="40" t="str">
        <f>'R2'!Y43</f>
        <v/>
      </c>
      <c r="AP37" s="40" t="str">
        <f>'R2'!Z43</f>
        <v/>
      </c>
      <c r="AQ37" s="40" t="str">
        <f>'R2'!AA43</f>
        <v/>
      </c>
      <c r="AR37" s="40" t="str">
        <f>'R2'!AB43</f>
        <v/>
      </c>
      <c r="AS37" s="40" t="str">
        <f>'R2'!AC43</f>
        <v/>
      </c>
      <c r="AT37" s="40" t="str">
        <f>'R2'!AD43</f>
        <v/>
      </c>
      <c r="AU37" s="40" t="str">
        <f>'R2'!AE43</f>
        <v/>
      </c>
      <c r="AV37" s="40" t="str">
        <f>'R2'!AF43</f>
        <v/>
      </c>
      <c r="AW37" s="40" t="str">
        <f>'R2'!AG43</f>
        <v/>
      </c>
      <c r="AX37" s="40" t="str">
        <f>'R2'!AH43</f>
        <v/>
      </c>
      <c r="AY37" s="40" t="str">
        <f>'R2'!AI43</f>
        <v/>
      </c>
      <c r="AZ37" s="40" t="str">
        <f>'R2'!AJ43</f>
        <v/>
      </c>
      <c r="BA37" s="40" t="str">
        <f>'R2'!AK43</f>
        <v/>
      </c>
    </row>
    <row r="38" spans="1:53" s="1" customFormat="1" x14ac:dyDescent="0.25">
      <c r="A38" s="92" t="s">
        <v>48</v>
      </c>
      <c r="B38" s="93">
        <f>'R3'!B28</f>
        <v>5.2467678843973027E-2</v>
      </c>
      <c r="C38" s="93" t="str">
        <f>'R3'!C28</f>
        <v/>
      </c>
      <c r="D38" s="93">
        <f>'R3'!D28</f>
        <v>1.1093099728905815E-2</v>
      </c>
      <c r="E38" s="93">
        <f>'R3'!E28</f>
        <v>7.5633710454495587E-2</v>
      </c>
      <c r="F38" s="93">
        <f>'R3'!F28</f>
        <v>1.0107143625240447</v>
      </c>
      <c r="G38" s="93">
        <f>'R3'!G28</f>
        <v>1.6948763308202049E-2</v>
      </c>
      <c r="H38" s="93">
        <f>'R3'!H28</f>
        <v>1.4802697600395431</v>
      </c>
      <c r="I38" s="93">
        <f>'R3'!I28</f>
        <v>1.4149242871885124E-2</v>
      </c>
      <c r="J38" s="93">
        <f>'R3'!J28</f>
        <v>1.0731495005881544E-2</v>
      </c>
      <c r="K38" s="93">
        <f>'R3'!K28</f>
        <v>4.7825140787080794E-4</v>
      </c>
      <c r="L38" s="93">
        <f>'R3'!L28</f>
        <v>1.0591518984065698E-2</v>
      </c>
      <c r="M38" s="93">
        <f>'R3'!M28</f>
        <v>0</v>
      </c>
      <c r="N38" s="93" t="e">
        <f>'R3'!#REF!</f>
        <v>#REF!</v>
      </c>
      <c r="O38" s="93" t="e">
        <f>'R3'!#REF!</f>
        <v>#REF!</v>
      </c>
      <c r="P38" s="93" t="e">
        <f>'R3'!#REF!</f>
        <v>#REF!</v>
      </c>
      <c r="Q38" s="93" t="e">
        <f>'R3'!#REF!</f>
        <v>#REF!</v>
      </c>
      <c r="R38" s="93" t="e">
        <f>'R3'!#REF!</f>
        <v>#REF!</v>
      </c>
      <c r="S38" s="93" t="e">
        <f>'R3'!#REF!</f>
        <v>#REF!</v>
      </c>
      <c r="T38" s="93" t="e">
        <f>'R3'!#REF!</f>
        <v>#REF!</v>
      </c>
      <c r="U38" s="93" t="e">
        <f>'R3'!#REF!</f>
        <v>#REF!</v>
      </c>
      <c r="V38" s="93" t="e">
        <f>'R3'!#REF!</f>
        <v>#REF!</v>
      </c>
      <c r="W38" s="93" t="e">
        <f>'R3'!#REF!</f>
        <v>#REF!</v>
      </c>
      <c r="X38" s="93" t="e">
        <f>'R3'!#REF!</f>
        <v>#REF!</v>
      </c>
      <c r="Y38" s="93" t="e">
        <f>'R3'!#REF!</f>
        <v>#REF!</v>
      </c>
      <c r="Z38" s="93" t="e">
        <f>'R3'!#REF!</f>
        <v>#REF!</v>
      </c>
      <c r="AA38" s="93" t="e">
        <f>'R3'!#REF!</f>
        <v>#REF!</v>
      </c>
      <c r="AB38" s="93" t="e">
        <f>'R3'!#REF!</f>
        <v>#REF!</v>
      </c>
      <c r="AC38" s="93" t="e">
        <f>'R3'!#REF!</f>
        <v>#REF!</v>
      </c>
      <c r="AD38"/>
      <c r="AE38" s="93">
        <f>'R3'!O28</f>
        <v>1.1842846295756941</v>
      </c>
      <c r="AF38" s="93">
        <f>'R3'!P28</f>
        <v>0.6513725851857981</v>
      </c>
      <c r="AG38" s="93">
        <f>'R3'!Q28</f>
        <v>0</v>
      </c>
      <c r="AH38" s="93">
        <f>'R3'!R28</f>
        <v>8.6324379120680833E-2</v>
      </c>
      <c r="AI38" s="93">
        <f>'R3'!S28</f>
        <v>6.883320872794238E-2</v>
      </c>
      <c r="AJ38" s="93">
        <f>'R3'!T28</f>
        <v>3.3710891920649636E-3</v>
      </c>
      <c r="AK38" s="93">
        <f>'R3'!U28</f>
        <v>0</v>
      </c>
      <c r="AL38" s="93">
        <f>'R3'!V28</f>
        <v>0.23408656715003351</v>
      </c>
      <c r="AM38" s="93" t="str">
        <f>'R3'!W28</f>
        <v/>
      </c>
      <c r="AN38" s="93" t="str">
        <f>'R3'!X28</f>
        <v/>
      </c>
      <c r="AO38" s="93" t="str">
        <f>'R3'!Y28</f>
        <v/>
      </c>
      <c r="AP38" s="93" t="str">
        <f>'R3'!Z28</f>
        <v/>
      </c>
      <c r="AQ38" s="93" t="str">
        <f>'R3'!AA28</f>
        <v/>
      </c>
      <c r="AR38" s="93" t="str">
        <f>'R3'!AB28</f>
        <v/>
      </c>
      <c r="AS38" s="93" t="str">
        <f>'R3'!AC28</f>
        <v/>
      </c>
      <c r="AT38" s="93" t="str">
        <f>'R3'!AD28</f>
        <v/>
      </c>
      <c r="AU38" s="93" t="str">
        <f>'R3'!AE28</f>
        <v/>
      </c>
      <c r="AV38" s="93" t="str">
        <f>'R3'!AF28</f>
        <v/>
      </c>
      <c r="AW38" s="93" t="str">
        <f>'R3'!AG28</f>
        <v/>
      </c>
      <c r="AX38" s="93" t="str">
        <f>'R3'!AH28</f>
        <v/>
      </c>
      <c r="AY38" s="93" t="str">
        <f>'R3'!AI28</f>
        <v/>
      </c>
      <c r="AZ38" s="93" t="str">
        <f>'R3'!AJ28</f>
        <v/>
      </c>
      <c r="BA38" s="93" t="str">
        <f>'R3'!AK28</f>
        <v/>
      </c>
    </row>
    <row r="39" spans="1:53" s="1" customFormat="1" x14ac:dyDescent="0.25">
      <c r="A39" s="155" t="s">
        <v>17</v>
      </c>
      <c r="B39" s="93">
        <f>'R3'!B29</f>
        <v>3.1984520984920863E-2</v>
      </c>
      <c r="C39" s="93" t="str">
        <f>'R3'!C29</f>
        <v/>
      </c>
      <c r="D39" s="93">
        <f>'R3'!D29</f>
        <v>7.8036632162334276E-3</v>
      </c>
      <c r="E39" s="93">
        <f>'R3'!E29</f>
        <v>0</v>
      </c>
      <c r="F39" s="93">
        <f>'R3'!F29</f>
        <v>8.7951600374290059E-3</v>
      </c>
      <c r="G39" s="93">
        <f>'R3'!G29</f>
        <v>2.2425266838404609</v>
      </c>
      <c r="H39" s="93">
        <f>'R3'!H29</f>
        <v>1.6502298121951922</v>
      </c>
      <c r="I39" s="93">
        <f>'R3'!I29</f>
        <v>0</v>
      </c>
      <c r="J39" s="93">
        <f>'R3'!J29</f>
        <v>1.0142429247406526E-2</v>
      </c>
      <c r="K39" s="93">
        <f>'R3'!K29</f>
        <v>1.9538319711795205E-3</v>
      </c>
      <c r="L39" s="93">
        <f>'R3'!L29</f>
        <v>1.6120571845791624E-2</v>
      </c>
      <c r="M39" s="93">
        <f>'R3'!M29</f>
        <v>2.0722283562987571E-2</v>
      </c>
      <c r="N39" s="93" t="e">
        <f>'R3'!#REF!</f>
        <v>#REF!</v>
      </c>
      <c r="O39" s="93" t="e">
        <f>'R3'!#REF!</f>
        <v>#REF!</v>
      </c>
      <c r="P39" s="93" t="e">
        <f>'R3'!#REF!</f>
        <v>#REF!</v>
      </c>
      <c r="Q39" s="93" t="e">
        <f>'R3'!#REF!</f>
        <v>#REF!</v>
      </c>
      <c r="R39" s="93" t="e">
        <f>'R3'!#REF!</f>
        <v>#REF!</v>
      </c>
      <c r="S39" s="93" t="e">
        <f>'R3'!#REF!</f>
        <v>#REF!</v>
      </c>
      <c r="T39" s="93" t="e">
        <f>'R3'!#REF!</f>
        <v>#REF!</v>
      </c>
      <c r="U39" s="93" t="e">
        <f>'R3'!#REF!</f>
        <v>#REF!</v>
      </c>
      <c r="V39" s="93" t="e">
        <f>'R3'!#REF!</f>
        <v>#REF!</v>
      </c>
      <c r="W39" s="93" t="e">
        <f>'R3'!#REF!</f>
        <v>#REF!</v>
      </c>
      <c r="X39" s="93" t="e">
        <f>'R3'!#REF!</f>
        <v>#REF!</v>
      </c>
      <c r="Y39" s="93" t="e">
        <f>'R3'!#REF!</f>
        <v>#REF!</v>
      </c>
      <c r="Z39" s="93" t="e">
        <f>'R3'!#REF!</f>
        <v>#REF!</v>
      </c>
      <c r="AA39" s="93" t="e">
        <f>'R3'!#REF!</f>
        <v>#REF!</v>
      </c>
      <c r="AB39" s="93" t="e">
        <f>'R3'!#REF!</f>
        <v>#REF!</v>
      </c>
      <c r="AC39" s="93" t="e">
        <f>'R3'!#REF!</f>
        <v>#REF!</v>
      </c>
      <c r="AD39"/>
      <c r="AE39" s="93">
        <f>'R3'!O29</f>
        <v>0.8409584420668772</v>
      </c>
      <c r="AF39" s="93">
        <f>'R3'!P29</f>
        <v>1.4942498652184009</v>
      </c>
      <c r="AG39" s="93">
        <f>'R3'!Q29</f>
        <v>0.58168785565847603</v>
      </c>
      <c r="AH39" s="93">
        <f>'R3'!R29</f>
        <v>0.23900905725055743</v>
      </c>
      <c r="AI39" s="93">
        <f>'R3'!S29</f>
        <v>1.428921889370097E-3</v>
      </c>
      <c r="AJ39" s="93">
        <f>'R3'!T29</f>
        <v>0.12634002435728589</v>
      </c>
      <c r="AK39" s="93">
        <f>'R3'!U29</f>
        <v>1.0690668666185257E-2</v>
      </c>
      <c r="AL39" s="93">
        <f>'R3'!V29</f>
        <v>2.857843778740194E-3</v>
      </c>
      <c r="AM39" s="93" t="str">
        <f>'R3'!W29</f>
        <v/>
      </c>
      <c r="AN39" s="93" t="str">
        <f>'R3'!X29</f>
        <v/>
      </c>
      <c r="AO39" s="93" t="str">
        <f>'R3'!Y29</f>
        <v/>
      </c>
      <c r="AP39" s="93" t="str">
        <f>'R3'!Z29</f>
        <v/>
      </c>
      <c r="AQ39" s="93" t="str">
        <f>'R3'!AA29</f>
        <v/>
      </c>
      <c r="AR39" s="93" t="str">
        <f>'R3'!AB29</f>
        <v/>
      </c>
      <c r="AS39" s="93" t="str">
        <f>'R3'!AC29</f>
        <v/>
      </c>
      <c r="AT39" s="93" t="str">
        <f>'R3'!AD29</f>
        <v/>
      </c>
      <c r="AU39" s="93" t="str">
        <f>'R3'!AE29</f>
        <v/>
      </c>
      <c r="AV39" s="93" t="str">
        <f>'R3'!AF29</f>
        <v/>
      </c>
      <c r="AW39" s="93" t="str">
        <f>'R3'!AG29</f>
        <v/>
      </c>
      <c r="AX39" s="93" t="str">
        <f>'R3'!AH29</f>
        <v/>
      </c>
      <c r="AY39" s="93" t="str">
        <f>'R3'!AI29</f>
        <v/>
      </c>
      <c r="AZ39" s="93" t="str">
        <f>'R3'!AJ29</f>
        <v/>
      </c>
      <c r="BA39" s="93" t="str">
        <f>'R3'!AK29</f>
        <v/>
      </c>
    </row>
    <row r="40" spans="1:53" s="1" customFormat="1" x14ac:dyDescent="0.25">
      <c r="A40" s="156"/>
      <c r="B40" s="93">
        <f>'R3'!B30</f>
        <v>2.4612450502619629E-3</v>
      </c>
      <c r="C40" s="93" t="str">
        <f>'R3'!C30</f>
        <v/>
      </c>
      <c r="D40" s="93">
        <f>'R3'!D30</f>
        <v>1.4114248866431162E-3</v>
      </c>
      <c r="E40" s="93">
        <f>'R3'!E30</f>
        <v>0.17886602654368217</v>
      </c>
      <c r="F40" s="93">
        <f>'R3'!F30</f>
        <v>0.98727421120413283</v>
      </c>
      <c r="G40" s="93">
        <f>'R3'!G30</f>
        <v>1.4184120230654238</v>
      </c>
      <c r="H40" s="93">
        <f>'R3'!H30</f>
        <v>1.3059296248679066</v>
      </c>
      <c r="I40" s="93">
        <f>'R3'!I30</f>
        <v>2.5551456315634265E-2</v>
      </c>
      <c r="J40" s="93">
        <f>'R3'!J30</f>
        <v>6.8296633977648312E-3</v>
      </c>
      <c r="K40" s="93">
        <f>'R3'!K30</f>
        <v>5.3313367309110432E-2</v>
      </c>
      <c r="L40" s="93">
        <f>'R3'!L30</f>
        <v>0</v>
      </c>
      <c r="M40" s="93">
        <f>'R3'!M30</f>
        <v>0</v>
      </c>
      <c r="N40" s="93" t="e">
        <f>'R3'!#REF!</f>
        <v>#REF!</v>
      </c>
      <c r="O40" s="93" t="e">
        <f>'R3'!#REF!</f>
        <v>#REF!</v>
      </c>
      <c r="P40" s="93" t="e">
        <f>'R3'!#REF!</f>
        <v>#REF!</v>
      </c>
      <c r="Q40" s="93" t="e">
        <f>'R3'!#REF!</f>
        <v>#REF!</v>
      </c>
      <c r="R40" s="93" t="e">
        <f>'R3'!#REF!</f>
        <v>#REF!</v>
      </c>
      <c r="S40" s="93" t="e">
        <f>'R3'!#REF!</f>
        <v>#REF!</v>
      </c>
      <c r="T40" s="93" t="e">
        <f>'R3'!#REF!</f>
        <v>#REF!</v>
      </c>
      <c r="U40" s="93" t="e">
        <f>'R3'!#REF!</f>
        <v>#REF!</v>
      </c>
      <c r="V40" s="93" t="e">
        <f>'R3'!#REF!</f>
        <v>#REF!</v>
      </c>
      <c r="W40" s="93" t="e">
        <f>'R3'!#REF!</f>
        <v>#REF!</v>
      </c>
      <c r="X40" s="93" t="e">
        <f>'R3'!#REF!</f>
        <v>#REF!</v>
      </c>
      <c r="Y40" s="93" t="e">
        <f>'R3'!#REF!</f>
        <v>#REF!</v>
      </c>
      <c r="Z40" s="93" t="e">
        <f>'R3'!#REF!</f>
        <v>#REF!</v>
      </c>
      <c r="AA40" s="93" t="e">
        <f>'R3'!#REF!</f>
        <v>#REF!</v>
      </c>
      <c r="AB40" s="93" t="e">
        <f>'R3'!#REF!</f>
        <v>#REF!</v>
      </c>
      <c r="AC40" s="93" t="e">
        <f>'R3'!#REF!</f>
        <v>#REF!</v>
      </c>
      <c r="AD40"/>
      <c r="AE40" s="93">
        <f>'R3'!O30</f>
        <v>1.2892549812690941</v>
      </c>
      <c r="AF40" s="93">
        <f>'R3'!P30</f>
        <v>1.6128503820361189</v>
      </c>
      <c r="AG40" s="93">
        <f>'R3'!Q30</f>
        <v>4.8933284293122912E-3</v>
      </c>
      <c r="AH40" s="93">
        <f>'R3'!R30</f>
        <v>0.32706563964120938</v>
      </c>
      <c r="AI40" s="93">
        <f>'R3'!S30</f>
        <v>0.17839943980429601</v>
      </c>
      <c r="AJ40" s="93">
        <f>'R3'!T30</f>
        <v>3.3011011811570402E-3</v>
      </c>
      <c r="AK40" s="93">
        <f>'R3'!U30</f>
        <v>3.2777718441877328E-3</v>
      </c>
      <c r="AL40" s="93">
        <f>'R3'!V30</f>
        <v>2.8630928795582881E-2</v>
      </c>
      <c r="AM40" s="93" t="str">
        <f>'R3'!W30</f>
        <v/>
      </c>
      <c r="AN40" s="93" t="str">
        <f>'R3'!X30</f>
        <v/>
      </c>
      <c r="AO40" s="93" t="str">
        <f>'R3'!Y30</f>
        <v/>
      </c>
      <c r="AP40" s="93" t="str">
        <f>'R3'!Z30</f>
        <v/>
      </c>
      <c r="AQ40" s="93" t="str">
        <f>'R3'!AA30</f>
        <v/>
      </c>
      <c r="AR40" s="93" t="str">
        <f>'R3'!AB30</f>
        <v/>
      </c>
      <c r="AS40" s="93" t="str">
        <f>'R3'!AC30</f>
        <v/>
      </c>
      <c r="AT40" s="93" t="str">
        <f>'R3'!AD30</f>
        <v/>
      </c>
      <c r="AU40" s="93" t="str">
        <f>'R3'!AE30</f>
        <v/>
      </c>
      <c r="AV40" s="93" t="str">
        <f>'R3'!AF30</f>
        <v/>
      </c>
      <c r="AW40" s="93" t="str">
        <f>'R3'!AG30</f>
        <v/>
      </c>
      <c r="AX40" s="93" t="str">
        <f>'R3'!AH30</f>
        <v/>
      </c>
      <c r="AY40" s="93" t="str">
        <f>'R3'!AI30</f>
        <v/>
      </c>
      <c r="AZ40" s="93" t="str">
        <f>'R3'!AJ30</f>
        <v/>
      </c>
      <c r="BA40" s="93" t="str">
        <f>'R3'!AK30</f>
        <v/>
      </c>
    </row>
    <row r="41" spans="1:53" s="1" customFormat="1" x14ac:dyDescent="0.25">
      <c r="A41" s="156"/>
      <c r="B41" s="93">
        <f>'R3'!B31</f>
        <v>4.2809333338679643E-3</v>
      </c>
      <c r="C41" s="93" t="str">
        <f>'R3'!C31</f>
        <v/>
      </c>
      <c r="D41" s="93">
        <f>'R3'!D31</f>
        <v>5.1272050324296013E-2</v>
      </c>
      <c r="E41" s="93">
        <f>'R3'!E31</f>
        <v>8.5910283389475633E-3</v>
      </c>
      <c r="F41" s="93">
        <f>'R3'!F31</f>
        <v>1.5979429357127313</v>
      </c>
      <c r="G41" s="93">
        <f>'R3'!G31</f>
        <v>1.4686750795657972</v>
      </c>
      <c r="H41" s="93">
        <f>'R3'!H31</f>
        <v>2.3451874311738994</v>
      </c>
      <c r="I41" s="93">
        <f>'R3'!I31</f>
        <v>5.3657475029407721E-3</v>
      </c>
      <c r="J41" s="93">
        <f>'R3'!J31</f>
        <v>1.4755805633087124E-3</v>
      </c>
      <c r="K41" s="93">
        <f>'R3'!K31</f>
        <v>3.390919128488875E-2</v>
      </c>
      <c r="L41" s="93">
        <f>'R3'!L31</f>
        <v>0</v>
      </c>
      <c r="M41" s="93">
        <f>'R3'!M31</f>
        <v>2.6496294462891225E-2</v>
      </c>
      <c r="N41" s="93" t="e">
        <f>'R3'!#REF!</f>
        <v>#REF!</v>
      </c>
      <c r="O41" s="93" t="e">
        <f>'R3'!#REF!</f>
        <v>#REF!</v>
      </c>
      <c r="P41" s="93" t="e">
        <f>'R3'!#REF!</f>
        <v>#REF!</v>
      </c>
      <c r="Q41" s="93" t="e">
        <f>'R3'!#REF!</f>
        <v>#REF!</v>
      </c>
      <c r="R41" s="93" t="e">
        <f>'R3'!#REF!</f>
        <v>#REF!</v>
      </c>
      <c r="S41" s="93" t="e">
        <f>'R3'!#REF!</f>
        <v>#REF!</v>
      </c>
      <c r="T41" s="93" t="e">
        <f>'R3'!#REF!</f>
        <v>#REF!</v>
      </c>
      <c r="U41" s="93" t="e">
        <f>'R3'!#REF!</f>
        <v>#REF!</v>
      </c>
      <c r="V41" s="93" t="e">
        <f>'R3'!#REF!</f>
        <v>#REF!</v>
      </c>
      <c r="W41" s="93" t="e">
        <f>'R3'!#REF!</f>
        <v>#REF!</v>
      </c>
      <c r="X41" s="93" t="e">
        <f>'R3'!#REF!</f>
        <v>#REF!</v>
      </c>
      <c r="Y41" s="93" t="e">
        <f>'R3'!#REF!</f>
        <v>#REF!</v>
      </c>
      <c r="Z41" s="93" t="e">
        <f>'R3'!#REF!</f>
        <v>#REF!</v>
      </c>
      <c r="AA41" s="93" t="e">
        <f>'R3'!#REF!</f>
        <v>#REF!</v>
      </c>
      <c r="AB41" s="93" t="e">
        <f>'R3'!#REF!</f>
        <v>#REF!</v>
      </c>
      <c r="AC41" s="93" t="e">
        <f>'R3'!#REF!</f>
        <v>#REF!</v>
      </c>
      <c r="AD41"/>
      <c r="AE41" s="93">
        <f>'R3'!O31</f>
        <v>0.95036720011868803</v>
      </c>
      <c r="AF41" s="93">
        <f>'R3'!P31</f>
        <v>1.4532777171660543</v>
      </c>
      <c r="AG41" s="93">
        <f>'R3'!Q31</f>
        <v>1.8780116260292703E-3</v>
      </c>
      <c r="AH41" s="93">
        <f>'R3'!R31</f>
        <v>0.16203974225456899</v>
      </c>
      <c r="AI41" s="93">
        <f>'R3'!S31</f>
        <v>3.8324268306330234E-2</v>
      </c>
      <c r="AJ41" s="93">
        <f>'R3'!T31</f>
        <v>0.11533440964201497</v>
      </c>
      <c r="AK41" s="93">
        <f>'R3'!U31</f>
        <v>7.4128968219975236E-2</v>
      </c>
      <c r="AL41" s="93">
        <f>'R3'!V31</f>
        <v>0</v>
      </c>
      <c r="AM41" s="93" t="str">
        <f>'R3'!W31</f>
        <v/>
      </c>
      <c r="AN41" s="93" t="str">
        <f>'R3'!X31</f>
        <v/>
      </c>
      <c r="AO41" s="93" t="str">
        <f>'R3'!Y31</f>
        <v/>
      </c>
      <c r="AP41" s="93" t="str">
        <f>'R3'!Z31</f>
        <v/>
      </c>
      <c r="AQ41" s="93" t="str">
        <f>'R3'!AA31</f>
        <v/>
      </c>
      <c r="AR41" s="93" t="str">
        <f>'R3'!AB31</f>
        <v/>
      </c>
      <c r="AS41" s="93" t="str">
        <f>'R3'!AC31</f>
        <v/>
      </c>
      <c r="AT41" s="93" t="str">
        <f>'R3'!AD31</f>
        <v/>
      </c>
      <c r="AU41" s="93" t="str">
        <f>'R3'!AE31</f>
        <v/>
      </c>
      <c r="AV41" s="93" t="str">
        <f>'R3'!AF31</f>
        <v/>
      </c>
      <c r="AW41" s="93" t="str">
        <f>'R3'!AG31</f>
        <v/>
      </c>
      <c r="AX41" s="93" t="str">
        <f>'R3'!AH31</f>
        <v/>
      </c>
      <c r="AY41" s="93" t="str">
        <f>'R3'!AI31</f>
        <v/>
      </c>
      <c r="AZ41" s="93" t="str">
        <f>'R3'!AJ31</f>
        <v/>
      </c>
      <c r="BA41" s="93" t="str">
        <f>'R3'!AK31</f>
        <v/>
      </c>
    </row>
    <row r="42" spans="1:53" s="1" customFormat="1" x14ac:dyDescent="0.25">
      <c r="A42" s="156"/>
      <c r="B42" s="93">
        <f>'R3'!B32</f>
        <v>5.7938408363275684E-2</v>
      </c>
      <c r="C42" s="93" t="str">
        <f>'R3'!C32</f>
        <v/>
      </c>
      <c r="D42" s="93">
        <f>'R3'!D32</f>
        <v>4.7475200732541179E-3</v>
      </c>
      <c r="E42" s="93">
        <f>'R3'!E32</f>
        <v>0</v>
      </c>
      <c r="F42" s="93">
        <f>'R3'!F32</f>
        <v>0.8382697359811645</v>
      </c>
      <c r="G42" s="93">
        <f>'R3'!G32</f>
        <v>0.35379522747379366</v>
      </c>
      <c r="H42" s="93">
        <f>'R3'!H32</f>
        <v>1.8649530296607002</v>
      </c>
      <c r="I42" s="93">
        <f>'R3'!I32</f>
        <v>5.0583834883701433E-2</v>
      </c>
      <c r="J42" s="93">
        <f>'R3'!J32</f>
        <v>1.3577674116137084E-2</v>
      </c>
      <c r="K42" s="93">
        <f>'R3'!K32</f>
        <v>2.840346776013213E-3</v>
      </c>
      <c r="L42" s="93">
        <f>'R3'!L32</f>
        <v>9.5941898286277943E-3</v>
      </c>
      <c r="M42" s="93">
        <f>'R3'!M32</f>
        <v>2.1917912082664588E-2</v>
      </c>
      <c r="N42" s="93" t="e">
        <f>'R3'!#REF!</f>
        <v>#REF!</v>
      </c>
      <c r="O42" s="93" t="e">
        <f>'R3'!#REF!</f>
        <v>#REF!</v>
      </c>
      <c r="P42" s="93" t="e">
        <f>'R3'!#REF!</f>
        <v>#REF!</v>
      </c>
      <c r="Q42" s="93" t="e">
        <f>'R3'!#REF!</f>
        <v>#REF!</v>
      </c>
      <c r="R42" s="93" t="e">
        <f>'R3'!#REF!</f>
        <v>#REF!</v>
      </c>
      <c r="S42" s="93" t="e">
        <f>'R3'!#REF!</f>
        <v>#REF!</v>
      </c>
      <c r="T42" s="93" t="e">
        <f>'R3'!#REF!</f>
        <v>#REF!</v>
      </c>
      <c r="U42" s="93" t="e">
        <f>'R3'!#REF!</f>
        <v>#REF!</v>
      </c>
      <c r="V42" s="93" t="e">
        <f>'R3'!#REF!</f>
        <v>#REF!</v>
      </c>
      <c r="W42" s="93" t="e">
        <f>'R3'!#REF!</f>
        <v>#REF!</v>
      </c>
      <c r="X42" s="93" t="e">
        <f>'R3'!#REF!</f>
        <v>#REF!</v>
      </c>
      <c r="Y42" s="93" t="e">
        <f>'R3'!#REF!</f>
        <v>#REF!</v>
      </c>
      <c r="Z42" s="93" t="e">
        <f>'R3'!#REF!</f>
        <v>#REF!</v>
      </c>
      <c r="AA42" s="93" t="e">
        <f>'R3'!#REF!</f>
        <v>#REF!</v>
      </c>
      <c r="AB42" s="93" t="e">
        <f>'R3'!#REF!</f>
        <v>#REF!</v>
      </c>
      <c r="AC42" s="93" t="e">
        <f>'R3'!#REF!</f>
        <v>#REF!</v>
      </c>
      <c r="AD42"/>
      <c r="AE42" s="93">
        <f>'R3'!O32</f>
        <v>1.0395085966784128</v>
      </c>
      <c r="AF42" s="93">
        <f>'R3'!P32</f>
        <v>1.4051026363244339</v>
      </c>
      <c r="AG42" s="93">
        <f>'R3'!Q32</f>
        <v>0</v>
      </c>
      <c r="AH42" s="93">
        <f>'R3'!R32</f>
        <v>0.76757601262991981</v>
      </c>
      <c r="AI42" s="93">
        <f>'R3'!S32</f>
        <v>0.98171016433695291</v>
      </c>
      <c r="AJ42" s="93">
        <f>'R3'!T32</f>
        <v>0.42315917861778779</v>
      </c>
      <c r="AK42" s="93">
        <f>'R3'!U32</f>
        <v>1.8523493553630317E-2</v>
      </c>
      <c r="AL42" s="93">
        <f>'R3'!V32</f>
        <v>0.10517448339188146</v>
      </c>
      <c r="AM42" s="93" t="str">
        <f>'R3'!W32</f>
        <v/>
      </c>
      <c r="AN42" s="93" t="str">
        <f>'R3'!X32</f>
        <v/>
      </c>
      <c r="AO42" s="93" t="str">
        <f>'R3'!Y32</f>
        <v/>
      </c>
      <c r="AP42" s="93" t="str">
        <f>'R3'!Z32</f>
        <v/>
      </c>
      <c r="AQ42" s="93" t="str">
        <f>'R3'!AA32</f>
        <v/>
      </c>
      <c r="AR42" s="93" t="str">
        <f>'R3'!AB32</f>
        <v/>
      </c>
      <c r="AS42" s="93" t="str">
        <f>'R3'!AC32</f>
        <v/>
      </c>
      <c r="AT42" s="93" t="str">
        <f>'R3'!AD32</f>
        <v/>
      </c>
      <c r="AU42" s="93" t="str">
        <f>'R3'!AE32</f>
        <v/>
      </c>
      <c r="AV42" s="93" t="str">
        <f>'R3'!AF32</f>
        <v/>
      </c>
      <c r="AW42" s="93" t="str">
        <f>'R3'!AG32</f>
        <v/>
      </c>
      <c r="AX42" s="93" t="str">
        <f>'R3'!AH32</f>
        <v/>
      </c>
      <c r="AY42" s="93" t="str">
        <f>'R3'!AI32</f>
        <v/>
      </c>
      <c r="AZ42" s="93" t="str">
        <f>'R3'!AJ32</f>
        <v/>
      </c>
      <c r="BA42" s="93" t="str">
        <f>'R3'!AK32</f>
        <v/>
      </c>
    </row>
    <row r="43" spans="1:53" s="1" customFormat="1" x14ac:dyDescent="0.25">
      <c r="A43" s="156"/>
      <c r="B43" s="93">
        <f>'R3'!B33</f>
        <v>1.1810476840712026E-2</v>
      </c>
      <c r="C43" s="93" t="str">
        <f>'R3'!C33</f>
        <v/>
      </c>
      <c r="D43" s="93">
        <f>'R3'!D33</f>
        <v>9.5650281574161588E-4</v>
      </c>
      <c r="E43" s="93">
        <f>'R3'!E33</f>
        <v>8.8884773853062357E-2</v>
      </c>
      <c r="F43" s="93">
        <f>'R3'!F33</f>
        <v>0.18292533117634172</v>
      </c>
      <c r="G43" s="93">
        <f>'R3'!G33</f>
        <v>1.0634095024034684</v>
      </c>
      <c r="H43" s="93">
        <f>'R3'!H33</f>
        <v>0.98526788822477229</v>
      </c>
      <c r="I43" s="93">
        <f>'R3'!I33</f>
        <v>8.3344056322851787E-3</v>
      </c>
      <c r="J43" s="93">
        <f>'R3'!J33</f>
        <v>2.5767252682600359E-2</v>
      </c>
      <c r="K43" s="93">
        <f>'R3'!K33</f>
        <v>1.9538319711795205E-3</v>
      </c>
      <c r="L43" s="93">
        <f>'R3'!L33</f>
        <v>5.3727463040315643E-2</v>
      </c>
      <c r="M43" s="93">
        <f>'R3'!M33</f>
        <v>0</v>
      </c>
      <c r="N43" s="93" t="e">
        <f>'R3'!#REF!</f>
        <v>#REF!</v>
      </c>
      <c r="O43" s="93" t="e">
        <f>'R3'!#REF!</f>
        <v>#REF!</v>
      </c>
      <c r="P43" s="93" t="e">
        <f>'R3'!#REF!</f>
        <v>#REF!</v>
      </c>
      <c r="Q43" s="93" t="e">
        <f>'R3'!#REF!</f>
        <v>#REF!</v>
      </c>
      <c r="R43" s="93" t="e">
        <f>'R3'!#REF!</f>
        <v>#REF!</v>
      </c>
      <c r="S43" s="93" t="e">
        <f>'R3'!#REF!</f>
        <v>#REF!</v>
      </c>
      <c r="T43" s="93" t="e">
        <f>'R3'!#REF!</f>
        <v>#REF!</v>
      </c>
      <c r="U43" s="93" t="e">
        <f>'R3'!#REF!</f>
        <v>#REF!</v>
      </c>
      <c r="V43" s="93" t="e">
        <f>'R3'!#REF!</f>
        <v>#REF!</v>
      </c>
      <c r="W43" s="93" t="e">
        <f>'R3'!#REF!</f>
        <v>#REF!</v>
      </c>
      <c r="X43" s="93" t="e">
        <f>'R3'!#REF!</f>
        <v>#REF!</v>
      </c>
      <c r="Y43" s="93" t="e">
        <f>'R3'!#REF!</f>
        <v>#REF!</v>
      </c>
      <c r="Z43" s="93" t="e">
        <f>'R3'!#REF!</f>
        <v>#REF!</v>
      </c>
      <c r="AA43" s="93" t="e">
        <f>'R3'!#REF!</f>
        <v>#REF!</v>
      </c>
      <c r="AB43" s="93" t="e">
        <f>'R3'!#REF!</f>
        <v>#REF!</v>
      </c>
      <c r="AC43" s="93" t="e">
        <f>'R3'!#REF!</f>
        <v>#REF!</v>
      </c>
      <c r="AD43"/>
      <c r="AE43" s="93">
        <f>'R3'!O33</f>
        <v>0.45831065709629221</v>
      </c>
      <c r="AF43" s="93">
        <f>'R3'!P33</f>
        <v>1.1527900246671285</v>
      </c>
      <c r="AG43" s="93">
        <f>'R3'!Q33</f>
        <v>0.1052036450630931</v>
      </c>
      <c r="AH43" s="93">
        <f>'R3'!R33</f>
        <v>0.14143993771067029</v>
      </c>
      <c r="AI43" s="93">
        <f>'R3'!S33</f>
        <v>0.33225641711688036</v>
      </c>
      <c r="AJ43" s="93">
        <f>'R3'!T33</f>
        <v>0</v>
      </c>
      <c r="AK43" s="93">
        <f>'R3'!U33</f>
        <v>1.9013409629985781E-3</v>
      </c>
      <c r="AL43" s="93">
        <f>'R3'!V33</f>
        <v>7.2991663042721477E-2</v>
      </c>
      <c r="AM43" s="93" t="str">
        <f>'R3'!W33</f>
        <v/>
      </c>
      <c r="AN43" s="93" t="str">
        <f>'R3'!X33</f>
        <v/>
      </c>
      <c r="AO43" s="93" t="str">
        <f>'R3'!Y33</f>
        <v/>
      </c>
      <c r="AP43" s="93" t="str">
        <f>'R3'!Z33</f>
        <v/>
      </c>
      <c r="AQ43" s="93" t="str">
        <f>'R3'!AA33</f>
        <v/>
      </c>
      <c r="AR43" s="93" t="str">
        <f>'R3'!AB33</f>
        <v/>
      </c>
      <c r="AS43" s="93" t="str">
        <f>'R3'!AC33</f>
        <v/>
      </c>
      <c r="AT43" s="93" t="str">
        <f>'R3'!AD33</f>
        <v/>
      </c>
      <c r="AU43" s="93" t="str">
        <f>'R3'!AE33</f>
        <v/>
      </c>
      <c r="AV43" s="93" t="str">
        <f>'R3'!AF33</f>
        <v/>
      </c>
      <c r="AW43" s="93" t="str">
        <f>'R3'!AG33</f>
        <v/>
      </c>
      <c r="AX43" s="93" t="str">
        <f>'R3'!AH33</f>
        <v/>
      </c>
      <c r="AY43" s="93" t="str">
        <f>'R3'!AI33</f>
        <v/>
      </c>
      <c r="AZ43" s="93" t="str">
        <f>'R3'!AJ33</f>
        <v/>
      </c>
      <c r="BA43" s="93" t="str">
        <f>'R3'!AK33</f>
        <v/>
      </c>
    </row>
    <row r="44" spans="1:53" s="1" customFormat="1" x14ac:dyDescent="0.25">
      <c r="A44" s="156"/>
      <c r="B44" s="93">
        <f>'R3'!B34</f>
        <v>3.2456940058549343E-2</v>
      </c>
      <c r="C44" s="93" t="str">
        <f>'R3'!C34</f>
        <v/>
      </c>
      <c r="D44" s="93">
        <f>'R3'!D34</f>
        <v>6.5829556593144017E-2</v>
      </c>
      <c r="E44" s="93">
        <f>'R3'!E34</f>
        <v>1.4419396593989706</v>
      </c>
      <c r="F44" s="93">
        <f>'R3'!F34</f>
        <v>0.87521757340630557</v>
      </c>
      <c r="G44" s="93">
        <f>'R3'!G34</f>
        <v>0.8130040640434042</v>
      </c>
      <c r="H44" s="93">
        <f>'R3'!H34</f>
        <v>2.334444271499533</v>
      </c>
      <c r="I44" s="93">
        <f>'R3'!I34</f>
        <v>1.9235038331194203E-2</v>
      </c>
      <c r="J44" s="93">
        <f>'R3'!J34</f>
        <v>4.6658673938615409E-4</v>
      </c>
      <c r="K44" s="93">
        <f>'R3'!K34</f>
        <v>3.3185981838840212E-3</v>
      </c>
      <c r="L44" s="93">
        <f>'R3'!L34</f>
        <v>4.7241907362848104E-4</v>
      </c>
      <c r="M44" s="93">
        <f>'R3'!M34</f>
        <v>8.805075005640961E-2</v>
      </c>
      <c r="N44" s="93" t="e">
        <f>'R3'!#REF!</f>
        <v>#REF!</v>
      </c>
      <c r="O44" s="93" t="e">
        <f>'R3'!#REF!</f>
        <v>#REF!</v>
      </c>
      <c r="P44" s="93" t="e">
        <f>'R3'!#REF!</f>
        <v>#REF!</v>
      </c>
      <c r="Q44" s="93" t="e">
        <f>'R3'!#REF!</f>
        <v>#REF!</v>
      </c>
      <c r="R44" s="93" t="e">
        <f>'R3'!#REF!</f>
        <v>#REF!</v>
      </c>
      <c r="S44" s="93" t="e">
        <f>'R3'!#REF!</f>
        <v>#REF!</v>
      </c>
      <c r="T44" s="93" t="e">
        <f>'R3'!#REF!</f>
        <v>#REF!</v>
      </c>
      <c r="U44" s="93" t="e">
        <f>'R3'!#REF!</f>
        <v>#REF!</v>
      </c>
      <c r="V44" s="93" t="e">
        <f>'R3'!#REF!</f>
        <v>#REF!</v>
      </c>
      <c r="W44" s="93" t="e">
        <f>'R3'!#REF!</f>
        <v>#REF!</v>
      </c>
      <c r="X44" s="93" t="e">
        <f>'R3'!#REF!</f>
        <v>#REF!</v>
      </c>
      <c r="Y44" s="93" t="e">
        <f>'R3'!#REF!</f>
        <v>#REF!</v>
      </c>
      <c r="Z44" s="93" t="e">
        <f>'R3'!#REF!</f>
        <v>#REF!</v>
      </c>
      <c r="AA44" s="93" t="e">
        <f>'R3'!#REF!</f>
        <v>#REF!</v>
      </c>
      <c r="AB44" s="93" t="e">
        <f>'R3'!#REF!</f>
        <v>#REF!</v>
      </c>
      <c r="AC44" s="93" t="e">
        <f>'R3'!#REF!</f>
        <v>#REF!</v>
      </c>
      <c r="AD44"/>
      <c r="AE44" s="93">
        <f>'R3'!O34</f>
        <v>0.40344005654448045</v>
      </c>
      <c r="AF44" s="93">
        <f>'R3'!P34</f>
        <v>1.2491226893476426</v>
      </c>
      <c r="AG44" s="93">
        <f>'R3'!Q34</f>
        <v>0</v>
      </c>
      <c r="AH44" s="93">
        <f>'R3'!R34</f>
        <v>0.32027680258314084</v>
      </c>
      <c r="AI44" s="93">
        <f>'R3'!S34</f>
        <v>7.8969805641106589E-2</v>
      </c>
      <c r="AJ44" s="93">
        <f>'R3'!T34</f>
        <v>0.34854612665569945</v>
      </c>
      <c r="AK44" s="93">
        <f>'R3'!U34</f>
        <v>5.3622481023953762E-2</v>
      </c>
      <c r="AL44" s="93">
        <f>'R3'!V34</f>
        <v>2.8292653409527919E-2</v>
      </c>
      <c r="AM44" s="93" t="str">
        <f>'R3'!W34</f>
        <v/>
      </c>
      <c r="AN44" s="93" t="str">
        <f>'R3'!X34</f>
        <v/>
      </c>
      <c r="AO44" s="93" t="str">
        <f>'R3'!Y34</f>
        <v/>
      </c>
      <c r="AP44" s="93" t="str">
        <f>'R3'!Z34</f>
        <v/>
      </c>
      <c r="AQ44" s="93" t="str">
        <f>'R3'!AA34</f>
        <v/>
      </c>
      <c r="AR44" s="93" t="str">
        <f>'R3'!AB34</f>
        <v/>
      </c>
      <c r="AS44" s="93" t="str">
        <f>'R3'!AC34</f>
        <v/>
      </c>
      <c r="AT44" s="93" t="str">
        <f>'R3'!AD34</f>
        <v/>
      </c>
      <c r="AU44" s="93" t="str">
        <f>'R3'!AE34</f>
        <v/>
      </c>
      <c r="AV44" s="93" t="str">
        <f>'R3'!AF34</f>
        <v/>
      </c>
      <c r="AW44" s="93" t="str">
        <f>'R3'!AG34</f>
        <v/>
      </c>
      <c r="AX44" s="93" t="str">
        <f>'R3'!AH34</f>
        <v/>
      </c>
      <c r="AY44" s="93" t="str">
        <f>'R3'!AI34</f>
        <v/>
      </c>
      <c r="AZ44" s="93" t="str">
        <f>'R3'!AJ34</f>
        <v/>
      </c>
      <c r="BA44" s="93" t="str">
        <f>'R3'!AK34</f>
        <v/>
      </c>
    </row>
    <row r="45" spans="1:53" s="1" customFormat="1" x14ac:dyDescent="0.25">
      <c r="A45" s="156"/>
      <c r="B45" s="93">
        <f>'R3'!B35</f>
        <v>1.4405865578547509E-3</v>
      </c>
      <c r="C45" s="93" t="str">
        <f>'R3'!C35</f>
        <v/>
      </c>
      <c r="D45" s="93">
        <f>'R3'!D35</f>
        <v>9.3288186206019183E-2</v>
      </c>
      <c r="E45" s="93">
        <f>'R3'!E35</f>
        <v>0.42907316553950731</v>
      </c>
      <c r="F45" s="93">
        <f>'R3'!F35</f>
        <v>1.205922589614727</v>
      </c>
      <c r="G45" s="93">
        <f>'R3'!G35</f>
        <v>1.0309175683394651</v>
      </c>
      <c r="H45" s="93">
        <f>'R3'!H35</f>
        <v>1.1818175521911898</v>
      </c>
      <c r="I45" s="93">
        <f>'R3'!I35</f>
        <v>4.8525020896160028E-3</v>
      </c>
      <c r="J45" s="93" t="str">
        <f>'R3'!J35</f>
        <v/>
      </c>
      <c r="K45" s="93">
        <f>'R3'!K35</f>
        <v>3.0368964399796305E-2</v>
      </c>
      <c r="L45" s="93">
        <f>'R3'!L35</f>
        <v>0</v>
      </c>
      <c r="M45" s="93">
        <f>'R3'!M35</f>
        <v>4.1940315536572931E-2</v>
      </c>
      <c r="N45" s="93" t="e">
        <f>'R3'!#REF!</f>
        <v>#REF!</v>
      </c>
      <c r="O45" s="93" t="e">
        <f>'R3'!#REF!</f>
        <v>#REF!</v>
      </c>
      <c r="P45" s="93" t="e">
        <f>'R3'!#REF!</f>
        <v>#REF!</v>
      </c>
      <c r="Q45" s="93" t="e">
        <f>'R3'!#REF!</f>
        <v>#REF!</v>
      </c>
      <c r="R45" s="93" t="e">
        <f>'R3'!#REF!</f>
        <v>#REF!</v>
      </c>
      <c r="S45" s="93" t="e">
        <f>'R3'!#REF!</f>
        <v>#REF!</v>
      </c>
      <c r="T45" s="93" t="e">
        <f>'R3'!#REF!</f>
        <v>#REF!</v>
      </c>
      <c r="U45" s="93" t="e">
        <f>'R3'!#REF!</f>
        <v>#REF!</v>
      </c>
      <c r="V45" s="93" t="e">
        <f>'R3'!#REF!</f>
        <v>#REF!</v>
      </c>
      <c r="W45" s="93" t="e">
        <f>'R3'!#REF!</f>
        <v>#REF!</v>
      </c>
      <c r="X45" s="93" t="e">
        <f>'R3'!#REF!</f>
        <v>#REF!</v>
      </c>
      <c r="Y45" s="93" t="e">
        <f>'R3'!#REF!</f>
        <v>#REF!</v>
      </c>
      <c r="Z45" s="93" t="e">
        <f>'R3'!#REF!</f>
        <v>#REF!</v>
      </c>
      <c r="AA45" s="93" t="e">
        <f>'R3'!#REF!</f>
        <v>#REF!</v>
      </c>
      <c r="AB45" s="93" t="e">
        <f>'R3'!#REF!</f>
        <v>#REF!</v>
      </c>
      <c r="AC45" s="93" t="e">
        <f>'R3'!#REF!</f>
        <v>#REF!</v>
      </c>
      <c r="AD45"/>
      <c r="AE45" s="93">
        <f>'R3'!O35</f>
        <v>0.69710391797988358</v>
      </c>
      <c r="AF45" s="93">
        <f>'R3'!P35</f>
        <v>1.3604677823679059</v>
      </c>
      <c r="AG45" s="93">
        <f>'R3'!Q35</f>
        <v>1.5269051046411894E-2</v>
      </c>
      <c r="AH45" s="93">
        <f>'R3'!R35</f>
        <v>0.87888611164472918</v>
      </c>
      <c r="AI45" s="93">
        <f>'R3'!S35</f>
        <v>0.12920370047026841</v>
      </c>
      <c r="AJ45" s="93">
        <f>'R3'!T35</f>
        <v>0.15613742000133415</v>
      </c>
      <c r="AK45" s="93">
        <f>'R3'!U35</f>
        <v>9.6816748422626983E-3</v>
      </c>
      <c r="AL45" s="93">
        <f>'R3'!V35</f>
        <v>0</v>
      </c>
      <c r="AM45" s="93" t="str">
        <f>'R3'!W35</f>
        <v/>
      </c>
      <c r="AN45" s="93" t="str">
        <f>'R3'!X35</f>
        <v/>
      </c>
      <c r="AO45" s="93" t="str">
        <f>'R3'!Y35</f>
        <v/>
      </c>
      <c r="AP45" s="93" t="str">
        <f>'R3'!Z35</f>
        <v/>
      </c>
      <c r="AQ45" s="93" t="str">
        <f>'R3'!AA35</f>
        <v/>
      </c>
      <c r="AR45" s="93" t="str">
        <f>'R3'!AB35</f>
        <v/>
      </c>
      <c r="AS45" s="93" t="str">
        <f>'R3'!AC35</f>
        <v/>
      </c>
      <c r="AT45" s="93" t="str">
        <f>'R3'!AD35</f>
        <v/>
      </c>
      <c r="AU45" s="93" t="str">
        <f>'R3'!AE35</f>
        <v/>
      </c>
      <c r="AV45" s="93" t="str">
        <f>'R3'!AF35</f>
        <v/>
      </c>
      <c r="AW45" s="93" t="str">
        <f>'R3'!AG35</f>
        <v/>
      </c>
      <c r="AX45" s="93" t="str">
        <f>'R3'!AH35</f>
        <v/>
      </c>
      <c r="AY45" s="93" t="str">
        <f>'R3'!AI35</f>
        <v/>
      </c>
      <c r="AZ45" s="93" t="str">
        <f>'R3'!AJ35</f>
        <v/>
      </c>
      <c r="BA45" s="93" t="str">
        <f>'R3'!AK35</f>
        <v/>
      </c>
    </row>
    <row r="46" spans="1:53" s="1" customFormat="1" x14ac:dyDescent="0.25">
      <c r="A46" s="156"/>
      <c r="B46" s="93" t="str">
        <f>'R3'!B36</f>
        <v/>
      </c>
      <c r="C46" s="93" t="str">
        <f>'R3'!C36</f>
        <v/>
      </c>
      <c r="D46" s="93" t="str">
        <f>'R3'!D36</f>
        <v/>
      </c>
      <c r="E46" s="93" t="str">
        <f>'R3'!E36</f>
        <v/>
      </c>
      <c r="F46" s="93" t="str">
        <f>'R3'!F36</f>
        <v/>
      </c>
      <c r="G46" s="93" t="str">
        <f>'R3'!G36</f>
        <v/>
      </c>
      <c r="H46" s="93" t="str">
        <f>'R3'!H36</f>
        <v/>
      </c>
      <c r="I46" s="93" t="str">
        <f>'R3'!I36</f>
        <v/>
      </c>
      <c r="J46" s="93" t="str">
        <f>'R3'!J36</f>
        <v/>
      </c>
      <c r="K46" s="93" t="str">
        <f>'R3'!K36</f>
        <v/>
      </c>
      <c r="L46" s="93" t="str">
        <f>'R3'!L36</f>
        <v/>
      </c>
      <c r="M46" s="93" t="str">
        <f>'R3'!M36</f>
        <v/>
      </c>
      <c r="N46" s="93" t="e">
        <f>'R3'!#REF!</f>
        <v>#REF!</v>
      </c>
      <c r="O46" s="93" t="e">
        <f>'R3'!#REF!</f>
        <v>#REF!</v>
      </c>
      <c r="P46" s="93" t="e">
        <f>'R3'!#REF!</f>
        <v>#REF!</v>
      </c>
      <c r="Q46" s="93" t="e">
        <f>'R3'!#REF!</f>
        <v>#REF!</v>
      </c>
      <c r="R46" s="93" t="e">
        <f>'R3'!#REF!</f>
        <v>#REF!</v>
      </c>
      <c r="S46" s="93" t="e">
        <f>'R3'!#REF!</f>
        <v>#REF!</v>
      </c>
      <c r="T46" s="93" t="e">
        <f>'R3'!#REF!</f>
        <v>#REF!</v>
      </c>
      <c r="U46" s="93" t="e">
        <f>'R3'!#REF!</f>
        <v>#REF!</v>
      </c>
      <c r="V46" s="93" t="e">
        <f>'R3'!#REF!</f>
        <v>#REF!</v>
      </c>
      <c r="W46" s="93" t="e">
        <f>'R3'!#REF!</f>
        <v>#REF!</v>
      </c>
      <c r="X46" s="93" t="e">
        <f>'R3'!#REF!</f>
        <v>#REF!</v>
      </c>
      <c r="Y46" s="93" t="e">
        <f>'R3'!#REF!</f>
        <v>#REF!</v>
      </c>
      <c r="Z46" s="93" t="e">
        <f>'R3'!#REF!</f>
        <v>#REF!</v>
      </c>
      <c r="AA46" s="93" t="e">
        <f>'R3'!#REF!</f>
        <v>#REF!</v>
      </c>
      <c r="AB46" s="93" t="e">
        <f>'R3'!#REF!</f>
        <v>#REF!</v>
      </c>
      <c r="AC46" s="93" t="e">
        <f>'R3'!#REF!</f>
        <v>#REF!</v>
      </c>
      <c r="AD46"/>
      <c r="AE46" s="93">
        <f>'R3'!O36</f>
        <v>1.3972348174315348</v>
      </c>
      <c r="AF46" s="93" t="str">
        <f>'R3'!P36</f>
        <v/>
      </c>
      <c r="AG46" s="93" t="str">
        <f>'R3'!Q36</f>
        <v/>
      </c>
      <c r="AH46" s="93" t="str">
        <f>'R3'!R36</f>
        <v/>
      </c>
      <c r="AI46" s="93" t="str">
        <f>'R3'!S36</f>
        <v/>
      </c>
      <c r="AJ46" s="93" t="str">
        <f>'R3'!T36</f>
        <v/>
      </c>
      <c r="AK46" s="93" t="str">
        <f>'R3'!U36</f>
        <v/>
      </c>
      <c r="AL46" s="93" t="str">
        <f>'R3'!V36</f>
        <v/>
      </c>
      <c r="AM46" s="93" t="str">
        <f>'R3'!W36</f>
        <v/>
      </c>
      <c r="AN46" s="93" t="str">
        <f>'R3'!X36</f>
        <v/>
      </c>
      <c r="AO46" s="93" t="str">
        <f>'R3'!Y36</f>
        <v/>
      </c>
      <c r="AP46" s="93" t="str">
        <f>'R3'!Z36</f>
        <v/>
      </c>
      <c r="AQ46" s="93" t="str">
        <f>'R3'!AA36</f>
        <v/>
      </c>
      <c r="AR46" s="93" t="str">
        <f>'R3'!AB36</f>
        <v/>
      </c>
      <c r="AS46" s="93" t="str">
        <f>'R3'!AC36</f>
        <v/>
      </c>
      <c r="AT46" s="93" t="str">
        <f>'R3'!AD36</f>
        <v/>
      </c>
      <c r="AU46" s="93" t="str">
        <f>'R3'!AE36</f>
        <v/>
      </c>
      <c r="AV46" s="93" t="str">
        <f>'R3'!AF36</f>
        <v/>
      </c>
      <c r="AW46" s="93" t="str">
        <f>'R3'!AG36</f>
        <v/>
      </c>
      <c r="AX46" s="93" t="str">
        <f>'R3'!AH36</f>
        <v/>
      </c>
      <c r="AY46" s="93" t="str">
        <f>'R3'!AI36</f>
        <v/>
      </c>
      <c r="AZ46" s="93" t="str">
        <f>'R3'!AJ36</f>
        <v/>
      </c>
      <c r="BA46" s="93" t="str">
        <f>'R3'!AK36</f>
        <v/>
      </c>
    </row>
    <row r="47" spans="1:53" s="1" customFormat="1" x14ac:dyDescent="0.25">
      <c r="A47" s="156"/>
      <c r="B47" s="93" t="str">
        <f>'R3'!B37</f>
        <v/>
      </c>
      <c r="C47" s="93" t="str">
        <f>'R3'!C37</f>
        <v/>
      </c>
      <c r="D47" s="93" t="str">
        <f>'R3'!D37</f>
        <v/>
      </c>
      <c r="E47" s="93" t="str">
        <f>'R3'!E37</f>
        <v/>
      </c>
      <c r="F47" s="93" t="str">
        <f>'R3'!F37</f>
        <v/>
      </c>
      <c r="G47" s="93" t="str">
        <f>'R3'!G37</f>
        <v/>
      </c>
      <c r="H47" s="93" t="str">
        <f>'R3'!H37</f>
        <v/>
      </c>
      <c r="I47" s="93" t="str">
        <f>'R3'!I37</f>
        <v/>
      </c>
      <c r="J47" s="93" t="str">
        <f>'R3'!J37</f>
        <v/>
      </c>
      <c r="K47" s="93" t="str">
        <f>'R3'!K37</f>
        <v/>
      </c>
      <c r="L47" s="93" t="str">
        <f>'R3'!L37</f>
        <v/>
      </c>
      <c r="M47" s="93" t="str">
        <f>'R3'!M37</f>
        <v/>
      </c>
      <c r="N47" s="93" t="e">
        <f>'R3'!#REF!</f>
        <v>#REF!</v>
      </c>
      <c r="O47" s="93" t="e">
        <f>'R3'!#REF!</f>
        <v>#REF!</v>
      </c>
      <c r="P47" s="93" t="e">
        <f>'R3'!#REF!</f>
        <v>#REF!</v>
      </c>
      <c r="Q47" s="93" t="e">
        <f>'R3'!#REF!</f>
        <v>#REF!</v>
      </c>
      <c r="R47" s="93" t="e">
        <f>'R3'!#REF!</f>
        <v>#REF!</v>
      </c>
      <c r="S47" s="93" t="e">
        <f>'R3'!#REF!</f>
        <v>#REF!</v>
      </c>
      <c r="T47" s="93" t="e">
        <f>'R3'!#REF!</f>
        <v>#REF!</v>
      </c>
      <c r="U47" s="93" t="e">
        <f>'R3'!#REF!</f>
        <v>#REF!</v>
      </c>
      <c r="V47" s="93" t="e">
        <f>'R3'!#REF!</f>
        <v>#REF!</v>
      </c>
      <c r="W47" s="93" t="e">
        <f>'R3'!#REF!</f>
        <v>#REF!</v>
      </c>
      <c r="X47" s="93" t="e">
        <f>'R3'!#REF!</f>
        <v>#REF!</v>
      </c>
      <c r="Y47" s="93" t="e">
        <f>'R3'!#REF!</f>
        <v>#REF!</v>
      </c>
      <c r="Z47" s="93" t="e">
        <f>'R3'!#REF!</f>
        <v>#REF!</v>
      </c>
      <c r="AA47" s="93" t="e">
        <f>'R3'!#REF!</f>
        <v>#REF!</v>
      </c>
      <c r="AB47" s="93" t="e">
        <f>'R3'!#REF!</f>
        <v>#REF!</v>
      </c>
      <c r="AC47" s="93" t="e">
        <f>'R3'!#REF!</f>
        <v>#REF!</v>
      </c>
      <c r="AD47"/>
      <c r="AE47" s="93">
        <f>'R3'!O37</f>
        <v>1.4536101602178668</v>
      </c>
      <c r="AF47" s="93" t="str">
        <f>'R3'!P37</f>
        <v/>
      </c>
      <c r="AG47" s="93" t="str">
        <f>'R3'!Q37</f>
        <v/>
      </c>
      <c r="AH47" s="93" t="str">
        <f>'R3'!R37</f>
        <v/>
      </c>
      <c r="AI47" s="93" t="str">
        <f>'R3'!S37</f>
        <v/>
      </c>
      <c r="AJ47" s="93" t="str">
        <f>'R3'!T37</f>
        <v/>
      </c>
      <c r="AK47" s="93" t="str">
        <f>'R3'!U37</f>
        <v/>
      </c>
      <c r="AL47" s="93" t="str">
        <f>'R3'!V37</f>
        <v/>
      </c>
      <c r="AM47" s="93" t="str">
        <f>'R3'!W37</f>
        <v/>
      </c>
      <c r="AN47" s="93" t="str">
        <f>'R3'!X37</f>
        <v/>
      </c>
      <c r="AO47" s="93" t="str">
        <f>'R3'!Y37</f>
        <v/>
      </c>
      <c r="AP47" s="93" t="str">
        <f>'R3'!Z37</f>
        <v/>
      </c>
      <c r="AQ47" s="93" t="str">
        <f>'R3'!AA37</f>
        <v/>
      </c>
      <c r="AR47" s="93" t="str">
        <f>'R3'!AB37</f>
        <v/>
      </c>
      <c r="AS47" s="93" t="str">
        <f>'R3'!AC37</f>
        <v/>
      </c>
      <c r="AT47" s="93" t="str">
        <f>'R3'!AD37</f>
        <v/>
      </c>
      <c r="AU47" s="93" t="str">
        <f>'R3'!AE37</f>
        <v/>
      </c>
      <c r="AV47" s="93" t="str">
        <f>'R3'!AF37</f>
        <v/>
      </c>
      <c r="AW47" s="93" t="str">
        <f>'R3'!AG37</f>
        <v/>
      </c>
      <c r="AX47" s="93" t="str">
        <f>'R3'!AH37</f>
        <v/>
      </c>
      <c r="AY47" s="93" t="str">
        <f>'R3'!AI37</f>
        <v/>
      </c>
      <c r="AZ47" s="93" t="str">
        <f>'R3'!AJ37</f>
        <v/>
      </c>
      <c r="BA47" s="93" t="str">
        <f>'R3'!AK37</f>
        <v/>
      </c>
    </row>
    <row r="48" spans="1:53" s="1" customFormat="1" x14ac:dyDescent="0.25">
      <c r="A48" s="156"/>
      <c r="B48" s="93" t="str">
        <f>'R3'!B38</f>
        <v/>
      </c>
      <c r="C48" s="93" t="str">
        <f>'R3'!C38</f>
        <v/>
      </c>
      <c r="D48" s="93" t="str">
        <f>'R3'!D38</f>
        <v/>
      </c>
      <c r="E48" s="93" t="str">
        <f>'R3'!E38</f>
        <v/>
      </c>
      <c r="F48" s="93" t="str">
        <f>'R3'!F38</f>
        <v/>
      </c>
      <c r="G48" s="93" t="str">
        <f>'R3'!G38</f>
        <v/>
      </c>
      <c r="H48" s="93" t="str">
        <f>'R3'!H38</f>
        <v/>
      </c>
      <c r="I48" s="93" t="str">
        <f>'R3'!I38</f>
        <v/>
      </c>
      <c r="J48" s="93" t="str">
        <f>'R3'!J38</f>
        <v/>
      </c>
      <c r="K48" s="93" t="str">
        <f>'R3'!K38</f>
        <v/>
      </c>
      <c r="L48" s="93" t="str">
        <f>'R3'!L38</f>
        <v/>
      </c>
      <c r="M48" s="93" t="str">
        <f>'R3'!M38</f>
        <v/>
      </c>
      <c r="N48" s="93" t="e">
        <f>'R3'!#REF!</f>
        <v>#REF!</v>
      </c>
      <c r="O48" s="93" t="e">
        <f>'R3'!#REF!</f>
        <v>#REF!</v>
      </c>
      <c r="P48" s="93" t="e">
        <f>'R3'!#REF!</f>
        <v>#REF!</v>
      </c>
      <c r="Q48" s="93" t="e">
        <f>'R3'!#REF!</f>
        <v>#REF!</v>
      </c>
      <c r="R48" s="93" t="e">
        <f>'R3'!#REF!</f>
        <v>#REF!</v>
      </c>
      <c r="S48" s="93" t="e">
        <f>'R3'!#REF!</f>
        <v>#REF!</v>
      </c>
      <c r="T48" s="93" t="e">
        <f>'R3'!#REF!</f>
        <v>#REF!</v>
      </c>
      <c r="U48" s="93" t="e">
        <f>'R3'!#REF!</f>
        <v>#REF!</v>
      </c>
      <c r="V48" s="93" t="e">
        <f>'R3'!#REF!</f>
        <v>#REF!</v>
      </c>
      <c r="W48" s="93" t="e">
        <f>'R3'!#REF!</f>
        <v>#REF!</v>
      </c>
      <c r="X48" s="93" t="e">
        <f>'R3'!#REF!</f>
        <v>#REF!</v>
      </c>
      <c r="Y48" s="93" t="e">
        <f>'R3'!#REF!</f>
        <v>#REF!</v>
      </c>
      <c r="Z48" s="93" t="e">
        <f>'R3'!#REF!</f>
        <v>#REF!</v>
      </c>
      <c r="AA48" s="93" t="e">
        <f>'R3'!#REF!</f>
        <v>#REF!</v>
      </c>
      <c r="AB48" s="93" t="e">
        <f>'R3'!#REF!</f>
        <v>#REF!</v>
      </c>
      <c r="AC48" s="93" t="e">
        <f>'R3'!#REF!</f>
        <v>#REF!</v>
      </c>
      <c r="AD48"/>
      <c r="AE48" s="93">
        <f>'R3'!O38</f>
        <v>0.6354853067096996</v>
      </c>
      <c r="AF48" s="93" t="str">
        <f>'R3'!P38</f>
        <v/>
      </c>
      <c r="AG48" s="93" t="str">
        <f>'R3'!Q38</f>
        <v/>
      </c>
      <c r="AH48" s="93" t="str">
        <f>'R3'!R38</f>
        <v/>
      </c>
      <c r="AI48" s="93" t="str">
        <f>'R3'!S38</f>
        <v/>
      </c>
      <c r="AJ48" s="93" t="str">
        <f>'R3'!T38</f>
        <v/>
      </c>
      <c r="AK48" s="93" t="str">
        <f>'R3'!U38</f>
        <v/>
      </c>
      <c r="AL48" s="93" t="str">
        <f>'R3'!V38</f>
        <v/>
      </c>
      <c r="AM48" s="93" t="str">
        <f>'R3'!W38</f>
        <v/>
      </c>
      <c r="AN48" s="93" t="str">
        <f>'R3'!X38</f>
        <v/>
      </c>
      <c r="AO48" s="93" t="str">
        <f>'R3'!Y38</f>
        <v/>
      </c>
      <c r="AP48" s="93" t="str">
        <f>'R3'!Z38</f>
        <v/>
      </c>
      <c r="AQ48" s="93" t="str">
        <f>'R3'!AA38</f>
        <v/>
      </c>
      <c r="AR48" s="93" t="str">
        <f>'R3'!AB38</f>
        <v/>
      </c>
      <c r="AS48" s="93" t="str">
        <f>'R3'!AC38</f>
        <v/>
      </c>
      <c r="AT48" s="93" t="str">
        <f>'R3'!AD38</f>
        <v/>
      </c>
      <c r="AU48" s="93" t="str">
        <f>'R3'!AE38</f>
        <v/>
      </c>
      <c r="AV48" s="93" t="str">
        <f>'R3'!AF38</f>
        <v/>
      </c>
      <c r="AW48" s="93" t="str">
        <f>'R3'!AG38</f>
        <v/>
      </c>
      <c r="AX48" s="93" t="str">
        <f>'R3'!AH38</f>
        <v/>
      </c>
      <c r="AY48" s="93" t="str">
        <f>'R3'!AI38</f>
        <v/>
      </c>
      <c r="AZ48" s="93" t="str">
        <f>'R3'!AJ38</f>
        <v/>
      </c>
      <c r="BA48" s="93" t="str">
        <f>'R3'!AK38</f>
        <v/>
      </c>
    </row>
    <row r="49" spans="1:55" s="1" customFormat="1" x14ac:dyDescent="0.25">
      <c r="A49" s="156"/>
      <c r="B49" s="93" t="str">
        <f>'R3'!B39</f>
        <v/>
      </c>
      <c r="C49" s="93" t="str">
        <f>'R3'!C39</f>
        <v/>
      </c>
      <c r="D49" s="93" t="str">
        <f>'R3'!D39</f>
        <v/>
      </c>
      <c r="E49" s="93" t="str">
        <f>'R3'!E39</f>
        <v/>
      </c>
      <c r="F49" s="93" t="str">
        <f>'R3'!F39</f>
        <v/>
      </c>
      <c r="G49" s="93" t="str">
        <f>'R3'!G39</f>
        <v/>
      </c>
      <c r="H49" s="93" t="str">
        <f>'R3'!H39</f>
        <v/>
      </c>
      <c r="I49" s="93" t="str">
        <f>'R3'!I39</f>
        <v/>
      </c>
      <c r="J49" s="93" t="str">
        <f>'R3'!J39</f>
        <v/>
      </c>
      <c r="K49" s="93" t="str">
        <f>'R3'!K39</f>
        <v/>
      </c>
      <c r="L49" s="93" t="str">
        <f>'R3'!L39</f>
        <v/>
      </c>
      <c r="M49" s="93" t="str">
        <f>'R3'!M39</f>
        <v/>
      </c>
      <c r="N49" s="93" t="e">
        <f>'R3'!#REF!</f>
        <v>#REF!</v>
      </c>
      <c r="O49" s="93" t="e">
        <f>'R3'!#REF!</f>
        <v>#REF!</v>
      </c>
      <c r="P49" s="93" t="e">
        <f>'R3'!#REF!</f>
        <v>#REF!</v>
      </c>
      <c r="Q49" s="93" t="e">
        <f>'R3'!#REF!</f>
        <v>#REF!</v>
      </c>
      <c r="R49" s="93" t="e">
        <f>'R3'!#REF!</f>
        <v>#REF!</v>
      </c>
      <c r="S49" s="93" t="e">
        <f>'R3'!#REF!</f>
        <v>#REF!</v>
      </c>
      <c r="T49" s="93" t="e">
        <f>'R3'!#REF!</f>
        <v>#REF!</v>
      </c>
      <c r="U49" s="93" t="e">
        <f>'R3'!#REF!</f>
        <v>#REF!</v>
      </c>
      <c r="V49" s="93" t="e">
        <f>'R3'!#REF!</f>
        <v>#REF!</v>
      </c>
      <c r="W49" s="93" t="e">
        <f>'R3'!#REF!</f>
        <v>#REF!</v>
      </c>
      <c r="X49" s="93" t="e">
        <f>'R3'!#REF!</f>
        <v>#REF!</v>
      </c>
      <c r="Y49" s="93" t="e">
        <f>'R3'!#REF!</f>
        <v>#REF!</v>
      </c>
      <c r="Z49" s="93" t="e">
        <f>'R3'!#REF!</f>
        <v>#REF!</v>
      </c>
      <c r="AA49" s="93" t="e">
        <f>'R3'!#REF!</f>
        <v>#REF!</v>
      </c>
      <c r="AB49" s="93" t="e">
        <f>'R3'!#REF!</f>
        <v>#REF!</v>
      </c>
      <c r="AC49" s="93" t="e">
        <f>'R3'!#REF!</f>
        <v>#REF!</v>
      </c>
      <c r="AD49"/>
      <c r="AE49" s="93">
        <f>'R3'!O39</f>
        <v>1.0281705389113291</v>
      </c>
      <c r="AF49" s="93" t="str">
        <f>'R3'!P39</f>
        <v/>
      </c>
      <c r="AG49" s="93" t="str">
        <f>'R3'!Q39</f>
        <v/>
      </c>
      <c r="AH49" s="93" t="str">
        <f>'R3'!R39</f>
        <v/>
      </c>
      <c r="AI49" s="93" t="str">
        <f>'R3'!S39</f>
        <v/>
      </c>
      <c r="AJ49" s="93" t="str">
        <f>'R3'!T39</f>
        <v/>
      </c>
      <c r="AK49" s="93" t="str">
        <f>'R3'!U39</f>
        <v/>
      </c>
      <c r="AL49" s="93" t="str">
        <f>'R3'!V39</f>
        <v/>
      </c>
      <c r="AM49" s="93" t="str">
        <f>'R3'!W39</f>
        <v/>
      </c>
      <c r="AN49" s="93" t="str">
        <f>'R3'!X39</f>
        <v/>
      </c>
      <c r="AO49" s="93" t="str">
        <f>'R3'!Y39</f>
        <v/>
      </c>
      <c r="AP49" s="93" t="str">
        <f>'R3'!Z39</f>
        <v/>
      </c>
      <c r="AQ49" s="93" t="str">
        <f>'R3'!AA39</f>
        <v/>
      </c>
      <c r="AR49" s="93" t="str">
        <f>'R3'!AB39</f>
        <v/>
      </c>
      <c r="AS49" s="93" t="str">
        <f>'R3'!AC39</f>
        <v/>
      </c>
      <c r="AT49" s="93" t="str">
        <f>'R3'!AD39</f>
        <v/>
      </c>
      <c r="AU49" s="93" t="str">
        <f>'R3'!AE39</f>
        <v/>
      </c>
      <c r="AV49" s="93" t="str">
        <f>'R3'!AF39</f>
        <v/>
      </c>
      <c r="AW49" s="93" t="str">
        <f>'R3'!AG39</f>
        <v/>
      </c>
      <c r="AX49" s="93" t="str">
        <f>'R3'!AH39</f>
        <v/>
      </c>
      <c r="AY49" s="93" t="str">
        <f>'R3'!AI39</f>
        <v/>
      </c>
      <c r="AZ49" s="93" t="str">
        <f>'R3'!AJ39</f>
        <v/>
      </c>
      <c r="BA49" s="93" t="str">
        <f>'R3'!AK39</f>
        <v/>
      </c>
    </row>
    <row r="50" spans="1:55" s="1" customFormat="1" x14ac:dyDescent="0.25">
      <c r="A50" s="156"/>
      <c r="B50" s="93" t="str">
        <f>'R3'!B40</f>
        <v/>
      </c>
      <c r="C50" s="93" t="str">
        <f>'R3'!C40</f>
        <v/>
      </c>
      <c r="D50" s="93" t="str">
        <f>'R3'!D40</f>
        <v/>
      </c>
      <c r="E50" s="93" t="str">
        <f>'R3'!E40</f>
        <v/>
      </c>
      <c r="F50" s="93" t="str">
        <f>'R3'!F40</f>
        <v/>
      </c>
      <c r="G50" s="93" t="str">
        <f>'R3'!G40</f>
        <v/>
      </c>
      <c r="H50" s="93" t="str">
        <f>'R3'!H40</f>
        <v/>
      </c>
      <c r="I50" s="93" t="str">
        <f>'R3'!I40</f>
        <v/>
      </c>
      <c r="J50" s="93" t="str">
        <f>'R3'!J40</f>
        <v/>
      </c>
      <c r="K50" s="93" t="str">
        <f>'R3'!K40</f>
        <v/>
      </c>
      <c r="L50" s="93" t="str">
        <f>'R3'!L40</f>
        <v/>
      </c>
      <c r="M50" s="93" t="str">
        <f>'R3'!M40</f>
        <v/>
      </c>
      <c r="N50" s="93" t="e">
        <f>'R3'!#REF!</f>
        <v>#REF!</v>
      </c>
      <c r="O50" s="93" t="e">
        <f>'R3'!#REF!</f>
        <v>#REF!</v>
      </c>
      <c r="P50" s="93" t="e">
        <f>'R3'!#REF!</f>
        <v>#REF!</v>
      </c>
      <c r="Q50" s="93" t="e">
        <f>'R3'!#REF!</f>
        <v>#REF!</v>
      </c>
      <c r="R50" s="93" t="e">
        <f>'R3'!#REF!</f>
        <v>#REF!</v>
      </c>
      <c r="S50" s="93" t="e">
        <f>'R3'!#REF!</f>
        <v>#REF!</v>
      </c>
      <c r="T50" s="93" t="e">
        <f>'R3'!#REF!</f>
        <v>#REF!</v>
      </c>
      <c r="U50" s="93" t="e">
        <f>'R3'!#REF!</f>
        <v>#REF!</v>
      </c>
      <c r="V50" s="93" t="e">
        <f>'R3'!#REF!</f>
        <v>#REF!</v>
      </c>
      <c r="W50" s="93" t="e">
        <f>'R3'!#REF!</f>
        <v>#REF!</v>
      </c>
      <c r="X50" s="93" t="e">
        <f>'R3'!#REF!</f>
        <v>#REF!</v>
      </c>
      <c r="Y50" s="93" t="e">
        <f>'R3'!#REF!</f>
        <v>#REF!</v>
      </c>
      <c r="Z50" s="93" t="e">
        <f>'R3'!#REF!</f>
        <v>#REF!</v>
      </c>
      <c r="AA50" s="93" t="e">
        <f>'R3'!#REF!</f>
        <v>#REF!</v>
      </c>
      <c r="AB50" s="93" t="e">
        <f>'R3'!#REF!</f>
        <v>#REF!</v>
      </c>
      <c r="AC50" s="93" t="e">
        <f>'R3'!#REF!</f>
        <v>#REF!</v>
      </c>
      <c r="AD50"/>
      <c r="AE50" s="93">
        <f>'R3'!O40</f>
        <v>1.3923939800104035</v>
      </c>
      <c r="AF50" s="93" t="str">
        <f>'R3'!P40</f>
        <v/>
      </c>
      <c r="AG50" s="93" t="str">
        <f>'R3'!Q40</f>
        <v/>
      </c>
      <c r="AH50" s="93" t="str">
        <f>'R3'!R40</f>
        <v/>
      </c>
      <c r="AI50" s="93" t="str">
        <f>'R3'!S40</f>
        <v/>
      </c>
      <c r="AJ50" s="93" t="str">
        <f>'R3'!T40</f>
        <v/>
      </c>
      <c r="AK50" s="93" t="str">
        <f>'R3'!U40</f>
        <v/>
      </c>
      <c r="AL50" s="93" t="str">
        <f>'R3'!V40</f>
        <v/>
      </c>
      <c r="AM50" s="93" t="str">
        <f>'R3'!W40</f>
        <v/>
      </c>
      <c r="AN50" s="93" t="str">
        <f>'R3'!X40</f>
        <v/>
      </c>
      <c r="AO50" s="93" t="str">
        <f>'R3'!Y40</f>
        <v/>
      </c>
      <c r="AP50" s="93" t="str">
        <f>'R3'!Z40</f>
        <v/>
      </c>
      <c r="AQ50" s="93" t="str">
        <f>'R3'!AA40</f>
        <v/>
      </c>
      <c r="AR50" s="93" t="str">
        <f>'R3'!AB40</f>
        <v/>
      </c>
      <c r="AS50" s="93" t="str">
        <f>'R3'!AC40</f>
        <v/>
      </c>
      <c r="AT50" s="93" t="str">
        <f>'R3'!AD40</f>
        <v/>
      </c>
      <c r="AU50" s="93" t="str">
        <f>'R3'!AE40</f>
        <v/>
      </c>
      <c r="AV50" s="93" t="str">
        <f>'R3'!AF40</f>
        <v/>
      </c>
      <c r="AW50" s="93" t="str">
        <f>'R3'!AG40</f>
        <v/>
      </c>
      <c r="AX50" s="93" t="str">
        <f>'R3'!AH40</f>
        <v/>
      </c>
      <c r="AY50" s="93" t="str">
        <f>'R3'!AI40</f>
        <v/>
      </c>
      <c r="AZ50" s="93" t="str">
        <f>'R3'!AJ40</f>
        <v/>
      </c>
      <c r="BA50" s="93" t="str">
        <f>'R3'!AK40</f>
        <v/>
      </c>
    </row>
    <row r="51" spans="1:55" s="1" customFormat="1" x14ac:dyDescent="0.25">
      <c r="A51" s="156"/>
      <c r="B51" s="93" t="str">
        <f>'R3'!B41</f>
        <v/>
      </c>
      <c r="C51" s="93" t="str">
        <f>'R3'!C41</f>
        <v/>
      </c>
      <c r="D51" s="93" t="str">
        <f>'R3'!D41</f>
        <v/>
      </c>
      <c r="E51" s="93" t="str">
        <f>'R3'!E41</f>
        <v/>
      </c>
      <c r="F51" s="93" t="str">
        <f>'R3'!F41</f>
        <v/>
      </c>
      <c r="G51" s="93" t="str">
        <f>'R3'!G41</f>
        <v/>
      </c>
      <c r="H51" s="93" t="str">
        <f>'R3'!H41</f>
        <v/>
      </c>
      <c r="I51" s="93" t="str">
        <f>'R3'!I41</f>
        <v/>
      </c>
      <c r="J51" s="93" t="str">
        <f>'R3'!J41</f>
        <v/>
      </c>
      <c r="K51" s="93" t="str">
        <f>'R3'!K41</f>
        <v/>
      </c>
      <c r="L51" s="93" t="str">
        <f>'R3'!L41</f>
        <v/>
      </c>
      <c r="M51" s="93" t="str">
        <f>'R3'!M41</f>
        <v/>
      </c>
      <c r="N51" s="93" t="e">
        <f>'R3'!#REF!</f>
        <v>#REF!</v>
      </c>
      <c r="O51" s="93" t="e">
        <f>'R3'!#REF!</f>
        <v>#REF!</v>
      </c>
      <c r="P51" s="93" t="e">
        <f>'R3'!#REF!</f>
        <v>#REF!</v>
      </c>
      <c r="Q51" s="93" t="e">
        <f>'R3'!#REF!</f>
        <v>#REF!</v>
      </c>
      <c r="R51" s="93" t="e">
        <f>'R3'!#REF!</f>
        <v>#REF!</v>
      </c>
      <c r="S51" s="93" t="e">
        <f>'R3'!#REF!</f>
        <v>#REF!</v>
      </c>
      <c r="T51" s="93" t="e">
        <f>'R3'!#REF!</f>
        <v>#REF!</v>
      </c>
      <c r="U51" s="93" t="e">
        <f>'R3'!#REF!</f>
        <v>#REF!</v>
      </c>
      <c r="V51" s="93" t="e">
        <f>'R3'!#REF!</f>
        <v>#REF!</v>
      </c>
      <c r="W51" s="93" t="e">
        <f>'R3'!#REF!</f>
        <v>#REF!</v>
      </c>
      <c r="X51" s="93" t="e">
        <f>'R3'!#REF!</f>
        <v>#REF!</v>
      </c>
      <c r="Y51" s="93" t="e">
        <f>'R3'!#REF!</f>
        <v>#REF!</v>
      </c>
      <c r="Z51" s="93" t="e">
        <f>'R3'!#REF!</f>
        <v>#REF!</v>
      </c>
      <c r="AA51" s="93" t="e">
        <f>'R3'!#REF!</f>
        <v>#REF!</v>
      </c>
      <c r="AB51" s="93" t="e">
        <f>'R3'!#REF!</f>
        <v>#REF!</v>
      </c>
      <c r="AC51" s="93" t="e">
        <f>'R3'!#REF!</f>
        <v>#REF!</v>
      </c>
      <c r="AD51"/>
      <c r="AE51" s="93">
        <f>'R3'!O41</f>
        <v>1.0282696885934488</v>
      </c>
      <c r="AF51" s="93" t="str">
        <f>'R3'!P41</f>
        <v/>
      </c>
      <c r="AG51" s="93" t="str">
        <f>'R3'!Q41</f>
        <v/>
      </c>
      <c r="AH51" s="93" t="str">
        <f>'R3'!R41</f>
        <v/>
      </c>
      <c r="AI51" s="93" t="str">
        <f>'R3'!S41</f>
        <v/>
      </c>
      <c r="AJ51" s="93" t="str">
        <f>'R3'!T41</f>
        <v/>
      </c>
      <c r="AK51" s="93" t="str">
        <f>'R3'!U41</f>
        <v/>
      </c>
      <c r="AL51" s="93" t="str">
        <f>'R3'!V41</f>
        <v/>
      </c>
      <c r="AM51" s="93" t="str">
        <f>'R3'!W41</f>
        <v/>
      </c>
      <c r="AN51" s="93" t="str">
        <f>'R3'!X41</f>
        <v/>
      </c>
      <c r="AO51" s="93" t="str">
        <f>'R3'!Y41</f>
        <v/>
      </c>
      <c r="AP51" s="93" t="str">
        <f>'R3'!Z41</f>
        <v/>
      </c>
      <c r="AQ51" s="93" t="str">
        <f>'R3'!AA41</f>
        <v/>
      </c>
      <c r="AR51" s="93" t="str">
        <f>'R3'!AB41</f>
        <v/>
      </c>
      <c r="AS51" s="93" t="str">
        <f>'R3'!AC41</f>
        <v/>
      </c>
      <c r="AT51" s="93" t="str">
        <f>'R3'!AD41</f>
        <v/>
      </c>
      <c r="AU51" s="93" t="str">
        <f>'R3'!AE41</f>
        <v/>
      </c>
      <c r="AV51" s="93" t="str">
        <f>'R3'!AF41</f>
        <v/>
      </c>
      <c r="AW51" s="93" t="str">
        <f>'R3'!AG41</f>
        <v/>
      </c>
      <c r="AX51" s="93" t="str">
        <f>'R3'!AH41</f>
        <v/>
      </c>
      <c r="AY51" s="93" t="str">
        <f>'R3'!AI41</f>
        <v/>
      </c>
      <c r="AZ51" s="93" t="str">
        <f>'R3'!AJ41</f>
        <v/>
      </c>
      <c r="BA51" s="93" t="str">
        <f>'R3'!AK41</f>
        <v/>
      </c>
    </row>
    <row r="52" spans="1:55" s="1" customFormat="1" x14ac:dyDescent="0.25">
      <c r="A52" s="156"/>
      <c r="B52" s="93" t="str">
        <f>'R3'!B42</f>
        <v/>
      </c>
      <c r="C52" s="93" t="str">
        <f>'R3'!C42</f>
        <v/>
      </c>
      <c r="D52" s="93" t="str">
        <f>'R3'!D42</f>
        <v/>
      </c>
      <c r="E52" s="93" t="str">
        <f>'R3'!E42</f>
        <v/>
      </c>
      <c r="F52" s="93" t="str">
        <f>'R3'!F42</f>
        <v/>
      </c>
      <c r="G52" s="93" t="str">
        <f>'R3'!G42</f>
        <v/>
      </c>
      <c r="H52" s="93" t="str">
        <f>'R3'!H42</f>
        <v/>
      </c>
      <c r="I52" s="93" t="str">
        <f>'R3'!I42</f>
        <v/>
      </c>
      <c r="J52" s="93" t="str">
        <f>'R3'!J42</f>
        <v/>
      </c>
      <c r="K52" s="93" t="str">
        <f>'R3'!K42</f>
        <v/>
      </c>
      <c r="L52" s="93" t="str">
        <f>'R3'!L42</f>
        <v/>
      </c>
      <c r="M52" s="93" t="str">
        <f>'R3'!M42</f>
        <v/>
      </c>
      <c r="N52" s="93" t="e">
        <f>'R3'!#REF!</f>
        <v>#REF!</v>
      </c>
      <c r="O52" s="93" t="e">
        <f>'R3'!#REF!</f>
        <v>#REF!</v>
      </c>
      <c r="P52" s="93" t="e">
        <f>'R3'!#REF!</f>
        <v>#REF!</v>
      </c>
      <c r="Q52" s="93" t="e">
        <f>'R3'!#REF!</f>
        <v>#REF!</v>
      </c>
      <c r="R52" s="93" t="e">
        <f>'R3'!#REF!</f>
        <v>#REF!</v>
      </c>
      <c r="S52" s="93" t="e">
        <f>'R3'!#REF!</f>
        <v>#REF!</v>
      </c>
      <c r="T52" s="93" t="e">
        <f>'R3'!#REF!</f>
        <v>#REF!</v>
      </c>
      <c r="U52" s="93" t="e">
        <f>'R3'!#REF!</f>
        <v>#REF!</v>
      </c>
      <c r="V52" s="93" t="e">
        <f>'R3'!#REF!</f>
        <v>#REF!</v>
      </c>
      <c r="W52" s="93" t="e">
        <f>'R3'!#REF!</f>
        <v>#REF!</v>
      </c>
      <c r="X52" s="93" t="e">
        <f>'R3'!#REF!</f>
        <v>#REF!</v>
      </c>
      <c r="Y52" s="93" t="e">
        <f>'R3'!#REF!</f>
        <v>#REF!</v>
      </c>
      <c r="Z52" s="93" t="e">
        <f>'R3'!#REF!</f>
        <v>#REF!</v>
      </c>
      <c r="AA52" s="93" t="e">
        <f>'R3'!#REF!</f>
        <v>#REF!</v>
      </c>
      <c r="AB52" s="93" t="e">
        <f>'R3'!#REF!</f>
        <v>#REF!</v>
      </c>
      <c r="AC52" s="93" t="e">
        <f>'R3'!#REF!</f>
        <v>#REF!</v>
      </c>
      <c r="AD52"/>
      <c r="AE52" s="93">
        <f>'R3'!O42</f>
        <v>0.91677295488288491</v>
      </c>
      <c r="AF52" s="93" t="str">
        <f>'R3'!P42</f>
        <v/>
      </c>
      <c r="AG52" s="93" t="str">
        <f>'R3'!Q42</f>
        <v/>
      </c>
      <c r="AH52" s="93" t="str">
        <f>'R3'!R42</f>
        <v/>
      </c>
      <c r="AI52" s="93" t="str">
        <f>'R3'!S42</f>
        <v/>
      </c>
      <c r="AJ52" s="93" t="str">
        <f>'R3'!T42</f>
        <v/>
      </c>
      <c r="AK52" s="93" t="str">
        <f>'R3'!U42</f>
        <v/>
      </c>
      <c r="AL52" s="93" t="str">
        <f>'R3'!V42</f>
        <v/>
      </c>
      <c r="AM52" s="93" t="str">
        <f>'R3'!W42</f>
        <v/>
      </c>
      <c r="AN52" s="93" t="str">
        <f>'R3'!X42</f>
        <v/>
      </c>
      <c r="AO52" s="93" t="str">
        <f>'R3'!Y42</f>
        <v/>
      </c>
      <c r="AP52" s="93" t="str">
        <f>'R3'!Z42</f>
        <v/>
      </c>
      <c r="AQ52" s="93" t="str">
        <f>'R3'!AA42</f>
        <v/>
      </c>
      <c r="AR52" s="93" t="str">
        <f>'R3'!AB42</f>
        <v/>
      </c>
      <c r="AS52" s="93" t="str">
        <f>'R3'!AC42</f>
        <v/>
      </c>
      <c r="AT52" s="93" t="str">
        <f>'R3'!AD42</f>
        <v/>
      </c>
      <c r="AU52" s="93" t="str">
        <f>'R3'!AE42</f>
        <v/>
      </c>
      <c r="AV52" s="93" t="str">
        <f>'R3'!AF42</f>
        <v/>
      </c>
      <c r="AW52" s="93" t="str">
        <f>'R3'!AG42</f>
        <v/>
      </c>
      <c r="AX52" s="93" t="str">
        <f>'R3'!AH42</f>
        <v/>
      </c>
      <c r="AY52" s="93" t="str">
        <f>'R3'!AI42</f>
        <v/>
      </c>
      <c r="AZ52" s="93" t="str">
        <f>'R3'!AJ42</f>
        <v/>
      </c>
      <c r="BA52" s="93" t="str">
        <f>'R3'!AK42</f>
        <v/>
      </c>
    </row>
    <row r="53" spans="1:55" s="1" customFormat="1" x14ac:dyDescent="0.25">
      <c r="A53" s="157"/>
      <c r="B53" s="93" t="str">
        <f>'R3'!B43</f>
        <v/>
      </c>
      <c r="C53" s="93" t="str">
        <f>'R3'!C43</f>
        <v/>
      </c>
      <c r="D53" s="93" t="str">
        <f>'R3'!D43</f>
        <v/>
      </c>
      <c r="E53" s="93" t="str">
        <f>'R3'!E43</f>
        <v/>
      </c>
      <c r="F53" s="93" t="str">
        <f>'R3'!F43</f>
        <v/>
      </c>
      <c r="G53" s="93" t="str">
        <f>'R3'!G43</f>
        <v/>
      </c>
      <c r="H53" s="93" t="str">
        <f>'R3'!H43</f>
        <v/>
      </c>
      <c r="I53" s="93" t="str">
        <f>'R3'!I43</f>
        <v/>
      </c>
      <c r="J53" s="93" t="str">
        <f>'R3'!J43</f>
        <v/>
      </c>
      <c r="K53" s="93" t="str">
        <f>'R3'!K43</f>
        <v/>
      </c>
      <c r="L53" s="93" t="str">
        <f>'R3'!L43</f>
        <v/>
      </c>
      <c r="M53" s="93" t="str">
        <f>'R3'!M43</f>
        <v/>
      </c>
      <c r="N53" s="93" t="e">
        <f>'R3'!#REF!</f>
        <v>#REF!</v>
      </c>
      <c r="O53" s="93" t="e">
        <f>'R3'!#REF!</f>
        <v>#REF!</v>
      </c>
      <c r="P53" s="93" t="e">
        <f>'R3'!#REF!</f>
        <v>#REF!</v>
      </c>
      <c r="Q53" s="93" t="e">
        <f>'R3'!#REF!</f>
        <v>#REF!</v>
      </c>
      <c r="R53" s="93" t="e">
        <f>'R3'!#REF!</f>
        <v>#REF!</v>
      </c>
      <c r="S53" s="93" t="e">
        <f>'R3'!#REF!</f>
        <v>#REF!</v>
      </c>
      <c r="T53" s="93" t="e">
        <f>'R3'!#REF!</f>
        <v>#REF!</v>
      </c>
      <c r="U53" s="93" t="e">
        <f>'R3'!#REF!</f>
        <v>#REF!</v>
      </c>
      <c r="V53" s="93" t="e">
        <f>'R3'!#REF!</f>
        <v>#REF!</v>
      </c>
      <c r="W53" s="93" t="e">
        <f>'R3'!#REF!</f>
        <v>#REF!</v>
      </c>
      <c r="X53" s="93" t="e">
        <f>'R3'!#REF!</f>
        <v>#REF!</v>
      </c>
      <c r="Y53" s="93" t="e">
        <f>'R3'!#REF!</f>
        <v>#REF!</v>
      </c>
      <c r="Z53" s="93" t="e">
        <f>'R3'!#REF!</f>
        <v>#REF!</v>
      </c>
      <c r="AA53" s="93" t="e">
        <f>'R3'!#REF!</f>
        <v>#REF!</v>
      </c>
      <c r="AB53" s="93" t="e">
        <f>'R3'!#REF!</f>
        <v>#REF!</v>
      </c>
      <c r="AC53" s="93" t="e">
        <f>'R3'!#REF!</f>
        <v>#REF!</v>
      </c>
      <c r="AD53"/>
      <c r="AE53" s="93">
        <f>'R3'!O43</f>
        <v>1.2848340719134101</v>
      </c>
      <c r="AF53" s="93" t="str">
        <f>'R3'!P43</f>
        <v/>
      </c>
      <c r="AG53" s="93" t="str">
        <f>'R3'!Q43</f>
        <v/>
      </c>
      <c r="AH53" s="93" t="str">
        <f>'R3'!R43</f>
        <v/>
      </c>
      <c r="AI53" s="93" t="str">
        <f>'R3'!S43</f>
        <v/>
      </c>
      <c r="AJ53" s="93" t="str">
        <f>'R3'!T43</f>
        <v/>
      </c>
      <c r="AK53" s="93" t="str">
        <f>'R3'!U43</f>
        <v/>
      </c>
      <c r="AL53" s="93" t="str">
        <f>'R3'!V43</f>
        <v/>
      </c>
      <c r="AM53" s="93" t="str">
        <f>'R3'!W43</f>
        <v/>
      </c>
      <c r="AN53" s="93" t="str">
        <f>'R3'!X43</f>
        <v/>
      </c>
      <c r="AO53" s="93" t="str">
        <f>'R3'!Y43</f>
        <v/>
      </c>
      <c r="AP53" s="93" t="str">
        <f>'R3'!Z43</f>
        <v/>
      </c>
      <c r="AQ53" s="93" t="str">
        <f>'R3'!AA43</f>
        <v/>
      </c>
      <c r="AR53" s="93" t="str">
        <f>'R3'!AB43</f>
        <v/>
      </c>
      <c r="AS53" s="93" t="str">
        <f>'R3'!AC43</f>
        <v/>
      </c>
      <c r="AT53" s="93" t="str">
        <f>'R3'!AD43</f>
        <v/>
      </c>
      <c r="AU53" s="93" t="str">
        <f>'R3'!AE43</f>
        <v/>
      </c>
      <c r="AV53" s="93" t="str">
        <f>'R3'!AF43</f>
        <v/>
      </c>
      <c r="AW53" s="93" t="str">
        <f>'R3'!AG43</f>
        <v/>
      </c>
      <c r="AX53" s="93" t="str">
        <f>'R3'!AH43</f>
        <v/>
      </c>
      <c r="AY53" s="93" t="str">
        <f>'R3'!AI43</f>
        <v/>
      </c>
      <c r="AZ53" s="93" t="str">
        <f>'R3'!AJ43</f>
        <v/>
      </c>
      <c r="BA53" s="93" t="str">
        <f>'R3'!AK43</f>
        <v/>
      </c>
    </row>
    <row r="54" spans="1:55" s="48" customFormat="1" x14ac:dyDescent="0.25">
      <c r="A54" s="46"/>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c r="AE54" s="47"/>
      <c r="AF54" s="47"/>
      <c r="AG54" s="47"/>
      <c r="AH54" s="47"/>
      <c r="AI54" s="47"/>
      <c r="AJ54" s="47"/>
      <c r="AK54" s="47"/>
      <c r="AL54" s="47"/>
      <c r="AM54" s="47"/>
      <c r="AN54" s="47"/>
      <c r="AO54" s="47"/>
      <c r="AP54" s="47"/>
      <c r="AQ54" s="47"/>
      <c r="AR54" s="47"/>
      <c r="AS54" s="47"/>
      <c r="AT54" s="47"/>
      <c r="AU54" s="47"/>
      <c r="AV54" s="47"/>
      <c r="AW54" s="47"/>
      <c r="AX54" s="47"/>
      <c r="AY54" s="47"/>
      <c r="AZ54" s="47"/>
      <c r="BA54" s="47"/>
    </row>
    <row r="55" spans="1:55" s="26" customFormat="1" x14ac:dyDescent="0.25">
      <c r="A55" s="26" t="s">
        <v>27</v>
      </c>
      <c r="B55" s="15" t="str">
        <f t="shared" ref="B55:AC55" si="0">B4</f>
        <v>Solvent control</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Prochloraz-0.063mg/L</v>
      </c>
      <c r="J55" s="15" t="str">
        <f t="shared" si="0"/>
        <v>Prochloraz-0.13mg/L</v>
      </c>
      <c r="K55" s="15" t="str">
        <f t="shared" si="0"/>
        <v>Prochloraz-0.25mg/L</v>
      </c>
      <c r="L55" s="15" t="str">
        <f t="shared" si="0"/>
        <v>Prochloraz-0.5mg/L</v>
      </c>
      <c r="M55" s="15" t="str">
        <f t="shared" si="0"/>
        <v>Prochloraz-1.0mg/L</v>
      </c>
      <c r="N55" s="15" t="e">
        <f t="shared" si="0"/>
        <v>#REF!</v>
      </c>
      <c r="O55" s="15" t="e">
        <f t="shared" si="0"/>
        <v>#REF!</v>
      </c>
      <c r="P55" s="15" t="e">
        <f t="shared" si="0"/>
        <v>#REF!</v>
      </c>
      <c r="Q55" s="15" t="e">
        <f t="shared" si="0"/>
        <v>#REF!</v>
      </c>
      <c r="R55" s="15" t="e">
        <f t="shared" si="0"/>
        <v>#REF!</v>
      </c>
      <c r="S55" s="15" t="e">
        <f t="shared" si="0"/>
        <v>#REF!</v>
      </c>
      <c r="T55" s="15" t="e">
        <f t="shared" si="0"/>
        <v>#REF!</v>
      </c>
      <c r="U55" s="15" t="e">
        <f t="shared" si="0"/>
        <v>#REF!</v>
      </c>
      <c r="V55" s="15" t="e">
        <f t="shared" si="0"/>
        <v>#REF!</v>
      </c>
      <c r="W55" s="15" t="e">
        <f t="shared" si="0"/>
        <v>#REF!</v>
      </c>
      <c r="X55" s="15" t="e">
        <f t="shared" si="0"/>
        <v>#REF!</v>
      </c>
      <c r="Y55" s="15" t="e">
        <f t="shared" si="0"/>
        <v>#REF!</v>
      </c>
      <c r="Z55" s="15" t="e">
        <f t="shared" si="0"/>
        <v>#REF!</v>
      </c>
      <c r="AA55" s="15" t="e">
        <f t="shared" si="0"/>
        <v>#REF!</v>
      </c>
      <c r="AB55" s="15" t="e">
        <f t="shared" si="0"/>
        <v>#REF!</v>
      </c>
      <c r="AC55" s="15" t="e">
        <f t="shared" si="0"/>
        <v>#REF!</v>
      </c>
      <c r="AE55" s="15" t="str">
        <f t="shared" ref="AE55:AT55" si="1">AE4</f>
        <v>Testo -30µg/L</v>
      </c>
      <c r="AF55" s="15" t="str">
        <f t="shared" si="1"/>
        <v>Testo 30µg/L + EE2 -64ng/L</v>
      </c>
      <c r="AG55" s="15" t="str">
        <f t="shared" si="1"/>
        <v>Testo 30µg/L + FAD-10mg/L</v>
      </c>
      <c r="AH55" s="15" t="str">
        <f t="shared" si="1"/>
        <v>Prochloraz-0.063mg/L + Testostérone</v>
      </c>
      <c r="AI55" s="15" t="str">
        <f t="shared" si="1"/>
        <v>Prochloraz-0.13mg/L + Testostérone</v>
      </c>
      <c r="AJ55" s="15" t="str">
        <f t="shared" si="1"/>
        <v>Prochloraz-0.25mg/L + Testostérone</v>
      </c>
      <c r="AK55" s="15" t="str">
        <f t="shared" si="1"/>
        <v>Prochloraz-0.5mg/L + Testostérone</v>
      </c>
      <c r="AL55" s="15" t="str">
        <f t="shared" si="1"/>
        <v>Prochloraz-1.0mg/L + Testostérone</v>
      </c>
      <c r="AM55" s="15" t="str">
        <f t="shared" si="1"/>
        <v>0-00 + Testostérone</v>
      </c>
      <c r="AN55" s="15" t="str">
        <f t="shared" si="1"/>
        <v>0-00 + Testostérone</v>
      </c>
      <c r="AO55" s="15" t="str">
        <f t="shared" si="1"/>
        <v>0-00 + Testostérone</v>
      </c>
      <c r="AP55" s="15" t="str">
        <f t="shared" si="1"/>
        <v>0-00 + Testostérone</v>
      </c>
      <c r="AQ55" s="15" t="str">
        <f t="shared" si="1"/>
        <v>0-00 + Testostérone</v>
      </c>
      <c r="AR55" s="15" t="str">
        <f t="shared" si="1"/>
        <v>0-00 + Testostérone</v>
      </c>
      <c r="AS55" s="15" t="str">
        <f t="shared" si="1"/>
        <v>0-00 + Testostérone</v>
      </c>
      <c r="AT55" s="15" t="str">
        <f t="shared" si="1"/>
        <v>0-00 + Testostérone</v>
      </c>
      <c r="AU55" s="15" t="str">
        <f t="shared" ref="AU55:BA55" si="2">AU4</f>
        <v>0-00 + Testostérone</v>
      </c>
      <c r="AV55" s="15" t="str">
        <f t="shared" si="2"/>
        <v>0-00 + Testostérone</v>
      </c>
      <c r="AW55" s="15" t="str">
        <f t="shared" si="2"/>
        <v>0-00 + Testostérone</v>
      </c>
      <c r="AX55" s="15" t="str">
        <f t="shared" si="2"/>
        <v>0-00 + Testostérone</v>
      </c>
      <c r="AY55" s="15" t="str">
        <f t="shared" si="2"/>
        <v>0-00 + Testostérone</v>
      </c>
      <c r="AZ55" s="15" t="str">
        <f t="shared" si="2"/>
        <v>0-00 + Testostérone</v>
      </c>
      <c r="BA55" s="15" t="str">
        <f t="shared" si="2"/>
        <v>0-00 + Testostérone</v>
      </c>
    </row>
    <row r="56" spans="1:55" x14ac:dyDescent="0.25">
      <c r="A56" t="s">
        <v>28</v>
      </c>
      <c r="B56" s="9">
        <f t="shared" ref="B56:AZ56" si="3">AVERAGE(B6:B53)</f>
        <v>3.7416898968829694E-2</v>
      </c>
      <c r="C56" s="9">
        <f t="shared" si="3"/>
        <v>7.484681697615915E-2</v>
      </c>
      <c r="D56" s="9">
        <f t="shared" si="3"/>
        <v>5.8024615065529868E-2</v>
      </c>
      <c r="E56" s="9">
        <f t="shared" si="3"/>
        <v>0.51325756669079792</v>
      </c>
      <c r="F56" s="9">
        <f t="shared" si="3"/>
        <v>0.75386627186716337</v>
      </c>
      <c r="G56" s="9">
        <f t="shared" si="3"/>
        <v>1.2770943180152421</v>
      </c>
      <c r="H56" s="9">
        <f t="shared" si="3"/>
        <v>1.7245881722516998</v>
      </c>
      <c r="I56" s="9">
        <f t="shared" si="3"/>
        <v>3.3953890754241996E-2</v>
      </c>
      <c r="J56" s="9">
        <f t="shared" si="3"/>
        <v>2.4314633674682114E-2</v>
      </c>
      <c r="K56" s="9">
        <f t="shared" si="3"/>
        <v>3.3423846536671901E-2</v>
      </c>
      <c r="L56" s="9">
        <f t="shared" si="3"/>
        <v>4.2273775170876056E-2</v>
      </c>
      <c r="M56" s="9">
        <f t="shared" si="3"/>
        <v>3.8327782950048427E-2</v>
      </c>
      <c r="N56" s="9" t="e">
        <f t="shared" si="3"/>
        <v>#REF!</v>
      </c>
      <c r="O56" s="9" t="e">
        <f t="shared" si="3"/>
        <v>#REF!</v>
      </c>
      <c r="P56" s="9" t="e">
        <f t="shared" si="3"/>
        <v>#REF!</v>
      </c>
      <c r="Q56" s="9" t="e">
        <f t="shared" si="3"/>
        <v>#REF!</v>
      </c>
      <c r="R56" s="9" t="e">
        <f t="shared" si="3"/>
        <v>#REF!</v>
      </c>
      <c r="S56" s="9" t="e">
        <f t="shared" si="3"/>
        <v>#REF!</v>
      </c>
      <c r="T56" s="9" t="e">
        <f t="shared" si="3"/>
        <v>#REF!</v>
      </c>
      <c r="U56" s="9" t="e">
        <f t="shared" si="3"/>
        <v>#REF!</v>
      </c>
      <c r="V56" s="9" t="e">
        <f t="shared" si="3"/>
        <v>#REF!</v>
      </c>
      <c r="W56" s="9" t="e">
        <f t="shared" si="3"/>
        <v>#REF!</v>
      </c>
      <c r="X56" s="9" t="e">
        <f t="shared" si="3"/>
        <v>#REF!</v>
      </c>
      <c r="Y56" s="9" t="e">
        <f t="shared" si="3"/>
        <v>#REF!</v>
      </c>
      <c r="Z56" s="9" t="e">
        <f t="shared" si="3"/>
        <v>#REF!</v>
      </c>
      <c r="AA56" s="9" t="e">
        <f t="shared" si="3"/>
        <v>#REF!</v>
      </c>
      <c r="AB56" s="9" t="e">
        <f t="shared" si="3"/>
        <v>#REF!</v>
      </c>
      <c r="AC56" s="9" t="e">
        <f t="shared" si="3"/>
        <v>#REF!</v>
      </c>
      <c r="AD56" s="9"/>
      <c r="AE56" s="9">
        <f t="shared" si="3"/>
        <v>0.99999999999999967</v>
      </c>
      <c r="AF56" s="9">
        <f t="shared" si="3"/>
        <v>1.4056153131265035</v>
      </c>
      <c r="AG56" s="9">
        <f t="shared" si="3"/>
        <v>6.6410044224347806E-2</v>
      </c>
      <c r="AH56" s="9">
        <f t="shared" si="3"/>
        <v>0.37312851111532147</v>
      </c>
      <c r="AI56" s="9">
        <f t="shared" si="3"/>
        <v>0.15029156861325946</v>
      </c>
      <c r="AJ56" s="9">
        <f t="shared" si="3"/>
        <v>0.13124473281382529</v>
      </c>
      <c r="AK56" s="9">
        <f t="shared" si="3"/>
        <v>4.0161680595302084E-2</v>
      </c>
      <c r="AL56" s="9">
        <f t="shared" si="3"/>
        <v>9.8906710099201309E-2</v>
      </c>
      <c r="AM56" s="9" t="e">
        <f t="shared" si="3"/>
        <v>#DIV/0!</v>
      </c>
      <c r="AN56" s="9" t="e">
        <f t="shared" si="3"/>
        <v>#DIV/0!</v>
      </c>
      <c r="AO56" s="9" t="e">
        <f t="shared" si="3"/>
        <v>#DIV/0!</v>
      </c>
      <c r="AP56" s="9" t="e">
        <f t="shared" si="3"/>
        <v>#DIV/0!</v>
      </c>
      <c r="AQ56" s="9" t="e">
        <f t="shared" si="3"/>
        <v>#DIV/0!</v>
      </c>
      <c r="AR56" s="9" t="e">
        <f t="shared" si="3"/>
        <v>#DIV/0!</v>
      </c>
      <c r="AS56" s="9" t="e">
        <f t="shared" si="3"/>
        <v>#DIV/0!</v>
      </c>
      <c r="AT56" s="9" t="e">
        <f t="shared" si="3"/>
        <v>#DIV/0!</v>
      </c>
      <c r="AU56" s="9" t="e">
        <f t="shared" si="3"/>
        <v>#DIV/0!</v>
      </c>
      <c r="AV56" s="9" t="e">
        <f t="shared" si="3"/>
        <v>#DIV/0!</v>
      </c>
      <c r="AW56" s="9" t="e">
        <f t="shared" si="3"/>
        <v>#DIV/0!</v>
      </c>
      <c r="AX56" s="9" t="e">
        <f t="shared" si="3"/>
        <v>#DIV/0!</v>
      </c>
      <c r="AY56" s="9" t="e">
        <f t="shared" si="3"/>
        <v>#DIV/0!</v>
      </c>
      <c r="AZ56" s="9" t="e">
        <f t="shared" si="3"/>
        <v>#DIV/0!</v>
      </c>
      <c r="BA56" s="9" t="e">
        <f>AVERAGE(BA6:BA53)</f>
        <v>#DIV/0!</v>
      </c>
    </row>
    <row r="57" spans="1:55" x14ac:dyDescent="0.25">
      <c r="A57" t="s">
        <v>1</v>
      </c>
      <c r="B57" s="3">
        <f>STDEV(B6:B53)</f>
        <v>4.0736825818602024E-2</v>
      </c>
      <c r="C57" s="3">
        <f t="shared" ref="C57:BA57" si="4">STDEV(C6:C53)</f>
        <v>0.18297200900881846</v>
      </c>
      <c r="D57" s="3">
        <f t="shared" si="4"/>
        <v>7.2682032810223257E-2</v>
      </c>
      <c r="E57" s="3">
        <f t="shared" si="4"/>
        <v>0.64327715429456689</v>
      </c>
      <c r="F57" s="3">
        <f t="shared" si="4"/>
        <v>0.51060886813823159</v>
      </c>
      <c r="G57" s="3">
        <f t="shared" si="4"/>
        <v>0.50505686587988186</v>
      </c>
      <c r="H57" s="3">
        <f t="shared" si="4"/>
        <v>0.49455258740021635</v>
      </c>
      <c r="I57" s="3">
        <f t="shared" si="4"/>
        <v>3.7956053204468432E-2</v>
      </c>
      <c r="J57" s="3">
        <f t="shared" si="4"/>
        <v>3.6153233003117888E-2</v>
      </c>
      <c r="K57" s="3">
        <f t="shared" si="4"/>
        <v>4.961979150751282E-2</v>
      </c>
      <c r="L57" s="3">
        <f t="shared" si="4"/>
        <v>7.2218787248211624E-2</v>
      </c>
      <c r="M57" s="3">
        <f t="shared" si="4"/>
        <v>4.2632010822705457E-2</v>
      </c>
      <c r="N57" s="3" t="e">
        <f t="shared" si="4"/>
        <v>#REF!</v>
      </c>
      <c r="O57" s="3" t="e">
        <f t="shared" si="4"/>
        <v>#REF!</v>
      </c>
      <c r="P57" s="3" t="e">
        <f t="shared" si="4"/>
        <v>#REF!</v>
      </c>
      <c r="Q57" s="3" t="e">
        <f t="shared" si="4"/>
        <v>#REF!</v>
      </c>
      <c r="R57" s="3" t="e">
        <f t="shared" si="4"/>
        <v>#REF!</v>
      </c>
      <c r="S57" s="3" t="e">
        <f t="shared" si="4"/>
        <v>#REF!</v>
      </c>
      <c r="T57" s="3" t="e">
        <f t="shared" si="4"/>
        <v>#REF!</v>
      </c>
      <c r="U57" s="3" t="e">
        <f t="shared" si="4"/>
        <v>#REF!</v>
      </c>
      <c r="V57" s="3" t="e">
        <f t="shared" si="4"/>
        <v>#REF!</v>
      </c>
      <c r="W57" s="3" t="e">
        <f t="shared" si="4"/>
        <v>#REF!</v>
      </c>
      <c r="X57" s="3" t="e">
        <f t="shared" si="4"/>
        <v>#REF!</v>
      </c>
      <c r="Y57" s="3" t="e">
        <f t="shared" si="4"/>
        <v>#REF!</v>
      </c>
      <c r="Z57" s="3" t="e">
        <f t="shared" si="4"/>
        <v>#REF!</v>
      </c>
      <c r="AA57" s="3" t="e">
        <f t="shared" si="4"/>
        <v>#REF!</v>
      </c>
      <c r="AB57" s="3" t="e">
        <f t="shared" si="4"/>
        <v>#REF!</v>
      </c>
      <c r="AC57" s="3" t="e">
        <f t="shared" si="4"/>
        <v>#REF!</v>
      </c>
      <c r="AD57" s="3"/>
      <c r="AE57" s="3">
        <f t="shared" si="4"/>
        <v>0.39892731609181786</v>
      </c>
      <c r="AF57" s="3">
        <f t="shared" si="4"/>
        <v>0.32267226277420386</v>
      </c>
      <c r="AG57" s="3">
        <f t="shared" si="4"/>
        <v>0.12386996134369746</v>
      </c>
      <c r="AH57" s="3">
        <f t="shared" si="4"/>
        <v>0.32176113078274238</v>
      </c>
      <c r="AI57" s="3">
        <f t="shared" si="4"/>
        <v>0.22701845418260164</v>
      </c>
      <c r="AJ57" s="3">
        <f t="shared" si="4"/>
        <v>0.17184176498079964</v>
      </c>
      <c r="AK57" s="3">
        <f t="shared" si="4"/>
        <v>5.293681615065559E-2</v>
      </c>
      <c r="AL57" s="3">
        <f t="shared" si="4"/>
        <v>0.17657828404628023</v>
      </c>
      <c r="AM57" s="3" t="e">
        <f t="shared" si="4"/>
        <v>#DIV/0!</v>
      </c>
      <c r="AN57" s="3" t="e">
        <f t="shared" si="4"/>
        <v>#DIV/0!</v>
      </c>
      <c r="AO57" s="3" t="e">
        <f t="shared" si="4"/>
        <v>#DIV/0!</v>
      </c>
      <c r="AP57" s="3" t="e">
        <f t="shared" si="4"/>
        <v>#DIV/0!</v>
      </c>
      <c r="AQ57" s="3" t="e">
        <f t="shared" si="4"/>
        <v>#DIV/0!</v>
      </c>
      <c r="AR57" s="3" t="e">
        <f t="shared" si="4"/>
        <v>#DIV/0!</v>
      </c>
      <c r="AS57" s="3" t="e">
        <f t="shared" si="4"/>
        <v>#DIV/0!</v>
      </c>
      <c r="AT57" s="3" t="e">
        <f t="shared" si="4"/>
        <v>#DIV/0!</v>
      </c>
      <c r="AU57" s="3" t="e">
        <f t="shared" si="4"/>
        <v>#DIV/0!</v>
      </c>
      <c r="AV57" s="3" t="e">
        <f t="shared" si="4"/>
        <v>#DIV/0!</v>
      </c>
      <c r="AW57" s="3" t="e">
        <f t="shared" si="4"/>
        <v>#DIV/0!</v>
      </c>
      <c r="AX57" s="3" t="e">
        <f t="shared" si="4"/>
        <v>#DIV/0!</v>
      </c>
      <c r="AY57" s="3" t="e">
        <f t="shared" si="4"/>
        <v>#DIV/0!</v>
      </c>
      <c r="AZ57" s="3" t="e">
        <f t="shared" si="4"/>
        <v>#DIV/0!</v>
      </c>
      <c r="BA57" s="3" t="e">
        <f t="shared" si="4"/>
        <v>#DIV/0!</v>
      </c>
      <c r="BB57" s="3"/>
      <c r="BC57" s="3"/>
    </row>
    <row r="58" spans="1:55" x14ac:dyDescent="0.25">
      <c r="A58" t="s">
        <v>2</v>
      </c>
      <c r="B58" s="3">
        <f xml:space="preserve"> B57/SQRT(COUNT(B6:B53))</f>
        <v>8.315369749684217E-3</v>
      </c>
      <c r="C58" s="3">
        <f t="shared" ref="C58:BA58" si="5" xml:space="preserve"> C57/SQRT(COUNT(C6:C53))</f>
        <v>4.5743002252204616E-2</v>
      </c>
      <c r="D58" s="3">
        <f t="shared" si="5"/>
        <v>1.4836157821106024E-2</v>
      </c>
      <c r="E58" s="3">
        <f t="shared" si="5"/>
        <v>0.13130839926760779</v>
      </c>
      <c r="F58" s="3">
        <f t="shared" si="5"/>
        <v>0.10422759875656055</v>
      </c>
      <c r="G58" s="3">
        <f t="shared" si="5"/>
        <v>0.10309430104124917</v>
      </c>
      <c r="H58" s="3">
        <f t="shared" si="5"/>
        <v>0.10095012417530927</v>
      </c>
      <c r="I58" s="3">
        <f t="shared" si="5"/>
        <v>7.747746916739834E-3</v>
      </c>
      <c r="J58" s="3">
        <f t="shared" si="5"/>
        <v>7.7078951748360304E-3</v>
      </c>
      <c r="K58" s="3">
        <f t="shared" si="5"/>
        <v>1.012859752805771E-2</v>
      </c>
      <c r="L58" s="3">
        <f t="shared" si="5"/>
        <v>1.4741598216727915E-2</v>
      </c>
      <c r="M58" s="3">
        <f t="shared" si="5"/>
        <v>8.702222768703206E-3</v>
      </c>
      <c r="N58" s="3" t="e">
        <f t="shared" si="5"/>
        <v>#REF!</v>
      </c>
      <c r="O58" s="3" t="e">
        <f t="shared" si="5"/>
        <v>#REF!</v>
      </c>
      <c r="P58" s="3" t="e">
        <f t="shared" si="5"/>
        <v>#REF!</v>
      </c>
      <c r="Q58" s="3" t="e">
        <f t="shared" si="5"/>
        <v>#REF!</v>
      </c>
      <c r="R58" s="3" t="e">
        <f t="shared" si="5"/>
        <v>#REF!</v>
      </c>
      <c r="S58" s="3" t="e">
        <f t="shared" si="5"/>
        <v>#REF!</v>
      </c>
      <c r="T58" s="3" t="e">
        <f t="shared" si="5"/>
        <v>#REF!</v>
      </c>
      <c r="U58" s="3" t="e">
        <f t="shared" si="5"/>
        <v>#REF!</v>
      </c>
      <c r="V58" s="3" t="e">
        <f t="shared" si="5"/>
        <v>#REF!</v>
      </c>
      <c r="W58" s="3" t="e">
        <f t="shared" si="5"/>
        <v>#REF!</v>
      </c>
      <c r="X58" s="3" t="e">
        <f t="shared" si="5"/>
        <v>#REF!</v>
      </c>
      <c r="Y58" s="3" t="e">
        <f t="shared" si="5"/>
        <v>#REF!</v>
      </c>
      <c r="Z58" s="3" t="e">
        <f t="shared" si="5"/>
        <v>#REF!</v>
      </c>
      <c r="AA58" s="3" t="e">
        <f t="shared" si="5"/>
        <v>#REF!</v>
      </c>
      <c r="AB58" s="3" t="e">
        <f t="shared" si="5"/>
        <v>#REF!</v>
      </c>
      <c r="AC58" s="3" t="e">
        <f t="shared" si="5"/>
        <v>#REF!</v>
      </c>
      <c r="AD58" s="3"/>
      <c r="AE58" s="3">
        <f t="shared" si="5"/>
        <v>5.7580198333176492E-2</v>
      </c>
      <c r="AF58" s="3">
        <f t="shared" si="5"/>
        <v>6.5865199828837567E-2</v>
      </c>
      <c r="AG58" s="3">
        <f t="shared" si="5"/>
        <v>2.5284849979194644E-2</v>
      </c>
      <c r="AH58" s="3">
        <f t="shared" si="5"/>
        <v>6.5679215789887016E-2</v>
      </c>
      <c r="AI58" s="3">
        <f t="shared" si="5"/>
        <v>4.6339947911897966E-2</v>
      </c>
      <c r="AJ58" s="3">
        <f t="shared" si="5"/>
        <v>3.5077053391852193E-2</v>
      </c>
      <c r="AK58" s="3">
        <f t="shared" si="5"/>
        <v>1.080568234805248E-2</v>
      </c>
      <c r="AL58" s="3">
        <f t="shared" si="5"/>
        <v>3.6043891297468163E-2</v>
      </c>
      <c r="AM58" s="3" t="e">
        <f t="shared" si="5"/>
        <v>#DIV/0!</v>
      </c>
      <c r="AN58" s="3" t="e">
        <f t="shared" si="5"/>
        <v>#DIV/0!</v>
      </c>
      <c r="AO58" s="3" t="e">
        <f t="shared" si="5"/>
        <v>#DIV/0!</v>
      </c>
      <c r="AP58" s="3" t="e">
        <f t="shared" si="5"/>
        <v>#DIV/0!</v>
      </c>
      <c r="AQ58" s="3" t="e">
        <f t="shared" si="5"/>
        <v>#DIV/0!</v>
      </c>
      <c r="AR58" s="3" t="e">
        <f t="shared" si="5"/>
        <v>#DIV/0!</v>
      </c>
      <c r="AS58" s="3" t="e">
        <f t="shared" si="5"/>
        <v>#DIV/0!</v>
      </c>
      <c r="AT58" s="3" t="e">
        <f t="shared" si="5"/>
        <v>#DIV/0!</v>
      </c>
      <c r="AU58" s="3" t="e">
        <f t="shared" si="5"/>
        <v>#DIV/0!</v>
      </c>
      <c r="AV58" s="3" t="e">
        <f t="shared" si="5"/>
        <v>#DIV/0!</v>
      </c>
      <c r="AW58" s="3" t="e">
        <f t="shared" si="5"/>
        <v>#DIV/0!</v>
      </c>
      <c r="AX58" s="3" t="e">
        <f t="shared" si="5"/>
        <v>#DIV/0!</v>
      </c>
      <c r="AY58" s="3" t="e">
        <f t="shared" si="5"/>
        <v>#DIV/0!</v>
      </c>
      <c r="AZ58" s="3" t="e">
        <f t="shared" si="5"/>
        <v>#DIV/0!</v>
      </c>
      <c r="BA58" s="3" t="e">
        <f t="shared" si="5"/>
        <v>#DIV/0!</v>
      </c>
      <c r="BB58" s="3"/>
      <c r="BC58" s="3"/>
    </row>
    <row r="59" spans="1:55" s="1" customFormat="1" ht="15.75" thickBot="1" x14ac:dyDescent="0.3">
      <c r="B59" s="3"/>
      <c r="C59" s="3"/>
      <c r="D59" s="3"/>
      <c r="E59" s="3"/>
      <c r="F59" s="3"/>
      <c r="G59" s="3"/>
      <c r="H59" s="3"/>
      <c r="I59" s="3"/>
      <c r="J59" s="3"/>
      <c r="K59" s="3"/>
      <c r="L59" s="3"/>
      <c r="M59" s="3"/>
      <c r="N59" s="3"/>
      <c r="O59" s="3"/>
      <c r="P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row>
    <row r="60" spans="1:55" s="33" customFormat="1" ht="27" thickBot="1" x14ac:dyDescent="0.3">
      <c r="A60" s="158" t="s">
        <v>26</v>
      </c>
      <c r="B60" s="159"/>
      <c r="C60" s="159"/>
      <c r="D60" s="159"/>
      <c r="E60" s="159"/>
      <c r="F60" s="159"/>
      <c r="G60" s="159"/>
      <c r="H60" s="159"/>
      <c r="I60" s="159"/>
      <c r="J60" s="159"/>
      <c r="K60" s="159"/>
      <c r="L60" s="159"/>
      <c r="M60" s="159"/>
      <c r="N60" s="159"/>
      <c r="O60" s="159"/>
      <c r="P60" s="159"/>
      <c r="Q60" s="159"/>
      <c r="R60" s="159"/>
      <c r="S60" s="159"/>
      <c r="T60" s="159"/>
      <c r="U60" s="159"/>
      <c r="V60" s="159"/>
      <c r="W60" s="159"/>
      <c r="X60" s="159"/>
      <c r="Y60" s="159"/>
      <c r="Z60" s="159"/>
      <c r="AA60" s="159"/>
      <c r="AB60" s="159"/>
      <c r="AC60" s="159"/>
      <c r="AD60" s="159"/>
      <c r="AE60" s="159"/>
      <c r="AF60" s="159"/>
      <c r="AG60" s="159"/>
      <c r="AH60" s="159"/>
      <c r="AI60" s="159"/>
      <c r="AJ60" s="159"/>
      <c r="AK60" s="159"/>
      <c r="AL60" s="159"/>
      <c r="AM60" s="159"/>
      <c r="AN60" s="159"/>
      <c r="AO60" s="159"/>
      <c r="AP60" s="159"/>
      <c r="AQ60" s="159"/>
      <c r="AR60" s="159"/>
      <c r="AS60" s="159"/>
      <c r="AT60" s="159"/>
      <c r="AU60" s="159"/>
      <c r="AV60" s="159"/>
      <c r="AW60" s="159"/>
      <c r="AX60" s="159"/>
      <c r="AY60" s="159"/>
      <c r="AZ60" s="159"/>
      <c r="BA60" s="160"/>
    </row>
    <row r="61" spans="1:55" s="1" customFormat="1" x14ac:dyDescent="0.25">
      <c r="B61" s="3"/>
      <c r="C61" s="3"/>
      <c r="D61" s="3"/>
      <c r="E61" s="3"/>
      <c r="F61" s="3"/>
      <c r="G61" s="3"/>
      <c r="H61" s="3"/>
      <c r="I61" s="3"/>
      <c r="J61" s="3"/>
      <c r="K61" s="3"/>
      <c r="L61" s="3"/>
      <c r="M61" s="3"/>
      <c r="N61" s="3"/>
      <c r="O61" s="3"/>
      <c r="P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row>
    <row r="62" spans="1:55" s="1" customFormat="1" x14ac:dyDescent="0.25">
      <c r="A62" s="1" t="s">
        <v>27</v>
      </c>
      <c r="B62" s="3" t="str">
        <f t="shared" ref="B62" si="6">B4</f>
        <v>Solvent control</v>
      </c>
      <c r="C62" s="3" t="str">
        <f t="shared" ref="C62:BA62" si="7">C4</f>
        <v>EE2-33.8ng/L</v>
      </c>
      <c r="D62" s="3" t="str">
        <f t="shared" si="7"/>
        <v>EE2-50.6ng/L</v>
      </c>
      <c r="E62" s="3" t="str">
        <f t="shared" si="7"/>
        <v>EE2-76ng/L</v>
      </c>
      <c r="F62" s="3" t="str">
        <f t="shared" si="7"/>
        <v>EE2-114ng/L</v>
      </c>
      <c r="G62" s="3" t="str">
        <f t="shared" si="7"/>
        <v>EE2-170.9ng/L</v>
      </c>
      <c r="H62" s="3" t="str">
        <f t="shared" si="7"/>
        <v>EE2-488ng/L</v>
      </c>
      <c r="I62" s="3" t="str">
        <f t="shared" si="7"/>
        <v>Prochloraz-0.063mg/L</v>
      </c>
      <c r="J62" s="3" t="str">
        <f t="shared" si="7"/>
        <v>Prochloraz-0.13mg/L</v>
      </c>
      <c r="K62" s="3" t="str">
        <f t="shared" si="7"/>
        <v>Prochloraz-0.25mg/L</v>
      </c>
      <c r="L62" s="3" t="str">
        <f t="shared" si="7"/>
        <v>Prochloraz-0.5mg/L</v>
      </c>
      <c r="M62" s="3" t="str">
        <f t="shared" si="7"/>
        <v>Prochloraz-1.0mg/L</v>
      </c>
      <c r="N62" s="3" t="e">
        <f t="shared" si="7"/>
        <v>#REF!</v>
      </c>
      <c r="O62" s="3" t="e">
        <f t="shared" si="7"/>
        <v>#REF!</v>
      </c>
      <c r="P62" s="3" t="e">
        <f t="shared" si="7"/>
        <v>#REF!</v>
      </c>
      <c r="Q62" s="3" t="e">
        <f t="shared" si="7"/>
        <v>#REF!</v>
      </c>
      <c r="R62" s="3" t="e">
        <f t="shared" si="7"/>
        <v>#REF!</v>
      </c>
      <c r="S62" s="3" t="e">
        <f t="shared" si="7"/>
        <v>#REF!</v>
      </c>
      <c r="T62" s="3" t="e">
        <f t="shared" si="7"/>
        <v>#REF!</v>
      </c>
      <c r="U62" s="3" t="e">
        <f t="shared" si="7"/>
        <v>#REF!</v>
      </c>
      <c r="V62" s="3" t="e">
        <f t="shared" si="7"/>
        <v>#REF!</v>
      </c>
      <c r="W62" s="3" t="e">
        <f t="shared" si="7"/>
        <v>#REF!</v>
      </c>
      <c r="X62" s="3" t="e">
        <f t="shared" si="7"/>
        <v>#REF!</v>
      </c>
      <c r="Y62" s="3" t="e">
        <f t="shared" si="7"/>
        <v>#REF!</v>
      </c>
      <c r="Z62" s="3" t="e">
        <f t="shared" si="7"/>
        <v>#REF!</v>
      </c>
      <c r="AA62" s="3" t="e">
        <f t="shared" si="7"/>
        <v>#REF!</v>
      </c>
      <c r="AB62" s="3" t="e">
        <f t="shared" si="7"/>
        <v>#REF!</v>
      </c>
      <c r="AC62" s="3" t="e">
        <f t="shared" si="7"/>
        <v>#REF!</v>
      </c>
      <c r="AD62" s="3"/>
      <c r="AE62" s="3" t="str">
        <f t="shared" si="7"/>
        <v>Testo -30µg/L</v>
      </c>
      <c r="AF62" s="3" t="str">
        <f t="shared" si="7"/>
        <v>Testo 30µg/L + EE2 -64ng/L</v>
      </c>
      <c r="AG62" s="3" t="str">
        <f t="shared" si="7"/>
        <v>Testo 30µg/L + FAD-10mg/L</v>
      </c>
      <c r="AH62" s="3" t="str">
        <f t="shared" si="7"/>
        <v>Prochloraz-0.063mg/L + Testostérone</v>
      </c>
      <c r="AI62" s="3" t="str">
        <f t="shared" si="7"/>
        <v>Prochloraz-0.13mg/L + Testostérone</v>
      </c>
      <c r="AJ62" s="3" t="str">
        <f t="shared" si="7"/>
        <v>Prochloraz-0.25mg/L + Testostérone</v>
      </c>
      <c r="AK62" s="3" t="str">
        <f t="shared" si="7"/>
        <v>Prochloraz-0.5mg/L + Testostérone</v>
      </c>
      <c r="AL62" s="3" t="str">
        <f t="shared" si="7"/>
        <v>Prochloraz-1.0mg/L + Testostérone</v>
      </c>
      <c r="AM62" s="3" t="str">
        <f t="shared" si="7"/>
        <v>0-00 + Testostérone</v>
      </c>
      <c r="AN62" s="3" t="str">
        <f t="shared" si="7"/>
        <v>0-00 + Testostérone</v>
      </c>
      <c r="AO62" s="3" t="str">
        <f t="shared" si="7"/>
        <v>0-00 + Testostérone</v>
      </c>
      <c r="AP62" s="3" t="str">
        <f t="shared" si="7"/>
        <v>0-00 + Testostérone</v>
      </c>
      <c r="AQ62" s="3" t="str">
        <f t="shared" si="7"/>
        <v>0-00 + Testostérone</v>
      </c>
      <c r="AR62" s="3" t="str">
        <f t="shared" si="7"/>
        <v>0-00 + Testostérone</v>
      </c>
      <c r="AS62" s="3" t="str">
        <f t="shared" si="7"/>
        <v>0-00 + Testostérone</v>
      </c>
      <c r="AT62" s="3" t="str">
        <f t="shared" si="7"/>
        <v>0-00 + Testostérone</v>
      </c>
      <c r="AU62" s="3" t="str">
        <f t="shared" si="7"/>
        <v>0-00 + Testostérone</v>
      </c>
      <c r="AV62" s="3" t="str">
        <f t="shared" si="7"/>
        <v>0-00 + Testostérone</v>
      </c>
      <c r="AW62" s="3" t="str">
        <f t="shared" si="7"/>
        <v>0-00 + Testostérone</v>
      </c>
      <c r="AX62" s="3" t="str">
        <f t="shared" si="7"/>
        <v>0-00 + Testostérone</v>
      </c>
      <c r="AY62" s="3" t="str">
        <f t="shared" si="7"/>
        <v>0-00 + Testostérone</v>
      </c>
      <c r="AZ62" s="3" t="str">
        <f t="shared" si="7"/>
        <v>0-00 + Testostérone</v>
      </c>
      <c r="BA62" s="3" t="str">
        <f t="shared" si="7"/>
        <v>0-00 + Testostérone</v>
      </c>
    </row>
    <row r="63" spans="1:55" s="1" customFormat="1" x14ac:dyDescent="0.25">
      <c r="A63" s="1" t="s">
        <v>29</v>
      </c>
      <c r="B63" s="3">
        <f>COUNT(B6:B53)</f>
        <v>24</v>
      </c>
      <c r="C63" s="3">
        <f t="shared" ref="C63:AZ63" si="8">COUNT(C6:C53)</f>
        <v>16</v>
      </c>
      <c r="D63" s="3">
        <f t="shared" si="8"/>
        <v>24</v>
      </c>
      <c r="E63" s="3">
        <f t="shared" si="8"/>
        <v>24</v>
      </c>
      <c r="F63" s="3">
        <f t="shared" si="8"/>
        <v>24</v>
      </c>
      <c r="G63" s="3">
        <f t="shared" si="8"/>
        <v>24</v>
      </c>
      <c r="H63" s="3">
        <f t="shared" si="8"/>
        <v>24</v>
      </c>
      <c r="I63" s="3">
        <f t="shared" si="8"/>
        <v>24</v>
      </c>
      <c r="J63" s="3">
        <f t="shared" si="8"/>
        <v>22</v>
      </c>
      <c r="K63" s="3">
        <f t="shared" si="8"/>
        <v>24</v>
      </c>
      <c r="L63" s="3">
        <f t="shared" si="8"/>
        <v>24</v>
      </c>
      <c r="M63" s="3">
        <f t="shared" si="8"/>
        <v>24</v>
      </c>
      <c r="N63" s="3">
        <f t="shared" si="8"/>
        <v>0</v>
      </c>
      <c r="O63" s="3">
        <f t="shared" si="8"/>
        <v>0</v>
      </c>
      <c r="P63" s="3">
        <f t="shared" si="8"/>
        <v>0</v>
      </c>
      <c r="Q63" s="3">
        <f t="shared" si="8"/>
        <v>0</v>
      </c>
      <c r="R63" s="3">
        <f t="shared" si="8"/>
        <v>0</v>
      </c>
      <c r="S63" s="3">
        <f t="shared" si="8"/>
        <v>0</v>
      </c>
      <c r="T63" s="3">
        <f t="shared" si="8"/>
        <v>0</v>
      </c>
      <c r="U63" s="3">
        <f t="shared" si="8"/>
        <v>0</v>
      </c>
      <c r="V63" s="3">
        <f t="shared" si="8"/>
        <v>0</v>
      </c>
      <c r="W63" s="3">
        <f t="shared" si="8"/>
        <v>0</v>
      </c>
      <c r="X63" s="3">
        <f t="shared" si="8"/>
        <v>0</v>
      </c>
      <c r="Y63" s="3">
        <f t="shared" si="8"/>
        <v>0</v>
      </c>
      <c r="Z63" s="3">
        <f t="shared" si="8"/>
        <v>0</v>
      </c>
      <c r="AA63" s="3">
        <f t="shared" si="8"/>
        <v>0</v>
      </c>
      <c r="AB63" s="3">
        <f t="shared" si="8"/>
        <v>0</v>
      </c>
      <c r="AC63" s="3">
        <f t="shared" si="8"/>
        <v>0</v>
      </c>
      <c r="AD63" s="3"/>
      <c r="AE63" s="3">
        <f t="shared" si="8"/>
        <v>48</v>
      </c>
      <c r="AF63" s="3">
        <f t="shared" si="8"/>
        <v>24</v>
      </c>
      <c r="AG63" s="3">
        <f t="shared" si="8"/>
        <v>24</v>
      </c>
      <c r="AH63" s="3">
        <f t="shared" si="8"/>
        <v>24</v>
      </c>
      <c r="AI63" s="3">
        <f t="shared" si="8"/>
        <v>24</v>
      </c>
      <c r="AJ63" s="3">
        <f t="shared" si="8"/>
        <v>24</v>
      </c>
      <c r="AK63" s="3">
        <f t="shared" si="8"/>
        <v>24</v>
      </c>
      <c r="AL63" s="3">
        <f t="shared" si="8"/>
        <v>24</v>
      </c>
      <c r="AM63" s="3">
        <f t="shared" si="8"/>
        <v>0</v>
      </c>
      <c r="AN63" s="3">
        <f t="shared" si="8"/>
        <v>0</v>
      </c>
      <c r="AO63" s="3">
        <f t="shared" si="8"/>
        <v>0</v>
      </c>
      <c r="AP63" s="3">
        <f t="shared" si="8"/>
        <v>0</v>
      </c>
      <c r="AQ63" s="3">
        <f t="shared" si="8"/>
        <v>0</v>
      </c>
      <c r="AR63" s="3">
        <f t="shared" si="8"/>
        <v>0</v>
      </c>
      <c r="AS63" s="3">
        <f t="shared" si="8"/>
        <v>0</v>
      </c>
      <c r="AT63" s="3">
        <f t="shared" si="8"/>
        <v>0</v>
      </c>
      <c r="AU63" s="3">
        <f t="shared" si="8"/>
        <v>0</v>
      </c>
      <c r="AV63" s="3">
        <f t="shared" si="8"/>
        <v>0</v>
      </c>
      <c r="AW63" s="3">
        <f t="shared" si="8"/>
        <v>0</v>
      </c>
      <c r="AX63" s="3">
        <f t="shared" si="8"/>
        <v>0</v>
      </c>
      <c r="AY63" s="3">
        <f t="shared" si="8"/>
        <v>0</v>
      </c>
      <c r="AZ63" s="3">
        <f t="shared" si="8"/>
        <v>0</v>
      </c>
      <c r="BA63" s="3">
        <f>COUNT(BA6:BA53)</f>
        <v>0</v>
      </c>
    </row>
    <row r="64" spans="1:55" s="1" customFormat="1" ht="15.75" thickBot="1" x14ac:dyDescent="0.3">
      <c r="B64" s="3" t="str">
        <f>IF(B63&gt;=21,"OK","ATTENTION")</f>
        <v>OK</v>
      </c>
      <c r="C64" s="3" t="str">
        <f t="shared" ref="C64:BA64" si="9">IF(C63&gt;=21,"OK","ATTENTION")</f>
        <v>ATTENTION</v>
      </c>
      <c r="D64" s="3" t="str">
        <f t="shared" si="9"/>
        <v>OK</v>
      </c>
      <c r="E64" s="3" t="str">
        <f t="shared" si="9"/>
        <v>OK</v>
      </c>
      <c r="F64" s="3" t="str">
        <f t="shared" si="9"/>
        <v>OK</v>
      </c>
      <c r="G64" s="3" t="str">
        <f t="shared" si="9"/>
        <v>OK</v>
      </c>
      <c r="H64" s="3" t="str">
        <f t="shared" si="9"/>
        <v>OK</v>
      </c>
      <c r="I64" s="3" t="str">
        <f t="shared" si="9"/>
        <v>OK</v>
      </c>
      <c r="J64" s="3" t="str">
        <f t="shared" si="9"/>
        <v>OK</v>
      </c>
      <c r="K64" s="3" t="str">
        <f t="shared" si="9"/>
        <v>OK</v>
      </c>
      <c r="L64" s="3" t="str">
        <f t="shared" si="9"/>
        <v>OK</v>
      </c>
      <c r="M64" s="3" t="str">
        <f t="shared" si="9"/>
        <v>OK</v>
      </c>
      <c r="N64" s="3" t="str">
        <f t="shared" si="9"/>
        <v>ATTENTION</v>
      </c>
      <c r="O64" s="3" t="str">
        <f t="shared" si="9"/>
        <v>ATTENTION</v>
      </c>
      <c r="P64" s="3" t="str">
        <f t="shared" si="9"/>
        <v>ATTENTION</v>
      </c>
      <c r="Q64" s="3" t="str">
        <f t="shared" si="9"/>
        <v>ATTENTION</v>
      </c>
      <c r="R64" s="3" t="str">
        <f t="shared" si="9"/>
        <v>ATTENTION</v>
      </c>
      <c r="S64" s="3" t="str">
        <f t="shared" si="9"/>
        <v>ATTENTION</v>
      </c>
      <c r="T64" s="3" t="str">
        <f t="shared" si="9"/>
        <v>ATTENTION</v>
      </c>
      <c r="U64" s="3" t="str">
        <f t="shared" si="9"/>
        <v>ATTENTION</v>
      </c>
      <c r="V64" s="3" t="str">
        <f t="shared" si="9"/>
        <v>ATTENTION</v>
      </c>
      <c r="W64" s="3" t="str">
        <f t="shared" si="9"/>
        <v>ATTENTION</v>
      </c>
      <c r="X64" s="3" t="str">
        <f t="shared" si="9"/>
        <v>ATTENTION</v>
      </c>
      <c r="Y64" s="3" t="str">
        <f t="shared" si="9"/>
        <v>ATTENTION</v>
      </c>
      <c r="Z64" s="3" t="str">
        <f t="shared" si="9"/>
        <v>ATTENTION</v>
      </c>
      <c r="AA64" s="3" t="str">
        <f t="shared" si="9"/>
        <v>ATTENTION</v>
      </c>
      <c r="AB64" s="3" t="str">
        <f t="shared" si="9"/>
        <v>ATTENTION</v>
      </c>
      <c r="AC64" s="3" t="str">
        <f t="shared" si="9"/>
        <v>ATTENTION</v>
      </c>
      <c r="AD64" s="3"/>
      <c r="AE64" s="3" t="str">
        <f>IF(AE63&gt;=41,"OK","ATTENTION")</f>
        <v>OK</v>
      </c>
      <c r="AF64" s="3" t="str">
        <f t="shared" si="9"/>
        <v>OK</v>
      </c>
      <c r="AG64" s="3" t="str">
        <f t="shared" si="9"/>
        <v>OK</v>
      </c>
      <c r="AH64" s="3" t="str">
        <f t="shared" si="9"/>
        <v>OK</v>
      </c>
      <c r="AI64" s="3" t="str">
        <f t="shared" si="9"/>
        <v>OK</v>
      </c>
      <c r="AJ64" s="3" t="str">
        <f t="shared" si="9"/>
        <v>OK</v>
      </c>
      <c r="AK64" s="3" t="str">
        <f t="shared" si="9"/>
        <v>OK</v>
      </c>
      <c r="AL64" s="3" t="str">
        <f t="shared" si="9"/>
        <v>OK</v>
      </c>
      <c r="AM64" s="3" t="str">
        <f t="shared" si="9"/>
        <v>ATTENTION</v>
      </c>
      <c r="AN64" s="3" t="str">
        <f t="shared" si="9"/>
        <v>ATTENTION</v>
      </c>
      <c r="AO64" s="3" t="str">
        <f t="shared" si="9"/>
        <v>ATTENTION</v>
      </c>
      <c r="AP64" s="3" t="str">
        <f t="shared" si="9"/>
        <v>ATTENTION</v>
      </c>
      <c r="AQ64" s="3" t="str">
        <f t="shared" si="9"/>
        <v>ATTENTION</v>
      </c>
      <c r="AR64" s="3" t="str">
        <f t="shared" si="9"/>
        <v>ATTENTION</v>
      </c>
      <c r="AS64" s="3" t="str">
        <f t="shared" si="9"/>
        <v>ATTENTION</v>
      </c>
      <c r="AT64" s="3" t="str">
        <f t="shared" si="9"/>
        <v>ATTENTION</v>
      </c>
      <c r="AU64" s="3" t="str">
        <f t="shared" si="9"/>
        <v>ATTENTION</v>
      </c>
      <c r="AV64" s="3" t="str">
        <f t="shared" si="9"/>
        <v>ATTENTION</v>
      </c>
      <c r="AW64" s="3" t="str">
        <f t="shared" si="9"/>
        <v>ATTENTION</v>
      </c>
      <c r="AX64" s="3" t="str">
        <f t="shared" si="9"/>
        <v>ATTENTION</v>
      </c>
      <c r="AY64" s="3" t="str">
        <f t="shared" si="9"/>
        <v>ATTENTION</v>
      </c>
      <c r="AZ64" s="3" t="str">
        <f t="shared" si="9"/>
        <v>ATTENTION</v>
      </c>
      <c r="BA64" s="3" t="str">
        <f t="shared" si="9"/>
        <v>ATTENTION</v>
      </c>
    </row>
    <row r="65" spans="1:53" s="33" customFormat="1" ht="27" thickBot="1" x14ac:dyDescent="0.3">
      <c r="A65" s="158" t="s">
        <v>37</v>
      </c>
      <c r="B65" s="159"/>
      <c r="C65" s="159"/>
      <c r="D65" s="159"/>
      <c r="E65" s="159"/>
      <c r="F65" s="159"/>
      <c r="G65" s="159"/>
      <c r="H65" s="159"/>
      <c r="I65" s="159"/>
      <c r="J65" s="159"/>
      <c r="K65" s="159"/>
      <c r="L65" s="159"/>
      <c r="M65" s="159"/>
      <c r="N65" s="159"/>
      <c r="O65" s="159"/>
      <c r="P65" s="159"/>
      <c r="Q65" s="159"/>
      <c r="R65" s="159"/>
      <c r="S65" s="159"/>
      <c r="T65" s="159"/>
      <c r="U65" s="159"/>
      <c r="V65" s="159"/>
      <c r="W65" s="159"/>
      <c r="X65" s="159"/>
      <c r="Y65" s="159"/>
      <c r="Z65" s="159"/>
      <c r="AA65" s="159"/>
      <c r="AB65" s="159"/>
      <c r="AC65" s="159"/>
      <c r="AD65" s="159"/>
      <c r="AE65" s="159"/>
      <c r="AF65" s="159"/>
      <c r="AG65" s="159"/>
      <c r="AH65" s="159"/>
      <c r="AI65" s="159"/>
      <c r="AJ65" s="159"/>
      <c r="AK65" s="159"/>
      <c r="AL65" s="159"/>
      <c r="AM65" s="159"/>
      <c r="AN65" s="159"/>
      <c r="AO65" s="159"/>
      <c r="AP65" s="159"/>
      <c r="AQ65" s="159"/>
      <c r="AR65" s="159"/>
      <c r="AS65" s="159"/>
      <c r="AT65" s="159"/>
      <c r="AU65" s="159"/>
      <c r="AV65" s="159"/>
      <c r="AW65" s="159"/>
      <c r="AX65" s="159"/>
      <c r="AY65" s="159"/>
      <c r="AZ65" s="159"/>
      <c r="BA65" s="160"/>
    </row>
    <row r="66" spans="1:53" s="1" customFormat="1" x14ac:dyDescent="0.25">
      <c r="B66" s="1" t="s">
        <v>39</v>
      </c>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row>
    <row r="67" spans="1:53" s="1" customFormat="1" x14ac:dyDescent="0.25">
      <c r="A67" s="1" t="s">
        <v>38</v>
      </c>
      <c r="B67" s="3">
        <v>3.5</v>
      </c>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row>
    <row r="68" spans="1:53" s="1" customFormat="1" x14ac:dyDescent="0.25">
      <c r="A68" s="1" t="s">
        <v>40</v>
      </c>
      <c r="B68" s="3">
        <v>2</v>
      </c>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row>
    <row r="69" spans="1:53" s="1" customFormat="1" ht="15.75" thickBot="1" x14ac:dyDescent="0.3">
      <c r="A69" s="1" t="s">
        <v>41</v>
      </c>
      <c r="B69" s="3">
        <v>0.5</v>
      </c>
      <c r="C69" s="3"/>
      <c r="D69" s="3"/>
      <c r="E69" s="3"/>
      <c r="F69" s="3"/>
      <c r="G69" s="3"/>
      <c r="H69" s="3"/>
      <c r="I69" s="3"/>
      <c r="J69" s="3"/>
      <c r="K69" s="3"/>
      <c r="L69" s="3"/>
      <c r="M69" s="3"/>
      <c r="N69" s="3"/>
      <c r="O69" s="3"/>
      <c r="P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row>
    <row r="70" spans="1:53" s="33" customFormat="1" ht="27" thickBot="1" x14ac:dyDescent="0.3">
      <c r="A70" s="158" t="s">
        <v>32</v>
      </c>
      <c r="B70" s="159"/>
      <c r="C70" s="159"/>
      <c r="D70" s="159"/>
      <c r="E70" s="159"/>
      <c r="F70" s="159"/>
      <c r="G70" s="159"/>
      <c r="H70" s="159"/>
      <c r="I70" s="159"/>
      <c r="J70" s="159"/>
      <c r="K70" s="159"/>
      <c r="L70" s="159"/>
      <c r="M70" s="159"/>
      <c r="N70" s="159"/>
      <c r="O70" s="159"/>
      <c r="P70" s="159"/>
      <c r="Q70" s="159"/>
      <c r="R70" s="159"/>
      <c r="S70" s="159"/>
      <c r="T70" s="159"/>
      <c r="U70" s="159"/>
      <c r="V70" s="159"/>
      <c r="W70" s="159"/>
      <c r="X70" s="159"/>
      <c r="Y70" s="159"/>
      <c r="Z70" s="159"/>
      <c r="AA70" s="159"/>
      <c r="AB70" s="159"/>
      <c r="AC70" s="159"/>
      <c r="AD70" s="159"/>
      <c r="AE70" s="159"/>
      <c r="AF70" s="159"/>
      <c r="AG70" s="159"/>
      <c r="AH70" s="159"/>
      <c r="AI70" s="159"/>
      <c r="AJ70" s="159"/>
      <c r="AK70" s="159"/>
      <c r="AL70" s="159"/>
      <c r="AM70" s="159"/>
      <c r="AN70" s="159"/>
      <c r="AO70" s="159"/>
      <c r="AP70" s="159"/>
      <c r="AQ70" s="159"/>
      <c r="AR70" s="159"/>
      <c r="AS70" s="159"/>
      <c r="AT70" s="159"/>
      <c r="AU70" s="159"/>
      <c r="AV70" s="159"/>
      <c r="AW70" s="159"/>
      <c r="AX70" s="159"/>
      <c r="AY70" s="159"/>
      <c r="AZ70" s="159"/>
      <c r="BA70" s="160"/>
    </row>
    <row r="71" spans="1:53" ht="15.75" thickBot="1" x14ac:dyDescent="0.3"/>
    <row r="72" spans="1:53" s="33" customFormat="1" ht="27" thickBot="1" x14ac:dyDescent="0.3">
      <c r="A72" s="158" t="s">
        <v>33</v>
      </c>
      <c r="B72" s="159"/>
      <c r="C72" s="159"/>
      <c r="D72" s="159"/>
      <c r="E72" s="159"/>
      <c r="F72" s="159"/>
      <c r="G72" s="159"/>
      <c r="H72" s="159"/>
      <c r="I72" s="159"/>
      <c r="J72" s="159"/>
      <c r="K72" s="159"/>
      <c r="L72" s="159"/>
      <c r="M72" s="159"/>
      <c r="N72" s="159"/>
      <c r="O72" s="159"/>
      <c r="P72" s="159"/>
      <c r="Q72" s="159"/>
      <c r="R72" s="159"/>
      <c r="S72" s="159"/>
      <c r="T72" s="159"/>
      <c r="U72" s="159"/>
      <c r="V72" s="159"/>
      <c r="W72" s="159"/>
      <c r="X72" s="159"/>
      <c r="Y72" s="159"/>
      <c r="Z72" s="159"/>
      <c r="AA72" s="159"/>
      <c r="AB72" s="159"/>
      <c r="AC72" s="159"/>
      <c r="AD72" s="159"/>
      <c r="AE72" s="159"/>
      <c r="AF72" s="159"/>
      <c r="AG72" s="159"/>
      <c r="AH72" s="159"/>
      <c r="AI72" s="159"/>
      <c r="AJ72" s="159"/>
      <c r="AK72" s="159"/>
      <c r="AL72" s="159"/>
      <c r="AM72" s="159"/>
      <c r="AN72" s="159"/>
      <c r="AO72" s="159"/>
      <c r="AP72" s="159"/>
      <c r="AQ72" s="159"/>
      <c r="AR72" s="159"/>
      <c r="AS72" s="159"/>
      <c r="AT72" s="159"/>
      <c r="AU72" s="159"/>
      <c r="AV72" s="159"/>
      <c r="AW72" s="159"/>
      <c r="AX72" s="159"/>
      <c r="AY72" s="159"/>
      <c r="AZ72" s="159"/>
      <c r="BA72" s="160"/>
    </row>
    <row r="73" spans="1:53" ht="15.75" thickBot="1" x14ac:dyDescent="0.3">
      <c r="J73" s="3">
        <v>1</v>
      </c>
      <c r="K73" s="3">
        <v>2</v>
      </c>
      <c r="L73" s="3">
        <v>3</v>
      </c>
      <c r="M73" s="3">
        <v>4</v>
      </c>
      <c r="N73" s="3">
        <v>5</v>
      </c>
      <c r="O73" s="3">
        <v>1</v>
      </c>
      <c r="P73" s="3">
        <v>2</v>
      </c>
      <c r="Q73" s="3">
        <v>3</v>
      </c>
      <c r="R73" s="3">
        <v>4</v>
      </c>
      <c r="S73" s="3">
        <v>5</v>
      </c>
      <c r="T73" s="3">
        <v>1</v>
      </c>
      <c r="U73" s="3">
        <v>2</v>
      </c>
      <c r="V73" s="3">
        <v>3</v>
      </c>
      <c r="W73" s="3">
        <v>4</v>
      </c>
      <c r="X73" s="3">
        <v>5</v>
      </c>
      <c r="Y73" s="3">
        <v>1</v>
      </c>
      <c r="Z73" s="3">
        <v>2</v>
      </c>
      <c r="AA73" s="3">
        <v>3</v>
      </c>
      <c r="AB73" s="3">
        <v>4</v>
      </c>
      <c r="AC73" s="3">
        <v>5</v>
      </c>
      <c r="AH73" s="3">
        <v>1</v>
      </c>
      <c r="AI73" s="3">
        <v>2</v>
      </c>
      <c r="AJ73" s="3">
        <v>3</v>
      </c>
      <c r="AK73" s="3">
        <v>4</v>
      </c>
      <c r="AL73" s="3">
        <v>5</v>
      </c>
      <c r="AM73" s="3">
        <v>1</v>
      </c>
      <c r="AN73" s="3">
        <v>2</v>
      </c>
      <c r="AO73" s="3">
        <v>3</v>
      </c>
      <c r="AP73" s="3">
        <v>4</v>
      </c>
      <c r="AQ73" s="3">
        <v>5</v>
      </c>
      <c r="AR73" s="3">
        <v>1</v>
      </c>
      <c r="AS73" s="3">
        <v>2</v>
      </c>
      <c r="AT73" s="3">
        <v>3</v>
      </c>
      <c r="AU73" s="3">
        <v>4</v>
      </c>
      <c r="AV73" s="3">
        <v>5</v>
      </c>
      <c r="AW73" s="3">
        <v>1</v>
      </c>
      <c r="AX73" s="3">
        <v>2</v>
      </c>
      <c r="AY73" s="3">
        <v>3</v>
      </c>
      <c r="AZ73" s="3">
        <v>4</v>
      </c>
      <c r="BA73" s="3">
        <v>5</v>
      </c>
    </row>
    <row r="74" spans="1:53" s="1" customFormat="1" x14ac:dyDescent="0.25">
      <c r="A74" s="29" t="s">
        <v>22</v>
      </c>
      <c r="B74" s="30" t="str">
        <f t="shared" ref="B74:W74" si="10">B4</f>
        <v>Solvent control</v>
      </c>
      <c r="C74" s="30" t="str">
        <f t="shared" si="10"/>
        <v>EE2-33.8ng/L</v>
      </c>
      <c r="D74" s="30" t="str">
        <f t="shared" si="10"/>
        <v>EE2-50.6ng/L</v>
      </c>
      <c r="E74" s="30" t="str">
        <f t="shared" si="10"/>
        <v>EE2-76ng/L</v>
      </c>
      <c r="F74" s="30" t="str">
        <f t="shared" si="10"/>
        <v>EE2-114ng/L</v>
      </c>
      <c r="G74" s="30" t="str">
        <f t="shared" si="10"/>
        <v>EE2-170.9ng/L</v>
      </c>
      <c r="H74" s="30" t="str">
        <f t="shared" si="10"/>
        <v>EE2-488ng/L</v>
      </c>
      <c r="I74" s="30" t="str">
        <f t="shared" si="10"/>
        <v>Prochloraz-0.063mg/L</v>
      </c>
      <c r="J74" s="30" t="str">
        <f t="shared" si="10"/>
        <v>Prochloraz-0.13mg/L</v>
      </c>
      <c r="K74" s="30" t="str">
        <f t="shared" si="10"/>
        <v>Prochloraz-0.25mg/L</v>
      </c>
      <c r="L74" s="30" t="str">
        <f t="shared" si="10"/>
        <v>Prochloraz-0.5mg/L</v>
      </c>
      <c r="M74" s="30" t="str">
        <f t="shared" si="10"/>
        <v>Prochloraz-1.0mg/L</v>
      </c>
      <c r="N74" s="30" t="e">
        <f t="shared" si="10"/>
        <v>#REF!</v>
      </c>
      <c r="O74" s="30" t="e">
        <f t="shared" si="10"/>
        <v>#REF!</v>
      </c>
      <c r="P74" s="30" t="e">
        <f t="shared" si="10"/>
        <v>#REF!</v>
      </c>
      <c r="Q74" s="30" t="e">
        <f t="shared" si="10"/>
        <v>#REF!</v>
      </c>
      <c r="R74" s="30" t="e">
        <f t="shared" si="10"/>
        <v>#REF!</v>
      </c>
      <c r="S74" s="30" t="e">
        <f t="shared" si="10"/>
        <v>#REF!</v>
      </c>
      <c r="T74" s="30" t="e">
        <f t="shared" si="10"/>
        <v>#REF!</v>
      </c>
      <c r="U74" s="30" t="e">
        <f t="shared" si="10"/>
        <v>#REF!</v>
      </c>
      <c r="V74" s="30" t="e">
        <f t="shared" si="10"/>
        <v>#REF!</v>
      </c>
      <c r="W74" s="30" t="e">
        <f t="shared" si="10"/>
        <v>#REF!</v>
      </c>
      <c r="X74" s="30" t="e">
        <f t="shared" ref="X74:AC74" si="11">X4</f>
        <v>#REF!</v>
      </c>
      <c r="Y74" s="30" t="e">
        <f t="shared" si="11"/>
        <v>#REF!</v>
      </c>
      <c r="Z74" s="30" t="e">
        <f t="shared" si="11"/>
        <v>#REF!</v>
      </c>
      <c r="AA74" s="30" t="e">
        <f t="shared" si="11"/>
        <v>#REF!</v>
      </c>
      <c r="AB74" s="30" t="e">
        <f t="shared" si="11"/>
        <v>#REF!</v>
      </c>
      <c r="AC74" s="30" t="e">
        <f t="shared" si="11"/>
        <v>#REF!</v>
      </c>
      <c r="AD74" s="30"/>
      <c r="AE74" s="30" t="str">
        <f t="shared" ref="AE74:AT74" si="12">AE4</f>
        <v>Testo -30µg/L</v>
      </c>
      <c r="AF74" s="30" t="str">
        <f t="shared" si="12"/>
        <v>Testo 30µg/L + EE2 -64ng/L</v>
      </c>
      <c r="AG74" s="30" t="str">
        <f t="shared" si="12"/>
        <v>Testo 30µg/L + FAD-10mg/L</v>
      </c>
      <c r="AH74" s="30" t="str">
        <f t="shared" si="12"/>
        <v>Prochloraz-0.063mg/L + Testostérone</v>
      </c>
      <c r="AI74" s="30" t="str">
        <f t="shared" si="12"/>
        <v>Prochloraz-0.13mg/L + Testostérone</v>
      </c>
      <c r="AJ74" s="30" t="str">
        <f t="shared" si="12"/>
        <v>Prochloraz-0.25mg/L + Testostérone</v>
      </c>
      <c r="AK74" s="30" t="str">
        <f t="shared" si="12"/>
        <v>Prochloraz-0.5mg/L + Testostérone</v>
      </c>
      <c r="AL74" s="30" t="str">
        <f t="shared" si="12"/>
        <v>Prochloraz-1.0mg/L + Testostérone</v>
      </c>
      <c r="AM74" s="30" t="str">
        <f t="shared" si="12"/>
        <v>0-00 + Testostérone</v>
      </c>
      <c r="AN74" s="30" t="str">
        <f t="shared" si="12"/>
        <v>0-00 + Testostérone</v>
      </c>
      <c r="AO74" s="30" t="str">
        <f t="shared" si="12"/>
        <v>0-00 + Testostérone</v>
      </c>
      <c r="AP74" s="30" t="str">
        <f t="shared" si="12"/>
        <v>0-00 + Testostérone</v>
      </c>
      <c r="AQ74" s="30" t="str">
        <f t="shared" si="12"/>
        <v>0-00 + Testostérone</v>
      </c>
      <c r="AR74" s="30" t="str">
        <f t="shared" si="12"/>
        <v>0-00 + Testostérone</v>
      </c>
      <c r="AS74" s="30" t="str">
        <f t="shared" si="12"/>
        <v>0-00 + Testostérone</v>
      </c>
      <c r="AT74" s="30" t="str">
        <f t="shared" si="12"/>
        <v>0-00 + Testostérone</v>
      </c>
      <c r="AU74" s="30" t="str">
        <f t="shared" ref="AU74:BA74" si="13">AU4</f>
        <v>0-00 + Testostérone</v>
      </c>
      <c r="AV74" s="30" t="str">
        <f t="shared" si="13"/>
        <v>0-00 + Testostérone</v>
      </c>
      <c r="AW74" s="30" t="str">
        <f t="shared" si="13"/>
        <v>0-00 + Testostérone</v>
      </c>
      <c r="AX74" s="30" t="str">
        <f t="shared" si="13"/>
        <v>0-00 + Testostérone</v>
      </c>
      <c r="AY74" s="30" t="str">
        <f t="shared" si="13"/>
        <v>0-00 + Testostérone</v>
      </c>
      <c r="AZ74" s="30" t="str">
        <f t="shared" si="13"/>
        <v>0-00 + Testostérone</v>
      </c>
      <c r="BA74" s="30" t="str">
        <f t="shared" si="13"/>
        <v>0-00 + Testostérone</v>
      </c>
    </row>
    <row r="75" spans="1:53" s="3" customFormat="1" x14ac:dyDescent="0.25">
      <c r="A75" s="49" t="s">
        <v>15</v>
      </c>
      <c r="B75" s="83">
        <f>B56</f>
        <v>3.7416898968829694E-2</v>
      </c>
      <c r="C75" s="83">
        <f t="shared" ref="C75:BA75" si="14">C56</f>
        <v>7.484681697615915E-2</v>
      </c>
      <c r="D75" s="83">
        <f t="shared" si="14"/>
        <v>5.8024615065529868E-2</v>
      </c>
      <c r="E75" s="83">
        <f t="shared" si="14"/>
        <v>0.51325756669079792</v>
      </c>
      <c r="F75" s="83">
        <f t="shared" si="14"/>
        <v>0.75386627186716337</v>
      </c>
      <c r="G75" s="83">
        <f t="shared" si="14"/>
        <v>1.2770943180152421</v>
      </c>
      <c r="H75" s="83">
        <f t="shared" si="14"/>
        <v>1.7245881722516998</v>
      </c>
      <c r="I75" s="83">
        <f t="shared" si="14"/>
        <v>3.3953890754241996E-2</v>
      </c>
      <c r="J75" s="83">
        <f t="shared" si="14"/>
        <v>2.4314633674682114E-2</v>
      </c>
      <c r="K75" s="83">
        <f t="shared" si="14"/>
        <v>3.3423846536671901E-2</v>
      </c>
      <c r="L75" s="83">
        <f t="shared" si="14"/>
        <v>4.2273775170876056E-2</v>
      </c>
      <c r="M75" s="83">
        <f t="shared" si="14"/>
        <v>3.8327782950048427E-2</v>
      </c>
      <c r="N75" s="83" t="e">
        <f t="shared" si="14"/>
        <v>#REF!</v>
      </c>
      <c r="O75" s="83" t="e">
        <f t="shared" si="14"/>
        <v>#REF!</v>
      </c>
      <c r="P75" s="83" t="e">
        <f t="shared" si="14"/>
        <v>#REF!</v>
      </c>
      <c r="Q75" s="83" t="e">
        <f t="shared" si="14"/>
        <v>#REF!</v>
      </c>
      <c r="R75" s="83" t="e">
        <f t="shared" si="14"/>
        <v>#REF!</v>
      </c>
      <c r="S75" s="83" t="e">
        <f t="shared" si="14"/>
        <v>#REF!</v>
      </c>
      <c r="T75" s="83" t="e">
        <f t="shared" si="14"/>
        <v>#REF!</v>
      </c>
      <c r="U75" s="83" t="e">
        <f t="shared" si="14"/>
        <v>#REF!</v>
      </c>
      <c r="V75" s="83" t="e">
        <f t="shared" si="14"/>
        <v>#REF!</v>
      </c>
      <c r="W75" s="83" t="e">
        <f t="shared" si="14"/>
        <v>#REF!</v>
      </c>
      <c r="X75" s="83" t="e">
        <f t="shared" si="14"/>
        <v>#REF!</v>
      </c>
      <c r="Y75" s="83" t="e">
        <f t="shared" si="14"/>
        <v>#REF!</v>
      </c>
      <c r="Z75" s="83" t="e">
        <f t="shared" si="14"/>
        <v>#REF!</v>
      </c>
      <c r="AA75" s="83" t="e">
        <f t="shared" si="14"/>
        <v>#REF!</v>
      </c>
      <c r="AB75" s="83" t="e">
        <f t="shared" si="14"/>
        <v>#REF!</v>
      </c>
      <c r="AC75" s="83" t="e">
        <f t="shared" si="14"/>
        <v>#REF!</v>
      </c>
      <c r="AD75" s="83"/>
      <c r="AE75" s="83">
        <f t="shared" si="14"/>
        <v>0.99999999999999967</v>
      </c>
      <c r="AF75" s="83">
        <f t="shared" si="14"/>
        <v>1.4056153131265035</v>
      </c>
      <c r="AG75" s="83">
        <f t="shared" si="14"/>
        <v>6.6410044224347806E-2</v>
      </c>
      <c r="AH75" s="83">
        <f t="shared" si="14"/>
        <v>0.37312851111532147</v>
      </c>
      <c r="AI75" s="83">
        <f t="shared" si="14"/>
        <v>0.15029156861325946</v>
      </c>
      <c r="AJ75" s="83">
        <f t="shared" si="14"/>
        <v>0.13124473281382529</v>
      </c>
      <c r="AK75" s="83">
        <f t="shared" si="14"/>
        <v>4.0161680595302084E-2</v>
      </c>
      <c r="AL75" s="83">
        <f t="shared" si="14"/>
        <v>9.8906710099201309E-2</v>
      </c>
      <c r="AM75" s="83" t="e">
        <f t="shared" si="14"/>
        <v>#DIV/0!</v>
      </c>
      <c r="AN75" s="83" t="e">
        <f t="shared" si="14"/>
        <v>#DIV/0!</v>
      </c>
      <c r="AO75" s="83" t="e">
        <f t="shared" si="14"/>
        <v>#DIV/0!</v>
      </c>
      <c r="AP75" s="83" t="e">
        <f t="shared" si="14"/>
        <v>#DIV/0!</v>
      </c>
      <c r="AQ75" s="83" t="e">
        <f t="shared" si="14"/>
        <v>#DIV/0!</v>
      </c>
      <c r="AR75" s="83" t="e">
        <f t="shared" si="14"/>
        <v>#DIV/0!</v>
      </c>
      <c r="AS75" s="83" t="e">
        <f t="shared" si="14"/>
        <v>#DIV/0!</v>
      </c>
      <c r="AT75" s="83" t="e">
        <f t="shared" si="14"/>
        <v>#DIV/0!</v>
      </c>
      <c r="AU75" s="83" t="e">
        <f t="shared" si="14"/>
        <v>#DIV/0!</v>
      </c>
      <c r="AV75" s="83" t="e">
        <f t="shared" si="14"/>
        <v>#DIV/0!</v>
      </c>
      <c r="AW75" s="83" t="e">
        <f t="shared" si="14"/>
        <v>#DIV/0!</v>
      </c>
      <c r="AX75" s="83" t="e">
        <f t="shared" si="14"/>
        <v>#DIV/0!</v>
      </c>
      <c r="AY75" s="83" t="e">
        <f t="shared" si="14"/>
        <v>#DIV/0!</v>
      </c>
      <c r="AZ75" s="83" t="e">
        <f t="shared" si="14"/>
        <v>#DIV/0!</v>
      </c>
      <c r="BA75" s="83" t="e">
        <f t="shared" si="14"/>
        <v>#DIV/0!</v>
      </c>
    </row>
    <row r="76" spans="1:53" s="3" customFormat="1" x14ac:dyDescent="0.25">
      <c r="A76" s="49" t="s">
        <v>2</v>
      </c>
      <c r="B76" s="83">
        <f>B58</f>
        <v>8.315369749684217E-3</v>
      </c>
      <c r="C76" s="83">
        <f t="shared" ref="C76:BA76" si="15">C58</f>
        <v>4.5743002252204616E-2</v>
      </c>
      <c r="D76" s="83">
        <f t="shared" si="15"/>
        <v>1.4836157821106024E-2</v>
      </c>
      <c r="E76" s="83">
        <f t="shared" si="15"/>
        <v>0.13130839926760779</v>
      </c>
      <c r="F76" s="83">
        <f t="shared" si="15"/>
        <v>0.10422759875656055</v>
      </c>
      <c r="G76" s="83">
        <f t="shared" si="15"/>
        <v>0.10309430104124917</v>
      </c>
      <c r="H76" s="83">
        <f t="shared" si="15"/>
        <v>0.10095012417530927</v>
      </c>
      <c r="I76" s="83">
        <f t="shared" si="15"/>
        <v>7.747746916739834E-3</v>
      </c>
      <c r="J76" s="83">
        <f t="shared" si="15"/>
        <v>7.7078951748360304E-3</v>
      </c>
      <c r="K76" s="83">
        <f t="shared" si="15"/>
        <v>1.012859752805771E-2</v>
      </c>
      <c r="L76" s="83">
        <f t="shared" si="15"/>
        <v>1.4741598216727915E-2</v>
      </c>
      <c r="M76" s="83">
        <f t="shared" si="15"/>
        <v>8.702222768703206E-3</v>
      </c>
      <c r="N76" s="83" t="e">
        <f t="shared" si="15"/>
        <v>#REF!</v>
      </c>
      <c r="O76" s="83" t="e">
        <f t="shared" si="15"/>
        <v>#REF!</v>
      </c>
      <c r="P76" s="83" t="e">
        <f t="shared" si="15"/>
        <v>#REF!</v>
      </c>
      <c r="Q76" s="83" t="e">
        <f t="shared" si="15"/>
        <v>#REF!</v>
      </c>
      <c r="R76" s="83" t="e">
        <f t="shared" si="15"/>
        <v>#REF!</v>
      </c>
      <c r="S76" s="83" t="e">
        <f t="shared" si="15"/>
        <v>#REF!</v>
      </c>
      <c r="T76" s="83" t="e">
        <f t="shared" si="15"/>
        <v>#REF!</v>
      </c>
      <c r="U76" s="83" t="e">
        <f t="shared" si="15"/>
        <v>#REF!</v>
      </c>
      <c r="V76" s="83" t="e">
        <f t="shared" si="15"/>
        <v>#REF!</v>
      </c>
      <c r="W76" s="83" t="e">
        <f t="shared" si="15"/>
        <v>#REF!</v>
      </c>
      <c r="X76" s="83" t="e">
        <f t="shared" si="15"/>
        <v>#REF!</v>
      </c>
      <c r="Y76" s="83" t="e">
        <f t="shared" si="15"/>
        <v>#REF!</v>
      </c>
      <c r="Z76" s="83" t="e">
        <f t="shared" si="15"/>
        <v>#REF!</v>
      </c>
      <c r="AA76" s="83" t="e">
        <f t="shared" si="15"/>
        <v>#REF!</v>
      </c>
      <c r="AB76" s="83" t="e">
        <f t="shared" si="15"/>
        <v>#REF!</v>
      </c>
      <c r="AC76" s="83" t="e">
        <f t="shared" si="15"/>
        <v>#REF!</v>
      </c>
      <c r="AD76" s="83"/>
      <c r="AE76" s="83">
        <f t="shared" si="15"/>
        <v>5.7580198333176492E-2</v>
      </c>
      <c r="AF76" s="83">
        <f t="shared" si="15"/>
        <v>6.5865199828837567E-2</v>
      </c>
      <c r="AG76" s="83">
        <f t="shared" si="15"/>
        <v>2.5284849979194644E-2</v>
      </c>
      <c r="AH76" s="83">
        <f t="shared" si="15"/>
        <v>6.5679215789887016E-2</v>
      </c>
      <c r="AI76" s="83">
        <f t="shared" si="15"/>
        <v>4.6339947911897966E-2</v>
      </c>
      <c r="AJ76" s="83">
        <f t="shared" si="15"/>
        <v>3.5077053391852193E-2</v>
      </c>
      <c r="AK76" s="83">
        <f t="shared" si="15"/>
        <v>1.080568234805248E-2</v>
      </c>
      <c r="AL76" s="83">
        <f t="shared" si="15"/>
        <v>3.6043891297468163E-2</v>
      </c>
      <c r="AM76" s="83" t="e">
        <f t="shared" si="15"/>
        <v>#DIV/0!</v>
      </c>
      <c r="AN76" s="83" t="e">
        <f t="shared" si="15"/>
        <v>#DIV/0!</v>
      </c>
      <c r="AO76" s="83" t="e">
        <f t="shared" si="15"/>
        <v>#DIV/0!</v>
      </c>
      <c r="AP76" s="83" t="e">
        <f t="shared" si="15"/>
        <v>#DIV/0!</v>
      </c>
      <c r="AQ76" s="83" t="e">
        <f t="shared" si="15"/>
        <v>#DIV/0!</v>
      </c>
      <c r="AR76" s="83" t="e">
        <f t="shared" si="15"/>
        <v>#DIV/0!</v>
      </c>
      <c r="AS76" s="83" t="e">
        <f t="shared" si="15"/>
        <v>#DIV/0!</v>
      </c>
      <c r="AT76" s="83" t="e">
        <f t="shared" si="15"/>
        <v>#DIV/0!</v>
      </c>
      <c r="AU76" s="83" t="e">
        <f t="shared" si="15"/>
        <v>#DIV/0!</v>
      </c>
      <c r="AV76" s="83" t="e">
        <f t="shared" si="15"/>
        <v>#DIV/0!</v>
      </c>
      <c r="AW76" s="83" t="e">
        <f t="shared" si="15"/>
        <v>#DIV/0!</v>
      </c>
      <c r="AX76" s="83" t="e">
        <f t="shared" si="15"/>
        <v>#DIV/0!</v>
      </c>
      <c r="AY76" s="83" t="e">
        <f t="shared" si="15"/>
        <v>#DIV/0!</v>
      </c>
      <c r="AZ76" s="83" t="e">
        <f t="shared" si="15"/>
        <v>#DIV/0!</v>
      </c>
      <c r="BA76" s="83" t="e">
        <f t="shared" si="15"/>
        <v>#DIV/0!</v>
      </c>
    </row>
    <row r="77" spans="1:53" s="3" customFormat="1" x14ac:dyDescent="0.25">
      <c r="A77" s="49" t="s">
        <v>42</v>
      </c>
      <c r="B77" s="83">
        <f>(B75*100/$B$75)-100</f>
        <v>0</v>
      </c>
      <c r="C77" s="83">
        <f t="shared" ref="C77:AC77" si="16">(C75*100/$B$75)-100</f>
        <v>100.03479454166046</v>
      </c>
      <c r="D77" s="83">
        <f t="shared" si="16"/>
        <v>55.075959431773128</v>
      </c>
      <c r="E77" s="83">
        <f t="shared" si="16"/>
        <v>1271.726628436978</v>
      </c>
      <c r="F77" s="83">
        <f t="shared" si="16"/>
        <v>1914.7748547926831</v>
      </c>
      <c r="G77" s="83">
        <f t="shared" si="16"/>
        <v>3313.1484789242713</v>
      </c>
      <c r="H77" s="83">
        <f t="shared" si="16"/>
        <v>4509.1157198472683</v>
      </c>
      <c r="I77" s="83">
        <f t="shared" si="16"/>
        <v>-9.2551983462674769</v>
      </c>
      <c r="J77" s="83">
        <f t="shared" si="16"/>
        <v>-35.016972692104915</v>
      </c>
      <c r="K77" s="83">
        <f t="shared" si="16"/>
        <v>-10.671788796512033</v>
      </c>
      <c r="L77" s="83">
        <f t="shared" si="16"/>
        <v>12.980434872735984</v>
      </c>
      <c r="M77" s="83">
        <f t="shared" si="16"/>
        <v>2.4344186886720536</v>
      </c>
      <c r="N77" s="83" t="e">
        <f t="shared" si="16"/>
        <v>#REF!</v>
      </c>
      <c r="O77" s="83" t="e">
        <f t="shared" si="16"/>
        <v>#REF!</v>
      </c>
      <c r="P77" s="83" t="e">
        <f t="shared" si="16"/>
        <v>#REF!</v>
      </c>
      <c r="Q77" s="83" t="e">
        <f t="shared" si="16"/>
        <v>#REF!</v>
      </c>
      <c r="R77" s="83" t="e">
        <f t="shared" si="16"/>
        <v>#REF!</v>
      </c>
      <c r="S77" s="83" t="e">
        <f t="shared" si="16"/>
        <v>#REF!</v>
      </c>
      <c r="T77" s="83" t="e">
        <f t="shared" si="16"/>
        <v>#REF!</v>
      </c>
      <c r="U77" s="83" t="e">
        <f t="shared" si="16"/>
        <v>#REF!</v>
      </c>
      <c r="V77" s="83" t="e">
        <f t="shared" si="16"/>
        <v>#REF!</v>
      </c>
      <c r="W77" s="83" t="e">
        <f t="shared" si="16"/>
        <v>#REF!</v>
      </c>
      <c r="X77" s="83" t="e">
        <f t="shared" si="16"/>
        <v>#REF!</v>
      </c>
      <c r="Y77" s="83" t="e">
        <f t="shared" si="16"/>
        <v>#REF!</v>
      </c>
      <c r="Z77" s="83" t="e">
        <f t="shared" si="16"/>
        <v>#REF!</v>
      </c>
      <c r="AA77" s="83" t="e">
        <f t="shared" si="16"/>
        <v>#REF!</v>
      </c>
      <c r="AB77" s="83" t="e">
        <f t="shared" si="16"/>
        <v>#REF!</v>
      </c>
      <c r="AC77" s="83" t="e">
        <f t="shared" si="16"/>
        <v>#REF!</v>
      </c>
      <c r="AD77" s="83"/>
      <c r="AE77" s="83">
        <f>(AE75*100/$AE$75)-100</f>
        <v>0</v>
      </c>
      <c r="AF77" s="83">
        <f t="shared" ref="AF77:BA77" si="17">(AF75*100/$AE$75)-100</f>
        <v>40.561531312650402</v>
      </c>
      <c r="AG77" s="83">
        <f t="shared" si="17"/>
        <v>-93.358995577565224</v>
      </c>
      <c r="AH77" s="83">
        <f t="shared" si="17"/>
        <v>-62.687148888467839</v>
      </c>
      <c r="AI77" s="83">
        <f t="shared" si="17"/>
        <v>-84.970843138674041</v>
      </c>
      <c r="AJ77" s="83">
        <f t="shared" si="17"/>
        <v>-86.875526718617465</v>
      </c>
      <c r="AK77" s="83">
        <f t="shared" si="17"/>
        <v>-95.983831940469784</v>
      </c>
      <c r="AL77" s="83">
        <f t="shared" si="17"/>
        <v>-90.10932899007986</v>
      </c>
      <c r="AM77" s="83" t="e">
        <f t="shared" si="17"/>
        <v>#DIV/0!</v>
      </c>
      <c r="AN77" s="83" t="e">
        <f t="shared" si="17"/>
        <v>#DIV/0!</v>
      </c>
      <c r="AO77" s="83" t="e">
        <f t="shared" si="17"/>
        <v>#DIV/0!</v>
      </c>
      <c r="AP77" s="83" t="e">
        <f t="shared" si="17"/>
        <v>#DIV/0!</v>
      </c>
      <c r="AQ77" s="83" t="e">
        <f t="shared" si="17"/>
        <v>#DIV/0!</v>
      </c>
      <c r="AR77" s="83" t="e">
        <f t="shared" si="17"/>
        <v>#DIV/0!</v>
      </c>
      <c r="AS77" s="83" t="e">
        <f t="shared" si="17"/>
        <v>#DIV/0!</v>
      </c>
      <c r="AT77" s="83" t="e">
        <f t="shared" si="17"/>
        <v>#DIV/0!</v>
      </c>
      <c r="AU77" s="83" t="e">
        <f t="shared" si="17"/>
        <v>#DIV/0!</v>
      </c>
      <c r="AV77" s="83" t="e">
        <f t="shared" si="17"/>
        <v>#DIV/0!</v>
      </c>
      <c r="AW77" s="83" t="e">
        <f t="shared" si="17"/>
        <v>#DIV/0!</v>
      </c>
      <c r="AX77" s="83" t="e">
        <f t="shared" si="17"/>
        <v>#DIV/0!</v>
      </c>
      <c r="AY77" s="83" t="e">
        <f t="shared" si="17"/>
        <v>#DIV/0!</v>
      </c>
      <c r="AZ77" s="83" t="e">
        <f t="shared" si="17"/>
        <v>#DIV/0!</v>
      </c>
      <c r="BA77" s="83" t="e">
        <f t="shared" si="17"/>
        <v>#DIV/0!</v>
      </c>
    </row>
    <row r="78" spans="1:53" s="3" customFormat="1" x14ac:dyDescent="0.25">
      <c r="A78" s="49" t="s">
        <v>43</v>
      </c>
      <c r="B78" s="83" t="e">
        <f ca="1">[1]!DPTEST(B6:B53)</f>
        <v>#NAME?</v>
      </c>
      <c r="C78" s="83" t="e">
        <f ca="1">[1]!DPTEST(C6:C53)</f>
        <v>#NAME?</v>
      </c>
      <c r="D78" s="83" t="e">
        <f ca="1">[1]!DPTEST(D6:D53)</f>
        <v>#NAME?</v>
      </c>
      <c r="E78" s="83" t="e">
        <f ca="1">[1]!DPTEST(E6:E53)</f>
        <v>#NAME?</v>
      </c>
      <c r="F78" s="83" t="e">
        <f ca="1">[1]!DPTEST(F6:F53)</f>
        <v>#NAME?</v>
      </c>
      <c r="G78" s="83" t="e">
        <f ca="1">[1]!DPTEST(G6:G53)</f>
        <v>#NAME?</v>
      </c>
      <c r="H78" s="83" t="e">
        <f ca="1">[1]!DPTEST(H6:H53)</f>
        <v>#NAME?</v>
      </c>
      <c r="I78" s="83" t="e">
        <f ca="1">[1]!DPTEST(I6:I53)</f>
        <v>#NAME?</v>
      </c>
      <c r="J78" s="83" t="e">
        <f ca="1">[1]!DPTEST(J6:J53)</f>
        <v>#NAME?</v>
      </c>
      <c r="K78" s="83" t="e">
        <f ca="1">[1]!DPTEST(K6:K53)</f>
        <v>#NAME?</v>
      </c>
      <c r="L78" s="83" t="e">
        <f ca="1">[1]!DPTEST(L6:L53)</f>
        <v>#NAME?</v>
      </c>
      <c r="M78" s="83" t="e">
        <f ca="1">[1]!DPTEST(M6:M53)</f>
        <v>#NAME?</v>
      </c>
      <c r="N78" s="83" t="e">
        <f ca="1">[1]!DPTEST(N6:N53)</f>
        <v>#NAME?</v>
      </c>
      <c r="O78" s="83" t="e">
        <f ca="1">[1]!DPTEST(O6:O53)</f>
        <v>#NAME?</v>
      </c>
      <c r="P78" s="83" t="e">
        <f ca="1">[1]!DPTEST(P6:P53)</f>
        <v>#NAME?</v>
      </c>
      <c r="Q78" s="83" t="e">
        <f ca="1">[1]!DPTEST(Q6:Q53)</f>
        <v>#NAME?</v>
      </c>
      <c r="R78" s="83" t="e">
        <f ca="1">[1]!DPTEST(R6:R53)</f>
        <v>#NAME?</v>
      </c>
      <c r="S78" s="83" t="e">
        <f ca="1">[1]!DPTEST(S6:S53)</f>
        <v>#NAME?</v>
      </c>
      <c r="T78" s="83" t="e">
        <f ca="1">[1]!DPTEST(T6:T53)</f>
        <v>#NAME?</v>
      </c>
      <c r="U78" s="83" t="e">
        <f ca="1">[1]!DPTEST(U6:U53)</f>
        <v>#NAME?</v>
      </c>
      <c r="V78" s="83" t="e">
        <f ca="1">[1]!DPTEST(V6:V53)</f>
        <v>#NAME?</v>
      </c>
      <c r="W78" s="83" t="e">
        <f ca="1">[1]!DPTEST(W6:W53)</f>
        <v>#NAME?</v>
      </c>
      <c r="X78" s="83" t="e">
        <f ca="1">[1]!DPTEST(X6:X53)</f>
        <v>#NAME?</v>
      </c>
      <c r="Y78" s="83" t="e">
        <f ca="1">[1]!DPTEST(Y6:Y53)</f>
        <v>#NAME?</v>
      </c>
      <c r="Z78" s="83" t="e">
        <f ca="1">[1]!DPTEST(Z6:Z53)</f>
        <v>#NAME?</v>
      </c>
      <c r="AA78" s="83" t="e">
        <f ca="1">[1]!DPTEST(AA6:AA53)</f>
        <v>#NAME?</v>
      </c>
      <c r="AB78" s="83" t="e">
        <f ca="1">[1]!DPTEST(AB6:AB53)</f>
        <v>#NAME?</v>
      </c>
      <c r="AC78" s="83" t="e">
        <f ca="1">[1]!DPTEST(AC6:AC53)</f>
        <v>#NAME?</v>
      </c>
      <c r="AD78" s="83"/>
      <c r="AE78" s="83" t="e">
        <f ca="1">[1]!DPTEST(AE6:AE53)</f>
        <v>#NAME?</v>
      </c>
      <c r="AF78" s="83" t="e">
        <f ca="1">[1]!DPTEST(AF6:AF53)</f>
        <v>#NAME?</v>
      </c>
      <c r="AG78" s="83" t="e">
        <f ca="1">[1]!DPTEST(AG6:AG53)</f>
        <v>#NAME?</v>
      </c>
      <c r="AH78" s="83" t="e">
        <f ca="1">[1]!DPTEST(AH6:AH53)</f>
        <v>#NAME?</v>
      </c>
      <c r="AI78" s="83" t="e">
        <f ca="1">[1]!DPTEST(AI6:AI53)</f>
        <v>#NAME?</v>
      </c>
      <c r="AJ78" s="83" t="e">
        <f ca="1">[1]!DPTEST(AJ6:AJ53)</f>
        <v>#NAME?</v>
      </c>
      <c r="AK78" s="83" t="e">
        <f ca="1">[1]!DPTEST(AK6:AK53)</f>
        <v>#NAME?</v>
      </c>
      <c r="AL78" s="83" t="e">
        <f ca="1">[1]!DPTEST(AL6:AL53)</f>
        <v>#NAME?</v>
      </c>
      <c r="AM78" s="83" t="e">
        <f ca="1">[1]!DPTEST(AM6:AM53)</f>
        <v>#NAME?</v>
      </c>
      <c r="AN78" s="83" t="e">
        <f ca="1">[1]!DPTEST(AN6:AN53)</f>
        <v>#NAME?</v>
      </c>
      <c r="AO78" s="83" t="e">
        <f ca="1">[1]!DPTEST(AO6:AO53)</f>
        <v>#NAME?</v>
      </c>
      <c r="AP78" s="83" t="e">
        <f ca="1">[1]!DPTEST(AP6:AP53)</f>
        <v>#NAME?</v>
      </c>
      <c r="AQ78" s="83" t="e">
        <f ca="1">[1]!DPTEST(AQ6:AQ53)</f>
        <v>#NAME?</v>
      </c>
      <c r="AR78" s="83" t="e">
        <f ca="1">[1]!DPTEST(AR6:AR53)</f>
        <v>#NAME?</v>
      </c>
      <c r="AS78" s="83" t="e">
        <f ca="1">[1]!DPTEST(AS6:AS53)</f>
        <v>#NAME?</v>
      </c>
      <c r="AT78" s="83" t="e">
        <f ca="1">[1]!DPTEST(AT6:AT53)</f>
        <v>#NAME?</v>
      </c>
      <c r="AU78" s="83" t="e">
        <f ca="1">[1]!DPTEST(AU6:AU53)</f>
        <v>#NAME?</v>
      </c>
      <c r="AV78" s="83" t="e">
        <f ca="1">[1]!DPTEST(AV6:AV53)</f>
        <v>#NAME?</v>
      </c>
      <c r="AW78" s="83" t="e">
        <f ca="1">[1]!DPTEST(AW6:AW53)</f>
        <v>#NAME?</v>
      </c>
      <c r="AX78" s="83" t="e">
        <f ca="1">[1]!DPTEST(AX6:AX53)</f>
        <v>#NAME?</v>
      </c>
      <c r="AY78" s="83" t="e">
        <f ca="1">[1]!DPTEST(AY6:AY53)</f>
        <v>#NAME?</v>
      </c>
      <c r="AZ78" s="83" t="e">
        <f ca="1">[1]!DPTEST(AZ6:AZ53)</f>
        <v>#NAME?</v>
      </c>
      <c r="BA78" s="83" t="e">
        <f ca="1">[1]!DPTEST(BA6:BA53)</f>
        <v>#NAME?</v>
      </c>
    </row>
    <row r="79" spans="1:53" s="3" customFormat="1" x14ac:dyDescent="0.25">
      <c r="A79" s="49" t="s">
        <v>47</v>
      </c>
      <c r="B79" s="83" t="e">
        <f ca="1">IF(B78&gt;0.05,"Oui","Non")</f>
        <v>#NAME?</v>
      </c>
      <c r="C79" s="83" t="e">
        <f t="shared" ref="C79:BA79" ca="1" si="18">IF(C78&gt;0.05,"Oui","Non")</f>
        <v>#NAME?</v>
      </c>
      <c r="D79" s="83" t="e">
        <f t="shared" ca="1" si="18"/>
        <v>#NAME?</v>
      </c>
      <c r="E79" s="83" t="e">
        <f t="shared" ca="1" si="18"/>
        <v>#NAME?</v>
      </c>
      <c r="F79" s="83" t="e">
        <f t="shared" ca="1" si="18"/>
        <v>#NAME?</v>
      </c>
      <c r="G79" s="83" t="e">
        <f t="shared" ca="1" si="18"/>
        <v>#NAME?</v>
      </c>
      <c r="H79" s="83" t="e">
        <f t="shared" ca="1" si="18"/>
        <v>#NAME?</v>
      </c>
      <c r="I79" s="83" t="e">
        <f t="shared" ca="1" si="18"/>
        <v>#NAME?</v>
      </c>
      <c r="J79" s="83" t="e">
        <f t="shared" ca="1" si="18"/>
        <v>#NAME?</v>
      </c>
      <c r="K79" s="83" t="e">
        <f t="shared" ca="1" si="18"/>
        <v>#NAME?</v>
      </c>
      <c r="L79" s="83" t="e">
        <f t="shared" ca="1" si="18"/>
        <v>#NAME?</v>
      </c>
      <c r="M79" s="83" t="e">
        <f t="shared" ca="1" si="18"/>
        <v>#NAME?</v>
      </c>
      <c r="N79" s="83" t="e">
        <f t="shared" ca="1" si="18"/>
        <v>#NAME?</v>
      </c>
      <c r="O79" s="83" t="e">
        <f t="shared" ca="1" si="18"/>
        <v>#NAME?</v>
      </c>
      <c r="P79" s="83" t="e">
        <f t="shared" ca="1" si="18"/>
        <v>#NAME?</v>
      </c>
      <c r="Q79" s="83" t="e">
        <f t="shared" ca="1" si="18"/>
        <v>#NAME?</v>
      </c>
      <c r="R79" s="83" t="e">
        <f t="shared" ca="1" si="18"/>
        <v>#NAME?</v>
      </c>
      <c r="S79" s="83" t="e">
        <f t="shared" ca="1" si="18"/>
        <v>#NAME?</v>
      </c>
      <c r="T79" s="83" t="e">
        <f t="shared" ca="1" si="18"/>
        <v>#NAME?</v>
      </c>
      <c r="U79" s="83" t="e">
        <f t="shared" ca="1" si="18"/>
        <v>#NAME?</v>
      </c>
      <c r="V79" s="83" t="e">
        <f t="shared" ca="1" si="18"/>
        <v>#NAME?</v>
      </c>
      <c r="W79" s="83" t="e">
        <f t="shared" ca="1" si="18"/>
        <v>#NAME?</v>
      </c>
      <c r="X79" s="83" t="e">
        <f t="shared" ca="1" si="18"/>
        <v>#NAME?</v>
      </c>
      <c r="Y79" s="83" t="e">
        <f t="shared" ca="1" si="18"/>
        <v>#NAME?</v>
      </c>
      <c r="Z79" s="83" t="e">
        <f t="shared" ca="1" si="18"/>
        <v>#NAME?</v>
      </c>
      <c r="AA79" s="83" t="e">
        <f t="shared" ca="1" si="18"/>
        <v>#NAME?</v>
      </c>
      <c r="AB79" s="83" t="e">
        <f t="shared" ca="1" si="18"/>
        <v>#NAME?</v>
      </c>
      <c r="AC79" s="83" t="e">
        <f t="shared" ca="1" si="18"/>
        <v>#NAME?</v>
      </c>
      <c r="AD79" s="83"/>
      <c r="AE79" s="83" t="e">
        <f t="shared" ca="1" si="18"/>
        <v>#NAME?</v>
      </c>
      <c r="AF79" s="83" t="e">
        <f t="shared" ca="1" si="18"/>
        <v>#NAME?</v>
      </c>
      <c r="AG79" s="83" t="e">
        <f t="shared" ca="1" si="18"/>
        <v>#NAME?</v>
      </c>
      <c r="AH79" s="83" t="e">
        <f t="shared" ca="1" si="18"/>
        <v>#NAME?</v>
      </c>
      <c r="AI79" s="83" t="e">
        <f t="shared" ca="1" si="18"/>
        <v>#NAME?</v>
      </c>
      <c r="AJ79" s="83" t="e">
        <f t="shared" ca="1" si="18"/>
        <v>#NAME?</v>
      </c>
      <c r="AK79" s="83" t="e">
        <f t="shared" ca="1" si="18"/>
        <v>#NAME?</v>
      </c>
      <c r="AL79" s="83" t="e">
        <f t="shared" ca="1" si="18"/>
        <v>#NAME?</v>
      </c>
      <c r="AM79" s="83" t="e">
        <f t="shared" ca="1" si="18"/>
        <v>#NAME?</v>
      </c>
      <c r="AN79" s="83" t="e">
        <f t="shared" ca="1" si="18"/>
        <v>#NAME?</v>
      </c>
      <c r="AO79" s="83" t="e">
        <f t="shared" ca="1" si="18"/>
        <v>#NAME?</v>
      </c>
      <c r="AP79" s="83" t="e">
        <f t="shared" ca="1" si="18"/>
        <v>#NAME?</v>
      </c>
      <c r="AQ79" s="83" t="e">
        <f t="shared" ca="1" si="18"/>
        <v>#NAME?</v>
      </c>
      <c r="AR79" s="83" t="e">
        <f t="shared" ca="1" si="18"/>
        <v>#NAME?</v>
      </c>
      <c r="AS79" s="83" t="e">
        <f t="shared" ca="1" si="18"/>
        <v>#NAME?</v>
      </c>
      <c r="AT79" s="83" t="e">
        <f t="shared" ca="1" si="18"/>
        <v>#NAME?</v>
      </c>
      <c r="AU79" s="83" t="e">
        <f t="shared" ca="1" si="18"/>
        <v>#NAME?</v>
      </c>
      <c r="AV79" s="83" t="e">
        <f t="shared" ca="1" si="18"/>
        <v>#NAME?</v>
      </c>
      <c r="AW79" s="83" t="e">
        <f t="shared" ca="1" si="18"/>
        <v>#NAME?</v>
      </c>
      <c r="AX79" s="83" t="e">
        <f t="shared" ca="1" si="18"/>
        <v>#NAME?</v>
      </c>
      <c r="AY79" s="83" t="e">
        <f t="shared" ca="1" si="18"/>
        <v>#NAME?</v>
      </c>
      <c r="AZ79" s="83" t="e">
        <f t="shared" ca="1" si="18"/>
        <v>#NAME?</v>
      </c>
      <c r="BA79" s="83" t="e">
        <f t="shared" ca="1" si="18"/>
        <v>#NAME?</v>
      </c>
    </row>
    <row r="80" spans="1:53" s="3" customFormat="1" x14ac:dyDescent="0.25">
      <c r="A80" s="49" t="s">
        <v>49</v>
      </c>
      <c r="B80" s="83" t="str">
        <f ca="1">IF(COUNTIF(B79:I79, "Non")=0, "Oui","Non")</f>
        <v>Oui</v>
      </c>
      <c r="C80" s="83"/>
      <c r="D80" s="83"/>
      <c r="E80" s="83"/>
      <c r="F80" s="83"/>
      <c r="G80" s="83"/>
      <c r="H80" s="83"/>
      <c r="I80" s="83"/>
      <c r="J80" s="83" t="str">
        <f ca="1">IF(COUNTIF(J79:N79, "Non")&gt;0, "Oui","Non")</f>
        <v>Non</v>
      </c>
      <c r="K80" s="83"/>
      <c r="L80" s="83"/>
      <c r="M80" s="83"/>
      <c r="N80" s="83"/>
      <c r="O80" s="83" t="str">
        <f ca="1">IF(COUNTIF(O79:S79, "Non")&gt;0, "Oui","Non")</f>
        <v>Non</v>
      </c>
      <c r="P80" s="83"/>
      <c r="Q80" s="83"/>
      <c r="R80" s="83"/>
      <c r="S80" s="83"/>
      <c r="T80" s="83" t="str">
        <f ca="1">IF(COUNTIF(T79:X79, "Non")&gt;0, "Oui","Non")</f>
        <v>Non</v>
      </c>
      <c r="U80" s="83"/>
      <c r="V80" s="83"/>
      <c r="W80" s="83"/>
      <c r="X80" s="83"/>
      <c r="Y80" s="83" t="str">
        <f ca="1">IF(COUNTIF(Y79:AC79, "Non")&gt;0, "Oui","Non")</f>
        <v>Non</v>
      </c>
      <c r="Z80" s="83"/>
      <c r="AA80" s="83"/>
      <c r="AB80" s="83"/>
      <c r="AC80" s="83"/>
      <c r="AD80" s="83"/>
      <c r="AE80" s="83"/>
      <c r="AF80" s="83"/>
      <c r="AG80" s="83"/>
      <c r="AH80" s="83" t="str">
        <f ca="1">IF(COUNTIF(AH79:AL79, "Non")&gt;0, "Oui","Non")</f>
        <v>Non</v>
      </c>
      <c r="AI80" s="83"/>
      <c r="AJ80" s="83"/>
      <c r="AK80" s="83"/>
      <c r="AL80" s="83"/>
      <c r="AM80" s="83" t="str">
        <f ca="1">IF(COUNTIF(AM79:AQ79, "Non")&gt;0, "Oui","Non")</f>
        <v>Non</v>
      </c>
      <c r="AN80" s="83"/>
      <c r="AO80" s="83"/>
      <c r="AP80" s="83"/>
      <c r="AQ80" s="83"/>
      <c r="AR80" s="83" t="str">
        <f ca="1">IF(COUNTIF(AR79:AV79, "Non")&gt;0, "Oui","Non")</f>
        <v>Non</v>
      </c>
      <c r="AS80" s="83"/>
      <c r="AT80" s="83"/>
      <c r="AU80" s="83"/>
      <c r="AV80" s="83"/>
      <c r="AW80" s="83" t="str">
        <f ca="1">IF(COUNTIF(AW79:BA79, "Non")&gt;0, "Oui","Non")</f>
        <v>Non</v>
      </c>
      <c r="AX80" s="83"/>
      <c r="AY80" s="83"/>
      <c r="AZ80" s="83"/>
      <c r="BA80" s="83"/>
    </row>
    <row r="81" spans="1:53" s="3" customFormat="1" x14ac:dyDescent="0.25">
      <c r="A81" s="49" t="s">
        <v>44</v>
      </c>
      <c r="B81" s="83"/>
      <c r="C81" s="83" t="str">
        <f t="shared" ref="C81:I81" ca="1" si="19">IF($B80="Non","Kruskal-Wallis","ANOVA")</f>
        <v>ANOVA</v>
      </c>
      <c r="D81" s="83" t="str">
        <f t="shared" ca="1" si="19"/>
        <v>ANOVA</v>
      </c>
      <c r="E81" s="83" t="str">
        <f t="shared" ca="1" si="19"/>
        <v>ANOVA</v>
      </c>
      <c r="F81" s="83" t="str">
        <f t="shared" ca="1" si="19"/>
        <v>ANOVA</v>
      </c>
      <c r="G81" s="83" t="str">
        <f t="shared" ca="1" si="19"/>
        <v>ANOVA</v>
      </c>
      <c r="H81" s="83" t="str">
        <f t="shared" ca="1" si="19"/>
        <v>ANOVA</v>
      </c>
      <c r="I81" s="83" t="str">
        <f t="shared" ca="1" si="19"/>
        <v>ANOVA</v>
      </c>
      <c r="J81" s="83" t="e">
        <f t="shared" ref="J81:AC81" ca="1" si="20">IF($B79="Non",IF(J79="Non","Mann Withney",IF(J79="Oui","Mann Withney","")),IF($B79="Oui",IF(J79="Oui","T-Test Welch",IF(J79="Non","Mann Withney",""))))</f>
        <v>#NAME?</v>
      </c>
      <c r="K81" s="83" t="e">
        <f t="shared" ca="1" si="20"/>
        <v>#NAME?</v>
      </c>
      <c r="L81" s="83" t="e">
        <f t="shared" ca="1" si="20"/>
        <v>#NAME?</v>
      </c>
      <c r="M81" s="83" t="e">
        <f t="shared" ca="1" si="20"/>
        <v>#NAME?</v>
      </c>
      <c r="N81" s="83" t="e">
        <f t="shared" ca="1" si="20"/>
        <v>#NAME?</v>
      </c>
      <c r="O81" s="83" t="e">
        <f t="shared" ca="1" si="20"/>
        <v>#NAME?</v>
      </c>
      <c r="P81" s="83" t="e">
        <f t="shared" ca="1" si="20"/>
        <v>#NAME?</v>
      </c>
      <c r="Q81" s="83" t="e">
        <f t="shared" ca="1" si="20"/>
        <v>#NAME?</v>
      </c>
      <c r="R81" s="83" t="e">
        <f t="shared" ca="1" si="20"/>
        <v>#NAME?</v>
      </c>
      <c r="S81" s="83" t="e">
        <f t="shared" ca="1" si="20"/>
        <v>#NAME?</v>
      </c>
      <c r="T81" s="83" t="e">
        <f t="shared" ca="1" si="20"/>
        <v>#NAME?</v>
      </c>
      <c r="U81" s="83" t="e">
        <f t="shared" ca="1" si="20"/>
        <v>#NAME?</v>
      </c>
      <c r="V81" s="83" t="e">
        <f t="shared" ca="1" si="20"/>
        <v>#NAME?</v>
      </c>
      <c r="W81" s="83" t="e">
        <f t="shared" ca="1" si="20"/>
        <v>#NAME?</v>
      </c>
      <c r="X81" s="83" t="e">
        <f t="shared" ca="1" si="20"/>
        <v>#NAME?</v>
      </c>
      <c r="Y81" s="83" t="e">
        <f t="shared" ca="1" si="20"/>
        <v>#NAME?</v>
      </c>
      <c r="Z81" s="83" t="e">
        <f t="shared" ca="1" si="20"/>
        <v>#NAME?</v>
      </c>
      <c r="AA81" s="83" t="e">
        <f t="shared" ca="1" si="20"/>
        <v>#NAME?</v>
      </c>
      <c r="AB81" s="83" t="e">
        <f t="shared" ca="1" si="20"/>
        <v>#NAME?</v>
      </c>
      <c r="AC81" s="83" t="e">
        <f t="shared" ca="1" si="20"/>
        <v>#NAME?</v>
      </c>
      <c r="AD81" s="83"/>
      <c r="AE81" s="83" t="e">
        <f ca="1">IF($B79="Non",IF(AE79="Non","Mann Withney",IF(AE79="Oui","Mann Withney","")),IF($B79="Oui",IF(AE79="Oui","T-Test Welch",IF(AE79="Non","Mann Withney",""))))</f>
        <v>#NAME?</v>
      </c>
      <c r="AF81" s="83" t="e">
        <f t="shared" ref="AF81:BA81" ca="1" si="21">IF($AE79="Non",IF(AF79="Non","Mann Withney",IF(AF$79="Oui","Mann Withney","")),IF($AE79="Oui",IF(AF79="Oui","T-Test Welch",IF(AF79="Non","Mann Withney",""))))</f>
        <v>#NAME?</v>
      </c>
      <c r="AG81" s="83" t="e">
        <f t="shared" ca="1" si="21"/>
        <v>#NAME?</v>
      </c>
      <c r="AH81" s="83" t="e">
        <f t="shared" ca="1" si="21"/>
        <v>#NAME?</v>
      </c>
      <c r="AI81" s="83" t="e">
        <f t="shared" ca="1" si="21"/>
        <v>#NAME?</v>
      </c>
      <c r="AJ81" s="83" t="e">
        <f t="shared" ca="1" si="21"/>
        <v>#NAME?</v>
      </c>
      <c r="AK81" s="83" t="e">
        <f t="shared" ca="1" si="21"/>
        <v>#NAME?</v>
      </c>
      <c r="AL81" s="83" t="e">
        <f t="shared" ca="1" si="21"/>
        <v>#NAME?</v>
      </c>
      <c r="AM81" s="83" t="e">
        <f t="shared" ca="1" si="21"/>
        <v>#NAME?</v>
      </c>
      <c r="AN81" s="83" t="e">
        <f t="shared" ca="1" si="21"/>
        <v>#NAME?</v>
      </c>
      <c r="AO81" s="83" t="e">
        <f t="shared" ca="1" si="21"/>
        <v>#NAME?</v>
      </c>
      <c r="AP81" s="83" t="e">
        <f t="shared" ca="1" si="21"/>
        <v>#NAME?</v>
      </c>
      <c r="AQ81" s="83" t="e">
        <f t="shared" ca="1" si="21"/>
        <v>#NAME?</v>
      </c>
      <c r="AR81" s="83" t="e">
        <f t="shared" ca="1" si="21"/>
        <v>#NAME?</v>
      </c>
      <c r="AS81" s="83" t="e">
        <f t="shared" ca="1" si="21"/>
        <v>#NAME?</v>
      </c>
      <c r="AT81" s="83" t="e">
        <f t="shared" ca="1" si="21"/>
        <v>#NAME?</v>
      </c>
      <c r="AU81" s="83" t="e">
        <f t="shared" ca="1" si="21"/>
        <v>#NAME?</v>
      </c>
      <c r="AV81" s="83" t="e">
        <f t="shared" ca="1" si="21"/>
        <v>#NAME?</v>
      </c>
      <c r="AW81" s="83" t="e">
        <f t="shared" ca="1" si="21"/>
        <v>#NAME?</v>
      </c>
      <c r="AX81" s="83" t="e">
        <f t="shared" ca="1" si="21"/>
        <v>#NAME?</v>
      </c>
      <c r="AY81" s="83" t="e">
        <f t="shared" ca="1" si="21"/>
        <v>#NAME?</v>
      </c>
      <c r="AZ81" s="83" t="e">
        <f t="shared" ca="1" si="21"/>
        <v>#NAME?</v>
      </c>
      <c r="BA81" s="83" t="e">
        <f t="shared" ca="1" si="21"/>
        <v>#NAME?</v>
      </c>
    </row>
    <row r="82" spans="1:53" s="3" customFormat="1" x14ac:dyDescent="0.25">
      <c r="A82" s="49" t="s">
        <v>45</v>
      </c>
      <c r="B82" s="83"/>
      <c r="C82" s="123" t="s">
        <v>80</v>
      </c>
      <c r="D82" s="123" t="s">
        <v>80</v>
      </c>
      <c r="E82" s="123">
        <v>0.40400000000000003</v>
      </c>
      <c r="F82" s="123">
        <v>4.0000000000000001E-3</v>
      </c>
      <c r="G82" s="123" t="s">
        <v>81</v>
      </c>
      <c r="H82" s="123" t="s">
        <v>81</v>
      </c>
      <c r="I82" s="123" t="s">
        <v>80</v>
      </c>
      <c r="J82" s="123" t="s">
        <v>80</v>
      </c>
      <c r="K82" s="123" t="s">
        <v>80</v>
      </c>
      <c r="L82" s="123" t="s">
        <v>80</v>
      </c>
      <c r="M82" s="123" t="s">
        <v>80</v>
      </c>
      <c r="N82" s="83" t="e">
        <f ca="1">IF(N81="Mann Withney",[1]!MTEST($B6:$B53,N6:N53,2), IF(N81="T-Test Welch",_xlfn.T.TEST($B6:$B53,N6:N53,2,3),""))</f>
        <v>#NAME?</v>
      </c>
      <c r="O82" s="83" t="e">
        <f ca="1">IF(O81="Mann Withney",[1]!MTEST($B6:$B53,O6:O53,2), IF(O81="T-Test Welch",_xlfn.T.TEST($B6:$B53,O6:O53,2,3),""))</f>
        <v>#NAME?</v>
      </c>
      <c r="P82" s="83" t="e">
        <f ca="1">IF(P81="Mann Withney",[1]!MTEST($B6:$B53,P6:P53,2), IF(P81="T-Test Welch",_xlfn.T.TEST($B6:$B53,P6:P53,2,3),""))</f>
        <v>#NAME?</v>
      </c>
      <c r="Q82" s="83" t="e">
        <f ca="1">IF(Q81="Mann Withney",[1]!MTEST($B6:$B53,Q6:Q53,2), IF(Q81="T-Test Welch",_xlfn.T.TEST($B6:$B53,Q6:Q53,2,3),""))</f>
        <v>#NAME?</v>
      </c>
      <c r="R82" s="83" t="e">
        <f ca="1">IF(R81="Mann Withney",[1]!MTEST($B6:$B53,R6:R53,2), IF(R81="T-Test Welch",_xlfn.T.TEST($B6:$B53,R6:R53,2,3),""))</f>
        <v>#NAME?</v>
      </c>
      <c r="S82" s="83" t="e">
        <f ca="1">IF(S81="Mann Withney",[1]!MTEST($B6:$B53,S6:S53,2), IF(S81="T-Test Welch",_xlfn.T.TEST($B6:$B53,S6:S53,2,3),""))</f>
        <v>#NAME?</v>
      </c>
      <c r="T82" s="83" t="e">
        <f ca="1">IF(T81="Mann Withney",[1]!MTEST($B6:$B53,T6:T53,2), IF(T81="T-Test Welch",_xlfn.T.TEST($B6:$B53,T6:T53,2,3),""))</f>
        <v>#NAME?</v>
      </c>
      <c r="U82" s="83" t="e">
        <f ca="1">IF(U81="Mann Withney",[1]!MTEST($B6:$B53,U6:U53,2), IF(U81="T-Test Welch",_xlfn.T.TEST($B6:$B53,U6:U53,2,3),""))</f>
        <v>#NAME?</v>
      </c>
      <c r="V82" s="83" t="e">
        <f ca="1">IF(V81="Mann Withney",[1]!MTEST($B6:$B53,V6:V53,2), IF(V81="T-Test Welch",_xlfn.T.TEST($B6:$B53,V6:V53,2,3),""))</f>
        <v>#NAME?</v>
      </c>
      <c r="W82" s="83" t="e">
        <f ca="1">IF(W81="Mann Withney",[1]!MTEST($B6:$B53,W6:W53,2), IF(W81="T-Test Welch",_xlfn.T.TEST($B6:$B53,W6:W53,2,3),""))</f>
        <v>#NAME?</v>
      </c>
      <c r="X82" s="83" t="e">
        <f ca="1">IF(X81="Mann Withney",[1]!MTEST($B6:$B53,X6:X53,2), IF(X81="T-Test Welch",_xlfn.T.TEST($B6:$B53,X6:X53,2,3),""))</f>
        <v>#NAME?</v>
      </c>
      <c r="Y82" s="83" t="e">
        <f ca="1">IF(Y81="Mann Withney",[1]!MTEST($B6:$B53,Y6:Y53,2), IF(Y81="T-Test Welch",_xlfn.T.TEST($B6:$B53,Y6:Y53,2,3),""))</f>
        <v>#NAME?</v>
      </c>
      <c r="Z82" s="83" t="e">
        <f ca="1">IF(Z81="Mann Withney",[1]!MTEST($B6:$B53,Z6:Z53,2), IF(Z81="T-Test Welch",_xlfn.T.TEST($B6:$B53,Z6:Z53,2,3),""))</f>
        <v>#NAME?</v>
      </c>
      <c r="AA82" s="83" t="e">
        <f ca="1">IF(AA81="Mann Withney",[1]!MTEST($B6:$B53,AA6:AA53,2), IF(AA81="T-Test Welch",_xlfn.T.TEST($B6:$B53,AA6:AA53,2,3),""))</f>
        <v>#NAME?</v>
      </c>
      <c r="AB82" s="83" t="e">
        <f ca="1">IF(AB81="Mann Withney",[1]!MTEST($B6:$B53,AB6:AB53,2), IF(AB81="T-Test Welch",_xlfn.T.TEST($B6:$B53,AB6:AB53,2,3),""))</f>
        <v>#NAME?</v>
      </c>
      <c r="AC82" s="83" t="e">
        <f ca="1">IF(AC81="Mann Withney",[1]!MTEST($B6:$B53,AC6:AC53,2), IF(AC81="T-Test Welch",_xlfn.T.TEST($B6:$B53,AC6:AC53,2,3),""))</f>
        <v>#NAME?</v>
      </c>
      <c r="AD82" s="83"/>
      <c r="AE82" s="123" t="s">
        <v>81</v>
      </c>
      <c r="AF82" s="123" t="s">
        <v>81</v>
      </c>
      <c r="AG82" s="123" t="s">
        <v>81</v>
      </c>
      <c r="AH82" s="123">
        <v>1.6999999999999999E-3</v>
      </c>
      <c r="AI82" s="123" t="s">
        <v>81</v>
      </c>
      <c r="AJ82" s="123" t="s">
        <v>81</v>
      </c>
      <c r="AK82" s="123" t="s">
        <v>81</v>
      </c>
      <c r="AL82" s="123" t="s">
        <v>81</v>
      </c>
      <c r="AM82" s="83" t="e">
        <f ca="1">IF(AM81="Mann Withney",[1]!MTEST($AE6:$AE53,AM6:AM53,2), IF(AM81="T-Test Welch",_xlfn.T.TEST($AE6:$AE53,AM6:AM53,2,3),""))</f>
        <v>#NAME?</v>
      </c>
      <c r="AN82" s="83" t="e">
        <f ca="1">IF(AN81="Mann Withney",[1]!MTEST($AE6:$AE53,AN6:AN53,2), IF(AN81="T-Test Welch",_xlfn.T.TEST($AE6:$AE53,AN6:AN53,2,3),""))</f>
        <v>#NAME?</v>
      </c>
      <c r="AO82" s="83" t="e">
        <f ca="1">IF(AO81="Mann Withney",[1]!MTEST($AE6:$AE53,AO6:AO53,2), IF(AO81="T-Test Welch",_xlfn.T.TEST($AE6:$AE53,AO6:AO53,2,3),""))</f>
        <v>#NAME?</v>
      </c>
      <c r="AP82" s="83" t="e">
        <f ca="1">IF(AP81="Mann Withney",[1]!MTEST($AE6:$AE53,AP6:AP53,2), IF(AP81="T-Test Welch",_xlfn.T.TEST($AE6:$AE53,AP6:AP53,2,3),""))</f>
        <v>#NAME?</v>
      </c>
      <c r="AQ82" s="83" t="e">
        <f ca="1">IF(AQ81="Mann Withney",[1]!MTEST($AE6:$AE53,AQ6:AQ53,2), IF(AQ81="T-Test Welch",_xlfn.T.TEST($AE6:$AE53,AQ6:AQ53,2,3),""))</f>
        <v>#NAME?</v>
      </c>
      <c r="AR82" s="83" t="e">
        <f ca="1">IF(AR81="Mann Withney",[1]!MTEST($AE6:$AE53,AR6:AR53,2), IF(AR81="T-Test Welch",_xlfn.T.TEST($AE6:$AE53,AR6:AR53,2,3),""))</f>
        <v>#NAME?</v>
      </c>
      <c r="AS82" s="83" t="e">
        <f ca="1">IF(AS81="Mann Withney",[1]!MTEST($AE6:$AE53,AS6:AS53,2), IF(AS81="T-Test Welch",_xlfn.T.TEST($AE6:$AE53,AS6:AS53,2,3),""))</f>
        <v>#NAME?</v>
      </c>
      <c r="AT82" s="83" t="e">
        <f ca="1">IF(AT81="Mann Withney",[1]!MTEST($AE6:$AE53,AT6:AT53,2), IF(AT81="T-Test Welch",_xlfn.T.TEST($AE6:$AE53,AT6:AT53,2,3),""))</f>
        <v>#NAME?</v>
      </c>
      <c r="AU82" s="83" t="e">
        <f ca="1">IF(AU81="Mann Withney",[1]!MTEST($AE6:$AE53,AU6:AU53,2), IF(AU81="T-Test Welch",_xlfn.T.TEST($AE6:$AE53,AU6:AU53,2,3),""))</f>
        <v>#NAME?</v>
      </c>
      <c r="AV82" s="83" t="e">
        <f ca="1">IF(AV81="Mann Withney",[1]!MTEST($AE6:$AE53,AV6:AV53,2), IF(AV81="T-Test Welch",_xlfn.T.TEST($AE6:$AE53,AV6:AV53,2,3),""))</f>
        <v>#NAME?</v>
      </c>
      <c r="AW82" s="83" t="e">
        <f ca="1">IF(AW81="Mann Withney",[1]!MTEST($AE6:$AE53,AW6:AW53,2), IF(AW81="T-Test Welch",_xlfn.T.TEST($AE6:$AE53,AW6:AW53,2,3),""))</f>
        <v>#NAME?</v>
      </c>
      <c r="AX82" s="83" t="e">
        <f ca="1">IF(AX81="Mann Withney",[1]!MTEST($AE6:$AE53,AX6:AX53,2), IF(AX81="T-Test Welch",_xlfn.T.TEST($AE6:$AE53,AX6:AX53,2,3),""))</f>
        <v>#NAME?</v>
      </c>
      <c r="AY82" s="83" t="e">
        <f ca="1">IF(AY81="Mann Withney",[1]!MTEST($AE6:$AE53,AY6:AY53,2), IF(AY81="T-Test Welch",_xlfn.T.TEST($AE6:$AE53,AY6:AY53,2,3),""))</f>
        <v>#NAME?</v>
      </c>
      <c r="AZ82" s="83" t="e">
        <f ca="1">IF(AZ81="Mann Withney",[1]!MTEST($AE6:$AE53,AZ6:AZ53,2), IF(AZ81="T-Test Welch",_xlfn.T.TEST($AE6:$AE53,AZ6:AZ53,2,3),""))</f>
        <v>#NAME?</v>
      </c>
      <c r="BA82" s="83" t="e">
        <f ca="1">IF(BA81="Mann Withney",[1]!MTEST($AE6:$AE53,BA6:BA53,2), IF(BA81="T-Test Welch",_xlfn.T.TEST($AE6:$AE53,BA6:BA53,2,3),""))</f>
        <v>#NAME?</v>
      </c>
    </row>
    <row r="83" spans="1:53" s="3" customFormat="1" ht="15.75" thickBot="1" x14ac:dyDescent="0.3">
      <c r="A83" s="50" t="s">
        <v>46</v>
      </c>
      <c r="B83" s="84"/>
      <c r="C83" s="84" t="str">
        <f t="shared" ref="C83:AC83" si="22">IF(C82&gt;0.05,"NS",IF(C82&gt;0.01,"*",IF(C82&gt;0.001,"**","***")))</f>
        <v>NS</v>
      </c>
      <c r="D83" s="84" t="str">
        <f t="shared" si="22"/>
        <v>NS</v>
      </c>
      <c r="E83" s="84" t="str">
        <f t="shared" si="22"/>
        <v>NS</v>
      </c>
      <c r="F83" s="84" t="str">
        <f t="shared" si="22"/>
        <v>**</v>
      </c>
      <c r="G83" s="84" t="s">
        <v>82</v>
      </c>
      <c r="H83" s="84" t="s">
        <v>82</v>
      </c>
      <c r="I83" s="84" t="str">
        <f t="shared" si="22"/>
        <v>NS</v>
      </c>
      <c r="J83" s="84" t="str">
        <f t="shared" si="22"/>
        <v>NS</v>
      </c>
      <c r="K83" s="84" t="str">
        <f t="shared" si="22"/>
        <v>NS</v>
      </c>
      <c r="L83" s="84" t="str">
        <f t="shared" si="22"/>
        <v>NS</v>
      </c>
      <c r="M83" s="84" t="str">
        <f t="shared" si="22"/>
        <v>NS</v>
      </c>
      <c r="N83" s="84" t="e">
        <f t="shared" ca="1" si="22"/>
        <v>#NAME?</v>
      </c>
      <c r="O83" s="84" t="e">
        <f t="shared" ca="1" si="22"/>
        <v>#NAME?</v>
      </c>
      <c r="P83" s="84" t="e">
        <f t="shared" ca="1" si="22"/>
        <v>#NAME?</v>
      </c>
      <c r="Q83" s="84" t="e">
        <f t="shared" ca="1" si="22"/>
        <v>#NAME?</v>
      </c>
      <c r="R83" s="84" t="e">
        <f t="shared" ca="1" si="22"/>
        <v>#NAME?</v>
      </c>
      <c r="S83" s="84" t="e">
        <f t="shared" ca="1" si="22"/>
        <v>#NAME?</v>
      </c>
      <c r="T83" s="84" t="e">
        <f t="shared" ca="1" si="22"/>
        <v>#NAME?</v>
      </c>
      <c r="U83" s="84" t="e">
        <f t="shared" ca="1" si="22"/>
        <v>#NAME?</v>
      </c>
      <c r="V83" s="84" t="e">
        <f t="shared" ca="1" si="22"/>
        <v>#NAME?</v>
      </c>
      <c r="W83" s="84" t="e">
        <f t="shared" ca="1" si="22"/>
        <v>#NAME?</v>
      </c>
      <c r="X83" s="84" t="e">
        <f t="shared" ca="1" si="22"/>
        <v>#NAME?</v>
      </c>
      <c r="Y83" s="84" t="e">
        <f t="shared" ca="1" si="22"/>
        <v>#NAME?</v>
      </c>
      <c r="Z83" s="84" t="e">
        <f t="shared" ca="1" si="22"/>
        <v>#NAME?</v>
      </c>
      <c r="AA83" s="84" t="e">
        <f t="shared" ca="1" si="22"/>
        <v>#NAME?</v>
      </c>
      <c r="AB83" s="84" t="e">
        <f t="shared" ca="1" si="22"/>
        <v>#NAME?</v>
      </c>
      <c r="AC83" s="84" t="e">
        <f t="shared" ca="1" si="22"/>
        <v>#NAME?</v>
      </c>
      <c r="AD83" s="84"/>
      <c r="AE83" s="84" t="s">
        <v>82</v>
      </c>
      <c r="AF83" s="84" t="s">
        <v>82</v>
      </c>
      <c r="AG83" s="84" t="s">
        <v>82</v>
      </c>
      <c r="AH83" s="84" t="str">
        <f t="shared" ref="AH83:BA83" si="23">IF(AH82&gt;0.05,"NS",IF(AH82&gt;0.01,"*",IF(AH82&gt;0.001,"**","***")))</f>
        <v>**</v>
      </c>
      <c r="AI83" s="84" t="s">
        <v>82</v>
      </c>
      <c r="AJ83" s="84" t="s">
        <v>82</v>
      </c>
      <c r="AK83" s="84" t="s">
        <v>82</v>
      </c>
      <c r="AL83" s="84" t="s">
        <v>82</v>
      </c>
      <c r="AM83" s="84" t="e">
        <f t="shared" ca="1" si="23"/>
        <v>#NAME?</v>
      </c>
      <c r="AN83" s="84" t="e">
        <f t="shared" ca="1" si="23"/>
        <v>#NAME?</v>
      </c>
      <c r="AO83" s="84" t="e">
        <f t="shared" ca="1" si="23"/>
        <v>#NAME?</v>
      </c>
      <c r="AP83" s="84" t="e">
        <f t="shared" ca="1" si="23"/>
        <v>#NAME?</v>
      </c>
      <c r="AQ83" s="84" t="e">
        <f t="shared" ca="1" si="23"/>
        <v>#NAME?</v>
      </c>
      <c r="AR83" s="84" t="e">
        <f t="shared" ca="1" si="23"/>
        <v>#NAME?</v>
      </c>
      <c r="AS83" s="84" t="e">
        <f t="shared" ca="1" si="23"/>
        <v>#NAME?</v>
      </c>
      <c r="AT83" s="84" t="e">
        <f t="shared" ca="1" si="23"/>
        <v>#NAME?</v>
      </c>
      <c r="AU83" s="84" t="e">
        <f t="shared" ca="1" si="23"/>
        <v>#NAME?</v>
      </c>
      <c r="AV83" s="84" t="e">
        <f t="shared" ca="1" si="23"/>
        <v>#NAME?</v>
      </c>
      <c r="AW83" s="84" t="e">
        <f t="shared" ca="1" si="23"/>
        <v>#NAME?</v>
      </c>
      <c r="AX83" s="84" t="e">
        <f t="shared" ca="1" si="23"/>
        <v>#NAME?</v>
      </c>
      <c r="AY83" s="84" t="e">
        <f t="shared" ca="1" si="23"/>
        <v>#NAME?</v>
      </c>
      <c r="AZ83" s="84" t="e">
        <f t="shared" ca="1" si="23"/>
        <v>#NAME?</v>
      </c>
      <c r="BA83" s="84" t="e">
        <f t="shared" ca="1" si="23"/>
        <v>#NAME?</v>
      </c>
    </row>
    <row r="84" spans="1:53" s="1" customFormat="1" x14ac:dyDescent="0.25"/>
    <row r="85" spans="1:53" s="1" customFormat="1" x14ac:dyDescent="0.25">
      <c r="A85" s="2" t="s">
        <v>20</v>
      </c>
    </row>
    <row r="86" spans="1:53" x14ac:dyDescent="0.25">
      <c r="A86" s="1" t="s">
        <v>13</v>
      </c>
      <c r="B86" s="1">
        <f>B56+(3*B57)</f>
        <v>0.15962737642463576</v>
      </c>
    </row>
    <row r="87" spans="1:53" x14ac:dyDescent="0.25">
      <c r="A87" s="1" t="s">
        <v>14</v>
      </c>
      <c r="B87" s="1">
        <f>B56+(10*B57)</f>
        <v>0.44478515715484995</v>
      </c>
    </row>
    <row r="88" spans="1:53" ht="15.75" thickBot="1" x14ac:dyDescent="0.3"/>
    <row r="89" spans="1:53" s="33" customFormat="1" ht="27" thickBot="1" x14ac:dyDescent="0.3">
      <c r="A89" s="34" t="s">
        <v>34</v>
      </c>
      <c r="B89" s="35"/>
      <c r="C89" s="35"/>
      <c r="D89" s="35"/>
      <c r="E89" s="35"/>
      <c r="F89" s="35"/>
      <c r="G89" s="35"/>
      <c r="H89" s="35"/>
      <c r="I89" s="35"/>
      <c r="J89" s="35"/>
      <c r="K89" s="35"/>
      <c r="L89" s="35"/>
      <c r="M89" s="35"/>
      <c r="N89" s="35"/>
      <c r="O89" s="35"/>
      <c r="P89" s="35"/>
      <c r="Q89" s="35"/>
      <c r="R89" s="35"/>
      <c r="S89" s="35"/>
      <c r="T89" s="35"/>
      <c r="U89" s="35"/>
      <c r="V89" s="35"/>
      <c r="W89" s="35"/>
      <c r="X89" s="62"/>
      <c r="Y89" s="62"/>
      <c r="Z89" s="62"/>
      <c r="AA89" s="62"/>
      <c r="AB89" s="62"/>
      <c r="AC89" s="35"/>
      <c r="AD89" s="35"/>
      <c r="AE89" s="35"/>
      <c r="AF89" s="35"/>
      <c r="AG89" s="35"/>
      <c r="AH89" s="35"/>
      <c r="AI89" s="35"/>
      <c r="AJ89" s="35"/>
      <c r="AK89" s="35"/>
      <c r="AL89" s="35"/>
      <c r="AM89" s="35"/>
      <c r="AN89" s="35"/>
      <c r="AO89" s="35"/>
      <c r="AP89" s="35"/>
      <c r="AQ89" s="35"/>
      <c r="AR89" s="35"/>
      <c r="AS89" s="35"/>
      <c r="AT89" s="35"/>
      <c r="AU89" s="63"/>
      <c r="AV89" s="63"/>
      <c r="AW89" s="63"/>
      <c r="AX89" s="63"/>
      <c r="AY89" s="63"/>
      <c r="AZ89" s="63"/>
      <c r="BA89" s="36"/>
    </row>
    <row r="90" spans="1:53" ht="15.75" thickBot="1" x14ac:dyDescent="0.3"/>
    <row r="91" spans="1:53" s="33" customFormat="1" ht="27" thickBot="1" x14ac:dyDescent="0.3">
      <c r="A91" s="34" t="s">
        <v>35</v>
      </c>
      <c r="B91" s="35"/>
      <c r="C91" s="35"/>
      <c r="D91" s="35"/>
      <c r="E91" s="35"/>
      <c r="F91" s="35"/>
      <c r="G91" s="35"/>
      <c r="H91" s="35"/>
      <c r="I91" s="35"/>
      <c r="J91" s="35"/>
      <c r="K91" s="35"/>
      <c r="L91" s="35"/>
      <c r="M91" s="35"/>
      <c r="N91" s="35"/>
      <c r="O91" s="35"/>
      <c r="P91" s="35"/>
      <c r="Q91" s="35"/>
      <c r="R91" s="35"/>
      <c r="S91" s="35"/>
      <c r="T91" s="35"/>
      <c r="U91" s="35"/>
      <c r="V91" s="35"/>
      <c r="W91" s="35"/>
      <c r="X91" s="62"/>
      <c r="Y91" s="62"/>
      <c r="Z91" s="62"/>
      <c r="AA91" s="62"/>
      <c r="AB91" s="62"/>
      <c r="AC91" s="35"/>
      <c r="AD91" s="35"/>
      <c r="AE91" s="35"/>
      <c r="AF91" s="35"/>
      <c r="AG91" s="35"/>
      <c r="AH91" s="35"/>
      <c r="AI91" s="35"/>
      <c r="AJ91" s="35"/>
      <c r="AK91" s="35"/>
      <c r="AL91" s="35"/>
      <c r="AM91" s="35"/>
      <c r="AN91" s="35"/>
      <c r="AO91" s="35"/>
      <c r="AP91" s="35"/>
      <c r="AQ91" s="35"/>
      <c r="AR91" s="35"/>
      <c r="AS91" s="35"/>
      <c r="AT91" s="35"/>
      <c r="AU91" s="63"/>
      <c r="AV91" s="63"/>
      <c r="AW91" s="63"/>
      <c r="AX91" s="63"/>
      <c r="AY91" s="63"/>
      <c r="AZ91" s="63"/>
      <c r="BA91" s="36"/>
    </row>
    <row r="92" spans="1:53" ht="15.75" thickBot="1" x14ac:dyDescent="0.3"/>
    <row r="93" spans="1:53" s="33" customFormat="1" ht="27" thickBot="1" x14ac:dyDescent="0.3">
      <c r="A93" s="158" t="s">
        <v>36</v>
      </c>
      <c r="B93" s="159"/>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59"/>
      <c r="AA93" s="159"/>
      <c r="AB93" s="159"/>
      <c r="AC93" s="159"/>
      <c r="AD93" s="159"/>
      <c r="AE93" s="159"/>
      <c r="AF93" s="159"/>
      <c r="AG93" s="159"/>
      <c r="AH93" s="159"/>
      <c r="AI93" s="159"/>
      <c r="AJ93" s="159"/>
      <c r="AK93" s="159"/>
      <c r="AL93" s="159"/>
      <c r="AM93" s="159"/>
      <c r="AN93" s="159"/>
      <c r="AO93" s="159"/>
      <c r="AP93" s="159"/>
      <c r="AQ93" s="159"/>
      <c r="AR93" s="159"/>
      <c r="AS93" s="159"/>
      <c r="AT93" s="159"/>
      <c r="AU93" s="159"/>
      <c r="AV93" s="159"/>
      <c r="AW93" s="159"/>
      <c r="AX93" s="159"/>
      <c r="AY93" s="159"/>
      <c r="AZ93" s="159"/>
      <c r="BA93" s="160"/>
    </row>
  </sheetData>
  <mergeCells count="10">
    <mergeCell ref="A7:A21"/>
    <mergeCell ref="A23:A37"/>
    <mergeCell ref="A93:BA93"/>
    <mergeCell ref="AE3:BA3"/>
    <mergeCell ref="B3:AC3"/>
    <mergeCell ref="A60:BA60"/>
    <mergeCell ref="A72:BA72"/>
    <mergeCell ref="A70:BA70"/>
    <mergeCell ref="A65:BA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8B0C17-00EB-422F-8D65-3C035AB24D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F0F134-8D5F-4B81-BDDF-0CDA0E746B2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5</vt:i4>
      </vt:variant>
      <vt:variant>
        <vt:lpstr>Charts</vt:lpstr>
      </vt:variant>
      <vt:variant>
        <vt:i4>4</vt:i4>
      </vt:variant>
      <vt:variant>
        <vt:lpstr>Named Ranges</vt:lpstr>
      </vt:variant>
      <vt:variant>
        <vt:i4>1</vt:i4>
      </vt:variant>
    </vt:vector>
  </HeadingPairs>
  <TitlesOfParts>
    <vt:vector size="10" baseType="lpstr">
      <vt:lpstr>Front page</vt:lpstr>
      <vt:lpstr>R1</vt:lpstr>
      <vt:lpstr>R2</vt:lpstr>
      <vt:lpstr>R3</vt:lpstr>
      <vt:lpstr>pooled normalised values</vt:lpstr>
      <vt:lpstr>Graph R1</vt:lpstr>
      <vt:lpstr>Graph R2</vt:lpstr>
      <vt:lpstr>Graph R3</vt:lpstr>
      <vt:lpstr>pooled normalised graphe</vt:lpstr>
      <vt:lpstr>'Front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2023-02-02T13:06:43Z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2023-02-02T13:06:43Z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175d9954-1081-494a-9869-224426511061</vt:lpwstr>
  </property>
  <property fmtid="{D5CDD505-2E9C-101B-9397-08002B2CF9AE}" pid="8" name="MSIP_Label_06530cf4-8573-4c29-a912-bbcdac835909_ContentBits">
    <vt:lpwstr>2</vt:lpwstr>
  </property>
</Properties>
</file>