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6.xml" ContentType="application/vnd.openxmlformats-officedocument.drawingml.chartshapes+xml"/>
  <Override PartName="/xl/drawings/drawing2.xml" ContentType="application/vnd.openxmlformats-officedocument.drawingml.chartshapes+xml"/>
  <Override PartName="/xl/drawings/drawing4.xml" ContentType="application/vnd.openxmlformats-officedocument.drawingml.chartshap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chartsheets/sheet2.xml" ContentType="application/vnd.openxmlformats-officedocument.spreadsheetml.chartsheet+xml"/>
  <Override PartName="/xl/worksheets/sheet4.xml" ContentType="application/vnd.openxmlformats-officedocument.spreadsheetml.worksheet+xml"/>
  <Override PartName="/xl/chartsheets/sheet3.xml" ContentType="application/vnd.openxmlformats-officedocument.spreadsheetml.chartsheet+xml"/>
  <Override PartName="/xl/worksheets/sheet5.xml" ContentType="application/vnd.openxmlformats-officedocument.spreadsheetml.work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 hidePivotFieldList="1" defaultThemeVersion="124226"/>
  <xr:revisionPtr revIDLastSave="0" documentId="13_ncr:1_{71A4DD40-A04A-4D6F-93EB-285647AE43C6}" xr6:coauthVersionLast="47" xr6:coauthVersionMax="47" xr10:uidLastSave="{00000000-0000-0000-0000-000000000000}"/>
  <bookViews>
    <workbookView xWindow="-1470" yWindow="1170" windowWidth="19680" windowHeight="12360" activeTab="5" xr2:uid="{00000000-000D-0000-FFFF-FFFF00000000}"/>
  </bookViews>
  <sheets>
    <sheet name="Front page" sheetId="10" r:id="rId1"/>
    <sheet name="R1" sheetId="1" r:id="rId2"/>
    <sheet name="Graph R1" sheetId="8" r:id="rId3"/>
    <sheet name="R2" sheetId="23" r:id="rId4"/>
    <sheet name="Graph R2" sheetId="19" r:id="rId5"/>
    <sheet name="R3" sheetId="33" r:id="rId6"/>
    <sheet name="Graph R3" sheetId="34" r:id="rId7"/>
    <sheet name="pooled normalised values" sheetId="4" r:id="rId8"/>
    <sheet name="pooled normalised graphe" sheetId="5" r:id="rId9"/>
  </sheets>
  <externalReferences>
    <externalReference r:id="rId10"/>
  </externalReferences>
  <definedNames>
    <definedName name="_xlnm.Print_Area" localSheetId="0">'Front page'!$A$1:$I$51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0" l="1"/>
  <c r="P36" i="1"/>
  <c r="Q36" i="1"/>
  <c r="R36" i="1"/>
  <c r="S36" i="1"/>
  <c r="T36" i="1"/>
  <c r="U36" i="1"/>
  <c r="V36" i="1"/>
  <c r="C34" i="1"/>
  <c r="C35" i="1"/>
  <c r="B36" i="1"/>
  <c r="C36" i="1"/>
  <c r="D36" i="1"/>
  <c r="E36" i="1"/>
  <c r="F36" i="1"/>
  <c r="G36" i="1"/>
  <c r="H36" i="1"/>
  <c r="I36" i="1"/>
  <c r="J36" i="1"/>
  <c r="K36" i="1"/>
  <c r="L36" i="1"/>
  <c r="M36" i="1"/>
  <c r="A52" i="23"/>
  <c r="A45" i="33"/>
  <c r="A27" i="33"/>
  <c r="A52" i="33" s="1"/>
  <c r="A22" i="33"/>
  <c r="A45" i="23"/>
  <c r="A27" i="23"/>
  <c r="A22" i="23"/>
  <c r="A27" i="1"/>
  <c r="A45" i="1"/>
  <c r="B39" i="10"/>
  <c r="C39" i="10"/>
  <c r="D39" i="10"/>
  <c r="E39" i="10"/>
  <c r="B40" i="10"/>
  <c r="C40" i="10"/>
  <c r="D40" i="10"/>
  <c r="E40" i="10"/>
  <c r="B41" i="10"/>
  <c r="C41" i="10"/>
  <c r="D41" i="10"/>
  <c r="E41" i="10"/>
  <c r="B42" i="10"/>
  <c r="C42" i="10"/>
  <c r="D42" i="10"/>
  <c r="E42" i="10"/>
  <c r="B43" i="10"/>
  <c r="C43" i="10"/>
  <c r="D43" i="10"/>
  <c r="E43" i="10"/>
  <c r="B44" i="10"/>
  <c r="C44" i="10"/>
  <c r="D44" i="10"/>
  <c r="E44" i="10"/>
  <c r="B45" i="10"/>
  <c r="C45" i="10"/>
  <c r="D45" i="10"/>
  <c r="E45" i="10"/>
  <c r="B46" i="10"/>
  <c r="C46" i="10"/>
  <c r="D46" i="10"/>
  <c r="E46" i="10"/>
  <c r="B47" i="10"/>
  <c r="C47" i="10"/>
  <c r="D47" i="10"/>
  <c r="E47" i="10"/>
  <c r="B48" i="10"/>
  <c r="C48" i="10"/>
  <c r="D48" i="10"/>
  <c r="E48" i="10"/>
  <c r="B49" i="10"/>
  <c r="C49" i="10"/>
  <c r="D49" i="10"/>
  <c r="E49" i="10"/>
  <c r="B50" i="10"/>
  <c r="C50" i="10"/>
  <c r="D50" i="10"/>
  <c r="E50" i="10"/>
  <c r="B51" i="10"/>
  <c r="C51" i="10"/>
  <c r="D51" i="10"/>
  <c r="E51" i="10"/>
  <c r="B52" i="10"/>
  <c r="C52" i="10"/>
  <c r="D52" i="10"/>
  <c r="E52" i="10"/>
  <c r="B53" i="10"/>
  <c r="C53" i="10"/>
  <c r="D53" i="10"/>
  <c r="E53" i="10"/>
  <c r="B54" i="10"/>
  <c r="C54" i="10"/>
  <c r="D54" i="10"/>
  <c r="E54" i="10"/>
  <c r="B55" i="10"/>
  <c r="C55" i="10"/>
  <c r="D55" i="10"/>
  <c r="E55" i="10"/>
  <c r="B56" i="10"/>
  <c r="C56" i="10"/>
  <c r="D56" i="10"/>
  <c r="E56" i="10"/>
  <c r="B57" i="10"/>
  <c r="C57" i="10"/>
  <c r="D57" i="10"/>
  <c r="E57" i="10"/>
  <c r="C38" i="10"/>
  <c r="D38" i="10"/>
  <c r="E38" i="10"/>
  <c r="B38" i="10"/>
  <c r="E56" i="23"/>
  <c r="F56" i="1"/>
  <c r="K56" i="23"/>
  <c r="E56" i="1"/>
  <c r="I56" i="1"/>
  <c r="C56" i="1"/>
  <c r="Q56" i="1"/>
  <c r="L56" i="1"/>
  <c r="T56" i="1"/>
  <c r="G56" i="1"/>
  <c r="R56" i="23"/>
  <c r="P56" i="1"/>
  <c r="S56" i="1"/>
  <c r="H56" i="23"/>
  <c r="D56" i="1"/>
  <c r="Q56" i="23"/>
  <c r="G56" i="23"/>
  <c r="M56" i="1"/>
  <c r="S56" i="23"/>
  <c r="C56" i="23"/>
  <c r="J56" i="23"/>
  <c r="P56" i="23"/>
  <c r="U56" i="23"/>
  <c r="R56" i="1"/>
  <c r="K56" i="1"/>
  <c r="U56" i="1"/>
  <c r="D56" i="23"/>
  <c r="M56" i="23"/>
  <c r="B56" i="23"/>
  <c r="H56" i="1"/>
  <c r="F56" i="23"/>
  <c r="I56" i="23"/>
  <c r="B56" i="1"/>
  <c r="V56" i="1"/>
  <c r="L56" i="23"/>
  <c r="T56" i="23"/>
  <c r="V56" i="23"/>
  <c r="J56" i="1"/>
  <c r="O56" i="1"/>
  <c r="O56" i="23"/>
  <c r="A8" i="10" l="1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B4" i="33" l="1"/>
  <c r="B4" i="23" l="1"/>
  <c r="B4" i="1"/>
  <c r="H4" i="33" l="1"/>
  <c r="H4" i="23"/>
  <c r="H4" i="1"/>
  <c r="G4" i="33"/>
  <c r="G4" i="23"/>
  <c r="G4" i="1"/>
  <c r="C4" i="33"/>
  <c r="C4" i="23"/>
  <c r="C4" i="1"/>
  <c r="D4" i="33"/>
  <c r="D4" i="23"/>
  <c r="D4" i="1"/>
  <c r="F4" i="33" l="1"/>
  <c r="F4" i="23"/>
  <c r="F4" i="1"/>
  <c r="E4" i="33"/>
  <c r="E4" i="23"/>
  <c r="E4" i="1"/>
  <c r="I4" i="33"/>
  <c r="I4" i="23"/>
  <c r="I4" i="1"/>
  <c r="V43" i="33" l="1"/>
  <c r="V53" i="4" s="1"/>
  <c r="U43" i="33"/>
  <c r="U53" i="4" s="1"/>
  <c r="T43" i="33"/>
  <c r="T53" i="4" s="1"/>
  <c r="S43" i="33"/>
  <c r="S53" i="4" s="1"/>
  <c r="R43" i="33"/>
  <c r="R53" i="4" s="1"/>
  <c r="Q43" i="33"/>
  <c r="Q53" i="4" s="1"/>
  <c r="P43" i="33"/>
  <c r="P53" i="4" s="1"/>
  <c r="M43" i="33"/>
  <c r="M53" i="4" s="1"/>
  <c r="L43" i="33"/>
  <c r="L53" i="4" s="1"/>
  <c r="K43" i="33"/>
  <c r="K53" i="4" s="1"/>
  <c r="J43" i="33"/>
  <c r="J53" i="4" s="1"/>
  <c r="I43" i="33"/>
  <c r="I53" i="4" s="1"/>
  <c r="H43" i="33"/>
  <c r="H53" i="4" s="1"/>
  <c r="G43" i="33"/>
  <c r="G53" i="4" s="1"/>
  <c r="F43" i="33"/>
  <c r="F53" i="4" s="1"/>
  <c r="E43" i="33"/>
  <c r="E53" i="4" s="1"/>
  <c r="D43" i="33"/>
  <c r="D53" i="4" s="1"/>
  <c r="C43" i="33"/>
  <c r="C53" i="4" s="1"/>
  <c r="B43" i="33"/>
  <c r="B53" i="4" s="1"/>
  <c r="V42" i="33"/>
  <c r="V52" i="4" s="1"/>
  <c r="U42" i="33"/>
  <c r="U52" i="4" s="1"/>
  <c r="T42" i="33"/>
  <c r="T52" i="4" s="1"/>
  <c r="S42" i="33"/>
  <c r="S52" i="4" s="1"/>
  <c r="R42" i="33"/>
  <c r="R52" i="4" s="1"/>
  <c r="Q42" i="33"/>
  <c r="Q52" i="4" s="1"/>
  <c r="P42" i="33"/>
  <c r="P52" i="4" s="1"/>
  <c r="M42" i="33"/>
  <c r="M52" i="4" s="1"/>
  <c r="L42" i="33"/>
  <c r="L52" i="4" s="1"/>
  <c r="K42" i="33"/>
  <c r="K52" i="4" s="1"/>
  <c r="J42" i="33"/>
  <c r="J52" i="4" s="1"/>
  <c r="I42" i="33"/>
  <c r="I52" i="4" s="1"/>
  <c r="H42" i="33"/>
  <c r="H52" i="4" s="1"/>
  <c r="G42" i="33"/>
  <c r="G52" i="4" s="1"/>
  <c r="F42" i="33"/>
  <c r="F52" i="4" s="1"/>
  <c r="E42" i="33"/>
  <c r="E52" i="4" s="1"/>
  <c r="D42" i="33"/>
  <c r="D52" i="4" s="1"/>
  <c r="C42" i="33"/>
  <c r="C52" i="4" s="1"/>
  <c r="B42" i="33"/>
  <c r="B52" i="4" s="1"/>
  <c r="V41" i="33"/>
  <c r="V51" i="4" s="1"/>
  <c r="U41" i="33"/>
  <c r="U51" i="4" s="1"/>
  <c r="T41" i="33"/>
  <c r="T51" i="4" s="1"/>
  <c r="S41" i="33"/>
  <c r="S51" i="4" s="1"/>
  <c r="R41" i="33"/>
  <c r="R51" i="4" s="1"/>
  <c r="Q41" i="33"/>
  <c r="Q51" i="4" s="1"/>
  <c r="P41" i="33"/>
  <c r="P51" i="4" s="1"/>
  <c r="M41" i="33"/>
  <c r="M51" i="4" s="1"/>
  <c r="L41" i="33"/>
  <c r="L51" i="4" s="1"/>
  <c r="K41" i="33"/>
  <c r="K51" i="4" s="1"/>
  <c r="J41" i="33"/>
  <c r="J51" i="4" s="1"/>
  <c r="I41" i="33"/>
  <c r="I51" i="4" s="1"/>
  <c r="H41" i="33"/>
  <c r="H51" i="4" s="1"/>
  <c r="G41" i="33"/>
  <c r="G51" i="4" s="1"/>
  <c r="F41" i="33"/>
  <c r="F51" i="4" s="1"/>
  <c r="E41" i="33"/>
  <c r="E51" i="4" s="1"/>
  <c r="D41" i="33"/>
  <c r="D51" i="4" s="1"/>
  <c r="C41" i="33"/>
  <c r="C51" i="4" s="1"/>
  <c r="B41" i="33"/>
  <c r="B51" i="4" s="1"/>
  <c r="V40" i="33"/>
  <c r="V50" i="4" s="1"/>
  <c r="U40" i="33"/>
  <c r="U50" i="4" s="1"/>
  <c r="T40" i="33"/>
  <c r="T50" i="4" s="1"/>
  <c r="S40" i="33"/>
  <c r="S50" i="4" s="1"/>
  <c r="R40" i="33"/>
  <c r="R50" i="4" s="1"/>
  <c r="Q40" i="33"/>
  <c r="Q50" i="4" s="1"/>
  <c r="P40" i="33"/>
  <c r="P50" i="4" s="1"/>
  <c r="M40" i="33"/>
  <c r="M50" i="4" s="1"/>
  <c r="L40" i="33"/>
  <c r="L50" i="4" s="1"/>
  <c r="K40" i="33"/>
  <c r="K50" i="4" s="1"/>
  <c r="J40" i="33"/>
  <c r="J50" i="4" s="1"/>
  <c r="I40" i="33"/>
  <c r="I50" i="4" s="1"/>
  <c r="H40" i="33"/>
  <c r="H50" i="4" s="1"/>
  <c r="G40" i="33"/>
  <c r="G50" i="4" s="1"/>
  <c r="F40" i="33"/>
  <c r="F50" i="4" s="1"/>
  <c r="E40" i="33"/>
  <c r="E50" i="4" s="1"/>
  <c r="D40" i="33"/>
  <c r="D50" i="4" s="1"/>
  <c r="C40" i="33"/>
  <c r="C50" i="4" s="1"/>
  <c r="B40" i="33"/>
  <c r="B50" i="4" s="1"/>
  <c r="V39" i="33"/>
  <c r="V49" i="4" s="1"/>
  <c r="U39" i="33"/>
  <c r="U49" i="4" s="1"/>
  <c r="T39" i="33"/>
  <c r="T49" i="4" s="1"/>
  <c r="S39" i="33"/>
  <c r="S49" i="4" s="1"/>
  <c r="R39" i="33"/>
  <c r="R49" i="4" s="1"/>
  <c r="Q39" i="33"/>
  <c r="Q49" i="4" s="1"/>
  <c r="P39" i="33"/>
  <c r="P49" i="4" s="1"/>
  <c r="M39" i="33"/>
  <c r="M49" i="4" s="1"/>
  <c r="L39" i="33"/>
  <c r="L49" i="4" s="1"/>
  <c r="K39" i="33"/>
  <c r="K49" i="4" s="1"/>
  <c r="J39" i="33"/>
  <c r="J49" i="4" s="1"/>
  <c r="I39" i="33"/>
  <c r="I49" i="4" s="1"/>
  <c r="H39" i="33"/>
  <c r="H49" i="4" s="1"/>
  <c r="G39" i="33"/>
  <c r="G49" i="4" s="1"/>
  <c r="F39" i="33"/>
  <c r="F49" i="4" s="1"/>
  <c r="E39" i="33"/>
  <c r="E49" i="4" s="1"/>
  <c r="D39" i="33"/>
  <c r="D49" i="4" s="1"/>
  <c r="C39" i="33"/>
  <c r="C49" i="4" s="1"/>
  <c r="B39" i="33"/>
  <c r="B49" i="4" s="1"/>
  <c r="V38" i="33"/>
  <c r="V48" i="4" s="1"/>
  <c r="U38" i="33"/>
  <c r="U48" i="4" s="1"/>
  <c r="T38" i="33"/>
  <c r="T48" i="4" s="1"/>
  <c r="S38" i="33"/>
  <c r="S48" i="4" s="1"/>
  <c r="R38" i="33"/>
  <c r="R48" i="4" s="1"/>
  <c r="Q38" i="33"/>
  <c r="Q48" i="4" s="1"/>
  <c r="P38" i="33"/>
  <c r="P48" i="4" s="1"/>
  <c r="M38" i="33"/>
  <c r="M48" i="4" s="1"/>
  <c r="L38" i="33"/>
  <c r="L48" i="4" s="1"/>
  <c r="K38" i="33"/>
  <c r="K48" i="4" s="1"/>
  <c r="J38" i="33"/>
  <c r="J48" i="4" s="1"/>
  <c r="I38" i="33"/>
  <c r="I48" i="4" s="1"/>
  <c r="H38" i="33"/>
  <c r="H48" i="4" s="1"/>
  <c r="G38" i="33"/>
  <c r="G48" i="4" s="1"/>
  <c r="F38" i="33"/>
  <c r="F48" i="4" s="1"/>
  <c r="E38" i="33"/>
  <c r="E48" i="4" s="1"/>
  <c r="D38" i="33"/>
  <c r="D48" i="4" s="1"/>
  <c r="C38" i="33"/>
  <c r="C48" i="4" s="1"/>
  <c r="B38" i="33"/>
  <c r="B48" i="4" s="1"/>
  <c r="V37" i="33"/>
  <c r="V47" i="4" s="1"/>
  <c r="U37" i="33"/>
  <c r="U47" i="4" s="1"/>
  <c r="T37" i="33"/>
  <c r="T47" i="4" s="1"/>
  <c r="S37" i="33"/>
  <c r="S47" i="4" s="1"/>
  <c r="R37" i="33"/>
  <c r="R47" i="4" s="1"/>
  <c r="Q37" i="33"/>
  <c r="Q47" i="4" s="1"/>
  <c r="P37" i="33"/>
  <c r="P47" i="4" s="1"/>
  <c r="M37" i="33"/>
  <c r="M47" i="4" s="1"/>
  <c r="L37" i="33"/>
  <c r="L47" i="4" s="1"/>
  <c r="K37" i="33"/>
  <c r="K47" i="4" s="1"/>
  <c r="J37" i="33"/>
  <c r="J47" i="4" s="1"/>
  <c r="I37" i="33"/>
  <c r="I47" i="4" s="1"/>
  <c r="H37" i="33"/>
  <c r="H47" i="4" s="1"/>
  <c r="G37" i="33"/>
  <c r="G47" i="4" s="1"/>
  <c r="F37" i="33"/>
  <c r="F47" i="4" s="1"/>
  <c r="E37" i="33"/>
  <c r="E47" i="4" s="1"/>
  <c r="D37" i="33"/>
  <c r="D47" i="4" s="1"/>
  <c r="C37" i="33"/>
  <c r="C47" i="4" s="1"/>
  <c r="B37" i="33"/>
  <c r="B47" i="4" s="1"/>
  <c r="V36" i="33"/>
  <c r="V46" i="4" s="1"/>
  <c r="U36" i="33"/>
  <c r="U46" i="4" s="1"/>
  <c r="T36" i="33"/>
  <c r="T46" i="4" s="1"/>
  <c r="S36" i="33"/>
  <c r="S46" i="4" s="1"/>
  <c r="R36" i="33"/>
  <c r="R46" i="4" s="1"/>
  <c r="Q36" i="33"/>
  <c r="Q46" i="4" s="1"/>
  <c r="P36" i="33"/>
  <c r="P46" i="4" s="1"/>
  <c r="M36" i="33"/>
  <c r="M46" i="4" s="1"/>
  <c r="L36" i="33"/>
  <c r="L46" i="4" s="1"/>
  <c r="K36" i="33"/>
  <c r="K46" i="4" s="1"/>
  <c r="J36" i="33"/>
  <c r="J46" i="4" s="1"/>
  <c r="I36" i="33"/>
  <c r="I46" i="4" s="1"/>
  <c r="H36" i="33"/>
  <c r="H46" i="4" s="1"/>
  <c r="G36" i="33"/>
  <c r="G46" i="4" s="1"/>
  <c r="F36" i="33"/>
  <c r="F46" i="4" s="1"/>
  <c r="E36" i="33"/>
  <c r="E46" i="4" s="1"/>
  <c r="D36" i="33"/>
  <c r="D46" i="4" s="1"/>
  <c r="C36" i="33"/>
  <c r="C46" i="4" s="1"/>
  <c r="B36" i="33"/>
  <c r="B46" i="4" s="1"/>
  <c r="V35" i="33"/>
  <c r="V45" i="4" s="1"/>
  <c r="U35" i="33"/>
  <c r="U45" i="4" s="1"/>
  <c r="T35" i="33"/>
  <c r="T45" i="4" s="1"/>
  <c r="S35" i="33"/>
  <c r="S45" i="4" s="1"/>
  <c r="R35" i="33"/>
  <c r="R45" i="4" s="1"/>
  <c r="Q35" i="33"/>
  <c r="Q45" i="4" s="1"/>
  <c r="P35" i="33"/>
  <c r="P45" i="4" s="1"/>
  <c r="I35" i="33"/>
  <c r="I45" i="4" s="1"/>
  <c r="M34" i="33"/>
  <c r="M44" i="4" s="1"/>
  <c r="E34" i="33"/>
  <c r="E44" i="4" s="1"/>
  <c r="V30" i="33"/>
  <c r="V40" i="4" s="1"/>
  <c r="U30" i="33"/>
  <c r="U40" i="4" s="1"/>
  <c r="T30" i="33"/>
  <c r="T40" i="4" s="1"/>
  <c r="S30" i="33"/>
  <c r="S40" i="4" s="1"/>
  <c r="R30" i="33"/>
  <c r="R40" i="4" s="1"/>
  <c r="Q30" i="33"/>
  <c r="Q40" i="4" s="1"/>
  <c r="P30" i="33"/>
  <c r="P40" i="4" s="1"/>
  <c r="V29" i="33"/>
  <c r="V39" i="4" s="1"/>
  <c r="U29" i="33"/>
  <c r="U39" i="4" s="1"/>
  <c r="T29" i="33"/>
  <c r="T39" i="4" s="1"/>
  <c r="S29" i="33"/>
  <c r="S39" i="4" s="1"/>
  <c r="R29" i="33"/>
  <c r="R39" i="4" s="1"/>
  <c r="Q29" i="33"/>
  <c r="Q39" i="4" s="1"/>
  <c r="P29" i="33"/>
  <c r="P39" i="4" s="1"/>
  <c r="I29" i="33"/>
  <c r="I39" i="4" s="1"/>
  <c r="V28" i="33"/>
  <c r="U28" i="33"/>
  <c r="T28" i="33"/>
  <c r="S28" i="33"/>
  <c r="R28" i="33"/>
  <c r="Q28" i="33"/>
  <c r="P28" i="33"/>
  <c r="M28" i="33"/>
  <c r="E28" i="33"/>
  <c r="V24" i="33"/>
  <c r="U24" i="33"/>
  <c r="T24" i="33"/>
  <c r="S24" i="33"/>
  <c r="R24" i="33"/>
  <c r="Q24" i="33"/>
  <c r="P24" i="33"/>
  <c r="O24" i="33"/>
  <c r="L24" i="33"/>
  <c r="J24" i="33"/>
  <c r="I24" i="33"/>
  <c r="H24" i="33"/>
  <c r="G24" i="33"/>
  <c r="F24" i="33"/>
  <c r="E24" i="33"/>
  <c r="D24" i="33"/>
  <c r="C24" i="33"/>
  <c r="B24" i="33"/>
  <c r="V23" i="33"/>
  <c r="U23" i="33"/>
  <c r="T23" i="33"/>
  <c r="S23" i="33"/>
  <c r="R23" i="33"/>
  <c r="Q23" i="33"/>
  <c r="P23" i="33"/>
  <c r="O23" i="33"/>
  <c r="V34" i="33" s="1"/>
  <c r="V44" i="4" s="1"/>
  <c r="L23" i="33"/>
  <c r="J23" i="33"/>
  <c r="I23" i="33"/>
  <c r="H23" i="33"/>
  <c r="G23" i="33"/>
  <c r="F23" i="33"/>
  <c r="E23" i="33"/>
  <c r="D23" i="33"/>
  <c r="C23" i="33"/>
  <c r="B23" i="33"/>
  <c r="H22" i="33"/>
  <c r="G45" i="33"/>
  <c r="F27" i="33"/>
  <c r="F52" i="33" s="1"/>
  <c r="E45" i="33"/>
  <c r="D22" i="33"/>
  <c r="C45" i="33"/>
  <c r="B45" i="33"/>
  <c r="G28" i="33" l="1"/>
  <c r="D35" i="33"/>
  <c r="D45" i="4" s="1"/>
  <c r="I28" i="33"/>
  <c r="B28" i="33"/>
  <c r="J28" i="33"/>
  <c r="F29" i="33"/>
  <c r="F39" i="4" s="1"/>
  <c r="O29" i="33"/>
  <c r="O39" i="4" s="1"/>
  <c r="O30" i="33"/>
  <c r="O40" i="4" s="1"/>
  <c r="B34" i="33"/>
  <c r="B44" i="4" s="1"/>
  <c r="J34" i="33"/>
  <c r="J44" i="4" s="1"/>
  <c r="F35" i="33"/>
  <c r="F45" i="4" s="1"/>
  <c r="O35" i="33"/>
  <c r="O45" i="4" s="1"/>
  <c r="O37" i="33"/>
  <c r="O47" i="4" s="1"/>
  <c r="O39" i="33"/>
  <c r="O49" i="4" s="1"/>
  <c r="O41" i="33"/>
  <c r="O51" i="4" s="1"/>
  <c r="O43" i="33"/>
  <c r="O53" i="4" s="1"/>
  <c r="K28" i="33"/>
  <c r="C34" i="33"/>
  <c r="C44" i="4" s="1"/>
  <c r="G35" i="33"/>
  <c r="G45" i="4" s="1"/>
  <c r="D29" i="33"/>
  <c r="D39" i="4" s="1"/>
  <c r="C28" i="33"/>
  <c r="G29" i="33"/>
  <c r="G39" i="4" s="1"/>
  <c r="K34" i="33"/>
  <c r="K44" i="4" s="1"/>
  <c r="D28" i="33"/>
  <c r="L28" i="33"/>
  <c r="H29" i="33"/>
  <c r="H39" i="4" s="1"/>
  <c r="D34" i="33"/>
  <c r="D44" i="4" s="1"/>
  <c r="L34" i="33"/>
  <c r="L44" i="4" s="1"/>
  <c r="H35" i="33"/>
  <c r="H45" i="4" s="1"/>
  <c r="F28" i="33"/>
  <c r="O28" i="33"/>
  <c r="B29" i="33"/>
  <c r="B39" i="4" s="1"/>
  <c r="J29" i="33"/>
  <c r="J39" i="4" s="1"/>
  <c r="F34" i="33"/>
  <c r="F44" i="4" s="1"/>
  <c r="B35" i="33"/>
  <c r="B45" i="4" s="1"/>
  <c r="J35" i="33"/>
  <c r="J45" i="4" s="1"/>
  <c r="O36" i="33"/>
  <c r="O46" i="4" s="1"/>
  <c r="O38" i="33"/>
  <c r="O48" i="4" s="1"/>
  <c r="O40" i="33"/>
  <c r="O50" i="4" s="1"/>
  <c r="O42" i="33"/>
  <c r="O52" i="4" s="1"/>
  <c r="C29" i="33"/>
  <c r="C39" i="4" s="1"/>
  <c r="K29" i="33"/>
  <c r="K39" i="4" s="1"/>
  <c r="G34" i="33"/>
  <c r="G44" i="4" s="1"/>
  <c r="C35" i="33"/>
  <c r="C45" i="4" s="1"/>
  <c r="K35" i="33"/>
  <c r="K45" i="4" s="1"/>
  <c r="L29" i="33"/>
  <c r="L39" i="4" s="1"/>
  <c r="H28" i="33"/>
  <c r="H34" i="33"/>
  <c r="H44" i="4" s="1"/>
  <c r="L35" i="33"/>
  <c r="L45" i="4" s="1"/>
  <c r="E29" i="33"/>
  <c r="E39" i="4" s="1"/>
  <c r="M29" i="33"/>
  <c r="M39" i="4" s="1"/>
  <c r="I34" i="33"/>
  <c r="I44" i="4" s="1"/>
  <c r="E35" i="33"/>
  <c r="E45" i="4" s="1"/>
  <c r="M35" i="33"/>
  <c r="M45" i="4" s="1"/>
  <c r="L32" i="33"/>
  <c r="L42" i="4" s="1"/>
  <c r="M33" i="33"/>
  <c r="M43" i="4" s="1"/>
  <c r="F30" i="33"/>
  <c r="P31" i="33"/>
  <c r="Q32" i="33"/>
  <c r="Q42" i="4" s="1"/>
  <c r="R33" i="33"/>
  <c r="R43" i="4" s="1"/>
  <c r="B30" i="33"/>
  <c r="V33" i="33"/>
  <c r="V43" i="4" s="1"/>
  <c r="O34" i="33"/>
  <c r="O44" i="4" s="1"/>
  <c r="K31" i="33"/>
  <c r="K41" i="4" s="1"/>
  <c r="J30" i="33"/>
  <c r="C31" i="33"/>
  <c r="C41" i="4" s="1"/>
  <c r="T31" i="33"/>
  <c r="D32" i="33"/>
  <c r="D42" i="4" s="1"/>
  <c r="U32" i="33"/>
  <c r="U42" i="4" s="1"/>
  <c r="E33" i="33"/>
  <c r="E43" i="4" s="1"/>
  <c r="G31" i="33"/>
  <c r="G41" i="4" s="1"/>
  <c r="H32" i="33"/>
  <c r="H42" i="4" s="1"/>
  <c r="I33" i="33"/>
  <c r="I43" i="4" s="1"/>
  <c r="S34" i="33"/>
  <c r="S44" i="4" s="1"/>
  <c r="C30" i="33"/>
  <c r="G30" i="33"/>
  <c r="K30" i="33"/>
  <c r="D31" i="33"/>
  <c r="D41" i="4" s="1"/>
  <c r="H31" i="33"/>
  <c r="H41" i="4" s="1"/>
  <c r="L31" i="33"/>
  <c r="L41" i="4" s="1"/>
  <c r="Q31" i="33"/>
  <c r="U31" i="33"/>
  <c r="I32" i="33"/>
  <c r="I42" i="4" s="1"/>
  <c r="M32" i="33"/>
  <c r="M42" i="4" s="1"/>
  <c r="V32" i="33"/>
  <c r="V42" i="4" s="1"/>
  <c r="B33" i="33"/>
  <c r="B43" i="4" s="1"/>
  <c r="E32" i="33"/>
  <c r="E42" i="4" s="1"/>
  <c r="R32" i="33"/>
  <c r="R42" i="4" s="1"/>
  <c r="F33" i="33"/>
  <c r="F43" i="4" s="1"/>
  <c r="J33" i="33"/>
  <c r="J43" i="4" s="1"/>
  <c r="O33" i="33"/>
  <c r="O43" i="4" s="1"/>
  <c r="S33" i="33"/>
  <c r="S43" i="4" s="1"/>
  <c r="P34" i="33"/>
  <c r="P44" i="4" s="1"/>
  <c r="T34" i="33"/>
  <c r="T44" i="4" s="1"/>
  <c r="D30" i="33"/>
  <c r="H30" i="33"/>
  <c r="L30" i="33"/>
  <c r="E31" i="33"/>
  <c r="E41" i="4" s="1"/>
  <c r="I31" i="33"/>
  <c r="I41" i="4" s="1"/>
  <c r="M31" i="33"/>
  <c r="M41" i="4" s="1"/>
  <c r="R31" i="33"/>
  <c r="V31" i="33"/>
  <c r="B32" i="33"/>
  <c r="B42" i="4" s="1"/>
  <c r="F32" i="33"/>
  <c r="F42" i="4" s="1"/>
  <c r="J32" i="33"/>
  <c r="J42" i="4" s="1"/>
  <c r="O32" i="33"/>
  <c r="O42" i="4" s="1"/>
  <c r="S32" i="33"/>
  <c r="S42" i="4" s="1"/>
  <c r="C33" i="33"/>
  <c r="C43" i="4" s="1"/>
  <c r="G33" i="33"/>
  <c r="G43" i="4" s="1"/>
  <c r="K33" i="33"/>
  <c r="K43" i="4" s="1"/>
  <c r="P33" i="33"/>
  <c r="P43" i="4" s="1"/>
  <c r="T33" i="33"/>
  <c r="T43" i="4" s="1"/>
  <c r="Q34" i="33"/>
  <c r="Q44" i="4" s="1"/>
  <c r="U34" i="33"/>
  <c r="U44" i="4" s="1"/>
  <c r="E30" i="33"/>
  <c r="I30" i="33"/>
  <c r="M30" i="33"/>
  <c r="B31" i="33"/>
  <c r="B41" i="4" s="1"/>
  <c r="F31" i="33"/>
  <c r="F41" i="4" s="1"/>
  <c r="J31" i="33"/>
  <c r="J41" i="4" s="1"/>
  <c r="O31" i="33"/>
  <c r="S31" i="33"/>
  <c r="C32" i="33"/>
  <c r="C42" i="4" s="1"/>
  <c r="G32" i="33"/>
  <c r="G42" i="4" s="1"/>
  <c r="K32" i="33"/>
  <c r="K42" i="4" s="1"/>
  <c r="P32" i="33"/>
  <c r="P42" i="4" s="1"/>
  <c r="T32" i="33"/>
  <c r="T42" i="4" s="1"/>
  <c r="D33" i="33"/>
  <c r="D43" i="4" s="1"/>
  <c r="H33" i="33"/>
  <c r="H43" i="4" s="1"/>
  <c r="L33" i="33"/>
  <c r="L43" i="4" s="1"/>
  <c r="Q33" i="33"/>
  <c r="Q43" i="4" s="1"/>
  <c r="U33" i="33"/>
  <c r="U43" i="4" s="1"/>
  <c r="R34" i="33"/>
  <c r="R44" i="4" s="1"/>
  <c r="D38" i="4"/>
  <c r="H38" i="4"/>
  <c r="U38" i="4"/>
  <c r="I38" i="4"/>
  <c r="V38" i="4"/>
  <c r="E38" i="4"/>
  <c r="M38" i="4"/>
  <c r="R38" i="4"/>
  <c r="B38" i="4"/>
  <c r="B22" i="33"/>
  <c r="E22" i="33"/>
  <c r="I45" i="33"/>
  <c r="I52" i="33"/>
  <c r="I27" i="33"/>
  <c r="C38" i="4"/>
  <c r="G38" i="4"/>
  <c r="K47" i="33"/>
  <c r="K38" i="4"/>
  <c r="P38" i="4"/>
  <c r="T38" i="4"/>
  <c r="B27" i="33"/>
  <c r="B52" i="33" s="1"/>
  <c r="L38" i="4"/>
  <c r="Q38" i="4"/>
  <c r="D27" i="33"/>
  <c r="D52" i="33" s="1"/>
  <c r="I22" i="33"/>
  <c r="E27" i="33"/>
  <c r="E52" i="33" s="1"/>
  <c r="F38" i="4"/>
  <c r="J38" i="4"/>
  <c r="O38" i="4"/>
  <c r="S38" i="4"/>
  <c r="D45" i="33"/>
  <c r="F22" i="33"/>
  <c r="F45" i="33"/>
  <c r="G22" i="33"/>
  <c r="G27" i="33"/>
  <c r="G52" i="33" s="1"/>
  <c r="C22" i="33"/>
  <c r="C27" i="33"/>
  <c r="C52" i="33" s="1"/>
  <c r="H27" i="33"/>
  <c r="H52" i="33" s="1"/>
  <c r="H45" i="33"/>
  <c r="Q56" i="33"/>
  <c r="P56" i="33"/>
  <c r="U56" i="33"/>
  <c r="T56" i="33"/>
  <c r="R56" i="33"/>
  <c r="V56" i="33"/>
  <c r="O56" i="33"/>
  <c r="S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L47" i="33" l="1"/>
  <c r="R47" i="33"/>
  <c r="R48" i="33" s="1"/>
  <c r="R54" i="33" s="1"/>
  <c r="S47" i="33"/>
  <c r="S48" i="33" s="1"/>
  <c r="S54" i="33" s="1"/>
  <c r="I47" i="33"/>
  <c r="I48" i="33" s="1"/>
  <c r="I54" i="33" s="1"/>
  <c r="G47" i="33"/>
  <c r="G48" i="33" s="1"/>
  <c r="G54" i="33" s="1"/>
  <c r="E46" i="33"/>
  <c r="E53" i="33" s="1"/>
  <c r="C47" i="33"/>
  <c r="C48" i="33" s="1"/>
  <c r="C54" i="33" s="1"/>
  <c r="R46" i="33"/>
  <c r="R53" i="33" s="1"/>
  <c r="Q46" i="33"/>
  <c r="Q53" i="33" s="1"/>
  <c r="I46" i="33"/>
  <c r="I53" i="33" s="1"/>
  <c r="H46" i="33"/>
  <c r="H53" i="33" s="1"/>
  <c r="D46" i="33"/>
  <c r="D53" i="33" s="1"/>
  <c r="H47" i="33"/>
  <c r="H48" i="33" s="1"/>
  <c r="H54" i="33" s="1"/>
  <c r="G46" i="33"/>
  <c r="G53" i="33" s="1"/>
  <c r="S57" i="33"/>
  <c r="V57" i="33"/>
  <c r="U57" i="33"/>
  <c r="P57" i="33"/>
  <c r="O57" i="33"/>
  <c r="M57" i="33"/>
  <c r="R57" i="33"/>
  <c r="K57" i="33"/>
  <c r="J57" i="33"/>
  <c r="F57" i="33"/>
  <c r="I57" i="33"/>
  <c r="H57" i="33"/>
  <c r="G57" i="33"/>
  <c r="L57" i="33"/>
  <c r="Q57" i="33"/>
  <c r="B57" i="33"/>
  <c r="F59" i="33" s="1"/>
  <c r="E57" i="33"/>
  <c r="D57" i="33"/>
  <c r="C57" i="33"/>
  <c r="T57" i="33"/>
  <c r="S41" i="4"/>
  <c r="V41" i="4"/>
  <c r="U41" i="4"/>
  <c r="P41" i="4"/>
  <c r="L48" i="33"/>
  <c r="L54" i="33" s="1"/>
  <c r="K48" i="33"/>
  <c r="K54" i="33" s="1"/>
  <c r="O41" i="4"/>
  <c r="M40" i="4"/>
  <c r="R41" i="4"/>
  <c r="K40" i="4"/>
  <c r="J40" i="4"/>
  <c r="F40" i="4"/>
  <c r="O47" i="33"/>
  <c r="O48" i="33" s="1"/>
  <c r="O54" i="33" s="1"/>
  <c r="I40" i="4"/>
  <c r="H40" i="4"/>
  <c r="G40" i="4"/>
  <c r="L40" i="4"/>
  <c r="Q41" i="4"/>
  <c r="B40" i="4"/>
  <c r="M46" i="33"/>
  <c r="M53" i="33" s="1"/>
  <c r="V46" i="33"/>
  <c r="V53" i="33" s="1"/>
  <c r="M47" i="33"/>
  <c r="M48" i="33" s="1"/>
  <c r="M54" i="33" s="1"/>
  <c r="B46" i="33"/>
  <c r="B53" i="33" s="1"/>
  <c r="U46" i="33"/>
  <c r="U53" i="33" s="1"/>
  <c r="Q47" i="33"/>
  <c r="Q48" i="33" s="1"/>
  <c r="Q54" i="33" s="1"/>
  <c r="F46" i="33"/>
  <c r="F53" i="33" s="1"/>
  <c r="E40" i="4"/>
  <c r="D40" i="4"/>
  <c r="C40" i="4"/>
  <c r="T41" i="4"/>
  <c r="V47" i="33"/>
  <c r="V48" i="33" s="1"/>
  <c r="V54" i="33" s="1"/>
  <c r="E47" i="33"/>
  <c r="E48" i="33" s="1"/>
  <c r="E54" i="33" s="1"/>
  <c r="U47" i="33"/>
  <c r="U48" i="33" s="1"/>
  <c r="U54" i="33" s="1"/>
  <c r="D47" i="33"/>
  <c r="D48" i="33" s="1"/>
  <c r="D54" i="33" s="1"/>
  <c r="S46" i="33"/>
  <c r="S53" i="33" s="1"/>
  <c r="J47" i="33"/>
  <c r="J48" i="33" s="1"/>
  <c r="J54" i="33" s="1"/>
  <c r="P47" i="33"/>
  <c r="P48" i="33" s="1"/>
  <c r="P54" i="33" s="1"/>
  <c r="J46" i="33"/>
  <c r="J53" i="33" s="1"/>
  <c r="B47" i="33"/>
  <c r="B48" i="33" s="1"/>
  <c r="B54" i="33" s="1"/>
  <c r="O46" i="33"/>
  <c r="O53" i="33" s="1"/>
  <c r="O55" i="33" s="1"/>
  <c r="T47" i="33"/>
  <c r="T48" i="33" s="1"/>
  <c r="T54" i="33" s="1"/>
  <c r="C46" i="33"/>
  <c r="C53" i="33" s="1"/>
  <c r="F47" i="33"/>
  <c r="F48" i="33" s="1"/>
  <c r="F54" i="33" s="1"/>
  <c r="T46" i="33"/>
  <c r="T53" i="33" s="1"/>
  <c r="P46" i="33"/>
  <c r="P53" i="33" s="1"/>
  <c r="P55" i="33" s="1"/>
  <c r="L46" i="33"/>
  <c r="L53" i="33" s="1"/>
  <c r="K46" i="33"/>
  <c r="K53" i="33" s="1"/>
  <c r="O78" i="4"/>
  <c r="R78" i="4"/>
  <c r="V78" i="4"/>
  <c r="Q78" i="4"/>
  <c r="U78" i="4"/>
  <c r="F60" i="33"/>
  <c r="P78" i="4"/>
  <c r="T78" i="4"/>
  <c r="S78" i="4"/>
  <c r="M78" i="4"/>
  <c r="L78" i="4"/>
  <c r="K78" i="4"/>
  <c r="J78" i="4"/>
  <c r="I78" i="4"/>
  <c r="H78" i="4"/>
  <c r="G78" i="4"/>
  <c r="F78" i="4"/>
  <c r="E78" i="4"/>
  <c r="D78" i="4"/>
  <c r="C78" i="4"/>
  <c r="B78" i="4"/>
  <c r="Q59" i="33" l="1"/>
  <c r="M55" i="33"/>
  <c r="E59" i="33"/>
  <c r="J59" i="33"/>
  <c r="R59" i="33"/>
  <c r="R60" i="33" s="1"/>
  <c r="U59" i="33"/>
  <c r="T59" i="33"/>
  <c r="T60" i="33" s="1"/>
  <c r="H59" i="33"/>
  <c r="V59" i="33"/>
  <c r="V60" i="33" s="1"/>
  <c r="P59" i="33"/>
  <c r="P60" i="33" s="1"/>
  <c r="S59" i="33"/>
  <c r="S60" i="33" s="1"/>
  <c r="S55" i="33"/>
  <c r="L59" i="33"/>
  <c r="D59" i="33"/>
  <c r="O59" i="33"/>
  <c r="C59" i="33"/>
  <c r="G59" i="33"/>
  <c r="I59" i="33"/>
  <c r="K59" i="33"/>
  <c r="M59" i="33"/>
  <c r="F61" i="33"/>
  <c r="T55" i="33"/>
  <c r="R55" i="33"/>
  <c r="Q55" i="33"/>
  <c r="U55" i="33"/>
  <c r="V55" i="33"/>
  <c r="D55" i="33"/>
  <c r="B55" i="33"/>
  <c r="K55" i="33"/>
  <c r="L55" i="33"/>
  <c r="G55" i="33"/>
  <c r="F55" i="33"/>
  <c r="C55" i="33"/>
  <c r="J55" i="33"/>
  <c r="H55" i="33"/>
  <c r="I55" i="33"/>
  <c r="E55" i="33"/>
  <c r="Q60" i="33"/>
  <c r="I60" i="33"/>
  <c r="E60" i="33"/>
  <c r="K60" i="33"/>
  <c r="M60" i="33"/>
  <c r="J60" i="33"/>
  <c r="L60" i="33"/>
  <c r="O60" i="33"/>
  <c r="D60" i="33"/>
  <c r="H60" i="33"/>
  <c r="C60" i="33"/>
  <c r="G60" i="33"/>
  <c r="Q61" i="33" l="1"/>
  <c r="J61" i="33"/>
  <c r="E61" i="33"/>
  <c r="U60" i="33"/>
  <c r="U61" i="33" s="1"/>
  <c r="O61" i="33"/>
  <c r="P61" i="33"/>
  <c r="I61" i="33"/>
  <c r="G61" i="33"/>
  <c r="V61" i="33"/>
  <c r="C61" i="33"/>
  <c r="H61" i="33"/>
  <c r="T61" i="33"/>
  <c r="D61" i="33"/>
  <c r="L61" i="33"/>
  <c r="R61" i="33"/>
  <c r="M61" i="33"/>
  <c r="K61" i="33"/>
  <c r="S61" i="33"/>
  <c r="M4" i="33"/>
  <c r="L4" i="33" l="1"/>
  <c r="L22" i="33" s="1"/>
  <c r="K4" i="33"/>
  <c r="K22" i="33" s="1"/>
  <c r="J4" i="33"/>
  <c r="J52" i="33" s="1"/>
  <c r="M45" i="33"/>
  <c r="M52" i="33"/>
  <c r="M27" i="33"/>
  <c r="M22" i="33"/>
  <c r="K45" i="33" l="1"/>
  <c r="K52" i="33"/>
  <c r="K27" i="33"/>
  <c r="O4" i="33"/>
  <c r="O4" i="23"/>
  <c r="O4" i="1"/>
  <c r="Q4" i="1"/>
  <c r="Q4" i="33"/>
  <c r="Q4" i="23"/>
  <c r="P4" i="33"/>
  <c r="P4" i="23"/>
  <c r="P4" i="1"/>
  <c r="J22" i="33"/>
  <c r="L52" i="33"/>
  <c r="J45" i="33"/>
  <c r="L27" i="33"/>
  <c r="J27" i="33"/>
  <c r="L45" i="33"/>
  <c r="Q22" i="33" l="1"/>
  <c r="Q45" i="33"/>
  <c r="Q27" i="33"/>
  <c r="Q52" i="33" s="1"/>
  <c r="O27" i="33"/>
  <c r="O52" i="33" s="1"/>
  <c r="O22" i="33"/>
  <c r="O45" i="33"/>
  <c r="P22" i="33"/>
  <c r="P45" i="33"/>
  <c r="P27" i="33"/>
  <c r="P52" i="33" s="1"/>
  <c r="P22" i="1" l="1"/>
  <c r="Q45" i="1"/>
  <c r="P28" i="23"/>
  <c r="Q28" i="23"/>
  <c r="R28" i="23"/>
  <c r="S28" i="23"/>
  <c r="T28" i="23"/>
  <c r="T22" i="4" s="1"/>
  <c r="U28" i="23"/>
  <c r="V28" i="23"/>
  <c r="P29" i="23"/>
  <c r="Q29" i="23"/>
  <c r="Q23" i="4" s="1"/>
  <c r="R29" i="23"/>
  <c r="R23" i="4" s="1"/>
  <c r="S29" i="23"/>
  <c r="S23" i="4" s="1"/>
  <c r="T29" i="23"/>
  <c r="T23" i="4" s="1"/>
  <c r="U29" i="23"/>
  <c r="U23" i="4" s="1"/>
  <c r="V29" i="23"/>
  <c r="V23" i="4" s="1"/>
  <c r="P30" i="23"/>
  <c r="Q30" i="23"/>
  <c r="Q24" i="4" s="1"/>
  <c r="R30" i="23"/>
  <c r="R24" i="4" s="1"/>
  <c r="S30" i="23"/>
  <c r="S24" i="4" s="1"/>
  <c r="T30" i="23"/>
  <c r="T24" i="4" s="1"/>
  <c r="U30" i="23"/>
  <c r="U24" i="4" s="1"/>
  <c r="V30" i="23"/>
  <c r="V24" i="4" s="1"/>
  <c r="P31" i="23"/>
  <c r="P25" i="4" s="1"/>
  <c r="Q31" i="23"/>
  <c r="Q25" i="4" s="1"/>
  <c r="R31" i="23"/>
  <c r="R25" i="4" s="1"/>
  <c r="S31" i="23"/>
  <c r="S25" i="4" s="1"/>
  <c r="T31" i="23"/>
  <c r="T25" i="4" s="1"/>
  <c r="U31" i="23"/>
  <c r="U25" i="4" s="1"/>
  <c r="V31" i="23"/>
  <c r="V25" i="4" s="1"/>
  <c r="P32" i="23"/>
  <c r="P26" i="4" s="1"/>
  <c r="Q32" i="23"/>
  <c r="Q26" i="4" s="1"/>
  <c r="R32" i="23"/>
  <c r="R26" i="4" s="1"/>
  <c r="S32" i="23"/>
  <c r="S26" i="4" s="1"/>
  <c r="T32" i="23"/>
  <c r="T26" i="4" s="1"/>
  <c r="U32" i="23"/>
  <c r="U26" i="4" s="1"/>
  <c r="V32" i="23"/>
  <c r="V26" i="4" s="1"/>
  <c r="P37" i="23"/>
  <c r="P31" i="4" s="1"/>
  <c r="Q37" i="23"/>
  <c r="R37" i="23"/>
  <c r="R31" i="4" s="1"/>
  <c r="S37" i="23"/>
  <c r="S31" i="4" s="1"/>
  <c r="T37" i="23"/>
  <c r="T31" i="4" s="1"/>
  <c r="U37" i="23"/>
  <c r="U31" i="4" s="1"/>
  <c r="V37" i="23"/>
  <c r="V31" i="4" s="1"/>
  <c r="P38" i="23"/>
  <c r="P32" i="4" s="1"/>
  <c r="Q38" i="23"/>
  <c r="Q32" i="4" s="1"/>
  <c r="R38" i="23"/>
  <c r="R32" i="4" s="1"/>
  <c r="S38" i="23"/>
  <c r="S32" i="4" s="1"/>
  <c r="T38" i="23"/>
  <c r="T32" i="4" s="1"/>
  <c r="U38" i="23"/>
  <c r="U32" i="4" s="1"/>
  <c r="V38" i="23"/>
  <c r="V32" i="4" s="1"/>
  <c r="P39" i="23"/>
  <c r="P33" i="4" s="1"/>
  <c r="Q39" i="23"/>
  <c r="Q33" i="4" s="1"/>
  <c r="R39" i="23"/>
  <c r="R33" i="4" s="1"/>
  <c r="S39" i="23"/>
  <c r="S33" i="4" s="1"/>
  <c r="T39" i="23"/>
  <c r="T33" i="4" s="1"/>
  <c r="U39" i="23"/>
  <c r="U33" i="4" s="1"/>
  <c r="V39" i="23"/>
  <c r="P40" i="23"/>
  <c r="P34" i="4" s="1"/>
  <c r="Q40" i="23"/>
  <c r="Q34" i="4" s="1"/>
  <c r="R40" i="23"/>
  <c r="R34" i="4" s="1"/>
  <c r="S40" i="23"/>
  <c r="S34" i="4" s="1"/>
  <c r="T40" i="23"/>
  <c r="T34" i="4" s="1"/>
  <c r="U40" i="23"/>
  <c r="U34" i="4" s="1"/>
  <c r="V40" i="23"/>
  <c r="V34" i="4" s="1"/>
  <c r="P41" i="23"/>
  <c r="P35" i="4" s="1"/>
  <c r="Q41" i="23"/>
  <c r="Q35" i="4" s="1"/>
  <c r="R41" i="23"/>
  <c r="R35" i="4" s="1"/>
  <c r="S41" i="23"/>
  <c r="S35" i="4" s="1"/>
  <c r="T41" i="23"/>
  <c r="T35" i="4" s="1"/>
  <c r="U41" i="23"/>
  <c r="U35" i="4" s="1"/>
  <c r="V41" i="23"/>
  <c r="V35" i="4" s="1"/>
  <c r="P42" i="23"/>
  <c r="P36" i="4" s="1"/>
  <c r="Q42" i="23"/>
  <c r="Q36" i="4" s="1"/>
  <c r="R42" i="23"/>
  <c r="R36" i="4" s="1"/>
  <c r="S42" i="23"/>
  <c r="S36" i="4" s="1"/>
  <c r="T42" i="23"/>
  <c r="T36" i="4" s="1"/>
  <c r="U42" i="23"/>
  <c r="U36" i="4" s="1"/>
  <c r="V42" i="23"/>
  <c r="V36" i="4" s="1"/>
  <c r="P43" i="23"/>
  <c r="Q43" i="23"/>
  <c r="R43" i="23"/>
  <c r="S43" i="23"/>
  <c r="T43" i="23"/>
  <c r="U43" i="23"/>
  <c r="U37" i="4" s="1"/>
  <c r="V43" i="23"/>
  <c r="K36" i="23"/>
  <c r="K30" i="4" s="1"/>
  <c r="L36" i="23"/>
  <c r="L30" i="4" s="1"/>
  <c r="M36" i="23"/>
  <c r="M30" i="4" s="1"/>
  <c r="K37" i="23"/>
  <c r="K31" i="4" s="1"/>
  <c r="L37" i="23"/>
  <c r="L31" i="4" s="1"/>
  <c r="M37" i="23"/>
  <c r="M31" i="4" s="1"/>
  <c r="K38" i="23"/>
  <c r="K32" i="4" s="1"/>
  <c r="L38" i="23"/>
  <c r="L32" i="4" s="1"/>
  <c r="M38" i="23"/>
  <c r="M32" i="4" s="1"/>
  <c r="K39" i="23"/>
  <c r="K33" i="4" s="1"/>
  <c r="L39" i="23"/>
  <c r="L33" i="4" s="1"/>
  <c r="M39" i="23"/>
  <c r="M33" i="4" s="1"/>
  <c r="K40" i="23"/>
  <c r="K34" i="4" s="1"/>
  <c r="L40" i="23"/>
  <c r="L34" i="4" s="1"/>
  <c r="M40" i="23"/>
  <c r="M34" i="4" s="1"/>
  <c r="K41" i="23"/>
  <c r="K35" i="4" s="1"/>
  <c r="L41" i="23"/>
  <c r="L35" i="4" s="1"/>
  <c r="M41" i="23"/>
  <c r="M35" i="4" s="1"/>
  <c r="K42" i="23"/>
  <c r="K36" i="4" s="1"/>
  <c r="L42" i="23"/>
  <c r="L36" i="4" s="1"/>
  <c r="M42" i="23"/>
  <c r="M36" i="4" s="1"/>
  <c r="K43" i="23"/>
  <c r="L43" i="23"/>
  <c r="M43" i="23"/>
  <c r="V29" i="1"/>
  <c r="V7" i="4" s="1"/>
  <c r="S14" i="4"/>
  <c r="T14" i="4"/>
  <c r="U14" i="4"/>
  <c r="V14" i="4"/>
  <c r="S37" i="1"/>
  <c r="S15" i="4" s="1"/>
  <c r="T37" i="1"/>
  <c r="T15" i="4" s="1"/>
  <c r="U37" i="1"/>
  <c r="U15" i="4" s="1"/>
  <c r="V37" i="1"/>
  <c r="V15" i="4" s="1"/>
  <c r="S38" i="1"/>
  <c r="S16" i="4" s="1"/>
  <c r="T38" i="1"/>
  <c r="T16" i="4" s="1"/>
  <c r="U38" i="1"/>
  <c r="U16" i="4" s="1"/>
  <c r="V38" i="1"/>
  <c r="V16" i="4" s="1"/>
  <c r="S39" i="1"/>
  <c r="S17" i="4" s="1"/>
  <c r="T39" i="1"/>
  <c r="T17" i="4" s="1"/>
  <c r="U39" i="1"/>
  <c r="U17" i="4" s="1"/>
  <c r="V39" i="1"/>
  <c r="V17" i="4" s="1"/>
  <c r="S40" i="1"/>
  <c r="S18" i="4" s="1"/>
  <c r="T40" i="1"/>
  <c r="T18" i="4" s="1"/>
  <c r="U40" i="1"/>
  <c r="U18" i="4" s="1"/>
  <c r="V40" i="1"/>
  <c r="V18" i="4" s="1"/>
  <c r="S41" i="1"/>
  <c r="S19" i="4" s="1"/>
  <c r="T41" i="1"/>
  <c r="T19" i="4" s="1"/>
  <c r="U41" i="1"/>
  <c r="U19" i="4" s="1"/>
  <c r="V41" i="1"/>
  <c r="V19" i="4" s="1"/>
  <c r="S42" i="1"/>
  <c r="S20" i="4" s="1"/>
  <c r="T42" i="1"/>
  <c r="T20" i="4" s="1"/>
  <c r="U42" i="1"/>
  <c r="U20" i="4" s="1"/>
  <c r="V42" i="1"/>
  <c r="V20" i="4" s="1"/>
  <c r="S43" i="1"/>
  <c r="S21" i="4" s="1"/>
  <c r="T43" i="1"/>
  <c r="U43" i="1"/>
  <c r="V43" i="1"/>
  <c r="K14" i="4"/>
  <c r="L14" i="4"/>
  <c r="M14" i="4"/>
  <c r="K37" i="1"/>
  <c r="K15" i="4" s="1"/>
  <c r="L37" i="1"/>
  <c r="L15" i="4" s="1"/>
  <c r="M37" i="1"/>
  <c r="M15" i="4" s="1"/>
  <c r="K38" i="1"/>
  <c r="K16" i="4" s="1"/>
  <c r="L38" i="1"/>
  <c r="L16" i="4" s="1"/>
  <c r="M38" i="1"/>
  <c r="M16" i="4" s="1"/>
  <c r="K39" i="1"/>
  <c r="K17" i="4" s="1"/>
  <c r="L39" i="1"/>
  <c r="L17" i="4" s="1"/>
  <c r="M39" i="1"/>
  <c r="M17" i="4" s="1"/>
  <c r="K40" i="1"/>
  <c r="K18" i="4" s="1"/>
  <c r="L40" i="1"/>
  <c r="L18" i="4" s="1"/>
  <c r="M40" i="1"/>
  <c r="M18" i="4" s="1"/>
  <c r="K41" i="1"/>
  <c r="K19" i="4" s="1"/>
  <c r="L41" i="1"/>
  <c r="L19" i="4" s="1"/>
  <c r="M41" i="1"/>
  <c r="M19" i="4" s="1"/>
  <c r="K42" i="1"/>
  <c r="K20" i="4" s="1"/>
  <c r="L42" i="1"/>
  <c r="L20" i="4" s="1"/>
  <c r="M42" i="1"/>
  <c r="M20" i="4" s="1"/>
  <c r="K43" i="1"/>
  <c r="L43" i="1"/>
  <c r="M43" i="1"/>
  <c r="N45" i="1"/>
  <c r="A22" i="1"/>
  <c r="Q37" i="4"/>
  <c r="I43" i="23"/>
  <c r="H43" i="23"/>
  <c r="G43" i="23"/>
  <c r="F43" i="23"/>
  <c r="E43" i="23"/>
  <c r="D43" i="23"/>
  <c r="C43" i="23"/>
  <c r="B43" i="23"/>
  <c r="I42" i="23"/>
  <c r="I36" i="4" s="1"/>
  <c r="H42" i="23"/>
  <c r="H36" i="4" s="1"/>
  <c r="G42" i="23"/>
  <c r="G36" i="4" s="1"/>
  <c r="F42" i="23"/>
  <c r="F36" i="4" s="1"/>
  <c r="E42" i="23"/>
  <c r="E36" i="4" s="1"/>
  <c r="D42" i="23"/>
  <c r="D36" i="4" s="1"/>
  <c r="C42" i="23"/>
  <c r="C36" i="4" s="1"/>
  <c r="B42" i="23"/>
  <c r="B36" i="4" s="1"/>
  <c r="I41" i="23"/>
  <c r="I35" i="4" s="1"/>
  <c r="H41" i="23"/>
  <c r="H35" i="4" s="1"/>
  <c r="G41" i="23"/>
  <c r="G35" i="4" s="1"/>
  <c r="F41" i="23"/>
  <c r="F35" i="4" s="1"/>
  <c r="E41" i="23"/>
  <c r="E35" i="4" s="1"/>
  <c r="D41" i="23"/>
  <c r="D35" i="4" s="1"/>
  <c r="C41" i="23"/>
  <c r="C35" i="4" s="1"/>
  <c r="B41" i="23"/>
  <c r="B35" i="4" s="1"/>
  <c r="I40" i="23"/>
  <c r="I34" i="4" s="1"/>
  <c r="H40" i="23"/>
  <c r="H34" i="4" s="1"/>
  <c r="G40" i="23"/>
  <c r="G34" i="4" s="1"/>
  <c r="F40" i="23"/>
  <c r="F34" i="4" s="1"/>
  <c r="E40" i="23"/>
  <c r="E34" i="4" s="1"/>
  <c r="D40" i="23"/>
  <c r="D34" i="4" s="1"/>
  <c r="C40" i="23"/>
  <c r="C34" i="4" s="1"/>
  <c r="B40" i="23"/>
  <c r="B34" i="4" s="1"/>
  <c r="V33" i="4"/>
  <c r="I39" i="23"/>
  <c r="I33" i="4" s="1"/>
  <c r="H39" i="23"/>
  <c r="H33" i="4" s="1"/>
  <c r="G39" i="23"/>
  <c r="G33" i="4" s="1"/>
  <c r="F39" i="23"/>
  <c r="F33" i="4" s="1"/>
  <c r="E39" i="23"/>
  <c r="E33" i="4" s="1"/>
  <c r="D39" i="23"/>
  <c r="D33" i="4" s="1"/>
  <c r="C39" i="23"/>
  <c r="C33" i="4" s="1"/>
  <c r="B39" i="23"/>
  <c r="B33" i="4" s="1"/>
  <c r="I38" i="23"/>
  <c r="I32" i="4" s="1"/>
  <c r="H38" i="23"/>
  <c r="H32" i="4" s="1"/>
  <c r="G38" i="23"/>
  <c r="G32" i="4" s="1"/>
  <c r="F38" i="23"/>
  <c r="F32" i="4" s="1"/>
  <c r="E38" i="23"/>
  <c r="E32" i="4" s="1"/>
  <c r="D38" i="23"/>
  <c r="D32" i="4" s="1"/>
  <c r="C38" i="23"/>
  <c r="C32" i="4" s="1"/>
  <c r="Q31" i="4"/>
  <c r="I37" i="23"/>
  <c r="I31" i="4" s="1"/>
  <c r="H37" i="23"/>
  <c r="H31" i="4" s="1"/>
  <c r="G37" i="23"/>
  <c r="G31" i="4" s="1"/>
  <c r="F37" i="23"/>
  <c r="F31" i="4" s="1"/>
  <c r="E37" i="23"/>
  <c r="E31" i="4" s="1"/>
  <c r="D37" i="23"/>
  <c r="D31" i="4" s="1"/>
  <c r="C37" i="23"/>
  <c r="C31" i="4" s="1"/>
  <c r="B37" i="23"/>
  <c r="B31" i="4" s="1"/>
  <c r="I36" i="23"/>
  <c r="I30" i="4" s="1"/>
  <c r="H36" i="23"/>
  <c r="H30" i="4" s="1"/>
  <c r="G36" i="23"/>
  <c r="G30" i="4" s="1"/>
  <c r="F36" i="23"/>
  <c r="F30" i="4" s="1"/>
  <c r="E36" i="23"/>
  <c r="E30" i="4" s="1"/>
  <c r="D36" i="23"/>
  <c r="D30" i="4" s="1"/>
  <c r="C36" i="23"/>
  <c r="C30" i="4" s="1"/>
  <c r="B36" i="23"/>
  <c r="B30" i="4" s="1"/>
  <c r="P24" i="4"/>
  <c r="V24" i="23"/>
  <c r="U24" i="23"/>
  <c r="T24" i="23"/>
  <c r="S24" i="23"/>
  <c r="R24" i="23"/>
  <c r="Q24" i="23"/>
  <c r="P24" i="23"/>
  <c r="O24" i="23"/>
  <c r="L24" i="23"/>
  <c r="J24" i="23"/>
  <c r="I24" i="23"/>
  <c r="H24" i="23"/>
  <c r="G24" i="23"/>
  <c r="F24" i="23"/>
  <c r="E24" i="23"/>
  <c r="D24" i="23"/>
  <c r="C24" i="23"/>
  <c r="B24" i="23"/>
  <c r="V23" i="23"/>
  <c r="U23" i="23"/>
  <c r="T23" i="23"/>
  <c r="S23" i="23"/>
  <c r="R23" i="23"/>
  <c r="Q23" i="23"/>
  <c r="P23" i="23"/>
  <c r="O23" i="23"/>
  <c r="B32" i="23" s="1"/>
  <c r="B26" i="4" s="1"/>
  <c r="L23" i="23"/>
  <c r="J23" i="23"/>
  <c r="I23" i="23"/>
  <c r="H23" i="23"/>
  <c r="G23" i="23"/>
  <c r="F23" i="23"/>
  <c r="E23" i="23"/>
  <c r="D23" i="23"/>
  <c r="C23" i="23"/>
  <c r="B23" i="23"/>
  <c r="Q45" i="23"/>
  <c r="P45" i="23"/>
  <c r="O45" i="23"/>
  <c r="I22" i="23"/>
  <c r="H27" i="23"/>
  <c r="H52" i="23" s="1"/>
  <c r="G45" i="23"/>
  <c r="F27" i="23"/>
  <c r="F52" i="23" s="1"/>
  <c r="E45" i="23"/>
  <c r="C45" i="23"/>
  <c r="B45" i="23"/>
  <c r="F29" i="23"/>
  <c r="F23" i="4" s="1"/>
  <c r="C28" i="23"/>
  <c r="J40" i="23"/>
  <c r="J34" i="4" s="1"/>
  <c r="J36" i="23"/>
  <c r="J30" i="4" s="1"/>
  <c r="H30" i="23"/>
  <c r="H24" i="4" s="1"/>
  <c r="J42" i="23"/>
  <c r="J36" i="4" s="1"/>
  <c r="J38" i="23"/>
  <c r="J32" i="4" s="1"/>
  <c r="E31" i="23"/>
  <c r="E25" i="4" s="1"/>
  <c r="J41" i="23"/>
  <c r="J35" i="4" s="1"/>
  <c r="J37" i="23"/>
  <c r="J31" i="4" s="1"/>
  <c r="J43" i="23"/>
  <c r="J39" i="23"/>
  <c r="J33" i="4" s="1"/>
  <c r="G30" i="23"/>
  <c r="G24" i="4" s="1"/>
  <c r="C30" i="23"/>
  <c r="C24" i="4" s="1"/>
  <c r="D29" i="23"/>
  <c r="D23" i="4" s="1"/>
  <c r="I28" i="23"/>
  <c r="G29" i="23"/>
  <c r="G23" i="4" s="1"/>
  <c r="H31" i="23"/>
  <c r="H25" i="4" s="1"/>
  <c r="G28" i="23"/>
  <c r="I30" i="23"/>
  <c r="I24" i="4" s="1"/>
  <c r="P22" i="23"/>
  <c r="S23" i="1"/>
  <c r="T23" i="1"/>
  <c r="U23" i="1"/>
  <c r="V23" i="1"/>
  <c r="S24" i="1"/>
  <c r="T24" i="1"/>
  <c r="U24" i="1"/>
  <c r="V24" i="1"/>
  <c r="L23" i="1"/>
  <c r="M23" i="1"/>
  <c r="L24" i="1"/>
  <c r="M24" i="1"/>
  <c r="I23" i="1"/>
  <c r="I24" i="1"/>
  <c r="C14" i="4"/>
  <c r="D14" i="4"/>
  <c r="E14" i="4"/>
  <c r="F14" i="4"/>
  <c r="G14" i="4"/>
  <c r="H14" i="4"/>
  <c r="I14" i="4"/>
  <c r="J14" i="4"/>
  <c r="C37" i="1"/>
  <c r="C15" i="4" s="1"/>
  <c r="D37" i="1"/>
  <c r="D15" i="4" s="1"/>
  <c r="E37" i="1"/>
  <c r="E15" i="4" s="1"/>
  <c r="F37" i="1"/>
  <c r="F15" i="4" s="1"/>
  <c r="G37" i="1"/>
  <c r="G15" i="4" s="1"/>
  <c r="H37" i="1"/>
  <c r="H15" i="4" s="1"/>
  <c r="I37" i="1"/>
  <c r="I15" i="4" s="1"/>
  <c r="J37" i="1"/>
  <c r="J15" i="4" s="1"/>
  <c r="C38" i="1"/>
  <c r="C16" i="4" s="1"/>
  <c r="D38" i="1"/>
  <c r="D16" i="4" s="1"/>
  <c r="E38" i="1"/>
  <c r="E16" i="4" s="1"/>
  <c r="F38" i="1"/>
  <c r="F16" i="4" s="1"/>
  <c r="G38" i="1"/>
  <c r="G16" i="4" s="1"/>
  <c r="H38" i="1"/>
  <c r="H16" i="4" s="1"/>
  <c r="I38" i="1"/>
  <c r="I16" i="4" s="1"/>
  <c r="J38" i="1"/>
  <c r="J16" i="4" s="1"/>
  <c r="C39" i="1"/>
  <c r="C17" i="4" s="1"/>
  <c r="D39" i="1"/>
  <c r="E39" i="1"/>
  <c r="E17" i="4" s="1"/>
  <c r="F39" i="1"/>
  <c r="F17" i="4" s="1"/>
  <c r="G39" i="1"/>
  <c r="G17" i="4" s="1"/>
  <c r="H39" i="1"/>
  <c r="H17" i="4" s="1"/>
  <c r="I39" i="1"/>
  <c r="I17" i="4" s="1"/>
  <c r="J39" i="1"/>
  <c r="J17" i="4" s="1"/>
  <c r="C40" i="1"/>
  <c r="C18" i="4" s="1"/>
  <c r="D40" i="1"/>
  <c r="D18" i="4" s="1"/>
  <c r="E40" i="1"/>
  <c r="E18" i="4" s="1"/>
  <c r="F40" i="1"/>
  <c r="F18" i="4" s="1"/>
  <c r="G40" i="1"/>
  <c r="G18" i="4" s="1"/>
  <c r="H40" i="1"/>
  <c r="H18" i="4" s="1"/>
  <c r="I40" i="1"/>
  <c r="I18" i="4" s="1"/>
  <c r="J40" i="1"/>
  <c r="J18" i="4" s="1"/>
  <c r="C41" i="1"/>
  <c r="C19" i="4" s="1"/>
  <c r="D41" i="1"/>
  <c r="D19" i="4" s="1"/>
  <c r="E41" i="1"/>
  <c r="E19" i="4" s="1"/>
  <c r="F41" i="1"/>
  <c r="F19" i="4" s="1"/>
  <c r="G41" i="1"/>
  <c r="G19" i="4" s="1"/>
  <c r="H41" i="1"/>
  <c r="H19" i="4" s="1"/>
  <c r="I41" i="1"/>
  <c r="I19" i="4" s="1"/>
  <c r="J41" i="1"/>
  <c r="J19" i="4" s="1"/>
  <c r="C42" i="1"/>
  <c r="C20" i="4" s="1"/>
  <c r="D42" i="1"/>
  <c r="D20" i="4" s="1"/>
  <c r="E42" i="1"/>
  <c r="E20" i="4" s="1"/>
  <c r="F42" i="1"/>
  <c r="F20" i="4" s="1"/>
  <c r="G42" i="1"/>
  <c r="G20" i="4" s="1"/>
  <c r="H42" i="1"/>
  <c r="H20" i="4" s="1"/>
  <c r="I42" i="1"/>
  <c r="I20" i="4" s="1"/>
  <c r="J42" i="1"/>
  <c r="J20" i="4" s="1"/>
  <c r="C43" i="1"/>
  <c r="D43" i="1"/>
  <c r="E43" i="1"/>
  <c r="F43" i="1"/>
  <c r="G43" i="1"/>
  <c r="H43" i="1"/>
  <c r="I43" i="1"/>
  <c r="J43" i="1"/>
  <c r="I45" i="1"/>
  <c r="Q14" i="4"/>
  <c r="R14" i="4"/>
  <c r="Q37" i="1"/>
  <c r="Q15" i="4" s="1"/>
  <c r="P38" i="1"/>
  <c r="P16" i="4" s="1"/>
  <c r="Q38" i="1"/>
  <c r="Q16" i="4" s="1"/>
  <c r="P39" i="1"/>
  <c r="P17" i="4" s="1"/>
  <c r="Q39" i="1"/>
  <c r="Q17" i="4" s="1"/>
  <c r="R39" i="1"/>
  <c r="R17" i="4" s="1"/>
  <c r="P40" i="1"/>
  <c r="P18" i="4" s="1"/>
  <c r="Q40" i="1"/>
  <c r="Q18" i="4" s="1"/>
  <c r="R40" i="1"/>
  <c r="R18" i="4" s="1"/>
  <c r="P41" i="1"/>
  <c r="P19" i="4" s="1"/>
  <c r="Q41" i="1"/>
  <c r="Q19" i="4" s="1"/>
  <c r="P42" i="1"/>
  <c r="P20" i="4" s="1"/>
  <c r="Q42" i="1"/>
  <c r="Q20" i="4" s="1"/>
  <c r="P43" i="1"/>
  <c r="Q43" i="1"/>
  <c r="R43" i="1"/>
  <c r="B14" i="4"/>
  <c r="B37" i="1"/>
  <c r="B15" i="4" s="1"/>
  <c r="B38" i="1"/>
  <c r="B16" i="4" s="1"/>
  <c r="B39" i="1"/>
  <c r="B17" i="4" s="1"/>
  <c r="B40" i="1"/>
  <c r="B18" i="4" s="1"/>
  <c r="B41" i="1"/>
  <c r="B19" i="4" s="1"/>
  <c r="B42" i="1"/>
  <c r="B20" i="4" s="1"/>
  <c r="B43" i="1"/>
  <c r="B23" i="1"/>
  <c r="B4" i="4"/>
  <c r="B62" i="4" s="1"/>
  <c r="A52" i="1"/>
  <c r="O22" i="1"/>
  <c r="Q24" i="1"/>
  <c r="P24" i="1"/>
  <c r="O24" i="1"/>
  <c r="Q23" i="1"/>
  <c r="P23" i="1"/>
  <c r="O23" i="1"/>
  <c r="S29" i="1" s="1"/>
  <c r="S7" i="4" s="1"/>
  <c r="H27" i="1"/>
  <c r="H52" i="1" s="1"/>
  <c r="G27" i="1"/>
  <c r="G52" i="1" s="1"/>
  <c r="F27" i="1"/>
  <c r="F52" i="1" s="1"/>
  <c r="E4" i="4"/>
  <c r="D22" i="1"/>
  <c r="C45" i="1"/>
  <c r="G29" i="1"/>
  <c r="E29" i="1"/>
  <c r="I29" i="1"/>
  <c r="C13" i="4"/>
  <c r="F29" i="1"/>
  <c r="F7" i="4" s="1"/>
  <c r="O39" i="1"/>
  <c r="O17" i="4" s="1"/>
  <c r="O43" i="1"/>
  <c r="O42" i="1"/>
  <c r="O20" i="4" s="1"/>
  <c r="O40" i="1"/>
  <c r="O18" i="4" s="1"/>
  <c r="P28" i="1"/>
  <c r="P30" i="1"/>
  <c r="P8" i="4" s="1"/>
  <c r="O41" i="1"/>
  <c r="O19" i="4" s="1"/>
  <c r="Q28" i="1"/>
  <c r="O38" i="1"/>
  <c r="O16" i="4" s="1"/>
  <c r="Q27" i="1"/>
  <c r="Q52" i="1" s="1"/>
  <c r="K24" i="1"/>
  <c r="J24" i="1"/>
  <c r="H24" i="1"/>
  <c r="G24" i="1"/>
  <c r="F24" i="1"/>
  <c r="E24" i="1"/>
  <c r="D24" i="1"/>
  <c r="C24" i="1"/>
  <c r="B24" i="1"/>
  <c r="K23" i="1"/>
  <c r="J23" i="1"/>
  <c r="H23" i="1"/>
  <c r="G23" i="1"/>
  <c r="F23" i="1"/>
  <c r="E23" i="1"/>
  <c r="D23" i="1"/>
  <c r="C23" i="1"/>
  <c r="R24" i="1"/>
  <c r="R23" i="1"/>
  <c r="K4" i="1"/>
  <c r="K4" i="4" s="1"/>
  <c r="K62" i="4" s="1"/>
  <c r="L4" i="1"/>
  <c r="L4" i="4" s="1"/>
  <c r="K4" i="23"/>
  <c r="K52" i="23" s="1"/>
  <c r="L4" i="23"/>
  <c r="L27" i="23" s="1"/>
  <c r="M31" i="23" l="1"/>
  <c r="M25" i="4" s="1"/>
  <c r="K29" i="23"/>
  <c r="K23" i="4" s="1"/>
  <c r="O39" i="23"/>
  <c r="O33" i="4" s="1"/>
  <c r="H29" i="23"/>
  <c r="H23" i="4" s="1"/>
  <c r="I34" i="23"/>
  <c r="I28" i="4" s="1"/>
  <c r="I31" i="23"/>
  <c r="I25" i="4" s="1"/>
  <c r="D30" i="23"/>
  <c r="D24" i="4" s="1"/>
  <c r="D31" i="23"/>
  <c r="D25" i="4" s="1"/>
  <c r="L31" i="23"/>
  <c r="L25" i="4" s="1"/>
  <c r="M28" i="23"/>
  <c r="O29" i="23"/>
  <c r="O23" i="4" s="1"/>
  <c r="K31" i="23"/>
  <c r="K25" i="4" s="1"/>
  <c r="L28" i="23"/>
  <c r="S22" i="4"/>
  <c r="C31" i="23"/>
  <c r="C25" i="4" s="1"/>
  <c r="E30" i="23"/>
  <c r="E24" i="4" s="1"/>
  <c r="M30" i="23"/>
  <c r="M24" i="4" s="1"/>
  <c r="K28" i="23"/>
  <c r="H28" i="23"/>
  <c r="F31" i="23"/>
  <c r="F25" i="4" s="1"/>
  <c r="D28" i="23"/>
  <c r="F28" i="23"/>
  <c r="G31" i="23"/>
  <c r="G25" i="4" s="1"/>
  <c r="L30" i="23"/>
  <c r="L24" i="4" s="1"/>
  <c r="O43" i="23"/>
  <c r="J31" i="23"/>
  <c r="J25" i="4" s="1"/>
  <c r="C29" i="23"/>
  <c r="C23" i="4" s="1"/>
  <c r="J28" i="23"/>
  <c r="K30" i="23"/>
  <c r="K24" i="4" s="1"/>
  <c r="O42" i="23"/>
  <c r="O36" i="4" s="1"/>
  <c r="E28" i="23"/>
  <c r="I32" i="23"/>
  <c r="I26" i="4" s="1"/>
  <c r="F30" i="23"/>
  <c r="F24" i="4" s="1"/>
  <c r="E29" i="23"/>
  <c r="E23" i="4" s="1"/>
  <c r="M29" i="23"/>
  <c r="M23" i="4" s="1"/>
  <c r="O41" i="23"/>
  <c r="O35" i="4" s="1"/>
  <c r="J30" i="23"/>
  <c r="J24" i="4" s="1"/>
  <c r="I29" i="23"/>
  <c r="I23" i="4" s="1"/>
  <c r="J29" i="23"/>
  <c r="J23" i="4" s="1"/>
  <c r="L29" i="23"/>
  <c r="L23" i="4" s="1"/>
  <c r="O40" i="23"/>
  <c r="O34" i="4" s="1"/>
  <c r="U29" i="1"/>
  <c r="U7" i="4" s="1"/>
  <c r="M29" i="1"/>
  <c r="M7" i="4" s="1"/>
  <c r="T29" i="1"/>
  <c r="T7" i="4" s="1"/>
  <c r="J29" i="1"/>
  <c r="J7" i="4" s="1"/>
  <c r="J28" i="1"/>
  <c r="L29" i="1"/>
  <c r="L7" i="4" s="1"/>
  <c r="O31" i="1"/>
  <c r="O32" i="1"/>
  <c r="O10" i="4" s="1"/>
  <c r="O33" i="1"/>
  <c r="O34" i="1"/>
  <c r="O35" i="1"/>
  <c r="O36" i="1"/>
  <c r="B34" i="1"/>
  <c r="J34" i="1"/>
  <c r="J12" i="4" s="1"/>
  <c r="F35" i="1"/>
  <c r="F13" i="4" s="1"/>
  <c r="U35" i="1"/>
  <c r="U13" i="4" s="1"/>
  <c r="D35" i="1"/>
  <c r="D13" i="4" s="1"/>
  <c r="P31" i="1"/>
  <c r="P32" i="1"/>
  <c r="P33" i="1"/>
  <c r="P11" i="4" s="1"/>
  <c r="P34" i="1"/>
  <c r="P35" i="1"/>
  <c r="K34" i="1"/>
  <c r="K12" i="4" s="1"/>
  <c r="G35" i="1"/>
  <c r="G13" i="4" s="1"/>
  <c r="U33" i="1"/>
  <c r="H34" i="1"/>
  <c r="H12" i="4" s="1"/>
  <c r="V32" i="1"/>
  <c r="M35" i="1"/>
  <c r="M13" i="4" s="1"/>
  <c r="Q31" i="1"/>
  <c r="Q32" i="1"/>
  <c r="Q33" i="1"/>
  <c r="Q34" i="1"/>
  <c r="Q12" i="4" s="1"/>
  <c r="Q35" i="1"/>
  <c r="Q13" i="4" s="1"/>
  <c r="D34" i="1"/>
  <c r="D12" i="4" s="1"/>
  <c r="L34" i="1"/>
  <c r="L12" i="4" s="1"/>
  <c r="H35" i="1"/>
  <c r="H13" i="4" s="1"/>
  <c r="U34" i="1"/>
  <c r="V31" i="1"/>
  <c r="I34" i="1"/>
  <c r="I12" i="4" s="1"/>
  <c r="R31" i="1"/>
  <c r="R32" i="1"/>
  <c r="R33" i="1"/>
  <c r="R34" i="1"/>
  <c r="R35" i="1"/>
  <c r="E34" i="1"/>
  <c r="M34" i="1"/>
  <c r="M12" i="4" s="1"/>
  <c r="I35" i="1"/>
  <c r="U32" i="1"/>
  <c r="U10" i="4" s="1"/>
  <c r="V34" i="1"/>
  <c r="S31" i="1"/>
  <c r="S9" i="4" s="1"/>
  <c r="S32" i="1"/>
  <c r="S33" i="1"/>
  <c r="S34" i="1"/>
  <c r="S35" i="1"/>
  <c r="S13" i="4" s="1"/>
  <c r="F34" i="1"/>
  <c r="F12" i="4" s="1"/>
  <c r="B35" i="1"/>
  <c r="B13" i="4" s="1"/>
  <c r="J35" i="1"/>
  <c r="J13" i="4" s="1"/>
  <c r="U31" i="1"/>
  <c r="V35" i="1"/>
  <c r="V13" i="4" s="1"/>
  <c r="T31" i="1"/>
  <c r="T32" i="1"/>
  <c r="T33" i="1"/>
  <c r="T34" i="1"/>
  <c r="T35" i="1"/>
  <c r="T13" i="4" s="1"/>
  <c r="G34" i="1"/>
  <c r="G12" i="4" s="1"/>
  <c r="K35" i="1"/>
  <c r="K13" i="4" s="1"/>
  <c r="L35" i="1"/>
  <c r="L13" i="4" s="1"/>
  <c r="V33" i="1"/>
  <c r="E35" i="1"/>
  <c r="E13" i="4" s="1"/>
  <c r="K29" i="1"/>
  <c r="K7" i="4" s="1"/>
  <c r="V30" i="1"/>
  <c r="V8" i="4" s="1"/>
  <c r="V28" i="1"/>
  <c r="M28" i="1"/>
  <c r="U30" i="1"/>
  <c r="U8" i="4" s="1"/>
  <c r="U28" i="1"/>
  <c r="L28" i="1"/>
  <c r="T30" i="1"/>
  <c r="T8" i="4" s="1"/>
  <c r="T28" i="1"/>
  <c r="K28" i="1"/>
  <c r="S30" i="1"/>
  <c r="S8" i="4" s="1"/>
  <c r="S28" i="1"/>
  <c r="C34" i="23"/>
  <c r="C28" i="4" s="1"/>
  <c r="C33" i="23"/>
  <c r="C27" i="4" s="1"/>
  <c r="U22" i="4"/>
  <c r="K22" i="4"/>
  <c r="C29" i="1"/>
  <c r="C7" i="4" s="1"/>
  <c r="B30" i="1"/>
  <c r="F30" i="1"/>
  <c r="F8" i="4" s="1"/>
  <c r="J30" i="1"/>
  <c r="B31" i="1"/>
  <c r="B9" i="4" s="1"/>
  <c r="F31" i="1"/>
  <c r="J31" i="1"/>
  <c r="J9" i="4" s="1"/>
  <c r="B32" i="1"/>
  <c r="F32" i="1"/>
  <c r="F10" i="4" s="1"/>
  <c r="J32" i="1"/>
  <c r="J10" i="4" s="1"/>
  <c r="B33" i="1"/>
  <c r="F33" i="1"/>
  <c r="F11" i="4" s="1"/>
  <c r="J33" i="1"/>
  <c r="J11" i="4" s="1"/>
  <c r="C30" i="1"/>
  <c r="G30" i="1"/>
  <c r="G8" i="4" s="1"/>
  <c r="K30" i="1"/>
  <c r="C31" i="1"/>
  <c r="C9" i="4" s="1"/>
  <c r="G31" i="1"/>
  <c r="G9" i="4" s="1"/>
  <c r="K31" i="1"/>
  <c r="K9" i="4" s="1"/>
  <c r="C32" i="1"/>
  <c r="G32" i="1"/>
  <c r="G10" i="4" s="1"/>
  <c r="K32" i="1"/>
  <c r="C33" i="1"/>
  <c r="C11" i="4" s="1"/>
  <c r="G33" i="1"/>
  <c r="K33" i="1"/>
  <c r="K11" i="4" s="1"/>
  <c r="H30" i="1"/>
  <c r="H8" i="4" s="1"/>
  <c r="L30" i="1"/>
  <c r="L8" i="4" s="1"/>
  <c r="D31" i="1"/>
  <c r="D9" i="4" s="1"/>
  <c r="L31" i="1"/>
  <c r="L9" i="4" s="1"/>
  <c r="D32" i="1"/>
  <c r="L32" i="1"/>
  <c r="L10" i="4" s="1"/>
  <c r="D33" i="1"/>
  <c r="D11" i="4" s="1"/>
  <c r="L33" i="1"/>
  <c r="L11" i="4" s="1"/>
  <c r="D30" i="1"/>
  <c r="H31" i="1"/>
  <c r="H9" i="4" s="1"/>
  <c r="H32" i="1"/>
  <c r="H10" i="4" s="1"/>
  <c r="H33" i="1"/>
  <c r="H11" i="4" s="1"/>
  <c r="E30" i="1"/>
  <c r="I30" i="1"/>
  <c r="I8" i="4" s="1"/>
  <c r="M30" i="1"/>
  <c r="E31" i="1"/>
  <c r="E9" i="4" s="1"/>
  <c r="I31" i="1"/>
  <c r="I9" i="4" s="1"/>
  <c r="M31" i="1"/>
  <c r="M9" i="4" s="1"/>
  <c r="E32" i="1"/>
  <c r="E10" i="4" s="1"/>
  <c r="I32" i="1"/>
  <c r="M32" i="1"/>
  <c r="E33" i="1"/>
  <c r="I33" i="1"/>
  <c r="I11" i="4" s="1"/>
  <c r="M33" i="1"/>
  <c r="M11" i="4" s="1"/>
  <c r="F33" i="23"/>
  <c r="F27" i="4" s="1"/>
  <c r="E35" i="23"/>
  <c r="E29" i="4" s="1"/>
  <c r="H34" i="23"/>
  <c r="H28" i="4" s="1"/>
  <c r="M33" i="23"/>
  <c r="M27" i="4" s="1"/>
  <c r="L35" i="23"/>
  <c r="L29" i="4" s="1"/>
  <c r="M32" i="23"/>
  <c r="O36" i="23"/>
  <c r="O30" i="4" s="1"/>
  <c r="S36" i="23"/>
  <c r="S30" i="4" s="1"/>
  <c r="S34" i="23"/>
  <c r="S28" i="4" s="1"/>
  <c r="U33" i="23"/>
  <c r="J33" i="23"/>
  <c r="J27" i="4" s="1"/>
  <c r="I35" i="23"/>
  <c r="I29" i="4" s="1"/>
  <c r="D33" i="23"/>
  <c r="D27" i="4" s="1"/>
  <c r="G34" i="23"/>
  <c r="G28" i="4" s="1"/>
  <c r="H35" i="23"/>
  <c r="H29" i="4" s="1"/>
  <c r="F34" i="23"/>
  <c r="F28" i="4" s="1"/>
  <c r="E33" i="23"/>
  <c r="E27" i="4" s="1"/>
  <c r="C35" i="23"/>
  <c r="C29" i="4" s="1"/>
  <c r="K35" i="23"/>
  <c r="K29" i="4" s="1"/>
  <c r="L32" i="23"/>
  <c r="V36" i="23"/>
  <c r="V30" i="4" s="1"/>
  <c r="R36" i="23"/>
  <c r="R30" i="4" s="1"/>
  <c r="T35" i="23"/>
  <c r="T29" i="4" s="1"/>
  <c r="P35" i="23"/>
  <c r="P29" i="4" s="1"/>
  <c r="V34" i="23"/>
  <c r="V28" i="4" s="1"/>
  <c r="T33" i="23"/>
  <c r="D35" i="23"/>
  <c r="D29" i="4" s="1"/>
  <c r="D32" i="23"/>
  <c r="H33" i="23"/>
  <c r="H27" i="4" s="1"/>
  <c r="F35" i="23"/>
  <c r="F29" i="4" s="1"/>
  <c r="C32" i="23"/>
  <c r="J34" i="23"/>
  <c r="J28" i="4" s="1"/>
  <c r="F32" i="23"/>
  <c r="I33" i="23"/>
  <c r="G35" i="23"/>
  <c r="G29" i="4" s="1"/>
  <c r="M34" i="23"/>
  <c r="M28" i="4" s="1"/>
  <c r="L33" i="23"/>
  <c r="L27" i="4" s="1"/>
  <c r="K32" i="23"/>
  <c r="O33" i="23"/>
  <c r="O27" i="4" s="1"/>
  <c r="U36" i="23"/>
  <c r="U30" i="4" s="1"/>
  <c r="Q36" i="23"/>
  <c r="Q30" i="4" s="1"/>
  <c r="S35" i="23"/>
  <c r="S29" i="4" s="1"/>
  <c r="U34" i="23"/>
  <c r="U28" i="4" s="1"/>
  <c r="Q34" i="23"/>
  <c r="Q28" i="4" s="1"/>
  <c r="S33" i="23"/>
  <c r="K34" i="23"/>
  <c r="K28" i="4" s="1"/>
  <c r="U35" i="23"/>
  <c r="U29" i="4" s="1"/>
  <c r="Q35" i="23"/>
  <c r="Q29" i="4" s="1"/>
  <c r="Q33" i="23"/>
  <c r="O35" i="23"/>
  <c r="O29" i="4" s="1"/>
  <c r="R34" i="23"/>
  <c r="R28" i="4" s="1"/>
  <c r="P33" i="23"/>
  <c r="G32" i="23"/>
  <c r="G33" i="23"/>
  <c r="G27" i="4" s="1"/>
  <c r="E32" i="23"/>
  <c r="J35" i="23"/>
  <c r="J29" i="4" s="1"/>
  <c r="E34" i="23"/>
  <c r="E28" i="4" s="1"/>
  <c r="H32" i="23"/>
  <c r="J32" i="23"/>
  <c r="D34" i="23"/>
  <c r="D28" i="4" s="1"/>
  <c r="M35" i="23"/>
  <c r="M29" i="4" s="1"/>
  <c r="L34" i="23"/>
  <c r="L28" i="4" s="1"/>
  <c r="K33" i="23"/>
  <c r="K27" i="4" s="1"/>
  <c r="T36" i="23"/>
  <c r="T30" i="4" s="1"/>
  <c r="P36" i="23"/>
  <c r="P30" i="4" s="1"/>
  <c r="V35" i="23"/>
  <c r="V29" i="4" s="1"/>
  <c r="R35" i="23"/>
  <c r="R29" i="4" s="1"/>
  <c r="T34" i="23"/>
  <c r="T28" i="4" s="1"/>
  <c r="P34" i="23"/>
  <c r="P28" i="4" s="1"/>
  <c r="V33" i="23"/>
  <c r="R33" i="23"/>
  <c r="E8" i="4"/>
  <c r="B11" i="4"/>
  <c r="U11" i="4"/>
  <c r="T10" i="4"/>
  <c r="V12" i="4"/>
  <c r="R11" i="4"/>
  <c r="U12" i="4"/>
  <c r="T12" i="4"/>
  <c r="S11" i="4"/>
  <c r="V10" i="4"/>
  <c r="U9" i="4"/>
  <c r="K10" i="4"/>
  <c r="T11" i="4"/>
  <c r="S10" i="4"/>
  <c r="V9" i="4"/>
  <c r="E11" i="4"/>
  <c r="Q11" i="4"/>
  <c r="P12" i="4"/>
  <c r="Q9" i="4"/>
  <c r="M10" i="4"/>
  <c r="S12" i="4"/>
  <c r="V11" i="4"/>
  <c r="T9" i="4"/>
  <c r="D22" i="4"/>
  <c r="L22" i="4"/>
  <c r="E22" i="4"/>
  <c r="M22" i="4"/>
  <c r="H22" i="4"/>
  <c r="I22" i="4"/>
  <c r="C22" i="4"/>
  <c r="G22" i="4"/>
  <c r="Q22" i="4"/>
  <c r="F22" i="4"/>
  <c r="J22" i="4"/>
  <c r="P22" i="4"/>
  <c r="T6" i="4"/>
  <c r="J6" i="4"/>
  <c r="K6" i="4"/>
  <c r="S6" i="4"/>
  <c r="Q6" i="4"/>
  <c r="L6" i="4"/>
  <c r="P6" i="4"/>
  <c r="M6" i="4"/>
  <c r="U6" i="4"/>
  <c r="T4" i="33"/>
  <c r="T22" i="33" s="1"/>
  <c r="Q22" i="1"/>
  <c r="R13" i="4"/>
  <c r="H29" i="1"/>
  <c r="E28" i="1"/>
  <c r="F28" i="1"/>
  <c r="R41" i="1"/>
  <c r="R19" i="4" s="1"/>
  <c r="R37" i="1"/>
  <c r="R15" i="4" s="1"/>
  <c r="Q29" i="1"/>
  <c r="O37" i="1"/>
  <c r="O15" i="4" s="1"/>
  <c r="P29" i="1"/>
  <c r="B12" i="4"/>
  <c r="C12" i="4"/>
  <c r="I28" i="1"/>
  <c r="H28" i="1"/>
  <c r="G28" i="1"/>
  <c r="I10" i="4"/>
  <c r="R42" i="1"/>
  <c r="R20" i="4" s="1"/>
  <c r="R38" i="1"/>
  <c r="R16" i="4" s="1"/>
  <c r="R12" i="4"/>
  <c r="L74" i="4"/>
  <c r="L62" i="4"/>
  <c r="E55" i="4"/>
  <c r="E62" i="4"/>
  <c r="P21" i="4"/>
  <c r="I52" i="23"/>
  <c r="R4" i="33"/>
  <c r="V37" i="4"/>
  <c r="R37" i="4"/>
  <c r="K37" i="4"/>
  <c r="I45" i="23"/>
  <c r="U4" i="33"/>
  <c r="O21" i="4"/>
  <c r="R21" i="4"/>
  <c r="Q21" i="4"/>
  <c r="S4" i="33"/>
  <c r="C27" i="23"/>
  <c r="C52" i="23" s="1"/>
  <c r="I27" i="23"/>
  <c r="V21" i="4"/>
  <c r="T21" i="4"/>
  <c r="B21" i="4"/>
  <c r="O37" i="23"/>
  <c r="O31" i="4" s="1"/>
  <c r="O34" i="23"/>
  <c r="O28" i="4" s="1"/>
  <c r="O38" i="23"/>
  <c r="T37" i="4"/>
  <c r="B38" i="23"/>
  <c r="F37" i="4"/>
  <c r="L37" i="4"/>
  <c r="P37" i="4"/>
  <c r="S37" i="4"/>
  <c r="J37" i="4"/>
  <c r="H37" i="4"/>
  <c r="M37" i="4"/>
  <c r="O37" i="4"/>
  <c r="Q4" i="4"/>
  <c r="Q62" i="4" s="1"/>
  <c r="P27" i="23"/>
  <c r="P52" i="23" s="1"/>
  <c r="J4" i="1"/>
  <c r="J4" i="4" s="1"/>
  <c r="J4" i="23"/>
  <c r="J45" i="23" s="1"/>
  <c r="M4" i="23"/>
  <c r="M27" i="23" s="1"/>
  <c r="M4" i="1"/>
  <c r="M4" i="4" s="1"/>
  <c r="L45" i="1"/>
  <c r="L27" i="1"/>
  <c r="L52" i="1" s="1"/>
  <c r="O32" i="23"/>
  <c r="O31" i="23"/>
  <c r="O25" i="4" s="1"/>
  <c r="O30" i="23"/>
  <c r="O24" i="4" s="1"/>
  <c r="B33" i="23"/>
  <c r="B27" i="4" s="1"/>
  <c r="B28" i="23"/>
  <c r="B30" i="23"/>
  <c r="B24" i="4" s="1"/>
  <c r="B34" i="23"/>
  <c r="B28" i="4" s="1"/>
  <c r="B35" i="23"/>
  <c r="O28" i="23"/>
  <c r="B31" i="23"/>
  <c r="B25" i="4" s="1"/>
  <c r="B29" i="23"/>
  <c r="B23" i="4" s="1"/>
  <c r="M46" i="23"/>
  <c r="M53" i="23" s="1"/>
  <c r="P10" i="4"/>
  <c r="D4" i="4"/>
  <c r="P23" i="4"/>
  <c r="O29" i="1"/>
  <c r="O7" i="4" s="1"/>
  <c r="B27" i="23"/>
  <c r="B52" i="23" s="1"/>
  <c r="K45" i="23"/>
  <c r="E27" i="23"/>
  <c r="E52" i="23" s="1"/>
  <c r="Q30" i="1"/>
  <c r="Q8" i="4" s="1"/>
  <c r="B29" i="1"/>
  <c r="B7" i="4" s="1"/>
  <c r="P13" i="4"/>
  <c r="P9" i="4"/>
  <c r="H22" i="23"/>
  <c r="P37" i="1"/>
  <c r="F22" i="23"/>
  <c r="H45" i="23"/>
  <c r="R9" i="4"/>
  <c r="R22" i="4"/>
  <c r="V22" i="4"/>
  <c r="J21" i="4"/>
  <c r="E37" i="4"/>
  <c r="M21" i="4"/>
  <c r="R28" i="1"/>
  <c r="R30" i="1"/>
  <c r="R8" i="4" s="1"/>
  <c r="L21" i="4"/>
  <c r="U21" i="4"/>
  <c r="R29" i="1"/>
  <c r="R7" i="4" s="1"/>
  <c r="D21" i="4"/>
  <c r="C37" i="4"/>
  <c r="I37" i="4"/>
  <c r="K21" i="4"/>
  <c r="P14" i="4"/>
  <c r="C21" i="4"/>
  <c r="B37" i="4"/>
  <c r="D37" i="4"/>
  <c r="G37" i="4"/>
  <c r="O12" i="4"/>
  <c r="O13" i="4"/>
  <c r="O11" i="4"/>
  <c r="O30" i="1"/>
  <c r="O8" i="4" s="1"/>
  <c r="O9" i="4"/>
  <c r="D28" i="1"/>
  <c r="B28" i="1"/>
  <c r="B8" i="4"/>
  <c r="C28" i="1"/>
  <c r="O28" i="1"/>
  <c r="C8" i="4"/>
  <c r="D29" i="1"/>
  <c r="D7" i="4" s="1"/>
  <c r="V6" i="4"/>
  <c r="G21" i="4"/>
  <c r="I21" i="4"/>
  <c r="F21" i="4"/>
  <c r="H21" i="4"/>
  <c r="E21" i="4"/>
  <c r="L52" i="23"/>
  <c r="E7" i="4"/>
  <c r="D17" i="4"/>
  <c r="G7" i="4"/>
  <c r="C4" i="4"/>
  <c r="E47" i="23"/>
  <c r="G27" i="23"/>
  <c r="G52" i="23" s="1"/>
  <c r="K27" i="23"/>
  <c r="L22" i="1"/>
  <c r="I7" i="4"/>
  <c r="D27" i="1"/>
  <c r="D52" i="1" s="1"/>
  <c r="D45" i="1"/>
  <c r="D22" i="23"/>
  <c r="D45" i="23"/>
  <c r="D27" i="23"/>
  <c r="D52" i="23" s="1"/>
  <c r="F45" i="23"/>
  <c r="E22" i="23"/>
  <c r="G22" i="23"/>
  <c r="K22" i="23"/>
  <c r="L45" i="23"/>
  <c r="O22" i="23"/>
  <c r="Q22" i="23"/>
  <c r="B22" i="23"/>
  <c r="C22" i="23"/>
  <c r="L22" i="23"/>
  <c r="Q27" i="23"/>
  <c r="Q52" i="23" s="1"/>
  <c r="O27" i="23"/>
  <c r="O52" i="23" s="1"/>
  <c r="E45" i="1"/>
  <c r="B27" i="1"/>
  <c r="B52" i="1" s="1"/>
  <c r="K27" i="1"/>
  <c r="K52" i="1" s="1"/>
  <c r="F4" i="4"/>
  <c r="G22" i="1"/>
  <c r="F45" i="1"/>
  <c r="C22" i="1"/>
  <c r="B22" i="1"/>
  <c r="G45" i="1"/>
  <c r="E27" i="1"/>
  <c r="E52" i="1" s="1"/>
  <c r="E22" i="1"/>
  <c r="I22" i="1"/>
  <c r="I27" i="1"/>
  <c r="P27" i="1"/>
  <c r="P52" i="1" s="1"/>
  <c r="H4" i="4"/>
  <c r="F22" i="1"/>
  <c r="I4" i="4"/>
  <c r="G4" i="4"/>
  <c r="C27" i="1"/>
  <c r="C52" i="1" s="1"/>
  <c r="B45" i="1"/>
  <c r="K74" i="4"/>
  <c r="K22" i="1"/>
  <c r="H22" i="1"/>
  <c r="O4" i="4"/>
  <c r="H45" i="1"/>
  <c r="O45" i="1"/>
  <c r="P4" i="4"/>
  <c r="K45" i="1"/>
  <c r="P45" i="1"/>
  <c r="O27" i="1"/>
  <c r="O52" i="1" s="1"/>
  <c r="I52" i="1"/>
  <c r="K55" i="4"/>
  <c r="B55" i="4"/>
  <c r="L55" i="4"/>
  <c r="E74" i="4"/>
  <c r="B74" i="4"/>
  <c r="T27" i="4" l="1"/>
  <c r="T63" i="4" s="1"/>
  <c r="T64" i="4" s="1"/>
  <c r="E48" i="23"/>
  <c r="E54" i="23" s="1"/>
  <c r="V57" i="1"/>
  <c r="T57" i="1"/>
  <c r="U57" i="1"/>
  <c r="S57" i="1"/>
  <c r="S47" i="1"/>
  <c r="S48" i="1" s="1"/>
  <c r="S54" i="1" s="1"/>
  <c r="J8" i="4"/>
  <c r="M8" i="4"/>
  <c r="K8" i="4"/>
  <c r="K57" i="4" s="1"/>
  <c r="S46" i="23"/>
  <c r="S53" i="23" s="1"/>
  <c r="P47" i="23"/>
  <c r="P48" i="23" s="1"/>
  <c r="P54" i="23" s="1"/>
  <c r="V57" i="23"/>
  <c r="I57" i="23"/>
  <c r="T57" i="23"/>
  <c r="U57" i="23"/>
  <c r="M57" i="23"/>
  <c r="G57" i="23"/>
  <c r="Q57" i="23"/>
  <c r="S57" i="23"/>
  <c r="F57" i="23"/>
  <c r="P57" i="23"/>
  <c r="D57" i="23"/>
  <c r="L57" i="23"/>
  <c r="H57" i="23"/>
  <c r="K57" i="23"/>
  <c r="R57" i="23"/>
  <c r="J57" i="23"/>
  <c r="E57" i="23"/>
  <c r="C57" i="23"/>
  <c r="V27" i="4"/>
  <c r="I27" i="4"/>
  <c r="U27" i="4"/>
  <c r="M26" i="4"/>
  <c r="M63" i="4" s="1"/>
  <c r="M64" i="4" s="1"/>
  <c r="G26" i="4"/>
  <c r="Q27" i="4"/>
  <c r="S27" i="4"/>
  <c r="S63" i="4" s="1"/>
  <c r="S64" i="4" s="1"/>
  <c r="F26" i="4"/>
  <c r="P27" i="4"/>
  <c r="D26" i="4"/>
  <c r="L26" i="4"/>
  <c r="L56" i="4" s="1"/>
  <c r="L75" i="4" s="1"/>
  <c r="H26" i="4"/>
  <c r="K26" i="4"/>
  <c r="V46" i="23"/>
  <c r="V53" i="23" s="1"/>
  <c r="V47" i="23"/>
  <c r="V48" i="23" s="1"/>
  <c r="V54" i="23" s="1"/>
  <c r="R27" i="4"/>
  <c r="J26" i="4"/>
  <c r="J63" i="4" s="1"/>
  <c r="J64" i="4" s="1"/>
  <c r="E26" i="4"/>
  <c r="C26" i="4"/>
  <c r="M57" i="1"/>
  <c r="K57" i="1"/>
  <c r="J57" i="1"/>
  <c r="L57" i="1"/>
  <c r="E46" i="23"/>
  <c r="E53" i="23" s="1"/>
  <c r="F46" i="23"/>
  <c r="F53" i="23" s="1"/>
  <c r="K46" i="23"/>
  <c r="K53" i="23" s="1"/>
  <c r="G46" i="23"/>
  <c r="G53" i="23" s="1"/>
  <c r="M47" i="23"/>
  <c r="M48" i="23" s="1"/>
  <c r="M54" i="23" s="1"/>
  <c r="I46" i="23"/>
  <c r="I53" i="23" s="1"/>
  <c r="Q47" i="23"/>
  <c r="Q48" i="23" s="1"/>
  <c r="Q54" i="23" s="1"/>
  <c r="Q46" i="23"/>
  <c r="Q53" i="23" s="1"/>
  <c r="F47" i="23"/>
  <c r="F48" i="23" s="1"/>
  <c r="F54" i="23" s="1"/>
  <c r="S47" i="23"/>
  <c r="S48" i="23" s="1"/>
  <c r="S54" i="23" s="1"/>
  <c r="I47" i="23"/>
  <c r="I48" i="23" s="1"/>
  <c r="I54" i="23" s="1"/>
  <c r="T47" i="23"/>
  <c r="T48" i="23" s="1"/>
  <c r="T54" i="23" s="1"/>
  <c r="D46" i="23"/>
  <c r="D53" i="23" s="1"/>
  <c r="L46" i="23"/>
  <c r="L53" i="23" s="1"/>
  <c r="P46" i="23"/>
  <c r="P53" i="23" s="1"/>
  <c r="C46" i="23"/>
  <c r="C53" i="23" s="1"/>
  <c r="U47" i="23"/>
  <c r="U48" i="23" s="1"/>
  <c r="U54" i="23" s="1"/>
  <c r="H46" i="23"/>
  <c r="H53" i="23" s="1"/>
  <c r="U46" i="23"/>
  <c r="U53" i="23" s="1"/>
  <c r="H47" i="23"/>
  <c r="H48" i="23" s="1"/>
  <c r="H54" i="23" s="1"/>
  <c r="D47" i="23"/>
  <c r="D48" i="23" s="1"/>
  <c r="D54" i="23" s="1"/>
  <c r="R47" i="23"/>
  <c r="R48" i="23" s="1"/>
  <c r="R54" i="23" s="1"/>
  <c r="J47" i="23"/>
  <c r="J48" i="23" s="1"/>
  <c r="J54" i="23" s="1"/>
  <c r="T46" i="23"/>
  <c r="T53" i="23" s="1"/>
  <c r="L47" i="23"/>
  <c r="L48" i="23" s="1"/>
  <c r="L54" i="23" s="1"/>
  <c r="J46" i="23"/>
  <c r="J53" i="23" s="1"/>
  <c r="C47" i="23"/>
  <c r="C48" i="23" s="1"/>
  <c r="C54" i="23" s="1"/>
  <c r="K47" i="23"/>
  <c r="K48" i="23" s="1"/>
  <c r="K54" i="23" s="1"/>
  <c r="G47" i="23"/>
  <c r="G48" i="23" s="1"/>
  <c r="G54" i="23" s="1"/>
  <c r="R46" i="23"/>
  <c r="R53" i="23" s="1"/>
  <c r="L47" i="1"/>
  <c r="L48" i="1" s="1"/>
  <c r="L54" i="1" s="1"/>
  <c r="U47" i="1"/>
  <c r="U48" i="1" s="1"/>
  <c r="U54" i="1" s="1"/>
  <c r="V46" i="1"/>
  <c r="V53" i="1" s="1"/>
  <c r="S46" i="1"/>
  <c r="S53" i="1" s="1"/>
  <c r="T46" i="1"/>
  <c r="T53" i="1" s="1"/>
  <c r="U46" i="1"/>
  <c r="U53" i="1" s="1"/>
  <c r="M47" i="1"/>
  <c r="M48" i="1" s="1"/>
  <c r="M54" i="1" s="1"/>
  <c r="J46" i="1"/>
  <c r="J53" i="1" s="1"/>
  <c r="K47" i="1"/>
  <c r="K48" i="1" s="1"/>
  <c r="K54" i="1" s="1"/>
  <c r="V47" i="1"/>
  <c r="V48" i="1" s="1"/>
  <c r="V54" i="1" s="1"/>
  <c r="M46" i="1"/>
  <c r="M53" i="1" s="1"/>
  <c r="F46" i="1"/>
  <c r="F53" i="1" s="1"/>
  <c r="L46" i="1"/>
  <c r="L53" i="1" s="1"/>
  <c r="J47" i="1"/>
  <c r="J48" i="1" s="1"/>
  <c r="J54" i="1" s="1"/>
  <c r="T47" i="1"/>
  <c r="T48" i="1" s="1"/>
  <c r="T54" i="1" s="1"/>
  <c r="K46" i="1"/>
  <c r="K53" i="1" s="1"/>
  <c r="B22" i="4"/>
  <c r="D6" i="4"/>
  <c r="R6" i="4"/>
  <c r="I6" i="4"/>
  <c r="P7" i="4"/>
  <c r="E6" i="4"/>
  <c r="O6" i="4"/>
  <c r="B6" i="4"/>
  <c r="C6" i="4"/>
  <c r="H6" i="4"/>
  <c r="F6" i="4"/>
  <c r="P47" i="1"/>
  <c r="P48" i="1" s="1"/>
  <c r="P54" i="1" s="1"/>
  <c r="L63" i="4"/>
  <c r="L64" i="4" s="1"/>
  <c r="G6" i="4"/>
  <c r="Q7" i="4"/>
  <c r="V63" i="4"/>
  <c r="V64" i="4" s="1"/>
  <c r="T27" i="33"/>
  <c r="T52" i="33" s="1"/>
  <c r="T45" i="33"/>
  <c r="I47" i="1"/>
  <c r="I48" i="1" s="1"/>
  <c r="I54" i="1" s="1"/>
  <c r="F47" i="1"/>
  <c r="F48" i="1" s="1"/>
  <c r="F54" i="1" s="1"/>
  <c r="G47" i="1"/>
  <c r="G48" i="1" s="1"/>
  <c r="G54" i="1" s="1"/>
  <c r="E47" i="1"/>
  <c r="E48" i="1" s="1"/>
  <c r="E54" i="1" s="1"/>
  <c r="Q46" i="1"/>
  <c r="Q53" i="1" s="1"/>
  <c r="E46" i="1"/>
  <c r="E53" i="1" s="1"/>
  <c r="Q47" i="1"/>
  <c r="Q48" i="1" s="1"/>
  <c r="Q54" i="1" s="1"/>
  <c r="I46" i="1"/>
  <c r="I53" i="1" s="1"/>
  <c r="Q74" i="4"/>
  <c r="H57" i="1"/>
  <c r="G57" i="1"/>
  <c r="F57" i="1"/>
  <c r="I57" i="1"/>
  <c r="E57" i="1"/>
  <c r="H7" i="4"/>
  <c r="G46" i="1"/>
  <c r="G53" i="1" s="1"/>
  <c r="H46" i="1"/>
  <c r="H53" i="1" s="1"/>
  <c r="H47" i="1"/>
  <c r="H48" i="1" s="1"/>
  <c r="H54" i="1" s="1"/>
  <c r="G11" i="4"/>
  <c r="F9" i="4"/>
  <c r="I13" i="4"/>
  <c r="E12" i="4"/>
  <c r="I55" i="4"/>
  <c r="I62" i="4"/>
  <c r="V57" i="4"/>
  <c r="V58" i="4" s="1"/>
  <c r="V76" i="4" s="1"/>
  <c r="V56" i="4"/>
  <c r="V75" i="4" s="1"/>
  <c r="J56" i="4"/>
  <c r="J75" i="4" s="1"/>
  <c r="O55" i="4"/>
  <c r="O62" i="4"/>
  <c r="F55" i="4"/>
  <c r="F62" i="4"/>
  <c r="M55" i="4"/>
  <c r="M62" i="4"/>
  <c r="J55" i="4"/>
  <c r="J62" i="4"/>
  <c r="J57" i="4"/>
  <c r="J58" i="4" s="1"/>
  <c r="J76" i="4" s="1"/>
  <c r="P55" i="4"/>
  <c r="P62" i="4"/>
  <c r="G55" i="4"/>
  <c r="G62" i="4"/>
  <c r="H74" i="4"/>
  <c r="H62" i="4"/>
  <c r="U22" i="33"/>
  <c r="U45" i="33"/>
  <c r="U27" i="33"/>
  <c r="U52" i="33" s="1"/>
  <c r="R45" i="33"/>
  <c r="R27" i="33"/>
  <c r="R52" i="33" s="1"/>
  <c r="R22" i="33"/>
  <c r="C74" i="4"/>
  <c r="C62" i="4"/>
  <c r="D55" i="4"/>
  <c r="D62" i="4"/>
  <c r="S27" i="33"/>
  <c r="S52" i="33" s="1"/>
  <c r="S22" i="33"/>
  <c r="S45" i="33"/>
  <c r="V4" i="33"/>
  <c r="Q55" i="4"/>
  <c r="V4" i="1"/>
  <c r="V45" i="1" s="1"/>
  <c r="O32" i="4"/>
  <c r="Q10" i="4"/>
  <c r="B32" i="4"/>
  <c r="H55" i="4"/>
  <c r="R10" i="4"/>
  <c r="O14" i="4"/>
  <c r="P15" i="4"/>
  <c r="V4" i="23"/>
  <c r="V45" i="23" s="1"/>
  <c r="B10" i="4"/>
  <c r="O26" i="4"/>
  <c r="P46" i="1"/>
  <c r="P53" i="1" s="1"/>
  <c r="U4" i="1"/>
  <c r="U22" i="1" s="1"/>
  <c r="M74" i="4"/>
  <c r="M27" i="1"/>
  <c r="M52" i="1" s="1"/>
  <c r="M22" i="1"/>
  <c r="J52" i="1"/>
  <c r="J74" i="4"/>
  <c r="J27" i="1"/>
  <c r="J45" i="1"/>
  <c r="S4" i="1"/>
  <c r="S4" i="23"/>
  <c r="C55" i="4"/>
  <c r="U4" i="23"/>
  <c r="U22" i="23" s="1"/>
  <c r="J22" i="23"/>
  <c r="J52" i="23"/>
  <c r="J22" i="1"/>
  <c r="J27" i="23"/>
  <c r="R4" i="1"/>
  <c r="R22" i="1" s="1"/>
  <c r="R4" i="23"/>
  <c r="R22" i="23" s="1"/>
  <c r="M52" i="23"/>
  <c r="M22" i="23"/>
  <c r="M45" i="23"/>
  <c r="M45" i="1"/>
  <c r="B46" i="23"/>
  <c r="B53" i="23" s="1"/>
  <c r="B55" i="23" s="1"/>
  <c r="O46" i="23"/>
  <c r="O53" i="23" s="1"/>
  <c r="O55" i="23" s="1"/>
  <c r="O47" i="23"/>
  <c r="O48" i="23" s="1"/>
  <c r="O54" i="23" s="1"/>
  <c r="B47" i="23"/>
  <c r="B48" i="23" s="1"/>
  <c r="B54" i="23" s="1"/>
  <c r="B57" i="23"/>
  <c r="O57" i="23"/>
  <c r="B29" i="4"/>
  <c r="O22" i="4"/>
  <c r="R47" i="1"/>
  <c r="R48" i="1" s="1"/>
  <c r="R54" i="1" s="1"/>
  <c r="Q57" i="1"/>
  <c r="D74" i="4"/>
  <c r="R46" i="1"/>
  <c r="R53" i="1" s="1"/>
  <c r="C47" i="1"/>
  <c r="C48" i="1" s="1"/>
  <c r="C54" i="1" s="1"/>
  <c r="G74" i="4"/>
  <c r="D57" i="1"/>
  <c r="R57" i="1"/>
  <c r="P57" i="1"/>
  <c r="O57" i="1"/>
  <c r="C57" i="1"/>
  <c r="D10" i="4"/>
  <c r="C10" i="4"/>
  <c r="B57" i="1"/>
  <c r="C46" i="1"/>
  <c r="C53" i="1" s="1"/>
  <c r="B46" i="1"/>
  <c r="B53" i="1" s="1"/>
  <c r="B47" i="1"/>
  <c r="B48" i="1" s="1"/>
  <c r="B54" i="1" s="1"/>
  <c r="D46" i="1"/>
  <c r="D53" i="1" s="1"/>
  <c r="O47" i="1"/>
  <c r="O48" i="1" s="1"/>
  <c r="O54" i="1" s="1"/>
  <c r="O46" i="1"/>
  <c r="O53" i="1" s="1"/>
  <c r="O55" i="1" s="1"/>
  <c r="D47" i="1"/>
  <c r="D48" i="1" s="1"/>
  <c r="D54" i="1" s="1"/>
  <c r="D8" i="4"/>
  <c r="T4" i="1"/>
  <c r="T4" i="23"/>
  <c r="F74" i="4"/>
  <c r="I74" i="4"/>
  <c r="O74" i="4"/>
  <c r="P74" i="4"/>
  <c r="T57" i="4" l="1"/>
  <c r="T58" i="4" s="1"/>
  <c r="T76" i="4" s="1"/>
  <c r="T79" i="4"/>
  <c r="U56" i="4"/>
  <c r="U75" i="4" s="1"/>
  <c r="S56" i="4"/>
  <c r="S75" i="4" s="1"/>
  <c r="S57" i="4"/>
  <c r="S58" i="4" s="1"/>
  <c r="S76" i="4" s="1"/>
  <c r="T56" i="4"/>
  <c r="T75" i="4" s="1"/>
  <c r="L57" i="4"/>
  <c r="L58" i="4" s="1"/>
  <c r="L76" i="4" s="1"/>
  <c r="K56" i="4"/>
  <c r="K75" i="4" s="1"/>
  <c r="K58" i="4"/>
  <c r="K76" i="4" s="1"/>
  <c r="U57" i="4"/>
  <c r="U58" i="4" s="1"/>
  <c r="U76" i="4" s="1"/>
  <c r="U63" i="4"/>
  <c r="U64" i="4" s="1"/>
  <c r="M56" i="4"/>
  <c r="M75" i="4" s="1"/>
  <c r="M57" i="4"/>
  <c r="M58" i="4" s="1"/>
  <c r="M76" i="4" s="1"/>
  <c r="K63" i="4"/>
  <c r="K64" i="4" s="1"/>
  <c r="J79" i="4"/>
  <c r="K79" i="4"/>
  <c r="V79" i="4"/>
  <c r="M79" i="4"/>
  <c r="L79" i="4"/>
  <c r="S79" i="4"/>
  <c r="U79" i="4"/>
  <c r="C63" i="4"/>
  <c r="C64" i="4" s="1"/>
  <c r="R63" i="4"/>
  <c r="R64" i="4" s="1"/>
  <c r="I57" i="4"/>
  <c r="I58" i="4" s="1"/>
  <c r="I76" i="4" s="1"/>
  <c r="F55" i="23"/>
  <c r="C55" i="23"/>
  <c r="I63" i="4"/>
  <c r="I64" i="4" s="1"/>
  <c r="H56" i="4"/>
  <c r="H75" i="4" s="1"/>
  <c r="F63" i="4"/>
  <c r="F64" i="4" s="1"/>
  <c r="G55" i="1"/>
  <c r="V4" i="4"/>
  <c r="V55" i="4" s="1"/>
  <c r="Q55" i="23"/>
  <c r="U55" i="23"/>
  <c r="T55" i="23"/>
  <c r="R55" i="23"/>
  <c r="S55" i="23"/>
  <c r="V55" i="23"/>
  <c r="P55" i="23"/>
  <c r="S55" i="1"/>
  <c r="U55" i="1"/>
  <c r="R55" i="1"/>
  <c r="T55" i="1"/>
  <c r="P55" i="1"/>
  <c r="Q55" i="1"/>
  <c r="V55" i="1"/>
  <c r="D63" i="4"/>
  <c r="D64" i="4" s="1"/>
  <c r="B63" i="4"/>
  <c r="B64" i="4" s="1"/>
  <c r="O63" i="4"/>
  <c r="O64" i="4" s="1"/>
  <c r="G56" i="4"/>
  <c r="G75" i="4" s="1"/>
  <c r="H57" i="4"/>
  <c r="H58" i="4" s="1"/>
  <c r="H76" i="4" s="1"/>
  <c r="H63" i="4"/>
  <c r="H64" i="4" s="1"/>
  <c r="P63" i="4"/>
  <c r="P64" i="4" s="1"/>
  <c r="G63" i="4"/>
  <c r="G64" i="4" s="1"/>
  <c r="E63" i="4"/>
  <c r="E64" i="4" s="1"/>
  <c r="Q63" i="4"/>
  <c r="Q64" i="4" s="1"/>
  <c r="V27" i="23"/>
  <c r="V52" i="23" s="1"/>
  <c r="I56" i="4"/>
  <c r="I75" i="4" s="1"/>
  <c r="U45" i="1"/>
  <c r="V22" i="1"/>
  <c r="V22" i="23"/>
  <c r="V27" i="1"/>
  <c r="V52" i="1" s="1"/>
  <c r="G57" i="4"/>
  <c r="G58" i="4" s="1"/>
  <c r="G76" i="4" s="1"/>
  <c r="F57" i="4"/>
  <c r="F58" i="4" s="1"/>
  <c r="F76" i="4" s="1"/>
  <c r="B56" i="4"/>
  <c r="E79" i="4"/>
  <c r="G79" i="4"/>
  <c r="I79" i="4"/>
  <c r="H79" i="4"/>
  <c r="F79" i="4"/>
  <c r="E57" i="4"/>
  <c r="E58" i="4" s="1"/>
  <c r="E76" i="4" s="1"/>
  <c r="E56" i="4"/>
  <c r="E75" i="4" s="1"/>
  <c r="F56" i="4"/>
  <c r="F75" i="4" s="1"/>
  <c r="P57" i="4"/>
  <c r="P58" i="4" s="1"/>
  <c r="P76" i="4" s="1"/>
  <c r="R56" i="4"/>
  <c r="R75" i="4" s="1"/>
  <c r="D56" i="4"/>
  <c r="D75" i="4" s="1"/>
  <c r="B57" i="4"/>
  <c r="B58" i="4" s="1"/>
  <c r="B76" i="4" s="1"/>
  <c r="V45" i="33"/>
  <c r="V27" i="33"/>
  <c r="V52" i="33" s="1"/>
  <c r="V22" i="33"/>
  <c r="D57" i="4"/>
  <c r="D58" i="4" s="1"/>
  <c r="D76" i="4" s="1"/>
  <c r="O57" i="4"/>
  <c r="O58" i="4" s="1"/>
  <c r="O76" i="4" s="1"/>
  <c r="C57" i="4"/>
  <c r="C58" i="4" s="1"/>
  <c r="C76" i="4" s="1"/>
  <c r="Q56" i="4"/>
  <c r="Q75" i="4" s="1"/>
  <c r="O56" i="4"/>
  <c r="O75" i="4" s="1"/>
  <c r="C56" i="4"/>
  <c r="C75" i="4" s="1"/>
  <c r="V74" i="4"/>
  <c r="P56" i="4"/>
  <c r="R57" i="4"/>
  <c r="R58" i="4" s="1"/>
  <c r="R76" i="4" s="1"/>
  <c r="Q57" i="4"/>
  <c r="Q58" i="4" s="1"/>
  <c r="Q76" i="4" s="1"/>
  <c r="Q79" i="4"/>
  <c r="P79" i="4"/>
  <c r="R79" i="4"/>
  <c r="U4" i="4"/>
  <c r="U27" i="1"/>
  <c r="U52" i="1" s="1"/>
  <c r="C79" i="4"/>
  <c r="D79" i="4"/>
  <c r="L55" i="23"/>
  <c r="D55" i="23"/>
  <c r="H55" i="23"/>
  <c r="K55" i="23"/>
  <c r="J55" i="23"/>
  <c r="M55" i="23"/>
  <c r="G55" i="23"/>
  <c r="E55" i="23"/>
  <c r="I55" i="23"/>
  <c r="R59" i="23"/>
  <c r="R60" i="23" s="1"/>
  <c r="O79" i="4"/>
  <c r="B79" i="4"/>
  <c r="L59" i="23"/>
  <c r="L60" i="23" s="1"/>
  <c r="F59" i="23"/>
  <c r="F60" i="23" s="1"/>
  <c r="Q59" i="23"/>
  <c r="V59" i="23"/>
  <c r="P59" i="23"/>
  <c r="P60" i="23" s="1"/>
  <c r="T59" i="23"/>
  <c r="T60" i="23" s="1"/>
  <c r="U59" i="23"/>
  <c r="U60" i="23" s="1"/>
  <c r="S59" i="23"/>
  <c r="R45" i="23"/>
  <c r="S4" i="4"/>
  <c r="S62" i="4" s="1"/>
  <c r="S45" i="1"/>
  <c r="S27" i="1"/>
  <c r="S52" i="1" s="1"/>
  <c r="S22" i="1"/>
  <c r="U27" i="23"/>
  <c r="U52" i="23" s="1"/>
  <c r="U45" i="23"/>
  <c r="S45" i="23"/>
  <c r="S27" i="23"/>
  <c r="S52" i="23" s="1"/>
  <c r="S22" i="23"/>
  <c r="R45" i="1"/>
  <c r="R4" i="4"/>
  <c r="R62" i="4" s="1"/>
  <c r="R27" i="1"/>
  <c r="R52" i="1" s="1"/>
  <c r="R27" i="23"/>
  <c r="R52" i="23" s="1"/>
  <c r="C59" i="23"/>
  <c r="C60" i="23" s="1"/>
  <c r="E59" i="23"/>
  <c r="E60" i="23" s="1"/>
  <c r="J59" i="23"/>
  <c r="J60" i="23" s="1"/>
  <c r="K59" i="23"/>
  <c r="K60" i="23" s="1"/>
  <c r="D59" i="23"/>
  <c r="D60" i="23" s="1"/>
  <c r="I59" i="23"/>
  <c r="I60" i="23" s="1"/>
  <c r="O59" i="23"/>
  <c r="O60" i="23" s="1"/>
  <c r="G59" i="23"/>
  <c r="G60" i="23" s="1"/>
  <c r="H59" i="23"/>
  <c r="H60" i="23" s="1"/>
  <c r="M59" i="23"/>
  <c r="M60" i="23" s="1"/>
  <c r="C55" i="1"/>
  <c r="H55" i="1"/>
  <c r="F55" i="1"/>
  <c r="I55" i="1"/>
  <c r="L55" i="1"/>
  <c r="J55" i="1"/>
  <c r="D55" i="1"/>
  <c r="K55" i="1"/>
  <c r="E55" i="1"/>
  <c r="O59" i="1"/>
  <c r="O60" i="1" s="1"/>
  <c r="J59" i="1"/>
  <c r="F59" i="1"/>
  <c r="F60" i="1" s="1"/>
  <c r="M59" i="1"/>
  <c r="I59" i="1"/>
  <c r="E59" i="1"/>
  <c r="L59" i="1"/>
  <c r="L60" i="1" s="1"/>
  <c r="H59" i="1"/>
  <c r="H60" i="1" s="1"/>
  <c r="D59" i="1"/>
  <c r="K59" i="1"/>
  <c r="C59" i="1"/>
  <c r="C60" i="1" s="1"/>
  <c r="G59" i="1"/>
  <c r="G60" i="1" s="1"/>
  <c r="M55" i="1"/>
  <c r="T59" i="1"/>
  <c r="P59" i="1"/>
  <c r="P60" i="1" s="1"/>
  <c r="S59" i="1"/>
  <c r="S60" i="1" s="1"/>
  <c r="V59" i="1"/>
  <c r="V60" i="1" s="1"/>
  <c r="R59" i="1"/>
  <c r="R60" i="1" s="1"/>
  <c r="U59" i="1"/>
  <c r="U60" i="1" s="1"/>
  <c r="Q59" i="1"/>
  <c r="B55" i="1"/>
  <c r="T27" i="23"/>
  <c r="T52" i="23" s="1"/>
  <c r="T45" i="23"/>
  <c r="T22" i="23"/>
  <c r="T27" i="1"/>
  <c r="T52" i="1" s="1"/>
  <c r="T45" i="1"/>
  <c r="T4" i="4"/>
  <c r="T62" i="4" s="1"/>
  <c r="T22" i="1"/>
  <c r="T60" i="1"/>
  <c r="J60" i="1"/>
  <c r="S60" i="23"/>
  <c r="V60" i="23"/>
  <c r="D60" i="1"/>
  <c r="Q60" i="23"/>
  <c r="I60" i="1"/>
  <c r="K60" i="1"/>
  <c r="E60" i="1"/>
  <c r="M60" i="1"/>
  <c r="Q60" i="1"/>
  <c r="T77" i="4" l="1"/>
  <c r="T81" i="4"/>
  <c r="T82" i="4" s="1"/>
  <c r="S81" i="4"/>
  <c r="S82" i="4" s="1"/>
  <c r="U81" i="4"/>
  <c r="U82" i="4" s="1"/>
  <c r="V81" i="4"/>
  <c r="V82" i="4" s="1"/>
  <c r="R81" i="4"/>
  <c r="R82" i="4" s="1"/>
  <c r="C81" i="4"/>
  <c r="G81" i="4"/>
  <c r="D81" i="4"/>
  <c r="H81" i="4"/>
  <c r="E81" i="4"/>
  <c r="I81" i="4"/>
  <c r="F81" i="4"/>
  <c r="V62" i="4"/>
  <c r="P75" i="4"/>
  <c r="P77" i="4" s="1"/>
  <c r="O81" i="4"/>
  <c r="U74" i="4"/>
  <c r="U62" i="4"/>
  <c r="R61" i="23"/>
  <c r="U55" i="4"/>
  <c r="V77" i="4"/>
  <c r="U77" i="4"/>
  <c r="O77" i="4"/>
  <c r="S77" i="4"/>
  <c r="Q77" i="4"/>
  <c r="R77" i="4"/>
  <c r="P81" i="4"/>
  <c r="P82" i="4" s="1"/>
  <c r="Q81" i="4"/>
  <c r="B75" i="4"/>
  <c r="M81" i="4"/>
  <c r="J81" i="4"/>
  <c r="K81" i="4"/>
  <c r="L81" i="4"/>
  <c r="M61" i="23"/>
  <c r="I61" i="23"/>
  <c r="E61" i="23"/>
  <c r="D61" i="23"/>
  <c r="C61" i="23"/>
  <c r="Q61" i="23"/>
  <c r="U61" i="23"/>
  <c r="P61" i="23"/>
  <c r="F61" i="23"/>
  <c r="H61" i="23"/>
  <c r="K61" i="23"/>
  <c r="G61" i="23"/>
  <c r="J61" i="23"/>
  <c r="S61" i="23"/>
  <c r="T61" i="23"/>
  <c r="V61" i="23"/>
  <c r="L61" i="23"/>
  <c r="D61" i="1"/>
  <c r="U61" i="1"/>
  <c r="S61" i="1"/>
  <c r="G61" i="1"/>
  <c r="M61" i="1"/>
  <c r="L61" i="1"/>
  <c r="T61" i="1"/>
  <c r="E61" i="1"/>
  <c r="F61" i="1"/>
  <c r="K61" i="1"/>
  <c r="I61" i="1"/>
  <c r="J61" i="1"/>
  <c r="V61" i="1"/>
  <c r="H61" i="1"/>
  <c r="S55" i="4"/>
  <c r="S74" i="4"/>
  <c r="R55" i="4"/>
  <c r="R74" i="4"/>
  <c r="O61" i="1"/>
  <c r="Q61" i="1"/>
  <c r="P61" i="1"/>
  <c r="C61" i="1"/>
  <c r="R61" i="1"/>
  <c r="T55" i="4"/>
  <c r="T74" i="4"/>
  <c r="J82" i="4"/>
  <c r="G82" i="4"/>
  <c r="C82" i="4"/>
  <c r="O82" i="4"/>
  <c r="E82" i="4"/>
  <c r="D82" i="4"/>
  <c r="I82" i="4"/>
  <c r="L82" i="4"/>
  <c r="M82" i="4"/>
  <c r="H82" i="4"/>
  <c r="F82" i="4"/>
  <c r="Q82" i="4"/>
  <c r="K82" i="4"/>
  <c r="C83" i="4" l="1"/>
  <c r="F83" i="4"/>
  <c r="D83" i="4"/>
  <c r="V83" i="4"/>
  <c r="I83" i="4"/>
  <c r="G83" i="4"/>
  <c r="U83" i="4"/>
  <c r="E83" i="4"/>
  <c r="S83" i="4"/>
  <c r="H83" i="4"/>
  <c r="R83" i="4"/>
  <c r="T83" i="4"/>
  <c r="K77" i="4"/>
  <c r="J77" i="4"/>
  <c r="G77" i="4"/>
  <c r="F77" i="4"/>
  <c r="L77" i="4"/>
  <c r="B77" i="4"/>
  <c r="M77" i="4"/>
  <c r="I77" i="4"/>
  <c r="H77" i="4"/>
  <c r="D77" i="4"/>
  <c r="C77" i="4"/>
  <c r="E77" i="4"/>
  <c r="L83" i="4"/>
  <c r="M83" i="4"/>
  <c r="P83" i="4"/>
  <c r="Q83" i="4"/>
  <c r="K83" i="4"/>
  <c r="J83" i="4"/>
  <c r="O83" i="4"/>
  <c r="O61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8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A modifier si erreur dans le doc word - peut etre c'est Testo le témoin de référence</t>
        </r>
      </text>
    </comment>
    <comment ref="A69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A modifier si erreur dans le doc word - peut etre c'est Testo le témoin de référence</t>
        </r>
      </text>
    </comment>
  </commentList>
</comments>
</file>

<file path=xl/sharedStrings.xml><?xml version="1.0" encoding="utf-8"?>
<sst xmlns="http://schemas.openxmlformats.org/spreadsheetml/2006/main" count="203" uniqueCount="54">
  <si>
    <t>mean</t>
  </si>
  <si>
    <t>SD</t>
  </si>
  <si>
    <t>SEM</t>
  </si>
  <si>
    <t>Rep1</t>
  </si>
  <si>
    <t>Rep2</t>
  </si>
  <si>
    <t>R1</t>
  </si>
  <si>
    <t>R2</t>
  </si>
  <si>
    <t>Concentration</t>
  </si>
  <si>
    <t xml:space="preserve">Testo </t>
  </si>
  <si>
    <t>R3</t>
  </si>
  <si>
    <t>Mean</t>
  </si>
  <si>
    <t>Noms des groupes</t>
  </si>
  <si>
    <t>Nom des groupes</t>
  </si>
  <si>
    <t xml:space="preserve"> + Testostérone</t>
  </si>
  <si>
    <t>% induction</t>
  </si>
  <si>
    <t>Annotation</t>
  </si>
  <si>
    <t>Rep3</t>
  </si>
  <si>
    <t>ng/L</t>
  </si>
  <si>
    <t>EE2</t>
  </si>
  <si>
    <t>µg/L</t>
  </si>
  <si>
    <t xml:space="preserve">Testo 30µg/L + EE2 </t>
  </si>
  <si>
    <t>mg/L</t>
  </si>
  <si>
    <t>Testo 30µg/L + FAD</t>
  </si>
  <si>
    <t>Experiment number :</t>
  </si>
  <si>
    <t>Do not fill in</t>
  </si>
  <si>
    <t>Do not fill in2</t>
  </si>
  <si>
    <t>Units</t>
  </si>
  <si>
    <t>Chemical name</t>
  </si>
  <si>
    <t>Do not fill in3</t>
  </si>
  <si>
    <t>test chemical</t>
  </si>
  <si>
    <t>Solvent control</t>
  </si>
  <si>
    <t>33.8</t>
  </si>
  <si>
    <t>50.6</t>
  </si>
  <si>
    <t>170.9</t>
  </si>
  <si>
    <t>Raw data</t>
  </si>
  <si>
    <t>Data normalised to the "Testo" group</t>
  </si>
  <si>
    <t>Group names</t>
  </si>
  <si>
    <t>Normality test : p value</t>
  </si>
  <si>
    <t>Normality test : normal distibution?</t>
  </si>
  <si>
    <t>Statistical test used</t>
  </si>
  <si>
    <t>Statistical test : p value</t>
  </si>
  <si>
    <t>Unspiked</t>
  </si>
  <si>
    <t>Testosterone spiked</t>
  </si>
  <si>
    <t>N</t>
  </si>
  <si>
    <t>Group Name</t>
  </si>
  <si>
    <t>Control</t>
  </si>
  <si>
    <t>0.1</t>
  </si>
  <si>
    <t>Chromolyn</t>
  </si>
  <si>
    <t>Chromolyn_01</t>
  </si>
  <si>
    <t>Chromolyn_02</t>
  </si>
  <si>
    <t>Date performed : 23-09-2021</t>
  </si>
  <si>
    <t>Date performed : 17-09-2021</t>
  </si>
  <si>
    <t>Chromolyn_03</t>
  </si>
  <si>
    <t>Date performed : 30-09-2021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</si>
</sst>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name val="Arial"/>
      <family val="2"/>
    </font>
    <font>
      <sz val="16"/>
      <color theme="1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0" fontId="4" fillId="0" borderId="0"/>
    <xf numFmtId="0" fontId="8" fillId="0" borderId="0"/>
    <xf numFmtId="0" fontId="4" fillId="0" borderId="0"/>
    <xf numFmtId="0" fontId="8" fillId="0" borderId="0"/>
    <xf numFmtId="0" fontId="4" fillId="0" borderId="0"/>
    <xf numFmtId="0" fontId="8" fillId="0" borderId="0"/>
  </cellStyleXfs>
  <cellXfs count="148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5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0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8" borderId="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1" fillId="4" borderId="3" xfId="0" applyFont="1" applyFill="1" applyBorder="1" applyAlignment="1">
      <alignment horizontal="center"/>
    </xf>
    <xf numFmtId="0" fontId="3" fillId="0" borderId="15" xfId="0" applyFont="1" applyBorder="1" applyAlignment="1">
      <alignment vertical="center"/>
    </xf>
    <xf numFmtId="0" fontId="0" fillId="0" borderId="0" xfId="0" applyFont="1"/>
    <xf numFmtId="0" fontId="3" fillId="0" borderId="9" xfId="0" applyNumberFormat="1" applyFont="1" applyBorder="1" applyAlignment="1">
      <alignment vertical="center"/>
    </xf>
    <xf numFmtId="0" fontId="0" fillId="0" borderId="0" xfId="0" applyNumberFormat="1"/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22" xfId="0" applyFill="1" applyBorder="1"/>
    <xf numFmtId="0" fontId="0" fillId="0" borderId="0" xfId="0" applyAlignment="1">
      <alignment vertical="center"/>
    </xf>
    <xf numFmtId="164" fontId="7" fillId="11" borderId="7" xfId="0" applyNumberFormat="1" applyFont="1" applyFill="1" applyBorder="1" applyAlignment="1">
      <alignment horizontal="left" vertical="center"/>
    </xf>
    <xf numFmtId="164" fontId="7" fillId="11" borderId="6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3" fillId="13" borderId="25" xfId="0" applyFont="1" applyFill="1" applyBorder="1" applyAlignment="1">
      <alignment vertical="center"/>
    </xf>
    <xf numFmtId="164" fontId="0" fillId="3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0" fillId="0" borderId="6" xfId="0" applyBorder="1"/>
    <xf numFmtId="49" fontId="0" fillId="0" borderId="0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0" fillId="0" borderId="0" xfId="0" applyFill="1"/>
    <xf numFmtId="164" fontId="0" fillId="6" borderId="10" xfId="0" applyNumberFormat="1" applyFill="1" applyBorder="1" applyAlignment="1">
      <alignment horizontal="center"/>
    </xf>
    <xf numFmtId="164" fontId="0" fillId="6" borderId="17" xfId="0" applyNumberFormat="1" applyFill="1" applyBorder="1" applyAlignment="1">
      <alignment horizontal="center"/>
    </xf>
    <xf numFmtId="0" fontId="3" fillId="7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9" borderId="0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13" borderId="3" xfId="0" applyFont="1" applyFill="1" applyBorder="1" applyAlignment="1">
      <alignment vertical="center"/>
    </xf>
    <xf numFmtId="2" fontId="3" fillId="7" borderId="2" xfId="0" applyNumberFormat="1" applyFont="1" applyFill="1" applyBorder="1" applyAlignment="1">
      <alignment horizontal="center" vertical="center" wrapText="1"/>
    </xf>
    <xf numFmtId="2" fontId="3" fillId="7" borderId="20" xfId="0" applyNumberFormat="1" applyFont="1" applyFill="1" applyBorder="1" applyAlignment="1">
      <alignment horizontal="center" vertical="center" wrapText="1"/>
    </xf>
    <xf numFmtId="0" fontId="3" fillId="0" borderId="24" xfId="0" applyFont="1" applyBorder="1" applyAlignment="1">
      <alignment vertical="center"/>
    </xf>
    <xf numFmtId="0" fontId="3" fillId="13" borderId="13" xfId="0" applyFont="1" applyFill="1" applyBorder="1" applyAlignment="1">
      <alignment vertical="center"/>
    </xf>
    <xf numFmtId="0" fontId="3" fillId="13" borderId="15" xfId="0" applyFont="1" applyFill="1" applyBorder="1" applyAlignment="1">
      <alignment vertical="center"/>
    </xf>
    <xf numFmtId="0" fontId="3" fillId="13" borderId="4" xfId="0" applyFont="1" applyFill="1" applyBorder="1" applyAlignment="1">
      <alignment vertical="center"/>
    </xf>
    <xf numFmtId="0" fontId="3" fillId="0" borderId="1" xfId="0" applyNumberFormat="1" applyFont="1" applyBorder="1" applyAlignment="1">
      <alignment horizontal="center" vertical="center"/>
    </xf>
    <xf numFmtId="0" fontId="3" fillId="13" borderId="9" xfId="0" applyNumberFormat="1" applyFont="1" applyFill="1" applyBorder="1" applyAlignment="1">
      <alignment horizontal="center" vertical="center"/>
    </xf>
    <xf numFmtId="0" fontId="3" fillId="13" borderId="1" xfId="0" applyNumberFormat="1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13" borderId="22" xfId="0" applyFont="1" applyFill="1" applyBorder="1" applyAlignment="1">
      <alignment vertical="center"/>
    </xf>
    <xf numFmtId="0" fontId="3" fillId="13" borderId="0" xfId="0" applyFont="1" applyFill="1" applyBorder="1" applyAlignment="1">
      <alignment vertical="center"/>
    </xf>
    <xf numFmtId="0" fontId="3" fillId="0" borderId="3" xfId="0" applyNumberFormat="1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3" fillId="13" borderId="25" xfId="0" applyNumberFormat="1" applyFont="1" applyFill="1" applyBorder="1" applyAlignment="1">
      <alignment horizontal="center" vertical="center"/>
    </xf>
    <xf numFmtId="0" fontId="3" fillId="13" borderId="3" xfId="0" applyNumberFormat="1" applyFon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164" fontId="0" fillId="6" borderId="0" xfId="0" applyNumberFormat="1" applyFill="1" applyBorder="1" applyAlignment="1">
      <alignment horizontal="center"/>
    </xf>
    <xf numFmtId="164" fontId="0" fillId="6" borderId="15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14" borderId="3" xfId="0" applyFont="1" applyFill="1" applyBorder="1" applyAlignment="1">
      <alignment horizontal="center"/>
    </xf>
    <xf numFmtId="164" fontId="0" fillId="14" borderId="1" xfId="0" applyNumberForma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 vertical="center"/>
    </xf>
    <xf numFmtId="0" fontId="3" fillId="13" borderId="25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0" fillId="0" borderId="0" xfId="0" applyAlignment="1"/>
    <xf numFmtId="0" fontId="3" fillId="0" borderId="3" xfId="0" applyNumberFormat="1" applyFont="1" applyFill="1" applyBorder="1" applyAlignment="1">
      <alignment vertical="center"/>
    </xf>
    <xf numFmtId="2" fontId="3" fillId="0" borderId="15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2" fontId="3" fillId="0" borderId="3" xfId="0" applyNumberFormat="1" applyFont="1" applyFill="1" applyBorder="1" applyAlignment="1">
      <alignment horizontal="center" vertical="center"/>
    </xf>
    <xf numFmtId="0" fontId="3" fillId="0" borderId="0" xfId="0" applyFont="1" applyFill="1"/>
    <xf numFmtId="0" fontId="3" fillId="0" borderId="20" xfId="0" applyFont="1" applyBorder="1" applyAlignment="1">
      <alignment vertical="center"/>
    </xf>
    <xf numFmtId="0" fontId="3" fillId="0" borderId="21" xfId="0" applyNumberFormat="1" applyFont="1" applyBorder="1" applyAlignment="1">
      <alignment horizontal="center" vertical="center"/>
    </xf>
    <xf numFmtId="0" fontId="3" fillId="13" borderId="30" xfId="0" applyNumberFormat="1" applyFont="1" applyFill="1" applyBorder="1" applyAlignment="1">
      <alignment vertical="center"/>
    </xf>
    <xf numFmtId="0" fontId="3" fillId="13" borderId="28" xfId="0" applyFont="1" applyFill="1" applyBorder="1" applyAlignment="1">
      <alignment vertical="center"/>
    </xf>
    <xf numFmtId="0" fontId="3" fillId="13" borderId="31" xfId="0" applyNumberFormat="1" applyFont="1" applyFill="1" applyBorder="1" applyAlignment="1">
      <alignment vertical="center"/>
    </xf>
    <xf numFmtId="0" fontId="3" fillId="13" borderId="23" xfId="0" applyFont="1" applyFill="1" applyBorder="1" applyAlignment="1">
      <alignment vertical="center"/>
    </xf>
    <xf numFmtId="0" fontId="3" fillId="13" borderId="32" xfId="0" applyNumberFormat="1" applyFont="1" applyFill="1" applyBorder="1" applyAlignment="1">
      <alignment vertical="center"/>
    </xf>
    <xf numFmtId="0" fontId="3" fillId="13" borderId="33" xfId="0" applyFont="1" applyFill="1" applyBorder="1" applyAlignment="1">
      <alignment vertical="center"/>
    </xf>
    <xf numFmtId="0" fontId="3" fillId="13" borderId="11" xfId="0" applyNumberFormat="1" applyFont="1" applyFill="1" applyBorder="1" applyAlignment="1">
      <alignment horizontal="center" vertical="center"/>
    </xf>
    <xf numFmtId="0" fontId="3" fillId="13" borderId="34" xfId="0" applyNumberFormat="1" applyFont="1" applyFill="1" applyBorder="1" applyAlignment="1">
      <alignment horizontal="center" vertical="center"/>
    </xf>
    <xf numFmtId="0" fontId="3" fillId="13" borderId="34" xfId="0" applyFont="1" applyFill="1" applyBorder="1" applyAlignment="1">
      <alignment horizontal="center" vertical="center"/>
    </xf>
    <xf numFmtId="0" fontId="3" fillId="13" borderId="29" xfId="0" applyFont="1" applyFill="1" applyBorder="1" applyAlignment="1">
      <alignment vertical="center"/>
    </xf>
    <xf numFmtId="0" fontId="3" fillId="8" borderId="8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17" xfId="0" applyFont="1" applyFill="1" applyBorder="1" applyAlignment="1">
      <alignment horizontal="center"/>
    </xf>
    <xf numFmtId="0" fontId="3" fillId="13" borderId="38" xfId="0" applyNumberFormat="1" applyFont="1" applyFill="1" applyBorder="1" applyAlignment="1">
      <alignment vertical="center"/>
    </xf>
    <xf numFmtId="0" fontId="3" fillId="13" borderId="24" xfId="0" applyNumberFormat="1" applyFont="1" applyFill="1" applyBorder="1" applyAlignment="1">
      <alignment vertical="center"/>
    </xf>
    <xf numFmtId="0" fontId="3" fillId="13" borderId="1" xfId="0" applyNumberFormat="1" applyFont="1" applyFill="1" applyBorder="1" applyAlignment="1">
      <alignment vertical="center"/>
    </xf>
    <xf numFmtId="0" fontId="10" fillId="8" borderId="12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0" fontId="7" fillId="12" borderId="7" xfId="0" applyFont="1" applyFill="1" applyBorder="1" applyAlignment="1">
      <alignment horizontal="center" vertical="center" wrapText="1"/>
    </xf>
    <xf numFmtId="0" fontId="7" fillId="12" borderId="6" xfId="0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 wrapText="1"/>
    </xf>
    <xf numFmtId="14" fontId="3" fillId="0" borderId="9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4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7" fillId="11" borderId="7" xfId="0" applyFont="1" applyFill="1" applyBorder="1" applyAlignment="1">
      <alignment horizontal="left"/>
    </xf>
    <xf numFmtId="0" fontId="7" fillId="11" borderId="6" xfId="0" applyFont="1" applyFill="1" applyBorder="1" applyAlignment="1">
      <alignment horizontal="left"/>
    </xf>
    <xf numFmtId="164" fontId="7" fillId="11" borderId="7" xfId="0" applyNumberFormat="1" applyFont="1" applyFill="1" applyBorder="1" applyAlignment="1">
      <alignment horizontal="left"/>
    </xf>
    <xf numFmtId="164" fontId="7" fillId="11" borderId="6" xfId="0" applyNumberFormat="1" applyFont="1" applyFill="1" applyBorder="1" applyAlignment="1">
      <alignment horizontal="left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164" fontId="7" fillId="11" borderId="7" xfId="0" applyNumberFormat="1" applyFont="1" applyFill="1" applyBorder="1" applyAlignment="1">
      <alignment horizontal="left" vertical="center"/>
    </xf>
    <xf numFmtId="164" fontId="7" fillId="11" borderId="6" xfId="0" applyNumberFormat="1" applyFont="1" applyFill="1" applyBorder="1" applyAlignment="1">
      <alignment horizontal="left" vertical="center"/>
    </xf>
  </cellXfs>
  <cellStyles count="7">
    <cellStyle name="Normal" xfId="0" builtinId="0"/>
    <cellStyle name="Normal 2" xfId="1" xr:uid="{00000000-0005-0000-0000-000001000000}"/>
    <cellStyle name="Normal 2 2" xfId="5" xr:uid="{00000000-0005-0000-0000-000002000000}"/>
    <cellStyle name="Normal 2 2 2" xfId="3" xr:uid="{00000000-0005-0000-0000-000003000000}"/>
    <cellStyle name="Normal 3" xfId="2" xr:uid="{00000000-0005-0000-0000-000004000000}"/>
    <cellStyle name="Normal 3 2" xfId="4" xr:uid="{00000000-0005-0000-0000-000005000000}"/>
    <cellStyle name="Normal 4" xfId="6" xr:uid="{00000000-0005-0000-0000-000006000000}"/>
  </cellStyles>
  <dxfs count="9"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65" formatCode="#,000"/>
      <fill>
        <patternFill patternType="solid">
          <fgColor indexed="64"/>
          <bgColor theme="6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colors>
    <mruColors>
      <color rgb="FF5F5F5F"/>
      <color rgb="FFBA3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theme" Target="theme/theme1.xml"/><Relationship Id="rId5" Type="http://schemas.openxmlformats.org/officeDocument/2006/relationships/chartsheet" Target="chartsheets/sheet2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3.xml"/><Relationship Id="rId9" Type="http://schemas.openxmlformats.org/officeDocument/2006/relationships/chartsheet" Target="chartsheets/sheet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661954963560215E-2"/>
          <c:y val="0.14661966108751268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R1</c:v>
          </c:tx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1-9479-4293-B6F6-2F33FB06526E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2-9479-4293-B6F6-2F33FB06526E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9479-4293-B6F6-2F33FB06526E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4-9479-4293-B6F6-2F33FB06526E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5-9479-4293-B6F6-2F33FB06526E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6-9479-4293-B6F6-2F33FB06526E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7-9479-4293-B6F6-2F33FB06526E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8-9479-4293-B6F6-2F33FB06526E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9479-4293-B6F6-2F33FB06526E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A-9479-4293-B6F6-2F33FB06526E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9479-4293-B6F6-2F33FB06526E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C-9479-4293-B6F6-2F33FB06526E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2-9479-4293-B6F6-2F33FB06526E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9479-4293-B6F6-2F33FB06526E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E-9479-4293-B6F6-2F33FB06526E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9479-4293-B6F6-2F33FB06526E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0-9479-4293-B6F6-2F33FB06526E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9479-4293-B6F6-2F33FB06526E}"/>
              </c:ext>
            </c:extLst>
          </c:dPt>
          <c:errBars>
            <c:errBarType val="plus"/>
            <c:errValType val="cust"/>
            <c:noEndCap val="0"/>
            <c:plus>
              <c:numRef>
                <c:f>'R1'!$B$54:$V$54</c:f>
                <c:numCache>
                  <c:formatCode>General</c:formatCode>
                  <c:ptCount val="21"/>
                  <c:pt idx="0">
                    <c:v>8.0253606006872383E-3</c:v>
                  </c:pt>
                  <c:pt idx="1">
                    <c:v>0</c:v>
                  </c:pt>
                  <c:pt idx="2">
                    <c:v>1.2598682548400367E-2</c:v>
                  </c:pt>
                  <c:pt idx="3">
                    <c:v>0.1737851673943473</c:v>
                  </c:pt>
                  <c:pt idx="4">
                    <c:v>0.18337514610068373</c:v>
                  </c:pt>
                  <c:pt idx="5">
                    <c:v>0.24428232032361202</c:v>
                  </c:pt>
                  <c:pt idx="6">
                    <c:v>0.17957658711637373</c:v>
                  </c:pt>
                  <c:pt idx="7">
                    <c:v>7.6739592554877856E-3</c:v>
                  </c:pt>
                  <c:pt idx="8">
                    <c:v>1.0676541726035705E-2</c:v>
                  </c:pt>
                  <c:pt idx="9">
                    <c:v>5.8127924958340403E-3</c:v>
                  </c:pt>
                  <c:pt idx="10">
                    <c:v>1.5477494758800022E-2</c:v>
                  </c:pt>
                  <c:pt idx="11">
                    <c:v>9.3128552322644838E-3</c:v>
                  </c:pt>
                  <c:pt idx="13">
                    <c:v>8.2362425591849878E-2</c:v>
                  </c:pt>
                  <c:pt idx="14">
                    <c:v>0.10511288514832567</c:v>
                  </c:pt>
                  <c:pt idx="15">
                    <c:v>7.1572407200709717E-2</c:v>
                  </c:pt>
                  <c:pt idx="16">
                    <c:v>0.19408096904922578</c:v>
                  </c:pt>
                  <c:pt idx="17">
                    <c:v>0.14116055054059012</c:v>
                  </c:pt>
                  <c:pt idx="18">
                    <c:v>0.14313739953411675</c:v>
                  </c:pt>
                  <c:pt idx="19">
                    <c:v>0.13028843810934973</c:v>
                  </c:pt>
                  <c:pt idx="20">
                    <c:v>0.13072875917526583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'R1'!$B$52:$V$52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Chromolyn-0.1µg/L</c:v>
                </c:pt>
                <c:pt idx="8">
                  <c:v>Chromolyn-1µg/L</c:v>
                </c:pt>
                <c:pt idx="9">
                  <c:v>Chromolyn-10µg/L</c:v>
                </c:pt>
                <c:pt idx="10">
                  <c:v>Chromolyn-100µg/L</c:v>
                </c:pt>
                <c:pt idx="11">
                  <c:v>Chromolyn-1000µg/L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Chromolyn-0.1µg/L + Testostérone</c:v>
                </c:pt>
                <c:pt idx="17">
                  <c:v>Chromolyn-1µg/L + Testostérone</c:v>
                </c:pt>
                <c:pt idx="18">
                  <c:v>Chromolyn-10µg/L + Testostérone</c:v>
                </c:pt>
                <c:pt idx="19">
                  <c:v>Chromolyn-100µg/L + Testostérone</c:v>
                </c:pt>
                <c:pt idx="20">
                  <c:v>Chromolyn-1000µg/L + Testostérone</c:v>
                </c:pt>
              </c:strCache>
            </c:strRef>
          </c:cat>
          <c:val>
            <c:numRef>
              <c:f>'R1'!$B$53:$V$53</c:f>
              <c:numCache>
                <c:formatCode>0.0000</c:formatCode>
                <c:ptCount val="21"/>
                <c:pt idx="0">
                  <c:v>2.4355098754176952E-2</c:v>
                </c:pt>
                <c:pt idx="1">
                  <c:v>0</c:v>
                </c:pt>
                <c:pt idx="2">
                  <c:v>2.9550250480529665E-2</c:v>
                </c:pt>
                <c:pt idx="3">
                  <c:v>0.27787354551608318</c:v>
                </c:pt>
                <c:pt idx="4">
                  <c:v>0.83838273745710956</c:v>
                </c:pt>
                <c:pt idx="5">
                  <c:v>1.0509611140050019</c:v>
                </c:pt>
                <c:pt idx="6">
                  <c:v>1.6435124212315921</c:v>
                </c:pt>
                <c:pt idx="7">
                  <c:v>1.6146088308101804E-2</c:v>
                </c:pt>
                <c:pt idx="8">
                  <c:v>1.6346574797681795E-2</c:v>
                </c:pt>
                <c:pt idx="9">
                  <c:v>1.6137339806738312E-2</c:v>
                </c:pt>
                <c:pt idx="10">
                  <c:v>3.8607865558863384E-2</c:v>
                </c:pt>
                <c:pt idx="11">
                  <c:v>1.1692372072304905E-2</c:v>
                </c:pt>
                <c:pt idx="13">
                  <c:v>1</c:v>
                </c:pt>
                <c:pt idx="14">
                  <c:v>1.2974042102891852</c:v>
                </c:pt>
                <c:pt idx="15">
                  <c:v>8.8616486477915327E-2</c:v>
                </c:pt>
                <c:pt idx="16">
                  <c:v>0.71802814611601162</c:v>
                </c:pt>
                <c:pt idx="17">
                  <c:v>1.0063043887950653</c:v>
                </c:pt>
                <c:pt idx="18">
                  <c:v>1.0765344415740448</c:v>
                </c:pt>
                <c:pt idx="19">
                  <c:v>0.93707822654754624</c:v>
                </c:pt>
                <c:pt idx="20">
                  <c:v>0.86914757154360389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8-433F-93CE-959A7E857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4817512"/>
        <c:axId val="324817904"/>
      </c:barChart>
      <c:catAx>
        <c:axId val="324817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da-DK"/>
          </a:p>
        </c:txPr>
        <c:crossAx val="324817904"/>
        <c:crosses val="autoZero"/>
        <c:auto val="1"/>
        <c:lblAlgn val="ctr"/>
        <c:lblOffset val="100"/>
        <c:noMultiLvlLbl val="0"/>
      </c:catAx>
      <c:valAx>
        <c:axId val="324817904"/>
        <c:scaling>
          <c:orientation val="minMax"/>
          <c:max val="2.8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da-DK"/>
          </a:p>
        </c:txPr>
        <c:crossAx val="324817512"/>
        <c:crosses val="autoZero"/>
        <c:crossBetween val="between"/>
        <c:majorUnit val="0.2"/>
        <c:minorUnit val="0.1"/>
      </c:valAx>
    </c:plotArea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95319521821627E-2"/>
          <c:y val="0.14871824529979213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R2</c:v>
          </c:tx>
          <c:spPr>
            <a:solidFill>
              <a:schemeClr val="accent2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7-20C9-4512-B8CA-3370C5107DCA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9-20C9-4512-B8CA-3370C5107DCA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A-20C9-4512-B8CA-3370C5107DCA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B-20C9-4512-B8CA-3370C5107DCA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C-20C9-4512-B8CA-3370C5107DCA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D-20C9-4512-B8CA-3370C5107DCA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1E-20C9-4512-B8CA-3370C5107DCA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20C9-4512-B8CA-3370C5107DCA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0-20C9-4512-B8CA-3370C5107DCA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ED2-4ACE-91AA-7F8713196E92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1-20C9-4512-B8CA-3370C5107DCA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ED2-4ACE-91AA-7F8713196E92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5-EED2-4ACE-91AA-7F8713196E92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8-20C9-4512-B8CA-3370C5107DCA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7-EED2-4ACE-91AA-7F8713196E92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2-20C9-4512-B8CA-3370C5107DCA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3-20C9-4512-B8CA-3370C5107DCA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4-20C9-4512-B8CA-3370C5107DCA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5-20C9-4512-B8CA-3370C5107DCA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6-20C9-4512-B8CA-3370C5107DCA}"/>
              </c:ext>
            </c:extLst>
          </c:dPt>
          <c:dPt>
            <c:idx val="2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9-EED2-4ACE-91AA-7F8713196E92}"/>
              </c:ext>
            </c:extLst>
          </c:dPt>
          <c:dPt>
            <c:idx val="2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B-EED2-4ACE-91AA-7F8713196E92}"/>
              </c:ext>
            </c:extLst>
          </c:dPt>
          <c:dPt>
            <c:idx val="27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D-EED2-4ACE-91AA-7F8713196E92}"/>
              </c:ext>
            </c:extLst>
          </c:dPt>
          <c:dPt>
            <c:idx val="2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EED2-4ACE-91AA-7F8713196E92}"/>
              </c:ext>
            </c:extLst>
          </c:dPt>
          <c:dPt>
            <c:idx val="3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EED2-4ACE-91AA-7F8713196E92}"/>
              </c:ext>
            </c:extLst>
          </c:dPt>
          <c:dPt>
            <c:idx val="3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EED2-4ACE-91AA-7F8713196E92}"/>
              </c:ext>
            </c:extLst>
          </c:dPt>
          <c:dPt>
            <c:idx val="34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EED2-4ACE-91AA-7F8713196E92}"/>
              </c:ext>
            </c:extLst>
          </c:dPt>
          <c:errBars>
            <c:errBarType val="plus"/>
            <c:errValType val="cust"/>
            <c:noEndCap val="0"/>
            <c:plus>
              <c:numRef>
                <c:f>'R2'!$B$54:$V$54</c:f>
                <c:numCache>
                  <c:formatCode>General</c:formatCode>
                  <c:ptCount val="21"/>
                  <c:pt idx="0">
                    <c:v>0</c:v>
                  </c:pt>
                  <c:pt idx="1">
                    <c:v>5.6278033064860304E-4</c:v>
                  </c:pt>
                  <c:pt idx="2">
                    <c:v>4.3067909278920336E-3</c:v>
                  </c:pt>
                  <c:pt idx="3">
                    <c:v>0.23110454403242883</c:v>
                  </c:pt>
                  <c:pt idx="4">
                    <c:v>0.26668432855509472</c:v>
                  </c:pt>
                  <c:pt idx="5">
                    <c:v>0.31507456997618005</c:v>
                  </c:pt>
                  <c:pt idx="6">
                    <c:v>0.32371821252444061</c:v>
                  </c:pt>
                  <c:pt idx="7">
                    <c:v>2.0961741861336546E-3</c:v>
                  </c:pt>
                  <c:pt idx="8">
                    <c:v>1.1681587068806318E-3</c:v>
                  </c:pt>
                  <c:pt idx="9">
                    <c:v>1.8782145272677391E-2</c:v>
                  </c:pt>
                  <c:pt idx="10">
                    <c:v>2.1395294105061588E-4</c:v>
                  </c:pt>
                  <c:pt idx="11">
                    <c:v>0</c:v>
                  </c:pt>
                  <c:pt idx="13">
                    <c:v>0.10827818813111134</c:v>
                  </c:pt>
                  <c:pt idx="14">
                    <c:v>0.20224077284823586</c:v>
                  </c:pt>
                  <c:pt idx="15">
                    <c:v>8.5318954558737305E-3</c:v>
                  </c:pt>
                  <c:pt idx="16">
                    <c:v>0.20999913948565488</c:v>
                  </c:pt>
                  <c:pt idx="17">
                    <c:v>0.27618807452435878</c:v>
                  </c:pt>
                  <c:pt idx="18">
                    <c:v>0.23834371245809463</c:v>
                  </c:pt>
                  <c:pt idx="19">
                    <c:v>0.23646329502589342</c:v>
                  </c:pt>
                  <c:pt idx="20">
                    <c:v>0.25614405331233064</c:v>
                  </c:pt>
                </c:numCache>
              </c:numRef>
            </c:plus>
            <c:minus>
              <c:numRef>
                <c:f>'R1'!$N$48:$V$48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8.2362425591849878E-2</c:v>
                  </c:pt>
                  <c:pt idx="2">
                    <c:v>0.10511288514832567</c:v>
                  </c:pt>
                  <c:pt idx="3">
                    <c:v>7.1572407200709717E-2</c:v>
                  </c:pt>
                  <c:pt idx="4">
                    <c:v>0.19408096904922578</c:v>
                  </c:pt>
                  <c:pt idx="5">
                    <c:v>0.14116055054059012</c:v>
                  </c:pt>
                  <c:pt idx="6">
                    <c:v>0.14313739953411675</c:v>
                  </c:pt>
                  <c:pt idx="7">
                    <c:v>0.13028843810934973</c:v>
                  </c:pt>
                  <c:pt idx="8">
                    <c:v>0.13072875917526583</c:v>
                  </c:pt>
                </c:numCache>
              </c:numRef>
            </c:minus>
          </c:errBars>
          <c:cat>
            <c:strRef>
              <c:f>'R2'!$B$52:$V$52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Chromolyn-0.1µg/L</c:v>
                </c:pt>
                <c:pt idx="8">
                  <c:v>Chromolyn-1µg/L</c:v>
                </c:pt>
                <c:pt idx="9">
                  <c:v>Chromolyn-10µg/L</c:v>
                </c:pt>
                <c:pt idx="10">
                  <c:v>Chromolyn-100µg/L</c:v>
                </c:pt>
                <c:pt idx="11">
                  <c:v>Chromolyn-1000µg/L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Chromolyn-0.1µg/L + Testostérone</c:v>
                </c:pt>
                <c:pt idx="17">
                  <c:v>Chromolyn-1µg/L + Testostérone</c:v>
                </c:pt>
                <c:pt idx="18">
                  <c:v>Chromolyn-10µg/L + Testostérone</c:v>
                </c:pt>
                <c:pt idx="19">
                  <c:v>Chromolyn-100µg/L + Testostérone</c:v>
                </c:pt>
                <c:pt idx="20">
                  <c:v>Chromolyn-1000µg/L + Testostérone</c:v>
                </c:pt>
              </c:strCache>
            </c:strRef>
          </c:cat>
          <c:val>
            <c:numRef>
              <c:f>'R2'!$B$53:$V$53</c:f>
              <c:numCache>
                <c:formatCode>0.0000</c:formatCode>
                <c:ptCount val="21"/>
                <c:pt idx="0">
                  <c:v>0</c:v>
                </c:pt>
                <c:pt idx="1">
                  <c:v>7.6889338190065095E-4</c:v>
                </c:pt>
                <c:pt idx="2">
                  <c:v>4.670860144311258E-3</c:v>
                </c:pt>
                <c:pt idx="3">
                  <c:v>0.2315933610402392</c:v>
                </c:pt>
                <c:pt idx="4">
                  <c:v>0.79547703482619003</c:v>
                </c:pt>
                <c:pt idx="5">
                  <c:v>1.8991051418240557</c:v>
                </c:pt>
                <c:pt idx="6">
                  <c:v>2.6643399284327409</c:v>
                </c:pt>
                <c:pt idx="7">
                  <c:v>2.8749926453676515E-3</c:v>
                </c:pt>
                <c:pt idx="8">
                  <c:v>1.4174382344603303E-3</c:v>
                </c:pt>
                <c:pt idx="9">
                  <c:v>2.0701284252528655E-2</c:v>
                </c:pt>
                <c:pt idx="10">
                  <c:v>2.1395294105061591E-4</c:v>
                </c:pt>
                <c:pt idx="11">
                  <c:v>0</c:v>
                </c:pt>
                <c:pt idx="13">
                  <c:v>0.99999999999999989</c:v>
                </c:pt>
                <c:pt idx="14">
                  <c:v>1.7655757741084848</c:v>
                </c:pt>
                <c:pt idx="15">
                  <c:v>1.3163454698139145E-2</c:v>
                </c:pt>
                <c:pt idx="16">
                  <c:v>0.90341896799798871</c:v>
                </c:pt>
                <c:pt idx="17">
                  <c:v>0.6379327866835689</c:v>
                </c:pt>
                <c:pt idx="18">
                  <c:v>0.97035414560567401</c:v>
                </c:pt>
                <c:pt idx="19">
                  <c:v>1.0100330557293924</c:v>
                </c:pt>
                <c:pt idx="20">
                  <c:v>0.44272346047486855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ED2-4ACE-91AA-7F8713196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4818296"/>
        <c:axId val="324818688"/>
      </c:barChart>
      <c:catAx>
        <c:axId val="324818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da-DK"/>
          </a:p>
        </c:txPr>
        <c:crossAx val="324818688"/>
        <c:crosses val="autoZero"/>
        <c:auto val="1"/>
        <c:lblAlgn val="ctr"/>
        <c:lblOffset val="100"/>
        <c:noMultiLvlLbl val="0"/>
      </c:catAx>
      <c:valAx>
        <c:axId val="324818688"/>
        <c:scaling>
          <c:orientation val="minMax"/>
          <c:max val="2.8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da-DK"/>
          </a:p>
        </c:txPr>
        <c:crossAx val="324818296"/>
        <c:crosses val="autoZero"/>
        <c:crossBetween val="between"/>
        <c:majorUnit val="0.2"/>
      </c:valAx>
    </c:plotArea>
    <c:plotVisOnly val="1"/>
    <c:dispBlanksAs val="gap"/>
    <c:showDLblsOverMax val="0"/>
  </c:chart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95319521821627E-2"/>
          <c:y val="0.14871824529979213"/>
          <c:w val="0.9002738512986157"/>
          <c:h val="0.63968468033016779"/>
        </c:manualLayout>
      </c:layout>
      <c:barChart>
        <c:barDir val="col"/>
        <c:grouping val="clustered"/>
        <c:varyColors val="0"/>
        <c:ser>
          <c:idx val="0"/>
          <c:order val="0"/>
          <c:tx>
            <c:v>R2</c:v>
          </c:tx>
          <c:spPr>
            <a:solidFill>
              <a:schemeClr val="accent2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D-EA59-4FF1-816E-B4B22253AA0B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6-EA59-4FF1-816E-B4B22253AA0B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5-EA59-4FF1-816E-B4B22253AA0B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4-EA59-4FF1-816E-B4B22253AA0B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3-EA59-4FF1-816E-B4B22253AA0B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2-EA59-4FF1-816E-B4B22253AA0B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21-EA59-4FF1-816E-B4B22253AA0B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EA59-4FF1-816E-B4B22253AA0B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0-EA59-4FF1-816E-B4B22253AA0B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ED2-4ACE-91AA-7F8713196E92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E-EA59-4FF1-816E-B4B22253AA0B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ED2-4ACE-91AA-7F8713196E92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5-EED2-4ACE-91AA-7F8713196E92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C-EA59-4FF1-816E-B4B22253AA0B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7-EED2-4ACE-91AA-7F8713196E92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7-EA59-4FF1-816E-B4B22253AA0B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8-EA59-4FF1-816E-B4B22253AA0B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9-EA59-4FF1-816E-B4B22253AA0B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A-EA59-4FF1-816E-B4B22253AA0B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B-EA59-4FF1-816E-B4B22253AA0B}"/>
              </c:ext>
            </c:extLst>
          </c:dPt>
          <c:dPt>
            <c:idx val="25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9-EED2-4ACE-91AA-7F8713196E92}"/>
              </c:ext>
            </c:extLst>
          </c:dPt>
          <c:dPt>
            <c:idx val="2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B-EED2-4ACE-91AA-7F8713196E92}"/>
              </c:ext>
            </c:extLst>
          </c:dPt>
          <c:dPt>
            <c:idx val="27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D-EED2-4ACE-91AA-7F8713196E92}"/>
              </c:ext>
            </c:extLst>
          </c:dPt>
          <c:dPt>
            <c:idx val="2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EED2-4ACE-91AA-7F8713196E92}"/>
              </c:ext>
            </c:extLst>
          </c:dPt>
          <c:dPt>
            <c:idx val="3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EED2-4ACE-91AA-7F8713196E92}"/>
              </c:ext>
            </c:extLst>
          </c:dPt>
          <c:dPt>
            <c:idx val="3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EED2-4ACE-91AA-7F8713196E92}"/>
              </c:ext>
            </c:extLst>
          </c:dPt>
          <c:dPt>
            <c:idx val="34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EED2-4ACE-91AA-7F8713196E92}"/>
              </c:ext>
            </c:extLst>
          </c:dPt>
          <c:errBars>
            <c:errBarType val="plus"/>
            <c:errValType val="cust"/>
            <c:noEndCap val="0"/>
            <c:plus>
              <c:numRef>
                <c:f>'R3'!$B$54:$V$54</c:f>
                <c:numCache>
                  <c:formatCode>General</c:formatCode>
                  <c:ptCount val="21"/>
                  <c:pt idx="0">
                    <c:v>9.1384730766927972E-5</c:v>
                  </c:pt>
                  <c:pt idx="1">
                    <c:v>1.4028135844438244E-2</c:v>
                  </c:pt>
                  <c:pt idx="2">
                    <c:v>0.10192163307270055</c:v>
                  </c:pt>
                  <c:pt idx="3">
                    <c:v>0.16728455963931807</c:v>
                  </c:pt>
                  <c:pt idx="4">
                    <c:v>0.27459182040454261</c:v>
                  </c:pt>
                  <c:pt idx="5">
                    <c:v>0.20574312248761648</c:v>
                  </c:pt>
                  <c:pt idx="6">
                    <c:v>0.11063125470948702</c:v>
                  </c:pt>
                  <c:pt idx="7">
                    <c:v>1.0813226656081515E-3</c:v>
                  </c:pt>
                  <c:pt idx="8">
                    <c:v>1.7789148597709128E-3</c:v>
                  </c:pt>
                  <c:pt idx="9">
                    <c:v>8.1136425312795506E-3</c:v>
                  </c:pt>
                  <c:pt idx="10">
                    <c:v>1.0971202638361505E-2</c:v>
                  </c:pt>
                  <c:pt idx="11">
                    <c:v>6.0663053643355749E-3</c:v>
                  </c:pt>
                  <c:pt idx="13">
                    <c:v>0.17067314234922945</c:v>
                  </c:pt>
                  <c:pt idx="14">
                    <c:v>0.13506564753437986</c:v>
                  </c:pt>
                  <c:pt idx="15">
                    <c:v>1.1166726702824E-2</c:v>
                  </c:pt>
                  <c:pt idx="16">
                    <c:v>0.19398815625581076</c:v>
                  </c:pt>
                  <c:pt idx="17">
                    <c:v>0.2419477128176829</c:v>
                  </c:pt>
                  <c:pt idx="18">
                    <c:v>0.1894993582359584</c:v>
                  </c:pt>
                  <c:pt idx="19">
                    <c:v>0.17858418074526478</c:v>
                  </c:pt>
                  <c:pt idx="20">
                    <c:v>0.28820945473627524</c:v>
                  </c:pt>
                </c:numCache>
              </c:numRef>
            </c:plus>
            <c:minus>
              <c:numRef>
                <c:f>'R1'!$N$48:$V$48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8.2362425591849878E-2</c:v>
                  </c:pt>
                  <c:pt idx="2">
                    <c:v>0.10511288514832567</c:v>
                  </c:pt>
                  <c:pt idx="3">
                    <c:v>7.1572407200709717E-2</c:v>
                  </c:pt>
                  <c:pt idx="4">
                    <c:v>0.19408096904922578</c:v>
                  </c:pt>
                  <c:pt idx="5">
                    <c:v>0.14116055054059012</c:v>
                  </c:pt>
                  <c:pt idx="6">
                    <c:v>0.14313739953411675</c:v>
                  </c:pt>
                  <c:pt idx="7">
                    <c:v>0.13028843810934973</c:v>
                  </c:pt>
                  <c:pt idx="8">
                    <c:v>0.13072875917526583</c:v>
                  </c:pt>
                </c:numCache>
              </c:numRef>
            </c:minus>
          </c:errBars>
          <c:cat>
            <c:strRef>
              <c:f>'R3'!$B$52:$V$52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Chromolyn-0.1µg/L</c:v>
                </c:pt>
                <c:pt idx="8">
                  <c:v>Chromolyn-1µg/L</c:v>
                </c:pt>
                <c:pt idx="9">
                  <c:v>Chromolyn-10µg/L</c:v>
                </c:pt>
                <c:pt idx="10">
                  <c:v>Chromolyn-100µg/L</c:v>
                </c:pt>
                <c:pt idx="11">
                  <c:v>Chromolyn-1000µg/L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Chromolyn-0.1µg/L + Testostérone</c:v>
                </c:pt>
                <c:pt idx="17">
                  <c:v>Chromolyn-1µg/L + Testostérone</c:v>
                </c:pt>
                <c:pt idx="18">
                  <c:v>Chromolyn-10µg/L + Testostérone</c:v>
                </c:pt>
                <c:pt idx="19">
                  <c:v>Chromolyn-100µg/L + Testostérone</c:v>
                </c:pt>
                <c:pt idx="20">
                  <c:v>Chromolyn-1000µg/L + Testostérone</c:v>
                </c:pt>
              </c:strCache>
            </c:strRef>
          </c:cat>
          <c:val>
            <c:numRef>
              <c:f>'R3'!$B$53:$V$53</c:f>
              <c:numCache>
                <c:formatCode>0.0000</c:formatCode>
                <c:ptCount val="21"/>
                <c:pt idx="0">
                  <c:v>9.1384730766927972E-5</c:v>
                </c:pt>
                <c:pt idx="1">
                  <c:v>1.5456624290061439E-2</c:v>
                </c:pt>
                <c:pt idx="2">
                  <c:v>0.1058655341962713</c:v>
                </c:pt>
                <c:pt idx="3">
                  <c:v>1.5633805627828858</c:v>
                </c:pt>
                <c:pt idx="4">
                  <c:v>0.78410935075875587</c:v>
                </c:pt>
                <c:pt idx="5">
                  <c:v>1.5402077059386419</c:v>
                </c:pt>
                <c:pt idx="6">
                  <c:v>2.2499403898451606</c:v>
                </c:pt>
                <c:pt idx="7">
                  <c:v>1.8938697652042661E-3</c:v>
                </c:pt>
                <c:pt idx="8">
                  <c:v>3.4852245595938733E-3</c:v>
                </c:pt>
                <c:pt idx="9">
                  <c:v>1.273188875432108E-2</c:v>
                </c:pt>
                <c:pt idx="10">
                  <c:v>1.2931464603122417E-2</c:v>
                </c:pt>
                <c:pt idx="11">
                  <c:v>1.1484014499710614E-2</c:v>
                </c:pt>
                <c:pt idx="13">
                  <c:v>1.0000000000000002</c:v>
                </c:pt>
                <c:pt idx="14">
                  <c:v>1.8147505459449866</c:v>
                </c:pt>
                <c:pt idx="15">
                  <c:v>1.9243313421265749E-2</c:v>
                </c:pt>
                <c:pt idx="16">
                  <c:v>0.84075002704777946</c:v>
                </c:pt>
                <c:pt idx="17">
                  <c:v>0.87829549620333203</c:v>
                </c:pt>
                <c:pt idx="18">
                  <c:v>0.7140351190469939</c:v>
                </c:pt>
                <c:pt idx="19">
                  <c:v>0.79661330288576182</c:v>
                </c:pt>
                <c:pt idx="20">
                  <c:v>0.98731958080668558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ED2-4ACE-91AA-7F8713196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373488"/>
        <c:axId val="434373880"/>
      </c:barChart>
      <c:catAx>
        <c:axId val="434373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lang="en-GB"/>
            </a:pPr>
            <a:endParaRPr lang="da-DK"/>
          </a:p>
        </c:txPr>
        <c:crossAx val="434373880"/>
        <c:crosses val="autoZero"/>
        <c:auto val="1"/>
        <c:lblAlgn val="ctr"/>
        <c:lblOffset val="100"/>
        <c:noMultiLvlLbl val="0"/>
      </c:catAx>
      <c:valAx>
        <c:axId val="434373880"/>
        <c:scaling>
          <c:orientation val="minMax"/>
          <c:max val="2.8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fluorescence totale (unités arbitraires)</a:t>
                </a:r>
                <a:endParaRPr lang="en-GB" sz="10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lang="en-GB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da-DK"/>
          </a:p>
        </c:txPr>
        <c:crossAx val="434373488"/>
        <c:crosses val="autoZero"/>
        <c:crossBetween val="between"/>
        <c:majorUnit val="0.2"/>
      </c:valAx>
    </c:plotArea>
    <c:plotVisOnly val="1"/>
    <c:dispBlanksAs val="gap"/>
    <c:showDLblsOverMax val="0"/>
  </c:chart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a-DK"/>
              <a:t>Chromolyn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8086563142153819E-2"/>
          <c:y val="0.10694631110669023"/>
          <c:w val="0.91688911122572669"/>
          <c:h val="0.69895377069250364"/>
        </c:manualLayout>
      </c:layout>
      <c:barChart>
        <c:barDir val="col"/>
        <c:grouping val="clustered"/>
        <c:varyColors val="0"/>
        <c:ser>
          <c:idx val="0"/>
          <c:order val="0"/>
          <c:tx>
            <c:v>Pool</c:v>
          </c:tx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2C-033C-4530-84A9-991A3866ABD4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1-033C-4530-84A9-991A3866ABD4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3-033C-4530-84A9-991A3866ABD4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5-033C-4530-84A9-991A3866ABD4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7-033C-4530-84A9-991A3866ABD4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9-033C-4530-84A9-991A3866ABD4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B-033C-4530-84A9-991A3866ABD4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033C-4530-84A9-991A3866ABD4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033C-4530-84A9-991A3866ABD4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033C-4530-84A9-991A3866ABD4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3-033C-4530-84A9-991A3866ABD4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5-033C-4530-84A9-991A3866ABD4}"/>
              </c:ext>
            </c:extLst>
          </c:dPt>
          <c:dPt>
            <c:idx val="12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7-033C-4530-84A9-991A3866ABD4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19-033C-4530-84A9-991A3866ABD4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033C-4530-84A9-991A3866ABD4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033C-4530-84A9-991A3866ABD4}"/>
              </c:ext>
            </c:extLst>
          </c:dPt>
          <c:dPt>
            <c:idx val="1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033C-4530-84A9-991A3866ABD4}"/>
              </c:ext>
            </c:extLst>
          </c:dPt>
          <c:dPt>
            <c:idx val="17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1-033C-4530-84A9-991A3866ABD4}"/>
              </c:ext>
            </c:extLst>
          </c:dPt>
          <c:dPt>
            <c:idx val="18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3-033C-4530-84A9-991A3866ABD4}"/>
              </c:ext>
            </c:extLst>
          </c:dPt>
          <c:dPt>
            <c:idx val="19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5-033C-4530-84A9-991A3866ABD4}"/>
              </c:ext>
            </c:extLst>
          </c:dPt>
          <c:dPt>
            <c:idx val="2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7-033C-4530-84A9-991A3866ABD4}"/>
              </c:ext>
            </c:extLst>
          </c:dPt>
          <c:dPt>
            <c:idx val="2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9-033C-4530-84A9-991A3866ABD4}"/>
              </c:ext>
            </c:extLst>
          </c:dPt>
          <c:dPt>
            <c:idx val="2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B-033C-4530-84A9-991A3866ABD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14915B5-7B93-4880-BDB2-A507BEA13074}" type="CELLRANGE">
                      <a:rPr lang="en-US"/>
                      <a:pPr/>
                      <a:t>[CELLRANGE]</a:t>
                    </a:fld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033C-4530-84A9-991A3866ABD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959333F-F1A7-4673-8F91-29149DDE59B7}" type="CELLRANGE">
                      <a:rPr lang="da-DK"/>
                      <a:pPr/>
                      <a:t>[CELLRANGE]</a:t>
                    </a:fld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33C-4530-84A9-991A3866ABD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CC7405D-3B55-4CB9-8122-B797AFA56E6E}" type="CELLRANGE">
                      <a:rPr lang="da-DK"/>
                      <a:pPr/>
                      <a:t>[CELLRANGE]</a:t>
                    </a:fld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33C-4530-84A9-991A3866ABD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BB780FF-3C21-434B-9B14-E84ECB1308F2}" type="CELLRANGE">
                      <a:rPr lang="da-DK"/>
                      <a:pPr/>
                      <a:t>[CELLRANGE]</a:t>
                    </a:fld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33C-4530-84A9-991A3866ABD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AE48A1F-0E2C-4AA9-A5BA-3C9D08806DCF}" type="CELLRANGE">
                      <a:rPr lang="da-DK"/>
                      <a:pPr/>
                      <a:t>[CELLRANGE]</a:t>
                    </a:fld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33C-4530-84A9-991A3866ABD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73C4226-C859-4C0F-A556-B7083243D103}" type="CELLRANGE">
                      <a:rPr lang="da-DK"/>
                      <a:pPr/>
                      <a:t>[CELLRANGE]</a:t>
                    </a:fld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33C-4530-84A9-991A3866ABD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EE72A86-C147-44A6-B039-1D7802E66FE2}" type="CELLRANGE">
                      <a:rPr lang="da-DK"/>
                      <a:pPr/>
                      <a:t>[CELLRANGE]</a:t>
                    </a:fld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33C-4530-84A9-991A3866ABD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2C4B8C2-A186-4AB2-876F-1F0AB827B132}" type="CELLRANGE">
                      <a:rPr lang="da-DK"/>
                      <a:pPr/>
                      <a:t>[CELLRANGE]</a:t>
                    </a:fld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33C-4530-84A9-991A3866ABD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1A6D0B5-9770-4D21-84F7-44CF0F2FFD7D}" type="CELLRANGE">
                      <a:rPr lang="da-DK"/>
                      <a:pPr/>
                      <a:t>[CELLRANGE]</a:t>
                    </a:fld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33C-4530-84A9-991A3866ABD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892C7FF-1EC1-4DD5-9769-30E79736D734}" type="CELLRANGE">
                      <a:rPr lang="da-DK"/>
                      <a:pPr/>
                      <a:t>[CELLRANGE]</a:t>
                    </a:fld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33C-4530-84A9-991A3866ABD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9A3FC39-2A2B-4065-B013-370821A24993}" type="CELLRANGE">
                      <a:rPr lang="da-DK"/>
                      <a:pPr/>
                      <a:t>[CELLRANGE]</a:t>
                    </a:fld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33C-4530-84A9-991A3866ABD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8F1E7D6-6BA2-4C99-8A6F-4EE1E39C76A0}" type="CELLRANGE">
                      <a:rPr lang="da-DK"/>
                      <a:pPr/>
                      <a:t>[CELLRANGE]</a:t>
                    </a:fld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033C-4530-84A9-991A3866ABD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033C-4530-84A9-991A3866ABD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C2C3BB7-2120-4553-8B1A-9896CB6D822C}" type="CELLRANGE">
                      <a:rPr lang="da-DK"/>
                      <a:pPr/>
                      <a:t>[CELLRANGE]</a:t>
                    </a:fld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033C-4530-84A9-991A3866ABD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DCA88CD-8155-4DAA-A93A-2EDC246A7712}" type="CELLRANGE">
                      <a:rPr lang="da-DK"/>
                      <a:pPr/>
                      <a:t>[CELLRANGE]</a:t>
                    </a:fld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033C-4530-84A9-991A3866ABD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90441A4-F980-450F-B9D0-FB6AC134F573}" type="CELLRANGE">
                      <a:rPr lang="da-DK"/>
                      <a:pPr/>
                      <a:t>[CELLRANGE]</a:t>
                    </a:fld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033C-4530-84A9-991A3866ABD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AFEF145-534C-4719-A58A-57BC58F8EB5B}" type="CELLRANGE">
                      <a:rPr lang="da-DK"/>
                      <a:pPr/>
                      <a:t>[CELLRANGE]</a:t>
                    </a:fld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033C-4530-84A9-991A3866ABD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F967EBF7-8AE8-4659-9174-819328503CE7}" type="CELLRANGE">
                      <a:rPr lang="da-DK"/>
                      <a:pPr/>
                      <a:t>[CELLRANGE]</a:t>
                    </a:fld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033C-4530-84A9-991A3866ABD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AC4BABC9-2ACC-4E56-9873-9616891F17DF}" type="CELLRANGE">
                      <a:rPr lang="da-DK"/>
                      <a:pPr/>
                      <a:t>[CELLRANGE]</a:t>
                    </a:fld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033C-4530-84A9-991A3866ABD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329EE0D-C63E-4CF6-A159-965B69245980}" type="CELLRANGE">
                      <a:rPr lang="da-DK"/>
                      <a:pPr/>
                      <a:t>[CELLRANGE]</a:t>
                    </a:fld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033C-4530-84A9-991A3866ABD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7BCC57EC-D4D1-4AC5-814E-1CEA42D16113}" type="CELLRANGE">
                      <a:rPr lang="da-DK"/>
                      <a:pPr/>
                      <a:t>[CELLRANGE]</a:t>
                    </a:fld>
                    <a:endParaRPr lang="da-DK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033C-4530-84A9-991A3866ABD4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033C-4530-84A9-991A3866ABD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Ref>
                <c:f>'pooled normalised values'!$B$76:$V$76</c:f>
                <c:numCache>
                  <c:formatCode>General</c:formatCode>
                  <c:ptCount val="21"/>
                  <c:pt idx="0">
                    <c:v>3.4992180268250232E-3</c:v>
                  </c:pt>
                  <c:pt idx="1">
                    <c:v>7.0417846658578382E-3</c:v>
                  </c:pt>
                  <c:pt idx="2">
                    <c:v>3.3947569260632041E-2</c:v>
                  </c:pt>
                  <c:pt idx="3">
                    <c:v>0.16698254685714525</c:v>
                  </c:pt>
                  <c:pt idx="4">
                    <c:v>0.13414620848159214</c:v>
                  </c:pt>
                  <c:pt idx="5">
                    <c:v>0.16022802803894592</c:v>
                  </c:pt>
                  <c:pt idx="6">
                    <c:v>0.15094647114070953</c:v>
                  </c:pt>
                  <c:pt idx="7">
                    <c:v>2.8940387529027868E-3</c:v>
                  </c:pt>
                  <c:pt idx="8">
                    <c:v>3.7309518712903399E-3</c:v>
                  </c:pt>
                  <c:pt idx="9">
                    <c:v>6.8086692885483023E-3</c:v>
                  </c:pt>
                  <c:pt idx="10">
                    <c:v>6.8996916707187179E-3</c:v>
                  </c:pt>
                  <c:pt idx="11">
                    <c:v>3.7188341421130564E-3</c:v>
                  </c:pt>
                  <c:pt idx="13">
                    <c:v>7.1188285473737956E-2</c:v>
                  </c:pt>
                  <c:pt idx="14">
                    <c:v>9.7388567307768292E-2</c:v>
                  </c:pt>
                  <c:pt idx="15">
                    <c:v>2.4303319814699815E-2</c:v>
                  </c:pt>
                  <c:pt idx="16">
                    <c:v>0.1112234465285849</c:v>
                  </c:pt>
                  <c:pt idx="17">
                    <c:v>0.12927706793349378</c:v>
                  </c:pt>
                  <c:pt idx="18">
                    <c:v>0.11176464333279998</c:v>
                  </c:pt>
                  <c:pt idx="19">
                    <c:v>0.10474327026068064</c:v>
                  </c:pt>
                  <c:pt idx="20">
                    <c:v>0.13854734695897608</c:v>
                  </c:pt>
                </c:numCache>
              </c:numRef>
            </c:plus>
            <c:minus>
              <c:numRef>
                <c:f>'pooled normalised values'!$B$76:$V$76</c:f>
                <c:numCache>
                  <c:formatCode>General</c:formatCode>
                  <c:ptCount val="21"/>
                  <c:pt idx="0">
                    <c:v>3.4992180268250232E-3</c:v>
                  </c:pt>
                  <c:pt idx="1">
                    <c:v>7.0417846658578382E-3</c:v>
                  </c:pt>
                  <c:pt idx="2">
                    <c:v>3.3947569260632041E-2</c:v>
                  </c:pt>
                  <c:pt idx="3">
                    <c:v>0.16698254685714525</c:v>
                  </c:pt>
                  <c:pt idx="4">
                    <c:v>0.13414620848159214</c:v>
                  </c:pt>
                  <c:pt idx="5">
                    <c:v>0.16022802803894592</c:v>
                  </c:pt>
                  <c:pt idx="6">
                    <c:v>0.15094647114070953</c:v>
                  </c:pt>
                  <c:pt idx="7">
                    <c:v>2.8940387529027868E-3</c:v>
                  </c:pt>
                  <c:pt idx="8">
                    <c:v>3.7309518712903399E-3</c:v>
                  </c:pt>
                  <c:pt idx="9">
                    <c:v>6.8086692885483023E-3</c:v>
                  </c:pt>
                  <c:pt idx="10">
                    <c:v>6.8996916707187179E-3</c:v>
                  </c:pt>
                  <c:pt idx="11">
                    <c:v>3.7188341421130564E-3</c:v>
                  </c:pt>
                  <c:pt idx="13">
                    <c:v>7.1188285473737956E-2</c:v>
                  </c:pt>
                  <c:pt idx="14">
                    <c:v>9.7388567307768292E-2</c:v>
                  </c:pt>
                  <c:pt idx="15">
                    <c:v>2.4303319814699815E-2</c:v>
                  </c:pt>
                  <c:pt idx="16">
                    <c:v>0.1112234465285849</c:v>
                  </c:pt>
                  <c:pt idx="17">
                    <c:v>0.12927706793349378</c:v>
                  </c:pt>
                  <c:pt idx="18">
                    <c:v>0.11176464333279998</c:v>
                  </c:pt>
                  <c:pt idx="19">
                    <c:v>0.10474327026068064</c:v>
                  </c:pt>
                  <c:pt idx="20">
                    <c:v>0.13854734695897608</c:v>
                  </c:pt>
                </c:numCache>
              </c:numRef>
            </c:minus>
          </c:errBars>
          <c:cat>
            <c:strRef>
              <c:f>'pooled normalised values'!$B$74:$V$74</c:f>
              <c:strCache>
                <c:ptCount val="21"/>
                <c:pt idx="0">
                  <c:v>Solvent control</c:v>
                </c:pt>
                <c:pt idx="1">
                  <c:v>EE2-33.8ng/L</c:v>
                </c:pt>
                <c:pt idx="2">
                  <c:v>EE2-50.6ng/L</c:v>
                </c:pt>
                <c:pt idx="3">
                  <c:v>EE2-76ng/L</c:v>
                </c:pt>
                <c:pt idx="4">
                  <c:v>EE2-114ng/L</c:v>
                </c:pt>
                <c:pt idx="5">
                  <c:v>EE2-170.9ng/L</c:v>
                </c:pt>
                <c:pt idx="6">
                  <c:v>EE2-488ng/L</c:v>
                </c:pt>
                <c:pt idx="7">
                  <c:v>Chromolyn-0.1µg/L</c:v>
                </c:pt>
                <c:pt idx="8">
                  <c:v>Chromolyn-1µg/L</c:v>
                </c:pt>
                <c:pt idx="9">
                  <c:v>Chromolyn-10µg/L</c:v>
                </c:pt>
                <c:pt idx="10">
                  <c:v>Chromolyn-100µg/L</c:v>
                </c:pt>
                <c:pt idx="11">
                  <c:v>Chromolyn-1000µg/L</c:v>
                </c:pt>
                <c:pt idx="13">
                  <c:v>Testo -30µg/L</c:v>
                </c:pt>
                <c:pt idx="14">
                  <c:v>Testo 30µg/L + EE2 -64ng/L</c:v>
                </c:pt>
                <c:pt idx="15">
                  <c:v>Testo 30µg/L + FAD-10mg/L</c:v>
                </c:pt>
                <c:pt idx="16">
                  <c:v>Chromolyn-0.1µg/L + Testostérone</c:v>
                </c:pt>
                <c:pt idx="17">
                  <c:v>Chromolyn-1µg/L + Testostérone</c:v>
                </c:pt>
                <c:pt idx="18">
                  <c:v>Chromolyn-10µg/L + Testostérone</c:v>
                </c:pt>
                <c:pt idx="19">
                  <c:v>Chromolyn-100µg/L + Testostérone</c:v>
                </c:pt>
                <c:pt idx="20">
                  <c:v>Chromolyn-1000µg/L + Testostérone</c:v>
                </c:pt>
              </c:strCache>
            </c:strRef>
          </c:cat>
          <c:val>
            <c:numRef>
              <c:f>'pooled normalised values'!$B$75:$V$75</c:f>
              <c:numCache>
                <c:formatCode>0.0000</c:formatCode>
                <c:ptCount val="21"/>
                <c:pt idx="0">
                  <c:v>8.1488278283146278E-3</c:v>
                </c:pt>
                <c:pt idx="1">
                  <c:v>8.1127588359810442E-3</c:v>
                </c:pt>
                <c:pt idx="2">
                  <c:v>4.669554827370407E-2</c:v>
                </c:pt>
                <c:pt idx="3">
                  <c:v>0.69094915644640265</c:v>
                </c:pt>
                <c:pt idx="4">
                  <c:v>0.80644678041348927</c:v>
                </c:pt>
                <c:pt idx="5">
                  <c:v>1.4967579872558998</c:v>
                </c:pt>
                <c:pt idx="6">
                  <c:v>2.1859309131698312</c:v>
                </c:pt>
                <c:pt idx="7">
                  <c:v>6.9716502395579085E-3</c:v>
                </c:pt>
                <c:pt idx="8">
                  <c:v>7.0830791972453337E-3</c:v>
                </c:pt>
                <c:pt idx="9">
                  <c:v>1.6523504271196015E-2</c:v>
                </c:pt>
                <c:pt idx="10">
                  <c:v>1.7251094367678809E-2</c:v>
                </c:pt>
                <c:pt idx="11">
                  <c:v>7.7254621906718392E-3</c:v>
                </c:pt>
                <c:pt idx="13">
                  <c:v>0.99999999999999956</c:v>
                </c:pt>
                <c:pt idx="14">
                  <c:v>1.6259101767808855</c:v>
                </c:pt>
                <c:pt idx="15">
                  <c:v>4.0341084865773404E-2</c:v>
                </c:pt>
                <c:pt idx="16">
                  <c:v>0.82073238038726004</c:v>
                </c:pt>
                <c:pt idx="17">
                  <c:v>0.84084422389398883</c:v>
                </c:pt>
                <c:pt idx="18">
                  <c:v>0.920307902075571</c:v>
                </c:pt>
                <c:pt idx="19">
                  <c:v>0.9145748617209003</c:v>
                </c:pt>
                <c:pt idx="20">
                  <c:v>0.76639687094171938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'pooled normalised values'!$B$83:$V$83</c15:f>
                <c15:dlblRangeCache>
                  <c:ptCount val="21"/>
                  <c:pt idx="1">
                    <c:v>NS</c:v>
                  </c:pt>
                  <c:pt idx="2">
                    <c:v>NS</c:v>
                  </c:pt>
                  <c:pt idx="3">
                    <c:v>**</c:v>
                  </c:pt>
                  <c:pt idx="4">
                    <c:v>***</c:v>
                  </c:pt>
                  <c:pt idx="5">
                    <c:v>***</c:v>
                  </c:pt>
                  <c:pt idx="6">
                    <c:v>***</c:v>
                  </c:pt>
                  <c:pt idx="7">
                    <c:v>NS</c:v>
                  </c:pt>
                  <c:pt idx="8">
                    <c:v>NS</c:v>
                  </c:pt>
                  <c:pt idx="9">
                    <c:v>NS</c:v>
                  </c:pt>
                  <c:pt idx="10">
                    <c:v>NS</c:v>
                  </c:pt>
                  <c:pt idx="11">
                    <c:v>NS</c:v>
                  </c:pt>
                  <c:pt idx="13">
                    <c:v>***</c:v>
                  </c:pt>
                  <c:pt idx="14">
                    <c:v>***</c:v>
                  </c:pt>
                  <c:pt idx="15">
                    <c:v>***</c:v>
                  </c:pt>
                  <c:pt idx="16">
                    <c:v>NS</c:v>
                  </c:pt>
                  <c:pt idx="17">
                    <c:v>NS</c:v>
                  </c:pt>
                  <c:pt idx="18">
                    <c:v>NS</c:v>
                  </c:pt>
                  <c:pt idx="19">
                    <c:v>NS</c:v>
                  </c:pt>
                  <c:pt idx="20">
                    <c:v>NS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B-033C-4530-84A9-991A3866A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374272"/>
        <c:axId val="434374664"/>
      </c:barChart>
      <c:catAx>
        <c:axId val="4343742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2700000"/>
          <a:lstStyle/>
          <a:p>
            <a:pPr>
              <a:defRPr lang="en-GB" sz="1000"/>
            </a:pPr>
            <a:endParaRPr lang="da-DK"/>
          </a:p>
        </c:txPr>
        <c:crossAx val="434374664"/>
        <c:crosses val="autoZero"/>
        <c:auto val="1"/>
        <c:lblAlgn val="ctr"/>
        <c:lblOffset val="100"/>
        <c:noMultiLvlLbl val="0"/>
      </c:catAx>
      <c:valAx>
        <c:axId val="43437466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en-GB" sz="1400"/>
                </a:pPr>
                <a:r>
                  <a:rPr lang="en-US" sz="1400"/>
                  <a:t>fluorescence totale (unités arbitraires)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lang="en-GB"/>
            </a:pPr>
            <a:endParaRPr lang="da-DK"/>
          </a:p>
        </c:txPr>
        <c:crossAx val="434374272"/>
        <c:crosses val="autoZero"/>
        <c:crossBetween val="between"/>
      </c:valAx>
    </c:plotArea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85" workbookViewId="0"/>
  </sheetViews>
  <pageMargins left="0.7" right="0.7" top="0.75" bottom="0.75" header="0.3" footer="0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zoomScale="87" workbookViewId="0" zoomToFit="1"/>
  </sheetViews>
  <pageMargins left="0.7" right="0.7" top="0.75" bottom="0.75" header="0.3" footer="0.3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zoomScale="61" workbookViewId="0" zoomToFit="1"/>
  </sheetViews>
  <pageMargins left="0.7" right="0.7" top="0.75" bottom="0.75" header="0.3" footer="0.3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zoomScale="121" workbookViewId="0" zoomToFit="1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2088" cy="608479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0.42494</cdr:x>
      <cdr:y>0.01696</cdr:y>
    </cdr:from>
    <cdr:to>
      <cdr:x>0.59244</cdr:x>
      <cdr:y>0.06852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946365" y="102453"/>
          <a:ext cx="1555576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6034" cy="608724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0.37494</cdr:x>
      <cdr:y>0.01504</cdr:y>
    </cdr:from>
    <cdr:to>
      <cdr:x>0.5575</cdr:x>
      <cdr:y>0.06657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80830" y="90920"/>
          <a:ext cx="1694833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5984" cy="606893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0.37494</cdr:x>
      <cdr:y>0.01504</cdr:y>
    </cdr:from>
    <cdr:to>
      <cdr:x>0.5575</cdr:x>
      <cdr:y>0.0666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482021" y="90854"/>
          <a:ext cx="1695412" cy="3114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horzOverflow="clip" wrap="square" rtlCol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fr-FR" sz="1400" b="1"/>
            <a:t>N° expérience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alStats\RealStats%202013%202016.xlam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AD2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Dunnett 1"/>
      <sheetName val="Prime"/>
      <sheetName val="MSSD"/>
    </sheetNames>
    <definedNames>
      <definedName name="DPTEST"/>
      <definedName name="MTEST"/>
      <definedName name="SWTES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e_groupe" displayName="liste_groupe" ref="A6:F57" totalsRowShown="0" headerRowDxfId="8" dataDxfId="7" tableBorderDxfId="6">
  <autoFilter ref="A6:F57" xr:uid="{00000000-0009-0000-0100-000001000000}"/>
  <tableColumns count="6">
    <tableColumn id="4" xr3:uid="{00000000-0010-0000-0000-000004000000}" name="Do not fill in" dataDxfId="5">
      <calculatedColumnFormula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calculatedColumnFormula>
    </tableColumn>
    <tableColumn id="1" xr3:uid="{00000000-0010-0000-0000-000001000000}" name="Do not fill in2" dataDxfId="4">
      <calculatedColumnFormula>A2</calculatedColumnFormula>
    </tableColumn>
    <tableColumn id="2" xr3:uid="{00000000-0010-0000-0000-000002000000}" name="Concentration" dataDxfId="3">
      <calculatedColumnFormula>B2</calculatedColumnFormula>
    </tableColumn>
    <tableColumn id="10" xr3:uid="{00000000-0010-0000-0000-00000A000000}" name="Units" dataDxfId="2"/>
    <tableColumn id="3" xr3:uid="{00000000-0010-0000-0000-000003000000}" name="Chemical name" dataDxfId="1">
      <calculatedColumnFormula>C2</calculatedColumnFormula>
    </tableColumn>
    <tableColumn id="9" xr3:uid="{00000000-0010-0000-0000-000009000000}" name="Do not fill in3" dataDxfId="0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7"/>
  <sheetViews>
    <sheetView showGridLines="0" zoomScale="55" zoomScaleNormal="55" workbookViewId="0">
      <selection activeCell="E4" sqref="E4"/>
    </sheetView>
  </sheetViews>
  <sheetFormatPr defaultColWidth="11.42578125" defaultRowHeight="39" customHeight="1" x14ac:dyDescent="0.25"/>
  <cols>
    <col min="1" max="1" width="42" bestFit="1" customWidth="1"/>
    <col min="2" max="2" width="33.85546875" style="27" bestFit="1" customWidth="1"/>
    <col min="3" max="3" width="21.28515625" customWidth="1"/>
    <col min="4" max="4" width="30.42578125" customWidth="1"/>
    <col min="5" max="5" width="62.28515625" style="88" bestFit="1" customWidth="1"/>
    <col min="6" max="6" width="56.7109375" bestFit="1" customWidth="1"/>
    <col min="7" max="7" width="19.42578125" customWidth="1"/>
    <col min="8" max="8" width="15.28515625" customWidth="1"/>
    <col min="9" max="9" width="18" customWidth="1"/>
    <col min="10" max="10" width="19.5703125" bestFit="1" customWidth="1"/>
  </cols>
  <sheetData>
    <row r="1" spans="1:9" ht="39" customHeight="1" thickBot="1" x14ac:dyDescent="0.3">
      <c r="A1" s="117"/>
      <c r="B1" s="118"/>
      <c r="C1" s="118"/>
      <c r="D1" s="118"/>
      <c r="E1" s="118"/>
      <c r="F1" s="118"/>
      <c r="G1" s="118"/>
      <c r="H1" s="118"/>
      <c r="I1" s="119"/>
    </row>
    <row r="2" spans="1:9" ht="21.75" thickBot="1" x14ac:dyDescent="0.4">
      <c r="A2" s="107" t="s">
        <v>5</v>
      </c>
      <c r="B2" s="26" t="s">
        <v>23</v>
      </c>
      <c r="C2" s="120" t="s">
        <v>49</v>
      </c>
      <c r="D2" s="121"/>
      <c r="E2" s="26" t="s">
        <v>51</v>
      </c>
      <c r="F2" s="130"/>
      <c r="G2" s="131"/>
      <c r="H2" s="131"/>
      <c r="I2" s="132"/>
    </row>
    <row r="3" spans="1:9" ht="21.75" thickBot="1" x14ac:dyDescent="0.4">
      <c r="A3" s="108" t="s">
        <v>6</v>
      </c>
      <c r="B3" s="26" t="s">
        <v>23</v>
      </c>
      <c r="C3" s="120" t="s">
        <v>48</v>
      </c>
      <c r="D3" s="121"/>
      <c r="E3" s="26" t="s">
        <v>50</v>
      </c>
      <c r="F3" s="127"/>
      <c r="G3" s="128"/>
      <c r="H3" s="128"/>
      <c r="I3" s="129"/>
    </row>
    <row r="4" spans="1:9" ht="21.75" thickBot="1" x14ac:dyDescent="0.4">
      <c r="A4" s="109" t="s">
        <v>9</v>
      </c>
      <c r="B4" s="26" t="s">
        <v>23</v>
      </c>
      <c r="C4" s="122" t="s">
        <v>52</v>
      </c>
      <c r="D4" s="123"/>
      <c r="E4" s="26" t="s">
        <v>53</v>
      </c>
      <c r="F4" s="124"/>
      <c r="G4" s="125"/>
      <c r="H4" s="125"/>
      <c r="I4" s="126"/>
    </row>
    <row r="5" spans="1:9" s="1" customFormat="1" ht="65.25" customHeight="1" thickBot="1" x14ac:dyDescent="0.3">
      <c r="A5" s="117"/>
      <c r="B5" s="118"/>
      <c r="C5" s="118"/>
      <c r="D5" s="118"/>
      <c r="E5" s="118"/>
      <c r="F5" s="118"/>
      <c r="G5" s="118"/>
      <c r="H5" s="118"/>
      <c r="I5" s="119"/>
    </row>
    <row r="6" spans="1:9" s="67" customFormat="1" ht="39" customHeight="1" x14ac:dyDescent="0.35">
      <c r="A6" s="57" t="s">
        <v>24</v>
      </c>
      <c r="B6" s="58" t="s">
        <v>25</v>
      </c>
      <c r="C6" s="46" t="s">
        <v>7</v>
      </c>
      <c r="D6" s="46" t="s">
        <v>26</v>
      </c>
      <c r="E6" s="85" t="s">
        <v>27</v>
      </c>
      <c r="F6" s="66" t="s">
        <v>28</v>
      </c>
    </row>
    <row r="7" spans="1:9" s="94" customFormat="1" ht="39" customHeight="1" x14ac:dyDescent="0.35">
      <c r="A7" s="89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Solvent control</v>
      </c>
      <c r="B7" s="90" t="s">
        <v>45</v>
      </c>
      <c r="C7" s="91"/>
      <c r="D7" s="92"/>
      <c r="E7" s="93" t="s">
        <v>30</v>
      </c>
      <c r="F7" s="68"/>
    </row>
    <row r="8" spans="1:9" s="94" customFormat="1" ht="39" customHeight="1" x14ac:dyDescent="0.35">
      <c r="A8" s="89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EE2-33.8ng/L</v>
      </c>
      <c r="B8" s="90" t="s">
        <v>45</v>
      </c>
      <c r="C8" s="91" t="s">
        <v>31</v>
      </c>
      <c r="D8" s="92" t="s">
        <v>17</v>
      </c>
      <c r="E8" s="93" t="s">
        <v>18</v>
      </c>
      <c r="F8" s="68"/>
    </row>
    <row r="9" spans="1:9" s="94" customFormat="1" ht="39" customHeight="1" x14ac:dyDescent="0.35">
      <c r="A9" s="89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EE2-50.6ng/L</v>
      </c>
      <c r="B9" s="90" t="s">
        <v>45</v>
      </c>
      <c r="C9" s="91" t="s">
        <v>32</v>
      </c>
      <c r="D9" s="92" t="s">
        <v>17</v>
      </c>
      <c r="E9" s="93" t="s">
        <v>18</v>
      </c>
      <c r="F9" s="68"/>
    </row>
    <row r="10" spans="1:9" s="94" customFormat="1" ht="39" customHeight="1" x14ac:dyDescent="0.35">
      <c r="A10" s="89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EE2-76ng/L</v>
      </c>
      <c r="B10" s="90" t="s">
        <v>45</v>
      </c>
      <c r="C10" s="91">
        <v>76</v>
      </c>
      <c r="D10" s="92" t="s">
        <v>17</v>
      </c>
      <c r="E10" s="93" t="s">
        <v>18</v>
      </c>
      <c r="F10" s="68"/>
    </row>
    <row r="11" spans="1:9" s="94" customFormat="1" ht="39" customHeight="1" x14ac:dyDescent="0.35">
      <c r="A11" s="89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EE2-114ng/L</v>
      </c>
      <c r="B11" s="90" t="s">
        <v>45</v>
      </c>
      <c r="C11" s="91">
        <v>114</v>
      </c>
      <c r="D11" s="92" t="s">
        <v>17</v>
      </c>
      <c r="E11" s="93" t="s">
        <v>18</v>
      </c>
      <c r="F11" s="68"/>
    </row>
    <row r="12" spans="1:9" s="94" customFormat="1" ht="39" customHeight="1" x14ac:dyDescent="0.35">
      <c r="A12" s="89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EE2-170.9ng/L</v>
      </c>
      <c r="B12" s="90" t="s">
        <v>45</v>
      </c>
      <c r="C12" s="91" t="s">
        <v>33</v>
      </c>
      <c r="D12" s="92" t="s">
        <v>17</v>
      </c>
      <c r="E12" s="93" t="s">
        <v>18</v>
      </c>
      <c r="F12" s="68"/>
    </row>
    <row r="13" spans="1:9" s="94" customFormat="1" ht="39" customHeight="1" x14ac:dyDescent="0.35">
      <c r="A13" s="89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EE2-488ng/L</v>
      </c>
      <c r="B13" s="90" t="s">
        <v>45</v>
      </c>
      <c r="C13" s="91">
        <v>488</v>
      </c>
      <c r="D13" s="92" t="s">
        <v>17</v>
      </c>
      <c r="E13" s="93" t="s">
        <v>18</v>
      </c>
      <c r="F13" s="68"/>
    </row>
    <row r="14" spans="1:9" s="94" customFormat="1" ht="39" customHeight="1" x14ac:dyDescent="0.35">
      <c r="A14" s="89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Chromolyn-0.1µg/L</v>
      </c>
      <c r="B14" s="90" t="s">
        <v>29</v>
      </c>
      <c r="C14" s="114" t="s">
        <v>46</v>
      </c>
      <c r="D14" s="115" t="s">
        <v>19</v>
      </c>
      <c r="E14" s="116" t="s">
        <v>47</v>
      </c>
      <c r="F14" s="68"/>
    </row>
    <row r="15" spans="1:9" s="69" customFormat="1" ht="39" customHeight="1" x14ac:dyDescent="0.25">
      <c r="A15" s="4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Chromolyn-1µg/L</v>
      </c>
      <c r="B15" s="90" t="s">
        <v>29</v>
      </c>
      <c r="C15" s="114">
        <v>1</v>
      </c>
      <c r="D15" s="115" t="s">
        <v>19</v>
      </c>
      <c r="E15" s="116" t="s">
        <v>47</v>
      </c>
      <c r="F15" s="68"/>
    </row>
    <row r="16" spans="1:9" s="69" customFormat="1" ht="39" customHeight="1" x14ac:dyDescent="0.25">
      <c r="A16" s="4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Chromolyn-10µg/L</v>
      </c>
      <c r="B16" s="90" t="s">
        <v>29</v>
      </c>
      <c r="C16" s="114">
        <v>10</v>
      </c>
      <c r="D16" s="115" t="s">
        <v>19</v>
      </c>
      <c r="E16" s="116" t="s">
        <v>47</v>
      </c>
      <c r="F16" s="68"/>
    </row>
    <row r="17" spans="1:6" s="69" customFormat="1" ht="39" customHeight="1" x14ac:dyDescent="0.25">
      <c r="A17" s="4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Chromolyn-100µg/L</v>
      </c>
      <c r="B17" s="90" t="s">
        <v>29</v>
      </c>
      <c r="C17" s="114">
        <v>100</v>
      </c>
      <c r="D17" s="115" t="s">
        <v>19</v>
      </c>
      <c r="E17" s="116" t="s">
        <v>47</v>
      </c>
      <c r="F17" s="68"/>
    </row>
    <row r="18" spans="1:6" s="69" customFormat="1" ht="39" customHeight="1" x14ac:dyDescent="0.25">
      <c r="A18" s="4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Chromolyn-1000µg/L</v>
      </c>
      <c r="B18" s="90" t="s">
        <v>29</v>
      </c>
      <c r="C18" s="114">
        <v>1000</v>
      </c>
      <c r="D18" s="115" t="s">
        <v>19</v>
      </c>
      <c r="E18" s="116" t="s">
        <v>47</v>
      </c>
      <c r="F18" s="68"/>
    </row>
    <row r="19" spans="1:6" s="69" customFormat="1" ht="39" customHeight="1" x14ac:dyDescent="0.25">
      <c r="A19" s="4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19" s="90" t="s">
        <v>29</v>
      </c>
      <c r="C19" s="63"/>
      <c r="D19" s="63"/>
      <c r="E19" s="24"/>
      <c r="F19" s="68"/>
    </row>
    <row r="20" spans="1:6" s="69" customFormat="1" ht="39" customHeight="1" x14ac:dyDescent="0.25">
      <c r="A20" s="4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0" s="90" t="s">
        <v>29</v>
      </c>
      <c r="C20" s="63"/>
      <c r="D20" s="63"/>
      <c r="E20" s="59"/>
      <c r="F20" s="68"/>
    </row>
    <row r="21" spans="1:6" s="69" customFormat="1" ht="39" customHeight="1" x14ac:dyDescent="0.25">
      <c r="A21" s="4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1" s="90" t="s">
        <v>29</v>
      </c>
      <c r="C21" s="63"/>
      <c r="D21" s="63"/>
      <c r="E21" s="24"/>
      <c r="F21" s="68"/>
    </row>
    <row r="22" spans="1:6" s="69" customFormat="1" ht="39" customHeight="1" x14ac:dyDescent="0.25">
      <c r="A22" s="4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2" s="90" t="s">
        <v>29</v>
      </c>
      <c r="C22" s="63"/>
      <c r="D22" s="63"/>
      <c r="E22" s="59"/>
      <c r="F22" s="68"/>
    </row>
    <row r="23" spans="1:6" s="69" customFormat="1" ht="39" customHeight="1" x14ac:dyDescent="0.25">
      <c r="A23" s="4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3" s="90" t="s">
        <v>29</v>
      </c>
      <c r="C23" s="63"/>
      <c r="D23" s="63"/>
      <c r="E23" s="24"/>
      <c r="F23" s="68"/>
    </row>
    <row r="24" spans="1:6" s="69" customFormat="1" ht="39" customHeight="1" x14ac:dyDescent="0.25">
      <c r="A24" s="4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4" s="90" t="s">
        <v>29</v>
      </c>
      <c r="C24" s="63"/>
      <c r="D24" s="63"/>
      <c r="E24" s="59"/>
      <c r="F24" s="68"/>
    </row>
    <row r="25" spans="1:6" s="69" customFormat="1" ht="39" customHeight="1" x14ac:dyDescent="0.25">
      <c r="A25" s="4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5" s="90" t="s">
        <v>29</v>
      </c>
      <c r="C25" s="63"/>
      <c r="D25" s="63"/>
      <c r="E25" s="24"/>
      <c r="F25" s="68"/>
    </row>
    <row r="26" spans="1:6" s="69" customFormat="1" ht="39" customHeight="1" x14ac:dyDescent="0.25">
      <c r="A26" s="4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6" s="90" t="s">
        <v>29</v>
      </c>
      <c r="C26" s="63"/>
      <c r="D26" s="63"/>
      <c r="E26" s="59"/>
      <c r="F26" s="68"/>
    </row>
    <row r="27" spans="1:6" s="69" customFormat="1" ht="39" customHeight="1" x14ac:dyDescent="0.25">
      <c r="A27" s="4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7" s="90" t="s">
        <v>29</v>
      </c>
      <c r="C27" s="63"/>
      <c r="D27" s="63"/>
      <c r="E27" s="24"/>
      <c r="F27" s="68"/>
    </row>
    <row r="28" spans="1:6" s="69" customFormat="1" ht="39" customHeight="1" x14ac:dyDescent="0.25">
      <c r="A28" s="4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8" s="90" t="s">
        <v>29</v>
      </c>
      <c r="C28" s="63"/>
      <c r="D28" s="63"/>
      <c r="E28" s="59"/>
      <c r="F28" s="68"/>
    </row>
    <row r="29" spans="1:6" s="69" customFormat="1" ht="39" customHeight="1" x14ac:dyDescent="0.25">
      <c r="A29" s="4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29" s="90" t="s">
        <v>29</v>
      </c>
      <c r="C29" s="63"/>
      <c r="D29" s="72"/>
      <c r="E29" s="24"/>
      <c r="F29" s="68"/>
    </row>
    <row r="30" spans="1:6" s="69" customFormat="1" ht="39" customHeight="1" x14ac:dyDescent="0.25">
      <c r="A30" s="4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0" s="90" t="s">
        <v>29</v>
      </c>
      <c r="C30" s="63"/>
      <c r="D30" s="72"/>
      <c r="E30" s="59"/>
      <c r="F30" s="68"/>
    </row>
    <row r="31" spans="1:6" s="69" customFormat="1" ht="39" customHeight="1" x14ac:dyDescent="0.25">
      <c r="A31" s="4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1" s="90" t="s">
        <v>29</v>
      </c>
      <c r="C31" s="63"/>
      <c r="D31" s="72"/>
      <c r="E31" s="24"/>
      <c r="F31" s="68"/>
    </row>
    <row r="32" spans="1:6" s="69" customFormat="1" ht="39" customHeight="1" x14ac:dyDescent="0.25">
      <c r="A32" s="4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2" s="90" t="s">
        <v>29</v>
      </c>
      <c r="C32" s="63"/>
      <c r="D32" s="72"/>
      <c r="E32" s="59"/>
      <c r="F32" s="68"/>
    </row>
    <row r="33" spans="1:6" s="69" customFormat="1" ht="39" customHeight="1" x14ac:dyDescent="0.25">
      <c r="A33" s="4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3" s="90" t="s">
        <v>29</v>
      </c>
      <c r="C33" s="63"/>
      <c r="D33" s="72"/>
      <c r="E33" s="24"/>
      <c r="F33" s="68"/>
    </row>
    <row r="34" spans="1:6" s="69" customFormat="1" ht="39" customHeight="1" thickBot="1" x14ac:dyDescent="0.3">
      <c r="A34" s="5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/>
      </c>
      <c r="B34" s="90" t="s">
        <v>29</v>
      </c>
      <c r="C34" s="96"/>
      <c r="D34" s="73"/>
      <c r="E34" s="95"/>
      <c r="F34" s="68"/>
    </row>
    <row r="35" spans="1:6" s="69" customFormat="1" ht="39" customHeight="1" x14ac:dyDescent="0.25">
      <c r="A35" s="97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-30µg/L</v>
      </c>
      <c r="B35" s="60" t="s">
        <v>45</v>
      </c>
      <c r="C35" s="64">
        <v>30</v>
      </c>
      <c r="D35" s="74" t="s">
        <v>19</v>
      </c>
      <c r="E35" s="86" t="s">
        <v>8</v>
      </c>
      <c r="F35" s="98"/>
    </row>
    <row r="36" spans="1:6" s="69" customFormat="1" ht="39" customHeight="1" x14ac:dyDescent="0.25">
      <c r="A36" s="99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30µg/L + EE2 -64ng/L</v>
      </c>
      <c r="B36" s="61" t="s">
        <v>45</v>
      </c>
      <c r="C36" s="65">
        <v>64</v>
      </c>
      <c r="D36" s="75" t="s">
        <v>17</v>
      </c>
      <c r="E36" s="87" t="s">
        <v>20</v>
      </c>
      <c r="F36" s="100"/>
    </row>
    <row r="37" spans="1:6" s="69" customFormat="1" ht="39" customHeight="1" thickBot="1" x14ac:dyDescent="0.3">
      <c r="A37" s="101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Testo 30µg/L + FAD-10mg/L</v>
      </c>
      <c r="B37" s="102" t="s">
        <v>45</v>
      </c>
      <c r="C37" s="103">
        <v>10</v>
      </c>
      <c r="D37" s="104" t="s">
        <v>21</v>
      </c>
      <c r="E37" s="105" t="s">
        <v>22</v>
      </c>
      <c r="F37" s="106"/>
    </row>
    <row r="38" spans="1:6" s="69" customFormat="1" ht="39" customHeight="1" x14ac:dyDescent="0.25">
      <c r="A38" s="35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Chromolyn-0.1µg/L + Testostérone</v>
      </c>
      <c r="B38" s="110" t="str">
        <f>B14</f>
        <v>test chemical</v>
      </c>
      <c r="C38" s="110" t="str">
        <f t="shared" ref="C38:E38" si="0">C14</f>
        <v>0.1</v>
      </c>
      <c r="D38" s="110" t="str">
        <f t="shared" si="0"/>
        <v>µg/L</v>
      </c>
      <c r="E38" s="110" t="str">
        <f t="shared" si="0"/>
        <v>Chromolyn</v>
      </c>
      <c r="F38" s="70" t="s">
        <v>13</v>
      </c>
    </row>
    <row r="39" spans="1:6" s="69" customFormat="1" ht="39" customHeight="1" x14ac:dyDescent="0.25">
      <c r="A39" s="5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Chromolyn-1µg/L + Testostérone</v>
      </c>
      <c r="B39" s="112" t="str">
        <f t="shared" ref="B39:E39" si="1">B15</f>
        <v>test chemical</v>
      </c>
      <c r="C39" s="112">
        <f t="shared" si="1"/>
        <v>1</v>
      </c>
      <c r="D39" s="112" t="str">
        <f t="shared" si="1"/>
        <v>µg/L</v>
      </c>
      <c r="E39" s="112" t="str">
        <f t="shared" si="1"/>
        <v>Chromolyn</v>
      </c>
      <c r="F39" s="71" t="s">
        <v>13</v>
      </c>
    </row>
    <row r="40" spans="1:6" s="69" customFormat="1" ht="39" customHeight="1" x14ac:dyDescent="0.25">
      <c r="A40" s="5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Chromolyn-10µg/L + Testostérone</v>
      </c>
      <c r="B40" s="112" t="str">
        <f t="shared" ref="B40:E40" si="2">B16</f>
        <v>test chemical</v>
      </c>
      <c r="C40" s="112">
        <f t="shared" si="2"/>
        <v>10</v>
      </c>
      <c r="D40" s="112" t="str">
        <f t="shared" si="2"/>
        <v>µg/L</v>
      </c>
      <c r="E40" s="112" t="str">
        <f t="shared" si="2"/>
        <v>Chromolyn</v>
      </c>
      <c r="F40" s="71" t="s">
        <v>13</v>
      </c>
    </row>
    <row r="41" spans="1:6" s="69" customFormat="1" ht="39" customHeight="1" x14ac:dyDescent="0.25">
      <c r="A41" s="5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Chromolyn-100µg/L + Testostérone</v>
      </c>
      <c r="B41" s="112" t="str">
        <f t="shared" ref="B41:E41" si="3">B17</f>
        <v>test chemical</v>
      </c>
      <c r="C41" s="112">
        <f t="shared" si="3"/>
        <v>100</v>
      </c>
      <c r="D41" s="112" t="str">
        <f t="shared" si="3"/>
        <v>µg/L</v>
      </c>
      <c r="E41" s="112" t="str">
        <f t="shared" si="3"/>
        <v>Chromolyn</v>
      </c>
      <c r="F41" s="71" t="s">
        <v>13</v>
      </c>
    </row>
    <row r="42" spans="1:6" s="69" customFormat="1" ht="39" customHeight="1" x14ac:dyDescent="0.25">
      <c r="A42" s="5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Chromolyn-1000µg/L + Testostérone</v>
      </c>
      <c r="B42" s="112" t="str">
        <f t="shared" ref="B42:E42" si="4">B18</f>
        <v>test chemical</v>
      </c>
      <c r="C42" s="112">
        <f t="shared" si="4"/>
        <v>1000</v>
      </c>
      <c r="D42" s="112" t="str">
        <f t="shared" si="4"/>
        <v>µg/L</v>
      </c>
      <c r="E42" s="112" t="str">
        <f t="shared" si="4"/>
        <v>Chromolyn</v>
      </c>
      <c r="F42" s="71" t="s">
        <v>13</v>
      </c>
    </row>
    <row r="43" spans="1:6" s="69" customFormat="1" ht="39" customHeight="1" x14ac:dyDescent="0.25">
      <c r="A43" s="5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3" s="112" t="str">
        <f t="shared" ref="B43:E43" si="5">B19</f>
        <v>test chemical</v>
      </c>
      <c r="C43" s="112">
        <f t="shared" si="5"/>
        <v>0</v>
      </c>
      <c r="D43" s="112">
        <f t="shared" si="5"/>
        <v>0</v>
      </c>
      <c r="E43" s="112">
        <f t="shared" si="5"/>
        <v>0</v>
      </c>
      <c r="F43" s="71" t="s">
        <v>13</v>
      </c>
    </row>
    <row r="44" spans="1:6" s="69" customFormat="1" ht="39" customHeight="1" x14ac:dyDescent="0.25">
      <c r="A44" s="5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4" s="112" t="str">
        <f t="shared" ref="B44:E44" si="6">B20</f>
        <v>test chemical</v>
      </c>
      <c r="C44" s="112">
        <f t="shared" si="6"/>
        <v>0</v>
      </c>
      <c r="D44" s="112">
        <f t="shared" si="6"/>
        <v>0</v>
      </c>
      <c r="E44" s="112">
        <f t="shared" si="6"/>
        <v>0</v>
      </c>
      <c r="F44" s="71" t="s">
        <v>13</v>
      </c>
    </row>
    <row r="45" spans="1:6" s="69" customFormat="1" ht="39" customHeight="1" x14ac:dyDescent="0.25">
      <c r="A45" s="5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5" s="112" t="str">
        <f t="shared" ref="B45:E45" si="7">B21</f>
        <v>test chemical</v>
      </c>
      <c r="C45" s="112">
        <f t="shared" si="7"/>
        <v>0</v>
      </c>
      <c r="D45" s="112">
        <f t="shared" si="7"/>
        <v>0</v>
      </c>
      <c r="E45" s="112">
        <f t="shared" si="7"/>
        <v>0</v>
      </c>
      <c r="F45" s="71" t="s">
        <v>13</v>
      </c>
    </row>
    <row r="46" spans="1:6" s="69" customFormat="1" ht="39" customHeight="1" x14ac:dyDescent="0.25">
      <c r="A46" s="5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6" s="112" t="str">
        <f t="shared" ref="B46:E46" si="8">B22</f>
        <v>test chemical</v>
      </c>
      <c r="C46" s="112">
        <f t="shared" si="8"/>
        <v>0</v>
      </c>
      <c r="D46" s="112">
        <f t="shared" si="8"/>
        <v>0</v>
      </c>
      <c r="E46" s="112">
        <f t="shared" si="8"/>
        <v>0</v>
      </c>
      <c r="F46" s="71" t="s">
        <v>13</v>
      </c>
    </row>
    <row r="47" spans="1:6" s="69" customFormat="1" ht="39" customHeight="1" x14ac:dyDescent="0.25">
      <c r="A47" s="5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7" s="112" t="str">
        <f t="shared" ref="B47:E47" si="9">B23</f>
        <v>test chemical</v>
      </c>
      <c r="C47" s="112">
        <f t="shared" si="9"/>
        <v>0</v>
      </c>
      <c r="D47" s="112">
        <f t="shared" si="9"/>
        <v>0</v>
      </c>
      <c r="E47" s="112">
        <f t="shared" si="9"/>
        <v>0</v>
      </c>
      <c r="F47" s="71" t="s">
        <v>13</v>
      </c>
    </row>
    <row r="48" spans="1:6" s="69" customFormat="1" ht="39" customHeight="1" x14ac:dyDescent="0.25">
      <c r="A48" s="5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8" s="112" t="str">
        <f t="shared" ref="B48:E48" si="10">B24</f>
        <v>test chemical</v>
      </c>
      <c r="C48" s="112">
        <f t="shared" si="10"/>
        <v>0</v>
      </c>
      <c r="D48" s="112">
        <f t="shared" si="10"/>
        <v>0</v>
      </c>
      <c r="E48" s="112">
        <f t="shared" si="10"/>
        <v>0</v>
      </c>
      <c r="F48" s="71" t="s">
        <v>13</v>
      </c>
    </row>
    <row r="49" spans="1:6" s="69" customFormat="1" ht="39" customHeight="1" x14ac:dyDescent="0.25">
      <c r="A49" s="5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49" s="112" t="str">
        <f t="shared" ref="B49:E49" si="11">B25</f>
        <v>test chemical</v>
      </c>
      <c r="C49" s="112">
        <f t="shared" si="11"/>
        <v>0</v>
      </c>
      <c r="D49" s="112">
        <f t="shared" si="11"/>
        <v>0</v>
      </c>
      <c r="E49" s="112">
        <f t="shared" si="11"/>
        <v>0</v>
      </c>
      <c r="F49" s="71" t="s">
        <v>13</v>
      </c>
    </row>
    <row r="50" spans="1:6" s="69" customFormat="1" ht="39" customHeight="1" x14ac:dyDescent="0.25">
      <c r="A50" s="5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0" s="112" t="str">
        <f t="shared" ref="B50:E50" si="12">B26</f>
        <v>test chemical</v>
      </c>
      <c r="C50" s="112">
        <f t="shared" si="12"/>
        <v>0</v>
      </c>
      <c r="D50" s="112">
        <f t="shared" si="12"/>
        <v>0</v>
      </c>
      <c r="E50" s="112">
        <f t="shared" si="12"/>
        <v>0</v>
      </c>
      <c r="F50" s="71" t="s">
        <v>13</v>
      </c>
    </row>
    <row r="51" spans="1:6" s="69" customFormat="1" ht="39" customHeight="1" x14ac:dyDescent="0.25">
      <c r="A51" s="5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1" s="112" t="str">
        <f t="shared" ref="B51:E51" si="13">B27</f>
        <v>test chemical</v>
      </c>
      <c r="C51" s="112">
        <f t="shared" si="13"/>
        <v>0</v>
      </c>
      <c r="D51" s="112">
        <f t="shared" si="13"/>
        <v>0</v>
      </c>
      <c r="E51" s="112">
        <f t="shared" si="13"/>
        <v>0</v>
      </c>
      <c r="F51" s="71" t="s">
        <v>13</v>
      </c>
    </row>
    <row r="52" spans="1:6" s="69" customFormat="1" ht="39" customHeight="1" x14ac:dyDescent="0.25">
      <c r="A52" s="5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2" s="112" t="str">
        <f t="shared" ref="B52:E52" si="14">B28</f>
        <v>test chemical</v>
      </c>
      <c r="C52" s="112">
        <f t="shared" si="14"/>
        <v>0</v>
      </c>
      <c r="D52" s="112">
        <f t="shared" si="14"/>
        <v>0</v>
      </c>
      <c r="E52" s="112">
        <f t="shared" si="14"/>
        <v>0</v>
      </c>
      <c r="F52" s="71" t="s">
        <v>13</v>
      </c>
    </row>
    <row r="53" spans="1:6" s="69" customFormat="1" ht="39" customHeight="1" x14ac:dyDescent="0.25">
      <c r="A53" s="5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3" s="112" t="str">
        <f t="shared" ref="B53:E53" si="15">B29</f>
        <v>test chemical</v>
      </c>
      <c r="C53" s="112">
        <f t="shared" si="15"/>
        <v>0</v>
      </c>
      <c r="D53" s="112">
        <f t="shared" si="15"/>
        <v>0</v>
      </c>
      <c r="E53" s="112">
        <f t="shared" si="15"/>
        <v>0</v>
      </c>
      <c r="F53" s="71" t="s">
        <v>13</v>
      </c>
    </row>
    <row r="54" spans="1:6" s="69" customFormat="1" ht="39" customHeight="1" x14ac:dyDescent="0.25">
      <c r="A54" s="5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4" s="112" t="str">
        <f t="shared" ref="B54:E54" si="16">B30</f>
        <v>test chemical</v>
      </c>
      <c r="C54" s="112">
        <f t="shared" si="16"/>
        <v>0</v>
      </c>
      <c r="D54" s="112">
        <f t="shared" si="16"/>
        <v>0</v>
      </c>
      <c r="E54" s="112">
        <f t="shared" si="16"/>
        <v>0</v>
      </c>
      <c r="F54" s="71" t="s">
        <v>13</v>
      </c>
    </row>
    <row r="55" spans="1:6" s="69" customFormat="1" ht="39" customHeight="1" x14ac:dyDescent="0.25">
      <c r="A55" s="5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5" s="112" t="str">
        <f t="shared" ref="B55:E55" si="17">B31</f>
        <v>test chemical</v>
      </c>
      <c r="C55" s="112">
        <f t="shared" si="17"/>
        <v>0</v>
      </c>
      <c r="D55" s="112">
        <f t="shared" si="17"/>
        <v>0</v>
      </c>
      <c r="E55" s="112">
        <f t="shared" si="17"/>
        <v>0</v>
      </c>
      <c r="F55" s="71" t="s">
        <v>13</v>
      </c>
    </row>
    <row r="56" spans="1:6" s="69" customFormat="1" ht="39" customHeight="1" x14ac:dyDescent="0.25">
      <c r="A56" s="56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6" s="112" t="str">
        <f t="shared" ref="B56:E56" si="18">B32</f>
        <v>test chemical</v>
      </c>
      <c r="C56" s="112">
        <f t="shared" si="18"/>
        <v>0</v>
      </c>
      <c r="D56" s="112">
        <f t="shared" si="18"/>
        <v>0</v>
      </c>
      <c r="E56" s="112">
        <f t="shared" si="18"/>
        <v>0</v>
      </c>
      <c r="F56" s="71" t="s">
        <v>13</v>
      </c>
    </row>
    <row r="57" spans="1:6" s="69" customFormat="1" ht="39" customHeight="1" x14ac:dyDescent="0.25">
      <c r="A57" s="62" t="str">
        <f>IF(ISBLANK(liste_groupe[[#This Row],[Do not fill in2]])," ",IF(ISBLANK(liste_groupe[[#This Row],[Units]]),CONCATENATE(liste_groupe[[#This Row],[Chemical name]],liste_groupe[[#This Row],[Do not fill in3]]),CONCATENATE(liste_groupe[[#This Row],[Chemical name]],"-",liste_groupe[[#This Row],[Concentration]],liste_groupe[[#This Row],[Units]],liste_groupe[[#This Row],[Do not fill in3]])))</f>
        <v>0-00 + Testostérone</v>
      </c>
      <c r="B57" s="111" t="str">
        <f t="shared" ref="B57:E57" si="19">B33</f>
        <v>test chemical</v>
      </c>
      <c r="C57" s="111">
        <f t="shared" si="19"/>
        <v>0</v>
      </c>
      <c r="D57" s="111">
        <f t="shared" si="19"/>
        <v>0</v>
      </c>
      <c r="E57" s="111">
        <f t="shared" si="19"/>
        <v>0</v>
      </c>
      <c r="F57" s="71" t="s">
        <v>13</v>
      </c>
    </row>
  </sheetData>
  <protectedRanges>
    <protectedRange sqref="C19:D37 A15:A51" name="Plage1_1"/>
    <protectedRange sqref="C15:C18" name="Plage1_1_1"/>
  </protectedRanges>
  <mergeCells count="8">
    <mergeCell ref="A5:I5"/>
    <mergeCell ref="A1:I1"/>
    <mergeCell ref="C2:D2"/>
    <mergeCell ref="C3:D3"/>
    <mergeCell ref="C4:D4"/>
    <mergeCell ref="F4:I4"/>
    <mergeCell ref="F3:I3"/>
    <mergeCell ref="F2:I2"/>
  </mergeCells>
  <dataValidations count="1">
    <dataValidation type="custom" allowBlank="1" showInputMessage="1" showErrorMessage="1" sqref="E7:E37" xr:uid="{E0A8F951-ED76-4488-98E3-F13AD7875916}">
      <formula1>ISERROR(SEARCH("-",E7))=TRUE</formula1>
    </dataValidation>
  </dataValidations>
  <pageMargins left="0.7" right="0.7" top="0.75" bottom="0.75" header="0.3" footer="0.3"/>
  <pageSetup paperSize="9" scale="35" orientation="landscape" r:id="rId1"/>
  <headerFooter>
    <oddHeader>&amp;C&amp;"-,Gras"&amp;20Résultats&amp;R&amp;"-,Gras"&amp;20Page : &amp;P/&amp;P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74"/>
  <sheetViews>
    <sheetView showGridLines="0" zoomScale="85" zoomScaleNormal="85" zoomScaleSheetLayoutView="40" zoomScalePageLayoutView="30" workbookViewId="0">
      <pane xSplit="1" topLeftCell="G1" activePane="topRight" state="frozen"/>
      <selection pane="topRight" activeCell="O5" sqref="O5:V20"/>
    </sheetView>
  </sheetViews>
  <sheetFormatPr defaultColWidth="9.140625" defaultRowHeight="15" x14ac:dyDescent="0.25"/>
  <cols>
    <col min="1" max="1" width="29.5703125" style="1" customWidth="1"/>
    <col min="2" max="2" width="14.85546875" style="1" customWidth="1"/>
    <col min="3" max="5" width="25.85546875" style="1" bestFit="1" customWidth="1"/>
    <col min="6" max="8" width="26.42578125" style="1" bestFit="1" customWidth="1"/>
    <col min="9" max="9" width="26.42578125" style="1" customWidth="1"/>
    <col min="10" max="10" width="25.85546875" style="1" bestFit="1" customWidth="1"/>
    <col min="11" max="11" width="26.42578125" style="1" bestFit="1" customWidth="1"/>
    <col min="12" max="13" width="26.42578125" style="1" customWidth="1"/>
    <col min="14" max="14" width="18.28515625" bestFit="1" customWidth="1"/>
    <col min="15" max="15" width="14.85546875" customWidth="1"/>
    <col min="16" max="16" width="17.7109375" customWidth="1"/>
    <col min="17" max="18" width="25.85546875" bestFit="1" customWidth="1"/>
    <col min="19" max="22" width="25.85546875" style="1" customWidth="1"/>
  </cols>
  <sheetData>
    <row r="1" spans="1:22" s="1" customFormat="1" ht="27" thickBot="1" x14ac:dyDescent="0.45">
      <c r="A1" s="133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</row>
    <row r="2" spans="1:22" ht="15.75" thickBot="1" x14ac:dyDescent="0.3">
      <c r="A2"/>
      <c r="B2"/>
      <c r="C2"/>
      <c r="D2"/>
      <c r="E2"/>
      <c r="F2"/>
      <c r="G2"/>
      <c r="H2"/>
      <c r="I2"/>
      <c r="J2"/>
      <c r="K2"/>
      <c r="L2"/>
      <c r="M2"/>
      <c r="S2"/>
      <c r="T2"/>
      <c r="U2"/>
      <c r="V2"/>
    </row>
    <row r="3" spans="1:22" ht="15.75" thickBot="1" x14ac:dyDescent="0.3">
      <c r="A3" s="34" t="s">
        <v>5</v>
      </c>
      <c r="B3" s="141" t="s">
        <v>41</v>
      </c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O3" s="141" t="s">
        <v>42</v>
      </c>
      <c r="P3" s="142"/>
      <c r="Q3" s="142"/>
      <c r="R3" s="142"/>
      <c r="S3" s="142"/>
      <c r="T3" s="142"/>
      <c r="U3" s="142"/>
      <c r="V3" s="142"/>
    </row>
    <row r="4" spans="1:22" x14ac:dyDescent="0.25">
      <c r="A4" s="18" t="s">
        <v>36</v>
      </c>
      <c r="B4" s="19" t="str">
        <f>'Front page'!A7</f>
        <v>Solvent control</v>
      </c>
      <c r="C4" s="19" t="str">
        <f>'Front page'!A8</f>
        <v>EE2-33.8ng/L</v>
      </c>
      <c r="D4" s="19" t="str">
        <f>'Front page'!A9</f>
        <v>EE2-50.6ng/L</v>
      </c>
      <c r="E4" s="19" t="str">
        <f>'Front page'!A10</f>
        <v>EE2-76ng/L</v>
      </c>
      <c r="F4" s="19" t="str">
        <f>'Front page'!A11</f>
        <v>EE2-114ng/L</v>
      </c>
      <c r="G4" s="19" t="str">
        <f>'Front page'!A12</f>
        <v>EE2-170.9ng/L</v>
      </c>
      <c r="H4" s="19" t="str">
        <f>'Front page'!A13</f>
        <v>EE2-488ng/L</v>
      </c>
      <c r="I4" s="19" t="str">
        <f>'Front page'!A14</f>
        <v>Chromolyn-0.1µg/L</v>
      </c>
      <c r="J4" s="19" t="str">
        <f>'Front page'!A15</f>
        <v>Chromolyn-1µg/L</v>
      </c>
      <c r="K4" s="19" t="str">
        <f>'Front page'!A16</f>
        <v>Chromolyn-10µg/L</v>
      </c>
      <c r="L4" s="19" t="str">
        <f>'Front page'!A17</f>
        <v>Chromolyn-100µg/L</v>
      </c>
      <c r="M4" s="19" t="str">
        <f>'Front page'!A18</f>
        <v>Chromolyn-1000µg/L</v>
      </c>
      <c r="N4" s="3"/>
      <c r="O4" s="20" t="str">
        <f>'Front page'!A35</f>
        <v>Testo -30µg/L</v>
      </c>
      <c r="P4" s="20" t="str">
        <f>'Front page'!A36</f>
        <v>Testo 30µg/L + EE2 -64ng/L</v>
      </c>
      <c r="Q4" s="20" t="str">
        <f>'Front page'!A37</f>
        <v>Testo 30µg/L + FAD-10mg/L</v>
      </c>
      <c r="R4" s="20" t="str">
        <f>'Front page'!A38</f>
        <v>Chromolyn-0.1µg/L + Testostérone</v>
      </c>
      <c r="S4" s="20" t="str">
        <f>'Front page'!A39</f>
        <v>Chromolyn-1µg/L + Testostérone</v>
      </c>
      <c r="T4" s="20" t="str">
        <f>'Front page'!A40</f>
        <v>Chromolyn-10µg/L + Testostérone</v>
      </c>
      <c r="U4" s="20" t="str">
        <f>'Front page'!A41</f>
        <v>Chromolyn-100µg/L + Testostérone</v>
      </c>
      <c r="V4" s="20" t="str">
        <f>'Front page'!A42</f>
        <v>Chromolyn-1000µg/L + Testostérone</v>
      </c>
    </row>
    <row r="5" spans="1:22" x14ac:dyDescent="0.25">
      <c r="A5" s="137" t="s">
        <v>34</v>
      </c>
      <c r="B5" s="16">
        <v>8996</v>
      </c>
      <c r="C5" s="16"/>
      <c r="D5" s="16">
        <v>1902</v>
      </c>
      <c r="E5" s="16">
        <v>12968</v>
      </c>
      <c r="F5" s="16">
        <v>173295</v>
      </c>
      <c r="G5" s="16">
        <v>2906</v>
      </c>
      <c r="H5" s="16">
        <v>253804</v>
      </c>
      <c r="I5" s="16">
        <v>0</v>
      </c>
      <c r="J5" s="16">
        <v>7687</v>
      </c>
      <c r="K5" s="12">
        <v>6241</v>
      </c>
      <c r="L5" s="12">
        <v>405</v>
      </c>
      <c r="M5" s="12">
        <v>0</v>
      </c>
      <c r="N5" s="3"/>
      <c r="O5" s="16">
        <v>203055</v>
      </c>
      <c r="P5" s="12">
        <v>111683</v>
      </c>
      <c r="Q5" s="12">
        <v>0</v>
      </c>
      <c r="R5" s="16">
        <v>187761</v>
      </c>
      <c r="S5" s="16">
        <v>163790</v>
      </c>
      <c r="T5" s="16">
        <v>202835</v>
      </c>
      <c r="U5" s="1">
        <v>284261</v>
      </c>
      <c r="V5" s="16">
        <v>101886</v>
      </c>
    </row>
    <row r="6" spans="1:22" ht="16.5" x14ac:dyDescent="0.25">
      <c r="A6" s="138"/>
      <c r="B6" s="13">
        <v>5484</v>
      </c>
      <c r="C6" s="12"/>
      <c r="D6" s="16">
        <v>1338</v>
      </c>
      <c r="E6" s="16">
        <v>0</v>
      </c>
      <c r="F6" s="16">
        <v>1508</v>
      </c>
      <c r="G6" s="16">
        <v>384499</v>
      </c>
      <c r="H6" s="16">
        <v>282945</v>
      </c>
      <c r="I6" s="16">
        <v>4852</v>
      </c>
      <c r="J6" s="16">
        <v>0</v>
      </c>
      <c r="K6" s="12">
        <v>0</v>
      </c>
      <c r="L6" s="12">
        <v>577</v>
      </c>
      <c r="M6" s="12">
        <v>81</v>
      </c>
      <c r="N6" s="3"/>
      <c r="O6" s="16">
        <v>144189</v>
      </c>
      <c r="P6" s="12">
        <v>256201</v>
      </c>
      <c r="Q6" s="12">
        <v>99735</v>
      </c>
      <c r="R6" s="16">
        <v>80327</v>
      </c>
      <c r="S6" s="16">
        <v>77414</v>
      </c>
      <c r="T6" s="16">
        <v>23720</v>
      </c>
      <c r="U6" s="1">
        <v>186092</v>
      </c>
      <c r="V6" s="16">
        <v>89427</v>
      </c>
    </row>
    <row r="7" spans="1:22" ht="16.5" x14ac:dyDescent="0.25">
      <c r="A7" s="138"/>
      <c r="B7" s="13">
        <v>422</v>
      </c>
      <c r="C7" s="12"/>
      <c r="D7" s="16">
        <v>242</v>
      </c>
      <c r="E7" s="16">
        <v>30668</v>
      </c>
      <c r="F7" s="16">
        <v>169276</v>
      </c>
      <c r="G7" s="16">
        <v>243198</v>
      </c>
      <c r="H7" s="16">
        <v>223912</v>
      </c>
      <c r="I7" s="16">
        <v>10473</v>
      </c>
      <c r="J7" s="16">
        <v>484</v>
      </c>
      <c r="K7" s="12">
        <v>4639</v>
      </c>
      <c r="L7" s="12">
        <v>14843</v>
      </c>
      <c r="M7" s="12">
        <v>13005</v>
      </c>
      <c r="N7" s="3"/>
      <c r="O7" s="16">
        <v>221053</v>
      </c>
      <c r="P7" s="12">
        <v>276536</v>
      </c>
      <c r="Q7" s="12">
        <v>839</v>
      </c>
      <c r="R7" s="16">
        <v>66461</v>
      </c>
      <c r="S7" s="16">
        <v>88421</v>
      </c>
      <c r="T7" s="16">
        <v>205051</v>
      </c>
      <c r="U7" s="1">
        <v>155778</v>
      </c>
      <c r="V7" s="16">
        <v>167703</v>
      </c>
    </row>
    <row r="8" spans="1:22" ht="16.5" x14ac:dyDescent="0.25">
      <c r="A8" s="138"/>
      <c r="B8" s="13">
        <v>734</v>
      </c>
      <c r="C8" s="12"/>
      <c r="D8" s="16">
        <v>8791</v>
      </c>
      <c r="E8" s="16">
        <v>1473</v>
      </c>
      <c r="F8" s="16">
        <v>273980</v>
      </c>
      <c r="G8" s="16">
        <v>251816</v>
      </c>
      <c r="H8" s="16">
        <v>402101</v>
      </c>
      <c r="I8" s="16">
        <v>671</v>
      </c>
      <c r="J8" s="16">
        <v>0</v>
      </c>
      <c r="K8" s="12">
        <v>164</v>
      </c>
      <c r="L8" s="12">
        <v>20273</v>
      </c>
      <c r="M8" s="12">
        <v>245</v>
      </c>
      <c r="N8" s="3"/>
      <c r="O8" s="16">
        <v>162948</v>
      </c>
      <c r="P8" s="12">
        <v>249176</v>
      </c>
      <c r="Q8" s="12">
        <v>322</v>
      </c>
      <c r="R8" s="16">
        <v>13083</v>
      </c>
      <c r="S8" s="16">
        <v>204752</v>
      </c>
      <c r="T8" s="16">
        <v>238138</v>
      </c>
      <c r="U8" s="1">
        <v>137715</v>
      </c>
      <c r="V8" s="16">
        <v>203880</v>
      </c>
    </row>
    <row r="9" spans="1:22" ht="16.5" x14ac:dyDescent="0.25">
      <c r="A9" s="138"/>
      <c r="B9" s="13">
        <v>9934</v>
      </c>
      <c r="C9" s="12"/>
      <c r="D9" s="16">
        <v>814</v>
      </c>
      <c r="E9" s="16">
        <v>0</v>
      </c>
      <c r="F9" s="16">
        <v>143728</v>
      </c>
      <c r="G9" s="16">
        <v>60661</v>
      </c>
      <c r="H9" s="16">
        <v>319761</v>
      </c>
      <c r="I9" s="16">
        <v>4895</v>
      </c>
      <c r="J9" s="16">
        <v>13822</v>
      </c>
      <c r="K9" s="12">
        <v>515</v>
      </c>
      <c r="L9" s="12">
        <v>649</v>
      </c>
      <c r="M9" s="12">
        <v>246</v>
      </c>
      <c r="N9" s="3"/>
      <c r="O9" s="16">
        <v>178232</v>
      </c>
      <c r="P9" s="12">
        <v>240916</v>
      </c>
      <c r="Q9" s="12">
        <v>0</v>
      </c>
      <c r="R9" s="16">
        <v>70313</v>
      </c>
      <c r="S9" s="16">
        <v>209019</v>
      </c>
      <c r="T9" s="16">
        <v>193359</v>
      </c>
      <c r="U9" s="1">
        <v>186235</v>
      </c>
      <c r="V9" s="16">
        <v>51037</v>
      </c>
    </row>
    <row r="10" spans="1:22" ht="16.5" x14ac:dyDescent="0.25">
      <c r="A10" s="138"/>
      <c r="B10" s="13">
        <v>2025</v>
      </c>
      <c r="C10" s="12"/>
      <c r="D10" s="16">
        <v>164</v>
      </c>
      <c r="E10" s="16">
        <v>15240</v>
      </c>
      <c r="F10" s="16">
        <v>31364</v>
      </c>
      <c r="G10" s="16">
        <v>182330</v>
      </c>
      <c r="H10" s="16">
        <v>168932</v>
      </c>
      <c r="I10" s="16">
        <v>258</v>
      </c>
      <c r="J10" s="16">
        <v>80</v>
      </c>
      <c r="K10" s="12">
        <v>171</v>
      </c>
      <c r="L10" s="12">
        <v>6482</v>
      </c>
      <c r="M10" s="12">
        <v>0</v>
      </c>
      <c r="N10" s="3"/>
      <c r="O10" s="16">
        <v>78581</v>
      </c>
      <c r="P10" s="12">
        <v>197655</v>
      </c>
      <c r="Q10" s="12">
        <v>18038</v>
      </c>
      <c r="R10" s="16">
        <v>273604</v>
      </c>
      <c r="S10" s="16">
        <v>134990</v>
      </c>
      <c r="T10" s="16">
        <v>248901</v>
      </c>
      <c r="U10" s="1">
        <v>63613</v>
      </c>
      <c r="V10" s="16">
        <v>143312</v>
      </c>
    </row>
    <row r="11" spans="1:22" ht="16.5" x14ac:dyDescent="0.25">
      <c r="A11" s="138"/>
      <c r="B11" s="13">
        <v>5565</v>
      </c>
      <c r="C11" s="12"/>
      <c r="D11" s="16">
        <v>11287</v>
      </c>
      <c r="E11" s="16">
        <v>247232</v>
      </c>
      <c r="F11" s="16">
        <v>150063</v>
      </c>
      <c r="G11" s="16">
        <v>139396</v>
      </c>
      <c r="H11" s="16">
        <v>400259</v>
      </c>
      <c r="I11" s="16">
        <v>670</v>
      </c>
      <c r="J11" s="16">
        <v>349</v>
      </c>
      <c r="K11" s="12">
        <v>6189</v>
      </c>
      <c r="L11" s="12">
        <v>1446</v>
      </c>
      <c r="M11" s="12">
        <v>2381</v>
      </c>
      <c r="N11" s="3"/>
      <c r="O11" s="16">
        <v>69173</v>
      </c>
      <c r="P11" s="12">
        <v>214172</v>
      </c>
      <c r="Q11" s="12">
        <v>0</v>
      </c>
      <c r="R11" s="16">
        <v>62590</v>
      </c>
      <c r="S11" s="16">
        <v>267152</v>
      </c>
      <c r="T11" s="16">
        <v>180285</v>
      </c>
      <c r="U11" s="1">
        <v>144948</v>
      </c>
      <c r="V11" s="16">
        <v>217152</v>
      </c>
    </row>
    <row r="12" spans="1:22" ht="16.5" x14ac:dyDescent="0.25">
      <c r="A12" s="138"/>
      <c r="B12" s="13">
        <v>247</v>
      </c>
      <c r="C12" s="12"/>
      <c r="D12" s="16">
        <v>15995</v>
      </c>
      <c r="E12" s="16">
        <v>73568</v>
      </c>
      <c r="F12" s="16">
        <v>206765</v>
      </c>
      <c r="G12" s="16">
        <v>176759</v>
      </c>
      <c r="H12" s="16">
        <v>202632</v>
      </c>
      <c r="I12" s="16">
        <v>328</v>
      </c>
      <c r="J12" s="16">
        <v>0</v>
      </c>
      <c r="K12" s="12">
        <v>4216</v>
      </c>
      <c r="L12" s="12">
        <v>8282</v>
      </c>
      <c r="M12" s="12">
        <v>80</v>
      </c>
      <c r="N12" s="3"/>
      <c r="O12" s="16">
        <v>119524</v>
      </c>
      <c r="P12" s="12">
        <v>233263</v>
      </c>
      <c r="Q12" s="12">
        <v>2618</v>
      </c>
      <c r="R12" s="16">
        <v>230754</v>
      </c>
      <c r="S12" s="16">
        <v>234773</v>
      </c>
      <c r="T12" s="16">
        <v>184354</v>
      </c>
      <c r="U12" s="1">
        <v>126714</v>
      </c>
      <c r="V12" s="16">
        <v>217781</v>
      </c>
    </row>
    <row r="13" spans="1:22" ht="16.5" x14ac:dyDescent="0.25">
      <c r="A13" s="138"/>
      <c r="B13" s="13"/>
      <c r="C13" s="12"/>
      <c r="D13" s="15"/>
      <c r="E13" s="15"/>
      <c r="F13" s="15"/>
      <c r="G13" s="15"/>
      <c r="H13" s="15"/>
      <c r="I13" s="16"/>
      <c r="J13" s="15"/>
      <c r="K13" s="12"/>
      <c r="L13" s="12"/>
      <c r="M13" s="12"/>
      <c r="N13" s="3"/>
      <c r="O13" s="16">
        <v>239567</v>
      </c>
      <c r="P13" s="12"/>
      <c r="Q13" s="12"/>
      <c r="R13" s="16"/>
      <c r="S13" s="16"/>
      <c r="T13" s="16"/>
      <c r="U13" s="16"/>
      <c r="V13" s="16"/>
    </row>
    <row r="14" spans="1:22" ht="16.5" x14ac:dyDescent="0.25">
      <c r="A14" s="138"/>
      <c r="B14" s="13"/>
      <c r="C14" s="15"/>
      <c r="D14" s="15"/>
      <c r="E14" s="15"/>
      <c r="F14" s="15"/>
      <c r="G14" s="15"/>
      <c r="H14" s="15"/>
      <c r="I14" s="16"/>
      <c r="J14" s="15"/>
      <c r="K14" s="12"/>
      <c r="L14" s="12"/>
      <c r="M14" s="12"/>
      <c r="N14" s="3"/>
      <c r="O14" s="16">
        <v>249233</v>
      </c>
      <c r="P14" s="12"/>
      <c r="Q14" s="12"/>
      <c r="R14" s="16"/>
      <c r="S14" s="16"/>
      <c r="T14" s="16"/>
      <c r="U14" s="16"/>
      <c r="V14" s="16"/>
    </row>
    <row r="15" spans="1:22" ht="16.5" x14ac:dyDescent="0.25">
      <c r="A15" s="138"/>
      <c r="B15" s="13"/>
      <c r="C15" s="15"/>
      <c r="D15" s="15"/>
      <c r="E15" s="15"/>
      <c r="F15" s="15"/>
      <c r="G15" s="15"/>
      <c r="H15" s="15"/>
      <c r="I15" s="16"/>
      <c r="J15" s="15"/>
      <c r="K15" s="12"/>
      <c r="L15" s="12"/>
      <c r="M15" s="12"/>
      <c r="N15" s="3"/>
      <c r="O15" s="16">
        <v>108959</v>
      </c>
      <c r="P15" s="12"/>
      <c r="Q15" s="12"/>
      <c r="R15" s="16"/>
      <c r="S15" s="16"/>
      <c r="T15" s="16"/>
      <c r="U15" s="16"/>
      <c r="V15" s="16"/>
    </row>
    <row r="16" spans="1:22" ht="16.5" x14ac:dyDescent="0.25">
      <c r="A16" s="138"/>
      <c r="B16" s="13"/>
      <c r="C16" s="15"/>
      <c r="D16" s="15"/>
      <c r="E16" s="15"/>
      <c r="F16" s="15"/>
      <c r="G16" s="15"/>
      <c r="H16" s="15"/>
      <c r="I16" s="16"/>
      <c r="J16" s="15"/>
      <c r="K16" s="12"/>
      <c r="L16" s="12"/>
      <c r="M16" s="12"/>
      <c r="N16" s="3"/>
      <c r="O16" s="16">
        <v>176288</v>
      </c>
      <c r="P16" s="12"/>
      <c r="Q16" s="12"/>
      <c r="R16" s="16"/>
      <c r="S16" s="16"/>
      <c r="T16" s="16"/>
      <c r="U16" s="16"/>
      <c r="V16" s="16"/>
    </row>
    <row r="17" spans="1:22" s="1" customFormat="1" ht="16.5" x14ac:dyDescent="0.25">
      <c r="A17" s="138"/>
      <c r="B17" s="13"/>
      <c r="C17" s="16"/>
      <c r="D17" s="16"/>
      <c r="E17" s="16"/>
      <c r="F17" s="16"/>
      <c r="G17" s="16"/>
      <c r="H17" s="16"/>
      <c r="I17" s="16"/>
      <c r="J17" s="16"/>
      <c r="K17" s="12"/>
      <c r="L17" s="12"/>
      <c r="M17" s="12"/>
      <c r="N17" s="3"/>
      <c r="O17" s="16">
        <v>238737</v>
      </c>
      <c r="P17" s="12"/>
      <c r="Q17" s="12"/>
      <c r="R17" s="16"/>
      <c r="S17" s="16"/>
      <c r="T17" s="16"/>
      <c r="U17" s="16"/>
      <c r="V17" s="16"/>
    </row>
    <row r="18" spans="1:22" s="1" customFormat="1" ht="16.5" x14ac:dyDescent="0.25">
      <c r="A18" s="138"/>
      <c r="B18" s="13"/>
      <c r="C18" s="16"/>
      <c r="D18" s="16"/>
      <c r="E18" s="16"/>
      <c r="F18" s="16"/>
      <c r="G18" s="16"/>
      <c r="H18" s="16"/>
      <c r="I18" s="16"/>
      <c r="J18" s="16"/>
      <c r="K18" s="12"/>
      <c r="L18" s="12"/>
      <c r="M18" s="12"/>
      <c r="N18" s="3"/>
      <c r="O18" s="16">
        <v>176305</v>
      </c>
      <c r="P18" s="12"/>
      <c r="Q18" s="12"/>
      <c r="R18" s="16"/>
      <c r="S18" s="16"/>
      <c r="T18" s="16"/>
      <c r="U18" s="16"/>
      <c r="V18" s="16"/>
    </row>
    <row r="19" spans="1:22" s="1" customFormat="1" ht="16.5" x14ac:dyDescent="0.25">
      <c r="A19" s="138"/>
      <c r="B19" s="13"/>
      <c r="C19" s="16"/>
      <c r="D19" s="16"/>
      <c r="E19" s="16"/>
      <c r="F19" s="16"/>
      <c r="G19" s="16"/>
      <c r="H19" s="16"/>
      <c r="I19" s="16"/>
      <c r="J19" s="16"/>
      <c r="K19" s="12"/>
      <c r="L19" s="12"/>
      <c r="M19" s="12"/>
      <c r="N19" s="3"/>
      <c r="O19" s="16">
        <v>157188</v>
      </c>
      <c r="P19" s="12"/>
      <c r="Q19" s="12"/>
      <c r="R19" s="16"/>
      <c r="S19" s="16"/>
      <c r="T19" s="16"/>
      <c r="U19" s="16"/>
      <c r="V19" s="16"/>
    </row>
    <row r="20" spans="1:22" ht="16.5" x14ac:dyDescent="0.25">
      <c r="A20" s="138"/>
      <c r="B20" s="13"/>
      <c r="C20" s="15"/>
      <c r="D20" s="15"/>
      <c r="E20" s="15"/>
      <c r="F20" s="15"/>
      <c r="G20" s="15"/>
      <c r="H20" s="15"/>
      <c r="I20" s="16"/>
      <c r="J20" s="15"/>
      <c r="K20" s="12"/>
      <c r="L20" s="12"/>
      <c r="M20" s="12"/>
      <c r="N20" s="3"/>
      <c r="O20" s="16">
        <v>220295</v>
      </c>
      <c r="P20" s="12"/>
      <c r="Q20" s="12"/>
      <c r="R20" s="16"/>
      <c r="S20" s="16"/>
      <c r="T20" s="16"/>
      <c r="U20" s="16"/>
      <c r="V20" s="16"/>
    </row>
    <row r="21" spans="1:22" s="1" customFormat="1" ht="16.5" x14ac:dyDescent="0.25">
      <c r="A21" s="48"/>
      <c r="B21" s="49"/>
      <c r="C21" s="6"/>
      <c r="D21" s="6"/>
      <c r="E21" s="6"/>
      <c r="F21" s="6"/>
      <c r="G21" s="6"/>
      <c r="H21" s="6"/>
      <c r="I21" s="6"/>
      <c r="J21" s="6"/>
      <c r="K21" s="17"/>
      <c r="L21" s="17"/>
      <c r="M21" s="17"/>
      <c r="N21" s="3"/>
      <c r="O21" s="6"/>
      <c r="P21" s="17"/>
      <c r="Q21" s="17"/>
      <c r="R21" s="6"/>
      <c r="S21" s="6"/>
      <c r="T21" s="6"/>
      <c r="U21" s="6"/>
      <c r="V21" s="6"/>
    </row>
    <row r="22" spans="1:22" s="51" customFormat="1" x14ac:dyDescent="0.25">
      <c r="A22" s="50" t="str">
        <f t="shared" ref="A22:M22" si="0">A4</f>
        <v>Group names</v>
      </c>
      <c r="B22" s="50" t="str">
        <f t="shared" si="0"/>
        <v>Solvent control</v>
      </c>
      <c r="C22" s="50" t="str">
        <f t="shared" si="0"/>
        <v>EE2-33.8ng/L</v>
      </c>
      <c r="D22" s="50" t="str">
        <f t="shared" si="0"/>
        <v>EE2-50.6ng/L</v>
      </c>
      <c r="E22" s="50" t="str">
        <f t="shared" si="0"/>
        <v>EE2-76ng/L</v>
      </c>
      <c r="F22" s="50" t="str">
        <f t="shared" si="0"/>
        <v>EE2-114ng/L</v>
      </c>
      <c r="G22" s="50" t="str">
        <f t="shared" si="0"/>
        <v>EE2-170.9ng/L</v>
      </c>
      <c r="H22" s="50" t="str">
        <f t="shared" si="0"/>
        <v>EE2-488ng/L</v>
      </c>
      <c r="I22" s="50" t="str">
        <f t="shared" si="0"/>
        <v>Chromolyn-0.1µg/L</v>
      </c>
      <c r="J22" s="50" t="str">
        <f t="shared" si="0"/>
        <v>Chromolyn-1µg/L</v>
      </c>
      <c r="K22" s="50" t="str">
        <f t="shared" si="0"/>
        <v>Chromolyn-10µg/L</v>
      </c>
      <c r="L22" s="50" t="str">
        <f t="shared" si="0"/>
        <v>Chromolyn-100µg/L</v>
      </c>
      <c r="M22" s="50" t="str">
        <f t="shared" si="0"/>
        <v>Chromolyn-1000µg/L</v>
      </c>
      <c r="N22" s="50" t="s">
        <v>12</v>
      </c>
      <c r="O22" s="50" t="str">
        <f t="shared" ref="O22:V22" si="1">O4</f>
        <v>Testo -30µg/L</v>
      </c>
      <c r="P22" s="50" t="str">
        <f t="shared" si="1"/>
        <v>Testo 30µg/L + EE2 -64ng/L</v>
      </c>
      <c r="Q22" s="50" t="str">
        <f t="shared" si="1"/>
        <v>Testo 30µg/L + FAD-10mg/L</v>
      </c>
      <c r="R22" s="50" t="str">
        <f t="shared" si="1"/>
        <v>Chromolyn-0.1µg/L + Testostérone</v>
      </c>
      <c r="S22" s="50" t="str">
        <f t="shared" si="1"/>
        <v>Chromolyn-1µg/L + Testostérone</v>
      </c>
      <c r="T22" s="50" t="str">
        <f t="shared" si="1"/>
        <v>Chromolyn-10µg/L + Testostérone</v>
      </c>
      <c r="U22" s="50" t="str">
        <f t="shared" si="1"/>
        <v>Chromolyn-100µg/L + Testostérone</v>
      </c>
      <c r="V22" s="50" t="str">
        <f t="shared" si="1"/>
        <v>Chromolyn-1000µg/L + Testostérone</v>
      </c>
    </row>
    <row r="23" spans="1:22" x14ac:dyDescent="0.25">
      <c r="A23" s="4" t="s">
        <v>0</v>
      </c>
      <c r="B23" s="4">
        <f t="shared" ref="B23:M23" si="2">AVERAGE(B5:B20)</f>
        <v>4175.875</v>
      </c>
      <c r="C23" s="4" t="e">
        <f t="shared" si="2"/>
        <v>#DIV/0!</v>
      </c>
      <c r="D23" s="4">
        <f t="shared" si="2"/>
        <v>5066.625</v>
      </c>
      <c r="E23" s="4">
        <f t="shared" si="2"/>
        <v>47643.625</v>
      </c>
      <c r="F23" s="4">
        <f t="shared" si="2"/>
        <v>143747.375</v>
      </c>
      <c r="G23" s="4">
        <f t="shared" si="2"/>
        <v>180195.625</v>
      </c>
      <c r="H23" s="4">
        <f t="shared" si="2"/>
        <v>281793.25</v>
      </c>
      <c r="I23" s="4">
        <f t="shared" si="2"/>
        <v>2768.375</v>
      </c>
      <c r="J23" s="4">
        <f t="shared" si="2"/>
        <v>2802.75</v>
      </c>
      <c r="K23" s="4">
        <f t="shared" si="2"/>
        <v>2766.875</v>
      </c>
      <c r="L23" s="4">
        <f t="shared" si="2"/>
        <v>6619.625</v>
      </c>
      <c r="M23" s="4">
        <f t="shared" si="2"/>
        <v>2004.75</v>
      </c>
      <c r="N23" s="4" t="s">
        <v>0</v>
      </c>
      <c r="O23" s="4">
        <f t="shared" ref="O23:V23" si="3">AVERAGE(O5:O20)</f>
        <v>171457.9375</v>
      </c>
      <c r="P23" s="4">
        <f t="shared" si="3"/>
        <v>222450.25</v>
      </c>
      <c r="Q23" s="4">
        <f t="shared" si="3"/>
        <v>15194</v>
      </c>
      <c r="R23" s="4">
        <f t="shared" si="3"/>
        <v>123111.625</v>
      </c>
      <c r="S23" s="4">
        <f t="shared" si="3"/>
        <v>172538.875</v>
      </c>
      <c r="T23" s="4">
        <f t="shared" si="3"/>
        <v>184580.375</v>
      </c>
      <c r="U23" s="4">
        <f t="shared" si="3"/>
        <v>160669.5</v>
      </c>
      <c r="V23" s="4">
        <f t="shared" si="3"/>
        <v>149022.25</v>
      </c>
    </row>
    <row r="24" spans="1:22" x14ac:dyDescent="0.25">
      <c r="A24" s="3" t="s">
        <v>1</v>
      </c>
      <c r="B24" s="3">
        <f t="shared" ref="B24:M24" si="4">STDEV(B5:B20)</f>
        <v>3891.9490320220207</v>
      </c>
      <c r="C24" s="3" t="e">
        <f t="shared" si="4"/>
        <v>#DIV/0!</v>
      </c>
      <c r="D24" s="3">
        <f t="shared" si="4"/>
        <v>6109.8102364148754</v>
      </c>
      <c r="E24" s="3">
        <f t="shared" si="4"/>
        <v>84278.208503465299</v>
      </c>
      <c r="F24" s="3">
        <f t="shared" si="4"/>
        <v>88928.928913466778</v>
      </c>
      <c r="G24" s="3">
        <f t="shared" si="4"/>
        <v>118466.24562168089</v>
      </c>
      <c r="H24" s="3">
        <f t="shared" si="4"/>
        <v>87086.793874600422</v>
      </c>
      <c r="I24" s="3">
        <f t="shared" si="4"/>
        <v>3721.5347424531342</v>
      </c>
      <c r="J24" s="3">
        <f t="shared" si="4"/>
        <v>5177.6559713004162</v>
      </c>
      <c r="K24" s="3">
        <f t="shared" si="4"/>
        <v>2818.9502320392758</v>
      </c>
      <c r="L24" s="3">
        <f t="shared" si="4"/>
        <v>7505.9083001802173</v>
      </c>
      <c r="M24" s="3">
        <f t="shared" si="4"/>
        <v>4516.327640588408</v>
      </c>
      <c r="N24" s="3" t="s">
        <v>1</v>
      </c>
      <c r="O24" s="3">
        <f t="shared" ref="O24:V24" si="5">STDEV(O5:O20)</f>
        <v>56486.766477903184</v>
      </c>
      <c r="P24" s="3">
        <f t="shared" si="5"/>
        <v>50975.153885425956</v>
      </c>
      <c r="Q24" s="3">
        <f t="shared" si="5"/>
        <v>34709.48843101634</v>
      </c>
      <c r="R24" s="3">
        <f t="shared" si="5"/>
        <v>94120.784997542243</v>
      </c>
      <c r="S24" s="3">
        <f t="shared" si="5"/>
        <v>68456.69563920892</v>
      </c>
      <c r="T24" s="3">
        <f t="shared" si="5"/>
        <v>69415.380975560038</v>
      </c>
      <c r="U24" s="3">
        <f t="shared" si="5"/>
        <v>63184.196426005132</v>
      </c>
      <c r="V24" s="3">
        <f t="shared" si="5"/>
        <v>63397.732892656117</v>
      </c>
    </row>
    <row r="25" spans="1:22" ht="15.75" thickBot="1" x14ac:dyDescent="0.3"/>
    <row r="26" spans="1:22" ht="15.75" thickBot="1" x14ac:dyDescent="0.3">
      <c r="B26" s="141" t="s">
        <v>41</v>
      </c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"/>
      <c r="O26" s="141" t="s">
        <v>42</v>
      </c>
      <c r="P26" s="142"/>
      <c r="Q26" s="142"/>
      <c r="R26" s="142"/>
      <c r="S26" s="142"/>
      <c r="T26" s="142"/>
      <c r="U26" s="142"/>
      <c r="V26" s="142"/>
    </row>
    <row r="27" spans="1:22" s="1" customFormat="1" x14ac:dyDescent="0.25">
      <c r="A27" s="18" t="str">
        <f>A4</f>
        <v>Group names</v>
      </c>
      <c r="B27" s="19" t="str">
        <f t="shared" ref="B27:M27" si="6">B4</f>
        <v>Solvent control</v>
      </c>
      <c r="C27" s="19" t="str">
        <f t="shared" si="6"/>
        <v>EE2-33.8ng/L</v>
      </c>
      <c r="D27" s="19" t="str">
        <f t="shared" si="6"/>
        <v>EE2-50.6ng/L</v>
      </c>
      <c r="E27" s="19" t="str">
        <f t="shared" si="6"/>
        <v>EE2-76ng/L</v>
      </c>
      <c r="F27" s="19" t="str">
        <f t="shared" si="6"/>
        <v>EE2-114ng/L</v>
      </c>
      <c r="G27" s="19" t="str">
        <f t="shared" si="6"/>
        <v>EE2-170.9ng/L</v>
      </c>
      <c r="H27" s="19" t="str">
        <f t="shared" si="6"/>
        <v>EE2-488ng/L</v>
      </c>
      <c r="I27" s="19" t="str">
        <f t="shared" si="6"/>
        <v>Chromolyn-0.1µg/L</v>
      </c>
      <c r="J27" s="19" t="str">
        <f t="shared" si="6"/>
        <v>Chromolyn-1µg/L</v>
      </c>
      <c r="K27" s="19" t="str">
        <f t="shared" si="6"/>
        <v>Chromolyn-10µg/L</v>
      </c>
      <c r="L27" s="19" t="str">
        <f t="shared" si="6"/>
        <v>Chromolyn-100µg/L</v>
      </c>
      <c r="M27" s="19" t="str">
        <f t="shared" si="6"/>
        <v>Chromolyn-1000µg/L</v>
      </c>
      <c r="N27" s="3"/>
      <c r="O27" s="20" t="str">
        <f t="shared" ref="O27:V27" si="7">O4</f>
        <v>Testo -30µg/L</v>
      </c>
      <c r="P27" s="20" t="str">
        <f t="shared" si="7"/>
        <v>Testo 30µg/L + EE2 -64ng/L</v>
      </c>
      <c r="Q27" s="20" t="str">
        <f t="shared" si="7"/>
        <v>Testo 30µg/L + FAD-10mg/L</v>
      </c>
      <c r="R27" s="20" t="str">
        <f t="shared" si="7"/>
        <v>Chromolyn-0.1µg/L + Testostérone</v>
      </c>
      <c r="S27" s="20" t="str">
        <f t="shared" si="7"/>
        <v>Chromolyn-1µg/L + Testostérone</v>
      </c>
      <c r="T27" s="20" t="str">
        <f t="shared" si="7"/>
        <v>Chromolyn-10µg/L + Testostérone</v>
      </c>
      <c r="U27" s="20" t="str">
        <f t="shared" si="7"/>
        <v>Chromolyn-100µg/L + Testostérone</v>
      </c>
      <c r="V27" s="20" t="str">
        <f t="shared" si="7"/>
        <v>Chromolyn-1000µg/L + Testostérone</v>
      </c>
    </row>
    <row r="28" spans="1:22" x14ac:dyDescent="0.25">
      <c r="A28" s="139" t="s">
        <v>35</v>
      </c>
      <c r="B28" s="10">
        <f t="shared" ref="B28:M28" si="8">IF(B5="","",(B5/$O$23))</f>
        <v>5.2467678843973027E-2</v>
      </c>
      <c r="C28" s="10" t="str">
        <f t="shared" si="8"/>
        <v/>
      </c>
      <c r="D28" s="10">
        <f t="shared" si="8"/>
        <v>1.1093099728905815E-2</v>
      </c>
      <c r="E28" s="10">
        <f t="shared" si="8"/>
        <v>7.5633710454495587E-2</v>
      </c>
      <c r="F28" s="10">
        <f t="shared" si="8"/>
        <v>1.0107143625240447</v>
      </c>
      <c r="G28" s="10">
        <f t="shared" si="8"/>
        <v>1.6948763308202049E-2</v>
      </c>
      <c r="H28" s="10">
        <f t="shared" si="8"/>
        <v>1.4802697600395431</v>
      </c>
      <c r="I28" s="10">
        <f t="shared" si="8"/>
        <v>0</v>
      </c>
      <c r="J28" s="10">
        <f t="shared" si="8"/>
        <v>4.483315332076708E-2</v>
      </c>
      <c r="K28" s="10">
        <f t="shared" si="8"/>
        <v>3.6399598006362346E-2</v>
      </c>
      <c r="L28" s="10">
        <f t="shared" si="8"/>
        <v>2.3620953681424053E-3</v>
      </c>
      <c r="M28" s="10">
        <f t="shared" si="8"/>
        <v>0</v>
      </c>
      <c r="N28" s="5"/>
      <c r="O28" s="10">
        <f t="shared" ref="O28:V37" si="9">IF(O5="","",(O5/$O$23))</f>
        <v>1.1842846295756941</v>
      </c>
      <c r="P28" s="10">
        <f t="shared" si="9"/>
        <v>0.6513725851857981</v>
      </c>
      <c r="Q28" s="10">
        <f t="shared" si="9"/>
        <v>0</v>
      </c>
      <c r="R28" s="10">
        <f t="shared" si="9"/>
        <v>1.095084909673546</v>
      </c>
      <c r="S28" s="10">
        <f t="shared" si="9"/>
        <v>0.95527802555072727</v>
      </c>
      <c r="T28" s="10">
        <f t="shared" si="9"/>
        <v>1.1830015160423821</v>
      </c>
      <c r="U28" s="10">
        <f t="shared" si="9"/>
        <v>1.6579051640580944</v>
      </c>
      <c r="V28" s="10">
        <f t="shared" si="9"/>
        <v>0.59423320661372125</v>
      </c>
    </row>
    <row r="29" spans="1:22" x14ac:dyDescent="0.25">
      <c r="A29" s="140"/>
      <c r="B29" s="10">
        <f t="shared" ref="B29:M29" si="10">IF(B6="","",(B6/$O$23))</f>
        <v>3.1984520984920863E-2</v>
      </c>
      <c r="C29" s="10" t="str">
        <f t="shared" si="10"/>
        <v/>
      </c>
      <c r="D29" s="10">
        <f t="shared" si="10"/>
        <v>7.8036632162334276E-3</v>
      </c>
      <c r="E29" s="10">
        <f t="shared" si="10"/>
        <v>0</v>
      </c>
      <c r="F29" s="10">
        <f t="shared" si="10"/>
        <v>8.7951600374290059E-3</v>
      </c>
      <c r="G29" s="10">
        <f t="shared" si="10"/>
        <v>2.2425266838404609</v>
      </c>
      <c r="H29" s="10">
        <f t="shared" si="10"/>
        <v>1.6502298121951922</v>
      </c>
      <c r="I29" s="10">
        <f t="shared" si="10"/>
        <v>2.8298485743770248E-2</v>
      </c>
      <c r="J29" s="10">
        <f t="shared" si="10"/>
        <v>0</v>
      </c>
      <c r="K29" s="10">
        <f t="shared" si="10"/>
        <v>0</v>
      </c>
      <c r="L29" s="10">
        <f t="shared" si="10"/>
        <v>3.3652568578226363E-3</v>
      </c>
      <c r="M29" s="10">
        <f t="shared" si="10"/>
        <v>4.7241907362848104E-4</v>
      </c>
      <c r="N29" s="5"/>
      <c r="O29" s="10">
        <f t="shared" si="9"/>
        <v>0.8409584420668772</v>
      </c>
      <c r="P29" s="10">
        <f t="shared" si="9"/>
        <v>1.4942498652184009</v>
      </c>
      <c r="Q29" s="10">
        <f t="shared" si="9"/>
        <v>0.58168785565847603</v>
      </c>
      <c r="R29" s="10">
        <f t="shared" si="9"/>
        <v>0.46849391268339502</v>
      </c>
      <c r="S29" s="10">
        <f t="shared" si="9"/>
        <v>0.4515043230354967</v>
      </c>
      <c r="T29" s="10">
        <f t="shared" si="9"/>
        <v>0.13834296822799469</v>
      </c>
      <c r="U29" s="10">
        <f t="shared" si="9"/>
        <v>1.0853507438231025</v>
      </c>
      <c r="V29" s="10">
        <f t="shared" si="9"/>
        <v>0.52156815428857006</v>
      </c>
    </row>
    <row r="30" spans="1:22" x14ac:dyDescent="0.25">
      <c r="A30" s="140"/>
      <c r="B30" s="10">
        <f t="shared" ref="B30:M30" si="11">IF(B7="","",(B7/$O$23))</f>
        <v>2.4612450502619629E-3</v>
      </c>
      <c r="C30" s="10" t="str">
        <f t="shared" si="11"/>
        <v/>
      </c>
      <c r="D30" s="10">
        <f t="shared" si="11"/>
        <v>1.4114248866431162E-3</v>
      </c>
      <c r="E30" s="10">
        <f t="shared" si="11"/>
        <v>0.17886602654368217</v>
      </c>
      <c r="F30" s="10">
        <f t="shared" si="11"/>
        <v>0.98727421120413283</v>
      </c>
      <c r="G30" s="10">
        <f t="shared" si="11"/>
        <v>1.4184120230654238</v>
      </c>
      <c r="H30" s="10">
        <f t="shared" si="11"/>
        <v>1.3059296248679066</v>
      </c>
      <c r="I30" s="10">
        <f t="shared" si="11"/>
        <v>6.1082036519889901E-2</v>
      </c>
      <c r="J30" s="10">
        <f t="shared" si="11"/>
        <v>2.8228497732862325E-3</v>
      </c>
      <c r="K30" s="10">
        <f t="shared" si="11"/>
        <v>2.7056198550154613E-2</v>
      </c>
      <c r="L30" s="10">
        <f t="shared" si="11"/>
        <v>8.6569337158858575E-2</v>
      </c>
      <c r="M30" s="10">
        <f t="shared" si="11"/>
        <v>7.5849506821461674E-2</v>
      </c>
      <c r="N30" s="5"/>
      <c r="O30" s="10">
        <f t="shared" si="9"/>
        <v>1.2892549812690941</v>
      </c>
      <c r="P30" s="10">
        <f t="shared" si="9"/>
        <v>1.6128503820361189</v>
      </c>
      <c r="Q30" s="10">
        <f t="shared" si="9"/>
        <v>4.8933284293122912E-3</v>
      </c>
      <c r="R30" s="10">
        <f t="shared" si="9"/>
        <v>0.38762276607928986</v>
      </c>
      <c r="S30" s="10">
        <f t="shared" si="9"/>
        <v>0.51570082604078915</v>
      </c>
      <c r="T30" s="10">
        <f t="shared" si="9"/>
        <v>1.1959259687233785</v>
      </c>
      <c r="U30" s="10">
        <f t="shared" si="9"/>
        <v>0.90854936360120397</v>
      </c>
      <c r="V30" s="10">
        <f t="shared" si="9"/>
        <v>0.97809994944095258</v>
      </c>
    </row>
    <row r="31" spans="1:22" x14ac:dyDescent="0.25">
      <c r="A31" s="140"/>
      <c r="B31" s="10">
        <f t="shared" ref="B31:M31" si="12">IF(B8="","",(B8/$O$23))</f>
        <v>4.2809333338679643E-3</v>
      </c>
      <c r="C31" s="10" t="str">
        <f t="shared" si="12"/>
        <v/>
      </c>
      <c r="D31" s="10">
        <f t="shared" si="12"/>
        <v>5.1272050324296013E-2</v>
      </c>
      <c r="E31" s="10">
        <f t="shared" si="12"/>
        <v>8.5910283389475633E-3</v>
      </c>
      <c r="F31" s="10">
        <f t="shared" si="12"/>
        <v>1.5979429357127313</v>
      </c>
      <c r="G31" s="10">
        <f t="shared" si="12"/>
        <v>1.4686750795657972</v>
      </c>
      <c r="H31" s="10">
        <f t="shared" si="12"/>
        <v>2.3451874311738994</v>
      </c>
      <c r="I31" s="10">
        <f t="shared" si="12"/>
        <v>3.9134962766013675E-3</v>
      </c>
      <c r="J31" s="10">
        <f t="shared" si="12"/>
        <v>0</v>
      </c>
      <c r="K31" s="10">
        <f t="shared" si="12"/>
        <v>9.5650281574161588E-4</v>
      </c>
      <c r="L31" s="10">
        <f t="shared" si="12"/>
        <v>0.11823891209469378</v>
      </c>
      <c r="M31" s="10">
        <f t="shared" si="12"/>
        <v>1.428921889370097E-3</v>
      </c>
      <c r="N31" s="5"/>
      <c r="O31" s="10">
        <f t="shared" si="9"/>
        <v>0.95036720011868803</v>
      </c>
      <c r="P31" s="10">
        <f t="shared" si="9"/>
        <v>1.4532777171660543</v>
      </c>
      <c r="Q31" s="10">
        <f t="shared" si="9"/>
        <v>1.8780116260292703E-3</v>
      </c>
      <c r="R31" s="10">
        <f t="shared" si="9"/>
        <v>7.6304428892363177E-2</v>
      </c>
      <c r="S31" s="10">
        <f t="shared" si="9"/>
        <v>1.1941821007849229</v>
      </c>
      <c r="T31" s="10">
        <f t="shared" si="9"/>
        <v>1.3889004117992496</v>
      </c>
      <c r="U31" s="10">
        <f t="shared" si="9"/>
        <v>0.80319991018205272</v>
      </c>
      <c r="V31" s="10">
        <f t="shared" si="9"/>
        <v>1.1890963053256138</v>
      </c>
    </row>
    <row r="32" spans="1:22" x14ac:dyDescent="0.25">
      <c r="A32" s="140"/>
      <c r="B32" s="10">
        <f t="shared" ref="B32:M32" si="13">IF(B9="","",(B9/$O$23))</f>
        <v>5.7938408363275684E-2</v>
      </c>
      <c r="C32" s="10" t="str">
        <f t="shared" si="13"/>
        <v/>
      </c>
      <c r="D32" s="10">
        <f t="shared" si="13"/>
        <v>4.7475200732541179E-3</v>
      </c>
      <c r="E32" s="10">
        <f t="shared" si="13"/>
        <v>0</v>
      </c>
      <c r="F32" s="10">
        <f t="shared" si="13"/>
        <v>0.8382697359811645</v>
      </c>
      <c r="G32" s="10">
        <f t="shared" si="13"/>
        <v>0.35379522747379366</v>
      </c>
      <c r="H32" s="10">
        <f t="shared" si="13"/>
        <v>1.8649530296607002</v>
      </c>
      <c r="I32" s="10">
        <f t="shared" si="13"/>
        <v>2.8549276116190306E-2</v>
      </c>
      <c r="J32" s="10">
        <f t="shared" si="13"/>
        <v>8.061452389744278E-2</v>
      </c>
      <c r="K32" s="10">
        <f t="shared" si="13"/>
        <v>3.0036521347983672E-3</v>
      </c>
      <c r="L32" s="10">
        <f t="shared" si="13"/>
        <v>3.7851849232701752E-3</v>
      </c>
      <c r="M32" s="10">
        <f t="shared" si="13"/>
        <v>1.4347542236124238E-3</v>
      </c>
      <c r="N32" s="5"/>
      <c r="O32" s="10">
        <f t="shared" si="9"/>
        <v>1.0395085966784128</v>
      </c>
      <c r="P32" s="10">
        <f t="shared" si="9"/>
        <v>1.4051026363244339</v>
      </c>
      <c r="Q32" s="10">
        <f t="shared" si="9"/>
        <v>0</v>
      </c>
      <c r="R32" s="10">
        <f t="shared" si="9"/>
        <v>0.41008891758073318</v>
      </c>
      <c r="S32" s="10">
        <f t="shared" si="9"/>
        <v>1.2190686709969318</v>
      </c>
      <c r="T32" s="10">
        <f t="shared" si="9"/>
        <v>1.1277343167620921</v>
      </c>
      <c r="U32" s="10">
        <f t="shared" si="9"/>
        <v>1.0861847676197551</v>
      </c>
      <c r="V32" s="10">
        <f t="shared" si="9"/>
        <v>0.29766484272563937</v>
      </c>
    </row>
    <row r="33" spans="1:22" x14ac:dyDescent="0.25">
      <c r="A33" s="140"/>
      <c r="B33" s="10">
        <f t="shared" ref="B33:M33" si="14">IF(B10="","",(B10/$O$23))</f>
        <v>1.1810476840712026E-2</v>
      </c>
      <c r="C33" s="10" t="str">
        <f t="shared" si="14"/>
        <v/>
      </c>
      <c r="D33" s="10">
        <f t="shared" si="14"/>
        <v>9.5650281574161588E-4</v>
      </c>
      <c r="E33" s="10">
        <f t="shared" si="14"/>
        <v>8.8884773853062357E-2</v>
      </c>
      <c r="F33" s="10">
        <f t="shared" si="14"/>
        <v>0.18292533117634172</v>
      </c>
      <c r="G33" s="10">
        <f t="shared" si="14"/>
        <v>1.0634095024034684</v>
      </c>
      <c r="H33" s="10">
        <f t="shared" si="14"/>
        <v>0.98526788822477229</v>
      </c>
      <c r="I33" s="10">
        <f t="shared" si="14"/>
        <v>1.504742234520347E-3</v>
      </c>
      <c r="J33" s="10">
        <f t="shared" si="14"/>
        <v>4.6658673938615409E-4</v>
      </c>
      <c r="K33" s="10">
        <f t="shared" si="14"/>
        <v>9.9732915543790444E-4</v>
      </c>
      <c r="L33" s="10">
        <f t="shared" si="14"/>
        <v>3.7805190558763135E-2</v>
      </c>
      <c r="M33" s="10">
        <f t="shared" si="14"/>
        <v>0</v>
      </c>
      <c r="N33" s="5"/>
      <c r="O33" s="10">
        <f t="shared" si="9"/>
        <v>0.45831065709629221</v>
      </c>
      <c r="P33" s="10">
        <f t="shared" si="9"/>
        <v>1.1527900246671285</v>
      </c>
      <c r="Q33" s="10">
        <f t="shared" si="9"/>
        <v>0.1052036450630931</v>
      </c>
      <c r="R33" s="10">
        <f t="shared" si="9"/>
        <v>1.5957499780376163</v>
      </c>
      <c r="S33" s="10">
        <f t="shared" si="9"/>
        <v>0.78730679937171177</v>
      </c>
      <c r="T33" s="10">
        <f t="shared" si="9"/>
        <v>1.4516738252494144</v>
      </c>
      <c r="U33" s="10">
        <f t="shared" si="9"/>
        <v>0.37101227815714277</v>
      </c>
      <c r="V33" s="10">
        <f t="shared" si="9"/>
        <v>0.83584348493635652</v>
      </c>
    </row>
    <row r="34" spans="1:22" x14ac:dyDescent="0.25">
      <c r="A34" s="140"/>
      <c r="B34" s="10">
        <f t="shared" ref="B34:M34" si="15">IF(B11="","",(B11/$O$23))</f>
        <v>3.2456940058549343E-2</v>
      </c>
      <c r="C34" s="10" t="str">
        <f t="shared" si="15"/>
        <v/>
      </c>
      <c r="D34" s="10">
        <f t="shared" si="15"/>
        <v>6.5829556593144017E-2</v>
      </c>
      <c r="E34" s="10">
        <f t="shared" si="15"/>
        <v>1.4419396593989706</v>
      </c>
      <c r="F34" s="10">
        <f t="shared" si="15"/>
        <v>0.87521757340630557</v>
      </c>
      <c r="G34" s="10">
        <f t="shared" si="15"/>
        <v>0.8130040640434042</v>
      </c>
      <c r="H34" s="10">
        <f t="shared" si="15"/>
        <v>2.334444271499533</v>
      </c>
      <c r="I34" s="10">
        <f t="shared" si="15"/>
        <v>3.9076639423590411E-3</v>
      </c>
      <c r="J34" s="10">
        <f t="shared" si="15"/>
        <v>2.0354846505720972E-3</v>
      </c>
      <c r="K34" s="10">
        <f t="shared" si="15"/>
        <v>3.6096316625761349E-2</v>
      </c>
      <c r="L34" s="10">
        <f t="shared" si="15"/>
        <v>8.4335553144047355E-3</v>
      </c>
      <c r="M34" s="10">
        <f t="shared" si="15"/>
        <v>1.3886787830980412E-2</v>
      </c>
      <c r="N34" s="5"/>
      <c r="O34" s="10">
        <f t="shared" si="9"/>
        <v>0.40344005654448045</v>
      </c>
      <c r="P34" s="10">
        <f t="shared" si="9"/>
        <v>1.2491226893476426</v>
      </c>
      <c r="Q34" s="10">
        <f t="shared" si="9"/>
        <v>0</v>
      </c>
      <c r="R34" s="10">
        <f t="shared" si="9"/>
        <v>0.36504580022724231</v>
      </c>
      <c r="S34" s="10">
        <f t="shared" si="9"/>
        <v>1.558119757506123</v>
      </c>
      <c r="T34" s="10">
        <f t="shared" si="9"/>
        <v>1.05148237887791</v>
      </c>
      <c r="U34" s="10">
        <f t="shared" si="9"/>
        <v>0.84538518375680338</v>
      </c>
      <c r="V34" s="10">
        <f t="shared" si="9"/>
        <v>1.2665030453897768</v>
      </c>
    </row>
    <row r="35" spans="1:22" x14ac:dyDescent="0.25">
      <c r="A35" s="140"/>
      <c r="B35" s="10">
        <f t="shared" ref="B35:M35" si="16">IF(B12="","",(B12/$O$23))</f>
        <v>1.4405865578547509E-3</v>
      </c>
      <c r="C35" s="10" t="str">
        <f t="shared" si="16"/>
        <v/>
      </c>
      <c r="D35" s="10">
        <f t="shared" si="16"/>
        <v>9.3288186206019183E-2</v>
      </c>
      <c r="E35" s="10">
        <f t="shared" si="16"/>
        <v>0.42907316553950731</v>
      </c>
      <c r="F35" s="10">
        <f t="shared" si="16"/>
        <v>1.205922589614727</v>
      </c>
      <c r="G35" s="10">
        <f t="shared" si="16"/>
        <v>1.0309175683394651</v>
      </c>
      <c r="H35" s="10">
        <f t="shared" si="16"/>
        <v>1.1818175521911898</v>
      </c>
      <c r="I35" s="10">
        <f t="shared" si="16"/>
        <v>1.9130056314832318E-3</v>
      </c>
      <c r="J35" s="10">
        <f t="shared" si="16"/>
        <v>0</v>
      </c>
      <c r="K35" s="10">
        <f t="shared" si="16"/>
        <v>2.4589121165650322E-2</v>
      </c>
      <c r="L35" s="10">
        <f t="shared" si="16"/>
        <v>4.8303392194951604E-2</v>
      </c>
      <c r="M35" s="10">
        <f t="shared" si="16"/>
        <v>4.6658673938615409E-4</v>
      </c>
      <c r="N35" s="5"/>
      <c r="O35" s="10">
        <f t="shared" si="9"/>
        <v>0.69710391797988358</v>
      </c>
      <c r="P35" s="10">
        <f t="shared" si="9"/>
        <v>1.3604677823679059</v>
      </c>
      <c r="Q35" s="10">
        <f t="shared" si="9"/>
        <v>1.5269051046411894E-2</v>
      </c>
      <c r="R35" s="10">
        <f t="shared" si="9"/>
        <v>1.3458344557539075</v>
      </c>
      <c r="S35" s="10">
        <f t="shared" si="9"/>
        <v>1.3692746070738195</v>
      </c>
      <c r="T35" s="10">
        <f t="shared" si="9"/>
        <v>1.0752141469099381</v>
      </c>
      <c r="U35" s="10">
        <f t="shared" si="9"/>
        <v>0.7390384011822142</v>
      </c>
      <c r="V35" s="10">
        <f t="shared" si="9"/>
        <v>1.2701715836282004</v>
      </c>
    </row>
    <row r="36" spans="1:22" s="1" customFormat="1" x14ac:dyDescent="0.25">
      <c r="A36" s="140"/>
      <c r="B36" s="10" t="str">
        <f t="shared" ref="B36:M36" si="17">IF(B13="","",(B13/$O$23))</f>
        <v/>
      </c>
      <c r="C36" s="10" t="str">
        <f t="shared" si="17"/>
        <v/>
      </c>
      <c r="D36" s="10" t="str">
        <f t="shared" si="17"/>
        <v/>
      </c>
      <c r="E36" s="10" t="str">
        <f t="shared" si="17"/>
        <v/>
      </c>
      <c r="F36" s="10" t="str">
        <f t="shared" si="17"/>
        <v/>
      </c>
      <c r="G36" s="10" t="str">
        <f t="shared" si="17"/>
        <v/>
      </c>
      <c r="H36" s="10" t="str">
        <f t="shared" si="17"/>
        <v/>
      </c>
      <c r="I36" s="10" t="str">
        <f t="shared" si="17"/>
        <v/>
      </c>
      <c r="J36" s="10" t="str">
        <f t="shared" si="17"/>
        <v/>
      </c>
      <c r="K36" s="10" t="str">
        <f t="shared" si="17"/>
        <v/>
      </c>
      <c r="L36" s="10" t="str">
        <f t="shared" si="17"/>
        <v/>
      </c>
      <c r="M36" s="10" t="str">
        <f t="shared" si="17"/>
        <v/>
      </c>
      <c r="N36" s="5"/>
      <c r="O36" s="10">
        <f t="shared" si="9"/>
        <v>1.3972348174315348</v>
      </c>
      <c r="P36" s="10" t="str">
        <f t="shared" si="9"/>
        <v/>
      </c>
      <c r="Q36" s="10" t="str">
        <f t="shared" si="9"/>
        <v/>
      </c>
      <c r="R36" s="10" t="str">
        <f t="shared" si="9"/>
        <v/>
      </c>
      <c r="S36" s="10" t="str">
        <f t="shared" si="9"/>
        <v/>
      </c>
      <c r="T36" s="10" t="str">
        <f t="shared" si="9"/>
        <v/>
      </c>
      <c r="U36" s="10" t="str">
        <f t="shared" si="9"/>
        <v/>
      </c>
      <c r="V36" s="10" t="str">
        <f t="shared" si="9"/>
        <v/>
      </c>
    </row>
    <row r="37" spans="1:22" s="1" customFormat="1" x14ac:dyDescent="0.25">
      <c r="A37" s="140"/>
      <c r="B37" s="10" t="str">
        <f t="shared" ref="B37:M37" si="18">IF(B14="","",(B14/$O$23))</f>
        <v/>
      </c>
      <c r="C37" s="10" t="str">
        <f t="shared" si="18"/>
        <v/>
      </c>
      <c r="D37" s="10" t="str">
        <f t="shared" si="18"/>
        <v/>
      </c>
      <c r="E37" s="10" t="str">
        <f t="shared" si="18"/>
        <v/>
      </c>
      <c r="F37" s="10" t="str">
        <f t="shared" si="18"/>
        <v/>
      </c>
      <c r="G37" s="10" t="str">
        <f t="shared" si="18"/>
        <v/>
      </c>
      <c r="H37" s="10" t="str">
        <f t="shared" si="18"/>
        <v/>
      </c>
      <c r="I37" s="10" t="str">
        <f t="shared" si="18"/>
        <v/>
      </c>
      <c r="J37" s="10" t="str">
        <f t="shared" si="18"/>
        <v/>
      </c>
      <c r="K37" s="10" t="str">
        <f t="shared" si="18"/>
        <v/>
      </c>
      <c r="L37" s="10" t="str">
        <f t="shared" si="18"/>
        <v/>
      </c>
      <c r="M37" s="10" t="str">
        <f t="shared" si="18"/>
        <v/>
      </c>
      <c r="N37" s="5"/>
      <c r="O37" s="10">
        <f t="shared" si="9"/>
        <v>1.4536101602178668</v>
      </c>
      <c r="P37" s="10" t="str">
        <f t="shared" si="9"/>
        <v/>
      </c>
      <c r="Q37" s="10" t="str">
        <f t="shared" si="9"/>
        <v/>
      </c>
      <c r="R37" s="10" t="str">
        <f t="shared" si="9"/>
        <v/>
      </c>
      <c r="S37" s="10" t="str">
        <f t="shared" si="9"/>
        <v/>
      </c>
      <c r="T37" s="10" t="str">
        <f t="shared" si="9"/>
        <v/>
      </c>
      <c r="U37" s="10" t="str">
        <f t="shared" si="9"/>
        <v/>
      </c>
      <c r="V37" s="10" t="str">
        <f t="shared" si="9"/>
        <v/>
      </c>
    </row>
    <row r="38" spans="1:22" s="1" customFormat="1" x14ac:dyDescent="0.25">
      <c r="A38" s="140"/>
      <c r="B38" s="10" t="str">
        <f t="shared" ref="B38:M38" si="19">IF(B15="","",(B15/$O$23))</f>
        <v/>
      </c>
      <c r="C38" s="10" t="str">
        <f t="shared" si="19"/>
        <v/>
      </c>
      <c r="D38" s="10" t="str">
        <f t="shared" si="19"/>
        <v/>
      </c>
      <c r="E38" s="10" t="str">
        <f t="shared" si="19"/>
        <v/>
      </c>
      <c r="F38" s="10" t="str">
        <f t="shared" si="19"/>
        <v/>
      </c>
      <c r="G38" s="10" t="str">
        <f t="shared" si="19"/>
        <v/>
      </c>
      <c r="H38" s="10" t="str">
        <f t="shared" si="19"/>
        <v/>
      </c>
      <c r="I38" s="10" t="str">
        <f t="shared" si="19"/>
        <v/>
      </c>
      <c r="J38" s="10" t="str">
        <f t="shared" si="19"/>
        <v/>
      </c>
      <c r="K38" s="10" t="str">
        <f t="shared" si="19"/>
        <v/>
      </c>
      <c r="L38" s="10" t="str">
        <f t="shared" si="19"/>
        <v/>
      </c>
      <c r="M38" s="10" t="str">
        <f t="shared" si="19"/>
        <v/>
      </c>
      <c r="N38" s="5"/>
      <c r="O38" s="10">
        <f t="shared" ref="O38:R38" si="20">IF(O15="","",(O15/$O$23))</f>
        <v>0.6354853067096996</v>
      </c>
      <c r="P38" s="10" t="str">
        <f t="shared" si="20"/>
        <v/>
      </c>
      <c r="Q38" s="10" t="str">
        <f t="shared" si="20"/>
        <v/>
      </c>
      <c r="R38" s="10" t="str">
        <f t="shared" si="20"/>
        <v/>
      </c>
      <c r="S38" s="10" t="str">
        <f t="shared" ref="S38:V43" si="21">IF(S15="","",(S15/$O$23))</f>
        <v/>
      </c>
      <c r="T38" s="10" t="str">
        <f t="shared" si="21"/>
        <v/>
      </c>
      <c r="U38" s="10" t="str">
        <f t="shared" si="21"/>
        <v/>
      </c>
      <c r="V38" s="10" t="str">
        <f t="shared" si="21"/>
        <v/>
      </c>
    </row>
    <row r="39" spans="1:22" s="1" customFormat="1" x14ac:dyDescent="0.25">
      <c r="A39" s="140"/>
      <c r="B39" s="10" t="str">
        <f t="shared" ref="B39:M39" si="22">IF(B16="","",(B16/$O$23))</f>
        <v/>
      </c>
      <c r="C39" s="10" t="str">
        <f t="shared" si="22"/>
        <v/>
      </c>
      <c r="D39" s="10" t="str">
        <f t="shared" si="22"/>
        <v/>
      </c>
      <c r="E39" s="10" t="str">
        <f t="shared" si="22"/>
        <v/>
      </c>
      <c r="F39" s="10" t="str">
        <f t="shared" si="22"/>
        <v/>
      </c>
      <c r="G39" s="10" t="str">
        <f t="shared" si="22"/>
        <v/>
      </c>
      <c r="H39" s="10" t="str">
        <f t="shared" si="22"/>
        <v/>
      </c>
      <c r="I39" s="10" t="str">
        <f t="shared" si="22"/>
        <v/>
      </c>
      <c r="J39" s="10" t="str">
        <f t="shared" si="22"/>
        <v/>
      </c>
      <c r="K39" s="10" t="str">
        <f t="shared" si="22"/>
        <v/>
      </c>
      <c r="L39" s="10" t="str">
        <f t="shared" si="22"/>
        <v/>
      </c>
      <c r="M39" s="10" t="str">
        <f t="shared" si="22"/>
        <v/>
      </c>
      <c r="N39" s="5"/>
      <c r="O39" s="10">
        <f t="shared" ref="O39:R39" si="23">IF(O16="","",(O16/$O$23))</f>
        <v>1.0281705389113291</v>
      </c>
      <c r="P39" s="10" t="str">
        <f t="shared" si="23"/>
        <v/>
      </c>
      <c r="Q39" s="10" t="str">
        <f t="shared" si="23"/>
        <v/>
      </c>
      <c r="R39" s="10" t="str">
        <f t="shared" si="23"/>
        <v/>
      </c>
      <c r="S39" s="10" t="str">
        <f t="shared" si="21"/>
        <v/>
      </c>
      <c r="T39" s="10" t="str">
        <f t="shared" si="21"/>
        <v/>
      </c>
      <c r="U39" s="10" t="str">
        <f t="shared" si="21"/>
        <v/>
      </c>
      <c r="V39" s="10" t="str">
        <f t="shared" si="21"/>
        <v/>
      </c>
    </row>
    <row r="40" spans="1:22" s="1" customFormat="1" x14ac:dyDescent="0.25">
      <c r="A40" s="140"/>
      <c r="B40" s="10" t="str">
        <f t="shared" ref="B40:M40" si="24">IF(B17="","",(B17/$O$23))</f>
        <v/>
      </c>
      <c r="C40" s="10" t="str">
        <f t="shared" si="24"/>
        <v/>
      </c>
      <c r="D40" s="10" t="str">
        <f t="shared" si="24"/>
        <v/>
      </c>
      <c r="E40" s="10" t="str">
        <f t="shared" si="24"/>
        <v/>
      </c>
      <c r="F40" s="10" t="str">
        <f t="shared" si="24"/>
        <v/>
      </c>
      <c r="G40" s="10" t="str">
        <f t="shared" si="24"/>
        <v/>
      </c>
      <c r="H40" s="10" t="str">
        <f t="shared" si="24"/>
        <v/>
      </c>
      <c r="I40" s="10" t="str">
        <f t="shared" si="24"/>
        <v/>
      </c>
      <c r="J40" s="10" t="str">
        <f t="shared" si="24"/>
        <v/>
      </c>
      <c r="K40" s="10" t="str">
        <f t="shared" si="24"/>
        <v/>
      </c>
      <c r="L40" s="10" t="str">
        <f t="shared" si="24"/>
        <v/>
      </c>
      <c r="M40" s="10" t="str">
        <f t="shared" si="24"/>
        <v/>
      </c>
      <c r="N40" s="5"/>
      <c r="O40" s="10">
        <f t="shared" ref="O40:R40" si="25">IF(O17="","",(O17/$O$23))</f>
        <v>1.3923939800104035</v>
      </c>
      <c r="P40" s="10" t="str">
        <f t="shared" si="25"/>
        <v/>
      </c>
      <c r="Q40" s="10" t="str">
        <f t="shared" si="25"/>
        <v/>
      </c>
      <c r="R40" s="10" t="str">
        <f t="shared" si="25"/>
        <v/>
      </c>
      <c r="S40" s="10" t="str">
        <f t="shared" si="21"/>
        <v/>
      </c>
      <c r="T40" s="10" t="str">
        <f t="shared" si="21"/>
        <v/>
      </c>
      <c r="U40" s="10" t="str">
        <f t="shared" si="21"/>
        <v/>
      </c>
      <c r="V40" s="10" t="str">
        <f t="shared" si="21"/>
        <v/>
      </c>
    </row>
    <row r="41" spans="1:22" s="1" customFormat="1" x14ac:dyDescent="0.25">
      <c r="A41" s="140"/>
      <c r="B41" s="10" t="str">
        <f t="shared" ref="B41:M41" si="26">IF(B18="","",(B18/$O$23))</f>
        <v/>
      </c>
      <c r="C41" s="10" t="str">
        <f t="shared" si="26"/>
        <v/>
      </c>
      <c r="D41" s="10" t="str">
        <f t="shared" si="26"/>
        <v/>
      </c>
      <c r="E41" s="10" t="str">
        <f t="shared" si="26"/>
        <v/>
      </c>
      <c r="F41" s="10" t="str">
        <f t="shared" si="26"/>
        <v/>
      </c>
      <c r="G41" s="10" t="str">
        <f t="shared" si="26"/>
        <v/>
      </c>
      <c r="H41" s="10" t="str">
        <f t="shared" si="26"/>
        <v/>
      </c>
      <c r="I41" s="10" t="str">
        <f t="shared" si="26"/>
        <v/>
      </c>
      <c r="J41" s="10" t="str">
        <f t="shared" si="26"/>
        <v/>
      </c>
      <c r="K41" s="10" t="str">
        <f t="shared" si="26"/>
        <v/>
      </c>
      <c r="L41" s="10" t="str">
        <f t="shared" si="26"/>
        <v/>
      </c>
      <c r="M41" s="10" t="str">
        <f t="shared" si="26"/>
        <v/>
      </c>
      <c r="N41" s="5"/>
      <c r="O41" s="10">
        <f t="shared" ref="O41:R41" si="27">IF(O18="","",(O18/$O$23))</f>
        <v>1.0282696885934488</v>
      </c>
      <c r="P41" s="10" t="str">
        <f t="shared" si="27"/>
        <v/>
      </c>
      <c r="Q41" s="10" t="str">
        <f t="shared" si="27"/>
        <v/>
      </c>
      <c r="R41" s="10" t="str">
        <f t="shared" si="27"/>
        <v/>
      </c>
      <c r="S41" s="10" t="str">
        <f t="shared" si="21"/>
        <v/>
      </c>
      <c r="T41" s="10" t="str">
        <f t="shared" si="21"/>
        <v/>
      </c>
      <c r="U41" s="10" t="str">
        <f t="shared" si="21"/>
        <v/>
      </c>
      <c r="V41" s="10" t="str">
        <f t="shared" si="21"/>
        <v/>
      </c>
    </row>
    <row r="42" spans="1:22" s="1" customFormat="1" x14ac:dyDescent="0.25">
      <c r="A42" s="140"/>
      <c r="B42" s="10" t="str">
        <f t="shared" ref="B42:M42" si="28">IF(B19="","",(B19/$O$23))</f>
        <v/>
      </c>
      <c r="C42" s="10" t="str">
        <f t="shared" si="28"/>
        <v/>
      </c>
      <c r="D42" s="10" t="str">
        <f t="shared" si="28"/>
        <v/>
      </c>
      <c r="E42" s="10" t="str">
        <f t="shared" si="28"/>
        <v/>
      </c>
      <c r="F42" s="10" t="str">
        <f t="shared" si="28"/>
        <v/>
      </c>
      <c r="G42" s="10" t="str">
        <f t="shared" si="28"/>
        <v/>
      </c>
      <c r="H42" s="10" t="str">
        <f t="shared" si="28"/>
        <v/>
      </c>
      <c r="I42" s="10" t="str">
        <f t="shared" si="28"/>
        <v/>
      </c>
      <c r="J42" s="10" t="str">
        <f t="shared" si="28"/>
        <v/>
      </c>
      <c r="K42" s="10" t="str">
        <f t="shared" si="28"/>
        <v/>
      </c>
      <c r="L42" s="10" t="str">
        <f t="shared" si="28"/>
        <v/>
      </c>
      <c r="M42" s="10" t="str">
        <f t="shared" si="28"/>
        <v/>
      </c>
      <c r="N42" s="5"/>
      <c r="O42" s="10">
        <f t="shared" ref="O42:R42" si="29">IF(O19="","",(O19/$O$23))</f>
        <v>0.91677295488288491</v>
      </c>
      <c r="P42" s="10" t="str">
        <f t="shared" si="29"/>
        <v/>
      </c>
      <c r="Q42" s="10" t="str">
        <f t="shared" si="29"/>
        <v/>
      </c>
      <c r="R42" s="10" t="str">
        <f t="shared" si="29"/>
        <v/>
      </c>
      <c r="S42" s="10" t="str">
        <f t="shared" si="21"/>
        <v/>
      </c>
      <c r="T42" s="10" t="str">
        <f t="shared" si="21"/>
        <v/>
      </c>
      <c r="U42" s="10" t="str">
        <f t="shared" si="21"/>
        <v/>
      </c>
      <c r="V42" s="10" t="str">
        <f t="shared" si="21"/>
        <v/>
      </c>
    </row>
    <row r="43" spans="1:22" s="1" customFormat="1" x14ac:dyDescent="0.25">
      <c r="A43" s="140"/>
      <c r="B43" s="10" t="str">
        <f t="shared" ref="B43:M43" si="30">IF(B20="","",(B20/$O$23))</f>
        <v/>
      </c>
      <c r="C43" s="10" t="str">
        <f t="shared" si="30"/>
        <v/>
      </c>
      <c r="D43" s="10" t="str">
        <f t="shared" si="30"/>
        <v/>
      </c>
      <c r="E43" s="10" t="str">
        <f t="shared" si="30"/>
        <v/>
      </c>
      <c r="F43" s="10" t="str">
        <f t="shared" si="30"/>
        <v/>
      </c>
      <c r="G43" s="10" t="str">
        <f t="shared" si="30"/>
        <v/>
      </c>
      <c r="H43" s="10" t="str">
        <f t="shared" si="30"/>
        <v/>
      </c>
      <c r="I43" s="10" t="str">
        <f t="shared" si="30"/>
        <v/>
      </c>
      <c r="J43" s="10" t="str">
        <f t="shared" si="30"/>
        <v/>
      </c>
      <c r="K43" s="10" t="str">
        <f t="shared" si="30"/>
        <v/>
      </c>
      <c r="L43" s="10" t="str">
        <f t="shared" si="30"/>
        <v/>
      </c>
      <c r="M43" s="10" t="str">
        <f t="shared" si="30"/>
        <v/>
      </c>
      <c r="N43" s="5"/>
      <c r="O43" s="10">
        <f t="shared" ref="O43:R43" si="31">IF(O20="","",(O20/$O$23))</f>
        <v>1.2848340719134101</v>
      </c>
      <c r="P43" s="10" t="str">
        <f t="shared" si="31"/>
        <v/>
      </c>
      <c r="Q43" s="10" t="str">
        <f t="shared" si="31"/>
        <v/>
      </c>
      <c r="R43" s="10" t="str">
        <f t="shared" si="31"/>
        <v/>
      </c>
      <c r="S43" s="10" t="str">
        <f t="shared" si="21"/>
        <v/>
      </c>
      <c r="T43" s="10" t="str">
        <f t="shared" si="21"/>
        <v/>
      </c>
      <c r="U43" s="10" t="str">
        <f t="shared" si="21"/>
        <v/>
      </c>
      <c r="V43" s="10" t="str">
        <f t="shared" si="21"/>
        <v/>
      </c>
    </row>
    <row r="44" spans="1:22" x14ac:dyDescent="0.25">
      <c r="A44" s="6"/>
      <c r="B44" s="3"/>
      <c r="C44" s="3"/>
      <c r="D44" s="3"/>
      <c r="E44" s="3"/>
      <c r="F44" s="3"/>
      <c r="G44" s="3"/>
      <c r="H44" s="3"/>
      <c r="I44" s="3"/>
      <c r="J44" s="3"/>
      <c r="N44" s="6"/>
      <c r="O44" s="3"/>
      <c r="P44" s="3"/>
      <c r="Q44" s="3"/>
      <c r="R44" s="3"/>
      <c r="S44" s="3"/>
      <c r="T44" s="3"/>
      <c r="U44" s="3"/>
      <c r="V44" s="3"/>
    </row>
    <row r="45" spans="1:22" s="51" customFormat="1" x14ac:dyDescent="0.25">
      <c r="A45" s="52" t="str">
        <f t="shared" ref="A45:M45" si="32">A4</f>
        <v>Group names</v>
      </c>
      <c r="B45" s="52" t="str">
        <f t="shared" si="32"/>
        <v>Solvent control</v>
      </c>
      <c r="C45" s="52" t="str">
        <f t="shared" si="32"/>
        <v>EE2-33.8ng/L</v>
      </c>
      <c r="D45" s="52" t="str">
        <f t="shared" si="32"/>
        <v>EE2-50.6ng/L</v>
      </c>
      <c r="E45" s="52" t="str">
        <f t="shared" si="32"/>
        <v>EE2-76ng/L</v>
      </c>
      <c r="F45" s="52" t="str">
        <f t="shared" si="32"/>
        <v>EE2-114ng/L</v>
      </c>
      <c r="G45" s="52" t="str">
        <f t="shared" si="32"/>
        <v>EE2-170.9ng/L</v>
      </c>
      <c r="H45" s="52" t="str">
        <f t="shared" si="32"/>
        <v>EE2-488ng/L</v>
      </c>
      <c r="I45" s="52" t="str">
        <f t="shared" si="32"/>
        <v>Chromolyn-0.1µg/L</v>
      </c>
      <c r="J45" s="52" t="str">
        <f t="shared" si="32"/>
        <v>Chromolyn-1µg/L</v>
      </c>
      <c r="K45" s="52" t="str">
        <f t="shared" si="32"/>
        <v>Chromolyn-10µg/L</v>
      </c>
      <c r="L45" s="52" t="str">
        <f t="shared" si="32"/>
        <v>Chromolyn-100µg/L</v>
      </c>
      <c r="M45" s="52" t="str">
        <f t="shared" si="32"/>
        <v>Chromolyn-1000µg/L</v>
      </c>
      <c r="N45" s="52" t="str">
        <f>N22</f>
        <v>Nom des groupes</v>
      </c>
      <c r="O45" s="52" t="str">
        <f t="shared" ref="O45:V45" si="33">O4</f>
        <v>Testo -30µg/L</v>
      </c>
      <c r="P45" s="52" t="str">
        <f t="shared" si="33"/>
        <v>Testo 30µg/L + EE2 -64ng/L</v>
      </c>
      <c r="Q45" s="52" t="str">
        <f t="shared" si="33"/>
        <v>Testo 30µg/L + FAD-10mg/L</v>
      </c>
      <c r="R45" s="52" t="str">
        <f t="shared" si="33"/>
        <v>Chromolyn-0.1µg/L + Testostérone</v>
      </c>
      <c r="S45" s="52" t="str">
        <f t="shared" si="33"/>
        <v>Chromolyn-1µg/L + Testostérone</v>
      </c>
      <c r="T45" s="52" t="str">
        <f t="shared" si="33"/>
        <v>Chromolyn-10µg/L + Testostérone</v>
      </c>
      <c r="U45" s="52" t="str">
        <f t="shared" si="33"/>
        <v>Chromolyn-100µg/L + Testostérone</v>
      </c>
      <c r="V45" s="52" t="str">
        <f t="shared" si="33"/>
        <v>Chromolyn-1000µg/L + Testostérone</v>
      </c>
    </row>
    <row r="46" spans="1:22" x14ac:dyDescent="0.25">
      <c r="A46" s="7" t="s">
        <v>0</v>
      </c>
      <c r="B46" s="9">
        <f t="shared" ref="B46:H46" si="34">AVERAGE(B28:B43)</f>
        <v>2.4355098754176952E-2</v>
      </c>
      <c r="C46" s="9" t="e">
        <f t="shared" si="34"/>
        <v>#DIV/0!</v>
      </c>
      <c r="D46" s="9">
        <f t="shared" si="34"/>
        <v>2.9550250480529665E-2</v>
      </c>
      <c r="E46" s="9">
        <f t="shared" si="34"/>
        <v>0.27787354551608318</v>
      </c>
      <c r="F46" s="9">
        <f t="shared" si="34"/>
        <v>0.83838273745710956</v>
      </c>
      <c r="G46" s="9">
        <f t="shared" si="34"/>
        <v>1.0509611140050019</v>
      </c>
      <c r="H46" s="9">
        <f t="shared" si="34"/>
        <v>1.6435124212315921</v>
      </c>
      <c r="I46" s="9">
        <f>AVERAGE(I28:I43)</f>
        <v>1.6146088308101804E-2</v>
      </c>
      <c r="J46" s="8">
        <f>AVERAGE(J28:J43)</f>
        <v>1.6346574797681795E-2</v>
      </c>
      <c r="K46" s="8">
        <f>AVERAGE(K28:K43)</f>
        <v>1.6137339806738312E-2</v>
      </c>
      <c r="L46" s="8">
        <f t="shared" ref="L46:M46" si="35">AVERAGE(L28:L43)</f>
        <v>3.8607865558863384E-2</v>
      </c>
      <c r="M46" s="8">
        <f t="shared" si="35"/>
        <v>1.1692372072304905E-2</v>
      </c>
      <c r="N46" s="7" t="s">
        <v>0</v>
      </c>
      <c r="O46" s="9">
        <f>AVERAGE(O28:O43)</f>
        <v>1</v>
      </c>
      <c r="P46" s="9">
        <f>AVERAGE(P28:P43)</f>
        <v>1.2974042102891852</v>
      </c>
      <c r="Q46" s="9">
        <f>AVERAGE(Q28:Q43)</f>
        <v>8.8616486477915327E-2</v>
      </c>
      <c r="R46" s="9">
        <f>AVERAGE(R28:R43)</f>
        <v>0.71802814611601162</v>
      </c>
      <c r="S46" s="9">
        <f t="shared" ref="S46:V46" si="36">AVERAGE(S28:S43)</f>
        <v>1.0063043887950653</v>
      </c>
      <c r="T46" s="9">
        <f t="shared" si="36"/>
        <v>1.0765344415740448</v>
      </c>
      <c r="U46" s="9">
        <f t="shared" si="36"/>
        <v>0.93707822654754624</v>
      </c>
      <c r="V46" s="9">
        <f t="shared" si="36"/>
        <v>0.86914757154360389</v>
      </c>
    </row>
    <row r="47" spans="1:22" x14ac:dyDescent="0.25">
      <c r="A47" s="7" t="s">
        <v>1</v>
      </c>
      <c r="B47" s="7">
        <f t="shared" ref="B47:K47" si="37">STDEV(B28:B43)</f>
        <v>2.2699147608853165E-2</v>
      </c>
      <c r="C47" s="7" t="e">
        <f t="shared" si="37"/>
        <v>#DIV/0!</v>
      </c>
      <c r="D47" s="7">
        <f t="shared" si="37"/>
        <v>3.5634455455962055E-2</v>
      </c>
      <c r="E47" s="7">
        <f t="shared" si="37"/>
        <v>0.49153868133672907</v>
      </c>
      <c r="F47" s="7">
        <f t="shared" si="37"/>
        <v>0.51866323723546948</v>
      </c>
      <c r="G47" s="7">
        <f t="shared" si="37"/>
        <v>0.69093474089924178</v>
      </c>
      <c r="H47" s="7">
        <f t="shared" si="37"/>
        <v>0.50791928996929869</v>
      </c>
      <c r="I47" s="7">
        <f>STDEV(I28:I43)</f>
        <v>2.1705234512418733E-2</v>
      </c>
      <c r="J47" s="7">
        <f t="shared" si="37"/>
        <v>3.0197820216403898E-2</v>
      </c>
      <c r="K47" s="7">
        <f t="shared" si="37"/>
        <v>1.6441059965738105E-2</v>
      </c>
      <c r="L47" s="7">
        <f t="shared" ref="L47:M47" si="38">STDEV(L28:L43)</f>
        <v>4.3776965998906979E-2</v>
      </c>
      <c r="M47" s="7">
        <f t="shared" si="38"/>
        <v>2.6340732347771349E-2</v>
      </c>
      <c r="N47" s="7" t="s">
        <v>1</v>
      </c>
      <c r="O47" s="7">
        <f>STDEV(O28:O43)</f>
        <v>0.32944970236739951</v>
      </c>
      <c r="P47" s="7">
        <f>STDEV(P28:P43)</f>
        <v>0.29730413551385532</v>
      </c>
      <c r="Q47" s="7">
        <f>STDEV(Q28:Q43)</f>
        <v>0.2024373379098669</v>
      </c>
      <c r="R47" s="7">
        <f>STDEV(R28:R43)</f>
        <v>0.54894387725585603</v>
      </c>
      <c r="S47" s="7">
        <f t="shared" ref="S47:V47" si="39">STDEV(S28:S43)</f>
        <v>0.39926233009311063</v>
      </c>
      <c r="T47" s="7">
        <f t="shared" si="39"/>
        <v>0.40485370340792853</v>
      </c>
      <c r="U47" s="7">
        <f t="shared" si="39"/>
        <v>0.36851135238930005</v>
      </c>
      <c r="V47" s="7">
        <f t="shared" si="39"/>
        <v>0.36975676843573424</v>
      </c>
    </row>
    <row r="48" spans="1:22" x14ac:dyDescent="0.25">
      <c r="A48" s="7" t="s">
        <v>2</v>
      </c>
      <c r="B48" s="7">
        <f t="shared" ref="B48:K48" si="40" xml:space="preserve"> B47/SQRT(COUNT(B28:B43))</f>
        <v>8.0253606006872383E-3</v>
      </c>
      <c r="C48" s="7" t="e">
        <f t="shared" si="40"/>
        <v>#DIV/0!</v>
      </c>
      <c r="D48" s="7">
        <f t="shared" si="40"/>
        <v>1.2598682548400367E-2</v>
      </c>
      <c r="E48" s="7">
        <f t="shared" si="40"/>
        <v>0.1737851673943473</v>
      </c>
      <c r="F48" s="7">
        <f t="shared" si="40"/>
        <v>0.18337514610068373</v>
      </c>
      <c r="G48" s="7">
        <f t="shared" si="40"/>
        <v>0.24428232032361202</v>
      </c>
      <c r="H48" s="7">
        <f t="shared" si="40"/>
        <v>0.17957658711637373</v>
      </c>
      <c r="I48" s="7">
        <f xml:space="preserve"> I47/SQRT(COUNT(I28:I43))</f>
        <v>7.6739592554877856E-3</v>
      </c>
      <c r="J48" s="7">
        <f t="shared" si="40"/>
        <v>1.0676541726035705E-2</v>
      </c>
      <c r="K48" s="7">
        <f t="shared" si="40"/>
        <v>5.8127924958340403E-3</v>
      </c>
      <c r="L48" s="7">
        <f t="shared" ref="L48:M48" si="41" xml:space="preserve"> L47/SQRT(COUNT(L28:L43))</f>
        <v>1.5477494758800022E-2</v>
      </c>
      <c r="M48" s="7">
        <f t="shared" si="41"/>
        <v>9.3128552322644838E-3</v>
      </c>
      <c r="N48" s="7" t="s">
        <v>2</v>
      </c>
      <c r="O48" s="7">
        <f xml:space="preserve"> O47/SQRT(COUNT(O28:O43))</f>
        <v>8.2362425591849878E-2</v>
      </c>
      <c r="P48" s="7">
        <f xml:space="preserve"> P47/SQRT(COUNT(P28:P43))</f>
        <v>0.10511288514832567</v>
      </c>
      <c r="Q48" s="7">
        <f xml:space="preserve"> Q47/SQRT(COUNT(Q28:Q43))</f>
        <v>7.1572407200709717E-2</v>
      </c>
      <c r="R48" s="7">
        <f xml:space="preserve"> R47/SQRT(COUNT(R28:R43))</f>
        <v>0.19408096904922578</v>
      </c>
      <c r="S48" s="7">
        <f t="shared" ref="S48:V48" si="42" xml:space="preserve"> S47/SQRT(COUNT(S28:S43))</f>
        <v>0.14116055054059012</v>
      </c>
      <c r="T48" s="7">
        <f t="shared" si="42"/>
        <v>0.14313739953411675</v>
      </c>
      <c r="U48" s="7">
        <f t="shared" si="42"/>
        <v>0.13028843810934973</v>
      </c>
      <c r="V48" s="7">
        <f t="shared" si="42"/>
        <v>0.13072875917526583</v>
      </c>
    </row>
    <row r="49" spans="1:22" s="1" customFormat="1" ht="15.75" thickBot="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27" thickBot="1" x14ac:dyDescent="0.45">
      <c r="A50" s="135"/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</row>
    <row r="51" spans="1:22" ht="15.75" thickBo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S51"/>
      <c r="T51"/>
      <c r="U51"/>
      <c r="V51"/>
    </row>
    <row r="52" spans="1:22" x14ac:dyDescent="0.25">
      <c r="A52" s="28" t="str">
        <f t="shared" ref="A52:H52" si="43">A27</f>
        <v>Group names</v>
      </c>
      <c r="B52" s="29" t="str">
        <f t="shared" si="43"/>
        <v>Solvent control</v>
      </c>
      <c r="C52" s="29" t="str">
        <f t="shared" si="43"/>
        <v>EE2-33.8ng/L</v>
      </c>
      <c r="D52" s="29" t="str">
        <f t="shared" si="43"/>
        <v>EE2-50.6ng/L</v>
      </c>
      <c r="E52" s="29" t="str">
        <f t="shared" si="43"/>
        <v>EE2-76ng/L</v>
      </c>
      <c r="F52" s="29" t="str">
        <f t="shared" si="43"/>
        <v>EE2-114ng/L</v>
      </c>
      <c r="G52" s="29" t="str">
        <f t="shared" si="43"/>
        <v>EE2-170.9ng/L</v>
      </c>
      <c r="H52" s="29" t="str">
        <f t="shared" si="43"/>
        <v>EE2-488ng/L</v>
      </c>
      <c r="I52" s="29" t="str">
        <f>I4</f>
        <v>Chromolyn-0.1µg/L</v>
      </c>
      <c r="J52" s="29" t="str">
        <f>J4</f>
        <v>Chromolyn-1µg/L</v>
      </c>
      <c r="K52" s="29" t="str">
        <f>K27</f>
        <v>Chromolyn-10µg/L</v>
      </c>
      <c r="L52" s="29" t="str">
        <f t="shared" ref="L52:M52" si="44">L27</f>
        <v>Chromolyn-100µg/L</v>
      </c>
      <c r="M52" s="29" t="str">
        <f t="shared" si="44"/>
        <v>Chromolyn-1000µg/L</v>
      </c>
      <c r="N52" s="30"/>
      <c r="O52" s="29" t="str">
        <f>O27</f>
        <v>Testo -30µg/L</v>
      </c>
      <c r="P52" s="29" t="str">
        <f>P27</f>
        <v>Testo 30µg/L + EE2 -64ng/L</v>
      </c>
      <c r="Q52" s="29" t="str">
        <f>Q27</f>
        <v>Testo 30µg/L + FAD-10mg/L</v>
      </c>
      <c r="R52" s="29" t="str">
        <f>R27</f>
        <v>Chromolyn-0.1µg/L + Testostérone</v>
      </c>
      <c r="S52" s="29" t="str">
        <f t="shared" ref="S52:V52" si="45">S27</f>
        <v>Chromolyn-1µg/L + Testostérone</v>
      </c>
      <c r="T52" s="29" t="str">
        <f t="shared" si="45"/>
        <v>Chromolyn-10µg/L + Testostérone</v>
      </c>
      <c r="U52" s="29" t="str">
        <f t="shared" si="45"/>
        <v>Chromolyn-100µg/L + Testostérone</v>
      </c>
      <c r="V52" s="29" t="str">
        <f t="shared" si="45"/>
        <v>Chromolyn-1000µg/L + Testostérone</v>
      </c>
    </row>
    <row r="53" spans="1:22" s="3" customFormat="1" x14ac:dyDescent="0.25">
      <c r="A53" s="44" t="s">
        <v>10</v>
      </c>
      <c r="B53" s="76">
        <f t="shared" ref="B53:M53" si="46">B46</f>
        <v>2.4355098754176952E-2</v>
      </c>
      <c r="C53" s="76" t="e">
        <f t="shared" si="46"/>
        <v>#DIV/0!</v>
      </c>
      <c r="D53" s="76">
        <f t="shared" si="46"/>
        <v>2.9550250480529665E-2</v>
      </c>
      <c r="E53" s="76">
        <f t="shared" si="46"/>
        <v>0.27787354551608318</v>
      </c>
      <c r="F53" s="76">
        <f t="shared" si="46"/>
        <v>0.83838273745710956</v>
      </c>
      <c r="G53" s="76">
        <f t="shared" si="46"/>
        <v>1.0509611140050019</v>
      </c>
      <c r="H53" s="76">
        <f t="shared" si="46"/>
        <v>1.6435124212315921</v>
      </c>
      <c r="I53" s="76">
        <f t="shared" si="46"/>
        <v>1.6146088308101804E-2</v>
      </c>
      <c r="J53" s="76">
        <f t="shared" si="46"/>
        <v>1.6346574797681795E-2</v>
      </c>
      <c r="K53" s="76">
        <f t="shared" si="46"/>
        <v>1.6137339806738312E-2</v>
      </c>
      <c r="L53" s="76">
        <f t="shared" si="46"/>
        <v>3.8607865558863384E-2</v>
      </c>
      <c r="M53" s="76">
        <f t="shared" si="46"/>
        <v>1.1692372072304905E-2</v>
      </c>
      <c r="N53" s="76"/>
      <c r="O53" s="76">
        <f t="shared" ref="O53:V53" si="47">O46</f>
        <v>1</v>
      </c>
      <c r="P53" s="76">
        <f t="shared" si="47"/>
        <v>1.2974042102891852</v>
      </c>
      <c r="Q53" s="76">
        <f t="shared" si="47"/>
        <v>8.8616486477915327E-2</v>
      </c>
      <c r="R53" s="76">
        <f t="shared" si="47"/>
        <v>0.71802814611601162</v>
      </c>
      <c r="S53" s="76">
        <f t="shared" si="47"/>
        <v>1.0063043887950653</v>
      </c>
      <c r="T53" s="76">
        <f t="shared" si="47"/>
        <v>1.0765344415740448</v>
      </c>
      <c r="U53" s="76">
        <f t="shared" si="47"/>
        <v>0.93707822654754624</v>
      </c>
      <c r="V53" s="76">
        <f t="shared" si="47"/>
        <v>0.86914757154360389</v>
      </c>
    </row>
    <row r="54" spans="1:22" s="3" customFormat="1" x14ac:dyDescent="0.25">
      <c r="A54" s="44" t="s">
        <v>2</v>
      </c>
      <c r="B54" s="76">
        <f t="shared" ref="B54:M54" si="48">B48</f>
        <v>8.0253606006872383E-3</v>
      </c>
      <c r="C54" s="76" t="e">
        <f t="shared" si="48"/>
        <v>#DIV/0!</v>
      </c>
      <c r="D54" s="76">
        <f t="shared" si="48"/>
        <v>1.2598682548400367E-2</v>
      </c>
      <c r="E54" s="76">
        <f t="shared" si="48"/>
        <v>0.1737851673943473</v>
      </c>
      <c r="F54" s="76">
        <f t="shared" si="48"/>
        <v>0.18337514610068373</v>
      </c>
      <c r="G54" s="76">
        <f t="shared" si="48"/>
        <v>0.24428232032361202</v>
      </c>
      <c r="H54" s="76">
        <f t="shared" si="48"/>
        <v>0.17957658711637373</v>
      </c>
      <c r="I54" s="76">
        <f t="shared" si="48"/>
        <v>7.6739592554877856E-3</v>
      </c>
      <c r="J54" s="76">
        <f t="shared" si="48"/>
        <v>1.0676541726035705E-2</v>
      </c>
      <c r="K54" s="76">
        <f t="shared" si="48"/>
        <v>5.8127924958340403E-3</v>
      </c>
      <c r="L54" s="76">
        <f t="shared" si="48"/>
        <v>1.5477494758800022E-2</v>
      </c>
      <c r="M54" s="76">
        <f t="shared" si="48"/>
        <v>9.3128552322644838E-3</v>
      </c>
      <c r="N54" s="76"/>
      <c r="O54" s="76">
        <f t="shared" ref="O54:V54" si="49">O48</f>
        <v>8.2362425591849878E-2</v>
      </c>
      <c r="P54" s="76">
        <f t="shared" si="49"/>
        <v>0.10511288514832567</v>
      </c>
      <c r="Q54" s="76">
        <f t="shared" si="49"/>
        <v>7.1572407200709717E-2</v>
      </c>
      <c r="R54" s="76">
        <f t="shared" si="49"/>
        <v>0.19408096904922578</v>
      </c>
      <c r="S54" s="76">
        <f t="shared" si="49"/>
        <v>0.14116055054059012</v>
      </c>
      <c r="T54" s="76">
        <f t="shared" si="49"/>
        <v>0.14313739953411675</v>
      </c>
      <c r="U54" s="76">
        <f t="shared" si="49"/>
        <v>0.13028843810934973</v>
      </c>
      <c r="V54" s="76">
        <f t="shared" si="49"/>
        <v>0.13072875917526583</v>
      </c>
    </row>
    <row r="55" spans="1:22" s="3" customFormat="1" x14ac:dyDescent="0.25">
      <c r="A55" s="44" t="s">
        <v>14</v>
      </c>
      <c r="B55" s="76">
        <f t="shared" ref="B55:M55" si="50">(B53*100/$B$53)-100</f>
        <v>0</v>
      </c>
      <c r="C55" s="76" t="e">
        <f t="shared" si="50"/>
        <v>#DIV/0!</v>
      </c>
      <c r="D55" s="76">
        <f t="shared" si="50"/>
        <v>21.330858802047487</v>
      </c>
      <c r="E55" s="76">
        <f t="shared" si="50"/>
        <v>1040.9255545245007</v>
      </c>
      <c r="F55" s="76">
        <f t="shared" si="50"/>
        <v>3342.329451911276</v>
      </c>
      <c r="G55" s="76">
        <f t="shared" si="50"/>
        <v>4215.1584997156287</v>
      </c>
      <c r="H55" s="76">
        <f t="shared" si="50"/>
        <v>6648.1246445355764</v>
      </c>
      <c r="I55" s="76">
        <f t="shared" si="50"/>
        <v>-33.705510821085397</v>
      </c>
      <c r="J55" s="76">
        <f t="shared" si="50"/>
        <v>-32.882330050588195</v>
      </c>
      <c r="K55" s="76">
        <f t="shared" si="50"/>
        <v>-33.741431436525289</v>
      </c>
      <c r="L55" s="76">
        <f t="shared" si="50"/>
        <v>58.520669320801062</v>
      </c>
      <c r="M55" s="76">
        <f t="shared" si="50"/>
        <v>-51.992097464603233</v>
      </c>
      <c r="N55" s="76"/>
      <c r="O55" s="76">
        <f t="shared" ref="O55:V55" si="51">(O53*100/$O$53)-100</f>
        <v>0</v>
      </c>
      <c r="P55" s="76">
        <f t="shared" si="51"/>
        <v>29.740421028918519</v>
      </c>
      <c r="Q55" s="76">
        <f t="shared" si="51"/>
        <v>-91.138351352208474</v>
      </c>
      <c r="R55" s="76">
        <f t="shared" si="51"/>
        <v>-28.197185388398836</v>
      </c>
      <c r="S55" s="76">
        <f t="shared" si="51"/>
        <v>0.63043887950652788</v>
      </c>
      <c r="T55" s="76">
        <f t="shared" si="51"/>
        <v>7.6534441574044791</v>
      </c>
      <c r="U55" s="76">
        <f t="shared" si="51"/>
        <v>-6.2921773452453778</v>
      </c>
      <c r="V55" s="76">
        <f t="shared" si="51"/>
        <v>-13.085242845639613</v>
      </c>
    </row>
    <row r="56" spans="1:22" s="3" customFormat="1" x14ac:dyDescent="0.25">
      <c r="A56" s="44" t="s">
        <v>37</v>
      </c>
      <c r="B56" s="76">
        <f>[1]!SWTEST(B28:B43)</f>
        <v>0.15700692460534116</v>
      </c>
      <c r="C56" s="76" t="e">
        <f>[1]!SWTEST(C28:C43)</f>
        <v>#VALUE!</v>
      </c>
      <c r="D56" s="76">
        <f>[1]!SWTEST(D28:D43)</f>
        <v>3.214548382059812E-2</v>
      </c>
      <c r="E56" s="76">
        <f>[1]!SWTEST(E28:E43)</f>
        <v>4.3963254165857446E-4</v>
      </c>
      <c r="F56" s="76">
        <f>[1]!SWTEST(F28:F43)</f>
        <v>0.49435731861189391</v>
      </c>
      <c r="G56" s="76">
        <f>[1]!SWTEST(G28:G43)</f>
        <v>0.94784917494311338</v>
      </c>
      <c r="H56" s="76">
        <f>[1]!SWTEST(H28:H43)</f>
        <v>0.502630535343914</v>
      </c>
      <c r="I56" s="76">
        <f>[1]!SWTEST(I28:I43)</f>
        <v>1.1110922846887306E-2</v>
      </c>
      <c r="J56" s="76">
        <f>[1]!SWTEST(J28:J43)</f>
        <v>3.7983130098273588E-4</v>
      </c>
      <c r="K56" s="76">
        <f>[1]!SWTEST(K28:K43)</f>
        <v>2.9050796337444895E-2</v>
      </c>
      <c r="L56" s="76">
        <f>[1]!SWTEST(L28:L43)</f>
        <v>6.8104625558289889E-2</v>
      </c>
      <c r="M56" s="76">
        <f>[1]!SWTEST(M28:M43)</f>
        <v>2.0779012516625173E-5</v>
      </c>
      <c r="N56" s="76"/>
      <c r="O56" s="76">
        <f>[1]!SWTEST(O28:O43)</f>
        <v>0.44936978560565688</v>
      </c>
      <c r="P56" s="76">
        <f>[1]!SWTEST(P28:P43)</f>
        <v>0.11112850781724581</v>
      </c>
      <c r="Q56" s="76">
        <f>[1]!SWTEST(Q28:Q43)</f>
        <v>2.0615520394562381E-5</v>
      </c>
      <c r="R56" s="76">
        <f>[1]!SWTEST(R28:R43)</f>
        <v>0.16008303149026171</v>
      </c>
      <c r="S56" s="76">
        <f>[1]!SWTEST(S28:S43)</f>
        <v>0.69366476099424246</v>
      </c>
      <c r="T56" s="76">
        <f>[1]!SWTEST(T28:T43)</f>
        <v>7.5211987095891164E-3</v>
      </c>
      <c r="U56" s="76">
        <f>[1]!SWTEST(U28:U43)</f>
        <v>0.53759848536262833</v>
      </c>
      <c r="V56" s="76">
        <f>[1]!SWTEST(V28:V43)</f>
        <v>0.39760722280212724</v>
      </c>
    </row>
    <row r="57" spans="1:22" s="3" customFormat="1" x14ac:dyDescent="0.25">
      <c r="A57" s="44" t="s">
        <v>38</v>
      </c>
      <c r="B57" s="76" t="str">
        <f t="shared" ref="B57:M57" si="52">IF(B56&gt;0.05,"Oui","Non")</f>
        <v>Oui</v>
      </c>
      <c r="C57" s="76" t="e">
        <f t="shared" si="52"/>
        <v>#VALUE!</v>
      </c>
      <c r="D57" s="76" t="str">
        <f t="shared" si="52"/>
        <v>Non</v>
      </c>
      <c r="E57" s="76" t="str">
        <f t="shared" si="52"/>
        <v>Non</v>
      </c>
      <c r="F57" s="76" t="str">
        <f t="shared" si="52"/>
        <v>Oui</v>
      </c>
      <c r="G57" s="76" t="str">
        <f t="shared" si="52"/>
        <v>Oui</v>
      </c>
      <c r="H57" s="76" t="str">
        <f t="shared" si="52"/>
        <v>Oui</v>
      </c>
      <c r="I57" s="76" t="str">
        <f t="shared" si="52"/>
        <v>Non</v>
      </c>
      <c r="J57" s="76" t="str">
        <f t="shared" si="52"/>
        <v>Non</v>
      </c>
      <c r="K57" s="76" t="str">
        <f t="shared" si="52"/>
        <v>Non</v>
      </c>
      <c r="L57" s="76" t="str">
        <f t="shared" si="52"/>
        <v>Oui</v>
      </c>
      <c r="M57" s="76" t="str">
        <f t="shared" si="52"/>
        <v>Non</v>
      </c>
      <c r="N57" s="76"/>
      <c r="O57" s="76" t="str">
        <f t="shared" ref="O57:V57" si="53">IF(O56&gt;0.05,"Oui","Non")</f>
        <v>Oui</v>
      </c>
      <c r="P57" s="76" t="str">
        <f t="shared" si="53"/>
        <v>Oui</v>
      </c>
      <c r="Q57" s="76" t="str">
        <f t="shared" si="53"/>
        <v>Non</v>
      </c>
      <c r="R57" s="76" t="str">
        <f t="shared" si="53"/>
        <v>Oui</v>
      </c>
      <c r="S57" s="76" t="str">
        <f t="shared" si="53"/>
        <v>Oui</v>
      </c>
      <c r="T57" s="76" t="str">
        <f t="shared" si="53"/>
        <v>Non</v>
      </c>
      <c r="U57" s="76" t="str">
        <f t="shared" si="53"/>
        <v>Oui</v>
      </c>
      <c r="V57" s="76" t="str">
        <f t="shared" si="53"/>
        <v>Oui</v>
      </c>
    </row>
    <row r="58" spans="1:22" s="3" customFormat="1" x14ac:dyDescent="0.25">
      <c r="A58" s="44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8"/>
      <c r="O58" s="79"/>
      <c r="P58" s="76"/>
      <c r="Q58" s="76"/>
      <c r="R58" s="76"/>
      <c r="S58" s="76"/>
      <c r="T58" s="76"/>
      <c r="U58" s="76"/>
      <c r="V58" s="76"/>
    </row>
    <row r="59" spans="1:22" s="3" customFormat="1" x14ac:dyDescent="0.25">
      <c r="A59" s="44" t="s">
        <v>39</v>
      </c>
      <c r="B59" s="80"/>
      <c r="C59" s="80" t="e">
        <f t="shared" ref="C59:M59" si="54">IF($B57="Non",IF(C$57="Non","Mann Withney",IF(C$57="Oui","Mann Withney","")),IF($B$57="Oui",IF(C$57="Oui","T-Test Welch",IF(C$57="Non","Mann Withney",""))))</f>
        <v>#VALUE!</v>
      </c>
      <c r="D59" s="80" t="str">
        <f t="shared" si="54"/>
        <v>Mann Withney</v>
      </c>
      <c r="E59" s="80" t="str">
        <f t="shared" si="54"/>
        <v>Mann Withney</v>
      </c>
      <c r="F59" s="80" t="str">
        <f t="shared" si="54"/>
        <v>T-Test Welch</v>
      </c>
      <c r="G59" s="80" t="str">
        <f t="shared" si="54"/>
        <v>T-Test Welch</v>
      </c>
      <c r="H59" s="80" t="str">
        <f t="shared" si="54"/>
        <v>T-Test Welch</v>
      </c>
      <c r="I59" s="80" t="str">
        <f t="shared" si="54"/>
        <v>Mann Withney</v>
      </c>
      <c r="J59" s="80" t="str">
        <f t="shared" si="54"/>
        <v>Mann Withney</v>
      </c>
      <c r="K59" s="80" t="str">
        <f t="shared" si="54"/>
        <v>Mann Withney</v>
      </c>
      <c r="L59" s="80" t="str">
        <f t="shared" si="54"/>
        <v>T-Test Welch</v>
      </c>
      <c r="M59" s="80" t="str">
        <f t="shared" si="54"/>
        <v>Mann Withney</v>
      </c>
      <c r="N59" s="80"/>
      <c r="O59" s="80" t="str">
        <f>IF($B57="Non",IF(O$57="Non","Mann Withney",IF(O$57="Oui","Mann Withney","")),IF($B$57="Oui",IF(O$57="Oui","T-Test Welch",IF(O$57="Non","Mann Withney",""))))</f>
        <v>T-Test Welch</v>
      </c>
      <c r="P59" s="80" t="str">
        <f t="shared" ref="P59:V59" si="55">IF($O57="Non",IF(P$57="Non","Mann Withney",IF(P$57="Oui","Mann Withney","")),IF($O$57="Oui",IF(P$57="Oui","T-Test Welch",IF(P$57="Non","Mann Withney",""))))</f>
        <v>T-Test Welch</v>
      </c>
      <c r="Q59" s="80" t="str">
        <f t="shared" si="55"/>
        <v>Mann Withney</v>
      </c>
      <c r="R59" s="80" t="str">
        <f t="shared" si="55"/>
        <v>T-Test Welch</v>
      </c>
      <c r="S59" s="80" t="str">
        <f t="shared" si="55"/>
        <v>T-Test Welch</v>
      </c>
      <c r="T59" s="80" t="str">
        <f t="shared" si="55"/>
        <v>Mann Withney</v>
      </c>
      <c r="U59" s="80" t="str">
        <f t="shared" si="55"/>
        <v>T-Test Welch</v>
      </c>
      <c r="V59" s="80" t="str">
        <f t="shared" si="55"/>
        <v>T-Test Welch</v>
      </c>
    </row>
    <row r="60" spans="1:22" s="3" customFormat="1" x14ac:dyDescent="0.25">
      <c r="A60" s="44" t="s">
        <v>40</v>
      </c>
      <c r="B60" s="81"/>
      <c r="C60" s="81" t="e">
        <f>IF(C59="Mann Withney",[1]!MTEST($B28:$B43,C28:C43,2), IF(C59="T-Test Welch",_xlfn.T.TEST($B28:$B43,C28:C43,2,3),""))</f>
        <v>#VALUE!</v>
      </c>
      <c r="D60" s="81">
        <f>IF(D59="Mann Withney",[1]!MTEST($B28:$B43,D28:D43,2), IF(D59="T-Test Welch",_xlfn.T.TEST($B28:$B43,D28:D43,2,3),""))</f>
        <v>0.91635914027348853</v>
      </c>
      <c r="E60" s="81">
        <f>IF(E59="Mann Withney",[1]!MTEST($B28:$B43,E28:E43,2), IF(E59="T-Test Welch",_xlfn.T.TEST($B28:$B43,E28:E43,2,3),""))</f>
        <v>0.24799581483148536</v>
      </c>
      <c r="F60" s="81">
        <f>IF(F59="Mann Withney",[1]!MTEST($B28:$B43,F28:F43,2), IF(F59="T-Test Welch",_xlfn.T.TEST($B28:$B43,F28:F43,2,3),""))</f>
        <v>2.9981931763310974E-3</v>
      </c>
      <c r="G60" s="81">
        <f>IF(G59="Mann Withney",[1]!MTEST($B28:$B43,G28:G43,2), IF(G59="T-Test Welch",_xlfn.T.TEST($B28:$B43,G28:G43,2,3),""))</f>
        <v>4.0148411313837579E-3</v>
      </c>
      <c r="H60" s="81">
        <f>IF(H59="Mann Withney",[1]!MTEST($B28:$B43,H28:H43,2), IF(H59="T-Test Welch",_xlfn.T.TEST($B28:$B43,H28:H43,2,3),""))</f>
        <v>4.1410140640514918E-5</v>
      </c>
      <c r="I60" s="81">
        <f>IF(I59="Mann Withney",[1]!MTEST($B28:$B43,I28:I43,2), IF(I59="T-Test Welch",_xlfn.T.TEST($B28:$B43,I28:I43,2,3),""))</f>
        <v>0.29362154392890583</v>
      </c>
      <c r="J60" s="81">
        <f>IF(J59="Mann Withney",[1]!MTEST($B28:$B43,J28:J43,2), IF(J59="T-Test Welch",_xlfn.T.TEST($B28:$B43,J28:J43,2,3),""))</f>
        <v>0.11518373151505124</v>
      </c>
      <c r="K60" s="81">
        <f>IF(K59="Mann Withney",[1]!MTEST($B28:$B43,K28:K43,2), IF(K59="T-Test Welch",_xlfn.T.TEST($B28:$B43,K28:K43,2,3),""))</f>
        <v>0.29362154392890583</v>
      </c>
      <c r="L60" s="81">
        <f>IF(L59="Mann Withney",[1]!MTEST($B28:$B43,L28:L43,2), IF(L59="T-Test Welch",_xlfn.T.TEST($B28:$B43,L28:L43,2,3),""))</f>
        <v>0.431780624840573</v>
      </c>
      <c r="M60" s="81">
        <f>IF(M59="Mann Withney",[1]!MTEST($B28:$B43,M28:M43,2), IF(M59="T-Test Welch",_xlfn.T.TEST($B28:$B43,M28:M43,2,3),""))</f>
        <v>3.5691900116804343E-2</v>
      </c>
      <c r="N60" s="81"/>
      <c r="O60" s="81">
        <f>IF(O59="Mann Withney",[1]!MTEST($B28:$B43,O28:O43,2), IF(O59="T-Test Welch",_xlfn.T.TEST($B28:$B43,O28:O43,2,3),""))</f>
        <v>4.4631388880101407E-9</v>
      </c>
      <c r="P60" s="81">
        <f>IF(P59="Mann Withney",[1]!MTEST($O28:$O43,P28:P43,2), IF(P59="T-Test Welch",_xlfn.T.TEST($O28:$O43,P28:P43,2,3),""))</f>
        <v>4.1138416606200504E-2</v>
      </c>
      <c r="Q60" s="81">
        <f>IF(Q59="Mann Withney",[1]!MTEST($O28:$O43,Q28:Q43,2), IF(Q59="T-Test Welch",_xlfn.T.TEST($O28:$O43,Q28:Q43,2,3),""))</f>
        <v>1.4662968489798089E-4</v>
      </c>
      <c r="R60" s="81">
        <f>IF(R59="Mann Withney",[1]!MTEST($O28:$O43,R28:R43,2), IF(R59="T-Test Welch",_xlfn.T.TEST($O28:$O43,R28:R43,2,3),""))</f>
        <v>0.21190095635117354</v>
      </c>
      <c r="S60" s="81">
        <f>IF(S59="Mann Withney",[1]!MTEST($O28:$O43,S28:S43,2), IF(S59="T-Test Welch",_xlfn.T.TEST($O28:$O43,S28:S43,2,3),""))</f>
        <v>0.96986705099020787</v>
      </c>
      <c r="T60" s="81">
        <f>IF(T59="Mann Withney",[1]!MTEST($O28:$O43,T28:T43,2), IF(T59="T-Test Welch",_xlfn.T.TEST($O28:$O43,T28:T43,2,3),""))</f>
        <v>0.35832646674888036</v>
      </c>
      <c r="U60" s="81">
        <f>IF(U59="Mann Withney",[1]!MTEST($O28:$O43,U28:U43,2), IF(U59="T-Test Welch",_xlfn.T.TEST($O28:$O43,U28:U43,2,3),""))</f>
        <v>0.68988143888863052</v>
      </c>
      <c r="V60" s="81">
        <f>IF(V59="Mann Withney",[1]!MTEST($O28:$O43,V28:V43,2), IF(V59="T-Test Welch",_xlfn.T.TEST($O28:$O43,V28:V43,2,3),""))</f>
        <v>0.4127059042558312</v>
      </c>
    </row>
    <row r="61" spans="1:22" s="3" customFormat="1" ht="15.75" thickBot="1" x14ac:dyDescent="0.3">
      <c r="A61" s="45" t="s">
        <v>15</v>
      </c>
      <c r="B61" s="77"/>
      <c r="C61" s="77" t="e">
        <f t="shared" ref="C61:M61" si="56">IF(C60&gt;0.05,"NS",IF(C60&gt;0.01,"*",IF(C60&gt;0.001,"**","***")))</f>
        <v>#VALUE!</v>
      </c>
      <c r="D61" s="77" t="str">
        <f t="shared" si="56"/>
        <v>NS</v>
      </c>
      <c r="E61" s="77" t="str">
        <f t="shared" si="56"/>
        <v>NS</v>
      </c>
      <c r="F61" s="77" t="str">
        <f t="shared" si="56"/>
        <v>**</v>
      </c>
      <c r="G61" s="77" t="str">
        <f t="shared" si="56"/>
        <v>**</v>
      </c>
      <c r="H61" s="77" t="str">
        <f t="shared" si="56"/>
        <v>***</v>
      </c>
      <c r="I61" s="77" t="str">
        <f t="shared" si="56"/>
        <v>NS</v>
      </c>
      <c r="J61" s="77" t="str">
        <f t="shared" si="56"/>
        <v>NS</v>
      </c>
      <c r="K61" s="77" t="str">
        <f t="shared" si="56"/>
        <v>NS</v>
      </c>
      <c r="L61" s="77" t="str">
        <f t="shared" si="56"/>
        <v>NS</v>
      </c>
      <c r="M61" s="77" t="str">
        <f t="shared" si="56"/>
        <v>*</v>
      </c>
      <c r="N61" s="77"/>
      <c r="O61" s="77" t="str">
        <f>IF(O60&gt;0.05,"NS",IF(O60&gt;0.01,"*",IF(O60&gt;0.001,"**","***")))</f>
        <v>***</v>
      </c>
      <c r="P61" s="77" t="str">
        <f>IF(P60&gt;0.05,"NS",IF(P60&gt;0.01,"*",IF(P60&gt;0.001,"**","***")))</f>
        <v>*</v>
      </c>
      <c r="Q61" s="77" t="str">
        <f t="shared" ref="Q61" si="57">IF(Q60&gt;0.05,"NS",IF(Q60&gt;0.01,"*",IF(Q60&gt;0.001,"**","***")))</f>
        <v>***</v>
      </c>
      <c r="R61" s="77" t="str">
        <f t="shared" ref="R61" si="58">IF(R60&gt;0.05,"NS",IF(R60&gt;0.01,"*",IF(R60&gt;0.001,"**","***")))</f>
        <v>NS</v>
      </c>
      <c r="S61" s="77" t="str">
        <f t="shared" ref="S61" si="59">IF(S60&gt;0.05,"NS",IF(S60&gt;0.01,"*",IF(S60&gt;0.001,"**","***")))</f>
        <v>NS</v>
      </c>
      <c r="T61" s="77" t="str">
        <f t="shared" ref="T61" si="60">IF(T60&gt;0.05,"NS",IF(T60&gt;0.01,"*",IF(T60&gt;0.001,"**","***")))</f>
        <v>NS</v>
      </c>
      <c r="U61" s="77" t="str">
        <f t="shared" ref="U61" si="61">IF(U60&gt;0.05,"NS",IF(U60&gt;0.01,"*",IF(U60&gt;0.001,"**","***")))</f>
        <v>NS</v>
      </c>
      <c r="V61" s="77" t="str">
        <f t="shared" ref="V61" si="62">IF(V60&gt;0.05,"NS",IF(V60&gt;0.01,"*",IF(V60&gt;0.001,"**","***")))</f>
        <v>NS</v>
      </c>
    </row>
    <row r="63" spans="1:22" x14ac:dyDescent="0.25">
      <c r="A63" s="2"/>
    </row>
    <row r="66" spans="1:22" ht="15.75" thickBot="1" x14ac:dyDescent="0.3"/>
    <row r="67" spans="1:22" s="1" customFormat="1" ht="27" thickBot="1" x14ac:dyDescent="0.45">
      <c r="A67" s="135"/>
      <c r="B67" s="136"/>
      <c r="C67" s="136"/>
      <c r="D67" s="136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</row>
    <row r="68" spans="1:22" ht="16.5" x14ac:dyDescent="0.25">
      <c r="A68" s="11"/>
      <c r="B68" s="11"/>
      <c r="C68" s="11"/>
      <c r="D68" s="11"/>
      <c r="E68" s="11"/>
      <c r="F68" s="11"/>
      <c r="N68" s="11"/>
      <c r="O68" s="11"/>
      <c r="P68" s="11"/>
      <c r="Q68" s="11"/>
      <c r="R68" s="11"/>
      <c r="S68" s="11"/>
      <c r="T68" s="11"/>
      <c r="U68" s="11"/>
      <c r="V68" s="11"/>
    </row>
    <row r="69" spans="1:22" ht="16.5" x14ac:dyDescent="0.25">
      <c r="A69" s="11"/>
      <c r="B69" s="11"/>
      <c r="C69" s="11"/>
      <c r="D69" s="11"/>
      <c r="E69" s="11"/>
      <c r="F69" s="11"/>
      <c r="N69" s="11"/>
      <c r="O69" s="11"/>
      <c r="P69" s="11"/>
      <c r="Q69" s="11"/>
      <c r="R69" s="11"/>
      <c r="S69" s="11"/>
      <c r="T69" s="11"/>
      <c r="U69" s="11"/>
      <c r="V69" s="11"/>
    </row>
    <row r="70" spans="1:22" ht="16.5" x14ac:dyDescent="0.25">
      <c r="A70" s="11"/>
      <c r="B70" s="11"/>
      <c r="C70" s="11"/>
      <c r="D70" s="11"/>
      <c r="E70" s="11"/>
      <c r="F70" s="11"/>
      <c r="N70" s="11"/>
      <c r="O70" s="11"/>
      <c r="P70" s="11"/>
      <c r="Q70" s="11"/>
      <c r="R70" s="11"/>
      <c r="S70" s="11"/>
      <c r="T70" s="11"/>
      <c r="U70" s="11"/>
      <c r="V70" s="11"/>
    </row>
    <row r="71" spans="1:22" ht="16.5" x14ac:dyDescent="0.25">
      <c r="A71" s="11"/>
      <c r="B71" s="11"/>
      <c r="C71" s="11"/>
      <c r="D71" s="11"/>
      <c r="E71" s="11"/>
      <c r="F71" s="11"/>
      <c r="N71" s="11"/>
      <c r="O71" s="11"/>
      <c r="P71" s="11"/>
      <c r="Q71" s="11"/>
      <c r="R71" s="11"/>
      <c r="S71" s="11"/>
      <c r="T71" s="11"/>
      <c r="U71" s="11"/>
      <c r="V71" s="11"/>
    </row>
    <row r="72" spans="1:22" ht="16.5" x14ac:dyDescent="0.25">
      <c r="A72" s="11"/>
      <c r="B72" s="11"/>
      <c r="C72" s="11"/>
      <c r="D72" s="11"/>
      <c r="E72" s="11"/>
      <c r="F72" s="11"/>
      <c r="N72" s="11"/>
      <c r="O72" s="11"/>
      <c r="P72" s="11"/>
      <c r="Q72" s="11"/>
      <c r="R72" s="11"/>
      <c r="S72" s="11"/>
      <c r="T72" s="11"/>
      <c r="U72" s="11"/>
      <c r="V72" s="11"/>
    </row>
    <row r="73" spans="1:22" ht="16.5" x14ac:dyDescent="0.25">
      <c r="A73" s="11"/>
      <c r="B73" s="11"/>
      <c r="C73" s="11"/>
      <c r="D73" s="11"/>
      <c r="E73" s="11"/>
      <c r="F73" s="11"/>
      <c r="N73" s="11"/>
      <c r="O73" s="11"/>
      <c r="P73" s="11"/>
      <c r="Q73" s="11"/>
      <c r="R73" s="11"/>
      <c r="S73" s="11"/>
      <c r="T73" s="11"/>
      <c r="U73" s="11"/>
      <c r="V73" s="11"/>
    </row>
    <row r="74" spans="1:22" ht="16.5" x14ac:dyDescent="0.25">
      <c r="A74" s="11"/>
      <c r="B74" s="11"/>
      <c r="C74" s="11"/>
      <c r="D74" s="11"/>
      <c r="E74" s="11"/>
      <c r="F74" s="11"/>
      <c r="N74" s="11"/>
      <c r="O74" s="11"/>
      <c r="P74" s="11"/>
      <c r="Q74" s="11"/>
      <c r="R74" s="11"/>
      <c r="S74" s="11"/>
      <c r="T74" s="11"/>
      <c r="U74" s="11"/>
      <c r="V74" s="11"/>
    </row>
  </sheetData>
  <protectedRanges>
    <protectedRange sqref="O51:V51" name="Plage2"/>
    <protectedRange sqref="R21:V21" name="Plage1"/>
    <protectedRange sqref="B51:J51" name="Plage2_1"/>
    <protectedRange sqref="B13:J21 O21" name="Plage1_1"/>
    <protectedRange sqref="J5:J12" name="Plage1_1_2"/>
    <protectedRange sqref="I5:I12" name="Plage1_1_1_1"/>
    <protectedRange sqref="B5:H12" name="Plage1_1_2_1"/>
    <protectedRange sqref="R5:V20" name="Plage1_2"/>
    <protectedRange sqref="O5:O20" name="Plage1_1_3"/>
  </protectedRanges>
  <mergeCells count="9">
    <mergeCell ref="A1:V1"/>
    <mergeCell ref="A67:V67"/>
    <mergeCell ref="A50:V50"/>
    <mergeCell ref="A5:A20"/>
    <mergeCell ref="A28:A43"/>
    <mergeCell ref="B3:M3"/>
    <mergeCell ref="B26:M26"/>
    <mergeCell ref="O26:V26"/>
    <mergeCell ref="O3:V3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74"/>
  <sheetViews>
    <sheetView showGridLines="0" topLeftCell="L1" zoomScale="70" zoomScaleNormal="70" zoomScaleSheetLayoutView="40" zoomScalePageLayoutView="30" workbookViewId="0">
      <selection activeCell="O5" sqref="O5:Q21"/>
    </sheetView>
  </sheetViews>
  <sheetFormatPr defaultColWidth="9.140625" defaultRowHeight="15" x14ac:dyDescent="0.25"/>
  <cols>
    <col min="1" max="1" width="33.5703125" style="1" customWidth="1"/>
    <col min="2" max="2" width="14.85546875" style="1" customWidth="1"/>
    <col min="3" max="5" width="25.85546875" style="1" bestFit="1" customWidth="1"/>
    <col min="6" max="8" width="26.42578125" style="1" bestFit="1" customWidth="1"/>
    <col min="9" max="9" width="26.42578125" style="1" customWidth="1"/>
    <col min="10" max="10" width="25.85546875" style="1" bestFit="1" customWidth="1"/>
    <col min="11" max="11" width="26.42578125" style="1" bestFit="1" customWidth="1"/>
    <col min="12" max="13" width="26.42578125" style="1" customWidth="1"/>
    <col min="14" max="14" width="11.7109375" style="1" customWidth="1"/>
    <col min="15" max="15" width="14.85546875" style="1" customWidth="1"/>
    <col min="16" max="16" width="17.7109375" style="1" customWidth="1"/>
    <col min="17" max="18" width="25.85546875" style="1" bestFit="1" customWidth="1"/>
    <col min="19" max="22" width="25.85546875" style="1" customWidth="1"/>
    <col min="23" max="16384" width="9.140625" style="1"/>
  </cols>
  <sheetData>
    <row r="1" spans="1:22" ht="27" thickBot="1" x14ac:dyDescent="0.45">
      <c r="A1" s="133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</row>
    <row r="2" spans="1:22" customFormat="1" ht="15.75" thickBot="1" x14ac:dyDescent="0.3"/>
    <row r="3" spans="1:22" ht="15.75" thickBot="1" x14ac:dyDescent="0.3">
      <c r="A3" s="82" t="s">
        <v>6</v>
      </c>
      <c r="B3" s="141" t="s">
        <v>41</v>
      </c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O3" s="141" t="s">
        <v>42</v>
      </c>
      <c r="P3" s="142"/>
      <c r="Q3" s="142"/>
      <c r="R3" s="142"/>
      <c r="S3" s="142"/>
      <c r="T3" s="142"/>
      <c r="U3" s="142"/>
      <c r="V3" s="142"/>
    </row>
    <row r="4" spans="1:22" x14ac:dyDescent="0.25">
      <c r="A4" s="18" t="s">
        <v>36</v>
      </c>
      <c r="B4" s="19" t="str">
        <f>'Front page'!A7</f>
        <v>Solvent control</v>
      </c>
      <c r="C4" s="19" t="str">
        <f>'Front page'!A8</f>
        <v>EE2-33.8ng/L</v>
      </c>
      <c r="D4" s="19" t="str">
        <f>'Front page'!A9</f>
        <v>EE2-50.6ng/L</v>
      </c>
      <c r="E4" s="19" t="str">
        <f>'Front page'!A10</f>
        <v>EE2-76ng/L</v>
      </c>
      <c r="F4" s="19" t="str">
        <f>'Front page'!A11</f>
        <v>EE2-114ng/L</v>
      </c>
      <c r="G4" s="19" t="str">
        <f>'Front page'!A12</f>
        <v>EE2-170.9ng/L</v>
      </c>
      <c r="H4" s="19" t="str">
        <f>'Front page'!A13</f>
        <v>EE2-488ng/L</v>
      </c>
      <c r="I4" s="19" t="str">
        <f>'Front page'!A14</f>
        <v>Chromolyn-0.1µg/L</v>
      </c>
      <c r="J4" s="19" t="str">
        <f>'Front page'!A15</f>
        <v>Chromolyn-1µg/L</v>
      </c>
      <c r="K4" s="19" t="str">
        <f>'Front page'!A16</f>
        <v>Chromolyn-10µg/L</v>
      </c>
      <c r="L4" s="19" t="str">
        <f>'Front page'!A17</f>
        <v>Chromolyn-100µg/L</v>
      </c>
      <c r="M4" s="19" t="str">
        <f>'Front page'!A18</f>
        <v>Chromolyn-1000µg/L</v>
      </c>
      <c r="N4" s="3"/>
      <c r="O4" s="20" t="str">
        <f>'Front page'!A35</f>
        <v>Testo -30µg/L</v>
      </c>
      <c r="P4" s="20" t="str">
        <f>'Front page'!A36</f>
        <v>Testo 30µg/L + EE2 -64ng/L</v>
      </c>
      <c r="Q4" s="20" t="str">
        <f>'Front page'!A37</f>
        <v>Testo 30µg/L + FAD-10mg/L</v>
      </c>
      <c r="R4" s="20" t="str">
        <f>'Front page'!A38</f>
        <v>Chromolyn-0.1µg/L + Testostérone</v>
      </c>
      <c r="S4" s="20" t="str">
        <f>'Front page'!A39</f>
        <v>Chromolyn-1µg/L + Testostérone</v>
      </c>
      <c r="T4" s="20" t="str">
        <f>'Front page'!A40</f>
        <v>Chromolyn-10µg/L + Testostérone</v>
      </c>
      <c r="U4" s="20" t="str">
        <f>'Front page'!A41</f>
        <v>Chromolyn-100µg/L + Testostérone</v>
      </c>
      <c r="V4" s="20" t="str">
        <f>'Front page'!A42</f>
        <v>Chromolyn-1000µg/L + Testostérone</v>
      </c>
    </row>
    <row r="5" spans="1:22" x14ac:dyDescent="0.25">
      <c r="A5" s="137" t="s">
        <v>34</v>
      </c>
      <c r="B5" s="16">
        <v>0</v>
      </c>
      <c r="C5" s="16">
        <v>412</v>
      </c>
      <c r="D5" s="16">
        <v>0</v>
      </c>
      <c r="E5" s="16">
        <v>240</v>
      </c>
      <c r="F5" s="16">
        <v>574</v>
      </c>
      <c r="G5" s="16">
        <v>49042</v>
      </c>
      <c r="H5" s="16">
        <v>316725</v>
      </c>
      <c r="I5" s="16">
        <v>85</v>
      </c>
      <c r="J5" s="16">
        <v>881</v>
      </c>
      <c r="K5" s="12">
        <v>0</v>
      </c>
      <c r="L5" s="12">
        <v>0</v>
      </c>
      <c r="M5" s="12">
        <v>0</v>
      </c>
      <c r="N5" s="3"/>
      <c r="O5" s="16">
        <v>47300</v>
      </c>
      <c r="P5" s="12">
        <v>120135</v>
      </c>
      <c r="Q5" s="12">
        <v>163</v>
      </c>
      <c r="R5" s="16">
        <v>102044</v>
      </c>
      <c r="S5" s="16">
        <v>55360</v>
      </c>
      <c r="T5" s="16">
        <v>94753</v>
      </c>
      <c r="U5" s="16">
        <v>121846</v>
      </c>
      <c r="V5" s="16">
        <v>4425</v>
      </c>
    </row>
    <row r="6" spans="1:22" ht="16.5" x14ac:dyDescent="0.25">
      <c r="A6" s="138"/>
      <c r="B6" s="13">
        <v>0</v>
      </c>
      <c r="C6" s="12">
        <v>0</v>
      </c>
      <c r="D6" s="16">
        <v>0</v>
      </c>
      <c r="E6" s="16">
        <v>0</v>
      </c>
      <c r="F6" s="16">
        <v>147643</v>
      </c>
      <c r="G6" s="16">
        <v>187620</v>
      </c>
      <c r="H6" s="16">
        <v>228388</v>
      </c>
      <c r="I6" s="16">
        <v>0</v>
      </c>
      <c r="J6" s="16">
        <v>0</v>
      </c>
      <c r="K6" s="12">
        <v>0</v>
      </c>
      <c r="L6" s="12">
        <v>0</v>
      </c>
      <c r="M6" s="12">
        <v>0</v>
      </c>
      <c r="N6" s="3"/>
      <c r="O6" s="16">
        <v>133172</v>
      </c>
      <c r="P6" s="12">
        <v>201927</v>
      </c>
      <c r="Q6" s="12">
        <v>0</v>
      </c>
      <c r="R6" s="16">
        <v>96899</v>
      </c>
      <c r="S6" s="16">
        <v>169199</v>
      </c>
      <c r="T6" s="16">
        <v>12042</v>
      </c>
      <c r="U6" s="16">
        <v>104474</v>
      </c>
      <c r="V6" s="16">
        <v>20140</v>
      </c>
    </row>
    <row r="7" spans="1:22" ht="16.5" x14ac:dyDescent="0.25">
      <c r="A7" s="138"/>
      <c r="B7" s="13">
        <v>0</v>
      </c>
      <c r="C7" s="12">
        <v>0</v>
      </c>
      <c r="D7" s="16">
        <v>3251</v>
      </c>
      <c r="E7" s="16">
        <v>80</v>
      </c>
      <c r="F7" s="16">
        <v>0</v>
      </c>
      <c r="G7" s="16">
        <v>234509</v>
      </c>
      <c r="H7" s="16">
        <v>50593</v>
      </c>
      <c r="I7" s="16">
        <v>0</v>
      </c>
      <c r="J7" s="16">
        <v>0</v>
      </c>
      <c r="K7" s="12">
        <v>0</v>
      </c>
      <c r="L7" s="12">
        <v>0</v>
      </c>
      <c r="M7" s="12">
        <v>0</v>
      </c>
      <c r="N7" s="3"/>
      <c r="O7" s="16">
        <v>82577</v>
      </c>
      <c r="P7" s="12">
        <v>184295</v>
      </c>
      <c r="Q7" s="12">
        <v>5491</v>
      </c>
      <c r="R7" s="16">
        <v>36588</v>
      </c>
      <c r="S7" s="16">
        <v>38605</v>
      </c>
      <c r="T7" s="16">
        <v>1290</v>
      </c>
      <c r="U7" s="16">
        <v>73498</v>
      </c>
      <c r="V7" s="16">
        <v>0</v>
      </c>
    </row>
    <row r="8" spans="1:22" ht="16.5" x14ac:dyDescent="0.25">
      <c r="A8" s="138"/>
      <c r="B8" s="13">
        <v>0</v>
      </c>
      <c r="C8" s="12">
        <v>163</v>
      </c>
      <c r="D8" s="16">
        <v>0</v>
      </c>
      <c r="E8" s="16">
        <v>172872</v>
      </c>
      <c r="F8" s="16">
        <v>21014</v>
      </c>
      <c r="G8" s="16">
        <v>208582</v>
      </c>
      <c r="H8" s="16">
        <v>288909</v>
      </c>
      <c r="I8" s="16">
        <v>490</v>
      </c>
      <c r="J8" s="16">
        <v>179</v>
      </c>
      <c r="K8" s="12">
        <v>0</v>
      </c>
      <c r="L8" s="12">
        <v>0</v>
      </c>
      <c r="M8" s="12">
        <v>0</v>
      </c>
      <c r="N8" s="3"/>
      <c r="O8" s="16">
        <v>147545</v>
      </c>
      <c r="P8" s="12">
        <v>197921</v>
      </c>
      <c r="Q8" s="12">
        <v>4190</v>
      </c>
      <c r="R8" s="16">
        <v>39723</v>
      </c>
      <c r="S8" s="16">
        <v>20455</v>
      </c>
      <c r="T8" s="16">
        <v>150489</v>
      </c>
      <c r="U8" s="16">
        <v>12821</v>
      </c>
      <c r="V8" s="16">
        <v>244</v>
      </c>
    </row>
    <row r="9" spans="1:22" ht="16.5" x14ac:dyDescent="0.25">
      <c r="A9" s="138"/>
      <c r="B9" s="13">
        <v>0</v>
      </c>
      <c r="C9" s="12">
        <v>0</v>
      </c>
      <c r="D9" s="16">
        <v>0</v>
      </c>
      <c r="E9" s="16">
        <v>0</v>
      </c>
      <c r="F9" s="16">
        <v>88180</v>
      </c>
      <c r="G9" s="16">
        <v>178873</v>
      </c>
      <c r="H9" s="16">
        <v>251307</v>
      </c>
      <c r="I9" s="16">
        <v>0</v>
      </c>
      <c r="J9" s="16">
        <v>0</v>
      </c>
      <c r="K9" s="12">
        <v>86</v>
      </c>
      <c r="L9" s="12">
        <v>0</v>
      </c>
      <c r="M9" s="12">
        <v>0</v>
      </c>
      <c r="N9" s="3"/>
      <c r="O9" s="16">
        <v>81914</v>
      </c>
      <c r="P9" s="12">
        <v>107180</v>
      </c>
      <c r="Q9" s="12">
        <v>0</v>
      </c>
      <c r="R9" s="16">
        <v>169710</v>
      </c>
      <c r="S9" s="16">
        <v>178903</v>
      </c>
      <c r="T9" s="16">
        <v>66443</v>
      </c>
      <c r="U9" s="16">
        <v>177556</v>
      </c>
      <c r="V9" s="16">
        <v>119153</v>
      </c>
    </row>
    <row r="10" spans="1:22" ht="16.5" x14ac:dyDescent="0.25">
      <c r="A10" s="138"/>
      <c r="B10" s="13">
        <v>0</v>
      </c>
      <c r="C10" s="12">
        <v>0</v>
      </c>
      <c r="D10" s="16">
        <v>162</v>
      </c>
      <c r="E10" s="16">
        <v>0</v>
      </c>
      <c r="F10" s="16">
        <v>140995</v>
      </c>
      <c r="G10" s="16">
        <v>247182</v>
      </c>
      <c r="H10" s="16">
        <v>309778</v>
      </c>
      <c r="I10" s="16">
        <v>1575</v>
      </c>
      <c r="J10" s="16">
        <v>0</v>
      </c>
      <c r="K10" s="12">
        <v>14181</v>
      </c>
      <c r="L10" s="12">
        <v>0</v>
      </c>
      <c r="M10" s="12">
        <v>0</v>
      </c>
      <c r="N10" s="3"/>
      <c r="O10" s="16">
        <v>107928</v>
      </c>
      <c r="P10" s="12">
        <v>192833</v>
      </c>
      <c r="Q10" s="12">
        <v>0</v>
      </c>
      <c r="R10" s="16">
        <v>142217</v>
      </c>
      <c r="S10" s="16">
        <v>12830</v>
      </c>
      <c r="T10" s="16">
        <v>150755</v>
      </c>
      <c r="U10" s="16">
        <v>108864</v>
      </c>
      <c r="V10" s="16">
        <v>7467</v>
      </c>
    </row>
    <row r="11" spans="1:22" ht="16.5" x14ac:dyDescent="0.25">
      <c r="A11" s="138"/>
      <c r="B11" s="13">
        <v>0</v>
      </c>
      <c r="C11" s="12">
        <v>0</v>
      </c>
      <c r="D11" s="16">
        <v>80</v>
      </c>
      <c r="E11" s="16">
        <v>0</v>
      </c>
      <c r="F11" s="16">
        <v>122114</v>
      </c>
      <c r="G11" s="16">
        <v>52136</v>
      </c>
      <c r="H11" s="16">
        <v>287905</v>
      </c>
      <c r="I11" s="16">
        <v>0</v>
      </c>
      <c r="J11" s="16">
        <v>0</v>
      </c>
      <c r="K11" s="12">
        <v>1214</v>
      </c>
      <c r="L11" s="12">
        <v>0</v>
      </c>
      <c r="M11" s="12">
        <v>0</v>
      </c>
      <c r="N11" s="3"/>
      <c r="O11" s="16">
        <v>93964</v>
      </c>
      <c r="P11" s="12">
        <v>232079</v>
      </c>
      <c r="Q11" s="12">
        <v>0</v>
      </c>
      <c r="R11" s="16">
        <v>82806</v>
      </c>
      <c r="S11" s="16">
        <v>1712</v>
      </c>
      <c r="T11" s="16">
        <v>83195</v>
      </c>
      <c r="U11" s="16">
        <v>154822</v>
      </c>
      <c r="V11" s="16">
        <v>176404</v>
      </c>
    </row>
    <row r="12" spans="1:22" ht="16.5" x14ac:dyDescent="0.25">
      <c r="A12" s="138"/>
      <c r="B12" s="13">
        <v>0</v>
      </c>
      <c r="C12" s="12">
        <v>0</v>
      </c>
      <c r="D12" s="16">
        <v>0</v>
      </c>
      <c r="E12" s="16">
        <v>0</v>
      </c>
      <c r="F12" s="16"/>
      <c r="G12" s="16">
        <v>262260</v>
      </c>
      <c r="H12" s="16">
        <v>258863</v>
      </c>
      <c r="I12" s="16">
        <v>0</v>
      </c>
      <c r="J12" s="16">
        <v>0</v>
      </c>
      <c r="K12" s="12">
        <v>0</v>
      </c>
      <c r="L12" s="12">
        <v>160</v>
      </c>
      <c r="M12" s="12">
        <v>0</v>
      </c>
      <c r="N12" s="3"/>
      <c r="O12" s="16">
        <v>66465</v>
      </c>
      <c r="P12" s="12">
        <v>83977</v>
      </c>
      <c r="Q12" s="12">
        <v>0</v>
      </c>
      <c r="R12" s="16">
        <v>5615</v>
      </c>
      <c r="S12" s="16">
        <v>0</v>
      </c>
      <c r="T12" s="16">
        <v>166691</v>
      </c>
      <c r="U12" s="16">
        <v>1450</v>
      </c>
      <c r="V12" s="16">
        <v>3248</v>
      </c>
    </row>
    <row r="13" spans="1:22" ht="16.5" x14ac:dyDescent="0.25">
      <c r="A13" s="138"/>
      <c r="B13" s="13"/>
      <c r="C13" s="12"/>
      <c r="D13" s="16"/>
      <c r="E13" s="16"/>
      <c r="F13" s="16"/>
      <c r="G13" s="16"/>
      <c r="H13" s="16"/>
      <c r="I13" s="16"/>
      <c r="J13" s="16"/>
      <c r="K13" s="12"/>
      <c r="L13" s="12"/>
      <c r="M13" s="12"/>
      <c r="N13" s="3"/>
      <c r="O13" s="16">
        <v>117910</v>
      </c>
      <c r="P13" s="12"/>
      <c r="Q13" s="12"/>
      <c r="R13" s="16"/>
      <c r="S13" s="16"/>
      <c r="T13" s="16"/>
      <c r="U13" s="16"/>
      <c r="V13" s="16"/>
    </row>
    <row r="14" spans="1:22" ht="16.5" x14ac:dyDescent="0.25">
      <c r="A14" s="138"/>
      <c r="B14" s="13"/>
      <c r="C14" s="16"/>
      <c r="D14" s="16"/>
      <c r="E14" s="16"/>
      <c r="F14" s="16"/>
      <c r="G14" s="16"/>
      <c r="H14" s="16"/>
      <c r="I14" s="16"/>
      <c r="J14" s="16"/>
      <c r="K14" s="12"/>
      <c r="L14" s="12"/>
      <c r="M14" s="12"/>
      <c r="N14" s="3"/>
      <c r="O14" s="16">
        <v>140043</v>
      </c>
      <c r="P14" s="12"/>
      <c r="Q14" s="12"/>
      <c r="R14" s="16"/>
      <c r="S14" s="16"/>
      <c r="T14" s="16"/>
      <c r="U14" s="16"/>
      <c r="V14" s="16"/>
    </row>
    <row r="15" spans="1:22" ht="16.5" x14ac:dyDescent="0.25">
      <c r="A15" s="138"/>
      <c r="B15" s="13"/>
      <c r="C15" s="16"/>
      <c r="D15" s="16"/>
      <c r="E15" s="16"/>
      <c r="F15" s="16"/>
      <c r="G15" s="16"/>
      <c r="H15" s="16"/>
      <c r="I15" s="16"/>
      <c r="J15" s="16"/>
      <c r="K15" s="12"/>
      <c r="L15" s="12"/>
      <c r="M15" s="12"/>
      <c r="N15" s="3"/>
      <c r="O15" s="16">
        <v>128382</v>
      </c>
      <c r="P15" s="12"/>
      <c r="Q15" s="12"/>
      <c r="R15" s="16"/>
      <c r="S15" s="16"/>
      <c r="T15" s="16"/>
      <c r="U15" s="16"/>
      <c r="V15" s="16"/>
    </row>
    <row r="16" spans="1:22" ht="16.5" x14ac:dyDescent="0.25">
      <c r="A16" s="138"/>
      <c r="B16" s="13"/>
      <c r="C16" s="16"/>
      <c r="D16" s="16"/>
      <c r="E16" s="16"/>
      <c r="F16" s="16"/>
      <c r="G16" s="16"/>
      <c r="H16" s="16"/>
      <c r="I16" s="16"/>
      <c r="J16" s="16"/>
      <c r="K16" s="12"/>
      <c r="L16" s="12"/>
      <c r="M16" s="12"/>
      <c r="N16" s="3"/>
      <c r="O16" s="16">
        <v>80736</v>
      </c>
      <c r="P16" s="12"/>
      <c r="Q16" s="12"/>
      <c r="R16" s="16"/>
      <c r="S16" s="16"/>
      <c r="T16" s="16"/>
      <c r="U16" s="16"/>
      <c r="V16" s="16"/>
    </row>
    <row r="17" spans="1:22" ht="16.5" x14ac:dyDescent="0.25">
      <c r="A17" s="138"/>
      <c r="B17" s="13"/>
      <c r="C17" s="16"/>
      <c r="D17" s="16"/>
      <c r="E17" s="16"/>
      <c r="F17" s="16"/>
      <c r="G17" s="16"/>
      <c r="H17" s="16"/>
      <c r="I17" s="16"/>
      <c r="J17" s="16"/>
      <c r="K17" s="12"/>
      <c r="L17" s="12"/>
      <c r="M17" s="12"/>
      <c r="N17" s="3"/>
      <c r="O17" s="16">
        <v>130331</v>
      </c>
      <c r="P17" s="12"/>
      <c r="Q17" s="12"/>
      <c r="R17" s="16"/>
      <c r="S17" s="16"/>
      <c r="T17" s="16"/>
      <c r="U17" s="16"/>
      <c r="V17" s="16"/>
    </row>
    <row r="18" spans="1:22" ht="16.5" x14ac:dyDescent="0.25">
      <c r="A18" s="138"/>
      <c r="B18" s="13"/>
      <c r="C18" s="16"/>
      <c r="D18" s="16"/>
      <c r="E18" s="16"/>
      <c r="F18" s="16"/>
      <c r="G18" s="16"/>
      <c r="H18" s="16"/>
      <c r="I18" s="16"/>
      <c r="J18" s="16"/>
      <c r="K18" s="12"/>
      <c r="L18" s="12"/>
      <c r="M18" s="12"/>
      <c r="N18" s="3"/>
      <c r="O18" s="16">
        <v>32112</v>
      </c>
      <c r="P18" s="12"/>
      <c r="Q18" s="12"/>
      <c r="R18" s="16"/>
      <c r="S18" s="16"/>
      <c r="T18" s="16"/>
      <c r="U18" s="16"/>
      <c r="V18" s="16"/>
    </row>
    <row r="19" spans="1:22" ht="16.5" x14ac:dyDescent="0.25">
      <c r="A19" s="138"/>
      <c r="B19" s="13"/>
      <c r="C19" s="16"/>
      <c r="D19" s="16"/>
      <c r="E19" s="16"/>
      <c r="F19" s="16"/>
      <c r="G19" s="16"/>
      <c r="H19" s="16"/>
      <c r="I19" s="16"/>
      <c r="J19" s="16"/>
      <c r="K19" s="12"/>
      <c r="L19" s="12"/>
      <c r="M19" s="12"/>
      <c r="N19" s="3"/>
      <c r="O19" s="16">
        <v>98243</v>
      </c>
      <c r="P19" s="12"/>
      <c r="Q19" s="12"/>
      <c r="R19" s="16"/>
      <c r="S19" s="16"/>
      <c r="T19" s="16"/>
      <c r="U19" s="16"/>
      <c r="V19" s="16"/>
    </row>
    <row r="20" spans="1:22" ht="16.5" x14ac:dyDescent="0.25">
      <c r="A20" s="138"/>
      <c r="B20" s="13"/>
      <c r="C20" s="16"/>
      <c r="D20" s="16"/>
      <c r="E20" s="16"/>
      <c r="F20" s="16"/>
      <c r="G20" s="16"/>
      <c r="H20" s="16"/>
      <c r="I20" s="16"/>
      <c r="J20" s="16"/>
      <c r="K20" s="12"/>
      <c r="L20" s="12"/>
      <c r="M20" s="12"/>
      <c r="N20" s="3"/>
      <c r="O20" s="16">
        <v>7034</v>
      </c>
      <c r="P20" s="12"/>
      <c r="Q20" s="12"/>
      <c r="R20" s="16"/>
      <c r="S20" s="16"/>
      <c r="T20" s="16"/>
      <c r="U20" s="16"/>
      <c r="V20" s="16"/>
    </row>
    <row r="21" spans="1:22" x14ac:dyDescent="0.25">
      <c r="A21" s="48"/>
      <c r="B21" s="6"/>
      <c r="C21" s="6"/>
      <c r="D21" s="6"/>
      <c r="E21" s="6"/>
      <c r="F21" s="6"/>
      <c r="G21" s="6"/>
      <c r="H21" s="6"/>
      <c r="I21" s="6"/>
      <c r="J21" s="6"/>
      <c r="N21" s="3"/>
      <c r="O21" s="6"/>
      <c r="R21" s="6"/>
      <c r="S21" s="6"/>
      <c r="T21" s="6"/>
      <c r="U21" s="6"/>
      <c r="V21" s="6"/>
    </row>
    <row r="22" spans="1:22" x14ac:dyDescent="0.25">
      <c r="A22" s="50" t="str">
        <f t="shared" ref="A22" si="0">A4</f>
        <v>Group names</v>
      </c>
      <c r="B22" s="3" t="str">
        <f t="shared" ref="B22:V22" si="1">B4</f>
        <v>Solvent control</v>
      </c>
      <c r="C22" s="3" t="str">
        <f t="shared" si="1"/>
        <v>EE2-33.8ng/L</v>
      </c>
      <c r="D22" s="3" t="str">
        <f t="shared" si="1"/>
        <v>EE2-50.6ng/L</v>
      </c>
      <c r="E22" s="3" t="str">
        <f t="shared" si="1"/>
        <v>EE2-76ng/L</v>
      </c>
      <c r="F22" s="3" t="str">
        <f t="shared" si="1"/>
        <v>EE2-114ng/L</v>
      </c>
      <c r="G22" s="3" t="str">
        <f t="shared" si="1"/>
        <v>EE2-170.9ng/L</v>
      </c>
      <c r="H22" s="3" t="str">
        <f t="shared" si="1"/>
        <v>EE2-488ng/L</v>
      </c>
      <c r="I22" s="3" t="str">
        <f t="shared" si="1"/>
        <v>Chromolyn-0.1µg/L</v>
      </c>
      <c r="J22" s="3" t="str">
        <f t="shared" si="1"/>
        <v>Chromolyn-1µg/L</v>
      </c>
      <c r="K22" s="3" t="str">
        <f t="shared" si="1"/>
        <v>Chromolyn-10µg/L</v>
      </c>
      <c r="L22" s="3" t="str">
        <f t="shared" si="1"/>
        <v>Chromolyn-100µg/L</v>
      </c>
      <c r="M22" s="3" t="str">
        <f t="shared" si="1"/>
        <v>Chromolyn-1000µg/L</v>
      </c>
      <c r="N22" s="3" t="s">
        <v>11</v>
      </c>
      <c r="O22" s="3" t="str">
        <f t="shared" si="1"/>
        <v>Testo -30µg/L</v>
      </c>
      <c r="P22" s="3" t="str">
        <f t="shared" si="1"/>
        <v>Testo 30µg/L + EE2 -64ng/L</v>
      </c>
      <c r="Q22" s="3" t="str">
        <f t="shared" si="1"/>
        <v>Testo 30µg/L + FAD-10mg/L</v>
      </c>
      <c r="R22" s="3" t="str">
        <f t="shared" si="1"/>
        <v>Chromolyn-0.1µg/L + Testostérone</v>
      </c>
      <c r="S22" s="3" t="str">
        <f t="shared" si="1"/>
        <v>Chromolyn-1µg/L + Testostérone</v>
      </c>
      <c r="T22" s="3" t="str">
        <f t="shared" si="1"/>
        <v>Chromolyn-10µg/L + Testostérone</v>
      </c>
      <c r="U22" s="3" t="str">
        <f t="shared" si="1"/>
        <v>Chromolyn-100µg/L + Testostérone</v>
      </c>
      <c r="V22" s="3" t="str">
        <f t="shared" si="1"/>
        <v>Chromolyn-1000µg/L + Testostérone</v>
      </c>
    </row>
    <row r="23" spans="1:22" x14ac:dyDescent="0.25">
      <c r="A23" s="4" t="s">
        <v>0</v>
      </c>
      <c r="B23" s="4">
        <f t="shared" ref="B23:J23" si="2">AVERAGE(B5:B20)</f>
        <v>0</v>
      </c>
      <c r="C23" s="4">
        <f t="shared" si="2"/>
        <v>71.875</v>
      </c>
      <c r="D23" s="4">
        <f t="shared" si="2"/>
        <v>436.625</v>
      </c>
      <c r="E23" s="4">
        <f t="shared" si="2"/>
        <v>21649</v>
      </c>
      <c r="F23" s="4">
        <f t="shared" si="2"/>
        <v>74360</v>
      </c>
      <c r="G23" s="4">
        <f t="shared" si="2"/>
        <v>177525.5</v>
      </c>
      <c r="H23" s="4">
        <f t="shared" si="2"/>
        <v>249058.5</v>
      </c>
      <c r="I23" s="4">
        <f t="shared" si="2"/>
        <v>268.75</v>
      </c>
      <c r="J23" s="4">
        <f t="shared" si="2"/>
        <v>132.5</v>
      </c>
      <c r="K23" s="4"/>
      <c r="L23" s="4">
        <f>AVERAGE(L5:L20)</f>
        <v>20</v>
      </c>
      <c r="M23" s="4"/>
      <c r="N23" s="4" t="s">
        <v>0</v>
      </c>
      <c r="O23" s="4">
        <f>AVERAGE(O5:O20)</f>
        <v>93478.5</v>
      </c>
      <c r="P23" s="4">
        <f>AVERAGE(P5:P20)</f>
        <v>165043.375</v>
      </c>
      <c r="Q23" s="4">
        <f>AVERAGE(Q5:Q20)</f>
        <v>1230.5</v>
      </c>
      <c r="R23" s="4">
        <f>AVERAGE(R5:R20)</f>
        <v>84450.25</v>
      </c>
      <c r="S23" s="4">
        <f>AVERAGE(S5:S20)</f>
        <v>59633</v>
      </c>
      <c r="T23" s="4">
        <f t="shared" ref="T23:V23" si="3">AVERAGE(T5:T20)</f>
        <v>90707.25</v>
      </c>
      <c r="U23" s="4">
        <f t="shared" si="3"/>
        <v>94416.375</v>
      </c>
      <c r="V23" s="4">
        <f t="shared" si="3"/>
        <v>41385.125</v>
      </c>
    </row>
    <row r="24" spans="1:22" x14ac:dyDescent="0.25">
      <c r="A24" s="3" t="s">
        <v>1</v>
      </c>
      <c r="B24" s="3">
        <f t="shared" ref="B24:J24" si="4">STDEV(B5:B20)</f>
        <v>0</v>
      </c>
      <c r="C24" s="3">
        <f t="shared" si="4"/>
        <v>148.79750141911467</v>
      </c>
      <c r="D24" s="3">
        <f t="shared" si="4"/>
        <v>1138.7031392271272</v>
      </c>
      <c r="E24" s="3">
        <f t="shared" si="4"/>
        <v>61103.377012123594</v>
      </c>
      <c r="F24" s="3">
        <f t="shared" si="4"/>
        <v>65956.598535198384</v>
      </c>
      <c r="G24" s="3">
        <f t="shared" si="4"/>
        <v>83304.81045619669</v>
      </c>
      <c r="H24" s="3">
        <f t="shared" si="4"/>
        <v>85590.164695316649</v>
      </c>
      <c r="I24" s="3">
        <f t="shared" si="4"/>
        <v>554.22242827225966</v>
      </c>
      <c r="J24" s="3">
        <f t="shared" si="4"/>
        <v>308.85780362027907</v>
      </c>
      <c r="K24" s="3"/>
      <c r="L24" s="3">
        <f>STDEV(L5:L20)</f>
        <v>56.568542494923804</v>
      </c>
      <c r="M24" s="3"/>
      <c r="N24" s="3" t="s">
        <v>1</v>
      </c>
      <c r="O24" s="3">
        <f>STDEV(O5:O20)</f>
        <v>40486.730436856305</v>
      </c>
      <c r="P24" s="3">
        <f>STDEV(P5:P20)</f>
        <v>53471.878894925423</v>
      </c>
      <c r="Q24" s="3">
        <f>STDEV(Q5:Q20)</f>
        <v>2255.8086291679469</v>
      </c>
      <c r="R24" s="3">
        <f>STDEV(R5:R20)</f>
        <v>55523.168728404336</v>
      </c>
      <c r="S24" s="3">
        <f>STDEV(S5:S20)</f>
        <v>73023.332858164489</v>
      </c>
      <c r="T24" s="3">
        <f t="shared" ref="T24:V24" si="5">STDEV(T5:T20)</f>
        <v>63017.392331119874</v>
      </c>
      <c r="U24" s="3">
        <f t="shared" si="5"/>
        <v>62520.215368282508</v>
      </c>
      <c r="V24" s="3">
        <f t="shared" si="5"/>
        <v>67723.751276654351</v>
      </c>
    </row>
    <row r="25" spans="1:22" ht="15.75" thickBot="1" x14ac:dyDescent="0.3"/>
    <row r="26" spans="1:22" ht="15.75" thickBot="1" x14ac:dyDescent="0.3">
      <c r="B26" s="141" t="s">
        <v>41</v>
      </c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O26" s="141" t="s">
        <v>42</v>
      </c>
      <c r="P26" s="142"/>
      <c r="Q26" s="142"/>
      <c r="R26" s="142"/>
      <c r="S26" s="142"/>
      <c r="T26" s="142"/>
      <c r="U26" s="142"/>
      <c r="V26" s="142"/>
    </row>
    <row r="27" spans="1:22" x14ac:dyDescent="0.25">
      <c r="A27" s="18" t="str">
        <f>A4</f>
        <v>Group names</v>
      </c>
      <c r="B27" s="19" t="str">
        <f>B4</f>
        <v>Solvent control</v>
      </c>
      <c r="C27" s="19" t="str">
        <f t="shared" ref="C27:M27" si="6">C4</f>
        <v>EE2-33.8ng/L</v>
      </c>
      <c r="D27" s="19" t="str">
        <f t="shared" si="6"/>
        <v>EE2-50.6ng/L</v>
      </c>
      <c r="E27" s="19" t="str">
        <f t="shared" si="6"/>
        <v>EE2-76ng/L</v>
      </c>
      <c r="F27" s="19" t="str">
        <f t="shared" si="6"/>
        <v>EE2-114ng/L</v>
      </c>
      <c r="G27" s="19" t="str">
        <f t="shared" si="6"/>
        <v>EE2-170.9ng/L</v>
      </c>
      <c r="H27" s="19" t="str">
        <f t="shared" si="6"/>
        <v>EE2-488ng/L</v>
      </c>
      <c r="I27" s="19" t="str">
        <f t="shared" si="6"/>
        <v>Chromolyn-0.1µg/L</v>
      </c>
      <c r="J27" s="19" t="str">
        <f t="shared" si="6"/>
        <v>Chromolyn-1µg/L</v>
      </c>
      <c r="K27" s="19" t="str">
        <f t="shared" si="6"/>
        <v>Chromolyn-10µg/L</v>
      </c>
      <c r="L27" s="19" t="str">
        <f t="shared" si="6"/>
        <v>Chromolyn-100µg/L</v>
      </c>
      <c r="M27" s="19" t="str">
        <f t="shared" si="6"/>
        <v>Chromolyn-1000µg/L</v>
      </c>
      <c r="N27" s="3"/>
      <c r="O27" s="20" t="str">
        <f>O4</f>
        <v>Testo -30µg/L</v>
      </c>
      <c r="P27" s="20" t="str">
        <f t="shared" ref="P27:R27" si="7">P4</f>
        <v>Testo 30µg/L + EE2 -64ng/L</v>
      </c>
      <c r="Q27" s="20" t="str">
        <f t="shared" si="7"/>
        <v>Testo 30µg/L + FAD-10mg/L</v>
      </c>
      <c r="R27" s="20" t="str">
        <f t="shared" si="7"/>
        <v>Chromolyn-0.1µg/L + Testostérone</v>
      </c>
      <c r="S27" s="20" t="str">
        <f t="shared" ref="S27:V27" si="8">S4</f>
        <v>Chromolyn-1µg/L + Testostérone</v>
      </c>
      <c r="T27" s="20" t="str">
        <f t="shared" si="8"/>
        <v>Chromolyn-10µg/L + Testostérone</v>
      </c>
      <c r="U27" s="20" t="str">
        <f t="shared" si="8"/>
        <v>Chromolyn-100µg/L + Testostérone</v>
      </c>
      <c r="V27" s="20" t="str">
        <f t="shared" si="8"/>
        <v>Chromolyn-1000µg/L + Testostérone</v>
      </c>
    </row>
    <row r="28" spans="1:22" ht="14.45" customHeight="1" x14ac:dyDescent="0.25">
      <c r="A28" s="139" t="s">
        <v>35</v>
      </c>
      <c r="B28" s="10">
        <f t="shared" ref="B28:M28" si="9">IF(B5="","",(B5/$O$23))</f>
        <v>0</v>
      </c>
      <c r="C28" s="10">
        <f t="shared" si="9"/>
        <v>4.4074305856426875E-3</v>
      </c>
      <c r="D28" s="10">
        <f t="shared" si="9"/>
        <v>0</v>
      </c>
      <c r="E28" s="10">
        <f t="shared" si="9"/>
        <v>2.5674352926073909E-3</v>
      </c>
      <c r="F28" s="10">
        <f t="shared" si="9"/>
        <v>6.1404494081526767E-3</v>
      </c>
      <c r="G28" s="10">
        <f t="shared" si="9"/>
        <v>0.52463400675021532</v>
      </c>
      <c r="H28" s="10">
        <f t="shared" si="9"/>
        <v>3.3882122627128162</v>
      </c>
      <c r="I28" s="10">
        <f t="shared" si="9"/>
        <v>9.0929999946511768E-4</v>
      </c>
      <c r="J28" s="10">
        <f t="shared" si="9"/>
        <v>9.4246270532796304E-3</v>
      </c>
      <c r="K28" s="10">
        <f t="shared" si="9"/>
        <v>0</v>
      </c>
      <c r="L28" s="10">
        <f t="shared" si="9"/>
        <v>0</v>
      </c>
      <c r="M28" s="10">
        <f t="shared" si="9"/>
        <v>0</v>
      </c>
      <c r="N28" s="5"/>
      <c r="O28" s="10">
        <f t="shared" ref="O28:S37" si="10">IF(O5="","",(O5/$O$23))</f>
        <v>0.50599870558470661</v>
      </c>
      <c r="P28" s="10">
        <f t="shared" si="10"/>
        <v>1.2851618286557871</v>
      </c>
      <c r="Q28" s="10">
        <f t="shared" si="10"/>
        <v>1.7437164695625197E-3</v>
      </c>
      <c r="R28" s="10">
        <f t="shared" si="10"/>
        <v>1.0916306958284525</v>
      </c>
      <c r="S28" s="10">
        <f t="shared" si="10"/>
        <v>0.59222174082810486</v>
      </c>
      <c r="T28" s="10">
        <f t="shared" ref="T28:V43" si="11">IF(T5="","",(T5/$O$23))</f>
        <v>1.0136341511684506</v>
      </c>
      <c r="U28" s="10">
        <f t="shared" si="11"/>
        <v>1.3034655027626674</v>
      </c>
      <c r="V28" s="10">
        <f t="shared" si="11"/>
        <v>4.7337088207448773E-2</v>
      </c>
    </row>
    <row r="29" spans="1:22" x14ac:dyDescent="0.25">
      <c r="A29" s="140"/>
      <c r="B29" s="10">
        <f t="shared" ref="B29:M29" si="12">IF(B6="","",(B6/$O$23))</f>
        <v>0</v>
      </c>
      <c r="C29" s="10">
        <f t="shared" si="12"/>
        <v>0</v>
      </c>
      <c r="D29" s="10">
        <f t="shared" si="12"/>
        <v>0</v>
      </c>
      <c r="E29" s="10">
        <f t="shared" si="12"/>
        <v>0</v>
      </c>
      <c r="F29" s="10">
        <f t="shared" si="12"/>
        <v>1.5794327037768043</v>
      </c>
      <c r="G29" s="10">
        <f t="shared" si="12"/>
        <v>2.0070925399958277</v>
      </c>
      <c r="H29" s="10">
        <f t="shared" si="12"/>
        <v>2.4432142150334033</v>
      </c>
      <c r="I29" s="10">
        <f t="shared" si="12"/>
        <v>0</v>
      </c>
      <c r="J29" s="10">
        <f t="shared" si="12"/>
        <v>0</v>
      </c>
      <c r="K29" s="10">
        <f t="shared" si="12"/>
        <v>0</v>
      </c>
      <c r="L29" s="10">
        <f t="shared" si="12"/>
        <v>0</v>
      </c>
      <c r="M29" s="10">
        <f t="shared" si="12"/>
        <v>0</v>
      </c>
      <c r="N29" s="5"/>
      <c r="O29" s="10">
        <f t="shared" si="10"/>
        <v>1.4246270532796312</v>
      </c>
      <c r="P29" s="10">
        <f t="shared" si="10"/>
        <v>2.160143776376386</v>
      </c>
      <c r="Q29" s="10">
        <f t="shared" si="10"/>
        <v>0</v>
      </c>
      <c r="R29" s="10">
        <f t="shared" si="10"/>
        <v>1.0365913017431816</v>
      </c>
      <c r="S29" s="10">
        <f t="shared" si="10"/>
        <v>1.8100311836411582</v>
      </c>
      <c r="T29" s="10">
        <f t="shared" si="11"/>
        <v>0.12882106580657585</v>
      </c>
      <c r="U29" s="10">
        <f t="shared" si="11"/>
        <v>1.1176259781661024</v>
      </c>
      <c r="V29" s="10">
        <f t="shared" si="11"/>
        <v>0.21545061163797022</v>
      </c>
    </row>
    <row r="30" spans="1:22" x14ac:dyDescent="0.25">
      <c r="A30" s="140"/>
      <c r="B30" s="10">
        <f t="shared" ref="B30:M30" si="13">IF(B7="","",(B7/$O$23))</f>
        <v>0</v>
      </c>
      <c r="C30" s="10">
        <f t="shared" si="13"/>
        <v>0</v>
      </c>
      <c r="D30" s="10">
        <f t="shared" si="13"/>
        <v>3.4778050567777614E-2</v>
      </c>
      <c r="E30" s="10">
        <f t="shared" si="13"/>
        <v>8.5581176420246362E-4</v>
      </c>
      <c r="F30" s="10">
        <f t="shared" si="13"/>
        <v>0</v>
      </c>
      <c r="G30" s="10">
        <f t="shared" si="13"/>
        <v>2.5086945126419442</v>
      </c>
      <c r="H30" s="10">
        <f t="shared" si="13"/>
        <v>0.54122605732869056</v>
      </c>
      <c r="I30" s="10">
        <f t="shared" si="13"/>
        <v>0</v>
      </c>
      <c r="J30" s="10">
        <f t="shared" si="13"/>
        <v>0</v>
      </c>
      <c r="K30" s="10">
        <f t="shared" si="13"/>
        <v>0</v>
      </c>
      <c r="L30" s="10">
        <f t="shared" si="13"/>
        <v>0</v>
      </c>
      <c r="M30" s="10">
        <f t="shared" si="13"/>
        <v>0</v>
      </c>
      <c r="N30" s="5"/>
      <c r="O30" s="10">
        <f t="shared" si="10"/>
        <v>0.88337960065683552</v>
      </c>
      <c r="P30" s="10">
        <f t="shared" si="10"/>
        <v>1.971522863546163</v>
      </c>
      <c r="Q30" s="10">
        <f t="shared" si="10"/>
        <v>5.8740779965446598E-2</v>
      </c>
      <c r="R30" s="10">
        <f t="shared" si="10"/>
        <v>0.39140551035799676</v>
      </c>
      <c r="S30" s="10">
        <f t="shared" si="10"/>
        <v>0.4129826644629514</v>
      </c>
      <c r="T30" s="10">
        <f t="shared" si="11"/>
        <v>1.3799964697764726E-2</v>
      </c>
      <c r="U30" s="10">
        <f t="shared" si="11"/>
        <v>0.78625566306690842</v>
      </c>
      <c r="V30" s="10">
        <f t="shared" si="11"/>
        <v>0</v>
      </c>
    </row>
    <row r="31" spans="1:22" x14ac:dyDescent="0.25">
      <c r="A31" s="140"/>
      <c r="B31" s="10">
        <f t="shared" ref="B31:M31" si="14">IF(B8="","",(B8/$O$23))</f>
        <v>0</v>
      </c>
      <c r="C31" s="10">
        <f t="shared" si="14"/>
        <v>1.7437164695625197E-3</v>
      </c>
      <c r="D31" s="10">
        <f t="shared" si="14"/>
        <v>0</v>
      </c>
      <c r="E31" s="10">
        <f t="shared" si="14"/>
        <v>1.8493236412651037</v>
      </c>
      <c r="F31" s="10">
        <f t="shared" si="14"/>
        <v>0.22480035516188215</v>
      </c>
      <c r="G31" s="10">
        <f t="shared" si="14"/>
        <v>2.2313366175109786</v>
      </c>
      <c r="H31" s="10">
        <f t="shared" si="14"/>
        <v>3.0906465122996196</v>
      </c>
      <c r="I31" s="10">
        <f t="shared" si="14"/>
        <v>5.2418470557400896E-3</v>
      </c>
      <c r="J31" s="10">
        <f t="shared" si="14"/>
        <v>1.9148788224030125E-3</v>
      </c>
      <c r="K31" s="10">
        <f t="shared" si="14"/>
        <v>0</v>
      </c>
      <c r="L31" s="10">
        <f t="shared" si="14"/>
        <v>0</v>
      </c>
      <c r="M31" s="10">
        <f t="shared" si="14"/>
        <v>0</v>
      </c>
      <c r="N31" s="5"/>
      <c r="O31" s="10">
        <f t="shared" si="10"/>
        <v>1.5783843343656563</v>
      </c>
      <c r="P31" s="10">
        <f t="shared" si="10"/>
        <v>2.1172890022839477</v>
      </c>
      <c r="Q31" s="10">
        <f t="shared" si="10"/>
        <v>4.4823141150104037E-2</v>
      </c>
      <c r="R31" s="10">
        <f t="shared" si="10"/>
        <v>0.42494263386768083</v>
      </c>
      <c r="S31" s="10">
        <f t="shared" si="10"/>
        <v>0.21882037045951744</v>
      </c>
      <c r="T31" s="10">
        <f t="shared" si="11"/>
        <v>1.6098782072883069</v>
      </c>
      <c r="U31" s="10">
        <f t="shared" si="11"/>
        <v>0.13715453286049734</v>
      </c>
      <c r="V31" s="10">
        <f t="shared" si="11"/>
        <v>2.6102258808175143E-3</v>
      </c>
    </row>
    <row r="32" spans="1:22" x14ac:dyDescent="0.25">
      <c r="A32" s="140"/>
      <c r="B32" s="10">
        <f t="shared" ref="B32:M32" si="15">IF(B9="","",(B9/$O$23))</f>
        <v>0</v>
      </c>
      <c r="C32" s="10">
        <f t="shared" si="15"/>
        <v>0</v>
      </c>
      <c r="D32" s="10">
        <f t="shared" si="15"/>
        <v>0</v>
      </c>
      <c r="E32" s="10">
        <f t="shared" si="15"/>
        <v>0</v>
      </c>
      <c r="F32" s="10">
        <f t="shared" si="15"/>
        <v>0.94331851709216563</v>
      </c>
      <c r="G32" s="10">
        <f t="shared" si="15"/>
        <v>1.913520221227341</v>
      </c>
      <c r="H32" s="10">
        <f t="shared" si="15"/>
        <v>2.6883935878303569</v>
      </c>
      <c r="I32" s="10">
        <f t="shared" si="15"/>
        <v>0</v>
      </c>
      <c r="J32" s="10">
        <f t="shared" si="15"/>
        <v>0</v>
      </c>
      <c r="K32" s="10">
        <f t="shared" si="15"/>
        <v>9.1999764651764843E-4</v>
      </c>
      <c r="L32" s="10">
        <f t="shared" si="15"/>
        <v>0</v>
      </c>
      <c r="M32" s="10">
        <f t="shared" si="15"/>
        <v>0</v>
      </c>
      <c r="N32" s="5"/>
      <c r="O32" s="10">
        <f t="shared" si="10"/>
        <v>0.87628706066100759</v>
      </c>
      <c r="P32" s="10">
        <f t="shared" si="10"/>
        <v>1.1465738110902508</v>
      </c>
      <c r="Q32" s="10">
        <f t="shared" si="10"/>
        <v>0</v>
      </c>
      <c r="R32" s="10">
        <f t="shared" si="10"/>
        <v>1.8154976812850014</v>
      </c>
      <c r="S32" s="10">
        <f t="shared" si="10"/>
        <v>1.913841150638917</v>
      </c>
      <c r="T32" s="10">
        <f t="shared" si="11"/>
        <v>0.71078376311130365</v>
      </c>
      <c r="U32" s="10">
        <f t="shared" si="11"/>
        <v>1.899431420059158</v>
      </c>
      <c r="V32" s="10">
        <f t="shared" si="11"/>
        <v>1.274656739250202</v>
      </c>
    </row>
    <row r="33" spans="1:22" x14ac:dyDescent="0.25">
      <c r="A33" s="140"/>
      <c r="B33" s="10">
        <f t="shared" ref="B33:M33" si="16">IF(B10="","",(B10/$O$23))</f>
        <v>0</v>
      </c>
      <c r="C33" s="10">
        <f t="shared" si="16"/>
        <v>0</v>
      </c>
      <c r="D33" s="10">
        <f t="shared" si="16"/>
        <v>1.733018822509989E-3</v>
      </c>
      <c r="E33" s="10">
        <f t="shared" si="16"/>
        <v>0</v>
      </c>
      <c r="F33" s="10">
        <f t="shared" si="16"/>
        <v>1.5083147461715796</v>
      </c>
      <c r="G33" s="10">
        <f t="shared" si="16"/>
        <v>2.6442657937386671</v>
      </c>
      <c r="H33" s="10">
        <f t="shared" si="16"/>
        <v>3.3138957086388849</v>
      </c>
      <c r="I33" s="10">
        <f t="shared" si="16"/>
        <v>1.6848794107736004E-2</v>
      </c>
      <c r="J33" s="10">
        <f t="shared" si="16"/>
        <v>0</v>
      </c>
      <c r="K33" s="10">
        <f t="shared" si="16"/>
        <v>0.15170333285193921</v>
      </c>
      <c r="L33" s="10">
        <f t="shared" si="16"/>
        <v>0</v>
      </c>
      <c r="M33" s="10">
        <f t="shared" si="16"/>
        <v>0</v>
      </c>
      <c r="N33" s="5"/>
      <c r="O33" s="10">
        <f t="shared" si="10"/>
        <v>1.1545756510855438</v>
      </c>
      <c r="P33" s="10">
        <f t="shared" si="10"/>
        <v>2.0628593740806709</v>
      </c>
      <c r="Q33" s="10">
        <f t="shared" si="10"/>
        <v>0</v>
      </c>
      <c r="R33" s="10">
        <f t="shared" si="10"/>
        <v>1.5213872708697722</v>
      </c>
      <c r="S33" s="10">
        <f t="shared" si="10"/>
        <v>0.1372508116839701</v>
      </c>
      <c r="T33" s="10">
        <f t="shared" si="11"/>
        <v>1.6127237814042801</v>
      </c>
      <c r="U33" s="10">
        <f t="shared" si="11"/>
        <v>1.1645886487267125</v>
      </c>
      <c r="V33" s="10">
        <f t="shared" si="11"/>
        <v>7.9879330541247448E-2</v>
      </c>
    </row>
    <row r="34" spans="1:22" x14ac:dyDescent="0.25">
      <c r="A34" s="140"/>
      <c r="B34" s="10">
        <f t="shared" ref="B34:M34" si="17">IF(B11="","",(B11/$O$23))</f>
        <v>0</v>
      </c>
      <c r="C34" s="10">
        <f t="shared" si="17"/>
        <v>0</v>
      </c>
      <c r="D34" s="10">
        <f t="shared" si="17"/>
        <v>8.5581176420246362E-4</v>
      </c>
      <c r="E34" s="10">
        <f t="shared" si="17"/>
        <v>0</v>
      </c>
      <c r="F34" s="10">
        <f t="shared" si="17"/>
        <v>1.3063324721727456</v>
      </c>
      <c r="G34" s="10">
        <f t="shared" si="17"/>
        <v>0.55773252673074558</v>
      </c>
      <c r="H34" s="10">
        <f t="shared" si="17"/>
        <v>3.0799060746588789</v>
      </c>
      <c r="I34" s="10">
        <f t="shared" si="17"/>
        <v>0</v>
      </c>
      <c r="J34" s="10">
        <f t="shared" si="17"/>
        <v>0</v>
      </c>
      <c r="K34" s="10">
        <f t="shared" si="17"/>
        <v>1.2986943521772387E-2</v>
      </c>
      <c r="L34" s="10">
        <f t="shared" si="17"/>
        <v>0</v>
      </c>
      <c r="M34" s="10">
        <f t="shared" si="17"/>
        <v>0</v>
      </c>
      <c r="N34" s="5"/>
      <c r="O34" s="10">
        <f t="shared" si="10"/>
        <v>1.0051937076440036</v>
      </c>
      <c r="P34" s="10">
        <f t="shared" si="10"/>
        <v>2.4826992303042945</v>
      </c>
      <c r="Q34" s="10">
        <f t="shared" si="10"/>
        <v>0</v>
      </c>
      <c r="R34" s="10">
        <f t="shared" si="10"/>
        <v>0.88582936183186511</v>
      </c>
      <c r="S34" s="10">
        <f t="shared" si="10"/>
        <v>1.8314371753932721E-2</v>
      </c>
      <c r="T34" s="10">
        <f t="shared" si="11"/>
        <v>0.88999074653529953</v>
      </c>
      <c r="U34" s="10">
        <f t="shared" si="11"/>
        <v>1.6562311119669229</v>
      </c>
      <c r="V34" s="10">
        <f t="shared" si="11"/>
        <v>1.8871077306546424</v>
      </c>
    </row>
    <row r="35" spans="1:22" x14ac:dyDescent="0.25">
      <c r="A35" s="140"/>
      <c r="B35" s="10">
        <f t="shared" ref="B35:M35" si="18">IF(B12="","",(B12/$O$23))</f>
        <v>0</v>
      </c>
      <c r="C35" s="10">
        <f t="shared" si="18"/>
        <v>0</v>
      </c>
      <c r="D35" s="10">
        <f t="shared" si="18"/>
        <v>0</v>
      </c>
      <c r="E35" s="10">
        <f t="shared" si="18"/>
        <v>0</v>
      </c>
      <c r="F35" s="10" t="str">
        <f t="shared" si="18"/>
        <v/>
      </c>
      <c r="G35" s="10">
        <f t="shared" si="18"/>
        <v>2.8055649159967264</v>
      </c>
      <c r="H35" s="10">
        <f t="shared" si="18"/>
        <v>2.7692250089592796</v>
      </c>
      <c r="I35" s="10">
        <f t="shared" si="18"/>
        <v>0</v>
      </c>
      <c r="J35" s="10">
        <f t="shared" si="18"/>
        <v>0</v>
      </c>
      <c r="K35" s="10">
        <f t="shared" si="18"/>
        <v>0</v>
      </c>
      <c r="L35" s="10">
        <f t="shared" si="18"/>
        <v>1.7116235284049272E-3</v>
      </c>
      <c r="M35" s="10">
        <f t="shared" si="18"/>
        <v>0</v>
      </c>
      <c r="N35" s="5"/>
      <c r="O35" s="10">
        <f t="shared" si="10"/>
        <v>0.71101911134645934</v>
      </c>
      <c r="P35" s="10">
        <f t="shared" si="10"/>
        <v>0.89835630653037868</v>
      </c>
      <c r="Q35" s="10">
        <f t="shared" si="10"/>
        <v>0</v>
      </c>
      <c r="R35" s="10">
        <f t="shared" si="10"/>
        <v>6.006728819996042E-2</v>
      </c>
      <c r="S35" s="10">
        <f t="shared" si="10"/>
        <v>0</v>
      </c>
      <c r="T35" s="10">
        <f t="shared" si="11"/>
        <v>1.7832014848334108</v>
      </c>
      <c r="U35" s="10">
        <f t="shared" si="11"/>
        <v>1.5511588226169654E-2</v>
      </c>
      <c r="V35" s="10">
        <f t="shared" si="11"/>
        <v>3.4745957626620028E-2</v>
      </c>
    </row>
    <row r="36" spans="1:22" x14ac:dyDescent="0.25">
      <c r="A36" s="140"/>
      <c r="B36" s="10" t="str">
        <f t="shared" ref="B36:M36" si="19">IF(B13="","",(B13/$O$23))</f>
        <v/>
      </c>
      <c r="C36" s="10" t="str">
        <f t="shared" si="19"/>
        <v/>
      </c>
      <c r="D36" s="10" t="str">
        <f t="shared" si="19"/>
        <v/>
      </c>
      <c r="E36" s="10" t="str">
        <f t="shared" si="19"/>
        <v/>
      </c>
      <c r="F36" s="10" t="str">
        <f t="shared" si="19"/>
        <v/>
      </c>
      <c r="G36" s="10" t="str">
        <f t="shared" si="19"/>
        <v/>
      </c>
      <c r="H36" s="10" t="str">
        <f t="shared" si="19"/>
        <v/>
      </c>
      <c r="I36" s="10" t="str">
        <f t="shared" si="19"/>
        <v/>
      </c>
      <c r="J36" s="10" t="str">
        <f t="shared" si="19"/>
        <v/>
      </c>
      <c r="K36" s="10" t="str">
        <f t="shared" si="19"/>
        <v/>
      </c>
      <c r="L36" s="10" t="str">
        <f t="shared" si="19"/>
        <v/>
      </c>
      <c r="M36" s="10" t="str">
        <f t="shared" si="19"/>
        <v/>
      </c>
      <c r="N36" s="5"/>
      <c r="O36" s="10">
        <f t="shared" si="10"/>
        <v>1.2613595639639061</v>
      </c>
      <c r="P36" s="10" t="str">
        <f t="shared" si="10"/>
        <v/>
      </c>
      <c r="Q36" s="10" t="str">
        <f t="shared" si="10"/>
        <v/>
      </c>
      <c r="R36" s="10" t="str">
        <f t="shared" si="10"/>
        <v/>
      </c>
      <c r="S36" s="10" t="str">
        <f t="shared" si="10"/>
        <v/>
      </c>
      <c r="T36" s="10" t="str">
        <f t="shared" si="11"/>
        <v/>
      </c>
      <c r="U36" s="10" t="str">
        <f t="shared" si="11"/>
        <v/>
      </c>
      <c r="V36" s="10" t="str">
        <f t="shared" si="11"/>
        <v/>
      </c>
    </row>
    <row r="37" spans="1:22" x14ac:dyDescent="0.25">
      <c r="A37" s="140"/>
      <c r="B37" s="10" t="str">
        <f t="shared" ref="B37:M37" si="20">IF(B14="","",(B14/$O$23))</f>
        <v/>
      </c>
      <c r="C37" s="10" t="str">
        <f t="shared" si="20"/>
        <v/>
      </c>
      <c r="D37" s="10" t="str">
        <f t="shared" si="20"/>
        <v/>
      </c>
      <c r="E37" s="10" t="str">
        <f t="shared" si="20"/>
        <v/>
      </c>
      <c r="F37" s="10" t="str">
        <f t="shared" si="20"/>
        <v/>
      </c>
      <c r="G37" s="10" t="str">
        <f t="shared" si="20"/>
        <v/>
      </c>
      <c r="H37" s="10" t="str">
        <f t="shared" si="20"/>
        <v/>
      </c>
      <c r="I37" s="10" t="str">
        <f t="shared" si="20"/>
        <v/>
      </c>
      <c r="J37" s="10" t="str">
        <f t="shared" si="20"/>
        <v/>
      </c>
      <c r="K37" s="10" t="str">
        <f t="shared" si="20"/>
        <v/>
      </c>
      <c r="L37" s="10" t="str">
        <f t="shared" si="20"/>
        <v/>
      </c>
      <c r="M37" s="10" t="str">
        <f t="shared" si="20"/>
        <v/>
      </c>
      <c r="N37" s="5"/>
      <c r="O37" s="10">
        <f t="shared" si="10"/>
        <v>1.4981305861775702</v>
      </c>
      <c r="P37" s="10" t="str">
        <f t="shared" si="10"/>
        <v/>
      </c>
      <c r="Q37" s="10" t="str">
        <f t="shared" si="10"/>
        <v/>
      </c>
      <c r="R37" s="10" t="str">
        <f t="shared" si="10"/>
        <v/>
      </c>
      <c r="S37" s="10" t="str">
        <f t="shared" si="10"/>
        <v/>
      </c>
      <c r="T37" s="10" t="str">
        <f t="shared" si="11"/>
        <v/>
      </c>
      <c r="U37" s="10" t="str">
        <f t="shared" si="11"/>
        <v/>
      </c>
      <c r="V37" s="10" t="str">
        <f t="shared" si="11"/>
        <v/>
      </c>
    </row>
    <row r="38" spans="1:22" x14ac:dyDescent="0.25">
      <c r="A38" s="140"/>
      <c r="B38" s="10" t="str">
        <f t="shared" ref="B38:M38" si="21">IF(B15="","",(B15/$O$23))</f>
        <v/>
      </c>
      <c r="C38" s="10" t="str">
        <f t="shared" si="21"/>
        <v/>
      </c>
      <c r="D38" s="10" t="str">
        <f t="shared" si="21"/>
        <v/>
      </c>
      <c r="E38" s="10" t="str">
        <f t="shared" si="21"/>
        <v/>
      </c>
      <c r="F38" s="10" t="str">
        <f t="shared" si="21"/>
        <v/>
      </c>
      <c r="G38" s="10" t="str">
        <f t="shared" si="21"/>
        <v/>
      </c>
      <c r="H38" s="10" t="str">
        <f t="shared" si="21"/>
        <v/>
      </c>
      <c r="I38" s="10" t="str">
        <f t="shared" si="21"/>
        <v/>
      </c>
      <c r="J38" s="10" t="str">
        <f t="shared" si="21"/>
        <v/>
      </c>
      <c r="K38" s="10" t="str">
        <f t="shared" si="21"/>
        <v/>
      </c>
      <c r="L38" s="10" t="str">
        <f t="shared" si="21"/>
        <v/>
      </c>
      <c r="M38" s="10" t="str">
        <f t="shared" si="21"/>
        <v/>
      </c>
      <c r="N38" s="5"/>
      <c r="O38" s="10">
        <f t="shared" ref="O38:S43" si="22">IF(O15="","",(O15/$O$23))</f>
        <v>1.3733853238980087</v>
      </c>
      <c r="P38" s="10" t="str">
        <f t="shared" si="22"/>
        <v/>
      </c>
      <c r="Q38" s="10" t="str">
        <f t="shared" si="22"/>
        <v/>
      </c>
      <c r="R38" s="10" t="str">
        <f t="shared" si="22"/>
        <v/>
      </c>
      <c r="S38" s="10" t="str">
        <f t="shared" si="22"/>
        <v/>
      </c>
      <c r="T38" s="10" t="str">
        <f t="shared" si="11"/>
        <v/>
      </c>
      <c r="U38" s="10" t="str">
        <f t="shared" si="11"/>
        <v/>
      </c>
      <c r="V38" s="10" t="str">
        <f t="shared" si="11"/>
        <v/>
      </c>
    </row>
    <row r="39" spans="1:22" x14ac:dyDescent="0.25">
      <c r="A39" s="140"/>
      <c r="B39" s="10" t="str">
        <f t="shared" ref="B39:M39" si="23">IF(B16="","",(B16/$O$23))</f>
        <v/>
      </c>
      <c r="C39" s="10" t="str">
        <f t="shared" si="23"/>
        <v/>
      </c>
      <c r="D39" s="10" t="str">
        <f t="shared" si="23"/>
        <v/>
      </c>
      <c r="E39" s="10" t="str">
        <f t="shared" si="23"/>
        <v/>
      </c>
      <c r="F39" s="10" t="str">
        <f t="shared" si="23"/>
        <v/>
      </c>
      <c r="G39" s="10" t="str">
        <f t="shared" si="23"/>
        <v/>
      </c>
      <c r="H39" s="10" t="str">
        <f t="shared" si="23"/>
        <v/>
      </c>
      <c r="I39" s="10" t="str">
        <f t="shared" si="23"/>
        <v/>
      </c>
      <c r="J39" s="10" t="str">
        <f t="shared" si="23"/>
        <v/>
      </c>
      <c r="K39" s="10" t="str">
        <f t="shared" si="23"/>
        <v/>
      </c>
      <c r="L39" s="10" t="str">
        <f t="shared" si="23"/>
        <v/>
      </c>
      <c r="M39" s="10" t="str">
        <f t="shared" si="23"/>
        <v/>
      </c>
      <c r="N39" s="5"/>
      <c r="O39" s="10">
        <f t="shared" si="22"/>
        <v>0.86368523243312634</v>
      </c>
      <c r="P39" s="10" t="str">
        <f t="shared" si="22"/>
        <v/>
      </c>
      <c r="Q39" s="10" t="str">
        <f t="shared" si="22"/>
        <v/>
      </c>
      <c r="R39" s="10" t="str">
        <f t="shared" si="22"/>
        <v/>
      </c>
      <c r="S39" s="10" t="str">
        <f t="shared" si="22"/>
        <v/>
      </c>
      <c r="T39" s="10" t="str">
        <f t="shared" si="11"/>
        <v/>
      </c>
      <c r="U39" s="10" t="str">
        <f t="shared" si="11"/>
        <v/>
      </c>
      <c r="V39" s="10" t="str">
        <f t="shared" si="11"/>
        <v/>
      </c>
    </row>
    <row r="40" spans="1:22" x14ac:dyDescent="0.25">
      <c r="A40" s="140"/>
      <c r="B40" s="10" t="str">
        <f t="shared" ref="B40:M40" si="24">IF(B17="","",(B17/$O$23))</f>
        <v/>
      </c>
      <c r="C40" s="10" t="str">
        <f t="shared" si="24"/>
        <v/>
      </c>
      <c r="D40" s="10" t="str">
        <f t="shared" si="24"/>
        <v/>
      </c>
      <c r="E40" s="10" t="str">
        <f t="shared" si="24"/>
        <v/>
      </c>
      <c r="F40" s="10" t="str">
        <f t="shared" si="24"/>
        <v/>
      </c>
      <c r="G40" s="10" t="str">
        <f t="shared" si="24"/>
        <v/>
      </c>
      <c r="H40" s="10" t="str">
        <f t="shared" si="24"/>
        <v/>
      </c>
      <c r="I40" s="10" t="str">
        <f t="shared" si="24"/>
        <v/>
      </c>
      <c r="J40" s="10" t="str">
        <f t="shared" si="24"/>
        <v/>
      </c>
      <c r="K40" s="10" t="str">
        <f t="shared" si="24"/>
        <v/>
      </c>
      <c r="L40" s="10" t="str">
        <f t="shared" si="24"/>
        <v/>
      </c>
      <c r="M40" s="10" t="str">
        <f t="shared" si="24"/>
        <v/>
      </c>
      <c r="N40" s="5"/>
      <c r="O40" s="10">
        <f t="shared" si="22"/>
        <v>1.3942350380033912</v>
      </c>
      <c r="P40" s="10" t="str">
        <f t="shared" si="22"/>
        <v/>
      </c>
      <c r="Q40" s="10" t="str">
        <f t="shared" si="22"/>
        <v/>
      </c>
      <c r="R40" s="10" t="str">
        <f t="shared" si="22"/>
        <v/>
      </c>
      <c r="S40" s="10" t="str">
        <f t="shared" si="22"/>
        <v/>
      </c>
      <c r="T40" s="10" t="str">
        <f t="shared" si="11"/>
        <v/>
      </c>
      <c r="U40" s="10" t="str">
        <f t="shared" si="11"/>
        <v/>
      </c>
      <c r="V40" s="10" t="str">
        <f t="shared" si="11"/>
        <v/>
      </c>
    </row>
    <row r="41" spans="1:22" x14ac:dyDescent="0.25">
      <c r="A41" s="140"/>
      <c r="B41" s="10" t="str">
        <f t="shared" ref="B41:M41" si="25">IF(B18="","",(B18/$O$23))</f>
        <v/>
      </c>
      <c r="C41" s="10" t="str">
        <f t="shared" si="25"/>
        <v/>
      </c>
      <c r="D41" s="10" t="str">
        <f t="shared" si="25"/>
        <v/>
      </c>
      <c r="E41" s="10" t="str">
        <f t="shared" si="25"/>
        <v/>
      </c>
      <c r="F41" s="10" t="str">
        <f t="shared" si="25"/>
        <v/>
      </c>
      <c r="G41" s="10" t="str">
        <f t="shared" si="25"/>
        <v/>
      </c>
      <c r="H41" s="10" t="str">
        <f t="shared" si="25"/>
        <v/>
      </c>
      <c r="I41" s="10" t="str">
        <f t="shared" si="25"/>
        <v/>
      </c>
      <c r="J41" s="10" t="str">
        <f t="shared" si="25"/>
        <v/>
      </c>
      <c r="K41" s="10" t="str">
        <f t="shared" si="25"/>
        <v/>
      </c>
      <c r="L41" s="10" t="str">
        <f t="shared" si="25"/>
        <v/>
      </c>
      <c r="M41" s="10" t="str">
        <f t="shared" si="25"/>
        <v/>
      </c>
      <c r="N41" s="5"/>
      <c r="O41" s="10">
        <f t="shared" si="22"/>
        <v>0.34352284215086892</v>
      </c>
      <c r="P41" s="10" t="str">
        <f t="shared" si="22"/>
        <v/>
      </c>
      <c r="Q41" s="10" t="str">
        <f t="shared" si="22"/>
        <v/>
      </c>
      <c r="R41" s="10" t="str">
        <f t="shared" si="22"/>
        <v/>
      </c>
      <c r="S41" s="10" t="str">
        <f t="shared" si="22"/>
        <v/>
      </c>
      <c r="T41" s="10" t="str">
        <f t="shared" si="11"/>
        <v/>
      </c>
      <c r="U41" s="10" t="str">
        <f t="shared" si="11"/>
        <v/>
      </c>
      <c r="V41" s="10" t="str">
        <f t="shared" si="11"/>
        <v/>
      </c>
    </row>
    <row r="42" spans="1:22" x14ac:dyDescent="0.25">
      <c r="A42" s="140"/>
      <c r="B42" s="10" t="str">
        <f t="shared" ref="B42:M42" si="26">IF(B19="","",(B19/$O$23))</f>
        <v/>
      </c>
      <c r="C42" s="10" t="str">
        <f t="shared" si="26"/>
        <v/>
      </c>
      <c r="D42" s="10" t="str">
        <f t="shared" si="26"/>
        <v/>
      </c>
      <c r="E42" s="10" t="str">
        <f t="shared" si="26"/>
        <v/>
      </c>
      <c r="F42" s="10" t="str">
        <f t="shared" si="26"/>
        <v/>
      </c>
      <c r="G42" s="10" t="str">
        <f t="shared" si="26"/>
        <v/>
      </c>
      <c r="H42" s="10" t="str">
        <f t="shared" si="26"/>
        <v/>
      </c>
      <c r="I42" s="10" t="str">
        <f t="shared" si="26"/>
        <v/>
      </c>
      <c r="J42" s="10" t="str">
        <f t="shared" si="26"/>
        <v/>
      </c>
      <c r="K42" s="10" t="str">
        <f t="shared" si="26"/>
        <v/>
      </c>
      <c r="L42" s="10" t="str">
        <f t="shared" si="26"/>
        <v/>
      </c>
      <c r="M42" s="10" t="str">
        <f t="shared" si="26"/>
        <v/>
      </c>
      <c r="N42" s="5"/>
      <c r="O42" s="10">
        <f t="shared" si="22"/>
        <v>1.0509689393817829</v>
      </c>
      <c r="P42" s="10" t="str">
        <f t="shared" si="22"/>
        <v/>
      </c>
      <c r="Q42" s="10" t="str">
        <f t="shared" si="22"/>
        <v/>
      </c>
      <c r="R42" s="10" t="str">
        <f t="shared" si="22"/>
        <v/>
      </c>
      <c r="S42" s="10" t="str">
        <f t="shared" si="22"/>
        <v/>
      </c>
      <c r="T42" s="10" t="str">
        <f t="shared" si="11"/>
        <v/>
      </c>
      <c r="U42" s="10" t="str">
        <f t="shared" si="11"/>
        <v/>
      </c>
      <c r="V42" s="10" t="str">
        <f t="shared" si="11"/>
        <v/>
      </c>
    </row>
    <row r="43" spans="1:22" x14ac:dyDescent="0.25">
      <c r="A43" s="140"/>
      <c r="B43" s="10" t="str">
        <f t="shared" ref="B43:M43" si="27">IF(B20="","",(B20/$O$23))</f>
        <v/>
      </c>
      <c r="C43" s="10" t="str">
        <f t="shared" si="27"/>
        <v/>
      </c>
      <c r="D43" s="10" t="str">
        <f t="shared" si="27"/>
        <v/>
      </c>
      <c r="E43" s="10" t="str">
        <f t="shared" si="27"/>
        <v/>
      </c>
      <c r="F43" s="10" t="str">
        <f t="shared" si="27"/>
        <v/>
      </c>
      <c r="G43" s="10" t="str">
        <f t="shared" si="27"/>
        <v/>
      </c>
      <c r="H43" s="10" t="str">
        <f t="shared" si="27"/>
        <v/>
      </c>
      <c r="I43" s="10" t="str">
        <f t="shared" si="27"/>
        <v/>
      </c>
      <c r="J43" s="10" t="str">
        <f t="shared" si="27"/>
        <v/>
      </c>
      <c r="K43" s="10" t="str">
        <f t="shared" si="27"/>
        <v/>
      </c>
      <c r="L43" s="10" t="str">
        <f t="shared" si="27"/>
        <v/>
      </c>
      <c r="M43" s="10" t="str">
        <f t="shared" si="27"/>
        <v/>
      </c>
      <c r="N43" s="5"/>
      <c r="O43" s="10">
        <f t="shared" si="22"/>
        <v>7.5247249367501615E-2</v>
      </c>
      <c r="P43" s="10" t="str">
        <f t="shared" si="22"/>
        <v/>
      </c>
      <c r="Q43" s="10" t="str">
        <f t="shared" si="22"/>
        <v/>
      </c>
      <c r="R43" s="10" t="str">
        <f t="shared" si="22"/>
        <v/>
      </c>
      <c r="S43" s="10" t="str">
        <f t="shared" si="22"/>
        <v/>
      </c>
      <c r="T43" s="10" t="str">
        <f t="shared" si="11"/>
        <v/>
      </c>
      <c r="U43" s="10" t="str">
        <f t="shared" si="11"/>
        <v/>
      </c>
      <c r="V43" s="10" t="str">
        <f t="shared" si="11"/>
        <v/>
      </c>
    </row>
    <row r="44" spans="1:22" x14ac:dyDescent="0.25">
      <c r="A44" s="6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6"/>
      <c r="O44" s="3"/>
      <c r="P44" s="3"/>
      <c r="Q44" s="3"/>
      <c r="R44" s="3"/>
      <c r="S44" s="3"/>
      <c r="T44" s="3"/>
      <c r="U44" s="3"/>
      <c r="V44" s="3"/>
    </row>
    <row r="45" spans="1:22" x14ac:dyDescent="0.25">
      <c r="A45" s="52" t="str">
        <f t="shared" ref="A45" si="28">A4</f>
        <v>Group names</v>
      </c>
      <c r="B45" s="6" t="str">
        <f t="shared" ref="B45:R45" si="29">B4</f>
        <v>Solvent control</v>
      </c>
      <c r="C45" s="6" t="str">
        <f t="shared" si="29"/>
        <v>EE2-33.8ng/L</v>
      </c>
      <c r="D45" s="6" t="str">
        <f t="shared" si="29"/>
        <v>EE2-50.6ng/L</v>
      </c>
      <c r="E45" s="6" t="str">
        <f t="shared" si="29"/>
        <v>EE2-76ng/L</v>
      </c>
      <c r="F45" s="6" t="str">
        <f t="shared" si="29"/>
        <v>EE2-114ng/L</v>
      </c>
      <c r="G45" s="6" t="str">
        <f t="shared" si="29"/>
        <v>EE2-170.9ng/L</v>
      </c>
      <c r="H45" s="6" t="str">
        <f t="shared" si="29"/>
        <v>EE2-488ng/L</v>
      </c>
      <c r="I45" s="6" t="str">
        <f t="shared" si="29"/>
        <v>Chromolyn-0.1µg/L</v>
      </c>
      <c r="J45" s="6" t="str">
        <f t="shared" si="29"/>
        <v>Chromolyn-1µg/L</v>
      </c>
      <c r="K45" s="6" t="str">
        <f t="shared" ref="K45:M45" si="30">K4</f>
        <v>Chromolyn-10µg/L</v>
      </c>
      <c r="L45" s="6" t="str">
        <f t="shared" si="30"/>
        <v>Chromolyn-100µg/L</v>
      </c>
      <c r="M45" s="6" t="str">
        <f t="shared" si="30"/>
        <v>Chromolyn-1000µg/L</v>
      </c>
      <c r="N45" s="6"/>
      <c r="O45" s="6" t="str">
        <f t="shared" si="29"/>
        <v>Testo -30µg/L</v>
      </c>
      <c r="P45" s="6" t="str">
        <f t="shared" si="29"/>
        <v>Testo 30µg/L + EE2 -64ng/L</v>
      </c>
      <c r="Q45" s="6" t="str">
        <f t="shared" si="29"/>
        <v>Testo 30µg/L + FAD-10mg/L</v>
      </c>
      <c r="R45" s="6" t="str">
        <f t="shared" si="29"/>
        <v>Chromolyn-0.1µg/L + Testostérone</v>
      </c>
      <c r="S45" s="6" t="str">
        <f t="shared" ref="S45:V45" si="31">S4</f>
        <v>Chromolyn-1µg/L + Testostérone</v>
      </c>
      <c r="T45" s="6" t="str">
        <f t="shared" si="31"/>
        <v>Chromolyn-10µg/L + Testostérone</v>
      </c>
      <c r="U45" s="6" t="str">
        <f t="shared" si="31"/>
        <v>Chromolyn-100µg/L + Testostérone</v>
      </c>
      <c r="V45" s="6" t="str">
        <f t="shared" si="31"/>
        <v>Chromolyn-1000µg/L + Testostérone</v>
      </c>
    </row>
    <row r="46" spans="1:22" x14ac:dyDescent="0.25">
      <c r="A46" s="7" t="s">
        <v>0</v>
      </c>
      <c r="B46" s="9">
        <f t="shared" ref="B46:H46" si="32">AVERAGE(B28:B43)</f>
        <v>0</v>
      </c>
      <c r="C46" s="9">
        <f t="shared" si="32"/>
        <v>7.6889338190065095E-4</v>
      </c>
      <c r="D46" s="9">
        <f t="shared" si="32"/>
        <v>4.670860144311258E-3</v>
      </c>
      <c r="E46" s="9">
        <f t="shared" si="32"/>
        <v>0.2315933610402392</v>
      </c>
      <c r="F46" s="9">
        <f t="shared" si="32"/>
        <v>0.79547703482619003</v>
      </c>
      <c r="G46" s="9">
        <f t="shared" si="32"/>
        <v>1.8991051418240557</v>
      </c>
      <c r="H46" s="9">
        <f t="shared" si="32"/>
        <v>2.6643399284327409</v>
      </c>
      <c r="I46" s="9">
        <f>AVERAGE(I28:I43)</f>
        <v>2.8749926453676515E-3</v>
      </c>
      <c r="J46" s="8">
        <f>AVERAGE(J28:J43)</f>
        <v>1.4174382344603303E-3</v>
      </c>
      <c r="K46" s="8">
        <f t="shared" ref="K46:M46" si="33">AVERAGE(K28:K43)</f>
        <v>2.0701284252528655E-2</v>
      </c>
      <c r="L46" s="8">
        <f t="shared" si="33"/>
        <v>2.1395294105061591E-4</v>
      </c>
      <c r="M46" s="8">
        <f t="shared" si="33"/>
        <v>0</v>
      </c>
      <c r="N46" s="7" t="s">
        <v>0</v>
      </c>
      <c r="O46" s="9">
        <f t="shared" ref="O46:R46" si="34">AVERAGE(O28:O43)</f>
        <v>0.99999999999999989</v>
      </c>
      <c r="P46" s="9">
        <f t="shared" si="34"/>
        <v>1.7655757741084848</v>
      </c>
      <c r="Q46" s="9">
        <f t="shared" si="34"/>
        <v>1.3163454698139145E-2</v>
      </c>
      <c r="R46" s="9">
        <f t="shared" si="34"/>
        <v>0.90341896799798871</v>
      </c>
      <c r="S46" s="9">
        <f t="shared" ref="S46:V46" si="35">AVERAGE(S28:S43)</f>
        <v>0.6379327866835689</v>
      </c>
      <c r="T46" s="9">
        <f t="shared" si="35"/>
        <v>0.97035414560567401</v>
      </c>
      <c r="U46" s="9">
        <f t="shared" si="35"/>
        <v>1.0100330557293924</v>
      </c>
      <c r="V46" s="9">
        <f t="shared" si="35"/>
        <v>0.44272346047486855</v>
      </c>
    </row>
    <row r="47" spans="1:22" x14ac:dyDescent="0.25">
      <c r="A47" s="7" t="s">
        <v>1</v>
      </c>
      <c r="B47" s="7">
        <f t="shared" ref="B47:J47" si="36">STDEV(B28:B43)</f>
        <v>0</v>
      </c>
      <c r="C47" s="7">
        <f t="shared" si="36"/>
        <v>1.5917831524801386E-3</v>
      </c>
      <c r="D47" s="7">
        <f t="shared" si="36"/>
        <v>1.2181444281060641E-2</v>
      </c>
      <c r="E47" s="7">
        <f t="shared" si="36"/>
        <v>0.65366236099342201</v>
      </c>
      <c r="F47" s="7">
        <f t="shared" si="36"/>
        <v>0.70558041191502197</v>
      </c>
      <c r="G47" s="7">
        <f t="shared" si="36"/>
        <v>0.89116546003836927</v>
      </c>
      <c r="H47" s="7">
        <f t="shared" si="36"/>
        <v>0.91561337307847979</v>
      </c>
      <c r="I47" s="7">
        <f t="shared" si="36"/>
        <v>5.9288759262531984E-3</v>
      </c>
      <c r="J47" s="7">
        <f t="shared" si="36"/>
        <v>3.3040517725496134E-3</v>
      </c>
      <c r="K47" s="7">
        <f t="shared" ref="K47:M47" si="37">STDEV(K28:K43)</f>
        <v>5.3123929150164166E-2</v>
      </c>
      <c r="L47" s="7">
        <f t="shared" si="37"/>
        <v>6.051503018867846E-4</v>
      </c>
      <c r="M47" s="7">
        <f t="shared" si="37"/>
        <v>0</v>
      </c>
      <c r="N47" s="7" t="s">
        <v>1</v>
      </c>
      <c r="O47" s="7">
        <f t="shared" ref="O47:R47" si="38">STDEV(O28:O43)</f>
        <v>0.43311275252444537</v>
      </c>
      <c r="P47" s="7">
        <f t="shared" si="38"/>
        <v>0.57202328765358312</v>
      </c>
      <c r="Q47" s="7">
        <f t="shared" si="38"/>
        <v>2.4131844532892022E-2</v>
      </c>
      <c r="R47" s="7">
        <f t="shared" si="38"/>
        <v>0.59396726229458496</v>
      </c>
      <c r="S47" s="7">
        <f t="shared" ref="S47:V47" si="39">STDEV(S28:S43)</f>
        <v>0.78117784151611869</v>
      </c>
      <c r="T47" s="7">
        <f t="shared" si="39"/>
        <v>0.67413782132918132</v>
      </c>
      <c r="U47" s="7">
        <f t="shared" si="39"/>
        <v>0.66881919765809783</v>
      </c>
      <c r="V47" s="7">
        <f t="shared" si="39"/>
        <v>0.72448478823103024</v>
      </c>
    </row>
    <row r="48" spans="1:22" x14ac:dyDescent="0.25">
      <c r="A48" s="7" t="s">
        <v>2</v>
      </c>
      <c r="B48" s="7">
        <f t="shared" ref="B48:J48" si="40" xml:space="preserve"> B47/SQRT(COUNT(B28:B43))</f>
        <v>0</v>
      </c>
      <c r="C48" s="7">
        <f t="shared" si="40"/>
        <v>5.6278033064860304E-4</v>
      </c>
      <c r="D48" s="7">
        <f t="shared" si="40"/>
        <v>4.3067909278920336E-3</v>
      </c>
      <c r="E48" s="7">
        <f t="shared" si="40"/>
        <v>0.23110454403242883</v>
      </c>
      <c r="F48" s="7">
        <f t="shared" si="40"/>
        <v>0.26668432855509472</v>
      </c>
      <c r="G48" s="7">
        <f t="shared" si="40"/>
        <v>0.31507456997618005</v>
      </c>
      <c r="H48" s="7">
        <f t="shared" si="40"/>
        <v>0.32371821252444061</v>
      </c>
      <c r="I48" s="7">
        <f t="shared" si="40"/>
        <v>2.0961741861336546E-3</v>
      </c>
      <c r="J48" s="7">
        <f t="shared" si="40"/>
        <v>1.1681587068806318E-3</v>
      </c>
      <c r="K48" s="7">
        <f t="shared" ref="K48:M48" si="41" xml:space="preserve"> K47/SQRT(COUNT(K28:K43))</f>
        <v>1.8782145272677391E-2</v>
      </c>
      <c r="L48" s="7">
        <f t="shared" si="41"/>
        <v>2.1395294105061588E-4</v>
      </c>
      <c r="M48" s="7">
        <f t="shared" si="41"/>
        <v>0</v>
      </c>
      <c r="N48" s="7" t="s">
        <v>2</v>
      </c>
      <c r="O48" s="7">
        <f t="shared" ref="O48:R48" si="42" xml:space="preserve"> O47/SQRT(COUNT(O28:O43))</f>
        <v>0.10827818813111134</v>
      </c>
      <c r="P48" s="7">
        <f t="shared" si="42"/>
        <v>0.20224077284823586</v>
      </c>
      <c r="Q48" s="7">
        <f t="shared" si="42"/>
        <v>8.5318954558737305E-3</v>
      </c>
      <c r="R48" s="7">
        <f t="shared" si="42"/>
        <v>0.20999913948565488</v>
      </c>
      <c r="S48" s="7">
        <f t="shared" ref="S48:V48" si="43" xml:space="preserve"> S47/SQRT(COUNT(S28:S43))</f>
        <v>0.27618807452435878</v>
      </c>
      <c r="T48" s="7">
        <f t="shared" si="43"/>
        <v>0.23834371245809463</v>
      </c>
      <c r="U48" s="7">
        <f t="shared" si="43"/>
        <v>0.23646329502589342</v>
      </c>
      <c r="V48" s="7">
        <f t="shared" si="43"/>
        <v>0.25614405331233064</v>
      </c>
    </row>
    <row r="49" spans="1:22" ht="15.75" thickBot="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27" thickBot="1" x14ac:dyDescent="0.45">
      <c r="A50" s="135"/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</row>
    <row r="51" spans="1:22" customFormat="1" ht="15.75" thickBot="1" x14ac:dyDescent="0.3"/>
    <row r="52" spans="1:22" x14ac:dyDescent="0.25">
      <c r="A52" s="28" t="str">
        <f t="shared" ref="A52" si="44">A27</f>
        <v>Group names</v>
      </c>
      <c r="B52" s="29" t="str">
        <f t="shared" ref="B52:H52" si="45">B27</f>
        <v>Solvent control</v>
      </c>
      <c r="C52" s="29" t="str">
        <f t="shared" si="45"/>
        <v>EE2-33.8ng/L</v>
      </c>
      <c r="D52" s="29" t="str">
        <f t="shared" si="45"/>
        <v>EE2-50.6ng/L</v>
      </c>
      <c r="E52" s="29" t="str">
        <f t="shared" si="45"/>
        <v>EE2-76ng/L</v>
      </c>
      <c r="F52" s="29" t="str">
        <f t="shared" si="45"/>
        <v>EE2-114ng/L</v>
      </c>
      <c r="G52" s="29" t="str">
        <f t="shared" si="45"/>
        <v>EE2-170.9ng/L</v>
      </c>
      <c r="H52" s="29" t="str">
        <f t="shared" si="45"/>
        <v>EE2-488ng/L</v>
      </c>
      <c r="I52" s="29" t="str">
        <f>I4</f>
        <v>Chromolyn-0.1µg/L</v>
      </c>
      <c r="J52" s="29" t="str">
        <f>J4</f>
        <v>Chromolyn-1µg/L</v>
      </c>
      <c r="K52" s="29" t="str">
        <f t="shared" ref="K52:M52" si="46">K4</f>
        <v>Chromolyn-10µg/L</v>
      </c>
      <c r="L52" s="29" t="str">
        <f t="shared" si="46"/>
        <v>Chromolyn-100µg/L</v>
      </c>
      <c r="M52" s="29" t="str">
        <f t="shared" si="46"/>
        <v>Chromolyn-1000µg/L</v>
      </c>
      <c r="N52" s="30"/>
      <c r="O52" s="29" t="str">
        <f>O27</f>
        <v>Testo -30µg/L</v>
      </c>
      <c r="P52" s="29" t="str">
        <f>P27</f>
        <v>Testo 30µg/L + EE2 -64ng/L</v>
      </c>
      <c r="Q52" s="29" t="str">
        <f>Q27</f>
        <v>Testo 30µg/L + FAD-10mg/L</v>
      </c>
      <c r="R52" s="29" t="str">
        <f>R27</f>
        <v>Chromolyn-0.1µg/L + Testostérone</v>
      </c>
      <c r="S52" s="29" t="str">
        <f t="shared" ref="S52:V52" si="47">S27</f>
        <v>Chromolyn-1µg/L + Testostérone</v>
      </c>
      <c r="T52" s="29" t="str">
        <f t="shared" si="47"/>
        <v>Chromolyn-10µg/L + Testostérone</v>
      </c>
      <c r="U52" s="29" t="str">
        <f t="shared" si="47"/>
        <v>Chromolyn-100µg/L + Testostérone</v>
      </c>
      <c r="V52" s="29" t="str">
        <f t="shared" si="47"/>
        <v>Chromolyn-1000µg/L + Testostérone</v>
      </c>
    </row>
    <row r="53" spans="1:22" s="3" customFormat="1" x14ac:dyDescent="0.25">
      <c r="A53" s="44" t="s">
        <v>10</v>
      </c>
      <c r="B53" s="76">
        <f t="shared" ref="B53" si="48">B46</f>
        <v>0</v>
      </c>
      <c r="C53" s="76">
        <f t="shared" ref="C53:V53" si="49">C46</f>
        <v>7.6889338190065095E-4</v>
      </c>
      <c r="D53" s="76">
        <f t="shared" si="49"/>
        <v>4.670860144311258E-3</v>
      </c>
      <c r="E53" s="76">
        <f t="shared" si="49"/>
        <v>0.2315933610402392</v>
      </c>
      <c r="F53" s="76">
        <f t="shared" si="49"/>
        <v>0.79547703482619003</v>
      </c>
      <c r="G53" s="76">
        <f t="shared" si="49"/>
        <v>1.8991051418240557</v>
      </c>
      <c r="H53" s="76">
        <f t="shared" si="49"/>
        <v>2.6643399284327409</v>
      </c>
      <c r="I53" s="76">
        <f t="shared" si="49"/>
        <v>2.8749926453676515E-3</v>
      </c>
      <c r="J53" s="76">
        <f t="shared" si="49"/>
        <v>1.4174382344603303E-3</v>
      </c>
      <c r="K53" s="76">
        <f t="shared" si="49"/>
        <v>2.0701284252528655E-2</v>
      </c>
      <c r="L53" s="76">
        <f t="shared" si="49"/>
        <v>2.1395294105061591E-4</v>
      </c>
      <c r="M53" s="76">
        <f t="shared" si="49"/>
        <v>0</v>
      </c>
      <c r="N53" s="76"/>
      <c r="O53" s="76">
        <f t="shared" si="49"/>
        <v>0.99999999999999989</v>
      </c>
      <c r="P53" s="76">
        <f t="shared" si="49"/>
        <v>1.7655757741084848</v>
      </c>
      <c r="Q53" s="76">
        <f t="shared" si="49"/>
        <v>1.3163454698139145E-2</v>
      </c>
      <c r="R53" s="76">
        <f t="shared" si="49"/>
        <v>0.90341896799798871</v>
      </c>
      <c r="S53" s="76">
        <f t="shared" si="49"/>
        <v>0.6379327866835689</v>
      </c>
      <c r="T53" s="76">
        <f t="shared" si="49"/>
        <v>0.97035414560567401</v>
      </c>
      <c r="U53" s="76">
        <f t="shared" si="49"/>
        <v>1.0100330557293924</v>
      </c>
      <c r="V53" s="76">
        <f t="shared" si="49"/>
        <v>0.44272346047486855</v>
      </c>
    </row>
    <row r="54" spans="1:22" s="3" customFormat="1" x14ac:dyDescent="0.25">
      <c r="A54" s="44" t="s">
        <v>2</v>
      </c>
      <c r="B54" s="76">
        <f t="shared" ref="B54" si="50">B48</f>
        <v>0</v>
      </c>
      <c r="C54" s="76">
        <f t="shared" ref="C54:V54" si="51">C48</f>
        <v>5.6278033064860304E-4</v>
      </c>
      <c r="D54" s="76">
        <f t="shared" si="51"/>
        <v>4.3067909278920336E-3</v>
      </c>
      <c r="E54" s="76">
        <f t="shared" si="51"/>
        <v>0.23110454403242883</v>
      </c>
      <c r="F54" s="76">
        <f t="shared" si="51"/>
        <v>0.26668432855509472</v>
      </c>
      <c r="G54" s="76">
        <f t="shared" si="51"/>
        <v>0.31507456997618005</v>
      </c>
      <c r="H54" s="76">
        <f t="shared" si="51"/>
        <v>0.32371821252444061</v>
      </c>
      <c r="I54" s="76">
        <f t="shared" si="51"/>
        <v>2.0961741861336546E-3</v>
      </c>
      <c r="J54" s="76">
        <f t="shared" si="51"/>
        <v>1.1681587068806318E-3</v>
      </c>
      <c r="K54" s="76">
        <f t="shared" si="51"/>
        <v>1.8782145272677391E-2</v>
      </c>
      <c r="L54" s="76">
        <f t="shared" si="51"/>
        <v>2.1395294105061588E-4</v>
      </c>
      <c r="M54" s="76">
        <f t="shared" si="51"/>
        <v>0</v>
      </c>
      <c r="N54" s="76"/>
      <c r="O54" s="76">
        <f t="shared" si="51"/>
        <v>0.10827818813111134</v>
      </c>
      <c r="P54" s="76">
        <f t="shared" si="51"/>
        <v>0.20224077284823586</v>
      </c>
      <c r="Q54" s="76">
        <f t="shared" si="51"/>
        <v>8.5318954558737305E-3</v>
      </c>
      <c r="R54" s="76">
        <f t="shared" si="51"/>
        <v>0.20999913948565488</v>
      </c>
      <c r="S54" s="76">
        <f t="shared" si="51"/>
        <v>0.27618807452435878</v>
      </c>
      <c r="T54" s="76">
        <f t="shared" si="51"/>
        <v>0.23834371245809463</v>
      </c>
      <c r="U54" s="76">
        <f t="shared" si="51"/>
        <v>0.23646329502589342</v>
      </c>
      <c r="V54" s="76">
        <f t="shared" si="51"/>
        <v>0.25614405331233064</v>
      </c>
    </row>
    <row r="55" spans="1:22" s="3" customFormat="1" x14ac:dyDescent="0.25">
      <c r="A55" s="44" t="s">
        <v>14</v>
      </c>
      <c r="B55" s="76" t="e">
        <f>(B53*100/$B53)-100</f>
        <v>#DIV/0!</v>
      </c>
      <c r="C55" s="76" t="e">
        <f t="shared" ref="C55:M55" si="52">(C53*100/$B53)-100</f>
        <v>#DIV/0!</v>
      </c>
      <c r="D55" s="76" t="e">
        <f t="shared" si="52"/>
        <v>#DIV/0!</v>
      </c>
      <c r="E55" s="76" t="e">
        <f t="shared" si="52"/>
        <v>#DIV/0!</v>
      </c>
      <c r="F55" s="76" t="e">
        <f t="shared" si="52"/>
        <v>#DIV/0!</v>
      </c>
      <c r="G55" s="76" t="e">
        <f t="shared" si="52"/>
        <v>#DIV/0!</v>
      </c>
      <c r="H55" s="76" t="e">
        <f t="shared" si="52"/>
        <v>#DIV/0!</v>
      </c>
      <c r="I55" s="76" t="e">
        <f t="shared" si="52"/>
        <v>#DIV/0!</v>
      </c>
      <c r="J55" s="76" t="e">
        <f t="shared" si="52"/>
        <v>#DIV/0!</v>
      </c>
      <c r="K55" s="76" t="e">
        <f t="shared" si="52"/>
        <v>#DIV/0!</v>
      </c>
      <c r="L55" s="76" t="e">
        <f t="shared" si="52"/>
        <v>#DIV/0!</v>
      </c>
      <c r="M55" s="76" t="e">
        <f t="shared" si="52"/>
        <v>#DIV/0!</v>
      </c>
      <c r="N55" s="76"/>
      <c r="O55" s="76">
        <f t="shared" ref="O55:V55" si="53">(O53*100/$O53)-100</f>
        <v>0</v>
      </c>
      <c r="P55" s="76">
        <f t="shared" si="53"/>
        <v>76.557577410848495</v>
      </c>
      <c r="Q55" s="76">
        <f t="shared" si="53"/>
        <v>-98.683654530186089</v>
      </c>
      <c r="R55" s="76">
        <f t="shared" si="53"/>
        <v>-9.6581032002011113</v>
      </c>
      <c r="S55" s="76">
        <f t="shared" si="53"/>
        <v>-36.206721331643102</v>
      </c>
      <c r="T55" s="76">
        <f t="shared" si="53"/>
        <v>-2.9645854394325823</v>
      </c>
      <c r="U55" s="76">
        <f t="shared" si="53"/>
        <v>1.0033055729392544</v>
      </c>
      <c r="V55" s="76">
        <f t="shared" si="53"/>
        <v>-55.727653952513137</v>
      </c>
    </row>
    <row r="56" spans="1:22" s="3" customFormat="1" x14ac:dyDescent="0.25">
      <c r="A56" s="44" t="s">
        <v>37</v>
      </c>
      <c r="B56" s="76" t="e">
        <f>[1]!SWTEST(B28:B43)</f>
        <v>#VALUE!</v>
      </c>
      <c r="C56" s="76">
        <f>[1]!SWTEST(C28:C43)</f>
        <v>1.0313252484361879E-4</v>
      </c>
      <c r="D56" s="76">
        <f>[1]!SWTEST(D28:D43)</f>
        <v>2.9473687852554775E-6</v>
      </c>
      <c r="E56" s="76">
        <f>[1]!SWTEST(E28:E43)</f>
        <v>1.0755629061831584E-6</v>
      </c>
      <c r="F56" s="76">
        <f>[1]!SWTEST(F28:F43)</f>
        <v>0.11896737682009928</v>
      </c>
      <c r="G56" s="76">
        <f>[1]!SWTEST(G28:G43)</f>
        <v>6.9980078563638304E-2</v>
      </c>
      <c r="H56" s="76">
        <f>[1]!SWTEST(H28:H43)</f>
        <v>6.572643155390967E-3</v>
      </c>
      <c r="I56" s="76">
        <f>[1]!SWTEST(I28:I43)</f>
        <v>1.1006082082354318E-4</v>
      </c>
      <c r="J56" s="76">
        <f>[1]!SWTEST(J28:J43)</f>
        <v>1.8329689749907452E-5</v>
      </c>
      <c r="K56" s="76">
        <f>[1]!SWTEST(K28:K43)</f>
        <v>4.1302930223752199E-6</v>
      </c>
      <c r="L56" s="76">
        <f>[1]!SWTEST(L28:L43)</f>
        <v>1.0472313157761093E-6</v>
      </c>
      <c r="M56" s="76" t="e">
        <f>[1]!SWTEST(M28:M43)</f>
        <v>#VALUE!</v>
      </c>
      <c r="N56" s="76"/>
      <c r="O56" s="76">
        <f>[1]!SWTEST(O28:O43)</f>
        <v>0.4615456475959091</v>
      </c>
      <c r="P56" s="76">
        <f>[1]!SWTEST(P28:P43)</f>
        <v>0.24895504101870869</v>
      </c>
      <c r="Q56" s="76">
        <f>[1]!SWTEST(Q28:Q43)</f>
        <v>2.3098143070476862E-4</v>
      </c>
      <c r="R56" s="76">
        <f>[1]!SWTEST(R28:R43)</f>
        <v>0.86787264078057191</v>
      </c>
      <c r="S56" s="76">
        <f>[1]!SWTEST(S28:S43)</f>
        <v>1.4067617330316362E-2</v>
      </c>
      <c r="T56" s="76">
        <f>[1]!SWTEST(T28:T43)</f>
        <v>0.37672490511931556</v>
      </c>
      <c r="U56" s="76">
        <f>[1]!SWTEST(U28:U43)</f>
        <v>0.58938058924317249</v>
      </c>
      <c r="V56" s="76">
        <f>[1]!SWTEST(V28:V43)</f>
        <v>1.2481304309420738E-3</v>
      </c>
    </row>
    <row r="57" spans="1:22" s="3" customFormat="1" x14ac:dyDescent="0.25">
      <c r="A57" s="44" t="s">
        <v>38</v>
      </c>
      <c r="B57" s="76" t="e">
        <f>IF(B56&gt;0.05,"Oui","Non")</f>
        <v>#VALUE!</v>
      </c>
      <c r="C57" s="76" t="str">
        <f t="shared" ref="C57:V57" si="54">IF(C56&gt;0.05,"Oui","Non")</f>
        <v>Non</v>
      </c>
      <c r="D57" s="76" t="str">
        <f t="shared" si="54"/>
        <v>Non</v>
      </c>
      <c r="E57" s="76" t="str">
        <f t="shared" si="54"/>
        <v>Non</v>
      </c>
      <c r="F57" s="76" t="str">
        <f t="shared" si="54"/>
        <v>Oui</v>
      </c>
      <c r="G57" s="76" t="str">
        <f t="shared" si="54"/>
        <v>Oui</v>
      </c>
      <c r="H57" s="76" t="str">
        <f t="shared" si="54"/>
        <v>Non</v>
      </c>
      <c r="I57" s="76" t="str">
        <f t="shared" si="54"/>
        <v>Non</v>
      </c>
      <c r="J57" s="76" t="str">
        <f t="shared" si="54"/>
        <v>Non</v>
      </c>
      <c r="K57" s="76" t="str">
        <f t="shared" si="54"/>
        <v>Non</v>
      </c>
      <c r="L57" s="76" t="str">
        <f t="shared" si="54"/>
        <v>Non</v>
      </c>
      <c r="M57" s="76" t="e">
        <f t="shared" si="54"/>
        <v>#VALUE!</v>
      </c>
      <c r="N57" s="76"/>
      <c r="O57" s="76" t="str">
        <f t="shared" si="54"/>
        <v>Oui</v>
      </c>
      <c r="P57" s="76" t="str">
        <f t="shared" si="54"/>
        <v>Oui</v>
      </c>
      <c r="Q57" s="76" t="str">
        <f t="shared" si="54"/>
        <v>Non</v>
      </c>
      <c r="R57" s="76" t="str">
        <f t="shared" si="54"/>
        <v>Oui</v>
      </c>
      <c r="S57" s="76" t="str">
        <f t="shared" si="54"/>
        <v>Non</v>
      </c>
      <c r="T57" s="76" t="str">
        <f t="shared" si="54"/>
        <v>Oui</v>
      </c>
      <c r="U57" s="76" t="str">
        <f t="shared" si="54"/>
        <v>Oui</v>
      </c>
      <c r="V57" s="76" t="str">
        <f t="shared" si="54"/>
        <v>Non</v>
      </c>
    </row>
    <row r="58" spans="1:22" s="3" customFormat="1" x14ac:dyDescent="0.25">
      <c r="A58" s="44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8"/>
      <c r="O58" s="79"/>
      <c r="P58" s="76"/>
      <c r="Q58" s="76"/>
      <c r="R58" s="76"/>
      <c r="S58" s="76"/>
      <c r="T58" s="76"/>
      <c r="U58" s="76"/>
      <c r="V58" s="76"/>
    </row>
    <row r="59" spans="1:22" s="3" customFormat="1" x14ac:dyDescent="0.25">
      <c r="A59" s="44" t="s">
        <v>39</v>
      </c>
      <c r="B59" s="80"/>
      <c r="C59" s="80" t="e">
        <f t="shared" ref="C59:O59" si="55">IF($B57="Non",IF(C57="Non","MW",IF(C57="Oui","MW","")),IF($B57="Oui",IF(C57="Oui","T-Test Welch",IF(C57="Non","MW",""))))</f>
        <v>#VALUE!</v>
      </c>
      <c r="D59" s="80" t="e">
        <f t="shared" si="55"/>
        <v>#VALUE!</v>
      </c>
      <c r="E59" s="80" t="e">
        <f t="shared" si="55"/>
        <v>#VALUE!</v>
      </c>
      <c r="F59" s="80" t="e">
        <f t="shared" si="55"/>
        <v>#VALUE!</v>
      </c>
      <c r="G59" s="80" t="e">
        <f t="shared" si="55"/>
        <v>#VALUE!</v>
      </c>
      <c r="H59" s="80" t="e">
        <f t="shared" si="55"/>
        <v>#VALUE!</v>
      </c>
      <c r="I59" s="80" t="e">
        <f t="shared" si="55"/>
        <v>#VALUE!</v>
      </c>
      <c r="J59" s="80" t="e">
        <f t="shared" si="55"/>
        <v>#VALUE!</v>
      </c>
      <c r="K59" s="80" t="e">
        <f t="shared" si="55"/>
        <v>#VALUE!</v>
      </c>
      <c r="L59" s="80" t="e">
        <f t="shared" si="55"/>
        <v>#VALUE!</v>
      </c>
      <c r="M59" s="80" t="e">
        <f t="shared" si="55"/>
        <v>#VALUE!</v>
      </c>
      <c r="N59" s="80"/>
      <c r="O59" s="80" t="e">
        <f t="shared" si="55"/>
        <v>#VALUE!</v>
      </c>
      <c r="P59" s="80" t="str">
        <f t="shared" ref="P59:V59" si="56">IF($O57="Non",IF(P57="Non","MW",IF(P57="Oui","MW","")),IF($O57="Oui",IF(P57="Oui","T-Test Welch",IF(P57="Non","MW",""))))</f>
        <v>T-Test Welch</v>
      </c>
      <c r="Q59" s="80" t="str">
        <f t="shared" si="56"/>
        <v>MW</v>
      </c>
      <c r="R59" s="80" t="str">
        <f t="shared" si="56"/>
        <v>T-Test Welch</v>
      </c>
      <c r="S59" s="80" t="str">
        <f t="shared" si="56"/>
        <v>MW</v>
      </c>
      <c r="T59" s="80" t="str">
        <f t="shared" si="56"/>
        <v>T-Test Welch</v>
      </c>
      <c r="U59" s="80" t="str">
        <f t="shared" si="56"/>
        <v>T-Test Welch</v>
      </c>
      <c r="V59" s="80" t="str">
        <f t="shared" si="56"/>
        <v>MW</v>
      </c>
    </row>
    <row r="60" spans="1:22" s="3" customFormat="1" x14ac:dyDescent="0.25">
      <c r="A60" s="44" t="s">
        <v>40</v>
      </c>
      <c r="B60" s="81"/>
      <c r="C60" s="81" t="e">
        <f>IF(C59="MW",[1]!MTEST($B28:$B43,C28:C43,2), IF(C59="T-Test Welch",_xlfn.T.TEST($B28:$B43,C28:C43,2,3),""))</f>
        <v>#VALUE!</v>
      </c>
      <c r="D60" s="81" t="e">
        <f>IF(D59="MW",[1]!MTEST($B28:$B43,D28:D43,2), IF(D59="T-Test Welch",_xlfn.T.TEST($B28:$B43,D28:D43,2,3),""))</f>
        <v>#VALUE!</v>
      </c>
      <c r="E60" s="81" t="e">
        <f>IF(E59="MW",[1]!MTEST($B28:$B43,E28:E43,2), IF(E59="T-Test Welch",_xlfn.T.TEST($B28:$B43,E28:E43,2,3),""))</f>
        <v>#VALUE!</v>
      </c>
      <c r="F60" s="81" t="e">
        <f>IF(F59="MW",[1]!MTEST($B28:$B43,F28:F43,2), IF(F59="T-Test Welch",_xlfn.T.TEST($B28:$B43,F28:F43,2,3),""))</f>
        <v>#VALUE!</v>
      </c>
      <c r="G60" s="81" t="e">
        <f>IF(G59="MW",[1]!MTEST($B28:$B43,G28:G43,2), IF(G59="T-Test Welch",_xlfn.T.TEST($B28:$B43,G28:G43,2,3),""))</f>
        <v>#VALUE!</v>
      </c>
      <c r="H60" s="81" t="e">
        <f>IF(H59="MW",[1]!MTEST($B28:$B43,H28:H43,2), IF(H59="T-Test Welch",_xlfn.T.TEST($B28:$B43,H28:H43,2,3),""))</f>
        <v>#VALUE!</v>
      </c>
      <c r="I60" s="81" t="e">
        <f>IF(I59="MW",[1]!MTEST($B28:$B43,I28:I43,2), IF(I59="T-Test Welch",_xlfn.T.TEST($B28:$B43,I28:I43,2,3),""))</f>
        <v>#VALUE!</v>
      </c>
      <c r="J60" s="81" t="e">
        <f>IF(J59="MW",[1]!MTEST($B28:$B43,J28:J43,2), IF(J59="T-Test Welch",_xlfn.T.TEST($B28:$B43,J28:J43,2,3),""))</f>
        <v>#VALUE!</v>
      </c>
      <c r="K60" s="81" t="e">
        <f>IF(K59="MW",[1]!MTEST($B28:$B43,K28:K43,2), IF(K59="T-Test Welch",_xlfn.T.TEST($B28:$B43,K28:K43,2,3),""))</f>
        <v>#VALUE!</v>
      </c>
      <c r="L60" s="81" t="e">
        <f>IF(L59="MW",[1]!MTEST($B28:$B43,L28:L43,2), IF(L59="T-Test Welch",_xlfn.T.TEST($B28:$B43,L28:L43,2,3),""))</f>
        <v>#VALUE!</v>
      </c>
      <c r="M60" s="81" t="e">
        <f>IF(M59="MW",[1]!MTEST($B28:$B43,M28:M43,2), IF(M59="T-Test Welch",_xlfn.T.TEST($B28:$B43,M28:M43,2,3),""))</f>
        <v>#VALUE!</v>
      </c>
      <c r="N60" s="81"/>
      <c r="O60" s="81" t="e">
        <f>IF(O59="MW",[1]!MTEST($B28:$B43,O28:O43,2), IF(O59="T-Test Welch",_xlfn.T.TEST($B28:$B43,O28:O43,2,3),""))</f>
        <v>#VALUE!</v>
      </c>
      <c r="P60" s="81">
        <f>IF(P59="MW",[1]!MTEST($O28:$O43,P28:P43,2), IF(P59="T-Test Welch",_xlfn.T.TEST($O28:$O43,P28:P43,2,3),""))</f>
        <v>6.5007743344579171E-3</v>
      </c>
      <c r="Q60" s="81">
        <f>IF(Q59="MW",[1]!MTEST($O28:$O43,Q28:Q43,2), IF(Q59="T-Test Welch",_xlfn.T.TEST($O28:$O43,Q28:Q43,2,3),""))</f>
        <v>8.884941911446731E-5</v>
      </c>
      <c r="R60" s="81">
        <f>IF(R59="MW",[1]!MTEST($O28:$O43,R28:R43,2), IF(R59="T-Test Welch",_xlfn.T.TEST($O28:$O43,R28:R43,2,3),""))</f>
        <v>0.69065227863317191</v>
      </c>
      <c r="S60" s="81">
        <f>IF(S59="MW",[1]!MTEST($O28:$O43,S28:S43,2), IF(S59="T-Test Welch",_xlfn.T.TEST($O28:$O43,S28:S43,2,3),""))</f>
        <v>0.12578642463893996</v>
      </c>
      <c r="T60" s="81">
        <f>IF(T59="MW",[1]!MTEST($O28:$O43,T28:T43,2), IF(T59="T-Test Welch",_xlfn.T.TEST($O28:$O43,T28:T43,2,3),""))</f>
        <v>0.91208025188383446</v>
      </c>
      <c r="U60" s="81">
        <f>IF(U59="MW",[1]!MTEST($O28:$O43,U28:U43,2), IF(U59="T-Test Welch",_xlfn.T.TEST($O28:$O43,U28:U43,2,3),""))</f>
        <v>0.96998372611823802</v>
      </c>
      <c r="V60" s="81">
        <f>IF(V59="MW",[1]!MTEST($O28:$O43,V28:V43,2), IF(V59="T-Test Welch",_xlfn.T.TEST($O28:$O43,V28:V43,2,3),""))</f>
        <v>3.2088733978231199E-2</v>
      </c>
    </row>
    <row r="61" spans="1:22" s="3" customFormat="1" ht="15.75" thickBot="1" x14ac:dyDescent="0.3">
      <c r="A61" s="45" t="s">
        <v>15</v>
      </c>
      <c r="B61" s="77"/>
      <c r="C61" s="77" t="e">
        <f t="shared" ref="C61:O61" si="57">IF(C60&gt;0.05,"NS",IF(C60&gt;0.01,"*",IF(C60&gt;0.001,"**","***")))</f>
        <v>#VALUE!</v>
      </c>
      <c r="D61" s="77" t="e">
        <f t="shared" si="57"/>
        <v>#VALUE!</v>
      </c>
      <c r="E61" s="77" t="e">
        <f t="shared" si="57"/>
        <v>#VALUE!</v>
      </c>
      <c r="F61" s="77" t="e">
        <f t="shared" si="57"/>
        <v>#VALUE!</v>
      </c>
      <c r="G61" s="77" t="e">
        <f t="shared" si="57"/>
        <v>#VALUE!</v>
      </c>
      <c r="H61" s="77" t="e">
        <f t="shared" si="57"/>
        <v>#VALUE!</v>
      </c>
      <c r="I61" s="77" t="e">
        <f t="shared" si="57"/>
        <v>#VALUE!</v>
      </c>
      <c r="J61" s="77" t="e">
        <f t="shared" si="57"/>
        <v>#VALUE!</v>
      </c>
      <c r="K61" s="77" t="e">
        <f t="shared" si="57"/>
        <v>#VALUE!</v>
      </c>
      <c r="L61" s="77" t="e">
        <f t="shared" si="57"/>
        <v>#VALUE!</v>
      </c>
      <c r="M61" s="77" t="e">
        <f t="shared" si="57"/>
        <v>#VALUE!</v>
      </c>
      <c r="N61" s="77"/>
      <c r="O61" s="77" t="e">
        <f t="shared" si="57"/>
        <v>#VALUE!</v>
      </c>
      <c r="P61" s="77" t="str">
        <f>IF(P60&gt;0.05,"NS",IF(P60&gt;0.01,"*",IF(P60&gt;0.001,"**","***")))</f>
        <v>**</v>
      </c>
      <c r="Q61" s="77" t="str">
        <f t="shared" ref="Q61:V61" si="58">IF(Q60&gt;0.05,"NS",IF(Q60&gt;0.01,"*",IF(Q60&gt;0.001,"**","***")))</f>
        <v>***</v>
      </c>
      <c r="R61" s="77" t="str">
        <f t="shared" si="58"/>
        <v>NS</v>
      </c>
      <c r="S61" s="77" t="str">
        <f t="shared" si="58"/>
        <v>NS</v>
      </c>
      <c r="T61" s="77" t="str">
        <f t="shared" si="58"/>
        <v>NS</v>
      </c>
      <c r="U61" s="77" t="str">
        <f t="shared" si="58"/>
        <v>NS</v>
      </c>
      <c r="V61" s="77" t="str">
        <f t="shared" si="58"/>
        <v>*</v>
      </c>
    </row>
    <row r="63" spans="1:22" x14ac:dyDescent="0.25">
      <c r="A63" s="2"/>
    </row>
    <row r="66" spans="1:22" ht="15.75" thickBot="1" x14ac:dyDescent="0.3"/>
    <row r="67" spans="1:22" ht="27" thickBot="1" x14ac:dyDescent="0.45">
      <c r="A67" s="135"/>
      <c r="B67" s="136"/>
      <c r="C67" s="136"/>
      <c r="D67" s="136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</row>
    <row r="68" spans="1:22" ht="16.5" x14ac:dyDescent="0.25">
      <c r="A68" s="11"/>
      <c r="B68" s="11"/>
      <c r="C68" s="11"/>
      <c r="D68" s="11"/>
      <c r="E68" s="11"/>
      <c r="F68" s="11"/>
      <c r="N68" s="11"/>
      <c r="O68" s="11"/>
      <c r="P68" s="11"/>
      <c r="Q68" s="11"/>
      <c r="R68" s="11"/>
      <c r="S68" s="11"/>
      <c r="T68" s="11"/>
      <c r="U68" s="11"/>
      <c r="V68" s="11"/>
    </row>
    <row r="69" spans="1:22" ht="16.5" x14ac:dyDescent="0.25">
      <c r="A69" s="11"/>
      <c r="B69" s="11"/>
      <c r="C69" s="11"/>
      <c r="D69" s="11"/>
      <c r="E69" s="11"/>
      <c r="F69" s="11"/>
      <c r="N69" s="11"/>
      <c r="O69" s="11"/>
      <c r="P69" s="11"/>
      <c r="Q69" s="11"/>
      <c r="R69" s="11"/>
      <c r="S69" s="11"/>
      <c r="T69" s="11"/>
      <c r="U69" s="11"/>
      <c r="V69" s="11"/>
    </row>
    <row r="70" spans="1:22" ht="16.5" x14ac:dyDescent="0.25">
      <c r="A70" s="11"/>
      <c r="B70" s="11"/>
      <c r="C70" s="11"/>
      <c r="D70" s="11"/>
      <c r="E70" s="11"/>
      <c r="F70" s="11"/>
      <c r="N70" s="11"/>
      <c r="O70" s="11"/>
      <c r="P70" s="11"/>
      <c r="Q70" s="11"/>
      <c r="R70" s="11"/>
      <c r="S70" s="11"/>
      <c r="T70" s="11"/>
      <c r="U70" s="11"/>
      <c r="V70" s="11"/>
    </row>
    <row r="71" spans="1:22" ht="16.5" x14ac:dyDescent="0.25">
      <c r="A71" s="11"/>
      <c r="B71" s="11"/>
      <c r="C71" s="11"/>
      <c r="D71" s="11"/>
      <c r="E71" s="11"/>
      <c r="F71" s="11"/>
      <c r="N71" s="11"/>
      <c r="O71" s="11"/>
      <c r="P71" s="11"/>
      <c r="Q71" s="11"/>
      <c r="R71" s="11"/>
      <c r="S71" s="11"/>
      <c r="T71" s="11"/>
      <c r="U71" s="11"/>
      <c r="V71" s="11"/>
    </row>
    <row r="72" spans="1:22" ht="16.5" x14ac:dyDescent="0.25">
      <c r="A72" s="11"/>
      <c r="B72" s="11"/>
      <c r="C72" s="11"/>
      <c r="D72" s="11"/>
      <c r="E72" s="11"/>
      <c r="F72" s="11"/>
      <c r="N72" s="11"/>
      <c r="O72" s="11"/>
      <c r="P72" s="11"/>
      <c r="Q72" s="11"/>
      <c r="R72" s="11"/>
      <c r="S72" s="11"/>
      <c r="T72" s="11"/>
      <c r="U72" s="11"/>
      <c r="V72" s="11"/>
    </row>
    <row r="73" spans="1:22" ht="16.5" x14ac:dyDescent="0.25">
      <c r="A73" s="11"/>
      <c r="B73" s="11"/>
      <c r="C73" s="11"/>
      <c r="D73" s="11"/>
      <c r="E73" s="11"/>
      <c r="F73" s="11"/>
      <c r="N73" s="11"/>
      <c r="O73" s="11"/>
      <c r="P73" s="11"/>
      <c r="Q73" s="11"/>
      <c r="R73" s="11"/>
      <c r="S73" s="11"/>
      <c r="T73" s="11"/>
      <c r="U73" s="11"/>
      <c r="V73" s="11"/>
    </row>
    <row r="74" spans="1:22" ht="16.5" x14ac:dyDescent="0.25">
      <c r="A74" s="11"/>
      <c r="B74" s="11"/>
      <c r="C74" s="11"/>
      <c r="D74" s="11"/>
      <c r="E74" s="11"/>
      <c r="F74" s="11"/>
      <c r="N74" s="11"/>
      <c r="O74" s="11"/>
      <c r="P74" s="11"/>
      <c r="Q74" s="11"/>
      <c r="R74" s="11"/>
      <c r="S74" s="11"/>
      <c r="T74" s="11"/>
      <c r="U74" s="11"/>
      <c r="V74" s="11"/>
    </row>
  </sheetData>
  <protectedRanges>
    <protectedRange sqref="O51:V51" name="Plage2"/>
    <protectedRange sqref="R5:V20" name="Plage1"/>
    <protectedRange sqref="B51:J51" name="Plage2_1"/>
    <protectedRange sqref="O5:O20 B5:J20" name="Plage1_1"/>
  </protectedRanges>
  <mergeCells count="9">
    <mergeCell ref="A1:V1"/>
    <mergeCell ref="A67:V67"/>
    <mergeCell ref="A5:A20"/>
    <mergeCell ref="B3:M3"/>
    <mergeCell ref="O3:V3"/>
    <mergeCell ref="B26:M26"/>
    <mergeCell ref="O26:V26"/>
    <mergeCell ref="A28:A43"/>
    <mergeCell ref="A50:V50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74"/>
  <sheetViews>
    <sheetView showGridLines="0" tabSelected="1" topLeftCell="L1" zoomScale="70" zoomScaleNormal="70" zoomScaleSheetLayoutView="40" zoomScalePageLayoutView="30" workbookViewId="0">
      <selection activeCell="V5" sqref="V5:V12"/>
    </sheetView>
  </sheetViews>
  <sheetFormatPr defaultColWidth="9.140625" defaultRowHeight="15" x14ac:dyDescent="0.25"/>
  <cols>
    <col min="1" max="1" width="33.5703125" style="1" customWidth="1"/>
    <col min="2" max="2" width="14.85546875" style="1" customWidth="1"/>
    <col min="3" max="5" width="25.85546875" style="1" bestFit="1" customWidth="1"/>
    <col min="6" max="8" width="26.42578125" style="1" bestFit="1" customWidth="1"/>
    <col min="9" max="9" width="26.42578125" style="1" customWidth="1"/>
    <col min="10" max="10" width="25.85546875" style="1" bestFit="1" customWidth="1"/>
    <col min="11" max="11" width="26.42578125" style="1" bestFit="1" customWidth="1"/>
    <col min="12" max="13" width="26.42578125" style="1" customWidth="1"/>
    <col min="14" max="14" width="11.7109375" style="1" customWidth="1"/>
    <col min="15" max="15" width="14.85546875" style="1" customWidth="1"/>
    <col min="16" max="16" width="17.7109375" style="1" customWidth="1"/>
    <col min="17" max="18" width="25.85546875" style="1" bestFit="1" customWidth="1"/>
    <col min="19" max="22" width="25.85546875" style="1" customWidth="1"/>
    <col min="23" max="16384" width="9.140625" style="1"/>
  </cols>
  <sheetData>
    <row r="1" spans="1:22" ht="27" thickBot="1" x14ac:dyDescent="0.45">
      <c r="A1" s="133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</row>
    <row r="2" spans="1:22" ht="15.75" thickBot="1" x14ac:dyDescent="0.3"/>
    <row r="3" spans="1:22" ht="15.75" thickBot="1" x14ac:dyDescent="0.3">
      <c r="A3" s="82" t="s">
        <v>9</v>
      </c>
      <c r="B3" s="141" t="s">
        <v>41</v>
      </c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O3" s="141" t="s">
        <v>42</v>
      </c>
      <c r="P3" s="142"/>
      <c r="Q3" s="142"/>
      <c r="R3" s="142"/>
      <c r="S3" s="142"/>
      <c r="T3" s="142"/>
      <c r="U3" s="142"/>
      <c r="V3" s="142"/>
    </row>
    <row r="4" spans="1:22" x14ac:dyDescent="0.25">
      <c r="A4" s="18" t="s">
        <v>36</v>
      </c>
      <c r="B4" s="19" t="str">
        <f>'Front page'!A7</f>
        <v>Solvent control</v>
      </c>
      <c r="C4" s="19" t="str">
        <f>'Front page'!A8</f>
        <v>EE2-33.8ng/L</v>
      </c>
      <c r="D4" s="19" t="str">
        <f>'Front page'!A9</f>
        <v>EE2-50.6ng/L</v>
      </c>
      <c r="E4" s="19" t="str">
        <f>'Front page'!A10</f>
        <v>EE2-76ng/L</v>
      </c>
      <c r="F4" s="19" t="str">
        <f>'Front page'!A11</f>
        <v>EE2-114ng/L</v>
      </c>
      <c r="G4" s="19" t="str">
        <f>'Front page'!A12</f>
        <v>EE2-170.9ng/L</v>
      </c>
      <c r="H4" s="19" t="str">
        <f>'Front page'!A13</f>
        <v>EE2-488ng/L</v>
      </c>
      <c r="I4" s="19" t="str">
        <f>'Front page'!A14</f>
        <v>Chromolyn-0.1µg/L</v>
      </c>
      <c r="J4" s="19" t="str">
        <f>'Front page'!A15</f>
        <v>Chromolyn-1µg/L</v>
      </c>
      <c r="K4" s="19" t="str">
        <f>'Front page'!A16</f>
        <v>Chromolyn-10µg/L</v>
      </c>
      <c r="L4" s="19" t="str">
        <f>'Front page'!A17</f>
        <v>Chromolyn-100µg/L</v>
      </c>
      <c r="M4" s="19" t="str">
        <f>'Front page'!A18</f>
        <v>Chromolyn-1000µg/L</v>
      </c>
      <c r="N4" s="3"/>
      <c r="O4" s="20" t="str">
        <f>'Front page'!A35</f>
        <v>Testo -30µg/L</v>
      </c>
      <c r="P4" s="20" t="str">
        <f>'Front page'!A36</f>
        <v>Testo 30µg/L + EE2 -64ng/L</v>
      </c>
      <c r="Q4" s="20" t="str">
        <f>'Front page'!A37</f>
        <v>Testo 30µg/L + FAD-10mg/L</v>
      </c>
      <c r="R4" s="20" t="str">
        <f>'Front page'!A38</f>
        <v>Chromolyn-0.1µg/L + Testostérone</v>
      </c>
      <c r="S4" s="20" t="str">
        <f>'Front page'!A39</f>
        <v>Chromolyn-1µg/L + Testostérone</v>
      </c>
      <c r="T4" s="20" t="str">
        <f>'Front page'!A40</f>
        <v>Chromolyn-10µg/L + Testostérone</v>
      </c>
      <c r="U4" s="20" t="str">
        <f>'Front page'!A41</f>
        <v>Chromolyn-100µg/L + Testostérone</v>
      </c>
      <c r="V4" s="20" t="str">
        <f>'Front page'!A42</f>
        <v>Chromolyn-1000µg/L + Testostérone</v>
      </c>
    </row>
    <row r="5" spans="1:22" x14ac:dyDescent="0.25">
      <c r="A5" s="137" t="s">
        <v>34</v>
      </c>
      <c r="B5" s="16">
        <v>0</v>
      </c>
      <c r="C5" s="16">
        <v>0</v>
      </c>
      <c r="D5" s="16">
        <v>2331</v>
      </c>
      <c r="E5" s="16">
        <v>258753</v>
      </c>
      <c r="F5" s="16">
        <v>198059</v>
      </c>
      <c r="G5" s="16">
        <v>249128</v>
      </c>
      <c r="H5" s="16">
        <v>237395</v>
      </c>
      <c r="I5" s="16">
        <v>0</v>
      </c>
      <c r="J5" s="16">
        <v>1619</v>
      </c>
      <c r="K5" s="12">
        <v>0</v>
      </c>
      <c r="L5" s="12">
        <v>1114</v>
      </c>
      <c r="M5" s="12">
        <v>0</v>
      </c>
      <c r="N5" s="3"/>
      <c r="O5" s="16">
        <v>83373</v>
      </c>
      <c r="P5" s="12">
        <v>174007</v>
      </c>
      <c r="Q5" s="12">
        <v>407</v>
      </c>
      <c r="R5" s="16">
        <v>322</v>
      </c>
      <c r="S5" s="16">
        <v>23037</v>
      </c>
      <c r="T5" s="16">
        <v>120093</v>
      </c>
      <c r="U5" s="16">
        <v>6407</v>
      </c>
      <c r="V5" s="16">
        <v>158836</v>
      </c>
    </row>
    <row r="6" spans="1:22" ht="16.5" x14ac:dyDescent="0.25">
      <c r="A6" s="138"/>
      <c r="B6" s="13">
        <v>0</v>
      </c>
      <c r="C6" s="12">
        <v>166</v>
      </c>
      <c r="D6" s="16">
        <v>0</v>
      </c>
      <c r="E6" s="16">
        <v>158472</v>
      </c>
      <c r="F6" s="16">
        <v>212090</v>
      </c>
      <c r="G6" s="16">
        <v>180908</v>
      </c>
      <c r="H6" s="16">
        <v>223344</v>
      </c>
      <c r="I6" s="16">
        <v>0</v>
      </c>
      <c r="J6" s="16">
        <v>243</v>
      </c>
      <c r="K6" s="12">
        <v>166</v>
      </c>
      <c r="L6" s="12">
        <v>0</v>
      </c>
      <c r="M6" s="12">
        <v>4806</v>
      </c>
      <c r="N6" s="3"/>
      <c r="O6" s="16">
        <v>0</v>
      </c>
      <c r="P6" s="12">
        <v>261706</v>
      </c>
      <c r="Q6" s="12">
        <v>0</v>
      </c>
      <c r="R6" s="16">
        <v>47729</v>
      </c>
      <c r="S6" s="16">
        <v>188414</v>
      </c>
      <c r="T6" s="16">
        <v>72244</v>
      </c>
      <c r="U6" s="16">
        <v>123077</v>
      </c>
      <c r="V6" s="16">
        <v>87778</v>
      </c>
    </row>
    <row r="7" spans="1:22" ht="16.5" x14ac:dyDescent="0.25">
      <c r="A7" s="138"/>
      <c r="B7" s="13">
        <v>0</v>
      </c>
      <c r="C7" s="12">
        <v>0</v>
      </c>
      <c r="D7" s="16">
        <v>0</v>
      </c>
      <c r="E7" s="16">
        <v>167178</v>
      </c>
      <c r="F7" s="16">
        <v>885</v>
      </c>
      <c r="G7" s="16">
        <v>153207</v>
      </c>
      <c r="H7" s="16">
        <v>255809</v>
      </c>
      <c r="I7" s="16">
        <v>0</v>
      </c>
      <c r="J7" s="16">
        <v>0</v>
      </c>
      <c r="K7" s="12">
        <v>0</v>
      </c>
      <c r="L7" s="12">
        <v>0</v>
      </c>
      <c r="M7" s="12">
        <v>0</v>
      </c>
      <c r="N7" s="3"/>
      <c r="O7" s="16">
        <v>40291</v>
      </c>
      <c r="P7" s="12">
        <v>149587</v>
      </c>
      <c r="Q7" s="12">
        <v>10333</v>
      </c>
      <c r="R7" s="16">
        <v>113972</v>
      </c>
      <c r="S7" s="16">
        <v>21782</v>
      </c>
      <c r="T7" s="16">
        <v>167478</v>
      </c>
      <c r="U7" s="16">
        <v>87113</v>
      </c>
      <c r="V7" s="16">
        <v>33915</v>
      </c>
    </row>
    <row r="8" spans="1:22" ht="16.5" x14ac:dyDescent="0.25">
      <c r="A8" s="138"/>
      <c r="B8" s="13">
        <v>0</v>
      </c>
      <c r="C8" s="12">
        <v>0</v>
      </c>
      <c r="D8" s="16">
        <v>0</v>
      </c>
      <c r="E8" s="16">
        <v>209241</v>
      </c>
      <c r="F8" s="16">
        <v>114671</v>
      </c>
      <c r="G8" s="16">
        <v>202187</v>
      </c>
      <c r="H8" s="16">
        <v>332490</v>
      </c>
      <c r="I8" s="16">
        <v>320</v>
      </c>
      <c r="J8" s="16">
        <v>1044</v>
      </c>
      <c r="K8" s="12">
        <v>0</v>
      </c>
      <c r="L8" s="12">
        <v>0</v>
      </c>
      <c r="M8" s="12">
        <v>0</v>
      </c>
      <c r="N8" s="3"/>
      <c r="O8" s="16">
        <v>199795</v>
      </c>
      <c r="P8" s="12">
        <v>269003</v>
      </c>
      <c r="Q8" s="12">
        <v>0</v>
      </c>
      <c r="R8" s="16">
        <v>144929</v>
      </c>
      <c r="S8" s="16">
        <v>208796</v>
      </c>
      <c r="T8" s="16">
        <v>0</v>
      </c>
      <c r="U8" s="16">
        <v>93641</v>
      </c>
      <c r="V8" s="16">
        <v>0</v>
      </c>
    </row>
    <row r="9" spans="1:22" ht="16.5" x14ac:dyDescent="0.25">
      <c r="A9" s="138"/>
      <c r="B9" s="13">
        <v>0</v>
      </c>
      <c r="C9" s="12">
        <v>1059</v>
      </c>
      <c r="D9" s="16">
        <v>97478</v>
      </c>
      <c r="E9" s="16">
        <v>136024</v>
      </c>
      <c r="F9" s="16">
        <v>5589</v>
      </c>
      <c r="G9" s="16">
        <v>102537</v>
      </c>
      <c r="H9" s="16">
        <v>251072</v>
      </c>
      <c r="I9" s="16">
        <v>0</v>
      </c>
      <c r="J9" s="16">
        <v>330</v>
      </c>
      <c r="K9" s="12">
        <v>81</v>
      </c>
      <c r="L9" s="12">
        <v>0</v>
      </c>
      <c r="M9" s="12">
        <v>0</v>
      </c>
      <c r="N9" s="3"/>
      <c r="O9" s="16">
        <v>136530</v>
      </c>
      <c r="P9" s="12">
        <v>247474</v>
      </c>
      <c r="Q9" s="12">
        <v>5399</v>
      </c>
      <c r="R9" s="16">
        <v>150935</v>
      </c>
      <c r="S9" s="16">
        <v>116801</v>
      </c>
      <c r="T9" s="16">
        <v>61096</v>
      </c>
      <c r="U9" s="16">
        <v>218055</v>
      </c>
      <c r="V9" s="16">
        <v>255405</v>
      </c>
    </row>
    <row r="10" spans="1:22" ht="16.5" x14ac:dyDescent="0.25">
      <c r="A10" s="138"/>
      <c r="B10" s="13">
        <v>0</v>
      </c>
      <c r="C10" s="12">
        <v>13490</v>
      </c>
      <c r="D10" s="16">
        <v>0</v>
      </c>
      <c r="E10" s="16">
        <v>211579</v>
      </c>
      <c r="F10" s="16">
        <v>22437</v>
      </c>
      <c r="G10" s="16">
        <v>214678</v>
      </c>
      <c r="H10" s="16">
        <v>249573</v>
      </c>
      <c r="I10" s="16">
        <v>998</v>
      </c>
      <c r="J10" s="16">
        <v>0</v>
      </c>
      <c r="K10" s="12">
        <v>0</v>
      </c>
      <c r="L10" s="12">
        <v>242</v>
      </c>
      <c r="M10" s="12">
        <v>0</v>
      </c>
      <c r="N10" s="3"/>
      <c r="O10" s="16">
        <v>187266</v>
      </c>
      <c r="P10" s="12">
        <v>184463</v>
      </c>
      <c r="Q10" s="12">
        <v>0</v>
      </c>
      <c r="R10" s="16">
        <v>132914</v>
      </c>
      <c r="S10" s="16">
        <v>110196</v>
      </c>
      <c r="T10" s="16">
        <v>46558</v>
      </c>
      <c r="U10" s="16">
        <v>86246</v>
      </c>
      <c r="V10" s="16">
        <v>13161</v>
      </c>
    </row>
    <row r="11" spans="1:22" ht="16.5" x14ac:dyDescent="0.25">
      <c r="A11" s="138"/>
      <c r="B11" s="13">
        <v>0</v>
      </c>
      <c r="C11" s="12">
        <v>0</v>
      </c>
      <c r="D11" s="16">
        <v>330</v>
      </c>
      <c r="E11" s="16">
        <v>250327</v>
      </c>
      <c r="F11" s="16">
        <v>176938</v>
      </c>
      <c r="G11" s="16">
        <v>282967</v>
      </c>
      <c r="H11" s="16">
        <v>307494</v>
      </c>
      <c r="I11" s="16">
        <v>485</v>
      </c>
      <c r="J11" s="16">
        <v>82</v>
      </c>
      <c r="K11" s="12">
        <v>6082</v>
      </c>
      <c r="L11" s="12">
        <v>325</v>
      </c>
      <c r="M11" s="12">
        <v>4126</v>
      </c>
      <c r="N11" s="3"/>
      <c r="O11" s="16">
        <v>0</v>
      </c>
      <c r="P11" s="12">
        <v>194592</v>
      </c>
      <c r="Q11" s="12">
        <v>2181</v>
      </c>
      <c r="R11" s="16">
        <v>179764</v>
      </c>
      <c r="S11" s="16">
        <v>167128</v>
      </c>
      <c r="T11" s="16">
        <v>177260</v>
      </c>
      <c r="U11" s="16">
        <v>59529</v>
      </c>
      <c r="V11" s="16">
        <v>180591</v>
      </c>
    </row>
    <row r="12" spans="1:22" ht="16.5" x14ac:dyDescent="0.25">
      <c r="A12" s="138"/>
      <c r="B12" s="13">
        <v>87</v>
      </c>
      <c r="C12" s="12">
        <v>0</v>
      </c>
      <c r="D12" s="16">
        <v>647</v>
      </c>
      <c r="E12" s="16">
        <v>96794</v>
      </c>
      <c r="F12" s="16">
        <v>15818</v>
      </c>
      <c r="G12" s="16">
        <v>80695</v>
      </c>
      <c r="H12" s="16">
        <v>284809</v>
      </c>
      <c r="I12" s="16">
        <v>0</v>
      </c>
      <c r="J12" s="16">
        <v>0</v>
      </c>
      <c r="K12" s="12">
        <v>5792</v>
      </c>
      <c r="L12" s="12">
        <v>10630</v>
      </c>
      <c r="M12" s="12">
        <v>2001</v>
      </c>
      <c r="N12" s="3"/>
      <c r="O12" s="16">
        <v>133251</v>
      </c>
      <c r="P12" s="12">
        <v>246845</v>
      </c>
      <c r="Q12" s="12">
        <v>0</v>
      </c>
      <c r="R12" s="16">
        <v>29845</v>
      </c>
      <c r="S12" s="16">
        <v>0</v>
      </c>
      <c r="T12" s="16">
        <v>35046</v>
      </c>
      <c r="U12" s="16">
        <v>84323</v>
      </c>
      <c r="V12" s="16">
        <v>210261</v>
      </c>
    </row>
    <row r="13" spans="1:22" ht="16.5" x14ac:dyDescent="0.25">
      <c r="A13" s="138"/>
      <c r="B13" s="13"/>
      <c r="C13" s="12"/>
      <c r="D13" s="16"/>
      <c r="E13" s="16"/>
      <c r="F13" s="16"/>
      <c r="G13" s="16"/>
      <c r="H13" s="16"/>
      <c r="I13" s="16"/>
      <c r="J13" s="16"/>
      <c r="K13" s="12"/>
      <c r="L13" s="12"/>
      <c r="M13" s="12"/>
      <c r="N13" s="3"/>
      <c r="O13" s="16">
        <v>192609</v>
      </c>
      <c r="P13" s="12"/>
      <c r="Q13" s="12"/>
      <c r="R13" s="16"/>
      <c r="S13" s="16"/>
      <c r="T13" s="16"/>
      <c r="U13" s="16"/>
      <c r="V13" s="16"/>
    </row>
    <row r="14" spans="1:22" ht="16.5" x14ac:dyDescent="0.25">
      <c r="A14" s="138"/>
      <c r="B14" s="13"/>
      <c r="C14" s="16"/>
      <c r="D14" s="16"/>
      <c r="E14" s="16"/>
      <c r="F14" s="16"/>
      <c r="G14" s="16"/>
      <c r="H14" s="16"/>
      <c r="I14" s="16"/>
      <c r="J14" s="16"/>
      <c r="K14" s="12"/>
      <c r="L14" s="12"/>
      <c r="M14" s="12"/>
      <c r="N14" s="3"/>
      <c r="O14" s="16">
        <v>216661</v>
      </c>
      <c r="P14" s="12"/>
      <c r="Q14" s="12"/>
      <c r="R14" s="16"/>
      <c r="S14" s="16"/>
      <c r="T14" s="16"/>
      <c r="U14" s="16"/>
      <c r="V14" s="16"/>
    </row>
    <row r="15" spans="1:22" ht="16.5" x14ac:dyDescent="0.25">
      <c r="A15" s="138"/>
      <c r="B15" s="13"/>
      <c r="C15" s="16"/>
      <c r="D15" s="16"/>
      <c r="E15" s="16"/>
      <c r="F15" s="16"/>
      <c r="G15" s="16"/>
      <c r="H15" s="16"/>
      <c r="I15" s="16"/>
      <c r="J15" s="16"/>
      <c r="K15" s="12"/>
      <c r="L15" s="12"/>
      <c r="M15" s="12"/>
      <c r="N15" s="3"/>
      <c r="O15" s="16">
        <v>262265</v>
      </c>
      <c r="P15" s="12"/>
      <c r="Q15" s="12"/>
      <c r="R15" s="16"/>
      <c r="S15" s="16"/>
      <c r="T15" s="16"/>
      <c r="U15" s="16"/>
      <c r="V15" s="16"/>
    </row>
    <row r="16" spans="1:22" ht="16.5" x14ac:dyDescent="0.25">
      <c r="A16" s="138"/>
      <c r="B16" s="13"/>
      <c r="C16" s="16"/>
      <c r="D16" s="16"/>
      <c r="E16" s="16"/>
      <c r="F16" s="16"/>
      <c r="G16" s="16"/>
      <c r="H16" s="16"/>
      <c r="I16" s="16"/>
      <c r="J16" s="16"/>
      <c r="K16" s="12"/>
      <c r="L16" s="12"/>
      <c r="M16" s="12"/>
      <c r="N16" s="3"/>
      <c r="O16" s="16">
        <v>64732</v>
      </c>
      <c r="P16" s="12"/>
      <c r="Q16" s="12"/>
      <c r="R16" s="16"/>
      <c r="S16" s="16"/>
      <c r="T16" s="16"/>
      <c r="U16" s="16"/>
      <c r="V16" s="16"/>
    </row>
    <row r="17" spans="1:22" ht="16.5" x14ac:dyDescent="0.25">
      <c r="A17" s="138"/>
      <c r="B17" s="13"/>
      <c r="C17" s="16"/>
      <c r="D17" s="16"/>
      <c r="E17" s="16"/>
      <c r="F17" s="16"/>
      <c r="G17" s="16"/>
      <c r="H17" s="16"/>
      <c r="I17" s="16"/>
      <c r="J17" s="16"/>
      <c r="K17" s="12"/>
      <c r="L17" s="12"/>
      <c r="M17" s="12"/>
      <c r="N17" s="3"/>
      <c r="O17" s="16">
        <v>173287</v>
      </c>
      <c r="P17" s="12"/>
      <c r="Q17" s="12"/>
      <c r="R17" s="16"/>
      <c r="S17" s="16"/>
      <c r="T17" s="16"/>
      <c r="U17" s="16"/>
      <c r="V17" s="16"/>
    </row>
    <row r="18" spans="1:22" ht="16.5" x14ac:dyDescent="0.25">
      <c r="A18" s="138"/>
      <c r="B18" s="13"/>
      <c r="C18" s="16"/>
      <c r="D18" s="16"/>
      <c r="E18" s="16"/>
      <c r="F18" s="16"/>
      <c r="G18" s="16"/>
      <c r="H18" s="16"/>
      <c r="I18" s="16"/>
      <c r="J18" s="16"/>
      <c r="K18" s="12"/>
      <c r="L18" s="12"/>
      <c r="M18" s="12"/>
      <c r="N18" s="3"/>
      <c r="O18" s="16">
        <v>81271</v>
      </c>
      <c r="P18" s="12"/>
      <c r="Q18" s="12"/>
      <c r="R18" s="16"/>
      <c r="S18" s="16"/>
      <c r="T18" s="16"/>
      <c r="U18" s="16"/>
      <c r="V18" s="16"/>
    </row>
    <row r="19" spans="1:22" ht="16.5" x14ac:dyDescent="0.25">
      <c r="A19" s="138"/>
      <c r="B19" s="13"/>
      <c r="C19" s="16"/>
      <c r="D19" s="16"/>
      <c r="E19" s="16"/>
      <c r="F19" s="16"/>
      <c r="G19" s="16"/>
      <c r="H19" s="16"/>
      <c r="I19" s="16"/>
      <c r="J19" s="16"/>
      <c r="K19" s="12"/>
      <c r="L19" s="12"/>
      <c r="M19" s="12"/>
      <c r="N19" s="3"/>
      <c r="O19" s="16">
        <v>106225</v>
      </c>
      <c r="P19" s="12"/>
      <c r="Q19" s="12"/>
      <c r="R19" s="16"/>
      <c r="S19" s="16"/>
      <c r="T19" s="16"/>
      <c r="U19" s="16"/>
      <c r="V19" s="16"/>
    </row>
    <row r="20" spans="1:22" ht="16.5" x14ac:dyDescent="0.25">
      <c r="A20" s="138"/>
      <c r="B20" s="13"/>
      <c r="C20" s="16"/>
      <c r="D20" s="16"/>
      <c r="E20" s="16"/>
      <c r="F20" s="16"/>
      <c r="G20" s="16"/>
      <c r="H20" s="16"/>
      <c r="I20" s="16"/>
      <c r="J20" s="16"/>
      <c r="K20" s="12"/>
      <c r="L20" s="12"/>
      <c r="M20" s="12"/>
      <c r="N20" s="3"/>
      <c r="O20" s="16">
        <v>26482</v>
      </c>
      <c r="P20" s="12"/>
      <c r="Q20" s="12"/>
      <c r="R20" s="16"/>
      <c r="S20" s="16"/>
      <c r="T20" s="16"/>
      <c r="U20" s="16"/>
      <c r="V20" s="16"/>
    </row>
    <row r="21" spans="1:22" x14ac:dyDescent="0.25">
      <c r="A21" s="48"/>
      <c r="B21" s="6"/>
      <c r="C21" s="6"/>
      <c r="D21" s="6"/>
      <c r="E21" s="6"/>
      <c r="F21" s="6"/>
      <c r="G21" s="6"/>
      <c r="H21" s="6"/>
      <c r="I21" s="6"/>
      <c r="J21" s="6"/>
      <c r="N21" s="3"/>
      <c r="O21" s="6"/>
      <c r="R21" s="6"/>
      <c r="S21" s="6"/>
      <c r="T21" s="6"/>
      <c r="U21" s="6"/>
      <c r="V21" s="6"/>
    </row>
    <row r="22" spans="1:22" x14ac:dyDescent="0.25">
      <c r="A22" s="50" t="str">
        <f t="shared" ref="A22" si="0">A4</f>
        <v>Group names</v>
      </c>
      <c r="B22" s="3" t="str">
        <f t="shared" ref="B22:V22" si="1">B4</f>
        <v>Solvent control</v>
      </c>
      <c r="C22" s="3" t="str">
        <f t="shared" si="1"/>
        <v>EE2-33.8ng/L</v>
      </c>
      <c r="D22" s="3" t="str">
        <f t="shared" si="1"/>
        <v>EE2-50.6ng/L</v>
      </c>
      <c r="E22" s="3" t="str">
        <f t="shared" si="1"/>
        <v>EE2-76ng/L</v>
      </c>
      <c r="F22" s="3" t="str">
        <f t="shared" si="1"/>
        <v>EE2-114ng/L</v>
      </c>
      <c r="G22" s="3" t="str">
        <f t="shared" si="1"/>
        <v>EE2-170.9ng/L</v>
      </c>
      <c r="H22" s="3" t="str">
        <f t="shared" si="1"/>
        <v>EE2-488ng/L</v>
      </c>
      <c r="I22" s="3" t="str">
        <f t="shared" si="1"/>
        <v>Chromolyn-0.1µg/L</v>
      </c>
      <c r="J22" s="3" t="str">
        <f t="shared" si="1"/>
        <v>Chromolyn-1µg/L</v>
      </c>
      <c r="K22" s="3" t="str">
        <f t="shared" si="1"/>
        <v>Chromolyn-10µg/L</v>
      </c>
      <c r="L22" s="3" t="str">
        <f t="shared" si="1"/>
        <v>Chromolyn-100µg/L</v>
      </c>
      <c r="M22" s="3" t="str">
        <f t="shared" si="1"/>
        <v>Chromolyn-1000µg/L</v>
      </c>
      <c r="N22" s="3" t="s">
        <v>11</v>
      </c>
      <c r="O22" s="3" t="str">
        <f t="shared" si="1"/>
        <v>Testo -30µg/L</v>
      </c>
      <c r="P22" s="3" t="str">
        <f t="shared" si="1"/>
        <v>Testo 30µg/L + EE2 -64ng/L</v>
      </c>
      <c r="Q22" s="3" t="str">
        <f t="shared" si="1"/>
        <v>Testo 30µg/L + FAD-10mg/L</v>
      </c>
      <c r="R22" s="3" t="str">
        <f t="shared" si="1"/>
        <v>Chromolyn-0.1µg/L + Testostérone</v>
      </c>
      <c r="S22" s="3" t="str">
        <f t="shared" si="1"/>
        <v>Chromolyn-1µg/L + Testostérone</v>
      </c>
      <c r="T22" s="3" t="str">
        <f t="shared" si="1"/>
        <v>Chromolyn-10µg/L + Testostérone</v>
      </c>
      <c r="U22" s="3" t="str">
        <f t="shared" si="1"/>
        <v>Chromolyn-100µg/L + Testostérone</v>
      </c>
      <c r="V22" s="3" t="str">
        <f t="shared" si="1"/>
        <v>Chromolyn-1000µg/L + Testostérone</v>
      </c>
    </row>
    <row r="23" spans="1:22" x14ac:dyDescent="0.25">
      <c r="A23" s="4" t="s">
        <v>0</v>
      </c>
      <c r="B23" s="4">
        <f t="shared" ref="B23:J23" si="2">AVERAGE(B5:B20)</f>
        <v>10.875</v>
      </c>
      <c r="C23" s="4">
        <f t="shared" si="2"/>
        <v>1839.375</v>
      </c>
      <c r="D23" s="4">
        <f t="shared" si="2"/>
        <v>12598.25</v>
      </c>
      <c r="E23" s="4">
        <f t="shared" si="2"/>
        <v>186046</v>
      </c>
      <c r="F23" s="4">
        <f t="shared" si="2"/>
        <v>93310.875</v>
      </c>
      <c r="G23" s="4">
        <f t="shared" si="2"/>
        <v>183288.375</v>
      </c>
      <c r="H23" s="4">
        <f t="shared" si="2"/>
        <v>267748.25</v>
      </c>
      <c r="I23" s="4">
        <f t="shared" si="2"/>
        <v>225.375</v>
      </c>
      <c r="J23" s="4">
        <f t="shared" si="2"/>
        <v>414.75</v>
      </c>
      <c r="K23" s="4"/>
      <c r="L23" s="4">
        <f>AVERAGE(L5:L20)</f>
        <v>1538.875</v>
      </c>
      <c r="M23" s="4"/>
      <c r="N23" s="4" t="s">
        <v>0</v>
      </c>
      <c r="O23" s="4">
        <f>AVERAGE(O5:O20)</f>
        <v>119002.375</v>
      </c>
      <c r="P23" s="4">
        <f>AVERAGE(P5:P20)</f>
        <v>215959.625</v>
      </c>
      <c r="Q23" s="4">
        <f>AVERAGE(Q5:Q20)</f>
        <v>2290</v>
      </c>
      <c r="R23" s="4">
        <f>AVERAGE(R5:R20)</f>
        <v>100051.25</v>
      </c>
      <c r="S23" s="4">
        <f>AVERAGE(S5:S20)</f>
        <v>104519.25</v>
      </c>
      <c r="T23" s="4">
        <f t="shared" ref="T23:V23" si="3">AVERAGE(T5:T20)</f>
        <v>84971.875</v>
      </c>
      <c r="U23" s="4">
        <f t="shared" si="3"/>
        <v>94798.875</v>
      </c>
      <c r="V23" s="4">
        <f t="shared" si="3"/>
        <v>117493.375</v>
      </c>
    </row>
    <row r="24" spans="1:22" x14ac:dyDescent="0.25">
      <c r="A24" s="3" t="s">
        <v>1</v>
      </c>
      <c r="B24" s="3">
        <f t="shared" ref="B24:J24" si="4">STDEV(B5:B20)</f>
        <v>30.759144981614817</v>
      </c>
      <c r="C24" s="3">
        <f t="shared" si="4"/>
        <v>4721.7238661168167</v>
      </c>
      <c r="D24" s="3">
        <f t="shared" si="4"/>
        <v>34305.756138209304</v>
      </c>
      <c r="E24" s="3">
        <f t="shared" si="4"/>
        <v>56306.233874615136</v>
      </c>
      <c r="F24" s="3">
        <f t="shared" si="4"/>
        <v>92424.735989324996</v>
      </c>
      <c r="G24" s="3">
        <f t="shared" si="4"/>
        <v>69250.984058892616</v>
      </c>
      <c r="H24" s="3">
        <f t="shared" si="4"/>
        <v>37237.323725185808</v>
      </c>
      <c r="I24" s="3">
        <f t="shared" si="4"/>
        <v>363.96190440366541</v>
      </c>
      <c r="J24" s="3">
        <f t="shared" si="4"/>
        <v>598.76414388304852</v>
      </c>
      <c r="K24" s="3"/>
      <c r="L24" s="3">
        <f>STDEV(L5:L20)</f>
        <v>3692.7921080899519</v>
      </c>
      <c r="M24" s="3"/>
      <c r="N24" s="3" t="s">
        <v>1</v>
      </c>
      <c r="O24" s="3">
        <f>STDEV(O5:O20)</f>
        <v>81242.037153085563</v>
      </c>
      <c r="P24" s="3">
        <f>STDEV(P5:P20)</f>
        <v>45461.684897245381</v>
      </c>
      <c r="Q24" s="3">
        <f>STDEV(Q5:Q20)</f>
        <v>3758.6034640541693</v>
      </c>
      <c r="R24" s="3">
        <f>STDEV(R5:R20)</f>
        <v>65294.385319216279</v>
      </c>
      <c r="S24" s="3">
        <f>STDEV(S5:S20)</f>
        <v>81437.070658006502</v>
      </c>
      <c r="T24" s="3">
        <f t="shared" ref="T24:V24" si="5">STDEV(T5:T20)</f>
        <v>63783.502834504834</v>
      </c>
      <c r="U24" s="3">
        <f t="shared" si="5"/>
        <v>60109.568205397096</v>
      </c>
      <c r="V24" s="3">
        <f t="shared" si="5"/>
        <v>97008.289337911003</v>
      </c>
    </row>
    <row r="25" spans="1:22" ht="15.75" thickBot="1" x14ac:dyDescent="0.3"/>
    <row r="26" spans="1:22" ht="15.75" thickBot="1" x14ac:dyDescent="0.3">
      <c r="B26" s="141" t="s">
        <v>41</v>
      </c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O26" s="141" t="s">
        <v>42</v>
      </c>
      <c r="P26" s="142"/>
      <c r="Q26" s="142"/>
      <c r="R26" s="142"/>
      <c r="S26" s="142"/>
      <c r="T26" s="142"/>
      <c r="U26" s="142"/>
      <c r="V26" s="142"/>
    </row>
    <row r="27" spans="1:22" x14ac:dyDescent="0.25">
      <c r="A27" s="18" t="str">
        <f>A4</f>
        <v>Group names</v>
      </c>
      <c r="B27" s="19" t="str">
        <f>B4</f>
        <v>Solvent control</v>
      </c>
      <c r="C27" s="19" t="str">
        <f t="shared" ref="C27:M27" si="6">C4</f>
        <v>EE2-33.8ng/L</v>
      </c>
      <c r="D27" s="19" t="str">
        <f t="shared" si="6"/>
        <v>EE2-50.6ng/L</v>
      </c>
      <c r="E27" s="19" t="str">
        <f t="shared" si="6"/>
        <v>EE2-76ng/L</v>
      </c>
      <c r="F27" s="19" t="str">
        <f t="shared" si="6"/>
        <v>EE2-114ng/L</v>
      </c>
      <c r="G27" s="19" t="str">
        <f t="shared" si="6"/>
        <v>EE2-170.9ng/L</v>
      </c>
      <c r="H27" s="19" t="str">
        <f t="shared" si="6"/>
        <v>EE2-488ng/L</v>
      </c>
      <c r="I27" s="19" t="str">
        <f t="shared" si="6"/>
        <v>Chromolyn-0.1µg/L</v>
      </c>
      <c r="J27" s="19" t="str">
        <f t="shared" si="6"/>
        <v>Chromolyn-1µg/L</v>
      </c>
      <c r="K27" s="19" t="str">
        <f t="shared" si="6"/>
        <v>Chromolyn-10µg/L</v>
      </c>
      <c r="L27" s="19" t="str">
        <f t="shared" si="6"/>
        <v>Chromolyn-100µg/L</v>
      </c>
      <c r="M27" s="19" t="str">
        <f t="shared" si="6"/>
        <v>Chromolyn-1000µg/L</v>
      </c>
      <c r="N27" s="3"/>
      <c r="O27" s="20" t="str">
        <f>O4</f>
        <v>Testo -30µg/L</v>
      </c>
      <c r="P27" s="20" t="str">
        <f t="shared" ref="P27:V27" si="7">P4</f>
        <v>Testo 30µg/L + EE2 -64ng/L</v>
      </c>
      <c r="Q27" s="20" t="str">
        <f t="shared" si="7"/>
        <v>Testo 30µg/L + FAD-10mg/L</v>
      </c>
      <c r="R27" s="20" t="str">
        <f t="shared" si="7"/>
        <v>Chromolyn-0.1µg/L + Testostérone</v>
      </c>
      <c r="S27" s="20" t="str">
        <f t="shared" si="7"/>
        <v>Chromolyn-1µg/L + Testostérone</v>
      </c>
      <c r="T27" s="20" t="str">
        <f t="shared" si="7"/>
        <v>Chromolyn-10µg/L + Testostérone</v>
      </c>
      <c r="U27" s="20" t="str">
        <f t="shared" si="7"/>
        <v>Chromolyn-100µg/L + Testostérone</v>
      </c>
      <c r="V27" s="20" t="str">
        <f t="shared" si="7"/>
        <v>Chromolyn-1000µg/L + Testostérone</v>
      </c>
    </row>
    <row r="28" spans="1:22" ht="14.45" customHeight="1" x14ac:dyDescent="0.25">
      <c r="A28" s="139" t="s">
        <v>35</v>
      </c>
      <c r="B28" s="10">
        <f t="shared" ref="B28:M28" si="8">IF(B5="","",(B5/$O$23))</f>
        <v>0</v>
      </c>
      <c r="C28" s="10">
        <f t="shared" si="8"/>
        <v>0</v>
      </c>
      <c r="D28" s="10">
        <f t="shared" si="8"/>
        <v>1.9587844360249112E-2</v>
      </c>
      <c r="E28" s="10">
        <f t="shared" si="8"/>
        <v>2.1743515623112564</v>
      </c>
      <c r="F28" s="10">
        <f t="shared" si="8"/>
        <v>1.6643281279050104</v>
      </c>
      <c r="G28" s="10">
        <f t="shared" si="8"/>
        <v>2.0934708235865043</v>
      </c>
      <c r="H28" s="10">
        <f t="shared" si="8"/>
        <v>1.9948761526818268</v>
      </c>
      <c r="I28" s="10">
        <f t="shared" si="8"/>
        <v>0</v>
      </c>
      <c r="J28" s="10">
        <f t="shared" si="8"/>
        <v>1.3604770493025874E-2</v>
      </c>
      <c r="K28" s="10">
        <f t="shared" si="8"/>
        <v>0</v>
      </c>
      <c r="L28" s="10">
        <f t="shared" si="8"/>
        <v>9.361157707986921E-3</v>
      </c>
      <c r="M28" s="10">
        <f t="shared" si="8"/>
        <v>0</v>
      </c>
      <c r="N28" s="5"/>
      <c r="O28" s="10">
        <f t="shared" ref="O28:V37" si="9">IF(O5="","",(O5/$O$23))</f>
        <v>0.70059946282584695</v>
      </c>
      <c r="P28" s="10">
        <f t="shared" si="9"/>
        <v>1.4622145146262837</v>
      </c>
      <c r="Q28" s="10">
        <f t="shared" si="9"/>
        <v>3.4200998089323848E-3</v>
      </c>
      <c r="R28" s="10">
        <f t="shared" si="9"/>
        <v>2.7058283500644418E-3</v>
      </c>
      <c r="S28" s="10">
        <f t="shared" si="9"/>
        <v>0.19358437174047996</v>
      </c>
      <c r="T28" s="10">
        <f t="shared" si="9"/>
        <v>1.0091647330567983</v>
      </c>
      <c r="U28" s="10">
        <f t="shared" si="9"/>
        <v>5.3839261611375401E-2</v>
      </c>
      <c r="V28" s="10">
        <f t="shared" si="9"/>
        <v>1.3347296640088064</v>
      </c>
    </row>
    <row r="29" spans="1:22" x14ac:dyDescent="0.25">
      <c r="A29" s="140"/>
      <c r="B29" s="10">
        <f t="shared" ref="B29:M29" si="10">IF(B6="","",(B6/$O$23))</f>
        <v>0</v>
      </c>
      <c r="C29" s="10">
        <f t="shared" si="10"/>
        <v>1.3949301432009235E-3</v>
      </c>
      <c r="D29" s="10">
        <f t="shared" si="10"/>
        <v>0</v>
      </c>
      <c r="E29" s="10">
        <f t="shared" si="10"/>
        <v>1.331670901526125</v>
      </c>
      <c r="F29" s="10">
        <f t="shared" si="10"/>
        <v>1.7822333377800232</v>
      </c>
      <c r="G29" s="10">
        <f t="shared" si="10"/>
        <v>1.5202049538927269</v>
      </c>
      <c r="H29" s="10">
        <f t="shared" si="10"/>
        <v>1.8768028789341389</v>
      </c>
      <c r="I29" s="10">
        <f t="shared" si="10"/>
        <v>0</v>
      </c>
      <c r="J29" s="10">
        <f t="shared" si="10"/>
        <v>2.0419760529989421E-3</v>
      </c>
      <c r="K29" s="10">
        <f t="shared" si="10"/>
        <v>1.3949301432009235E-3</v>
      </c>
      <c r="L29" s="10">
        <f t="shared" si="10"/>
        <v>0</v>
      </c>
      <c r="M29" s="10">
        <f t="shared" si="10"/>
        <v>4.0385748603756856E-2</v>
      </c>
      <c r="N29" s="5"/>
      <c r="O29" s="10">
        <f t="shared" si="9"/>
        <v>0</v>
      </c>
      <c r="P29" s="10">
        <f t="shared" si="9"/>
        <v>2.1991661931116919</v>
      </c>
      <c r="Q29" s="10">
        <f t="shared" si="9"/>
        <v>0</v>
      </c>
      <c r="R29" s="10">
        <f t="shared" si="9"/>
        <v>0.40107602894480049</v>
      </c>
      <c r="S29" s="10">
        <f t="shared" si="9"/>
        <v>1.5832793253075832</v>
      </c>
      <c r="T29" s="10">
        <f t="shared" si="9"/>
        <v>0.60708032087594888</v>
      </c>
      <c r="U29" s="10">
        <f t="shared" si="9"/>
        <v>1.0342398628598799</v>
      </c>
      <c r="V29" s="10">
        <f t="shared" si="9"/>
        <v>0.73761553078247388</v>
      </c>
    </row>
    <row r="30" spans="1:22" x14ac:dyDescent="0.25">
      <c r="A30" s="140"/>
      <c r="B30" s="10">
        <f t="shared" ref="B30:M30" si="11">IF(B7="","",(B7/$O$23))</f>
        <v>0</v>
      </c>
      <c r="C30" s="10">
        <f t="shared" si="11"/>
        <v>0</v>
      </c>
      <c r="D30" s="10">
        <f t="shared" si="11"/>
        <v>0</v>
      </c>
      <c r="E30" s="10">
        <f t="shared" si="11"/>
        <v>1.4048291053014699</v>
      </c>
      <c r="F30" s="10">
        <f t="shared" si="11"/>
        <v>7.4368263658603452E-3</v>
      </c>
      <c r="G30" s="10">
        <f t="shared" si="11"/>
        <v>1.2874280870444812</v>
      </c>
      <c r="H30" s="10">
        <f t="shared" si="11"/>
        <v>2.1496125602535243</v>
      </c>
      <c r="I30" s="10">
        <f t="shared" si="11"/>
        <v>0</v>
      </c>
      <c r="J30" s="10">
        <f t="shared" si="11"/>
        <v>0</v>
      </c>
      <c r="K30" s="10">
        <f t="shared" si="11"/>
        <v>0</v>
      </c>
      <c r="L30" s="10">
        <f t="shared" si="11"/>
        <v>0</v>
      </c>
      <c r="M30" s="10">
        <f t="shared" si="11"/>
        <v>0</v>
      </c>
      <c r="N30" s="5"/>
      <c r="O30" s="10">
        <f t="shared" si="9"/>
        <v>0.33857307469703862</v>
      </c>
      <c r="P30" s="10">
        <f t="shared" si="9"/>
        <v>1.2570085260903405</v>
      </c>
      <c r="Q30" s="10">
        <f t="shared" si="9"/>
        <v>8.6830199817440612E-2</v>
      </c>
      <c r="R30" s="10">
        <f t="shared" si="9"/>
        <v>0.95772878482467261</v>
      </c>
      <c r="S30" s="10">
        <f t="shared" si="9"/>
        <v>0.18303836373013563</v>
      </c>
      <c r="T30" s="10">
        <f t="shared" si="9"/>
        <v>1.4073500633915921</v>
      </c>
      <c r="U30" s="10">
        <f t="shared" si="9"/>
        <v>0.73202740701603641</v>
      </c>
      <c r="V30" s="10">
        <f t="shared" si="9"/>
        <v>0.28499431208830917</v>
      </c>
    </row>
    <row r="31" spans="1:22" x14ac:dyDescent="0.25">
      <c r="A31" s="140"/>
      <c r="B31" s="10">
        <f t="shared" ref="B31:M31" si="12">IF(B8="","",(B8/$O$23))</f>
        <v>0</v>
      </c>
      <c r="C31" s="10">
        <f t="shared" si="12"/>
        <v>0</v>
      </c>
      <c r="D31" s="10">
        <f t="shared" si="12"/>
        <v>0</v>
      </c>
      <c r="E31" s="10">
        <f t="shared" si="12"/>
        <v>1.7582926391174967</v>
      </c>
      <c r="F31" s="10">
        <f t="shared" si="12"/>
        <v>0.96360261717465723</v>
      </c>
      <c r="G31" s="10">
        <f t="shared" si="12"/>
        <v>1.699016511225091</v>
      </c>
      <c r="H31" s="10">
        <f t="shared" si="12"/>
        <v>2.7939778512823801</v>
      </c>
      <c r="I31" s="10">
        <f t="shared" si="12"/>
        <v>2.6890219627969609E-3</v>
      </c>
      <c r="J31" s="10">
        <f t="shared" si="12"/>
        <v>8.7729341536250845E-3</v>
      </c>
      <c r="K31" s="10">
        <f t="shared" si="12"/>
        <v>0</v>
      </c>
      <c r="L31" s="10">
        <f t="shared" si="12"/>
        <v>0</v>
      </c>
      <c r="M31" s="10">
        <f t="shared" si="12"/>
        <v>0</v>
      </c>
      <c r="N31" s="5"/>
      <c r="O31" s="10">
        <f t="shared" si="9"/>
        <v>1.6789160720531837</v>
      </c>
      <c r="P31" s="10">
        <f t="shared" si="9"/>
        <v>2.2604842970570966</v>
      </c>
      <c r="Q31" s="10">
        <f t="shared" si="9"/>
        <v>0</v>
      </c>
      <c r="R31" s="10">
        <f t="shared" si="9"/>
        <v>1.2178664501443774</v>
      </c>
      <c r="S31" s="10">
        <f t="shared" si="9"/>
        <v>1.7545532179504821</v>
      </c>
      <c r="T31" s="10">
        <f t="shared" si="9"/>
        <v>0</v>
      </c>
      <c r="U31" s="10">
        <f t="shared" si="9"/>
        <v>0.78688345505709445</v>
      </c>
      <c r="V31" s="10">
        <f t="shared" si="9"/>
        <v>0</v>
      </c>
    </row>
    <row r="32" spans="1:22" x14ac:dyDescent="0.25">
      <c r="A32" s="140"/>
      <c r="B32" s="10">
        <f t="shared" ref="B32:M32" si="13">IF(B9="","",(B9/$O$23))</f>
        <v>0</v>
      </c>
      <c r="C32" s="10">
        <f t="shared" si="13"/>
        <v>8.8989820581311923E-3</v>
      </c>
      <c r="D32" s="10">
        <f t="shared" si="13"/>
        <v>0.81912650902975681</v>
      </c>
      <c r="E32" s="10">
        <f t="shared" si="13"/>
        <v>1.1430360108359181</v>
      </c>
      <c r="F32" s="10">
        <f t="shared" si="13"/>
        <v>4.696544921897567E-2</v>
      </c>
      <c r="G32" s="10">
        <f t="shared" si="13"/>
        <v>0.86163826562284995</v>
      </c>
      <c r="H32" s="10">
        <f t="shared" si="13"/>
        <v>2.1098066320104958</v>
      </c>
      <c r="I32" s="10">
        <f t="shared" si="13"/>
        <v>0</v>
      </c>
      <c r="J32" s="10">
        <f t="shared" si="13"/>
        <v>2.7730538991343661E-3</v>
      </c>
      <c r="K32" s="10">
        <f t="shared" si="13"/>
        <v>6.806586843329808E-4</v>
      </c>
      <c r="L32" s="10">
        <f t="shared" si="13"/>
        <v>0</v>
      </c>
      <c r="M32" s="10">
        <f t="shared" si="13"/>
        <v>0</v>
      </c>
      <c r="N32" s="5"/>
      <c r="O32" s="10">
        <f t="shared" si="9"/>
        <v>1.1472880268145909</v>
      </c>
      <c r="P32" s="10">
        <f t="shared" si="9"/>
        <v>2.0795719413162974</v>
      </c>
      <c r="Q32" s="10">
        <f t="shared" si="9"/>
        <v>4.5368842428564975E-2</v>
      </c>
      <c r="R32" s="10">
        <f t="shared" si="9"/>
        <v>1.2683360311086229</v>
      </c>
      <c r="S32" s="10">
        <f t="shared" si="9"/>
        <v>0.98150141961452453</v>
      </c>
      <c r="T32" s="10">
        <f t="shared" si="9"/>
        <v>0.51340151824700975</v>
      </c>
      <c r="U32" s="10">
        <f t="shared" si="9"/>
        <v>1.8323583878052854</v>
      </c>
      <c r="V32" s="10">
        <f t="shared" si="9"/>
        <v>2.1462176700254934</v>
      </c>
    </row>
    <row r="33" spans="1:22" x14ac:dyDescent="0.25">
      <c r="A33" s="140"/>
      <c r="B33" s="10">
        <f t="shared" ref="B33:M33" si="14">IF(B10="","",(B10/$O$23))</f>
        <v>0</v>
      </c>
      <c r="C33" s="10">
        <f t="shared" si="14"/>
        <v>0.11335908211915939</v>
      </c>
      <c r="D33" s="10">
        <f t="shared" si="14"/>
        <v>0</v>
      </c>
      <c r="E33" s="10">
        <f t="shared" si="14"/>
        <v>1.7779393058331818</v>
      </c>
      <c r="F33" s="10">
        <f t="shared" si="14"/>
        <v>0.18854245556023566</v>
      </c>
      <c r="G33" s="10">
        <f t="shared" si="14"/>
        <v>1.8039808029041438</v>
      </c>
      <c r="H33" s="10">
        <f t="shared" si="14"/>
        <v>2.0972102447535184</v>
      </c>
      <c r="I33" s="10">
        <f t="shared" si="14"/>
        <v>8.3863872464730229E-3</v>
      </c>
      <c r="J33" s="10">
        <f t="shared" si="14"/>
        <v>0</v>
      </c>
      <c r="K33" s="10">
        <f t="shared" si="14"/>
        <v>0</v>
      </c>
      <c r="L33" s="10">
        <f t="shared" si="14"/>
        <v>2.0335728593652018E-3</v>
      </c>
      <c r="M33" s="10">
        <f t="shared" si="14"/>
        <v>0</v>
      </c>
      <c r="N33" s="5"/>
      <c r="O33" s="10">
        <f t="shared" si="9"/>
        <v>1.5736324590160491</v>
      </c>
      <c r="P33" s="10">
        <f t="shared" si="9"/>
        <v>1.5500783072606745</v>
      </c>
      <c r="Q33" s="10">
        <f t="shared" si="9"/>
        <v>0</v>
      </c>
      <c r="R33" s="10">
        <f t="shared" si="9"/>
        <v>1.1169020786349853</v>
      </c>
      <c r="S33" s="10">
        <f t="shared" si="9"/>
        <v>0.92599832566366846</v>
      </c>
      <c r="T33" s="10">
        <f t="shared" si="9"/>
        <v>0.39123588919969032</v>
      </c>
      <c r="U33" s="10">
        <f t="shared" si="9"/>
        <v>0.72474183813558346</v>
      </c>
      <c r="V33" s="10">
        <f t="shared" si="9"/>
        <v>0.11059443141365877</v>
      </c>
    </row>
    <row r="34" spans="1:22" x14ac:dyDescent="0.25">
      <c r="A34" s="140"/>
      <c r="B34" s="10">
        <f t="shared" ref="B34:M34" si="15">IF(B11="","",(B11/$O$23))</f>
        <v>0</v>
      </c>
      <c r="C34" s="10">
        <f t="shared" si="15"/>
        <v>0</v>
      </c>
      <c r="D34" s="10">
        <f t="shared" si="15"/>
        <v>2.7730538991343661E-3</v>
      </c>
      <c r="E34" s="10">
        <f t="shared" si="15"/>
        <v>2.1035462527533588</v>
      </c>
      <c r="F34" s="10">
        <f t="shared" si="15"/>
        <v>1.4868442751667772</v>
      </c>
      <c r="G34" s="10">
        <f t="shared" si="15"/>
        <v>2.3778264929586488</v>
      </c>
      <c r="H34" s="10">
        <f t="shared" si="15"/>
        <v>2.5839316232134024</v>
      </c>
      <c r="I34" s="10">
        <f t="shared" si="15"/>
        <v>4.0755489123641443E-3</v>
      </c>
      <c r="J34" s="10">
        <f t="shared" si="15"/>
        <v>6.8906187796672128E-4</v>
      </c>
      <c r="K34" s="10">
        <f t="shared" si="15"/>
        <v>5.1108223680409737E-2</v>
      </c>
      <c r="L34" s="10">
        <f t="shared" si="15"/>
        <v>2.7310379309656635E-3</v>
      </c>
      <c r="M34" s="10">
        <f t="shared" si="15"/>
        <v>3.4671576932813315E-2</v>
      </c>
      <c r="N34" s="5"/>
      <c r="O34" s="10">
        <f t="shared" si="9"/>
        <v>0</v>
      </c>
      <c r="P34" s="10">
        <f t="shared" si="9"/>
        <v>1.635194255576832</v>
      </c>
      <c r="Q34" s="10">
        <f t="shared" si="9"/>
        <v>1.8327365315188037E-2</v>
      </c>
      <c r="R34" s="10">
        <f t="shared" si="9"/>
        <v>1.5105917003757279</v>
      </c>
      <c r="S34" s="10">
        <f t="shared" si="9"/>
        <v>1.4044089456197828</v>
      </c>
      <c r="T34" s="10">
        <f t="shared" si="9"/>
        <v>1.4895501035168415</v>
      </c>
      <c r="U34" s="10">
        <f t="shared" si="9"/>
        <v>0.50023371382293835</v>
      </c>
      <c r="V34" s="10">
        <f t="shared" si="9"/>
        <v>1.5175411415108311</v>
      </c>
    </row>
    <row r="35" spans="1:22" x14ac:dyDescent="0.25">
      <c r="A35" s="140"/>
      <c r="B35" s="10">
        <f t="shared" ref="B35:M35" si="16">IF(B12="","",(B12/$O$23))</f>
        <v>7.3107784613542378E-4</v>
      </c>
      <c r="C35" s="10">
        <f t="shared" si="16"/>
        <v>0</v>
      </c>
      <c r="D35" s="10">
        <f t="shared" si="16"/>
        <v>5.4368662810301057E-3</v>
      </c>
      <c r="E35" s="10">
        <f t="shared" si="16"/>
        <v>0.81337872458427829</v>
      </c>
      <c r="F35" s="10">
        <f t="shared" si="16"/>
        <v>0.13292171689850726</v>
      </c>
      <c r="G35" s="10">
        <f t="shared" si="16"/>
        <v>0.67809571027468984</v>
      </c>
      <c r="H35" s="10">
        <f t="shared" si="16"/>
        <v>2.393305175631999</v>
      </c>
      <c r="I35" s="10">
        <f t="shared" si="16"/>
        <v>0</v>
      </c>
      <c r="J35" s="10">
        <f t="shared" si="16"/>
        <v>0</v>
      </c>
      <c r="K35" s="10">
        <f t="shared" si="16"/>
        <v>4.8671297526624996E-2</v>
      </c>
      <c r="L35" s="10">
        <f t="shared" si="16"/>
        <v>8.9325948326661547E-2</v>
      </c>
      <c r="M35" s="10">
        <f t="shared" si="16"/>
        <v>1.6814790461114747E-2</v>
      </c>
      <c r="N35" s="5"/>
      <c r="O35" s="10">
        <f t="shared" si="9"/>
        <v>1.1197339548895557</v>
      </c>
      <c r="P35" s="10">
        <f t="shared" si="9"/>
        <v>2.0742863325206744</v>
      </c>
      <c r="Q35" s="10">
        <f t="shared" si="9"/>
        <v>0</v>
      </c>
      <c r="R35" s="10">
        <f t="shared" si="9"/>
        <v>0.2507933139989853</v>
      </c>
      <c r="S35" s="10">
        <f t="shared" si="9"/>
        <v>0</v>
      </c>
      <c r="T35" s="10">
        <f t="shared" si="9"/>
        <v>0.2944983240880697</v>
      </c>
      <c r="U35" s="10">
        <f t="shared" si="9"/>
        <v>0.70858249677790042</v>
      </c>
      <c r="V35" s="10">
        <f t="shared" si="9"/>
        <v>1.7668638966239119</v>
      </c>
    </row>
    <row r="36" spans="1:22" x14ac:dyDescent="0.25">
      <c r="A36" s="140"/>
      <c r="B36" s="10" t="str">
        <f t="shared" ref="B36:M36" si="17">IF(B13="","",(B13/$O$23))</f>
        <v/>
      </c>
      <c r="C36" s="10" t="str">
        <f t="shared" si="17"/>
        <v/>
      </c>
      <c r="D36" s="10" t="str">
        <f t="shared" si="17"/>
        <v/>
      </c>
      <c r="E36" s="10" t="str">
        <f t="shared" si="17"/>
        <v/>
      </c>
      <c r="F36" s="10" t="str">
        <f t="shared" si="17"/>
        <v/>
      </c>
      <c r="G36" s="10" t="str">
        <f t="shared" si="17"/>
        <v/>
      </c>
      <c r="H36" s="10" t="str">
        <f t="shared" si="17"/>
        <v/>
      </c>
      <c r="I36" s="10" t="str">
        <f t="shared" si="17"/>
        <v/>
      </c>
      <c r="J36" s="10" t="str">
        <f t="shared" si="17"/>
        <v/>
      </c>
      <c r="K36" s="10" t="str">
        <f t="shared" si="17"/>
        <v/>
      </c>
      <c r="L36" s="10" t="str">
        <f t="shared" si="17"/>
        <v/>
      </c>
      <c r="M36" s="10" t="str">
        <f t="shared" si="17"/>
        <v/>
      </c>
      <c r="N36" s="5"/>
      <c r="O36" s="10">
        <f t="shared" si="9"/>
        <v>1.6185307226011245</v>
      </c>
      <c r="P36" s="10" t="str">
        <f t="shared" si="9"/>
        <v/>
      </c>
      <c r="Q36" s="10" t="str">
        <f t="shared" si="9"/>
        <v/>
      </c>
      <c r="R36" s="10" t="str">
        <f t="shared" si="9"/>
        <v/>
      </c>
      <c r="S36" s="10" t="str">
        <f t="shared" si="9"/>
        <v/>
      </c>
      <c r="T36" s="10" t="str">
        <f t="shared" si="9"/>
        <v/>
      </c>
      <c r="U36" s="10" t="str">
        <f t="shared" si="9"/>
        <v/>
      </c>
      <c r="V36" s="10" t="str">
        <f t="shared" si="9"/>
        <v/>
      </c>
    </row>
    <row r="37" spans="1:22" x14ac:dyDescent="0.25">
      <c r="A37" s="140"/>
      <c r="B37" s="10" t="str">
        <f t="shared" ref="B37:M37" si="18">IF(B14="","",(B14/$O$23))</f>
        <v/>
      </c>
      <c r="C37" s="10" t="str">
        <f t="shared" si="18"/>
        <v/>
      </c>
      <c r="D37" s="10" t="str">
        <f t="shared" si="18"/>
        <v/>
      </c>
      <c r="E37" s="10" t="str">
        <f t="shared" si="18"/>
        <v/>
      </c>
      <c r="F37" s="10" t="str">
        <f t="shared" si="18"/>
        <v/>
      </c>
      <c r="G37" s="10" t="str">
        <f t="shared" si="18"/>
        <v/>
      </c>
      <c r="H37" s="10" t="str">
        <f t="shared" si="18"/>
        <v/>
      </c>
      <c r="I37" s="10" t="str">
        <f t="shared" si="18"/>
        <v/>
      </c>
      <c r="J37" s="10" t="str">
        <f t="shared" si="18"/>
        <v/>
      </c>
      <c r="K37" s="10" t="str">
        <f t="shared" si="18"/>
        <v/>
      </c>
      <c r="L37" s="10" t="str">
        <f t="shared" si="18"/>
        <v/>
      </c>
      <c r="M37" s="10" t="str">
        <f t="shared" si="18"/>
        <v/>
      </c>
      <c r="N37" s="5"/>
      <c r="O37" s="10">
        <f t="shared" si="9"/>
        <v>1.8206443358798512</v>
      </c>
      <c r="P37" s="10" t="str">
        <f t="shared" si="9"/>
        <v/>
      </c>
      <c r="Q37" s="10" t="str">
        <f t="shared" si="9"/>
        <v/>
      </c>
      <c r="R37" s="10" t="str">
        <f t="shared" si="9"/>
        <v/>
      </c>
      <c r="S37" s="10" t="str">
        <f t="shared" si="9"/>
        <v/>
      </c>
      <c r="T37" s="10" t="str">
        <f t="shared" si="9"/>
        <v/>
      </c>
      <c r="U37" s="10" t="str">
        <f t="shared" si="9"/>
        <v/>
      </c>
      <c r="V37" s="10" t="str">
        <f t="shared" si="9"/>
        <v/>
      </c>
    </row>
    <row r="38" spans="1:22" x14ac:dyDescent="0.25">
      <c r="A38" s="140"/>
      <c r="B38" s="10" t="str">
        <f t="shared" ref="B38:M38" si="19">IF(B15="","",(B15/$O$23))</f>
        <v/>
      </c>
      <c r="C38" s="10" t="str">
        <f t="shared" si="19"/>
        <v/>
      </c>
      <c r="D38" s="10" t="str">
        <f t="shared" si="19"/>
        <v/>
      </c>
      <c r="E38" s="10" t="str">
        <f t="shared" si="19"/>
        <v/>
      </c>
      <c r="F38" s="10" t="str">
        <f t="shared" si="19"/>
        <v/>
      </c>
      <c r="G38" s="10" t="str">
        <f t="shared" si="19"/>
        <v/>
      </c>
      <c r="H38" s="10" t="str">
        <f t="shared" si="19"/>
        <v/>
      </c>
      <c r="I38" s="10" t="str">
        <f t="shared" si="19"/>
        <v/>
      </c>
      <c r="J38" s="10" t="str">
        <f t="shared" si="19"/>
        <v/>
      </c>
      <c r="K38" s="10" t="str">
        <f t="shared" si="19"/>
        <v/>
      </c>
      <c r="L38" s="10" t="str">
        <f t="shared" si="19"/>
        <v/>
      </c>
      <c r="M38" s="10" t="str">
        <f t="shared" si="19"/>
        <v/>
      </c>
      <c r="N38" s="5"/>
      <c r="O38" s="10">
        <f t="shared" ref="O38:V43" si="20">IF(O15="","",(O15/$O$23))</f>
        <v>2.2038635783529532</v>
      </c>
      <c r="P38" s="10" t="str">
        <f t="shared" si="20"/>
        <v/>
      </c>
      <c r="Q38" s="10" t="str">
        <f t="shared" si="20"/>
        <v/>
      </c>
      <c r="R38" s="10" t="str">
        <f t="shared" si="20"/>
        <v/>
      </c>
      <c r="S38" s="10" t="str">
        <f t="shared" si="20"/>
        <v/>
      </c>
      <c r="T38" s="10" t="str">
        <f t="shared" si="20"/>
        <v/>
      </c>
      <c r="U38" s="10" t="str">
        <f t="shared" si="20"/>
        <v/>
      </c>
      <c r="V38" s="10" t="str">
        <f t="shared" si="20"/>
        <v/>
      </c>
    </row>
    <row r="39" spans="1:22" x14ac:dyDescent="0.25">
      <c r="A39" s="140"/>
      <c r="B39" s="10" t="str">
        <f t="shared" ref="B39:M39" si="21">IF(B16="","",(B16/$O$23))</f>
        <v/>
      </c>
      <c r="C39" s="10" t="str">
        <f t="shared" si="21"/>
        <v/>
      </c>
      <c r="D39" s="10" t="str">
        <f t="shared" si="21"/>
        <v/>
      </c>
      <c r="E39" s="10" t="str">
        <f t="shared" si="21"/>
        <v/>
      </c>
      <c r="F39" s="10" t="str">
        <f t="shared" si="21"/>
        <v/>
      </c>
      <c r="G39" s="10" t="str">
        <f t="shared" si="21"/>
        <v/>
      </c>
      <c r="H39" s="10" t="str">
        <f t="shared" si="21"/>
        <v/>
      </c>
      <c r="I39" s="10" t="str">
        <f t="shared" si="21"/>
        <v/>
      </c>
      <c r="J39" s="10" t="str">
        <f t="shared" si="21"/>
        <v/>
      </c>
      <c r="K39" s="10" t="str">
        <f t="shared" si="21"/>
        <v/>
      </c>
      <c r="L39" s="10" t="str">
        <f t="shared" si="21"/>
        <v/>
      </c>
      <c r="M39" s="10" t="str">
        <f t="shared" si="21"/>
        <v/>
      </c>
      <c r="N39" s="5"/>
      <c r="O39" s="10">
        <f t="shared" si="20"/>
        <v>0.54395553029929022</v>
      </c>
      <c r="P39" s="10" t="str">
        <f t="shared" si="20"/>
        <v/>
      </c>
      <c r="Q39" s="10" t="str">
        <f t="shared" si="20"/>
        <v/>
      </c>
      <c r="R39" s="10" t="str">
        <f t="shared" si="20"/>
        <v/>
      </c>
      <c r="S39" s="10" t="str">
        <f t="shared" si="20"/>
        <v/>
      </c>
      <c r="T39" s="10" t="str">
        <f t="shared" si="20"/>
        <v/>
      </c>
      <c r="U39" s="10" t="str">
        <f t="shared" si="20"/>
        <v/>
      </c>
      <c r="V39" s="10" t="str">
        <f t="shared" si="20"/>
        <v/>
      </c>
    </row>
    <row r="40" spans="1:22" x14ac:dyDescent="0.25">
      <c r="A40" s="140"/>
      <c r="B40" s="10" t="str">
        <f t="shared" ref="B40:M40" si="22">IF(B17="","",(B17/$O$23))</f>
        <v/>
      </c>
      <c r="C40" s="10" t="str">
        <f t="shared" si="22"/>
        <v/>
      </c>
      <c r="D40" s="10" t="str">
        <f t="shared" si="22"/>
        <v/>
      </c>
      <c r="E40" s="10" t="str">
        <f t="shared" si="22"/>
        <v/>
      </c>
      <c r="F40" s="10" t="str">
        <f t="shared" si="22"/>
        <v/>
      </c>
      <c r="G40" s="10" t="str">
        <f t="shared" si="22"/>
        <v/>
      </c>
      <c r="H40" s="10" t="str">
        <f t="shared" si="22"/>
        <v/>
      </c>
      <c r="I40" s="10" t="str">
        <f t="shared" si="22"/>
        <v/>
      </c>
      <c r="J40" s="10" t="str">
        <f t="shared" si="22"/>
        <v/>
      </c>
      <c r="K40" s="10" t="str">
        <f t="shared" si="22"/>
        <v/>
      </c>
      <c r="L40" s="10" t="str">
        <f t="shared" si="22"/>
        <v/>
      </c>
      <c r="M40" s="10" t="str">
        <f t="shared" si="22"/>
        <v/>
      </c>
      <c r="N40" s="5"/>
      <c r="O40" s="10">
        <f t="shared" si="20"/>
        <v>1.4561642152099905</v>
      </c>
      <c r="P40" s="10" t="str">
        <f t="shared" si="20"/>
        <v/>
      </c>
      <c r="Q40" s="10" t="str">
        <f t="shared" si="20"/>
        <v/>
      </c>
      <c r="R40" s="10" t="str">
        <f t="shared" si="20"/>
        <v/>
      </c>
      <c r="S40" s="10" t="str">
        <f t="shared" si="20"/>
        <v/>
      </c>
      <c r="T40" s="10" t="str">
        <f t="shared" si="20"/>
        <v/>
      </c>
      <c r="U40" s="10" t="str">
        <f t="shared" si="20"/>
        <v/>
      </c>
      <c r="V40" s="10" t="str">
        <f t="shared" si="20"/>
        <v/>
      </c>
    </row>
    <row r="41" spans="1:22" x14ac:dyDescent="0.25">
      <c r="A41" s="140"/>
      <c r="B41" s="10" t="str">
        <f t="shared" ref="B41:M41" si="23">IF(B18="","",(B18/$O$23))</f>
        <v/>
      </c>
      <c r="C41" s="10" t="str">
        <f t="shared" si="23"/>
        <v/>
      </c>
      <c r="D41" s="10" t="str">
        <f t="shared" si="23"/>
        <v/>
      </c>
      <c r="E41" s="10" t="str">
        <f t="shared" si="23"/>
        <v/>
      </c>
      <c r="F41" s="10" t="str">
        <f t="shared" si="23"/>
        <v/>
      </c>
      <c r="G41" s="10" t="str">
        <f t="shared" si="23"/>
        <v/>
      </c>
      <c r="H41" s="10" t="str">
        <f t="shared" si="23"/>
        <v/>
      </c>
      <c r="I41" s="10" t="str">
        <f t="shared" si="23"/>
        <v/>
      </c>
      <c r="J41" s="10" t="str">
        <f t="shared" si="23"/>
        <v/>
      </c>
      <c r="K41" s="10" t="str">
        <f t="shared" si="23"/>
        <v/>
      </c>
      <c r="L41" s="10" t="str">
        <f t="shared" si="23"/>
        <v/>
      </c>
      <c r="M41" s="10" t="str">
        <f t="shared" si="23"/>
        <v/>
      </c>
      <c r="N41" s="5"/>
      <c r="O41" s="10">
        <f t="shared" si="20"/>
        <v>0.68293594980772443</v>
      </c>
      <c r="P41" s="10" t="str">
        <f t="shared" si="20"/>
        <v/>
      </c>
      <c r="Q41" s="10" t="str">
        <f t="shared" si="20"/>
        <v/>
      </c>
      <c r="R41" s="10" t="str">
        <f t="shared" si="20"/>
        <v/>
      </c>
      <c r="S41" s="10" t="str">
        <f t="shared" si="20"/>
        <v/>
      </c>
      <c r="T41" s="10" t="str">
        <f t="shared" si="20"/>
        <v/>
      </c>
      <c r="U41" s="10" t="str">
        <f t="shared" si="20"/>
        <v/>
      </c>
      <c r="V41" s="10" t="str">
        <f t="shared" si="20"/>
        <v/>
      </c>
    </row>
    <row r="42" spans="1:22" x14ac:dyDescent="0.25">
      <c r="A42" s="140"/>
      <c r="B42" s="10" t="str">
        <f t="shared" ref="B42:M42" si="24">IF(B19="","",(B19/$O$23))</f>
        <v/>
      </c>
      <c r="C42" s="10" t="str">
        <f t="shared" si="24"/>
        <v/>
      </c>
      <c r="D42" s="10" t="str">
        <f t="shared" si="24"/>
        <v/>
      </c>
      <c r="E42" s="10" t="str">
        <f t="shared" si="24"/>
        <v/>
      </c>
      <c r="F42" s="10" t="str">
        <f t="shared" si="24"/>
        <v/>
      </c>
      <c r="G42" s="10" t="str">
        <f t="shared" si="24"/>
        <v/>
      </c>
      <c r="H42" s="10" t="str">
        <f t="shared" si="24"/>
        <v/>
      </c>
      <c r="I42" s="10" t="str">
        <f t="shared" si="24"/>
        <v/>
      </c>
      <c r="J42" s="10" t="str">
        <f t="shared" si="24"/>
        <v/>
      </c>
      <c r="K42" s="10" t="str">
        <f t="shared" si="24"/>
        <v/>
      </c>
      <c r="L42" s="10" t="str">
        <f t="shared" si="24"/>
        <v/>
      </c>
      <c r="M42" s="10" t="str">
        <f t="shared" si="24"/>
        <v/>
      </c>
      <c r="N42" s="5"/>
      <c r="O42" s="10">
        <f t="shared" si="20"/>
        <v>0.89262924374408492</v>
      </c>
      <c r="P42" s="10" t="str">
        <f t="shared" si="20"/>
        <v/>
      </c>
      <c r="Q42" s="10" t="str">
        <f t="shared" si="20"/>
        <v/>
      </c>
      <c r="R42" s="10" t="str">
        <f t="shared" si="20"/>
        <v/>
      </c>
      <c r="S42" s="10" t="str">
        <f t="shared" si="20"/>
        <v/>
      </c>
      <c r="T42" s="10" t="str">
        <f t="shared" si="20"/>
        <v/>
      </c>
      <c r="U42" s="10" t="str">
        <f t="shared" si="20"/>
        <v/>
      </c>
      <c r="V42" s="10" t="str">
        <f t="shared" si="20"/>
        <v/>
      </c>
    </row>
    <row r="43" spans="1:22" x14ac:dyDescent="0.25">
      <c r="A43" s="140"/>
      <c r="B43" s="10" t="str">
        <f t="shared" ref="B43:M43" si="25">IF(B20="","",(B20/$O$23))</f>
        <v/>
      </c>
      <c r="C43" s="10" t="str">
        <f t="shared" si="25"/>
        <v/>
      </c>
      <c r="D43" s="10" t="str">
        <f t="shared" si="25"/>
        <v/>
      </c>
      <c r="E43" s="10" t="str">
        <f t="shared" si="25"/>
        <v/>
      </c>
      <c r="F43" s="10" t="str">
        <f t="shared" si="25"/>
        <v/>
      </c>
      <c r="G43" s="10" t="str">
        <f t="shared" si="25"/>
        <v/>
      </c>
      <c r="H43" s="10" t="str">
        <f t="shared" si="25"/>
        <v/>
      </c>
      <c r="I43" s="10" t="str">
        <f t="shared" si="25"/>
        <v/>
      </c>
      <c r="J43" s="10" t="str">
        <f t="shared" si="25"/>
        <v/>
      </c>
      <c r="K43" s="10" t="str">
        <f t="shared" si="25"/>
        <v/>
      </c>
      <c r="L43" s="10" t="str">
        <f t="shared" si="25"/>
        <v/>
      </c>
      <c r="M43" s="10" t="str">
        <f t="shared" si="25"/>
        <v/>
      </c>
      <c r="N43" s="5"/>
      <c r="O43" s="10">
        <f t="shared" si="20"/>
        <v>0.22253337380871599</v>
      </c>
      <c r="P43" s="10" t="str">
        <f t="shared" si="20"/>
        <v/>
      </c>
      <c r="Q43" s="10" t="str">
        <f t="shared" si="20"/>
        <v/>
      </c>
      <c r="R43" s="10" t="str">
        <f t="shared" si="20"/>
        <v/>
      </c>
      <c r="S43" s="10" t="str">
        <f t="shared" si="20"/>
        <v/>
      </c>
      <c r="T43" s="10" t="str">
        <f t="shared" si="20"/>
        <v/>
      </c>
      <c r="U43" s="10" t="str">
        <f t="shared" si="20"/>
        <v/>
      </c>
      <c r="V43" s="10" t="str">
        <f t="shared" si="20"/>
        <v/>
      </c>
    </row>
    <row r="44" spans="1:22" x14ac:dyDescent="0.25">
      <c r="A44" s="6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6"/>
      <c r="O44" s="3"/>
      <c r="P44" s="3"/>
      <c r="Q44" s="3"/>
      <c r="R44" s="3"/>
      <c r="S44" s="3"/>
      <c r="T44" s="3"/>
      <c r="U44" s="3"/>
      <c r="V44" s="3"/>
    </row>
    <row r="45" spans="1:22" x14ac:dyDescent="0.25">
      <c r="A45" s="52" t="str">
        <f t="shared" ref="A45" si="26">A4</f>
        <v>Group names</v>
      </c>
      <c r="B45" s="6" t="str">
        <f t="shared" ref="B45:V45" si="27">B4</f>
        <v>Solvent control</v>
      </c>
      <c r="C45" s="6" t="str">
        <f t="shared" si="27"/>
        <v>EE2-33.8ng/L</v>
      </c>
      <c r="D45" s="6" t="str">
        <f t="shared" si="27"/>
        <v>EE2-50.6ng/L</v>
      </c>
      <c r="E45" s="6" t="str">
        <f t="shared" si="27"/>
        <v>EE2-76ng/L</v>
      </c>
      <c r="F45" s="6" t="str">
        <f t="shared" si="27"/>
        <v>EE2-114ng/L</v>
      </c>
      <c r="G45" s="6" t="str">
        <f t="shared" si="27"/>
        <v>EE2-170.9ng/L</v>
      </c>
      <c r="H45" s="6" t="str">
        <f t="shared" si="27"/>
        <v>EE2-488ng/L</v>
      </c>
      <c r="I45" s="6" t="str">
        <f t="shared" si="27"/>
        <v>Chromolyn-0.1µg/L</v>
      </c>
      <c r="J45" s="6" t="str">
        <f t="shared" si="27"/>
        <v>Chromolyn-1µg/L</v>
      </c>
      <c r="K45" s="6" t="str">
        <f t="shared" si="27"/>
        <v>Chromolyn-10µg/L</v>
      </c>
      <c r="L45" s="6" t="str">
        <f t="shared" si="27"/>
        <v>Chromolyn-100µg/L</v>
      </c>
      <c r="M45" s="6" t="str">
        <f t="shared" si="27"/>
        <v>Chromolyn-1000µg/L</v>
      </c>
      <c r="N45" s="6"/>
      <c r="O45" s="6" t="str">
        <f t="shared" si="27"/>
        <v>Testo -30µg/L</v>
      </c>
      <c r="P45" s="6" t="str">
        <f t="shared" si="27"/>
        <v>Testo 30µg/L + EE2 -64ng/L</v>
      </c>
      <c r="Q45" s="6" t="str">
        <f t="shared" si="27"/>
        <v>Testo 30µg/L + FAD-10mg/L</v>
      </c>
      <c r="R45" s="6" t="str">
        <f t="shared" si="27"/>
        <v>Chromolyn-0.1µg/L + Testostérone</v>
      </c>
      <c r="S45" s="6" t="str">
        <f t="shared" si="27"/>
        <v>Chromolyn-1µg/L + Testostérone</v>
      </c>
      <c r="T45" s="6" t="str">
        <f t="shared" si="27"/>
        <v>Chromolyn-10µg/L + Testostérone</v>
      </c>
      <c r="U45" s="6" t="str">
        <f t="shared" si="27"/>
        <v>Chromolyn-100µg/L + Testostérone</v>
      </c>
      <c r="V45" s="6" t="str">
        <f t="shared" si="27"/>
        <v>Chromolyn-1000µg/L + Testostérone</v>
      </c>
    </row>
    <row r="46" spans="1:22" x14ac:dyDescent="0.25">
      <c r="A46" s="7" t="s">
        <v>0</v>
      </c>
      <c r="B46" s="9">
        <f t="shared" ref="B46:H46" si="28">AVERAGE(B28:B43)</f>
        <v>9.1384730766927972E-5</v>
      </c>
      <c r="C46" s="9">
        <f t="shared" si="28"/>
        <v>1.5456624290061439E-2</v>
      </c>
      <c r="D46" s="9">
        <f t="shared" si="28"/>
        <v>0.1058655341962713</v>
      </c>
      <c r="E46" s="9">
        <f t="shared" si="28"/>
        <v>1.5633805627828858</v>
      </c>
      <c r="F46" s="9">
        <f t="shared" si="28"/>
        <v>0.78410935075875587</v>
      </c>
      <c r="G46" s="9">
        <f t="shared" si="28"/>
        <v>1.5402077059386419</v>
      </c>
      <c r="H46" s="9">
        <f t="shared" si="28"/>
        <v>2.2499403898451606</v>
      </c>
      <c r="I46" s="9">
        <f>AVERAGE(I28:I43)</f>
        <v>1.8938697652042661E-3</v>
      </c>
      <c r="J46" s="8">
        <f>AVERAGE(J28:J43)</f>
        <v>3.4852245595938733E-3</v>
      </c>
      <c r="K46" s="8">
        <f t="shared" ref="K46:M46" si="29">AVERAGE(K28:K43)</f>
        <v>1.273188875432108E-2</v>
      </c>
      <c r="L46" s="8">
        <f t="shared" si="29"/>
        <v>1.2931464603122417E-2</v>
      </c>
      <c r="M46" s="8">
        <f t="shared" si="29"/>
        <v>1.1484014499710614E-2</v>
      </c>
      <c r="N46" s="7" t="s">
        <v>0</v>
      </c>
      <c r="O46" s="9">
        <f t="shared" ref="O46:V46" si="30">AVERAGE(O28:O43)</f>
        <v>1.0000000000000002</v>
      </c>
      <c r="P46" s="9">
        <f t="shared" si="30"/>
        <v>1.8147505459449866</v>
      </c>
      <c r="Q46" s="9">
        <f t="shared" si="30"/>
        <v>1.9243313421265749E-2</v>
      </c>
      <c r="R46" s="9">
        <f t="shared" si="30"/>
        <v>0.84075002704777946</v>
      </c>
      <c r="S46" s="9">
        <f t="shared" si="30"/>
        <v>0.87829549620333203</v>
      </c>
      <c r="T46" s="9">
        <f t="shared" si="30"/>
        <v>0.7140351190469939</v>
      </c>
      <c r="U46" s="9">
        <f t="shared" si="30"/>
        <v>0.79661330288576182</v>
      </c>
      <c r="V46" s="9">
        <f t="shared" si="30"/>
        <v>0.98731958080668558</v>
      </c>
    </row>
    <row r="47" spans="1:22" x14ac:dyDescent="0.25">
      <c r="A47" s="7" t="s">
        <v>1</v>
      </c>
      <c r="B47" s="7">
        <f t="shared" ref="B47:M47" si="31">STDEV(B28:B43)</f>
        <v>2.5847505128880679E-4</v>
      </c>
      <c r="C47" s="7">
        <f t="shared" si="31"/>
        <v>3.9677559932033431E-2</v>
      </c>
      <c r="D47" s="7">
        <f t="shared" si="31"/>
        <v>0.28827791158125465</v>
      </c>
      <c r="E47" s="7">
        <f t="shared" si="31"/>
        <v>0.47315218603506898</v>
      </c>
      <c r="F47" s="7">
        <f t="shared" si="31"/>
        <v>0.7766629530656427</v>
      </c>
      <c r="G47" s="7">
        <f t="shared" si="31"/>
        <v>0.58192942837395234</v>
      </c>
      <c r="H47" s="7">
        <f t="shared" si="31"/>
        <v>0.3129124416650178</v>
      </c>
      <c r="I47" s="7">
        <f t="shared" si="31"/>
        <v>3.0584423580089504E-3</v>
      </c>
      <c r="J47" s="7">
        <f t="shared" si="31"/>
        <v>5.0315310419901151E-3</v>
      </c>
      <c r="K47" s="7">
        <f t="shared" si="31"/>
        <v>2.2948846615965423E-2</v>
      </c>
      <c r="L47" s="7">
        <f t="shared" si="31"/>
        <v>3.1031247133428651E-2</v>
      </c>
      <c r="M47" s="7">
        <f t="shared" si="31"/>
        <v>1.7158102639480061E-2</v>
      </c>
      <c r="N47" s="7" t="s">
        <v>1</v>
      </c>
      <c r="O47" s="7">
        <f t="shared" ref="O47:V47" si="32">STDEV(O28:O43)</f>
        <v>0.6826925693969178</v>
      </c>
      <c r="P47" s="7">
        <f t="shared" si="32"/>
        <v>0.38202334110764835</v>
      </c>
      <c r="Q47" s="7">
        <f t="shared" si="32"/>
        <v>3.1584272700894991E-2</v>
      </c>
      <c r="R47" s="7">
        <f t="shared" si="32"/>
        <v>0.54868136303343751</v>
      </c>
      <c r="S47" s="7">
        <f t="shared" si="32"/>
        <v>0.68433147370383585</v>
      </c>
      <c r="T47" s="7">
        <f t="shared" si="32"/>
        <v>0.53598512495658013</v>
      </c>
      <c r="U47" s="7">
        <f t="shared" si="32"/>
        <v>0.50511234087048318</v>
      </c>
      <c r="V47" s="7">
        <f t="shared" si="32"/>
        <v>0.8151794393843903</v>
      </c>
    </row>
    <row r="48" spans="1:22" x14ac:dyDescent="0.25">
      <c r="A48" s="7" t="s">
        <v>2</v>
      </c>
      <c r="B48" s="7">
        <f t="shared" ref="B48:M48" si="33" xml:space="preserve"> B47/SQRT(COUNT(B28:B43))</f>
        <v>9.1384730766927972E-5</v>
      </c>
      <c r="C48" s="7">
        <f t="shared" si="33"/>
        <v>1.4028135844438244E-2</v>
      </c>
      <c r="D48" s="7">
        <f t="shared" si="33"/>
        <v>0.10192163307270055</v>
      </c>
      <c r="E48" s="7">
        <f t="shared" si="33"/>
        <v>0.16728455963931807</v>
      </c>
      <c r="F48" s="7">
        <f t="shared" si="33"/>
        <v>0.27459182040454261</v>
      </c>
      <c r="G48" s="7">
        <f t="shared" si="33"/>
        <v>0.20574312248761648</v>
      </c>
      <c r="H48" s="7">
        <f t="shared" si="33"/>
        <v>0.11063125470948702</v>
      </c>
      <c r="I48" s="7">
        <f t="shared" si="33"/>
        <v>1.0813226656081515E-3</v>
      </c>
      <c r="J48" s="7">
        <f t="shared" si="33"/>
        <v>1.7789148597709128E-3</v>
      </c>
      <c r="K48" s="7">
        <f t="shared" si="33"/>
        <v>8.1136425312795506E-3</v>
      </c>
      <c r="L48" s="7">
        <f t="shared" si="33"/>
        <v>1.0971202638361505E-2</v>
      </c>
      <c r="M48" s="7">
        <f t="shared" si="33"/>
        <v>6.0663053643355749E-3</v>
      </c>
      <c r="N48" s="7" t="s">
        <v>2</v>
      </c>
      <c r="O48" s="7">
        <f t="shared" ref="O48:V48" si="34" xml:space="preserve"> O47/SQRT(COUNT(O28:O43))</f>
        <v>0.17067314234922945</v>
      </c>
      <c r="P48" s="7">
        <f t="shared" si="34"/>
        <v>0.13506564753437986</v>
      </c>
      <c r="Q48" s="7">
        <f t="shared" si="34"/>
        <v>1.1166726702824E-2</v>
      </c>
      <c r="R48" s="7">
        <f t="shared" si="34"/>
        <v>0.19398815625581076</v>
      </c>
      <c r="S48" s="7">
        <f t="shared" si="34"/>
        <v>0.2419477128176829</v>
      </c>
      <c r="T48" s="7">
        <f t="shared" si="34"/>
        <v>0.1894993582359584</v>
      </c>
      <c r="U48" s="7">
        <f t="shared" si="34"/>
        <v>0.17858418074526478</v>
      </c>
      <c r="V48" s="7">
        <f t="shared" si="34"/>
        <v>0.28820945473627524</v>
      </c>
    </row>
    <row r="49" spans="1:22" ht="15.75" thickBot="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27" thickBot="1" x14ac:dyDescent="0.45">
      <c r="A50" s="135"/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</row>
    <row r="51" spans="1:22" ht="15.75" thickBot="1" x14ac:dyDescent="0.3"/>
    <row r="52" spans="1:22" x14ac:dyDescent="0.25">
      <c r="A52" s="28" t="str">
        <f t="shared" ref="A52" si="35">A27</f>
        <v>Group names</v>
      </c>
      <c r="B52" s="29" t="str">
        <f t="shared" ref="B52:H52" si="36">B27</f>
        <v>Solvent control</v>
      </c>
      <c r="C52" s="29" t="str">
        <f t="shared" si="36"/>
        <v>EE2-33.8ng/L</v>
      </c>
      <c r="D52" s="29" t="str">
        <f t="shared" si="36"/>
        <v>EE2-50.6ng/L</v>
      </c>
      <c r="E52" s="29" t="str">
        <f t="shared" si="36"/>
        <v>EE2-76ng/L</v>
      </c>
      <c r="F52" s="29" t="str">
        <f t="shared" si="36"/>
        <v>EE2-114ng/L</v>
      </c>
      <c r="G52" s="29" t="str">
        <f t="shared" si="36"/>
        <v>EE2-170.9ng/L</v>
      </c>
      <c r="H52" s="29" t="str">
        <f t="shared" si="36"/>
        <v>EE2-488ng/L</v>
      </c>
      <c r="I52" s="29" t="str">
        <f>I4</f>
        <v>Chromolyn-0.1µg/L</v>
      </c>
      <c r="J52" s="29" t="str">
        <f>J4</f>
        <v>Chromolyn-1µg/L</v>
      </c>
      <c r="K52" s="29" t="str">
        <f t="shared" ref="K52:M52" si="37">K4</f>
        <v>Chromolyn-10µg/L</v>
      </c>
      <c r="L52" s="29" t="str">
        <f t="shared" si="37"/>
        <v>Chromolyn-100µg/L</v>
      </c>
      <c r="M52" s="29" t="str">
        <f t="shared" si="37"/>
        <v>Chromolyn-1000µg/L</v>
      </c>
      <c r="N52" s="30"/>
      <c r="O52" s="29" t="str">
        <f>O27</f>
        <v>Testo -30µg/L</v>
      </c>
      <c r="P52" s="29" t="str">
        <f>P27</f>
        <v>Testo 30µg/L + EE2 -64ng/L</v>
      </c>
      <c r="Q52" s="29" t="str">
        <f>Q27</f>
        <v>Testo 30µg/L + FAD-10mg/L</v>
      </c>
      <c r="R52" s="29" t="str">
        <f>R27</f>
        <v>Chromolyn-0.1µg/L + Testostérone</v>
      </c>
      <c r="S52" s="29" t="str">
        <f t="shared" ref="S52:V52" si="38">S27</f>
        <v>Chromolyn-1µg/L + Testostérone</v>
      </c>
      <c r="T52" s="29" t="str">
        <f t="shared" si="38"/>
        <v>Chromolyn-10µg/L + Testostérone</v>
      </c>
      <c r="U52" s="29" t="str">
        <f t="shared" si="38"/>
        <v>Chromolyn-100µg/L + Testostérone</v>
      </c>
      <c r="V52" s="29" t="str">
        <f t="shared" si="38"/>
        <v>Chromolyn-1000µg/L + Testostérone</v>
      </c>
    </row>
    <row r="53" spans="1:22" s="3" customFormat="1" x14ac:dyDescent="0.25">
      <c r="A53" s="44" t="s">
        <v>10</v>
      </c>
      <c r="B53" s="76">
        <f t="shared" ref="B53:V53" si="39">B46</f>
        <v>9.1384730766927972E-5</v>
      </c>
      <c r="C53" s="76">
        <f t="shared" si="39"/>
        <v>1.5456624290061439E-2</v>
      </c>
      <c r="D53" s="76">
        <f t="shared" si="39"/>
        <v>0.1058655341962713</v>
      </c>
      <c r="E53" s="76">
        <f t="shared" si="39"/>
        <v>1.5633805627828858</v>
      </c>
      <c r="F53" s="76">
        <f t="shared" si="39"/>
        <v>0.78410935075875587</v>
      </c>
      <c r="G53" s="76">
        <f t="shared" si="39"/>
        <v>1.5402077059386419</v>
      </c>
      <c r="H53" s="76">
        <f t="shared" si="39"/>
        <v>2.2499403898451606</v>
      </c>
      <c r="I53" s="76">
        <f t="shared" si="39"/>
        <v>1.8938697652042661E-3</v>
      </c>
      <c r="J53" s="76">
        <f t="shared" si="39"/>
        <v>3.4852245595938733E-3</v>
      </c>
      <c r="K53" s="76">
        <f t="shared" si="39"/>
        <v>1.273188875432108E-2</v>
      </c>
      <c r="L53" s="76">
        <f t="shared" si="39"/>
        <v>1.2931464603122417E-2</v>
      </c>
      <c r="M53" s="76">
        <f t="shared" si="39"/>
        <v>1.1484014499710614E-2</v>
      </c>
      <c r="N53" s="76"/>
      <c r="O53" s="76">
        <f t="shared" si="39"/>
        <v>1.0000000000000002</v>
      </c>
      <c r="P53" s="76">
        <f t="shared" si="39"/>
        <v>1.8147505459449866</v>
      </c>
      <c r="Q53" s="76">
        <f t="shared" si="39"/>
        <v>1.9243313421265749E-2</v>
      </c>
      <c r="R53" s="76">
        <f t="shared" si="39"/>
        <v>0.84075002704777946</v>
      </c>
      <c r="S53" s="76">
        <f t="shared" si="39"/>
        <v>0.87829549620333203</v>
      </c>
      <c r="T53" s="76">
        <f t="shared" si="39"/>
        <v>0.7140351190469939</v>
      </c>
      <c r="U53" s="76">
        <f t="shared" si="39"/>
        <v>0.79661330288576182</v>
      </c>
      <c r="V53" s="76">
        <f t="shared" si="39"/>
        <v>0.98731958080668558</v>
      </c>
    </row>
    <row r="54" spans="1:22" s="3" customFormat="1" x14ac:dyDescent="0.25">
      <c r="A54" s="44" t="s">
        <v>2</v>
      </c>
      <c r="B54" s="76">
        <f t="shared" ref="B54:V54" si="40">B48</f>
        <v>9.1384730766927972E-5</v>
      </c>
      <c r="C54" s="76">
        <f t="shared" si="40"/>
        <v>1.4028135844438244E-2</v>
      </c>
      <c r="D54" s="76">
        <f t="shared" si="40"/>
        <v>0.10192163307270055</v>
      </c>
      <c r="E54" s="76">
        <f t="shared" si="40"/>
        <v>0.16728455963931807</v>
      </c>
      <c r="F54" s="76">
        <f t="shared" si="40"/>
        <v>0.27459182040454261</v>
      </c>
      <c r="G54" s="76">
        <f t="shared" si="40"/>
        <v>0.20574312248761648</v>
      </c>
      <c r="H54" s="76">
        <f t="shared" si="40"/>
        <v>0.11063125470948702</v>
      </c>
      <c r="I54" s="76">
        <f t="shared" si="40"/>
        <v>1.0813226656081515E-3</v>
      </c>
      <c r="J54" s="76">
        <f t="shared" si="40"/>
        <v>1.7789148597709128E-3</v>
      </c>
      <c r="K54" s="76">
        <f t="shared" si="40"/>
        <v>8.1136425312795506E-3</v>
      </c>
      <c r="L54" s="76">
        <f t="shared" si="40"/>
        <v>1.0971202638361505E-2</v>
      </c>
      <c r="M54" s="76">
        <f t="shared" si="40"/>
        <v>6.0663053643355749E-3</v>
      </c>
      <c r="N54" s="76"/>
      <c r="O54" s="76">
        <f t="shared" si="40"/>
        <v>0.17067314234922945</v>
      </c>
      <c r="P54" s="76">
        <f t="shared" si="40"/>
        <v>0.13506564753437986</v>
      </c>
      <c r="Q54" s="76">
        <f t="shared" si="40"/>
        <v>1.1166726702824E-2</v>
      </c>
      <c r="R54" s="76">
        <f t="shared" si="40"/>
        <v>0.19398815625581076</v>
      </c>
      <c r="S54" s="76">
        <f t="shared" si="40"/>
        <v>0.2419477128176829</v>
      </c>
      <c r="T54" s="76">
        <f t="shared" si="40"/>
        <v>0.1894993582359584</v>
      </c>
      <c r="U54" s="76">
        <f t="shared" si="40"/>
        <v>0.17858418074526478</v>
      </c>
      <c r="V54" s="76">
        <f t="shared" si="40"/>
        <v>0.28820945473627524</v>
      </c>
    </row>
    <row r="55" spans="1:22" s="3" customFormat="1" x14ac:dyDescent="0.25">
      <c r="A55" s="44" t="s">
        <v>14</v>
      </c>
      <c r="B55" s="76">
        <f>(B53*100/$B53)-100</f>
        <v>0</v>
      </c>
      <c r="C55" s="76">
        <f t="shared" ref="C55:M55" si="41">(C53*100/$B53)-100</f>
        <v>16813.793103448275</v>
      </c>
      <c r="D55" s="76">
        <f t="shared" si="41"/>
        <v>115745.97701149425</v>
      </c>
      <c r="E55" s="76">
        <f t="shared" si="41"/>
        <v>1710667.8160919542</v>
      </c>
      <c r="F55" s="76">
        <f t="shared" si="41"/>
        <v>857931.03448275861</v>
      </c>
      <c r="G55" s="76">
        <f t="shared" si="41"/>
        <v>1685310.3448275861</v>
      </c>
      <c r="H55" s="76">
        <f t="shared" si="41"/>
        <v>2461952.8735632184</v>
      </c>
      <c r="I55" s="76">
        <f t="shared" si="41"/>
        <v>1972.4137931034484</v>
      </c>
      <c r="J55" s="76">
        <f t="shared" si="41"/>
        <v>3713.7931034482758</v>
      </c>
      <c r="K55" s="76">
        <f t="shared" si="41"/>
        <v>13832.183908045976</v>
      </c>
      <c r="L55" s="76">
        <f t="shared" si="41"/>
        <v>14050.57471264368</v>
      </c>
      <c r="M55" s="76">
        <f t="shared" si="41"/>
        <v>12466.666666666664</v>
      </c>
      <c r="N55" s="76"/>
      <c r="O55" s="76">
        <f t="shared" ref="O55:V55" si="42">(O53*100/$O53)-100</f>
        <v>0</v>
      </c>
      <c r="P55" s="76">
        <f t="shared" si="42"/>
        <v>81.47505459449863</v>
      </c>
      <c r="Q55" s="76">
        <f t="shared" si="42"/>
        <v>-98.075668657873422</v>
      </c>
      <c r="R55" s="76">
        <f t="shared" si="42"/>
        <v>-15.92499729522207</v>
      </c>
      <c r="S55" s="76">
        <f t="shared" si="42"/>
        <v>-12.170450379666818</v>
      </c>
      <c r="T55" s="76">
        <f t="shared" si="42"/>
        <v>-28.596488095300629</v>
      </c>
      <c r="U55" s="76">
        <f t="shared" si="42"/>
        <v>-20.338669711423833</v>
      </c>
      <c r="V55" s="76">
        <f t="shared" si="42"/>
        <v>-1.2680419193314663</v>
      </c>
    </row>
    <row r="56" spans="1:22" s="3" customFormat="1" x14ac:dyDescent="0.25">
      <c r="A56" s="44" t="s">
        <v>37</v>
      </c>
      <c r="B56" s="76">
        <f>[1]!SWTEST(B28:B43)</f>
        <v>1.0472313157761093E-6</v>
      </c>
      <c r="C56" s="76">
        <f>[1]!SWTEST(C28:C43)</f>
        <v>3.9872556578668394E-6</v>
      </c>
      <c r="D56" s="76">
        <f>[1]!SWTEST(D28:D43)</f>
        <v>1.6661185697763869E-6</v>
      </c>
      <c r="E56" s="76">
        <f>[1]!SWTEST(E28:E43)</f>
        <v>0.79270395922984105</v>
      </c>
      <c r="F56" s="76">
        <f>[1]!SWTEST(F28:F43)</f>
        <v>5.2520313023305176E-2</v>
      </c>
      <c r="G56" s="76">
        <f>[1]!SWTEST(G28:G43)</f>
        <v>0.91966015637953702</v>
      </c>
      <c r="H56" s="76">
        <f>[1]!SWTEST(H28:H43)</f>
        <v>0.45443494137868634</v>
      </c>
      <c r="I56" s="76">
        <f>[1]!SWTEST(I28:I43)</f>
        <v>3.1834957568263045E-3</v>
      </c>
      <c r="J56" s="76">
        <f>[1]!SWTEST(J28:J43)</f>
        <v>9.3242493495471201E-3</v>
      </c>
      <c r="K56" s="76">
        <f>[1]!SWTEST(K28:K43)</f>
        <v>1.1842351623081449E-4</v>
      </c>
      <c r="L56" s="76">
        <f>[1]!SWTEST(L28:L43)</f>
        <v>8.3300233425509518E-6</v>
      </c>
      <c r="M56" s="76">
        <f>[1]!SWTEST(M28:M43)</f>
        <v>3.2027947196068274E-3</v>
      </c>
      <c r="N56" s="76"/>
      <c r="O56" s="76">
        <f>[1]!SWTEST(O28:O43)</f>
        <v>0.60544597511151022</v>
      </c>
      <c r="P56" s="76">
        <f>[1]!SWTEST(P28:P43)</f>
        <v>0.27696984155229132</v>
      </c>
      <c r="Q56" s="76">
        <f>[1]!SWTEST(Q28:Q43)</f>
        <v>2.7404489215882011E-3</v>
      </c>
      <c r="R56" s="76">
        <f>[1]!SWTEST(R28:R43)</f>
        <v>0.36743702667320544</v>
      </c>
      <c r="S56" s="76">
        <f>[1]!SWTEST(S28:S43)</f>
        <v>0.3018430279953479</v>
      </c>
      <c r="T56" s="76">
        <f>[1]!SWTEST(T28:T43)</f>
        <v>0.50638986724570578</v>
      </c>
      <c r="U56" s="76">
        <f>[1]!SWTEST(U28:U43)</f>
        <v>0.22283590329910952</v>
      </c>
      <c r="V56" s="76">
        <f>[1]!SWTEST(V28:V43)</f>
        <v>0.45445021124731211</v>
      </c>
    </row>
    <row r="57" spans="1:22" s="3" customFormat="1" x14ac:dyDescent="0.25">
      <c r="A57" s="44" t="s">
        <v>38</v>
      </c>
      <c r="B57" s="76" t="str">
        <f>IF(B56&gt;0.05,"Oui","Non")</f>
        <v>Non</v>
      </c>
      <c r="C57" s="76" t="str">
        <f t="shared" ref="C57:V57" si="43">IF(C56&gt;0.05,"Oui","Non")</f>
        <v>Non</v>
      </c>
      <c r="D57" s="76" t="str">
        <f t="shared" si="43"/>
        <v>Non</v>
      </c>
      <c r="E57" s="76" t="str">
        <f t="shared" si="43"/>
        <v>Oui</v>
      </c>
      <c r="F57" s="76" t="str">
        <f t="shared" si="43"/>
        <v>Oui</v>
      </c>
      <c r="G57" s="76" t="str">
        <f t="shared" si="43"/>
        <v>Oui</v>
      </c>
      <c r="H57" s="76" t="str">
        <f t="shared" si="43"/>
        <v>Oui</v>
      </c>
      <c r="I57" s="76" t="str">
        <f t="shared" si="43"/>
        <v>Non</v>
      </c>
      <c r="J57" s="76" t="str">
        <f t="shared" si="43"/>
        <v>Non</v>
      </c>
      <c r="K57" s="76" t="str">
        <f t="shared" si="43"/>
        <v>Non</v>
      </c>
      <c r="L57" s="76" t="str">
        <f t="shared" si="43"/>
        <v>Non</v>
      </c>
      <c r="M57" s="76" t="str">
        <f t="shared" si="43"/>
        <v>Non</v>
      </c>
      <c r="N57" s="76"/>
      <c r="O57" s="76" t="str">
        <f t="shared" si="43"/>
        <v>Oui</v>
      </c>
      <c r="P57" s="76" t="str">
        <f t="shared" si="43"/>
        <v>Oui</v>
      </c>
      <c r="Q57" s="76" t="str">
        <f t="shared" si="43"/>
        <v>Non</v>
      </c>
      <c r="R57" s="76" t="str">
        <f t="shared" si="43"/>
        <v>Oui</v>
      </c>
      <c r="S57" s="76" t="str">
        <f t="shared" si="43"/>
        <v>Oui</v>
      </c>
      <c r="T57" s="76" t="str">
        <f t="shared" si="43"/>
        <v>Oui</v>
      </c>
      <c r="U57" s="76" t="str">
        <f t="shared" si="43"/>
        <v>Oui</v>
      </c>
      <c r="V57" s="76" t="str">
        <f t="shared" si="43"/>
        <v>Oui</v>
      </c>
    </row>
    <row r="58" spans="1:22" s="3" customFormat="1" x14ac:dyDescent="0.25">
      <c r="A58" s="44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8"/>
      <c r="O58" s="79"/>
      <c r="P58" s="76"/>
      <c r="Q58" s="76"/>
      <c r="R58" s="76"/>
      <c r="S58" s="76"/>
      <c r="T58" s="76"/>
      <c r="U58" s="76"/>
      <c r="V58" s="76"/>
    </row>
    <row r="59" spans="1:22" s="3" customFormat="1" x14ac:dyDescent="0.25">
      <c r="A59" s="44" t="s">
        <v>39</v>
      </c>
      <c r="B59" s="80"/>
      <c r="C59" s="80" t="str">
        <f t="shared" ref="C59:O59" si="44">IF($B57="Non",IF(C57="Non","MW",IF(C57="Oui","MW","")),IF($B57="Oui",IF(C57="Oui","T-Test Welch",IF(C57="Non","MW",""))))</f>
        <v>MW</v>
      </c>
      <c r="D59" s="80" t="str">
        <f t="shared" si="44"/>
        <v>MW</v>
      </c>
      <c r="E59" s="80" t="str">
        <f t="shared" si="44"/>
        <v>MW</v>
      </c>
      <c r="F59" s="80" t="str">
        <f t="shared" si="44"/>
        <v>MW</v>
      </c>
      <c r="G59" s="80" t="str">
        <f t="shared" si="44"/>
        <v>MW</v>
      </c>
      <c r="H59" s="80" t="str">
        <f t="shared" si="44"/>
        <v>MW</v>
      </c>
      <c r="I59" s="80" t="str">
        <f t="shared" si="44"/>
        <v>MW</v>
      </c>
      <c r="J59" s="80" t="str">
        <f t="shared" si="44"/>
        <v>MW</v>
      </c>
      <c r="K59" s="80" t="str">
        <f t="shared" si="44"/>
        <v>MW</v>
      </c>
      <c r="L59" s="80" t="str">
        <f t="shared" si="44"/>
        <v>MW</v>
      </c>
      <c r="M59" s="80" t="str">
        <f t="shared" si="44"/>
        <v>MW</v>
      </c>
      <c r="N59" s="80"/>
      <c r="O59" s="80" t="str">
        <f t="shared" si="44"/>
        <v>MW</v>
      </c>
      <c r="P59" s="80" t="str">
        <f t="shared" ref="P59:V59" si="45">IF($O57="Non",IF(P57="Non","MW",IF(P57="Oui","MW","")),IF($O57="Oui",IF(P57="Oui","T-Test Welch",IF(P57="Non","MW",""))))</f>
        <v>T-Test Welch</v>
      </c>
      <c r="Q59" s="80" t="str">
        <f t="shared" si="45"/>
        <v>MW</v>
      </c>
      <c r="R59" s="80" t="str">
        <f t="shared" si="45"/>
        <v>T-Test Welch</v>
      </c>
      <c r="S59" s="80" t="str">
        <f t="shared" si="45"/>
        <v>T-Test Welch</v>
      </c>
      <c r="T59" s="80" t="str">
        <f t="shared" si="45"/>
        <v>T-Test Welch</v>
      </c>
      <c r="U59" s="80" t="str">
        <f t="shared" si="45"/>
        <v>T-Test Welch</v>
      </c>
      <c r="V59" s="80" t="str">
        <f t="shared" si="45"/>
        <v>T-Test Welch</v>
      </c>
    </row>
    <row r="60" spans="1:22" s="3" customFormat="1" x14ac:dyDescent="0.25">
      <c r="A60" s="44" t="s">
        <v>40</v>
      </c>
      <c r="B60" s="81"/>
      <c r="C60" s="81">
        <f>IF(C59="MW",[1]!MTEST($B28:$B43,C28:C43,2), IF(C59="T-Test Welch",_xlfn.T.TEST($B28:$B43,C28:C43,2,3),""))</f>
        <v>0.31842506670681603</v>
      </c>
      <c r="D60" s="81">
        <f>IF(D59="MW",[1]!MTEST($B28:$B43,D28:D43,2), IF(D59="T-Test Welch",_xlfn.T.TEST($B28:$B43,D28:D43,2,3),""))</f>
        <v>0.14148212148279327</v>
      </c>
      <c r="E60" s="81">
        <f>IF(E59="MW",[1]!MTEST($B28:$B43,E28:E43,2), IF(E59="T-Test Welch",_xlfn.T.TEST($B28:$B43,E28:E43,2,3),""))</f>
        <v>7.7753044694039986E-4</v>
      </c>
      <c r="F60" s="81">
        <f>IF(F59="MW",[1]!MTEST($B28:$B43,F28:F43,2), IF(F59="T-Test Welch",_xlfn.T.TEST($B28:$B43,F28:F43,2,3),""))</f>
        <v>7.7753044694039986E-4</v>
      </c>
      <c r="G60" s="81">
        <f>IF(G59="MW",[1]!MTEST($B28:$B43,G28:G43,2), IF(G59="T-Test Welch",_xlfn.T.TEST($B28:$B43,G28:G43,2,3),""))</f>
        <v>7.7753044694039986E-4</v>
      </c>
      <c r="H60" s="81">
        <f>IF(H59="MW",[1]!MTEST($B28:$B43,H28:H43,2), IF(H59="T-Test Welch",_xlfn.T.TEST($B28:$B43,H28:H43,2,3),""))</f>
        <v>7.7753044694039986E-4</v>
      </c>
      <c r="I60" s="81">
        <f>IF(I59="MW",[1]!MTEST($B28:$B43,I28:I43,2), IF(I59="T-Test Welch",_xlfn.T.TEST($B28:$B43,I28:I43,2,3),""))</f>
        <v>0.31842506670681603</v>
      </c>
      <c r="J60" s="81">
        <f>IF(J59="MW",[1]!MTEST($B28:$B43,J28:J43,2), IF(J59="T-Test Welch",_xlfn.T.TEST($B28:$B43,J28:J43,2,3),""))</f>
        <v>6.6081915916703649E-2</v>
      </c>
      <c r="K60" s="81">
        <f>IF(K59="MW",[1]!MTEST($B28:$B43,K28:K43,2), IF(K59="T-Test Welch",_xlfn.T.TEST($B28:$B43,K28:K43,2,3),""))</f>
        <v>0.1721672360665969</v>
      </c>
      <c r="L60" s="81">
        <f>IF(L59="MW",[1]!MTEST($B28:$B43,L28:L43,2), IF(L59="T-Test Welch",_xlfn.T.TEST($B28:$B43,L28:L43,2,3),""))</f>
        <v>0.14148212148279327</v>
      </c>
      <c r="M60" s="81">
        <f>IF(M59="MW",[1]!MTEST($B28:$B43,M28:M43,2), IF(M59="T-Test Welch",_xlfn.T.TEST($B28:$B43,M28:M43,2,3),""))</f>
        <v>0.31842506670681603</v>
      </c>
      <c r="N60" s="81"/>
      <c r="O60" s="81">
        <f>IF(O59="MW",[1]!MTEST($B28:$B43,O28:O43,2), IF(O59="T-Test Welch",_xlfn.T.TEST($B28:$B43,O28:O43,2,3),""))</f>
        <v>7.5702306152591881E-4</v>
      </c>
      <c r="P60" s="81">
        <f>IF(P59="MW",[1]!MTEST($O28:$O43,P28:P43,2), IF(P59="T-Test Welch",_xlfn.T.TEST($O28:$O43,P28:P43,2,3),""))</f>
        <v>1.1565688745478269E-3</v>
      </c>
      <c r="Q60" s="81">
        <f>IF(Q59="MW",[1]!MTEST($O28:$O43,Q28:Q43,2), IF(Q59="T-Test Welch",_xlfn.T.TEST($O28:$O43,Q28:Q43,2,3),""))</f>
        <v>1.4508616333606117E-3</v>
      </c>
      <c r="R60" s="81">
        <f>IF(R59="MW",[1]!MTEST($O28:$O43,R28:R43,2), IF(R59="T-Test Welch",_xlfn.T.TEST($O28:$O43,R28:R43,2,3),""))</f>
        <v>0.54573522233149685</v>
      </c>
      <c r="S60" s="81">
        <f>IF(S59="MW",[1]!MTEST($O28:$O43,S28:S43,2), IF(S59="T-Test Welch",_xlfn.T.TEST($O28:$O43,S28:S43,2,3),""))</f>
        <v>0.68723229275918896</v>
      </c>
      <c r="T60" s="81">
        <f>IF(T59="MW",[1]!MTEST($O28:$O43,T28:T43,2), IF(T59="T-Test Welch",_xlfn.T.TEST($O28:$O43,T28:T43,2,3),""))</f>
        <v>0.27725089115329382</v>
      </c>
      <c r="U60" s="81">
        <f>IF(U59="MW",[1]!MTEST($O28:$O43,U28:U43,2), IF(U59="T-Test Welch",_xlfn.T.TEST($O28:$O43,U28:U43,2,3),""))</f>
        <v>0.4208311421813512</v>
      </c>
      <c r="V60" s="81">
        <f>IF(V59="MW",[1]!MTEST($O28:$O43,V28:V43,2), IF(V59="T-Test Welch",_xlfn.T.TEST($O28:$O43,V28:V43,2,3),""))</f>
        <v>0.97042009245259397</v>
      </c>
    </row>
    <row r="61" spans="1:22" s="3" customFormat="1" ht="15.75" thickBot="1" x14ac:dyDescent="0.3">
      <c r="A61" s="45" t="s">
        <v>15</v>
      </c>
      <c r="B61" s="77"/>
      <c r="C61" s="77" t="str">
        <f t="shared" ref="C61:O61" si="46">IF(C60&gt;0.05,"NS",IF(C60&gt;0.01,"*",IF(C60&gt;0.001,"**","***")))</f>
        <v>NS</v>
      </c>
      <c r="D61" s="77" t="str">
        <f t="shared" si="46"/>
        <v>NS</v>
      </c>
      <c r="E61" s="77" t="str">
        <f t="shared" si="46"/>
        <v>***</v>
      </c>
      <c r="F61" s="77" t="str">
        <f t="shared" si="46"/>
        <v>***</v>
      </c>
      <c r="G61" s="77" t="str">
        <f t="shared" si="46"/>
        <v>***</v>
      </c>
      <c r="H61" s="77" t="str">
        <f t="shared" si="46"/>
        <v>***</v>
      </c>
      <c r="I61" s="77" t="str">
        <f t="shared" si="46"/>
        <v>NS</v>
      </c>
      <c r="J61" s="77" t="str">
        <f t="shared" si="46"/>
        <v>NS</v>
      </c>
      <c r="K61" s="77" t="str">
        <f t="shared" si="46"/>
        <v>NS</v>
      </c>
      <c r="L61" s="77" t="str">
        <f t="shared" si="46"/>
        <v>NS</v>
      </c>
      <c r="M61" s="77" t="str">
        <f t="shared" si="46"/>
        <v>NS</v>
      </c>
      <c r="N61" s="77"/>
      <c r="O61" s="77" t="str">
        <f t="shared" si="46"/>
        <v>***</v>
      </c>
      <c r="P61" s="77" t="str">
        <f>IF(P60&gt;0.05,"NS",IF(P60&gt;0.01,"*",IF(P60&gt;0.001,"**","***")))</f>
        <v>**</v>
      </c>
      <c r="Q61" s="77" t="str">
        <f t="shared" ref="Q61:V61" si="47">IF(Q60&gt;0.05,"NS",IF(Q60&gt;0.01,"*",IF(Q60&gt;0.001,"**","***")))</f>
        <v>**</v>
      </c>
      <c r="R61" s="77" t="str">
        <f t="shared" si="47"/>
        <v>NS</v>
      </c>
      <c r="S61" s="77" t="str">
        <f t="shared" si="47"/>
        <v>NS</v>
      </c>
      <c r="T61" s="77" t="str">
        <f t="shared" si="47"/>
        <v>NS</v>
      </c>
      <c r="U61" s="77" t="str">
        <f t="shared" si="47"/>
        <v>NS</v>
      </c>
      <c r="V61" s="77" t="str">
        <f t="shared" si="47"/>
        <v>NS</v>
      </c>
    </row>
    <row r="63" spans="1:22" x14ac:dyDescent="0.25">
      <c r="A63" s="2"/>
    </row>
    <row r="66" spans="1:22" ht="15.75" thickBot="1" x14ac:dyDescent="0.3"/>
    <row r="67" spans="1:22" ht="27" thickBot="1" x14ac:dyDescent="0.45">
      <c r="A67" s="135"/>
      <c r="B67" s="136"/>
      <c r="C67" s="136"/>
      <c r="D67" s="136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</row>
    <row r="68" spans="1:22" ht="16.5" x14ac:dyDescent="0.25">
      <c r="A68" s="11"/>
      <c r="B68" s="11"/>
      <c r="C68" s="11"/>
      <c r="D68" s="11"/>
      <c r="E68" s="11"/>
      <c r="F68" s="11"/>
      <c r="N68" s="11"/>
      <c r="O68" s="11"/>
      <c r="P68" s="11"/>
      <c r="Q68" s="11"/>
      <c r="R68" s="11"/>
      <c r="S68" s="11"/>
      <c r="T68" s="11"/>
      <c r="U68" s="11"/>
      <c r="V68" s="11"/>
    </row>
    <row r="69" spans="1:22" ht="16.5" x14ac:dyDescent="0.25">
      <c r="A69" s="11"/>
      <c r="B69" s="11"/>
      <c r="C69" s="11"/>
      <c r="D69" s="11"/>
      <c r="E69" s="11"/>
      <c r="F69" s="11"/>
      <c r="N69" s="11"/>
      <c r="O69" s="11"/>
      <c r="P69" s="11"/>
      <c r="Q69" s="11"/>
      <c r="R69" s="11"/>
      <c r="S69" s="11"/>
      <c r="T69" s="11"/>
      <c r="U69" s="11"/>
      <c r="V69" s="11"/>
    </row>
    <row r="70" spans="1:22" ht="16.5" x14ac:dyDescent="0.25">
      <c r="A70" s="11"/>
      <c r="B70" s="11"/>
      <c r="C70" s="11"/>
      <c r="D70" s="11"/>
      <c r="E70" s="11"/>
      <c r="F70" s="11"/>
      <c r="N70" s="11"/>
      <c r="O70" s="11"/>
      <c r="P70" s="11"/>
      <c r="Q70" s="11"/>
      <c r="R70" s="11"/>
      <c r="S70" s="11"/>
      <c r="T70" s="11"/>
      <c r="U70" s="11"/>
      <c r="V70" s="11"/>
    </row>
    <row r="71" spans="1:22" ht="16.5" x14ac:dyDescent="0.25">
      <c r="A71" s="11"/>
      <c r="B71" s="11"/>
      <c r="C71" s="11"/>
      <c r="D71" s="11"/>
      <c r="E71" s="11"/>
      <c r="F71" s="11"/>
      <c r="N71" s="11"/>
      <c r="O71" s="11"/>
      <c r="P71" s="11"/>
      <c r="Q71" s="11"/>
      <c r="R71" s="11"/>
      <c r="S71" s="11"/>
      <c r="T71" s="11"/>
      <c r="U71" s="11"/>
      <c r="V71" s="11"/>
    </row>
    <row r="72" spans="1:22" ht="16.5" x14ac:dyDescent="0.25">
      <c r="A72" s="11"/>
      <c r="B72" s="11"/>
      <c r="C72" s="11"/>
      <c r="D72" s="11"/>
      <c r="E72" s="11"/>
      <c r="F72" s="11"/>
      <c r="N72" s="11"/>
      <c r="O72" s="11"/>
      <c r="P72" s="11"/>
      <c r="Q72" s="11"/>
      <c r="R72" s="11"/>
      <c r="S72" s="11"/>
      <c r="T72" s="11"/>
      <c r="U72" s="11"/>
      <c r="V72" s="11"/>
    </row>
    <row r="73" spans="1:22" ht="16.5" x14ac:dyDescent="0.25">
      <c r="A73" s="11"/>
      <c r="B73" s="11"/>
      <c r="C73" s="11"/>
      <c r="D73" s="11"/>
      <c r="E73" s="11"/>
      <c r="F73" s="11"/>
      <c r="N73" s="11"/>
      <c r="O73" s="11"/>
      <c r="P73" s="11"/>
      <c r="Q73" s="11"/>
      <c r="R73" s="11"/>
      <c r="S73" s="11"/>
      <c r="T73" s="11"/>
      <c r="U73" s="11"/>
      <c r="V73" s="11"/>
    </row>
    <row r="74" spans="1:22" ht="16.5" x14ac:dyDescent="0.25">
      <c r="A74" s="11"/>
      <c r="B74" s="11"/>
      <c r="C74" s="11"/>
      <c r="D74" s="11"/>
      <c r="E74" s="11"/>
      <c r="F74" s="11"/>
      <c r="N74" s="11"/>
      <c r="O74" s="11"/>
      <c r="P74" s="11"/>
      <c r="Q74" s="11"/>
      <c r="R74" s="11"/>
      <c r="S74" s="11"/>
      <c r="T74" s="11"/>
      <c r="U74" s="11"/>
      <c r="V74" s="11"/>
    </row>
  </sheetData>
  <protectedRanges>
    <protectedRange sqref="O51:V51" name="Plage2"/>
    <protectedRange sqref="R5:V20" name="Plage1"/>
    <protectedRange sqref="B51:J51" name="Plage2_1"/>
    <protectedRange sqref="O5:O20 B5:J20" name="Plage1_1"/>
  </protectedRanges>
  <mergeCells count="9">
    <mergeCell ref="A28:A43"/>
    <mergeCell ref="A50:V50"/>
    <mergeCell ref="A67:V67"/>
    <mergeCell ref="A1:V1"/>
    <mergeCell ref="B3:M3"/>
    <mergeCell ref="O3:V3"/>
    <mergeCell ref="A5:A20"/>
    <mergeCell ref="B26:M26"/>
    <mergeCell ref="O26:V26"/>
  </mergeCells>
  <pageMargins left="0.7" right="0.7" top="0.75" bottom="0.75" header="0.3" footer="0.3"/>
  <pageSetup paperSize="9" scale="21" orientation="landscape" r:id="rId1"/>
  <headerFooter>
    <oddHeader>&amp;C&amp;"-,Gras"&amp;14Données brutes et normalisées R1&amp;R&amp;"-,Gras"&amp;14Page : &amp;P/&amp;P</oddHead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93"/>
  <sheetViews>
    <sheetView showGridLines="0" zoomScale="70" zoomScaleNormal="70" workbookViewId="0">
      <selection activeCell="O3" sqref="O3:V3"/>
    </sheetView>
  </sheetViews>
  <sheetFormatPr defaultColWidth="11.42578125" defaultRowHeight="15" x14ac:dyDescent="0.25"/>
  <cols>
    <col min="1" max="1" width="42.85546875" customWidth="1"/>
    <col min="2" max="2" width="14" bestFit="1" customWidth="1"/>
    <col min="3" max="13" width="22.7109375" bestFit="1" customWidth="1"/>
    <col min="14" max="14" width="8.42578125" customWidth="1"/>
    <col min="15" max="15" width="22.7109375" customWidth="1"/>
    <col min="18" max="22" width="29.140625" customWidth="1"/>
  </cols>
  <sheetData>
    <row r="1" spans="1:22" s="1" customFormat="1" ht="21.75" thickBot="1" x14ac:dyDescent="0.3">
      <c r="A1" s="21"/>
      <c r="B1" s="38"/>
      <c r="C1" s="22"/>
      <c r="D1" s="22"/>
      <c r="E1" s="22"/>
      <c r="F1" s="22"/>
      <c r="G1" s="22"/>
      <c r="H1" s="39"/>
      <c r="I1" s="38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</row>
    <row r="2" spans="1:22" ht="15.75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22" s="17" customFormat="1" ht="15.75" thickBot="1" x14ac:dyDescent="0.3">
      <c r="B3" s="141" t="s">
        <v>41</v>
      </c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54"/>
      <c r="O3" s="141" t="s">
        <v>42</v>
      </c>
      <c r="P3" s="142"/>
      <c r="Q3" s="142"/>
      <c r="R3" s="142"/>
      <c r="S3" s="142"/>
      <c r="T3" s="142"/>
      <c r="U3" s="142"/>
      <c r="V3" s="142"/>
    </row>
    <row r="4" spans="1:22" x14ac:dyDescent="0.25">
      <c r="A4" s="18"/>
      <c r="B4" s="19" t="str">
        <f>'R1'!B4</f>
        <v>Solvent control</v>
      </c>
      <c r="C4" s="19" t="str">
        <f>'R1'!C4</f>
        <v>EE2-33.8ng/L</v>
      </c>
      <c r="D4" s="19" t="str">
        <f>'R1'!D4</f>
        <v>EE2-50.6ng/L</v>
      </c>
      <c r="E4" s="19" t="str">
        <f>'R1'!E4</f>
        <v>EE2-76ng/L</v>
      </c>
      <c r="F4" s="19" t="str">
        <f>'R1'!F4</f>
        <v>EE2-114ng/L</v>
      </c>
      <c r="G4" s="19" t="str">
        <f>'R1'!G4</f>
        <v>EE2-170.9ng/L</v>
      </c>
      <c r="H4" s="19" t="str">
        <f>'R1'!H4</f>
        <v>EE2-488ng/L</v>
      </c>
      <c r="I4" s="19" t="str">
        <f>'R1'!I4</f>
        <v>Chromolyn-0.1µg/L</v>
      </c>
      <c r="J4" s="19" t="str">
        <f>'R1'!J4</f>
        <v>Chromolyn-1µg/L</v>
      </c>
      <c r="K4" s="19" t="str">
        <f>'R1'!K4</f>
        <v>Chromolyn-10µg/L</v>
      </c>
      <c r="L4" s="19" t="str">
        <f>'R1'!L4</f>
        <v>Chromolyn-100µg/L</v>
      </c>
      <c r="M4" s="19" t="str">
        <f>'R1'!M4</f>
        <v>Chromolyn-1000µg/L</v>
      </c>
      <c r="O4" s="19" t="str">
        <f>'R1'!O4</f>
        <v>Testo -30µg/L</v>
      </c>
      <c r="P4" s="19" t="str">
        <f>'R1'!P4</f>
        <v>Testo 30µg/L + EE2 -64ng/L</v>
      </c>
      <c r="Q4" s="19" t="str">
        <f>'R1'!Q4</f>
        <v>Testo 30µg/L + FAD-10mg/L</v>
      </c>
      <c r="R4" s="19" t="str">
        <f>'R1'!R4</f>
        <v>Chromolyn-0.1µg/L + Testostérone</v>
      </c>
      <c r="S4" s="19" t="str">
        <f>'R1'!S4</f>
        <v>Chromolyn-1µg/L + Testostérone</v>
      </c>
      <c r="T4" s="19" t="str">
        <f>'R1'!T4</f>
        <v>Chromolyn-10µg/L + Testostérone</v>
      </c>
      <c r="U4" s="19" t="str">
        <f>'R1'!U4</f>
        <v>Chromolyn-100µg/L + Testostérone</v>
      </c>
      <c r="V4" s="19" t="str">
        <f>'R1'!V4</f>
        <v>Chromolyn-1000µg/L + Testostérone</v>
      </c>
    </row>
    <row r="5" spans="1:22" s="1" customFormat="1" x14ac:dyDescent="0.25">
      <c r="A5" s="18"/>
      <c r="B5" s="19"/>
      <c r="C5" s="113"/>
      <c r="D5" s="19"/>
      <c r="E5" s="19"/>
      <c r="F5" s="19"/>
      <c r="G5" s="19"/>
      <c r="H5" s="19"/>
      <c r="I5" s="19"/>
      <c r="J5" s="19"/>
      <c r="K5" s="19"/>
      <c r="L5" s="19"/>
      <c r="M5" s="19"/>
      <c r="O5" s="19"/>
      <c r="P5" s="19"/>
      <c r="Q5" s="19"/>
      <c r="R5" s="19"/>
      <c r="S5" s="19"/>
      <c r="T5" s="19"/>
      <c r="U5" s="19"/>
      <c r="V5" s="19"/>
    </row>
    <row r="6" spans="1:22" s="1" customFormat="1" x14ac:dyDescent="0.25">
      <c r="A6" s="53" t="s">
        <v>3</v>
      </c>
      <c r="B6" s="36">
        <f>'R1'!B28</f>
        <v>5.2467678843973027E-2</v>
      </c>
      <c r="C6" s="36" t="str">
        <f>'R1'!C28</f>
        <v/>
      </c>
      <c r="D6" s="36">
        <f>'R1'!D28</f>
        <v>1.1093099728905815E-2</v>
      </c>
      <c r="E6" s="36">
        <f>'R1'!E28</f>
        <v>7.5633710454495587E-2</v>
      </c>
      <c r="F6" s="36">
        <f>'R1'!F28</f>
        <v>1.0107143625240447</v>
      </c>
      <c r="G6" s="36">
        <f>'R1'!G28</f>
        <v>1.6948763308202049E-2</v>
      </c>
      <c r="H6" s="36">
        <f>'R1'!H28</f>
        <v>1.4802697600395431</v>
      </c>
      <c r="I6" s="36">
        <f>'R1'!I28</f>
        <v>0</v>
      </c>
      <c r="J6" s="36">
        <f>'R1'!J28</f>
        <v>4.483315332076708E-2</v>
      </c>
      <c r="K6" s="36">
        <f>'R1'!K28</f>
        <v>3.6399598006362346E-2</v>
      </c>
      <c r="L6" s="36">
        <f>'R1'!L28</f>
        <v>2.3620953681424053E-3</v>
      </c>
      <c r="M6" s="36">
        <f>'R1'!M28</f>
        <v>0</v>
      </c>
      <c r="N6"/>
      <c r="O6" s="36">
        <f>'R1'!O28</f>
        <v>1.1842846295756941</v>
      </c>
      <c r="P6" s="36">
        <f>'R1'!P28</f>
        <v>0.6513725851857981</v>
      </c>
      <c r="Q6" s="36">
        <f>'R1'!Q28</f>
        <v>0</v>
      </c>
      <c r="R6" s="36">
        <f>'R1'!R28</f>
        <v>1.095084909673546</v>
      </c>
      <c r="S6" s="36">
        <f>'R1'!S28</f>
        <v>0.95527802555072727</v>
      </c>
      <c r="T6" s="36">
        <f>'R1'!T28</f>
        <v>1.1830015160423821</v>
      </c>
      <c r="U6" s="36">
        <f>'R1'!U28</f>
        <v>1.6579051640580944</v>
      </c>
      <c r="V6" s="36">
        <f>'R1'!V28</f>
        <v>0.59423320661372125</v>
      </c>
    </row>
    <row r="7" spans="1:22" s="1" customFormat="1" x14ac:dyDescent="0.25">
      <c r="A7" s="143"/>
      <c r="B7" s="36">
        <f>'R1'!B29</f>
        <v>3.1984520984920863E-2</v>
      </c>
      <c r="C7" s="36" t="str">
        <f>'R1'!C29</f>
        <v/>
      </c>
      <c r="D7" s="36">
        <f>'R1'!D29</f>
        <v>7.8036632162334276E-3</v>
      </c>
      <c r="E7" s="36">
        <f>'R1'!E29</f>
        <v>0</v>
      </c>
      <c r="F7" s="36">
        <f>'R1'!F29</f>
        <v>8.7951600374290059E-3</v>
      </c>
      <c r="G7" s="36">
        <f>'R1'!G29</f>
        <v>2.2425266838404609</v>
      </c>
      <c r="H7" s="36">
        <f>'R1'!H29</f>
        <v>1.6502298121951922</v>
      </c>
      <c r="I7" s="36">
        <f>'R1'!I29</f>
        <v>2.8298485743770248E-2</v>
      </c>
      <c r="J7" s="36">
        <f>'R1'!J29</f>
        <v>0</v>
      </c>
      <c r="K7" s="36">
        <f>'R1'!K29</f>
        <v>0</v>
      </c>
      <c r="L7" s="36">
        <f>'R1'!L29</f>
        <v>3.3652568578226363E-3</v>
      </c>
      <c r="M7" s="36">
        <f>'R1'!M29</f>
        <v>4.7241907362848104E-4</v>
      </c>
      <c r="N7"/>
      <c r="O7" s="36">
        <f>'R1'!O29</f>
        <v>0.8409584420668772</v>
      </c>
      <c r="P7" s="36">
        <f>'R1'!P29</f>
        <v>1.4942498652184009</v>
      </c>
      <c r="Q7" s="36">
        <f>'R1'!Q29</f>
        <v>0.58168785565847603</v>
      </c>
      <c r="R7" s="36">
        <f>'R1'!R29</f>
        <v>0.46849391268339502</v>
      </c>
      <c r="S7" s="36">
        <f>'R1'!S29</f>
        <v>0.4515043230354967</v>
      </c>
      <c r="T7" s="36">
        <f>'R1'!T29</f>
        <v>0.13834296822799469</v>
      </c>
      <c r="U7" s="36">
        <f>'R1'!U29</f>
        <v>1.0853507438231025</v>
      </c>
      <c r="V7" s="36">
        <f>'R1'!V29</f>
        <v>0.52156815428857006</v>
      </c>
    </row>
    <row r="8" spans="1:22" s="1" customFormat="1" x14ac:dyDescent="0.25">
      <c r="A8" s="144"/>
      <c r="B8" s="36">
        <f>'R1'!B30</f>
        <v>2.4612450502619629E-3</v>
      </c>
      <c r="C8" s="36" t="str">
        <f>'R1'!C30</f>
        <v/>
      </c>
      <c r="D8" s="36">
        <f>'R1'!D30</f>
        <v>1.4114248866431162E-3</v>
      </c>
      <c r="E8" s="36">
        <f>'R1'!E30</f>
        <v>0.17886602654368217</v>
      </c>
      <c r="F8" s="36">
        <f>'R1'!F30</f>
        <v>0.98727421120413283</v>
      </c>
      <c r="G8" s="36">
        <f>'R1'!G30</f>
        <v>1.4184120230654238</v>
      </c>
      <c r="H8" s="36">
        <f>'R1'!H30</f>
        <v>1.3059296248679066</v>
      </c>
      <c r="I8" s="36">
        <f>'R1'!I30</f>
        <v>6.1082036519889901E-2</v>
      </c>
      <c r="J8" s="36">
        <f>'R1'!J30</f>
        <v>2.8228497732862325E-3</v>
      </c>
      <c r="K8" s="36">
        <f>'R1'!K30</f>
        <v>2.7056198550154613E-2</v>
      </c>
      <c r="L8" s="36">
        <f>'R1'!L30</f>
        <v>8.6569337158858575E-2</v>
      </c>
      <c r="M8" s="36">
        <f>'R1'!M30</f>
        <v>7.5849506821461674E-2</v>
      </c>
      <c r="N8"/>
      <c r="O8" s="36">
        <f>'R1'!O30</f>
        <v>1.2892549812690941</v>
      </c>
      <c r="P8" s="36">
        <f>'R1'!P30</f>
        <v>1.6128503820361189</v>
      </c>
      <c r="Q8" s="36">
        <f>'R1'!Q30</f>
        <v>4.8933284293122912E-3</v>
      </c>
      <c r="R8" s="36">
        <f>'R1'!R30</f>
        <v>0.38762276607928986</v>
      </c>
      <c r="S8" s="36">
        <f>'R1'!S30</f>
        <v>0.51570082604078915</v>
      </c>
      <c r="T8" s="36">
        <f>'R1'!T30</f>
        <v>1.1959259687233785</v>
      </c>
      <c r="U8" s="36">
        <f>'R1'!U30</f>
        <v>0.90854936360120397</v>
      </c>
      <c r="V8" s="36">
        <f>'R1'!V30</f>
        <v>0.97809994944095258</v>
      </c>
    </row>
    <row r="9" spans="1:22" s="1" customFormat="1" x14ac:dyDescent="0.25">
      <c r="A9" s="144"/>
      <c r="B9" s="36">
        <f>'R1'!B31</f>
        <v>4.2809333338679643E-3</v>
      </c>
      <c r="C9" s="36" t="str">
        <f>'R1'!C31</f>
        <v/>
      </c>
      <c r="D9" s="36">
        <f>'R1'!D31</f>
        <v>5.1272050324296013E-2</v>
      </c>
      <c r="E9" s="36">
        <f>'R1'!E31</f>
        <v>8.5910283389475633E-3</v>
      </c>
      <c r="F9" s="36">
        <f>'R1'!F31</f>
        <v>1.5979429357127313</v>
      </c>
      <c r="G9" s="36">
        <f>'R1'!G31</f>
        <v>1.4686750795657972</v>
      </c>
      <c r="H9" s="36">
        <f>'R1'!H31</f>
        <v>2.3451874311738994</v>
      </c>
      <c r="I9" s="36">
        <f>'R1'!I31</f>
        <v>3.9134962766013675E-3</v>
      </c>
      <c r="J9" s="36">
        <f>'R1'!J31</f>
        <v>0</v>
      </c>
      <c r="K9" s="36">
        <f>'R1'!K31</f>
        <v>9.5650281574161588E-4</v>
      </c>
      <c r="L9" s="36">
        <f>'R1'!L31</f>
        <v>0.11823891209469378</v>
      </c>
      <c r="M9" s="36">
        <f>'R1'!M31</f>
        <v>1.428921889370097E-3</v>
      </c>
      <c r="N9"/>
      <c r="O9" s="36">
        <f>'R1'!O31</f>
        <v>0.95036720011868803</v>
      </c>
      <c r="P9" s="36">
        <f>'R1'!P31</f>
        <v>1.4532777171660543</v>
      </c>
      <c r="Q9" s="36">
        <f>'R1'!Q31</f>
        <v>1.8780116260292703E-3</v>
      </c>
      <c r="R9" s="36">
        <f>'R1'!R31</f>
        <v>7.6304428892363177E-2</v>
      </c>
      <c r="S9" s="36">
        <f>'R1'!S31</f>
        <v>1.1941821007849229</v>
      </c>
      <c r="T9" s="36">
        <f>'R1'!T31</f>
        <v>1.3889004117992496</v>
      </c>
      <c r="U9" s="36">
        <f>'R1'!U31</f>
        <v>0.80319991018205272</v>
      </c>
      <c r="V9" s="36">
        <f>'R1'!V31</f>
        <v>1.1890963053256138</v>
      </c>
    </row>
    <row r="10" spans="1:22" s="1" customFormat="1" x14ac:dyDescent="0.25">
      <c r="A10" s="144"/>
      <c r="B10" s="36">
        <f>'R1'!B32</f>
        <v>5.7938408363275684E-2</v>
      </c>
      <c r="C10" s="36" t="str">
        <f>'R1'!C32</f>
        <v/>
      </c>
      <c r="D10" s="36">
        <f>'R1'!D32</f>
        <v>4.7475200732541179E-3</v>
      </c>
      <c r="E10" s="36">
        <f>'R1'!E32</f>
        <v>0</v>
      </c>
      <c r="F10" s="36">
        <f>'R1'!F32</f>
        <v>0.8382697359811645</v>
      </c>
      <c r="G10" s="36">
        <f>'R1'!G32</f>
        <v>0.35379522747379366</v>
      </c>
      <c r="H10" s="36">
        <f>'R1'!H32</f>
        <v>1.8649530296607002</v>
      </c>
      <c r="I10" s="36">
        <f>'R1'!I32</f>
        <v>2.8549276116190306E-2</v>
      </c>
      <c r="J10" s="36">
        <f>'R1'!J32</f>
        <v>8.061452389744278E-2</v>
      </c>
      <c r="K10" s="36">
        <f>'R1'!K32</f>
        <v>3.0036521347983672E-3</v>
      </c>
      <c r="L10" s="36">
        <f>'R1'!L32</f>
        <v>3.7851849232701752E-3</v>
      </c>
      <c r="M10" s="36">
        <f>'R1'!M32</f>
        <v>1.4347542236124238E-3</v>
      </c>
      <c r="N10"/>
      <c r="O10" s="36">
        <f>'R1'!O32</f>
        <v>1.0395085966784128</v>
      </c>
      <c r="P10" s="36">
        <f>'R1'!P32</f>
        <v>1.4051026363244339</v>
      </c>
      <c r="Q10" s="36">
        <f>'R1'!Q32</f>
        <v>0</v>
      </c>
      <c r="R10" s="36">
        <f>'R1'!R32</f>
        <v>0.41008891758073318</v>
      </c>
      <c r="S10" s="36">
        <f>'R1'!S32</f>
        <v>1.2190686709969318</v>
      </c>
      <c r="T10" s="36">
        <f>'R1'!T32</f>
        <v>1.1277343167620921</v>
      </c>
      <c r="U10" s="36">
        <f>'R1'!U32</f>
        <v>1.0861847676197551</v>
      </c>
      <c r="V10" s="36">
        <f>'R1'!V32</f>
        <v>0.29766484272563937</v>
      </c>
    </row>
    <row r="11" spans="1:22" s="1" customFormat="1" x14ac:dyDescent="0.25">
      <c r="A11" s="144"/>
      <c r="B11" s="36">
        <f>'R1'!B33</f>
        <v>1.1810476840712026E-2</v>
      </c>
      <c r="C11" s="36" t="str">
        <f>'R1'!C33</f>
        <v/>
      </c>
      <c r="D11" s="36">
        <f>'R1'!D33</f>
        <v>9.5650281574161588E-4</v>
      </c>
      <c r="E11" s="36">
        <f>'R1'!E33</f>
        <v>8.8884773853062357E-2</v>
      </c>
      <c r="F11" s="36">
        <f>'R1'!F33</f>
        <v>0.18292533117634172</v>
      </c>
      <c r="G11" s="36">
        <f>'R1'!G33</f>
        <v>1.0634095024034684</v>
      </c>
      <c r="H11" s="36">
        <f>'R1'!H33</f>
        <v>0.98526788822477229</v>
      </c>
      <c r="I11" s="36">
        <f>'R1'!I33</f>
        <v>1.504742234520347E-3</v>
      </c>
      <c r="J11" s="36">
        <f>'R1'!J33</f>
        <v>4.6658673938615409E-4</v>
      </c>
      <c r="K11" s="36">
        <f>'R1'!K33</f>
        <v>9.9732915543790444E-4</v>
      </c>
      <c r="L11" s="36">
        <f>'R1'!L33</f>
        <v>3.7805190558763135E-2</v>
      </c>
      <c r="M11" s="36">
        <f>'R1'!M33</f>
        <v>0</v>
      </c>
      <c r="N11"/>
      <c r="O11" s="36">
        <f>'R1'!O33</f>
        <v>0.45831065709629221</v>
      </c>
      <c r="P11" s="36">
        <f>'R1'!P33</f>
        <v>1.1527900246671285</v>
      </c>
      <c r="Q11" s="36">
        <f>'R1'!Q33</f>
        <v>0.1052036450630931</v>
      </c>
      <c r="R11" s="36">
        <f>'R1'!R33</f>
        <v>1.5957499780376163</v>
      </c>
      <c r="S11" s="36">
        <f>'R1'!S33</f>
        <v>0.78730679937171177</v>
      </c>
      <c r="T11" s="36">
        <f>'R1'!T33</f>
        <v>1.4516738252494144</v>
      </c>
      <c r="U11" s="36">
        <f>'R1'!U33</f>
        <v>0.37101227815714277</v>
      </c>
      <c r="V11" s="36">
        <f>'R1'!V33</f>
        <v>0.83584348493635652</v>
      </c>
    </row>
    <row r="12" spans="1:22" s="1" customFormat="1" x14ac:dyDescent="0.25">
      <c r="A12" s="144"/>
      <c r="B12" s="36">
        <f>'R1'!B34</f>
        <v>3.2456940058549343E-2</v>
      </c>
      <c r="C12" s="36" t="str">
        <f>'R1'!C34</f>
        <v/>
      </c>
      <c r="D12" s="36">
        <f>'R1'!D34</f>
        <v>6.5829556593144017E-2</v>
      </c>
      <c r="E12" s="36">
        <f>'R1'!E34</f>
        <v>1.4419396593989706</v>
      </c>
      <c r="F12" s="36">
        <f>'R1'!F34</f>
        <v>0.87521757340630557</v>
      </c>
      <c r="G12" s="36">
        <f>'R1'!G34</f>
        <v>0.8130040640434042</v>
      </c>
      <c r="H12" s="36">
        <f>'R1'!H34</f>
        <v>2.334444271499533</v>
      </c>
      <c r="I12" s="36">
        <f>'R1'!I34</f>
        <v>3.9076639423590411E-3</v>
      </c>
      <c r="J12" s="36">
        <f>'R1'!J34</f>
        <v>2.0354846505720972E-3</v>
      </c>
      <c r="K12" s="36">
        <f>'R1'!K34</f>
        <v>3.6096316625761349E-2</v>
      </c>
      <c r="L12" s="36">
        <f>'R1'!L34</f>
        <v>8.4335553144047355E-3</v>
      </c>
      <c r="M12" s="36">
        <f>'R1'!M34</f>
        <v>1.3886787830980412E-2</v>
      </c>
      <c r="N12"/>
      <c r="O12" s="36">
        <f>'R1'!O34</f>
        <v>0.40344005654448045</v>
      </c>
      <c r="P12" s="36">
        <f>'R1'!P34</f>
        <v>1.2491226893476426</v>
      </c>
      <c r="Q12" s="36">
        <f>'R1'!Q34</f>
        <v>0</v>
      </c>
      <c r="R12" s="36">
        <f>'R1'!R34</f>
        <v>0.36504580022724231</v>
      </c>
      <c r="S12" s="36">
        <f>'R1'!S34</f>
        <v>1.558119757506123</v>
      </c>
      <c r="T12" s="36">
        <f>'R1'!T34</f>
        <v>1.05148237887791</v>
      </c>
      <c r="U12" s="36">
        <f>'R1'!U34</f>
        <v>0.84538518375680338</v>
      </c>
      <c r="V12" s="36">
        <f>'R1'!V34</f>
        <v>1.2665030453897768</v>
      </c>
    </row>
    <row r="13" spans="1:22" s="1" customFormat="1" x14ac:dyDescent="0.25">
      <c r="A13" s="144"/>
      <c r="B13" s="36">
        <f>'R1'!B35</f>
        <v>1.4405865578547509E-3</v>
      </c>
      <c r="C13" s="36" t="str">
        <f>'R1'!C35</f>
        <v/>
      </c>
      <c r="D13" s="36">
        <f>'R1'!D35</f>
        <v>9.3288186206019183E-2</v>
      </c>
      <c r="E13" s="36">
        <f>'R1'!E35</f>
        <v>0.42907316553950731</v>
      </c>
      <c r="F13" s="36">
        <f>'R1'!F35</f>
        <v>1.205922589614727</v>
      </c>
      <c r="G13" s="36">
        <f>'R1'!G35</f>
        <v>1.0309175683394651</v>
      </c>
      <c r="H13" s="36">
        <f>'R1'!H35</f>
        <v>1.1818175521911898</v>
      </c>
      <c r="I13" s="36">
        <f>'R1'!I35</f>
        <v>1.9130056314832318E-3</v>
      </c>
      <c r="J13" s="36">
        <f>'R1'!J35</f>
        <v>0</v>
      </c>
      <c r="K13" s="36">
        <f>'R1'!K35</f>
        <v>2.4589121165650322E-2</v>
      </c>
      <c r="L13" s="36">
        <f>'R1'!L35</f>
        <v>4.8303392194951604E-2</v>
      </c>
      <c r="M13" s="36">
        <f>'R1'!M35</f>
        <v>4.6658673938615409E-4</v>
      </c>
      <c r="N13"/>
      <c r="O13" s="36">
        <f>'R1'!O35</f>
        <v>0.69710391797988358</v>
      </c>
      <c r="P13" s="36">
        <f>'R1'!P35</f>
        <v>1.3604677823679059</v>
      </c>
      <c r="Q13" s="36">
        <f>'R1'!Q35</f>
        <v>1.5269051046411894E-2</v>
      </c>
      <c r="R13" s="36">
        <f>'R1'!R35</f>
        <v>1.3458344557539075</v>
      </c>
      <c r="S13" s="36">
        <f>'R1'!S35</f>
        <v>1.3692746070738195</v>
      </c>
      <c r="T13" s="36">
        <f>'R1'!T35</f>
        <v>1.0752141469099381</v>
      </c>
      <c r="U13" s="36">
        <f>'R1'!U35</f>
        <v>0.7390384011822142</v>
      </c>
      <c r="V13" s="36">
        <f>'R1'!V35</f>
        <v>1.2701715836282004</v>
      </c>
    </row>
    <row r="14" spans="1:22" s="1" customFormat="1" x14ac:dyDescent="0.25">
      <c r="A14" s="144"/>
      <c r="B14" s="36" t="str">
        <f>'R1'!B36</f>
        <v/>
      </c>
      <c r="C14" s="36" t="str">
        <f>'R1'!C36</f>
        <v/>
      </c>
      <c r="D14" s="36" t="str">
        <f>'R1'!D36</f>
        <v/>
      </c>
      <c r="E14" s="36" t="str">
        <f>'R1'!E36</f>
        <v/>
      </c>
      <c r="F14" s="36" t="str">
        <f>'R1'!F36</f>
        <v/>
      </c>
      <c r="G14" s="36" t="str">
        <f>'R1'!G36</f>
        <v/>
      </c>
      <c r="H14" s="36" t="str">
        <f>'R1'!H36</f>
        <v/>
      </c>
      <c r="I14" s="36" t="str">
        <f>'R1'!I36</f>
        <v/>
      </c>
      <c r="J14" s="36" t="str">
        <f>'R1'!J36</f>
        <v/>
      </c>
      <c r="K14" s="36" t="str">
        <f>'R1'!K36</f>
        <v/>
      </c>
      <c r="L14" s="36" t="str">
        <f>'R1'!L36</f>
        <v/>
      </c>
      <c r="M14" s="36" t="str">
        <f>'R1'!M36</f>
        <v/>
      </c>
      <c r="N14"/>
      <c r="O14" s="36">
        <f>'R1'!O36</f>
        <v>1.3972348174315348</v>
      </c>
      <c r="P14" s="36" t="str">
        <f>'R1'!P36</f>
        <v/>
      </c>
      <c r="Q14" s="36" t="str">
        <f>'R1'!Q36</f>
        <v/>
      </c>
      <c r="R14" s="36" t="str">
        <f>'R1'!R36</f>
        <v/>
      </c>
      <c r="S14" s="36" t="str">
        <f>'R1'!S36</f>
        <v/>
      </c>
      <c r="T14" s="36" t="str">
        <f>'R1'!T36</f>
        <v/>
      </c>
      <c r="U14" s="36" t="str">
        <f>'R1'!U36</f>
        <v/>
      </c>
      <c r="V14" s="36" t="str">
        <f>'R1'!V36</f>
        <v/>
      </c>
    </row>
    <row r="15" spans="1:22" s="1" customFormat="1" x14ac:dyDescent="0.25">
      <c r="A15" s="144"/>
      <c r="B15" s="36" t="str">
        <f>'R1'!B37</f>
        <v/>
      </c>
      <c r="C15" s="36" t="str">
        <f>'R1'!C37</f>
        <v/>
      </c>
      <c r="D15" s="36" t="str">
        <f>'R1'!D37</f>
        <v/>
      </c>
      <c r="E15" s="36" t="str">
        <f>'R1'!E37</f>
        <v/>
      </c>
      <c r="F15" s="36" t="str">
        <f>'R1'!F37</f>
        <v/>
      </c>
      <c r="G15" s="36" t="str">
        <f>'R1'!G37</f>
        <v/>
      </c>
      <c r="H15" s="36" t="str">
        <f>'R1'!H37</f>
        <v/>
      </c>
      <c r="I15" s="36" t="str">
        <f>'R1'!I37</f>
        <v/>
      </c>
      <c r="J15" s="36" t="str">
        <f>'R1'!J37</f>
        <v/>
      </c>
      <c r="K15" s="36" t="str">
        <f>'R1'!K37</f>
        <v/>
      </c>
      <c r="L15" s="36" t="str">
        <f>'R1'!L37</f>
        <v/>
      </c>
      <c r="M15" s="36" t="str">
        <f>'R1'!M37</f>
        <v/>
      </c>
      <c r="N15"/>
      <c r="O15" s="36">
        <f>'R1'!O37</f>
        <v>1.4536101602178668</v>
      </c>
      <c r="P15" s="36" t="str">
        <f>'R1'!P37</f>
        <v/>
      </c>
      <c r="Q15" s="36" t="str">
        <f>'R1'!Q37</f>
        <v/>
      </c>
      <c r="R15" s="36" t="str">
        <f>'R1'!R37</f>
        <v/>
      </c>
      <c r="S15" s="36" t="str">
        <f>'R1'!S37</f>
        <v/>
      </c>
      <c r="T15" s="36" t="str">
        <f>'R1'!T37</f>
        <v/>
      </c>
      <c r="U15" s="36" t="str">
        <f>'R1'!U37</f>
        <v/>
      </c>
      <c r="V15" s="36" t="str">
        <f>'R1'!V37</f>
        <v/>
      </c>
    </row>
    <row r="16" spans="1:22" s="1" customFormat="1" x14ac:dyDescent="0.25">
      <c r="A16" s="144"/>
      <c r="B16" s="36" t="str">
        <f>'R1'!B38</f>
        <v/>
      </c>
      <c r="C16" s="36" t="str">
        <f>'R1'!C38</f>
        <v/>
      </c>
      <c r="D16" s="36" t="str">
        <f>'R1'!D38</f>
        <v/>
      </c>
      <c r="E16" s="36" t="str">
        <f>'R1'!E38</f>
        <v/>
      </c>
      <c r="F16" s="36" t="str">
        <f>'R1'!F38</f>
        <v/>
      </c>
      <c r="G16" s="36" t="str">
        <f>'R1'!G38</f>
        <v/>
      </c>
      <c r="H16" s="36" t="str">
        <f>'R1'!H38</f>
        <v/>
      </c>
      <c r="I16" s="36" t="str">
        <f>'R1'!I38</f>
        <v/>
      </c>
      <c r="J16" s="36" t="str">
        <f>'R1'!J38</f>
        <v/>
      </c>
      <c r="K16" s="36" t="str">
        <f>'R1'!K38</f>
        <v/>
      </c>
      <c r="L16" s="36" t="str">
        <f>'R1'!L38</f>
        <v/>
      </c>
      <c r="M16" s="36" t="str">
        <f>'R1'!M38</f>
        <v/>
      </c>
      <c r="N16"/>
      <c r="O16" s="36">
        <f>'R1'!O38</f>
        <v>0.6354853067096996</v>
      </c>
      <c r="P16" s="36" t="str">
        <f>'R1'!P38</f>
        <v/>
      </c>
      <c r="Q16" s="36" t="str">
        <f>'R1'!Q38</f>
        <v/>
      </c>
      <c r="R16" s="36" t="str">
        <f>'R1'!R38</f>
        <v/>
      </c>
      <c r="S16" s="36" t="str">
        <f>'R1'!S38</f>
        <v/>
      </c>
      <c r="T16" s="36" t="str">
        <f>'R1'!T38</f>
        <v/>
      </c>
      <c r="U16" s="36" t="str">
        <f>'R1'!U38</f>
        <v/>
      </c>
      <c r="V16" s="36" t="str">
        <f>'R1'!V38</f>
        <v/>
      </c>
    </row>
    <row r="17" spans="1:22" s="1" customFormat="1" x14ac:dyDescent="0.25">
      <c r="A17" s="144"/>
      <c r="B17" s="36" t="str">
        <f>'R1'!B39</f>
        <v/>
      </c>
      <c r="C17" s="36" t="str">
        <f>'R1'!C39</f>
        <v/>
      </c>
      <c r="D17" s="36" t="str">
        <f>'R1'!D39</f>
        <v/>
      </c>
      <c r="E17" s="36" t="str">
        <f>'R1'!E39</f>
        <v/>
      </c>
      <c r="F17" s="36" t="str">
        <f>'R1'!F39</f>
        <v/>
      </c>
      <c r="G17" s="36" t="str">
        <f>'R1'!G39</f>
        <v/>
      </c>
      <c r="H17" s="36" t="str">
        <f>'R1'!H39</f>
        <v/>
      </c>
      <c r="I17" s="36" t="str">
        <f>'R1'!I39</f>
        <v/>
      </c>
      <c r="J17" s="36" t="str">
        <f>'R1'!J39</f>
        <v/>
      </c>
      <c r="K17" s="36" t="str">
        <f>'R1'!K39</f>
        <v/>
      </c>
      <c r="L17" s="36" t="str">
        <f>'R1'!L39</f>
        <v/>
      </c>
      <c r="M17" s="36" t="str">
        <f>'R1'!M39</f>
        <v/>
      </c>
      <c r="N17"/>
      <c r="O17" s="36">
        <f>'R1'!O39</f>
        <v>1.0281705389113291</v>
      </c>
      <c r="P17" s="36" t="str">
        <f>'R1'!P39</f>
        <v/>
      </c>
      <c r="Q17" s="36" t="str">
        <f>'R1'!Q39</f>
        <v/>
      </c>
      <c r="R17" s="36" t="str">
        <f>'R1'!R39</f>
        <v/>
      </c>
      <c r="S17" s="36" t="str">
        <f>'R1'!S39</f>
        <v/>
      </c>
      <c r="T17" s="36" t="str">
        <f>'R1'!T39</f>
        <v/>
      </c>
      <c r="U17" s="36" t="str">
        <f>'R1'!U39</f>
        <v/>
      </c>
      <c r="V17" s="36" t="str">
        <f>'R1'!V39</f>
        <v/>
      </c>
    </row>
    <row r="18" spans="1:22" s="1" customFormat="1" x14ac:dyDescent="0.25">
      <c r="A18" s="144"/>
      <c r="B18" s="36" t="str">
        <f>'R1'!B40</f>
        <v/>
      </c>
      <c r="C18" s="36" t="str">
        <f>'R1'!C40</f>
        <v/>
      </c>
      <c r="D18" s="36" t="str">
        <f>'R1'!D40</f>
        <v/>
      </c>
      <c r="E18" s="36" t="str">
        <f>'R1'!E40</f>
        <v/>
      </c>
      <c r="F18" s="36" t="str">
        <f>'R1'!F40</f>
        <v/>
      </c>
      <c r="G18" s="36" t="str">
        <f>'R1'!G40</f>
        <v/>
      </c>
      <c r="H18" s="36" t="str">
        <f>'R1'!H40</f>
        <v/>
      </c>
      <c r="I18" s="36" t="str">
        <f>'R1'!I40</f>
        <v/>
      </c>
      <c r="J18" s="36" t="str">
        <f>'R1'!J40</f>
        <v/>
      </c>
      <c r="K18" s="36" t="str">
        <f>'R1'!K40</f>
        <v/>
      </c>
      <c r="L18" s="36" t="str">
        <f>'R1'!L40</f>
        <v/>
      </c>
      <c r="M18" s="36" t="str">
        <f>'R1'!M40</f>
        <v/>
      </c>
      <c r="N18"/>
      <c r="O18" s="36">
        <f>'R1'!O40</f>
        <v>1.3923939800104035</v>
      </c>
      <c r="P18" s="36" t="str">
        <f>'R1'!P40</f>
        <v/>
      </c>
      <c r="Q18" s="36" t="str">
        <f>'R1'!Q40</f>
        <v/>
      </c>
      <c r="R18" s="36" t="str">
        <f>'R1'!R40</f>
        <v/>
      </c>
      <c r="S18" s="36" t="str">
        <f>'R1'!S40</f>
        <v/>
      </c>
      <c r="T18" s="36" t="str">
        <f>'R1'!T40</f>
        <v/>
      </c>
      <c r="U18" s="36" t="str">
        <f>'R1'!U40</f>
        <v/>
      </c>
      <c r="V18" s="36" t="str">
        <f>'R1'!V40</f>
        <v/>
      </c>
    </row>
    <row r="19" spans="1:22" s="1" customFormat="1" x14ac:dyDescent="0.25">
      <c r="A19" s="144"/>
      <c r="B19" s="36" t="str">
        <f>'R1'!B41</f>
        <v/>
      </c>
      <c r="C19" s="36" t="str">
        <f>'R1'!C41</f>
        <v/>
      </c>
      <c r="D19" s="36" t="str">
        <f>'R1'!D41</f>
        <v/>
      </c>
      <c r="E19" s="36" t="str">
        <f>'R1'!E41</f>
        <v/>
      </c>
      <c r="F19" s="36" t="str">
        <f>'R1'!F41</f>
        <v/>
      </c>
      <c r="G19" s="36" t="str">
        <f>'R1'!G41</f>
        <v/>
      </c>
      <c r="H19" s="36" t="str">
        <f>'R1'!H41</f>
        <v/>
      </c>
      <c r="I19" s="36" t="str">
        <f>'R1'!I41</f>
        <v/>
      </c>
      <c r="J19" s="36" t="str">
        <f>'R1'!J41</f>
        <v/>
      </c>
      <c r="K19" s="36" t="str">
        <f>'R1'!K41</f>
        <v/>
      </c>
      <c r="L19" s="36" t="str">
        <f>'R1'!L41</f>
        <v/>
      </c>
      <c r="M19" s="36" t="str">
        <f>'R1'!M41</f>
        <v/>
      </c>
      <c r="N19"/>
      <c r="O19" s="36">
        <f>'R1'!O41</f>
        <v>1.0282696885934488</v>
      </c>
      <c r="P19" s="36" t="str">
        <f>'R1'!P41</f>
        <v/>
      </c>
      <c r="Q19" s="36" t="str">
        <f>'R1'!Q41</f>
        <v/>
      </c>
      <c r="R19" s="36" t="str">
        <f>'R1'!R41</f>
        <v/>
      </c>
      <c r="S19" s="36" t="str">
        <f>'R1'!S41</f>
        <v/>
      </c>
      <c r="T19" s="36" t="str">
        <f>'R1'!T41</f>
        <v/>
      </c>
      <c r="U19" s="36" t="str">
        <f>'R1'!U41</f>
        <v/>
      </c>
      <c r="V19" s="36" t="str">
        <f>'R1'!V41</f>
        <v/>
      </c>
    </row>
    <row r="20" spans="1:22" s="1" customFormat="1" x14ac:dyDescent="0.25">
      <c r="A20" s="144"/>
      <c r="B20" s="36" t="str">
        <f>'R1'!B42</f>
        <v/>
      </c>
      <c r="C20" s="36" t="str">
        <f>'R1'!C42</f>
        <v/>
      </c>
      <c r="D20" s="36" t="str">
        <f>'R1'!D42</f>
        <v/>
      </c>
      <c r="E20" s="36" t="str">
        <f>'R1'!E42</f>
        <v/>
      </c>
      <c r="F20" s="36" t="str">
        <f>'R1'!F42</f>
        <v/>
      </c>
      <c r="G20" s="36" t="str">
        <f>'R1'!G42</f>
        <v/>
      </c>
      <c r="H20" s="36" t="str">
        <f>'R1'!H42</f>
        <v/>
      </c>
      <c r="I20" s="36" t="str">
        <f>'R1'!I42</f>
        <v/>
      </c>
      <c r="J20" s="36" t="str">
        <f>'R1'!J42</f>
        <v/>
      </c>
      <c r="K20" s="36" t="str">
        <f>'R1'!K42</f>
        <v/>
      </c>
      <c r="L20" s="36" t="str">
        <f>'R1'!L42</f>
        <v/>
      </c>
      <c r="M20" s="36" t="str">
        <f>'R1'!M42</f>
        <v/>
      </c>
      <c r="N20"/>
      <c r="O20" s="36">
        <f>'R1'!O42</f>
        <v>0.91677295488288491</v>
      </c>
      <c r="P20" s="36" t="str">
        <f>'R1'!P42</f>
        <v/>
      </c>
      <c r="Q20" s="36" t="str">
        <f>'R1'!Q42</f>
        <v/>
      </c>
      <c r="R20" s="36" t="str">
        <f>'R1'!R42</f>
        <v/>
      </c>
      <c r="S20" s="36" t="str">
        <f>'R1'!S42</f>
        <v/>
      </c>
      <c r="T20" s="36" t="str">
        <f>'R1'!T42</f>
        <v/>
      </c>
      <c r="U20" s="36" t="str">
        <f>'R1'!U42</f>
        <v/>
      </c>
      <c r="V20" s="36" t="str">
        <f>'R1'!V42</f>
        <v/>
      </c>
    </row>
    <row r="21" spans="1:22" s="1" customFormat="1" x14ac:dyDescent="0.25">
      <c r="A21" s="145"/>
      <c r="B21" s="36" t="str">
        <f>'R1'!B43</f>
        <v/>
      </c>
      <c r="C21" s="36" t="str">
        <f>'R1'!C43</f>
        <v/>
      </c>
      <c r="D21" s="36" t="str">
        <f>'R1'!D43</f>
        <v/>
      </c>
      <c r="E21" s="36" t="str">
        <f>'R1'!E43</f>
        <v/>
      </c>
      <c r="F21" s="36" t="str">
        <f>'R1'!F43</f>
        <v/>
      </c>
      <c r="G21" s="36" t="str">
        <f>'R1'!G43</f>
        <v/>
      </c>
      <c r="H21" s="36" t="str">
        <f>'R1'!H43</f>
        <v/>
      </c>
      <c r="I21" s="36" t="str">
        <f>'R1'!I43</f>
        <v/>
      </c>
      <c r="J21" s="36" t="str">
        <f>'R1'!J43</f>
        <v/>
      </c>
      <c r="K21" s="36" t="str">
        <f>'R1'!K43</f>
        <v/>
      </c>
      <c r="L21" s="36" t="str">
        <f>'R1'!L43</f>
        <v/>
      </c>
      <c r="M21" s="36" t="str">
        <f>'R1'!M43</f>
        <v/>
      </c>
      <c r="N21"/>
      <c r="O21" s="36">
        <f>'R1'!O43</f>
        <v>1.2848340719134101</v>
      </c>
      <c r="P21" s="36" t="str">
        <f>'R1'!P43</f>
        <v/>
      </c>
      <c r="Q21" s="36" t="str">
        <f>'R1'!Q43</f>
        <v/>
      </c>
      <c r="R21" s="36" t="str">
        <f>'R1'!R43</f>
        <v/>
      </c>
      <c r="S21" s="36" t="str">
        <f>'R1'!S43</f>
        <v/>
      </c>
      <c r="T21" s="36" t="str">
        <f>'R1'!T43</f>
        <v/>
      </c>
      <c r="U21" s="36" t="str">
        <f>'R1'!U43</f>
        <v/>
      </c>
      <c r="V21" s="36" t="str">
        <f>'R1'!V43</f>
        <v/>
      </c>
    </row>
    <row r="22" spans="1:22" x14ac:dyDescent="0.25">
      <c r="A22" s="23" t="s">
        <v>4</v>
      </c>
      <c r="B22" s="37">
        <f>'R2'!B28</f>
        <v>0</v>
      </c>
      <c r="C22" s="37">
        <f>'R2'!C28</f>
        <v>4.4074305856426875E-3</v>
      </c>
      <c r="D22" s="37">
        <f>'R2'!D28</f>
        <v>0</v>
      </c>
      <c r="E22" s="37">
        <f>'R2'!E28</f>
        <v>2.5674352926073909E-3</v>
      </c>
      <c r="F22" s="37">
        <f>'R2'!F28</f>
        <v>6.1404494081526767E-3</v>
      </c>
      <c r="G22" s="37">
        <f>'R2'!G28</f>
        <v>0.52463400675021532</v>
      </c>
      <c r="H22" s="37">
        <f>'R2'!H28</f>
        <v>3.3882122627128162</v>
      </c>
      <c r="I22" s="37">
        <f>'R2'!I28</f>
        <v>9.0929999946511768E-4</v>
      </c>
      <c r="J22" s="37">
        <f>'R2'!J28</f>
        <v>9.4246270532796304E-3</v>
      </c>
      <c r="K22" s="37">
        <f>'R2'!K28</f>
        <v>0</v>
      </c>
      <c r="L22" s="37">
        <f>'R2'!L28</f>
        <v>0</v>
      </c>
      <c r="M22" s="37">
        <f>'R2'!M28</f>
        <v>0</v>
      </c>
      <c r="O22" s="37">
        <f>'R2'!O28</f>
        <v>0.50599870558470661</v>
      </c>
      <c r="P22" s="37">
        <f>'R2'!P28</f>
        <v>1.2851618286557871</v>
      </c>
      <c r="Q22" s="37">
        <f>'R2'!Q28</f>
        <v>1.7437164695625197E-3</v>
      </c>
      <c r="R22" s="37">
        <f>'R2'!R28</f>
        <v>1.0916306958284525</v>
      </c>
      <c r="S22" s="37">
        <f>'R2'!S28</f>
        <v>0.59222174082810486</v>
      </c>
      <c r="T22" s="37">
        <f>'R2'!T28</f>
        <v>1.0136341511684506</v>
      </c>
      <c r="U22" s="37">
        <f>'R2'!U28</f>
        <v>1.3034655027626674</v>
      </c>
      <c r="V22" s="37">
        <f>'R2'!V28</f>
        <v>4.7337088207448773E-2</v>
      </c>
    </row>
    <row r="23" spans="1:22" x14ac:dyDescent="0.25">
      <c r="A23" s="143"/>
      <c r="B23" s="37">
        <f>'R2'!B29</f>
        <v>0</v>
      </c>
      <c r="C23" s="37">
        <f>'R2'!C29</f>
        <v>0</v>
      </c>
      <c r="D23" s="37">
        <f>'R2'!D29</f>
        <v>0</v>
      </c>
      <c r="E23" s="37">
        <f>'R2'!E29</f>
        <v>0</v>
      </c>
      <c r="F23" s="37">
        <f>'R2'!F29</f>
        <v>1.5794327037768043</v>
      </c>
      <c r="G23" s="37">
        <f>'R2'!G29</f>
        <v>2.0070925399958277</v>
      </c>
      <c r="H23" s="37">
        <f>'R2'!H29</f>
        <v>2.4432142150334033</v>
      </c>
      <c r="I23" s="37">
        <f>'R2'!I29</f>
        <v>0</v>
      </c>
      <c r="J23" s="37">
        <f>'R2'!J29</f>
        <v>0</v>
      </c>
      <c r="K23" s="37">
        <f>'R2'!K29</f>
        <v>0</v>
      </c>
      <c r="L23" s="37">
        <f>'R2'!L29</f>
        <v>0</v>
      </c>
      <c r="M23" s="37">
        <f>'R2'!M29</f>
        <v>0</v>
      </c>
      <c r="O23" s="37">
        <f>'R2'!O29</f>
        <v>1.4246270532796312</v>
      </c>
      <c r="P23" s="37">
        <f>'R2'!P29</f>
        <v>2.160143776376386</v>
      </c>
      <c r="Q23" s="37">
        <f>'R2'!Q29</f>
        <v>0</v>
      </c>
      <c r="R23" s="37">
        <f>'R2'!R29</f>
        <v>1.0365913017431816</v>
      </c>
      <c r="S23" s="37">
        <f>'R2'!S29</f>
        <v>1.8100311836411582</v>
      </c>
      <c r="T23" s="37">
        <f>'R2'!T29</f>
        <v>0.12882106580657585</v>
      </c>
      <c r="U23" s="37">
        <f>'R2'!U29</f>
        <v>1.1176259781661024</v>
      </c>
      <c r="V23" s="37">
        <f>'R2'!V29</f>
        <v>0.21545061163797022</v>
      </c>
    </row>
    <row r="24" spans="1:22" x14ac:dyDescent="0.25">
      <c r="A24" s="144"/>
      <c r="B24" s="37">
        <f>'R2'!B30</f>
        <v>0</v>
      </c>
      <c r="C24" s="37">
        <f>'R2'!C30</f>
        <v>0</v>
      </c>
      <c r="D24" s="37">
        <f>'R2'!D30</f>
        <v>3.4778050567777614E-2</v>
      </c>
      <c r="E24" s="37">
        <f>'R2'!E30</f>
        <v>8.5581176420246362E-4</v>
      </c>
      <c r="F24" s="37">
        <f>'R2'!F30</f>
        <v>0</v>
      </c>
      <c r="G24" s="37">
        <f>'R2'!G30</f>
        <v>2.5086945126419442</v>
      </c>
      <c r="H24" s="37">
        <f>'R2'!H30</f>
        <v>0.54122605732869056</v>
      </c>
      <c r="I24" s="37">
        <f>'R2'!I30</f>
        <v>0</v>
      </c>
      <c r="J24" s="37">
        <f>'R2'!J30</f>
        <v>0</v>
      </c>
      <c r="K24" s="37">
        <f>'R2'!K30</f>
        <v>0</v>
      </c>
      <c r="L24" s="37">
        <f>'R2'!L30</f>
        <v>0</v>
      </c>
      <c r="M24" s="37">
        <f>'R2'!M30</f>
        <v>0</v>
      </c>
      <c r="O24" s="37">
        <f>'R2'!O30</f>
        <v>0.88337960065683552</v>
      </c>
      <c r="P24" s="37">
        <f>'R2'!P30</f>
        <v>1.971522863546163</v>
      </c>
      <c r="Q24" s="37">
        <f>'R2'!Q30</f>
        <v>5.8740779965446598E-2</v>
      </c>
      <c r="R24" s="37">
        <f>'R2'!R30</f>
        <v>0.39140551035799676</v>
      </c>
      <c r="S24" s="37">
        <f>'R2'!S30</f>
        <v>0.4129826644629514</v>
      </c>
      <c r="T24" s="37">
        <f>'R2'!T30</f>
        <v>1.3799964697764726E-2</v>
      </c>
      <c r="U24" s="37">
        <f>'R2'!U30</f>
        <v>0.78625566306690842</v>
      </c>
      <c r="V24" s="37">
        <f>'R2'!V30</f>
        <v>0</v>
      </c>
    </row>
    <row r="25" spans="1:22" x14ac:dyDescent="0.25">
      <c r="A25" s="144"/>
      <c r="B25" s="37">
        <f>'R2'!B31</f>
        <v>0</v>
      </c>
      <c r="C25" s="37">
        <f>'R2'!C31</f>
        <v>1.7437164695625197E-3</v>
      </c>
      <c r="D25" s="37">
        <f>'R2'!D31</f>
        <v>0</v>
      </c>
      <c r="E25" s="37">
        <f>'R2'!E31</f>
        <v>1.8493236412651037</v>
      </c>
      <c r="F25" s="37">
        <f>'R2'!F31</f>
        <v>0.22480035516188215</v>
      </c>
      <c r="G25" s="37">
        <f>'R2'!G31</f>
        <v>2.2313366175109786</v>
      </c>
      <c r="H25" s="37">
        <f>'R2'!H31</f>
        <v>3.0906465122996196</v>
      </c>
      <c r="I25" s="37">
        <f>'R2'!I31</f>
        <v>5.2418470557400896E-3</v>
      </c>
      <c r="J25" s="37">
        <f>'R2'!J31</f>
        <v>1.9148788224030125E-3</v>
      </c>
      <c r="K25" s="37">
        <f>'R2'!K31</f>
        <v>0</v>
      </c>
      <c r="L25" s="37">
        <f>'R2'!L31</f>
        <v>0</v>
      </c>
      <c r="M25" s="37">
        <f>'R2'!M31</f>
        <v>0</v>
      </c>
      <c r="O25" s="37">
        <f>'R2'!O31</f>
        <v>1.5783843343656563</v>
      </c>
      <c r="P25" s="37">
        <f>'R2'!P31</f>
        <v>2.1172890022839477</v>
      </c>
      <c r="Q25" s="37">
        <f>'R2'!Q31</f>
        <v>4.4823141150104037E-2</v>
      </c>
      <c r="R25" s="37">
        <f>'R2'!R31</f>
        <v>0.42494263386768083</v>
      </c>
      <c r="S25" s="37">
        <f>'R2'!S31</f>
        <v>0.21882037045951744</v>
      </c>
      <c r="T25" s="37">
        <f>'R2'!T31</f>
        <v>1.6098782072883069</v>
      </c>
      <c r="U25" s="37">
        <f>'R2'!U31</f>
        <v>0.13715453286049734</v>
      </c>
      <c r="V25" s="37">
        <f>'R2'!V31</f>
        <v>2.6102258808175143E-3</v>
      </c>
    </row>
    <row r="26" spans="1:22" x14ac:dyDescent="0.25">
      <c r="A26" s="144"/>
      <c r="B26" s="37">
        <f>'R2'!B32</f>
        <v>0</v>
      </c>
      <c r="C26" s="37">
        <f>'R2'!C32</f>
        <v>0</v>
      </c>
      <c r="D26" s="37">
        <f>'R2'!D32</f>
        <v>0</v>
      </c>
      <c r="E26" s="37">
        <f>'R2'!E32</f>
        <v>0</v>
      </c>
      <c r="F26" s="37">
        <f>'R2'!F32</f>
        <v>0.94331851709216563</v>
      </c>
      <c r="G26" s="37">
        <f>'R2'!G32</f>
        <v>1.913520221227341</v>
      </c>
      <c r="H26" s="37">
        <f>'R2'!H32</f>
        <v>2.6883935878303569</v>
      </c>
      <c r="I26" s="37">
        <f>'R2'!I32</f>
        <v>0</v>
      </c>
      <c r="J26" s="37">
        <f>'R2'!J32</f>
        <v>0</v>
      </c>
      <c r="K26" s="37">
        <f>'R2'!K32</f>
        <v>9.1999764651764843E-4</v>
      </c>
      <c r="L26" s="37">
        <f>'R2'!L32</f>
        <v>0</v>
      </c>
      <c r="M26" s="37">
        <f>'R2'!M32</f>
        <v>0</v>
      </c>
      <c r="O26" s="37">
        <f>'R2'!O32</f>
        <v>0.87628706066100759</v>
      </c>
      <c r="P26" s="37">
        <f>'R2'!P32</f>
        <v>1.1465738110902508</v>
      </c>
      <c r="Q26" s="37">
        <f>'R2'!Q32</f>
        <v>0</v>
      </c>
      <c r="R26" s="37">
        <f>'R2'!R32</f>
        <v>1.8154976812850014</v>
      </c>
      <c r="S26" s="37">
        <f>'R2'!S32</f>
        <v>1.913841150638917</v>
      </c>
      <c r="T26" s="37">
        <f>'R2'!T32</f>
        <v>0.71078376311130365</v>
      </c>
      <c r="U26" s="37">
        <f>'R2'!U32</f>
        <v>1.899431420059158</v>
      </c>
      <c r="V26" s="37">
        <f>'R2'!V32</f>
        <v>1.274656739250202</v>
      </c>
    </row>
    <row r="27" spans="1:22" x14ac:dyDescent="0.25">
      <c r="A27" s="144"/>
      <c r="B27" s="37">
        <f>'R2'!B33</f>
        <v>0</v>
      </c>
      <c r="C27" s="37">
        <f>'R2'!C33</f>
        <v>0</v>
      </c>
      <c r="D27" s="37">
        <f>'R2'!D33</f>
        <v>1.733018822509989E-3</v>
      </c>
      <c r="E27" s="37">
        <f>'R2'!E33</f>
        <v>0</v>
      </c>
      <c r="F27" s="37">
        <f>'R2'!F33</f>
        <v>1.5083147461715796</v>
      </c>
      <c r="G27" s="37">
        <f>'R2'!G33</f>
        <v>2.6442657937386671</v>
      </c>
      <c r="H27" s="37">
        <f>'R2'!H33</f>
        <v>3.3138957086388849</v>
      </c>
      <c r="I27" s="37">
        <f>'R2'!I33</f>
        <v>1.6848794107736004E-2</v>
      </c>
      <c r="J27" s="37">
        <f>'R2'!J33</f>
        <v>0</v>
      </c>
      <c r="K27" s="37">
        <f>'R2'!K33</f>
        <v>0.15170333285193921</v>
      </c>
      <c r="L27" s="37">
        <f>'R2'!L33</f>
        <v>0</v>
      </c>
      <c r="M27" s="37">
        <f>'R2'!M33</f>
        <v>0</v>
      </c>
      <c r="O27" s="37">
        <f>'R2'!O33</f>
        <v>1.1545756510855438</v>
      </c>
      <c r="P27" s="37">
        <f>'R2'!P33</f>
        <v>2.0628593740806709</v>
      </c>
      <c r="Q27" s="37">
        <f>'R2'!Q33</f>
        <v>0</v>
      </c>
      <c r="R27" s="37">
        <f>'R2'!R33</f>
        <v>1.5213872708697722</v>
      </c>
      <c r="S27" s="37">
        <f>'R2'!S33</f>
        <v>0.1372508116839701</v>
      </c>
      <c r="T27" s="37">
        <f>'R2'!T33</f>
        <v>1.6127237814042801</v>
      </c>
      <c r="U27" s="37">
        <f>'R2'!U33</f>
        <v>1.1645886487267125</v>
      </c>
      <c r="V27" s="37">
        <f>'R2'!V33</f>
        <v>7.9879330541247448E-2</v>
      </c>
    </row>
    <row r="28" spans="1:22" x14ac:dyDescent="0.25">
      <c r="A28" s="144"/>
      <c r="B28" s="37">
        <f>'R2'!B34</f>
        <v>0</v>
      </c>
      <c r="C28" s="37">
        <f>'R2'!C34</f>
        <v>0</v>
      </c>
      <c r="D28" s="37">
        <f>'R2'!D34</f>
        <v>8.5581176420246362E-4</v>
      </c>
      <c r="E28" s="37">
        <f>'R2'!E34</f>
        <v>0</v>
      </c>
      <c r="F28" s="37">
        <f>'R2'!F34</f>
        <v>1.3063324721727456</v>
      </c>
      <c r="G28" s="37">
        <f>'R2'!G34</f>
        <v>0.55773252673074558</v>
      </c>
      <c r="H28" s="37">
        <f>'R2'!H34</f>
        <v>3.0799060746588789</v>
      </c>
      <c r="I28" s="37">
        <f>'R2'!I34</f>
        <v>0</v>
      </c>
      <c r="J28" s="37">
        <f>'R2'!J34</f>
        <v>0</v>
      </c>
      <c r="K28" s="37">
        <f>'R2'!K34</f>
        <v>1.2986943521772387E-2</v>
      </c>
      <c r="L28" s="37">
        <f>'R2'!L34</f>
        <v>0</v>
      </c>
      <c r="M28" s="37">
        <f>'R2'!M34</f>
        <v>0</v>
      </c>
      <c r="O28" s="37">
        <f>'R2'!O34</f>
        <v>1.0051937076440036</v>
      </c>
      <c r="P28" s="37">
        <f>'R2'!P34</f>
        <v>2.4826992303042945</v>
      </c>
      <c r="Q28" s="37">
        <f>'R2'!Q34</f>
        <v>0</v>
      </c>
      <c r="R28" s="37">
        <f>'R2'!R34</f>
        <v>0.88582936183186511</v>
      </c>
      <c r="S28" s="37">
        <f>'R2'!S34</f>
        <v>1.8314371753932721E-2</v>
      </c>
      <c r="T28" s="37">
        <f>'R2'!T34</f>
        <v>0.88999074653529953</v>
      </c>
      <c r="U28" s="37">
        <f>'R2'!U34</f>
        <v>1.6562311119669229</v>
      </c>
      <c r="V28" s="37">
        <f>'R2'!V34</f>
        <v>1.8871077306546424</v>
      </c>
    </row>
    <row r="29" spans="1:22" x14ac:dyDescent="0.25">
      <c r="A29" s="144"/>
      <c r="B29" s="37">
        <f>'R2'!B35</f>
        <v>0</v>
      </c>
      <c r="C29" s="37">
        <f>'R2'!C35</f>
        <v>0</v>
      </c>
      <c r="D29" s="37">
        <f>'R2'!D35</f>
        <v>0</v>
      </c>
      <c r="E29" s="37">
        <f>'R2'!E35</f>
        <v>0</v>
      </c>
      <c r="F29" s="37" t="str">
        <f>'R2'!F35</f>
        <v/>
      </c>
      <c r="G29" s="37">
        <f>'R2'!G35</f>
        <v>2.8055649159967264</v>
      </c>
      <c r="H29" s="37">
        <f>'R2'!H35</f>
        <v>2.7692250089592796</v>
      </c>
      <c r="I29" s="37">
        <f>'R2'!I35</f>
        <v>0</v>
      </c>
      <c r="J29" s="37">
        <f>'R2'!J35</f>
        <v>0</v>
      </c>
      <c r="K29" s="37">
        <f>'R2'!K35</f>
        <v>0</v>
      </c>
      <c r="L29" s="37">
        <f>'R2'!L35</f>
        <v>1.7116235284049272E-3</v>
      </c>
      <c r="M29" s="37">
        <f>'R2'!M35</f>
        <v>0</v>
      </c>
      <c r="O29" s="37">
        <f>'R2'!O35</f>
        <v>0.71101911134645934</v>
      </c>
      <c r="P29" s="37">
        <f>'R2'!P35</f>
        <v>0.89835630653037868</v>
      </c>
      <c r="Q29" s="37">
        <f>'R2'!Q35</f>
        <v>0</v>
      </c>
      <c r="R29" s="37">
        <f>'R2'!R35</f>
        <v>6.006728819996042E-2</v>
      </c>
      <c r="S29" s="37">
        <f>'R2'!S35</f>
        <v>0</v>
      </c>
      <c r="T29" s="37">
        <f>'R2'!T35</f>
        <v>1.7832014848334108</v>
      </c>
      <c r="U29" s="37">
        <f>'R2'!U35</f>
        <v>1.5511588226169654E-2</v>
      </c>
      <c r="V29" s="37">
        <f>'R2'!V35</f>
        <v>3.4745957626620028E-2</v>
      </c>
    </row>
    <row r="30" spans="1:22" x14ac:dyDescent="0.25">
      <c r="A30" s="144"/>
      <c r="B30" s="37" t="str">
        <f>'R2'!B36</f>
        <v/>
      </c>
      <c r="C30" s="37" t="str">
        <f>'R2'!C36</f>
        <v/>
      </c>
      <c r="D30" s="37" t="str">
        <f>'R2'!D36</f>
        <v/>
      </c>
      <c r="E30" s="37" t="str">
        <f>'R2'!E36</f>
        <v/>
      </c>
      <c r="F30" s="37" t="str">
        <f>'R2'!F36</f>
        <v/>
      </c>
      <c r="G30" s="37" t="str">
        <f>'R2'!G36</f>
        <v/>
      </c>
      <c r="H30" s="37" t="str">
        <f>'R2'!H36</f>
        <v/>
      </c>
      <c r="I30" s="37" t="str">
        <f>'R2'!I36</f>
        <v/>
      </c>
      <c r="J30" s="37" t="str">
        <f>'R2'!J36</f>
        <v/>
      </c>
      <c r="K30" s="37" t="str">
        <f>'R2'!K36</f>
        <v/>
      </c>
      <c r="L30" s="37" t="str">
        <f>'R2'!L36</f>
        <v/>
      </c>
      <c r="M30" s="37" t="str">
        <f>'R2'!M36</f>
        <v/>
      </c>
      <c r="O30" s="37">
        <f>'R2'!O36</f>
        <v>1.2613595639639061</v>
      </c>
      <c r="P30" s="37" t="str">
        <f>'R2'!P36</f>
        <v/>
      </c>
      <c r="Q30" s="37" t="str">
        <f>'R2'!Q36</f>
        <v/>
      </c>
      <c r="R30" s="37" t="str">
        <f>'R2'!R36</f>
        <v/>
      </c>
      <c r="S30" s="37" t="str">
        <f>'R2'!S36</f>
        <v/>
      </c>
      <c r="T30" s="37" t="str">
        <f>'R2'!T36</f>
        <v/>
      </c>
      <c r="U30" s="37" t="str">
        <f>'R2'!U36</f>
        <v/>
      </c>
      <c r="V30" s="37" t="str">
        <f>'R2'!V36</f>
        <v/>
      </c>
    </row>
    <row r="31" spans="1:22" s="1" customFormat="1" x14ac:dyDescent="0.25">
      <c r="A31" s="144"/>
      <c r="B31" s="37" t="str">
        <f>'R2'!B37</f>
        <v/>
      </c>
      <c r="C31" s="37" t="str">
        <f>'R2'!C37</f>
        <v/>
      </c>
      <c r="D31" s="37" t="str">
        <f>'R2'!D37</f>
        <v/>
      </c>
      <c r="E31" s="37" t="str">
        <f>'R2'!E37</f>
        <v/>
      </c>
      <c r="F31" s="37" t="str">
        <f>'R2'!F37</f>
        <v/>
      </c>
      <c r="G31" s="37" t="str">
        <f>'R2'!G37</f>
        <v/>
      </c>
      <c r="H31" s="37" t="str">
        <f>'R2'!H37</f>
        <v/>
      </c>
      <c r="I31" s="37" t="str">
        <f>'R2'!I37</f>
        <v/>
      </c>
      <c r="J31" s="37" t="str">
        <f>'R2'!J37</f>
        <v/>
      </c>
      <c r="K31" s="37" t="str">
        <f>'R2'!K37</f>
        <v/>
      </c>
      <c r="L31" s="37" t="str">
        <f>'R2'!L37</f>
        <v/>
      </c>
      <c r="M31" s="37" t="str">
        <f>'R2'!M37</f>
        <v/>
      </c>
      <c r="N31"/>
      <c r="O31" s="37">
        <f>'R2'!O37</f>
        <v>1.4981305861775702</v>
      </c>
      <c r="P31" s="37" t="str">
        <f>'R2'!P37</f>
        <v/>
      </c>
      <c r="Q31" s="37" t="str">
        <f>'R2'!Q37</f>
        <v/>
      </c>
      <c r="R31" s="37" t="str">
        <f>'R2'!R37</f>
        <v/>
      </c>
      <c r="S31" s="37" t="str">
        <f>'R2'!S37</f>
        <v/>
      </c>
      <c r="T31" s="37" t="str">
        <f>'R2'!T37</f>
        <v/>
      </c>
      <c r="U31" s="37" t="str">
        <f>'R2'!U37</f>
        <v/>
      </c>
      <c r="V31" s="37" t="str">
        <f>'R2'!V37</f>
        <v/>
      </c>
    </row>
    <row r="32" spans="1:22" s="1" customFormat="1" x14ac:dyDescent="0.25">
      <c r="A32" s="144"/>
      <c r="B32" s="37" t="str">
        <f>'R2'!B38</f>
        <v/>
      </c>
      <c r="C32" s="37" t="str">
        <f>'R2'!C38</f>
        <v/>
      </c>
      <c r="D32" s="37" t="str">
        <f>'R2'!D38</f>
        <v/>
      </c>
      <c r="E32" s="37" t="str">
        <f>'R2'!E38</f>
        <v/>
      </c>
      <c r="F32" s="37" t="str">
        <f>'R2'!F38</f>
        <v/>
      </c>
      <c r="G32" s="37" t="str">
        <f>'R2'!G38</f>
        <v/>
      </c>
      <c r="H32" s="37" t="str">
        <f>'R2'!H38</f>
        <v/>
      </c>
      <c r="I32" s="37" t="str">
        <f>'R2'!I38</f>
        <v/>
      </c>
      <c r="J32" s="37" t="str">
        <f>'R2'!J38</f>
        <v/>
      </c>
      <c r="K32" s="37" t="str">
        <f>'R2'!K38</f>
        <v/>
      </c>
      <c r="L32" s="37" t="str">
        <f>'R2'!L38</f>
        <v/>
      </c>
      <c r="M32" s="37" t="str">
        <f>'R2'!M38</f>
        <v/>
      </c>
      <c r="N32"/>
      <c r="O32" s="37">
        <f>'R2'!O38</f>
        <v>1.3733853238980087</v>
      </c>
      <c r="P32" s="37" t="str">
        <f>'R2'!P38</f>
        <v/>
      </c>
      <c r="Q32" s="37" t="str">
        <f>'R2'!Q38</f>
        <v/>
      </c>
      <c r="R32" s="37" t="str">
        <f>'R2'!R38</f>
        <v/>
      </c>
      <c r="S32" s="37" t="str">
        <f>'R2'!S38</f>
        <v/>
      </c>
      <c r="T32" s="37" t="str">
        <f>'R2'!T38</f>
        <v/>
      </c>
      <c r="U32" s="37" t="str">
        <f>'R2'!U38</f>
        <v/>
      </c>
      <c r="V32" s="37" t="str">
        <f>'R2'!V38</f>
        <v/>
      </c>
    </row>
    <row r="33" spans="1:22" s="1" customFormat="1" x14ac:dyDescent="0.25">
      <c r="A33" s="144"/>
      <c r="B33" s="37" t="str">
        <f>'R2'!B39</f>
        <v/>
      </c>
      <c r="C33" s="37" t="str">
        <f>'R2'!C39</f>
        <v/>
      </c>
      <c r="D33" s="37" t="str">
        <f>'R2'!D39</f>
        <v/>
      </c>
      <c r="E33" s="37" t="str">
        <f>'R2'!E39</f>
        <v/>
      </c>
      <c r="F33" s="37" t="str">
        <f>'R2'!F39</f>
        <v/>
      </c>
      <c r="G33" s="37" t="str">
        <f>'R2'!G39</f>
        <v/>
      </c>
      <c r="H33" s="37" t="str">
        <f>'R2'!H39</f>
        <v/>
      </c>
      <c r="I33" s="37" t="str">
        <f>'R2'!I39</f>
        <v/>
      </c>
      <c r="J33" s="37" t="str">
        <f>'R2'!J39</f>
        <v/>
      </c>
      <c r="K33" s="37" t="str">
        <f>'R2'!K39</f>
        <v/>
      </c>
      <c r="L33" s="37" t="str">
        <f>'R2'!L39</f>
        <v/>
      </c>
      <c r="M33" s="37" t="str">
        <f>'R2'!M39</f>
        <v/>
      </c>
      <c r="N33"/>
      <c r="O33" s="37">
        <f>'R2'!O39</f>
        <v>0.86368523243312634</v>
      </c>
      <c r="P33" s="37" t="str">
        <f>'R2'!P39</f>
        <v/>
      </c>
      <c r="Q33" s="37" t="str">
        <f>'R2'!Q39</f>
        <v/>
      </c>
      <c r="R33" s="37" t="str">
        <f>'R2'!R39</f>
        <v/>
      </c>
      <c r="S33" s="37" t="str">
        <f>'R2'!S39</f>
        <v/>
      </c>
      <c r="T33" s="37" t="str">
        <f>'R2'!T39</f>
        <v/>
      </c>
      <c r="U33" s="37" t="str">
        <f>'R2'!U39</f>
        <v/>
      </c>
      <c r="V33" s="37" t="str">
        <f>'R2'!V39</f>
        <v/>
      </c>
    </row>
    <row r="34" spans="1:22" s="1" customFormat="1" x14ac:dyDescent="0.25">
      <c r="A34" s="144"/>
      <c r="B34" s="37" t="str">
        <f>'R2'!B40</f>
        <v/>
      </c>
      <c r="C34" s="37" t="str">
        <f>'R2'!C40</f>
        <v/>
      </c>
      <c r="D34" s="37" t="str">
        <f>'R2'!D40</f>
        <v/>
      </c>
      <c r="E34" s="37" t="str">
        <f>'R2'!E40</f>
        <v/>
      </c>
      <c r="F34" s="37" t="str">
        <f>'R2'!F40</f>
        <v/>
      </c>
      <c r="G34" s="37" t="str">
        <f>'R2'!G40</f>
        <v/>
      </c>
      <c r="H34" s="37" t="str">
        <f>'R2'!H40</f>
        <v/>
      </c>
      <c r="I34" s="37" t="str">
        <f>'R2'!I40</f>
        <v/>
      </c>
      <c r="J34" s="37" t="str">
        <f>'R2'!J40</f>
        <v/>
      </c>
      <c r="K34" s="37" t="str">
        <f>'R2'!K40</f>
        <v/>
      </c>
      <c r="L34" s="37" t="str">
        <f>'R2'!L40</f>
        <v/>
      </c>
      <c r="M34" s="37" t="str">
        <f>'R2'!M40</f>
        <v/>
      </c>
      <c r="N34"/>
      <c r="O34" s="37">
        <f>'R2'!O40</f>
        <v>1.3942350380033912</v>
      </c>
      <c r="P34" s="37" t="str">
        <f>'R2'!P40</f>
        <v/>
      </c>
      <c r="Q34" s="37" t="str">
        <f>'R2'!Q40</f>
        <v/>
      </c>
      <c r="R34" s="37" t="str">
        <f>'R2'!R40</f>
        <v/>
      </c>
      <c r="S34" s="37" t="str">
        <f>'R2'!S40</f>
        <v/>
      </c>
      <c r="T34" s="37" t="str">
        <f>'R2'!T40</f>
        <v/>
      </c>
      <c r="U34" s="37" t="str">
        <f>'R2'!U40</f>
        <v/>
      </c>
      <c r="V34" s="37" t="str">
        <f>'R2'!V40</f>
        <v/>
      </c>
    </row>
    <row r="35" spans="1:22" s="1" customFormat="1" x14ac:dyDescent="0.25">
      <c r="A35" s="144"/>
      <c r="B35" s="37" t="str">
        <f>'R2'!B41</f>
        <v/>
      </c>
      <c r="C35" s="37" t="str">
        <f>'R2'!C41</f>
        <v/>
      </c>
      <c r="D35" s="37" t="str">
        <f>'R2'!D41</f>
        <v/>
      </c>
      <c r="E35" s="37" t="str">
        <f>'R2'!E41</f>
        <v/>
      </c>
      <c r="F35" s="37" t="str">
        <f>'R2'!F41</f>
        <v/>
      </c>
      <c r="G35" s="37" t="str">
        <f>'R2'!G41</f>
        <v/>
      </c>
      <c r="H35" s="37" t="str">
        <f>'R2'!H41</f>
        <v/>
      </c>
      <c r="I35" s="37" t="str">
        <f>'R2'!I41</f>
        <v/>
      </c>
      <c r="J35" s="37" t="str">
        <f>'R2'!J41</f>
        <v/>
      </c>
      <c r="K35" s="37" t="str">
        <f>'R2'!K41</f>
        <v/>
      </c>
      <c r="L35" s="37" t="str">
        <f>'R2'!L41</f>
        <v/>
      </c>
      <c r="M35" s="37" t="str">
        <f>'R2'!M41</f>
        <v/>
      </c>
      <c r="N35"/>
      <c r="O35" s="37">
        <f>'R2'!O41</f>
        <v>0.34352284215086892</v>
      </c>
      <c r="P35" s="37" t="str">
        <f>'R2'!P41</f>
        <v/>
      </c>
      <c r="Q35" s="37" t="str">
        <f>'R2'!Q41</f>
        <v/>
      </c>
      <c r="R35" s="37" t="str">
        <f>'R2'!R41</f>
        <v/>
      </c>
      <c r="S35" s="37" t="str">
        <f>'R2'!S41</f>
        <v/>
      </c>
      <c r="T35" s="37" t="str">
        <f>'R2'!T41</f>
        <v/>
      </c>
      <c r="U35" s="37" t="str">
        <f>'R2'!U41</f>
        <v/>
      </c>
      <c r="V35" s="37" t="str">
        <f>'R2'!V41</f>
        <v/>
      </c>
    </row>
    <row r="36" spans="1:22" x14ac:dyDescent="0.25">
      <c r="A36" s="144"/>
      <c r="B36" s="37" t="str">
        <f>'R2'!B42</f>
        <v/>
      </c>
      <c r="C36" s="37" t="str">
        <f>'R2'!C42</f>
        <v/>
      </c>
      <c r="D36" s="37" t="str">
        <f>'R2'!D42</f>
        <v/>
      </c>
      <c r="E36" s="37" t="str">
        <f>'R2'!E42</f>
        <v/>
      </c>
      <c r="F36" s="37" t="str">
        <f>'R2'!F42</f>
        <v/>
      </c>
      <c r="G36" s="37" t="str">
        <f>'R2'!G42</f>
        <v/>
      </c>
      <c r="H36" s="37" t="str">
        <f>'R2'!H42</f>
        <v/>
      </c>
      <c r="I36" s="37" t="str">
        <f>'R2'!I42</f>
        <v/>
      </c>
      <c r="J36" s="37" t="str">
        <f>'R2'!J42</f>
        <v/>
      </c>
      <c r="K36" s="37" t="str">
        <f>'R2'!K42</f>
        <v/>
      </c>
      <c r="L36" s="37" t="str">
        <f>'R2'!L42</f>
        <v/>
      </c>
      <c r="M36" s="37" t="str">
        <f>'R2'!M42</f>
        <v/>
      </c>
      <c r="O36" s="37">
        <f>'R2'!O42</f>
        <v>1.0509689393817829</v>
      </c>
      <c r="P36" s="37" t="str">
        <f>'R2'!P42</f>
        <v/>
      </c>
      <c r="Q36" s="37" t="str">
        <f>'R2'!Q42</f>
        <v/>
      </c>
      <c r="R36" s="37" t="str">
        <f>'R2'!R42</f>
        <v/>
      </c>
      <c r="S36" s="37" t="str">
        <f>'R2'!S42</f>
        <v/>
      </c>
      <c r="T36" s="37" t="str">
        <f>'R2'!T42</f>
        <v/>
      </c>
      <c r="U36" s="37" t="str">
        <f>'R2'!U42</f>
        <v/>
      </c>
      <c r="V36" s="37" t="str">
        <f>'R2'!V42</f>
        <v/>
      </c>
    </row>
    <row r="37" spans="1:22" x14ac:dyDescent="0.25">
      <c r="A37" s="145"/>
      <c r="B37" s="37" t="str">
        <f>'R2'!B43</f>
        <v/>
      </c>
      <c r="C37" s="37" t="str">
        <f>'R2'!C43</f>
        <v/>
      </c>
      <c r="D37" s="37" t="str">
        <f>'R2'!D43</f>
        <v/>
      </c>
      <c r="E37" s="37" t="str">
        <f>'R2'!E43</f>
        <v/>
      </c>
      <c r="F37" s="37" t="str">
        <f>'R2'!F43</f>
        <v/>
      </c>
      <c r="G37" s="37" t="str">
        <f>'R2'!G43</f>
        <v/>
      </c>
      <c r="H37" s="37" t="str">
        <f>'R2'!H43</f>
        <v/>
      </c>
      <c r="I37" s="37" t="str">
        <f>'R2'!I43</f>
        <v/>
      </c>
      <c r="J37" s="37" t="str">
        <f>'R2'!J43</f>
        <v/>
      </c>
      <c r="K37" s="37" t="str">
        <f>'R2'!K43</f>
        <v/>
      </c>
      <c r="L37" s="37" t="str">
        <f>'R2'!L43</f>
        <v/>
      </c>
      <c r="M37" s="37" t="str">
        <f>'R2'!M43</f>
        <v/>
      </c>
      <c r="O37" s="37">
        <f>'R2'!O43</f>
        <v>7.5247249367501615E-2</v>
      </c>
      <c r="P37" s="37" t="str">
        <f>'R2'!P43</f>
        <v/>
      </c>
      <c r="Q37" s="37" t="str">
        <f>'R2'!Q43</f>
        <v/>
      </c>
      <c r="R37" s="37" t="str">
        <f>'R2'!R43</f>
        <v/>
      </c>
      <c r="S37" s="37" t="str">
        <f>'R2'!S43</f>
        <v/>
      </c>
      <c r="T37" s="37" t="str">
        <f>'R2'!T43</f>
        <v/>
      </c>
      <c r="U37" s="37" t="str">
        <f>'R2'!U43</f>
        <v/>
      </c>
      <c r="V37" s="37" t="str">
        <f>'R2'!V43</f>
        <v/>
      </c>
    </row>
    <row r="38" spans="1:22" s="1" customFormat="1" x14ac:dyDescent="0.25">
      <c r="A38" s="83" t="s">
        <v>16</v>
      </c>
      <c r="B38" s="84">
        <f>'R3'!B28</f>
        <v>0</v>
      </c>
      <c r="C38" s="84">
        <f>'R3'!C28</f>
        <v>0</v>
      </c>
      <c r="D38" s="84">
        <f>'R3'!D28</f>
        <v>1.9587844360249112E-2</v>
      </c>
      <c r="E38" s="84">
        <f>'R3'!E28</f>
        <v>2.1743515623112564</v>
      </c>
      <c r="F38" s="84">
        <f>'R3'!F28</f>
        <v>1.6643281279050104</v>
      </c>
      <c r="G38" s="84">
        <f>'R3'!G28</f>
        <v>2.0934708235865043</v>
      </c>
      <c r="H38" s="84">
        <f>'R3'!H28</f>
        <v>1.9948761526818268</v>
      </c>
      <c r="I38" s="84">
        <f>'R3'!I28</f>
        <v>0</v>
      </c>
      <c r="J38" s="84">
        <f>'R3'!J28</f>
        <v>1.3604770493025874E-2</v>
      </c>
      <c r="K38" s="84">
        <f>'R3'!K28</f>
        <v>0</v>
      </c>
      <c r="L38" s="84">
        <f>'R3'!L28</f>
        <v>9.361157707986921E-3</v>
      </c>
      <c r="M38" s="84">
        <f>'R3'!M28</f>
        <v>0</v>
      </c>
      <c r="N38"/>
      <c r="O38" s="84">
        <f>'R3'!O28</f>
        <v>0.70059946282584695</v>
      </c>
      <c r="P38" s="84">
        <f>'R3'!P28</f>
        <v>1.4622145146262837</v>
      </c>
      <c r="Q38" s="84">
        <f>'R3'!Q28</f>
        <v>3.4200998089323848E-3</v>
      </c>
      <c r="R38" s="84">
        <f>'R3'!R28</f>
        <v>2.7058283500644418E-3</v>
      </c>
      <c r="S38" s="84">
        <f>'R3'!S28</f>
        <v>0.19358437174047996</v>
      </c>
      <c r="T38" s="84">
        <f>'R3'!T28</f>
        <v>1.0091647330567983</v>
      </c>
      <c r="U38" s="84">
        <f>'R3'!U28</f>
        <v>5.3839261611375401E-2</v>
      </c>
      <c r="V38" s="84">
        <f>'R3'!V28</f>
        <v>1.3347296640088064</v>
      </c>
    </row>
    <row r="39" spans="1:22" s="1" customFormat="1" x14ac:dyDescent="0.25">
      <c r="A39" s="143"/>
      <c r="B39" s="84">
        <f>'R3'!B29</f>
        <v>0</v>
      </c>
      <c r="C39" s="84">
        <f>'R3'!C29</f>
        <v>1.3949301432009235E-3</v>
      </c>
      <c r="D39" s="84">
        <f>'R3'!D29</f>
        <v>0</v>
      </c>
      <c r="E39" s="84">
        <f>'R3'!E29</f>
        <v>1.331670901526125</v>
      </c>
      <c r="F39" s="84">
        <f>'R3'!F29</f>
        <v>1.7822333377800232</v>
      </c>
      <c r="G39" s="84">
        <f>'R3'!G29</f>
        <v>1.5202049538927269</v>
      </c>
      <c r="H39" s="84">
        <f>'R3'!H29</f>
        <v>1.8768028789341389</v>
      </c>
      <c r="I39" s="84">
        <f>'R3'!I29</f>
        <v>0</v>
      </c>
      <c r="J39" s="84">
        <f>'R3'!J29</f>
        <v>2.0419760529989421E-3</v>
      </c>
      <c r="K39" s="84">
        <f>'R3'!K29</f>
        <v>1.3949301432009235E-3</v>
      </c>
      <c r="L39" s="84">
        <f>'R3'!L29</f>
        <v>0</v>
      </c>
      <c r="M39" s="84">
        <f>'R3'!M29</f>
        <v>4.0385748603756856E-2</v>
      </c>
      <c r="N39"/>
      <c r="O39" s="84">
        <f>'R3'!O29</f>
        <v>0</v>
      </c>
      <c r="P39" s="84">
        <f>'R3'!P29</f>
        <v>2.1991661931116919</v>
      </c>
      <c r="Q39" s="84">
        <f>'R3'!Q29</f>
        <v>0</v>
      </c>
      <c r="R39" s="84">
        <f>'R3'!R29</f>
        <v>0.40107602894480049</v>
      </c>
      <c r="S39" s="84">
        <f>'R3'!S29</f>
        <v>1.5832793253075832</v>
      </c>
      <c r="T39" s="84">
        <f>'R3'!T29</f>
        <v>0.60708032087594888</v>
      </c>
      <c r="U39" s="84">
        <f>'R3'!U29</f>
        <v>1.0342398628598799</v>
      </c>
      <c r="V39" s="84">
        <f>'R3'!V29</f>
        <v>0.73761553078247388</v>
      </c>
    </row>
    <row r="40" spans="1:22" s="1" customFormat="1" x14ac:dyDescent="0.25">
      <c r="A40" s="144"/>
      <c r="B40" s="84">
        <f>'R3'!B30</f>
        <v>0</v>
      </c>
      <c r="C40" s="84">
        <f>'R3'!C30</f>
        <v>0</v>
      </c>
      <c r="D40" s="84">
        <f>'R3'!D30</f>
        <v>0</v>
      </c>
      <c r="E40" s="84">
        <f>'R3'!E30</f>
        <v>1.4048291053014699</v>
      </c>
      <c r="F40" s="84">
        <f>'R3'!F30</f>
        <v>7.4368263658603452E-3</v>
      </c>
      <c r="G40" s="84">
        <f>'R3'!G30</f>
        <v>1.2874280870444812</v>
      </c>
      <c r="H40" s="84">
        <f>'R3'!H30</f>
        <v>2.1496125602535243</v>
      </c>
      <c r="I40" s="84">
        <f>'R3'!I30</f>
        <v>0</v>
      </c>
      <c r="J40" s="84">
        <f>'R3'!J30</f>
        <v>0</v>
      </c>
      <c r="K40" s="84">
        <f>'R3'!K30</f>
        <v>0</v>
      </c>
      <c r="L40" s="84">
        <f>'R3'!L30</f>
        <v>0</v>
      </c>
      <c r="M40" s="84">
        <f>'R3'!M30</f>
        <v>0</v>
      </c>
      <c r="N40"/>
      <c r="O40" s="84">
        <f>'R3'!O30</f>
        <v>0.33857307469703862</v>
      </c>
      <c r="P40" s="84">
        <f>'R3'!P30</f>
        <v>1.2570085260903405</v>
      </c>
      <c r="Q40" s="84">
        <f>'R3'!Q30</f>
        <v>8.6830199817440612E-2</v>
      </c>
      <c r="R40" s="84">
        <f>'R3'!R30</f>
        <v>0.95772878482467261</v>
      </c>
      <c r="S40" s="84">
        <f>'R3'!S30</f>
        <v>0.18303836373013563</v>
      </c>
      <c r="T40" s="84">
        <f>'R3'!T30</f>
        <v>1.4073500633915921</v>
      </c>
      <c r="U40" s="84">
        <f>'R3'!U30</f>
        <v>0.73202740701603641</v>
      </c>
      <c r="V40" s="84">
        <f>'R3'!V30</f>
        <v>0.28499431208830917</v>
      </c>
    </row>
    <row r="41" spans="1:22" s="1" customFormat="1" x14ac:dyDescent="0.25">
      <c r="A41" s="144"/>
      <c r="B41" s="84">
        <f>'R3'!B31</f>
        <v>0</v>
      </c>
      <c r="C41" s="84">
        <f>'R3'!C31</f>
        <v>0</v>
      </c>
      <c r="D41" s="84">
        <f>'R3'!D31</f>
        <v>0</v>
      </c>
      <c r="E41" s="84">
        <f>'R3'!E31</f>
        <v>1.7582926391174967</v>
      </c>
      <c r="F41" s="84">
        <f>'R3'!F31</f>
        <v>0.96360261717465723</v>
      </c>
      <c r="G41" s="84">
        <f>'R3'!G31</f>
        <v>1.699016511225091</v>
      </c>
      <c r="H41" s="84">
        <f>'R3'!H31</f>
        <v>2.7939778512823801</v>
      </c>
      <c r="I41" s="84">
        <f>'R3'!I31</f>
        <v>2.6890219627969609E-3</v>
      </c>
      <c r="J41" s="84">
        <f>'R3'!J31</f>
        <v>8.7729341536250845E-3</v>
      </c>
      <c r="K41" s="84">
        <f>'R3'!K31</f>
        <v>0</v>
      </c>
      <c r="L41" s="84">
        <f>'R3'!L31</f>
        <v>0</v>
      </c>
      <c r="M41" s="84">
        <f>'R3'!M31</f>
        <v>0</v>
      </c>
      <c r="N41"/>
      <c r="O41" s="84">
        <f>'R3'!O31</f>
        <v>1.6789160720531837</v>
      </c>
      <c r="P41" s="84">
        <f>'R3'!P31</f>
        <v>2.2604842970570966</v>
      </c>
      <c r="Q41" s="84">
        <f>'R3'!Q31</f>
        <v>0</v>
      </c>
      <c r="R41" s="84">
        <f>'R3'!R31</f>
        <v>1.2178664501443774</v>
      </c>
      <c r="S41" s="84">
        <f>'R3'!S31</f>
        <v>1.7545532179504821</v>
      </c>
      <c r="T41" s="84">
        <f>'R3'!T31</f>
        <v>0</v>
      </c>
      <c r="U41" s="84">
        <f>'R3'!U31</f>
        <v>0.78688345505709445</v>
      </c>
      <c r="V41" s="84">
        <f>'R3'!V31</f>
        <v>0</v>
      </c>
    </row>
    <row r="42" spans="1:22" s="1" customFormat="1" x14ac:dyDescent="0.25">
      <c r="A42" s="144"/>
      <c r="B42" s="84">
        <f>'R3'!B32</f>
        <v>0</v>
      </c>
      <c r="C42" s="84">
        <f>'R3'!C32</f>
        <v>8.8989820581311923E-3</v>
      </c>
      <c r="D42" s="84">
        <f>'R3'!D32</f>
        <v>0.81912650902975681</v>
      </c>
      <c r="E42" s="84">
        <f>'R3'!E32</f>
        <v>1.1430360108359181</v>
      </c>
      <c r="F42" s="84">
        <f>'R3'!F32</f>
        <v>4.696544921897567E-2</v>
      </c>
      <c r="G42" s="84">
        <f>'R3'!G32</f>
        <v>0.86163826562284995</v>
      </c>
      <c r="H42" s="84">
        <f>'R3'!H32</f>
        <v>2.1098066320104958</v>
      </c>
      <c r="I42" s="84">
        <f>'R3'!I32</f>
        <v>0</v>
      </c>
      <c r="J42" s="84">
        <f>'R3'!J32</f>
        <v>2.7730538991343661E-3</v>
      </c>
      <c r="K42" s="84">
        <f>'R3'!K32</f>
        <v>6.806586843329808E-4</v>
      </c>
      <c r="L42" s="84">
        <f>'R3'!L32</f>
        <v>0</v>
      </c>
      <c r="M42" s="84">
        <f>'R3'!M32</f>
        <v>0</v>
      </c>
      <c r="N42"/>
      <c r="O42" s="84">
        <f>'R3'!O32</f>
        <v>1.1472880268145909</v>
      </c>
      <c r="P42" s="84">
        <f>'R3'!P32</f>
        <v>2.0795719413162974</v>
      </c>
      <c r="Q42" s="84">
        <f>'R3'!Q32</f>
        <v>4.5368842428564975E-2</v>
      </c>
      <c r="R42" s="84">
        <f>'R3'!R32</f>
        <v>1.2683360311086229</v>
      </c>
      <c r="S42" s="84">
        <f>'R3'!S32</f>
        <v>0.98150141961452453</v>
      </c>
      <c r="T42" s="84">
        <f>'R3'!T32</f>
        <v>0.51340151824700975</v>
      </c>
      <c r="U42" s="84">
        <f>'R3'!U32</f>
        <v>1.8323583878052854</v>
      </c>
      <c r="V42" s="84">
        <f>'R3'!V32</f>
        <v>2.1462176700254934</v>
      </c>
    </row>
    <row r="43" spans="1:22" s="1" customFormat="1" x14ac:dyDescent="0.25">
      <c r="A43" s="144"/>
      <c r="B43" s="84">
        <f>'R3'!B33</f>
        <v>0</v>
      </c>
      <c r="C43" s="84">
        <f>'R3'!C33</f>
        <v>0.11335908211915939</v>
      </c>
      <c r="D43" s="84">
        <f>'R3'!D33</f>
        <v>0</v>
      </c>
      <c r="E43" s="84">
        <f>'R3'!E33</f>
        <v>1.7779393058331818</v>
      </c>
      <c r="F43" s="84">
        <f>'R3'!F33</f>
        <v>0.18854245556023566</v>
      </c>
      <c r="G43" s="84">
        <f>'R3'!G33</f>
        <v>1.8039808029041438</v>
      </c>
      <c r="H43" s="84">
        <f>'R3'!H33</f>
        <v>2.0972102447535184</v>
      </c>
      <c r="I43" s="84">
        <f>'R3'!I33</f>
        <v>8.3863872464730229E-3</v>
      </c>
      <c r="J43" s="84">
        <f>'R3'!J33</f>
        <v>0</v>
      </c>
      <c r="K43" s="84">
        <f>'R3'!K33</f>
        <v>0</v>
      </c>
      <c r="L43" s="84">
        <f>'R3'!L33</f>
        <v>2.0335728593652018E-3</v>
      </c>
      <c r="M43" s="84">
        <f>'R3'!M33</f>
        <v>0</v>
      </c>
      <c r="N43"/>
      <c r="O43" s="84">
        <f>'R3'!O33</f>
        <v>1.5736324590160491</v>
      </c>
      <c r="P43" s="84">
        <f>'R3'!P33</f>
        <v>1.5500783072606745</v>
      </c>
      <c r="Q43" s="84">
        <f>'R3'!Q33</f>
        <v>0</v>
      </c>
      <c r="R43" s="84">
        <f>'R3'!R33</f>
        <v>1.1169020786349853</v>
      </c>
      <c r="S43" s="84">
        <f>'R3'!S33</f>
        <v>0.92599832566366846</v>
      </c>
      <c r="T43" s="84">
        <f>'R3'!T33</f>
        <v>0.39123588919969032</v>
      </c>
      <c r="U43" s="84">
        <f>'R3'!U33</f>
        <v>0.72474183813558346</v>
      </c>
      <c r="V43" s="84">
        <f>'R3'!V33</f>
        <v>0.11059443141365877</v>
      </c>
    </row>
    <row r="44" spans="1:22" s="1" customFormat="1" x14ac:dyDescent="0.25">
      <c r="A44" s="144"/>
      <c r="B44" s="84">
        <f>'R3'!B34</f>
        <v>0</v>
      </c>
      <c r="C44" s="84">
        <f>'R3'!C34</f>
        <v>0</v>
      </c>
      <c r="D44" s="84">
        <f>'R3'!D34</f>
        <v>2.7730538991343661E-3</v>
      </c>
      <c r="E44" s="84">
        <f>'R3'!E34</f>
        <v>2.1035462527533588</v>
      </c>
      <c r="F44" s="84">
        <f>'R3'!F34</f>
        <v>1.4868442751667772</v>
      </c>
      <c r="G44" s="84">
        <f>'R3'!G34</f>
        <v>2.3778264929586488</v>
      </c>
      <c r="H44" s="84">
        <f>'R3'!H34</f>
        <v>2.5839316232134024</v>
      </c>
      <c r="I44" s="84">
        <f>'R3'!I34</f>
        <v>4.0755489123641443E-3</v>
      </c>
      <c r="J44" s="84">
        <f>'R3'!J34</f>
        <v>6.8906187796672128E-4</v>
      </c>
      <c r="K44" s="84">
        <f>'R3'!K34</f>
        <v>5.1108223680409737E-2</v>
      </c>
      <c r="L44" s="84">
        <f>'R3'!L34</f>
        <v>2.7310379309656635E-3</v>
      </c>
      <c r="M44" s="84">
        <f>'R3'!M34</f>
        <v>3.4671576932813315E-2</v>
      </c>
      <c r="N44"/>
      <c r="O44" s="84">
        <f>'R3'!O34</f>
        <v>0</v>
      </c>
      <c r="P44" s="84">
        <f>'R3'!P34</f>
        <v>1.635194255576832</v>
      </c>
      <c r="Q44" s="84">
        <f>'R3'!Q34</f>
        <v>1.8327365315188037E-2</v>
      </c>
      <c r="R44" s="84">
        <f>'R3'!R34</f>
        <v>1.5105917003757279</v>
      </c>
      <c r="S44" s="84">
        <f>'R3'!S34</f>
        <v>1.4044089456197828</v>
      </c>
      <c r="T44" s="84">
        <f>'R3'!T34</f>
        <v>1.4895501035168415</v>
      </c>
      <c r="U44" s="84">
        <f>'R3'!U34</f>
        <v>0.50023371382293835</v>
      </c>
      <c r="V44" s="84">
        <f>'R3'!V34</f>
        <v>1.5175411415108311</v>
      </c>
    </row>
    <row r="45" spans="1:22" s="1" customFormat="1" x14ac:dyDescent="0.25">
      <c r="A45" s="144"/>
      <c r="B45" s="84">
        <f>'R3'!B35</f>
        <v>7.3107784613542378E-4</v>
      </c>
      <c r="C45" s="84">
        <f>'R3'!C35</f>
        <v>0</v>
      </c>
      <c r="D45" s="84">
        <f>'R3'!D35</f>
        <v>5.4368662810301057E-3</v>
      </c>
      <c r="E45" s="84">
        <f>'R3'!E35</f>
        <v>0.81337872458427829</v>
      </c>
      <c r="F45" s="84">
        <f>'R3'!F35</f>
        <v>0.13292171689850726</v>
      </c>
      <c r="G45" s="84">
        <f>'R3'!G35</f>
        <v>0.67809571027468984</v>
      </c>
      <c r="H45" s="84">
        <f>'R3'!H35</f>
        <v>2.393305175631999</v>
      </c>
      <c r="I45" s="84">
        <f>'R3'!I35</f>
        <v>0</v>
      </c>
      <c r="J45" s="84">
        <f>'R3'!J35</f>
        <v>0</v>
      </c>
      <c r="K45" s="84">
        <f>'R3'!K35</f>
        <v>4.8671297526624996E-2</v>
      </c>
      <c r="L45" s="84">
        <f>'R3'!L35</f>
        <v>8.9325948326661547E-2</v>
      </c>
      <c r="M45" s="84">
        <f>'R3'!M35</f>
        <v>1.6814790461114747E-2</v>
      </c>
      <c r="N45"/>
      <c r="O45" s="84">
        <f>'R3'!O35</f>
        <v>1.1197339548895557</v>
      </c>
      <c r="P45" s="84">
        <f>'R3'!P35</f>
        <v>2.0742863325206744</v>
      </c>
      <c r="Q45" s="84">
        <f>'R3'!Q35</f>
        <v>0</v>
      </c>
      <c r="R45" s="84">
        <f>'R3'!R35</f>
        <v>0.2507933139989853</v>
      </c>
      <c r="S45" s="84">
        <f>'R3'!S35</f>
        <v>0</v>
      </c>
      <c r="T45" s="84">
        <f>'R3'!T35</f>
        <v>0.2944983240880697</v>
      </c>
      <c r="U45" s="84">
        <f>'R3'!U35</f>
        <v>0.70858249677790042</v>
      </c>
      <c r="V45" s="84">
        <f>'R3'!V35</f>
        <v>1.7668638966239119</v>
      </c>
    </row>
    <row r="46" spans="1:22" s="1" customFormat="1" x14ac:dyDescent="0.25">
      <c r="A46" s="144"/>
      <c r="B46" s="84" t="str">
        <f>'R3'!B36</f>
        <v/>
      </c>
      <c r="C46" s="84" t="str">
        <f>'R3'!C36</f>
        <v/>
      </c>
      <c r="D46" s="84" t="str">
        <f>'R3'!D36</f>
        <v/>
      </c>
      <c r="E46" s="84" t="str">
        <f>'R3'!E36</f>
        <v/>
      </c>
      <c r="F46" s="84" t="str">
        <f>'R3'!F36</f>
        <v/>
      </c>
      <c r="G46" s="84" t="str">
        <f>'R3'!G36</f>
        <v/>
      </c>
      <c r="H46" s="84" t="str">
        <f>'R3'!H36</f>
        <v/>
      </c>
      <c r="I46" s="84" t="str">
        <f>'R3'!I36</f>
        <v/>
      </c>
      <c r="J46" s="84" t="str">
        <f>'R3'!J36</f>
        <v/>
      </c>
      <c r="K46" s="84" t="str">
        <f>'R3'!K36</f>
        <v/>
      </c>
      <c r="L46" s="84" t="str">
        <f>'R3'!L36</f>
        <v/>
      </c>
      <c r="M46" s="84" t="str">
        <f>'R3'!M36</f>
        <v/>
      </c>
      <c r="N46"/>
      <c r="O46" s="84">
        <f>'R3'!O36</f>
        <v>1.6185307226011245</v>
      </c>
      <c r="P46" s="84" t="str">
        <f>'R3'!P36</f>
        <v/>
      </c>
      <c r="Q46" s="84" t="str">
        <f>'R3'!Q36</f>
        <v/>
      </c>
      <c r="R46" s="84" t="str">
        <f>'R3'!R36</f>
        <v/>
      </c>
      <c r="S46" s="84" t="str">
        <f>'R3'!S36</f>
        <v/>
      </c>
      <c r="T46" s="84" t="str">
        <f>'R3'!T36</f>
        <v/>
      </c>
      <c r="U46" s="84" t="str">
        <f>'R3'!U36</f>
        <v/>
      </c>
      <c r="V46" s="84" t="str">
        <f>'R3'!V36</f>
        <v/>
      </c>
    </row>
    <row r="47" spans="1:22" s="1" customFormat="1" x14ac:dyDescent="0.25">
      <c r="A47" s="144"/>
      <c r="B47" s="84" t="str">
        <f>'R3'!B37</f>
        <v/>
      </c>
      <c r="C47" s="84" t="str">
        <f>'R3'!C37</f>
        <v/>
      </c>
      <c r="D47" s="84" t="str">
        <f>'R3'!D37</f>
        <v/>
      </c>
      <c r="E47" s="84" t="str">
        <f>'R3'!E37</f>
        <v/>
      </c>
      <c r="F47" s="84" t="str">
        <f>'R3'!F37</f>
        <v/>
      </c>
      <c r="G47" s="84" t="str">
        <f>'R3'!G37</f>
        <v/>
      </c>
      <c r="H47" s="84" t="str">
        <f>'R3'!H37</f>
        <v/>
      </c>
      <c r="I47" s="84" t="str">
        <f>'R3'!I37</f>
        <v/>
      </c>
      <c r="J47" s="84" t="str">
        <f>'R3'!J37</f>
        <v/>
      </c>
      <c r="K47" s="84" t="str">
        <f>'R3'!K37</f>
        <v/>
      </c>
      <c r="L47" s="84" t="str">
        <f>'R3'!L37</f>
        <v/>
      </c>
      <c r="M47" s="84" t="str">
        <f>'R3'!M37</f>
        <v/>
      </c>
      <c r="N47"/>
      <c r="O47" s="84">
        <f>'R3'!O37</f>
        <v>1.8206443358798512</v>
      </c>
      <c r="P47" s="84" t="str">
        <f>'R3'!P37</f>
        <v/>
      </c>
      <c r="Q47" s="84" t="str">
        <f>'R3'!Q37</f>
        <v/>
      </c>
      <c r="R47" s="84" t="str">
        <f>'R3'!R37</f>
        <v/>
      </c>
      <c r="S47" s="84" t="str">
        <f>'R3'!S37</f>
        <v/>
      </c>
      <c r="T47" s="84" t="str">
        <f>'R3'!T37</f>
        <v/>
      </c>
      <c r="U47" s="84" t="str">
        <f>'R3'!U37</f>
        <v/>
      </c>
      <c r="V47" s="84" t="str">
        <f>'R3'!V37</f>
        <v/>
      </c>
    </row>
    <row r="48" spans="1:22" s="1" customFormat="1" x14ac:dyDescent="0.25">
      <c r="A48" s="144"/>
      <c r="B48" s="84" t="str">
        <f>'R3'!B38</f>
        <v/>
      </c>
      <c r="C48" s="84" t="str">
        <f>'R3'!C38</f>
        <v/>
      </c>
      <c r="D48" s="84" t="str">
        <f>'R3'!D38</f>
        <v/>
      </c>
      <c r="E48" s="84" t="str">
        <f>'R3'!E38</f>
        <v/>
      </c>
      <c r="F48" s="84" t="str">
        <f>'R3'!F38</f>
        <v/>
      </c>
      <c r="G48" s="84" t="str">
        <f>'R3'!G38</f>
        <v/>
      </c>
      <c r="H48" s="84" t="str">
        <f>'R3'!H38</f>
        <v/>
      </c>
      <c r="I48" s="84" t="str">
        <f>'R3'!I38</f>
        <v/>
      </c>
      <c r="J48" s="84" t="str">
        <f>'R3'!J38</f>
        <v/>
      </c>
      <c r="K48" s="84" t="str">
        <f>'R3'!K38</f>
        <v/>
      </c>
      <c r="L48" s="84" t="str">
        <f>'R3'!L38</f>
        <v/>
      </c>
      <c r="M48" s="84" t="str">
        <f>'R3'!M38</f>
        <v/>
      </c>
      <c r="N48"/>
      <c r="O48" s="84">
        <f>'R3'!O38</f>
        <v>2.2038635783529532</v>
      </c>
      <c r="P48" s="84" t="str">
        <f>'R3'!P38</f>
        <v/>
      </c>
      <c r="Q48" s="84" t="str">
        <f>'R3'!Q38</f>
        <v/>
      </c>
      <c r="R48" s="84" t="str">
        <f>'R3'!R38</f>
        <v/>
      </c>
      <c r="S48" s="84" t="str">
        <f>'R3'!S38</f>
        <v/>
      </c>
      <c r="T48" s="84" t="str">
        <f>'R3'!T38</f>
        <v/>
      </c>
      <c r="U48" s="84" t="str">
        <f>'R3'!U38</f>
        <v/>
      </c>
      <c r="V48" s="84" t="str">
        <f>'R3'!V38</f>
        <v/>
      </c>
    </row>
    <row r="49" spans="1:24" s="1" customFormat="1" x14ac:dyDescent="0.25">
      <c r="A49" s="144"/>
      <c r="B49" s="84" t="str">
        <f>'R3'!B39</f>
        <v/>
      </c>
      <c r="C49" s="84" t="str">
        <f>'R3'!C39</f>
        <v/>
      </c>
      <c r="D49" s="84" t="str">
        <f>'R3'!D39</f>
        <v/>
      </c>
      <c r="E49" s="84" t="str">
        <f>'R3'!E39</f>
        <v/>
      </c>
      <c r="F49" s="84" t="str">
        <f>'R3'!F39</f>
        <v/>
      </c>
      <c r="G49" s="84" t="str">
        <f>'R3'!G39</f>
        <v/>
      </c>
      <c r="H49" s="84" t="str">
        <f>'R3'!H39</f>
        <v/>
      </c>
      <c r="I49" s="84" t="str">
        <f>'R3'!I39</f>
        <v/>
      </c>
      <c r="J49" s="84" t="str">
        <f>'R3'!J39</f>
        <v/>
      </c>
      <c r="K49" s="84" t="str">
        <f>'R3'!K39</f>
        <v/>
      </c>
      <c r="L49" s="84" t="str">
        <f>'R3'!L39</f>
        <v/>
      </c>
      <c r="M49" s="84" t="str">
        <f>'R3'!M39</f>
        <v/>
      </c>
      <c r="N49"/>
      <c r="O49" s="84">
        <f>'R3'!O39</f>
        <v>0.54395553029929022</v>
      </c>
      <c r="P49" s="84" t="str">
        <f>'R3'!P39</f>
        <v/>
      </c>
      <c r="Q49" s="84" t="str">
        <f>'R3'!Q39</f>
        <v/>
      </c>
      <c r="R49" s="84" t="str">
        <f>'R3'!R39</f>
        <v/>
      </c>
      <c r="S49" s="84" t="str">
        <f>'R3'!S39</f>
        <v/>
      </c>
      <c r="T49" s="84" t="str">
        <f>'R3'!T39</f>
        <v/>
      </c>
      <c r="U49" s="84" t="str">
        <f>'R3'!U39</f>
        <v/>
      </c>
      <c r="V49" s="84" t="str">
        <f>'R3'!V39</f>
        <v/>
      </c>
    </row>
    <row r="50" spans="1:24" s="1" customFormat="1" x14ac:dyDescent="0.25">
      <c r="A50" s="144"/>
      <c r="B50" s="84" t="str">
        <f>'R3'!B40</f>
        <v/>
      </c>
      <c r="C50" s="84" t="str">
        <f>'R3'!C40</f>
        <v/>
      </c>
      <c r="D50" s="84" t="str">
        <f>'R3'!D40</f>
        <v/>
      </c>
      <c r="E50" s="84" t="str">
        <f>'R3'!E40</f>
        <v/>
      </c>
      <c r="F50" s="84" t="str">
        <f>'R3'!F40</f>
        <v/>
      </c>
      <c r="G50" s="84" t="str">
        <f>'R3'!G40</f>
        <v/>
      </c>
      <c r="H50" s="84" t="str">
        <f>'R3'!H40</f>
        <v/>
      </c>
      <c r="I50" s="84" t="str">
        <f>'R3'!I40</f>
        <v/>
      </c>
      <c r="J50" s="84" t="str">
        <f>'R3'!J40</f>
        <v/>
      </c>
      <c r="K50" s="84" t="str">
        <f>'R3'!K40</f>
        <v/>
      </c>
      <c r="L50" s="84" t="str">
        <f>'R3'!L40</f>
        <v/>
      </c>
      <c r="M50" s="84" t="str">
        <f>'R3'!M40</f>
        <v/>
      </c>
      <c r="N50"/>
      <c r="O50" s="84">
        <f>'R3'!O40</f>
        <v>1.4561642152099905</v>
      </c>
      <c r="P50" s="84" t="str">
        <f>'R3'!P40</f>
        <v/>
      </c>
      <c r="Q50" s="84" t="str">
        <f>'R3'!Q40</f>
        <v/>
      </c>
      <c r="R50" s="84" t="str">
        <f>'R3'!R40</f>
        <v/>
      </c>
      <c r="S50" s="84" t="str">
        <f>'R3'!S40</f>
        <v/>
      </c>
      <c r="T50" s="84" t="str">
        <f>'R3'!T40</f>
        <v/>
      </c>
      <c r="U50" s="84" t="str">
        <f>'R3'!U40</f>
        <v/>
      </c>
      <c r="V50" s="84" t="str">
        <f>'R3'!V40</f>
        <v/>
      </c>
    </row>
    <row r="51" spans="1:24" s="1" customFormat="1" x14ac:dyDescent="0.25">
      <c r="A51" s="144"/>
      <c r="B51" s="84" t="str">
        <f>'R3'!B41</f>
        <v/>
      </c>
      <c r="C51" s="84" t="str">
        <f>'R3'!C41</f>
        <v/>
      </c>
      <c r="D51" s="84" t="str">
        <f>'R3'!D41</f>
        <v/>
      </c>
      <c r="E51" s="84" t="str">
        <f>'R3'!E41</f>
        <v/>
      </c>
      <c r="F51" s="84" t="str">
        <f>'R3'!F41</f>
        <v/>
      </c>
      <c r="G51" s="84" t="str">
        <f>'R3'!G41</f>
        <v/>
      </c>
      <c r="H51" s="84" t="str">
        <f>'R3'!H41</f>
        <v/>
      </c>
      <c r="I51" s="84" t="str">
        <f>'R3'!I41</f>
        <v/>
      </c>
      <c r="J51" s="84" t="str">
        <f>'R3'!J41</f>
        <v/>
      </c>
      <c r="K51" s="84" t="str">
        <f>'R3'!K41</f>
        <v/>
      </c>
      <c r="L51" s="84" t="str">
        <f>'R3'!L41</f>
        <v/>
      </c>
      <c r="M51" s="84" t="str">
        <f>'R3'!M41</f>
        <v/>
      </c>
      <c r="N51"/>
      <c r="O51" s="84">
        <f>'R3'!O41</f>
        <v>0.68293594980772443</v>
      </c>
      <c r="P51" s="84" t="str">
        <f>'R3'!P41</f>
        <v/>
      </c>
      <c r="Q51" s="84" t="str">
        <f>'R3'!Q41</f>
        <v/>
      </c>
      <c r="R51" s="84" t="str">
        <f>'R3'!R41</f>
        <v/>
      </c>
      <c r="S51" s="84" t="str">
        <f>'R3'!S41</f>
        <v/>
      </c>
      <c r="T51" s="84" t="str">
        <f>'R3'!T41</f>
        <v/>
      </c>
      <c r="U51" s="84" t="str">
        <f>'R3'!U41</f>
        <v/>
      </c>
      <c r="V51" s="84" t="str">
        <f>'R3'!V41</f>
        <v/>
      </c>
    </row>
    <row r="52" spans="1:24" s="1" customFormat="1" x14ac:dyDescent="0.25">
      <c r="A52" s="144"/>
      <c r="B52" s="84" t="str">
        <f>'R3'!B42</f>
        <v/>
      </c>
      <c r="C52" s="84" t="str">
        <f>'R3'!C42</f>
        <v/>
      </c>
      <c r="D52" s="84" t="str">
        <f>'R3'!D42</f>
        <v/>
      </c>
      <c r="E52" s="84" t="str">
        <f>'R3'!E42</f>
        <v/>
      </c>
      <c r="F52" s="84" t="str">
        <f>'R3'!F42</f>
        <v/>
      </c>
      <c r="G52" s="84" t="str">
        <f>'R3'!G42</f>
        <v/>
      </c>
      <c r="H52" s="84" t="str">
        <f>'R3'!H42</f>
        <v/>
      </c>
      <c r="I52" s="84" t="str">
        <f>'R3'!I42</f>
        <v/>
      </c>
      <c r="J52" s="84" t="str">
        <f>'R3'!J42</f>
        <v/>
      </c>
      <c r="K52" s="84" t="str">
        <f>'R3'!K42</f>
        <v/>
      </c>
      <c r="L52" s="84" t="str">
        <f>'R3'!L42</f>
        <v/>
      </c>
      <c r="M52" s="84" t="str">
        <f>'R3'!M42</f>
        <v/>
      </c>
      <c r="N52"/>
      <c r="O52" s="84">
        <f>'R3'!O42</f>
        <v>0.89262924374408492</v>
      </c>
      <c r="P52" s="84" t="str">
        <f>'R3'!P42</f>
        <v/>
      </c>
      <c r="Q52" s="84" t="str">
        <f>'R3'!Q42</f>
        <v/>
      </c>
      <c r="R52" s="84" t="str">
        <f>'R3'!R42</f>
        <v/>
      </c>
      <c r="S52" s="84" t="str">
        <f>'R3'!S42</f>
        <v/>
      </c>
      <c r="T52" s="84" t="str">
        <f>'R3'!T42</f>
        <v/>
      </c>
      <c r="U52" s="84" t="str">
        <f>'R3'!U42</f>
        <v/>
      </c>
      <c r="V52" s="84" t="str">
        <f>'R3'!V42</f>
        <v/>
      </c>
    </row>
    <row r="53" spans="1:24" s="1" customFormat="1" x14ac:dyDescent="0.25">
      <c r="A53" s="145"/>
      <c r="B53" s="84" t="str">
        <f>'R3'!B43</f>
        <v/>
      </c>
      <c r="C53" s="84" t="str">
        <f>'R3'!C43</f>
        <v/>
      </c>
      <c r="D53" s="84" t="str">
        <f>'R3'!D43</f>
        <v/>
      </c>
      <c r="E53" s="84" t="str">
        <f>'R3'!E43</f>
        <v/>
      </c>
      <c r="F53" s="84" t="str">
        <f>'R3'!F43</f>
        <v/>
      </c>
      <c r="G53" s="84" t="str">
        <f>'R3'!G43</f>
        <v/>
      </c>
      <c r="H53" s="84" t="str">
        <f>'R3'!H43</f>
        <v/>
      </c>
      <c r="I53" s="84" t="str">
        <f>'R3'!I43</f>
        <v/>
      </c>
      <c r="J53" s="84" t="str">
        <f>'R3'!J43</f>
        <v/>
      </c>
      <c r="K53" s="84" t="str">
        <f>'R3'!K43</f>
        <v/>
      </c>
      <c r="L53" s="84" t="str">
        <f>'R3'!L43</f>
        <v/>
      </c>
      <c r="M53" s="84" t="str">
        <f>'R3'!M43</f>
        <v/>
      </c>
      <c r="N53"/>
      <c r="O53" s="84">
        <f>'R3'!O43</f>
        <v>0.22253337380871599</v>
      </c>
      <c r="P53" s="84" t="str">
        <f>'R3'!P43</f>
        <v/>
      </c>
      <c r="Q53" s="84" t="str">
        <f>'R3'!Q43</f>
        <v/>
      </c>
      <c r="R53" s="84" t="str">
        <f>'R3'!R43</f>
        <v/>
      </c>
      <c r="S53" s="84" t="str">
        <f>'R3'!S43</f>
        <v/>
      </c>
      <c r="T53" s="84" t="str">
        <f>'R3'!T43</f>
        <v/>
      </c>
      <c r="U53" s="84" t="str">
        <f>'R3'!U43</f>
        <v/>
      </c>
      <c r="V53" s="84" t="str">
        <f>'R3'!V43</f>
        <v/>
      </c>
    </row>
    <row r="54" spans="1:24" s="43" customFormat="1" x14ac:dyDescent="0.25">
      <c r="A54" s="41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/>
      <c r="O54" s="42"/>
      <c r="P54" s="42"/>
      <c r="Q54" s="42"/>
      <c r="R54" s="42"/>
      <c r="S54" s="42"/>
      <c r="T54" s="42"/>
      <c r="U54" s="42"/>
      <c r="V54" s="42"/>
    </row>
    <row r="55" spans="1:24" s="25" customFormat="1" x14ac:dyDescent="0.25">
      <c r="A55" s="25" t="s">
        <v>36</v>
      </c>
      <c r="B55" s="14" t="str">
        <f t="shared" ref="B55:M55" si="0">B4</f>
        <v>Solvent control</v>
      </c>
      <c r="C55" s="14" t="str">
        <f t="shared" si="0"/>
        <v>EE2-33.8ng/L</v>
      </c>
      <c r="D55" s="14" t="str">
        <f t="shared" si="0"/>
        <v>EE2-50.6ng/L</v>
      </c>
      <c r="E55" s="14" t="str">
        <f t="shared" si="0"/>
        <v>EE2-76ng/L</v>
      </c>
      <c r="F55" s="14" t="str">
        <f t="shared" si="0"/>
        <v>EE2-114ng/L</v>
      </c>
      <c r="G55" s="14" t="str">
        <f t="shared" si="0"/>
        <v>EE2-170.9ng/L</v>
      </c>
      <c r="H55" s="14" t="str">
        <f t="shared" si="0"/>
        <v>EE2-488ng/L</v>
      </c>
      <c r="I55" s="14" t="str">
        <f t="shared" si="0"/>
        <v>Chromolyn-0.1µg/L</v>
      </c>
      <c r="J55" s="14" t="str">
        <f t="shared" si="0"/>
        <v>Chromolyn-1µg/L</v>
      </c>
      <c r="K55" s="14" t="str">
        <f t="shared" si="0"/>
        <v>Chromolyn-10µg/L</v>
      </c>
      <c r="L55" s="14" t="str">
        <f t="shared" si="0"/>
        <v>Chromolyn-100µg/L</v>
      </c>
      <c r="M55" s="14" t="str">
        <f t="shared" si="0"/>
        <v>Chromolyn-1000µg/L</v>
      </c>
      <c r="O55" s="14" t="str">
        <f t="shared" ref="O55:V55" si="1">O4</f>
        <v>Testo -30µg/L</v>
      </c>
      <c r="P55" s="14" t="str">
        <f t="shared" si="1"/>
        <v>Testo 30µg/L + EE2 -64ng/L</v>
      </c>
      <c r="Q55" s="14" t="str">
        <f t="shared" si="1"/>
        <v>Testo 30µg/L + FAD-10mg/L</v>
      </c>
      <c r="R55" s="14" t="str">
        <f t="shared" si="1"/>
        <v>Chromolyn-0.1µg/L + Testostérone</v>
      </c>
      <c r="S55" s="14" t="str">
        <f t="shared" si="1"/>
        <v>Chromolyn-1µg/L + Testostérone</v>
      </c>
      <c r="T55" s="14" t="str">
        <f t="shared" si="1"/>
        <v>Chromolyn-10µg/L + Testostérone</v>
      </c>
      <c r="U55" s="14" t="str">
        <f t="shared" si="1"/>
        <v>Chromolyn-100µg/L + Testostérone</v>
      </c>
      <c r="V55" s="14" t="str">
        <f t="shared" si="1"/>
        <v>Chromolyn-1000µg/L + Testostérone</v>
      </c>
    </row>
    <row r="56" spans="1:24" x14ac:dyDescent="0.25">
      <c r="A56" t="s">
        <v>10</v>
      </c>
      <c r="B56" s="8">
        <f t="shared" ref="B56:V56" si="2">AVERAGE(B6:B53)</f>
        <v>8.1488278283146278E-3</v>
      </c>
      <c r="C56" s="8">
        <f t="shared" si="2"/>
        <v>8.1127588359810442E-3</v>
      </c>
      <c r="D56" s="8">
        <f t="shared" si="2"/>
        <v>4.669554827370407E-2</v>
      </c>
      <c r="E56" s="8">
        <f t="shared" si="2"/>
        <v>0.69094915644640265</v>
      </c>
      <c r="F56" s="8">
        <f t="shared" si="2"/>
        <v>0.80644678041348927</v>
      </c>
      <c r="G56" s="8">
        <f t="shared" si="2"/>
        <v>1.4967579872558998</v>
      </c>
      <c r="H56" s="8">
        <f t="shared" si="2"/>
        <v>2.1859309131698312</v>
      </c>
      <c r="I56" s="8">
        <f t="shared" si="2"/>
        <v>6.9716502395579085E-3</v>
      </c>
      <c r="J56" s="8">
        <f t="shared" si="2"/>
        <v>7.0830791972453337E-3</v>
      </c>
      <c r="K56" s="8">
        <f t="shared" si="2"/>
        <v>1.6523504271196015E-2</v>
      </c>
      <c r="L56" s="8">
        <f t="shared" si="2"/>
        <v>1.7251094367678809E-2</v>
      </c>
      <c r="M56" s="8">
        <f t="shared" si="2"/>
        <v>7.7254621906718392E-3</v>
      </c>
      <c r="N56" s="8"/>
      <c r="O56" s="8">
        <f t="shared" si="2"/>
        <v>0.99999999999999956</v>
      </c>
      <c r="P56" s="8">
        <f t="shared" si="2"/>
        <v>1.6259101767808855</v>
      </c>
      <c r="Q56" s="8">
        <f t="shared" si="2"/>
        <v>4.0341084865773404E-2</v>
      </c>
      <c r="R56" s="8">
        <f t="shared" si="2"/>
        <v>0.82073238038726004</v>
      </c>
      <c r="S56" s="8">
        <f t="shared" si="2"/>
        <v>0.84084422389398883</v>
      </c>
      <c r="T56" s="8">
        <f t="shared" si="2"/>
        <v>0.920307902075571</v>
      </c>
      <c r="U56" s="8">
        <f t="shared" si="2"/>
        <v>0.9145748617209003</v>
      </c>
      <c r="V56" s="8">
        <f t="shared" si="2"/>
        <v>0.76639687094171938</v>
      </c>
    </row>
    <row r="57" spans="1:24" x14ac:dyDescent="0.25">
      <c r="A57" t="s">
        <v>1</v>
      </c>
      <c r="B57" s="3">
        <f>STDEV(B6:B53)</f>
        <v>1.714259732893977E-2</v>
      </c>
      <c r="C57" s="3">
        <f t="shared" ref="C57:V57" si="3">STDEV(C6:C53)</f>
        <v>2.8167138663431353E-2</v>
      </c>
      <c r="D57" s="3">
        <f t="shared" si="3"/>
        <v>0.16630844539267939</v>
      </c>
      <c r="E57" s="3">
        <f t="shared" si="3"/>
        <v>0.8180440715007774</v>
      </c>
      <c r="F57" s="3">
        <f t="shared" si="3"/>
        <v>0.6433426153688997</v>
      </c>
      <c r="G57" s="3">
        <f t="shared" si="3"/>
        <v>0.78495382237554689</v>
      </c>
      <c r="H57" s="3">
        <f t="shared" si="3"/>
        <v>0.73948366553696998</v>
      </c>
      <c r="I57" s="3">
        <f t="shared" si="3"/>
        <v>1.4177836480904793E-2</v>
      </c>
      <c r="J57" s="3">
        <f t="shared" si="3"/>
        <v>1.8277856679086782E-2</v>
      </c>
      <c r="K57" s="3">
        <f t="shared" si="3"/>
        <v>3.3355531168603805E-2</v>
      </c>
      <c r="L57" s="3">
        <f t="shared" si="3"/>
        <v>3.3801447951584053E-2</v>
      </c>
      <c r="M57" s="3">
        <f t="shared" si="3"/>
        <v>1.8218492172435621E-2</v>
      </c>
      <c r="N57" s="3"/>
      <c r="O57" s="3">
        <f t="shared" si="3"/>
        <v>0.49320690937692635</v>
      </c>
      <c r="P57" s="3">
        <f t="shared" si="3"/>
        <v>0.4771045933694551</v>
      </c>
      <c r="Q57" s="3">
        <f t="shared" si="3"/>
        <v>0.11906146520337273</v>
      </c>
      <c r="R57" s="3">
        <f t="shared" si="3"/>
        <v>0.54488138285752397</v>
      </c>
      <c r="S57" s="3">
        <f t="shared" si="3"/>
        <v>0.63332570376035413</v>
      </c>
      <c r="T57" s="3">
        <f t="shared" si="3"/>
        <v>0.54753269489902767</v>
      </c>
      <c r="U57" s="3">
        <f t="shared" si="3"/>
        <v>0.51313513225820706</v>
      </c>
      <c r="V57" s="3">
        <f t="shared" si="3"/>
        <v>0.67874061053166801</v>
      </c>
      <c r="W57" s="3"/>
      <c r="X57" s="3"/>
    </row>
    <row r="58" spans="1:24" x14ac:dyDescent="0.25">
      <c r="A58" t="s">
        <v>2</v>
      </c>
      <c r="B58" s="3">
        <f xml:space="preserve"> B57/SQRT(COUNT(B6:B53))</f>
        <v>3.4992180268250232E-3</v>
      </c>
      <c r="C58" s="3">
        <f t="shared" ref="C58:V58" si="4" xml:space="preserve"> C57/SQRT(COUNT(C6:C53))</f>
        <v>7.0417846658578382E-3</v>
      </c>
      <c r="D58" s="3">
        <f t="shared" si="4"/>
        <v>3.3947569260632041E-2</v>
      </c>
      <c r="E58" s="3">
        <f t="shared" si="4"/>
        <v>0.16698254685714525</v>
      </c>
      <c r="F58" s="3">
        <f t="shared" si="4"/>
        <v>0.13414620848159214</v>
      </c>
      <c r="G58" s="3">
        <f t="shared" si="4"/>
        <v>0.16022802803894592</v>
      </c>
      <c r="H58" s="3">
        <f t="shared" si="4"/>
        <v>0.15094647114070953</v>
      </c>
      <c r="I58" s="3">
        <f t="shared" si="4"/>
        <v>2.8940387529027868E-3</v>
      </c>
      <c r="J58" s="3">
        <f t="shared" si="4"/>
        <v>3.7309518712903399E-3</v>
      </c>
      <c r="K58" s="3">
        <f t="shared" si="4"/>
        <v>6.8086692885483023E-3</v>
      </c>
      <c r="L58" s="3">
        <f t="shared" si="4"/>
        <v>6.8996916707187179E-3</v>
      </c>
      <c r="M58" s="3">
        <f t="shared" si="4"/>
        <v>3.7188341421130564E-3</v>
      </c>
      <c r="N58" s="3"/>
      <c r="O58" s="3">
        <f t="shared" si="4"/>
        <v>7.1188285473737956E-2</v>
      </c>
      <c r="P58" s="3">
        <f t="shared" si="4"/>
        <v>9.7388567307768292E-2</v>
      </c>
      <c r="Q58" s="3">
        <f t="shared" si="4"/>
        <v>2.4303319814699815E-2</v>
      </c>
      <c r="R58" s="3">
        <f t="shared" si="4"/>
        <v>0.1112234465285849</v>
      </c>
      <c r="S58" s="3">
        <f t="shared" si="4"/>
        <v>0.12927706793349378</v>
      </c>
      <c r="T58" s="3">
        <f t="shared" si="4"/>
        <v>0.11176464333279998</v>
      </c>
      <c r="U58" s="3">
        <f t="shared" si="4"/>
        <v>0.10474327026068064</v>
      </c>
      <c r="V58" s="3">
        <f t="shared" si="4"/>
        <v>0.13854734695897608</v>
      </c>
      <c r="W58" s="3"/>
      <c r="X58" s="3"/>
    </row>
    <row r="59" spans="1:24" s="1" customFormat="1" ht="15.75" thickBot="1" x14ac:dyDescent="0.3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4" s="31" customFormat="1" ht="27" thickBot="1" x14ac:dyDescent="0.3">
      <c r="A60" s="146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</row>
    <row r="61" spans="1:24" s="1" customFormat="1" x14ac:dyDescent="0.25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4" s="1" customFormat="1" x14ac:dyDescent="0.25">
      <c r="A62" s="1" t="s">
        <v>36</v>
      </c>
      <c r="B62" s="3" t="str">
        <f t="shared" ref="B62" si="5">B4</f>
        <v>Solvent control</v>
      </c>
      <c r="C62" s="3" t="str">
        <f t="shared" ref="C62:V62" si="6">C4</f>
        <v>EE2-33.8ng/L</v>
      </c>
      <c r="D62" s="3" t="str">
        <f t="shared" si="6"/>
        <v>EE2-50.6ng/L</v>
      </c>
      <c r="E62" s="3" t="str">
        <f t="shared" si="6"/>
        <v>EE2-76ng/L</v>
      </c>
      <c r="F62" s="3" t="str">
        <f t="shared" si="6"/>
        <v>EE2-114ng/L</v>
      </c>
      <c r="G62" s="3" t="str">
        <f t="shared" si="6"/>
        <v>EE2-170.9ng/L</v>
      </c>
      <c r="H62" s="3" t="str">
        <f t="shared" si="6"/>
        <v>EE2-488ng/L</v>
      </c>
      <c r="I62" s="3" t="str">
        <f t="shared" si="6"/>
        <v>Chromolyn-0.1µg/L</v>
      </c>
      <c r="J62" s="3" t="str">
        <f t="shared" si="6"/>
        <v>Chromolyn-1µg/L</v>
      </c>
      <c r="K62" s="3" t="str">
        <f t="shared" si="6"/>
        <v>Chromolyn-10µg/L</v>
      </c>
      <c r="L62" s="3" t="str">
        <f t="shared" si="6"/>
        <v>Chromolyn-100µg/L</v>
      </c>
      <c r="M62" s="3" t="str">
        <f t="shared" si="6"/>
        <v>Chromolyn-1000µg/L</v>
      </c>
      <c r="N62" s="3"/>
      <c r="O62" s="3" t="str">
        <f t="shared" si="6"/>
        <v>Testo -30µg/L</v>
      </c>
      <c r="P62" s="3" t="str">
        <f t="shared" si="6"/>
        <v>Testo 30µg/L + EE2 -64ng/L</v>
      </c>
      <c r="Q62" s="3" t="str">
        <f t="shared" si="6"/>
        <v>Testo 30µg/L + FAD-10mg/L</v>
      </c>
      <c r="R62" s="3" t="str">
        <f t="shared" si="6"/>
        <v>Chromolyn-0.1µg/L + Testostérone</v>
      </c>
      <c r="S62" s="3" t="str">
        <f t="shared" si="6"/>
        <v>Chromolyn-1µg/L + Testostérone</v>
      </c>
      <c r="T62" s="3" t="str">
        <f t="shared" si="6"/>
        <v>Chromolyn-10µg/L + Testostérone</v>
      </c>
      <c r="U62" s="3" t="str">
        <f t="shared" si="6"/>
        <v>Chromolyn-100µg/L + Testostérone</v>
      </c>
      <c r="V62" s="3" t="str">
        <f t="shared" si="6"/>
        <v>Chromolyn-1000µg/L + Testostérone</v>
      </c>
    </row>
    <row r="63" spans="1:24" s="1" customFormat="1" x14ac:dyDescent="0.25">
      <c r="A63" s="1" t="s">
        <v>43</v>
      </c>
      <c r="B63" s="3">
        <f>COUNT(B6:B53)</f>
        <v>24</v>
      </c>
      <c r="C63" s="3">
        <f t="shared" ref="C63:V63" si="7">COUNT(C6:C53)</f>
        <v>16</v>
      </c>
      <c r="D63" s="3">
        <f t="shared" si="7"/>
        <v>24</v>
      </c>
      <c r="E63" s="3">
        <f t="shared" si="7"/>
        <v>24</v>
      </c>
      <c r="F63" s="3">
        <f t="shared" si="7"/>
        <v>23</v>
      </c>
      <c r="G63" s="3">
        <f t="shared" si="7"/>
        <v>24</v>
      </c>
      <c r="H63" s="3">
        <f t="shared" si="7"/>
        <v>24</v>
      </c>
      <c r="I63" s="3">
        <f t="shared" si="7"/>
        <v>24</v>
      </c>
      <c r="J63" s="3">
        <f t="shared" si="7"/>
        <v>24</v>
      </c>
      <c r="K63" s="3">
        <f t="shared" si="7"/>
        <v>24</v>
      </c>
      <c r="L63" s="3">
        <f t="shared" si="7"/>
        <v>24</v>
      </c>
      <c r="M63" s="3">
        <f t="shared" si="7"/>
        <v>24</v>
      </c>
      <c r="N63" s="3"/>
      <c r="O63" s="3">
        <f t="shared" si="7"/>
        <v>48</v>
      </c>
      <c r="P63" s="3">
        <f t="shared" si="7"/>
        <v>24</v>
      </c>
      <c r="Q63" s="3">
        <f t="shared" si="7"/>
        <v>24</v>
      </c>
      <c r="R63" s="3">
        <f t="shared" si="7"/>
        <v>24</v>
      </c>
      <c r="S63" s="3">
        <f t="shared" si="7"/>
        <v>24</v>
      </c>
      <c r="T63" s="3">
        <f t="shared" si="7"/>
        <v>24</v>
      </c>
      <c r="U63" s="3">
        <f t="shared" si="7"/>
        <v>24</v>
      </c>
      <c r="V63" s="3">
        <f t="shared" si="7"/>
        <v>24</v>
      </c>
    </row>
    <row r="64" spans="1:24" s="1" customFormat="1" ht="15.75" thickBot="1" x14ac:dyDescent="0.3">
      <c r="B64" s="3" t="str">
        <f>IF(B63&gt;=21,"OK","ATTENTION")</f>
        <v>OK</v>
      </c>
      <c r="C64" s="3" t="str">
        <f t="shared" ref="C64:V64" si="8">IF(C63&gt;=21,"OK","ATTENTION")</f>
        <v>ATTENTION</v>
      </c>
      <c r="D64" s="3" t="str">
        <f t="shared" si="8"/>
        <v>OK</v>
      </c>
      <c r="E64" s="3" t="str">
        <f t="shared" si="8"/>
        <v>OK</v>
      </c>
      <c r="F64" s="3" t="str">
        <f t="shared" si="8"/>
        <v>OK</v>
      </c>
      <c r="G64" s="3" t="str">
        <f t="shared" si="8"/>
        <v>OK</v>
      </c>
      <c r="H64" s="3" t="str">
        <f t="shared" si="8"/>
        <v>OK</v>
      </c>
      <c r="I64" s="3" t="str">
        <f t="shared" si="8"/>
        <v>OK</v>
      </c>
      <c r="J64" s="3" t="str">
        <f t="shared" si="8"/>
        <v>OK</v>
      </c>
      <c r="K64" s="3" t="str">
        <f t="shared" si="8"/>
        <v>OK</v>
      </c>
      <c r="L64" s="3" t="str">
        <f t="shared" si="8"/>
        <v>OK</v>
      </c>
      <c r="M64" s="3" t="str">
        <f t="shared" si="8"/>
        <v>OK</v>
      </c>
      <c r="N64" s="3"/>
      <c r="O64" s="3" t="str">
        <f>IF(O63&gt;=41,"OK","ATTENTION")</f>
        <v>OK</v>
      </c>
      <c r="P64" s="3" t="str">
        <f t="shared" si="8"/>
        <v>OK</v>
      </c>
      <c r="Q64" s="3" t="str">
        <f t="shared" si="8"/>
        <v>OK</v>
      </c>
      <c r="R64" s="3" t="str">
        <f t="shared" si="8"/>
        <v>OK</v>
      </c>
      <c r="S64" s="3" t="str">
        <f t="shared" si="8"/>
        <v>OK</v>
      </c>
      <c r="T64" s="3" t="str">
        <f t="shared" si="8"/>
        <v>OK</v>
      </c>
      <c r="U64" s="3" t="str">
        <f t="shared" si="8"/>
        <v>OK</v>
      </c>
      <c r="V64" s="3" t="str">
        <f t="shared" si="8"/>
        <v>OK</v>
      </c>
    </row>
    <row r="65" spans="1:22" s="31" customFormat="1" ht="27" thickBot="1" x14ac:dyDescent="0.3">
      <c r="A65" s="146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</row>
    <row r="66" spans="1:22" s="1" customFormat="1" x14ac:dyDescent="0.25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s="1" customForma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s="1" customForma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s="1" customFormat="1" ht="15.75" thickBot="1" x14ac:dyDescent="0.3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s="31" customFormat="1" ht="27" thickBot="1" x14ac:dyDescent="0.3">
      <c r="A70" s="146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</row>
    <row r="71" spans="1:22" ht="15.75" thickBot="1" x14ac:dyDescent="0.3"/>
    <row r="72" spans="1:22" s="31" customFormat="1" ht="27" thickBot="1" x14ac:dyDescent="0.3">
      <c r="A72" s="146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</row>
    <row r="73" spans="1:22" ht="15.75" thickBot="1" x14ac:dyDescent="0.3">
      <c r="J73" s="3">
        <v>1</v>
      </c>
      <c r="K73" s="3">
        <v>2</v>
      </c>
      <c r="L73" s="3">
        <v>3</v>
      </c>
      <c r="M73" s="3">
        <v>4</v>
      </c>
      <c r="R73" s="3">
        <v>1</v>
      </c>
      <c r="S73" s="3">
        <v>2</v>
      </c>
      <c r="T73" s="3">
        <v>3</v>
      </c>
      <c r="U73" s="3">
        <v>4</v>
      </c>
      <c r="V73" s="3">
        <v>5</v>
      </c>
    </row>
    <row r="74" spans="1:22" s="1" customFormat="1" x14ac:dyDescent="0.25">
      <c r="A74" s="28" t="s">
        <v>44</v>
      </c>
      <c r="B74" s="29" t="str">
        <f t="shared" ref="B74:M74" si="9">B4</f>
        <v>Solvent control</v>
      </c>
      <c r="C74" s="29" t="str">
        <f t="shared" si="9"/>
        <v>EE2-33.8ng/L</v>
      </c>
      <c r="D74" s="29" t="str">
        <f t="shared" si="9"/>
        <v>EE2-50.6ng/L</v>
      </c>
      <c r="E74" s="29" t="str">
        <f t="shared" si="9"/>
        <v>EE2-76ng/L</v>
      </c>
      <c r="F74" s="29" t="str">
        <f t="shared" si="9"/>
        <v>EE2-114ng/L</v>
      </c>
      <c r="G74" s="29" t="str">
        <f t="shared" si="9"/>
        <v>EE2-170.9ng/L</v>
      </c>
      <c r="H74" s="29" t="str">
        <f t="shared" si="9"/>
        <v>EE2-488ng/L</v>
      </c>
      <c r="I74" s="29" t="str">
        <f t="shared" si="9"/>
        <v>Chromolyn-0.1µg/L</v>
      </c>
      <c r="J74" s="29" t="str">
        <f t="shared" si="9"/>
        <v>Chromolyn-1µg/L</v>
      </c>
      <c r="K74" s="29" t="str">
        <f t="shared" si="9"/>
        <v>Chromolyn-10µg/L</v>
      </c>
      <c r="L74" s="29" t="str">
        <f t="shared" si="9"/>
        <v>Chromolyn-100µg/L</v>
      </c>
      <c r="M74" s="29" t="str">
        <f t="shared" si="9"/>
        <v>Chromolyn-1000µg/L</v>
      </c>
      <c r="N74" s="29"/>
      <c r="O74" s="29" t="str">
        <f t="shared" ref="O74:V74" si="10">O4</f>
        <v>Testo -30µg/L</v>
      </c>
      <c r="P74" s="29" t="str">
        <f t="shared" si="10"/>
        <v>Testo 30µg/L + EE2 -64ng/L</v>
      </c>
      <c r="Q74" s="29" t="str">
        <f t="shared" si="10"/>
        <v>Testo 30µg/L + FAD-10mg/L</v>
      </c>
      <c r="R74" s="29" t="str">
        <f t="shared" si="10"/>
        <v>Chromolyn-0.1µg/L + Testostérone</v>
      </c>
      <c r="S74" s="29" t="str">
        <f t="shared" si="10"/>
        <v>Chromolyn-1µg/L + Testostérone</v>
      </c>
      <c r="T74" s="29" t="str">
        <f t="shared" si="10"/>
        <v>Chromolyn-10µg/L + Testostérone</v>
      </c>
      <c r="U74" s="29" t="str">
        <f t="shared" si="10"/>
        <v>Chromolyn-100µg/L + Testostérone</v>
      </c>
      <c r="V74" s="29" t="str">
        <f t="shared" si="10"/>
        <v>Chromolyn-1000µg/L + Testostérone</v>
      </c>
    </row>
    <row r="75" spans="1:22" s="3" customFormat="1" x14ac:dyDescent="0.25">
      <c r="A75" s="44" t="s">
        <v>10</v>
      </c>
      <c r="B75" s="76">
        <f>B56</f>
        <v>8.1488278283146278E-3</v>
      </c>
      <c r="C75" s="76">
        <f t="shared" ref="C75:V75" si="11">C56</f>
        <v>8.1127588359810442E-3</v>
      </c>
      <c r="D75" s="76">
        <f t="shared" si="11"/>
        <v>4.669554827370407E-2</v>
      </c>
      <c r="E75" s="76">
        <f t="shared" si="11"/>
        <v>0.69094915644640265</v>
      </c>
      <c r="F75" s="76">
        <f t="shared" si="11"/>
        <v>0.80644678041348927</v>
      </c>
      <c r="G75" s="76">
        <f t="shared" si="11"/>
        <v>1.4967579872558998</v>
      </c>
      <c r="H75" s="76">
        <f t="shared" si="11"/>
        <v>2.1859309131698312</v>
      </c>
      <c r="I75" s="76">
        <f t="shared" si="11"/>
        <v>6.9716502395579085E-3</v>
      </c>
      <c r="J75" s="76">
        <f t="shared" si="11"/>
        <v>7.0830791972453337E-3</v>
      </c>
      <c r="K75" s="76">
        <f t="shared" si="11"/>
        <v>1.6523504271196015E-2</v>
      </c>
      <c r="L75" s="76">
        <f t="shared" si="11"/>
        <v>1.7251094367678809E-2</v>
      </c>
      <c r="M75" s="76">
        <f t="shared" si="11"/>
        <v>7.7254621906718392E-3</v>
      </c>
      <c r="N75" s="76"/>
      <c r="O75" s="76">
        <f t="shared" si="11"/>
        <v>0.99999999999999956</v>
      </c>
      <c r="P75" s="76">
        <f t="shared" si="11"/>
        <v>1.6259101767808855</v>
      </c>
      <c r="Q75" s="76">
        <f t="shared" si="11"/>
        <v>4.0341084865773404E-2</v>
      </c>
      <c r="R75" s="76">
        <f t="shared" si="11"/>
        <v>0.82073238038726004</v>
      </c>
      <c r="S75" s="76">
        <f t="shared" si="11"/>
        <v>0.84084422389398883</v>
      </c>
      <c r="T75" s="76">
        <f t="shared" si="11"/>
        <v>0.920307902075571</v>
      </c>
      <c r="U75" s="76">
        <f t="shared" si="11"/>
        <v>0.9145748617209003</v>
      </c>
      <c r="V75" s="76">
        <f t="shared" si="11"/>
        <v>0.76639687094171938</v>
      </c>
    </row>
    <row r="76" spans="1:22" s="3" customFormat="1" x14ac:dyDescent="0.25">
      <c r="A76" s="44" t="s">
        <v>2</v>
      </c>
      <c r="B76" s="76">
        <f>B58</f>
        <v>3.4992180268250232E-3</v>
      </c>
      <c r="C76" s="76">
        <f t="shared" ref="C76:V76" si="12">C58</f>
        <v>7.0417846658578382E-3</v>
      </c>
      <c r="D76" s="76">
        <f t="shared" si="12"/>
        <v>3.3947569260632041E-2</v>
      </c>
      <c r="E76" s="76">
        <f t="shared" si="12"/>
        <v>0.16698254685714525</v>
      </c>
      <c r="F76" s="76">
        <f t="shared" si="12"/>
        <v>0.13414620848159214</v>
      </c>
      <c r="G76" s="76">
        <f t="shared" si="12"/>
        <v>0.16022802803894592</v>
      </c>
      <c r="H76" s="76">
        <f t="shared" si="12"/>
        <v>0.15094647114070953</v>
      </c>
      <c r="I76" s="76">
        <f t="shared" si="12"/>
        <v>2.8940387529027868E-3</v>
      </c>
      <c r="J76" s="76">
        <f t="shared" si="12"/>
        <v>3.7309518712903399E-3</v>
      </c>
      <c r="K76" s="76">
        <f t="shared" si="12"/>
        <v>6.8086692885483023E-3</v>
      </c>
      <c r="L76" s="76">
        <f t="shared" si="12"/>
        <v>6.8996916707187179E-3</v>
      </c>
      <c r="M76" s="76">
        <f t="shared" si="12"/>
        <v>3.7188341421130564E-3</v>
      </c>
      <c r="N76" s="76"/>
      <c r="O76" s="76">
        <f t="shared" si="12"/>
        <v>7.1188285473737956E-2</v>
      </c>
      <c r="P76" s="76">
        <f t="shared" si="12"/>
        <v>9.7388567307768292E-2</v>
      </c>
      <c r="Q76" s="76">
        <f t="shared" si="12"/>
        <v>2.4303319814699815E-2</v>
      </c>
      <c r="R76" s="76">
        <f t="shared" si="12"/>
        <v>0.1112234465285849</v>
      </c>
      <c r="S76" s="76">
        <f t="shared" si="12"/>
        <v>0.12927706793349378</v>
      </c>
      <c r="T76" s="76">
        <f t="shared" si="12"/>
        <v>0.11176464333279998</v>
      </c>
      <c r="U76" s="76">
        <f t="shared" si="12"/>
        <v>0.10474327026068064</v>
      </c>
      <c r="V76" s="76">
        <f t="shared" si="12"/>
        <v>0.13854734695897608</v>
      </c>
    </row>
    <row r="77" spans="1:22" s="3" customFormat="1" x14ac:dyDescent="0.25">
      <c r="A77" s="44" t="s">
        <v>14</v>
      </c>
      <c r="B77" s="76">
        <f>(B75*100/$B$75)-100</f>
        <v>0</v>
      </c>
      <c r="C77" s="76">
        <f t="shared" ref="C77:M77" si="13">(C75*100/$B$75)-100</f>
        <v>-0.44262798396911762</v>
      </c>
      <c r="D77" s="76">
        <f t="shared" si="13"/>
        <v>473.03392902046164</v>
      </c>
      <c r="E77" s="76">
        <f t="shared" si="13"/>
        <v>8379.1232678345532</v>
      </c>
      <c r="F77" s="76">
        <f t="shared" si="13"/>
        <v>9796.4758785470822</v>
      </c>
      <c r="G77" s="76">
        <f t="shared" si="13"/>
        <v>18267.770417913776</v>
      </c>
      <c r="H77" s="76">
        <f t="shared" si="13"/>
        <v>26725.096311084217</v>
      </c>
      <c r="I77" s="76">
        <f t="shared" si="13"/>
        <v>-14.445974483181445</v>
      </c>
      <c r="J77" s="76">
        <f t="shared" si="13"/>
        <v>-13.078551339201837</v>
      </c>
      <c r="K77" s="76">
        <f t="shared" si="13"/>
        <v>102.77154726207377</v>
      </c>
      <c r="L77" s="76">
        <f t="shared" si="13"/>
        <v>111.70031728657528</v>
      </c>
      <c r="M77" s="76">
        <f t="shared" si="13"/>
        <v>-5.195417630149521</v>
      </c>
      <c r="N77" s="76"/>
      <c r="O77" s="76">
        <f>(O75*100/$O$75)-100</f>
        <v>0</v>
      </c>
      <c r="P77" s="76">
        <f t="shared" ref="P77:V77" si="14">(P75*100/$O$75)-100</f>
        <v>62.591017678088633</v>
      </c>
      <c r="Q77" s="76">
        <f t="shared" si="14"/>
        <v>-95.965891513422662</v>
      </c>
      <c r="R77" s="76">
        <f t="shared" si="14"/>
        <v>-17.926761961273954</v>
      </c>
      <c r="S77" s="76">
        <f t="shared" si="14"/>
        <v>-15.915577610601076</v>
      </c>
      <c r="T77" s="76">
        <f t="shared" si="14"/>
        <v>-7.9692097924428538</v>
      </c>
      <c r="U77" s="76">
        <f t="shared" si="14"/>
        <v>-8.5425138279099286</v>
      </c>
      <c r="V77" s="76">
        <f t="shared" si="14"/>
        <v>-23.360312905828039</v>
      </c>
    </row>
    <row r="78" spans="1:22" s="3" customFormat="1" x14ac:dyDescent="0.25">
      <c r="A78" s="44" t="s">
        <v>37</v>
      </c>
      <c r="B78" s="76">
        <f>[1]!DPTEST(B6:B53)</f>
        <v>4.1901223336471283E-5</v>
      </c>
      <c r="C78" s="76">
        <f>[1]!DPTEST(C6:C53)</f>
        <v>6.0783755806426143E-10</v>
      </c>
      <c r="D78" s="76">
        <f>[1]!DPTEST(D6:D53)</f>
        <v>2.1649348980190553E-13</v>
      </c>
      <c r="E78" s="76">
        <f>[1]!DPTEST(E6:E53)</f>
        <v>2.349517907958909E-2</v>
      </c>
      <c r="F78" s="76">
        <f>[1]!DPTEST(F6:F53)</f>
        <v>4.3064761664864948E-3</v>
      </c>
      <c r="G78" s="76">
        <f>[1]!DPTEST(G6:G53)</f>
        <v>0.32518671291909906</v>
      </c>
      <c r="H78" s="76">
        <f>[1]!DPTEST(H6:H53)</f>
        <v>0.70514969114206905</v>
      </c>
      <c r="I78" s="76">
        <f>[1]!DPTEST(I6:I53)</f>
        <v>3.4579093366460256E-8</v>
      </c>
      <c r="J78" s="76">
        <f>[1]!DPTEST(J6:J53)</f>
        <v>7.5714168268348203E-10</v>
      </c>
      <c r="K78" s="76">
        <f>[1]!DPTEST(K6:K53)</f>
        <v>2.7284008385919378E-9</v>
      </c>
      <c r="L78" s="76">
        <f>[1]!DPTEST(L6:L53)</f>
        <v>7.2090145808334505E-5</v>
      </c>
      <c r="M78" s="76">
        <f>[1]!DPTEST(M6:M53)</f>
        <v>6.5377689817402995E-8</v>
      </c>
      <c r="N78" s="76"/>
      <c r="O78" s="76">
        <f>[1]!DPTEST(O6:O53)</f>
        <v>0.91769575342958387</v>
      </c>
      <c r="P78" s="76">
        <f>[1]!DPTEST(P6:P53)</f>
        <v>0.62251042866443607</v>
      </c>
      <c r="Q78" s="76">
        <f>[1]!DPTEST(Q6:Q53)</f>
        <v>1.081912337497215E-12</v>
      </c>
      <c r="R78" s="76">
        <f>[1]!DPTEST(R6:R53)</f>
        <v>8.9348178709959036E-2</v>
      </c>
      <c r="S78" s="76">
        <f>[1]!DPTEST(S6:S53)</f>
        <v>5.1377513417650622E-2</v>
      </c>
      <c r="T78" s="76">
        <f>[1]!DPTEST(T6:T53)</f>
        <v>0.20298054093289086</v>
      </c>
      <c r="U78" s="76">
        <f>[1]!DPTEST(U6:U53)</f>
        <v>0.91272711131813755</v>
      </c>
      <c r="V78" s="76">
        <f>[1]!DPTEST(V6:V53)</f>
        <v>0.19518063995521673</v>
      </c>
    </row>
    <row r="79" spans="1:22" s="3" customFormat="1" x14ac:dyDescent="0.25">
      <c r="A79" s="44" t="s">
        <v>38</v>
      </c>
      <c r="B79" s="76" t="str">
        <f>IF(B78&gt;0.05,"Oui","Non")</f>
        <v>Non</v>
      </c>
      <c r="C79" s="76" t="str">
        <f t="shared" ref="C79:V79" si="15">IF(C78&gt;0.05,"Oui","Non")</f>
        <v>Non</v>
      </c>
      <c r="D79" s="76" t="str">
        <f t="shared" si="15"/>
        <v>Non</v>
      </c>
      <c r="E79" s="76" t="str">
        <f t="shared" si="15"/>
        <v>Non</v>
      </c>
      <c r="F79" s="76" t="str">
        <f t="shared" si="15"/>
        <v>Non</v>
      </c>
      <c r="G79" s="76" t="str">
        <f t="shared" si="15"/>
        <v>Oui</v>
      </c>
      <c r="H79" s="76" t="str">
        <f t="shared" si="15"/>
        <v>Oui</v>
      </c>
      <c r="I79" s="76" t="str">
        <f t="shared" si="15"/>
        <v>Non</v>
      </c>
      <c r="J79" s="76" t="str">
        <f t="shared" si="15"/>
        <v>Non</v>
      </c>
      <c r="K79" s="76" t="str">
        <f t="shared" si="15"/>
        <v>Non</v>
      </c>
      <c r="L79" s="76" t="str">
        <f t="shared" si="15"/>
        <v>Non</v>
      </c>
      <c r="M79" s="76" t="str">
        <f t="shared" si="15"/>
        <v>Non</v>
      </c>
      <c r="N79" s="76"/>
      <c r="O79" s="76" t="str">
        <f t="shared" si="15"/>
        <v>Oui</v>
      </c>
      <c r="P79" s="76" t="str">
        <f t="shared" si="15"/>
        <v>Oui</v>
      </c>
      <c r="Q79" s="76" t="str">
        <f t="shared" si="15"/>
        <v>Non</v>
      </c>
      <c r="R79" s="76" t="str">
        <f t="shared" si="15"/>
        <v>Oui</v>
      </c>
      <c r="S79" s="76" t="str">
        <f t="shared" si="15"/>
        <v>Oui</v>
      </c>
      <c r="T79" s="76" t="str">
        <f t="shared" si="15"/>
        <v>Oui</v>
      </c>
      <c r="U79" s="76" t="str">
        <f t="shared" si="15"/>
        <v>Oui</v>
      </c>
      <c r="V79" s="76" t="str">
        <f t="shared" si="15"/>
        <v>Oui</v>
      </c>
    </row>
    <row r="80" spans="1:22" s="3" customFormat="1" x14ac:dyDescent="0.25">
      <c r="A80" s="44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</row>
    <row r="81" spans="1:22" s="3" customFormat="1" x14ac:dyDescent="0.25">
      <c r="A81" s="44" t="s">
        <v>39</v>
      </c>
      <c r="B81" s="76"/>
      <c r="C81" s="76" t="str">
        <f t="shared" ref="C81:I81" si="16">IF($B79="Non",IF(C79="Non","Mann Withney",IF(C79="Oui","Mann Withney","")),IF($B79="Oui",IF(C79="Oui","T-Test Welch",IF(C79="Non","Mann Withney",""))))</f>
        <v>Mann Withney</v>
      </c>
      <c r="D81" s="76" t="str">
        <f t="shared" si="16"/>
        <v>Mann Withney</v>
      </c>
      <c r="E81" s="76" t="str">
        <f t="shared" si="16"/>
        <v>Mann Withney</v>
      </c>
      <c r="F81" s="76" t="str">
        <f t="shared" si="16"/>
        <v>Mann Withney</v>
      </c>
      <c r="G81" s="76" t="str">
        <f t="shared" si="16"/>
        <v>Mann Withney</v>
      </c>
      <c r="H81" s="76" t="str">
        <f t="shared" si="16"/>
        <v>Mann Withney</v>
      </c>
      <c r="I81" s="76" t="str">
        <f t="shared" si="16"/>
        <v>Mann Withney</v>
      </c>
      <c r="J81" s="76" t="str">
        <f t="shared" ref="J81:M81" si="17">IF($B79="Non",IF(J79="Non","Mann Withney",IF(J79="Oui","Mann Withney","")),IF($B79="Oui",IF(J79="Oui","T-Test Welch",IF(J79="Non","Mann Withney",""))))</f>
        <v>Mann Withney</v>
      </c>
      <c r="K81" s="76" t="str">
        <f t="shared" si="17"/>
        <v>Mann Withney</v>
      </c>
      <c r="L81" s="76" t="str">
        <f t="shared" si="17"/>
        <v>Mann Withney</v>
      </c>
      <c r="M81" s="76" t="str">
        <f t="shared" si="17"/>
        <v>Mann Withney</v>
      </c>
      <c r="N81" s="76"/>
      <c r="O81" s="76" t="str">
        <f>IF($B79="Non",IF(O79="Non","Mann Withney",IF(O79="Oui","Mann Withney","")),IF($B79="Oui",IF(O79="Oui","T-Test Welch",IF(O79="Non","Mann Withney",""))))</f>
        <v>Mann Withney</v>
      </c>
      <c r="P81" s="76" t="str">
        <f t="shared" ref="P81:Q81" si="18">IF($O79="Non",IF(P79="Non","Mann Withney",IF(P$79="Oui","Mann Withney","")),IF($O79="Oui",IF(P79="Oui","T-Test Welch",IF(P79="Non","Mann Withney",""))))</f>
        <v>T-Test Welch</v>
      </c>
      <c r="Q81" s="76" t="str">
        <f t="shared" si="18"/>
        <v>Mann Withney</v>
      </c>
      <c r="R81" s="76" t="str">
        <f t="shared" ref="R81:V81" si="19">IF($O79="Non",IF(R79="Non","Mann Withney",IF(R$79="Oui","Mann Withney","")),IF($O79="Oui",IF(R79="Oui","T-Test Welch",IF(R79="Non","Mann Withney",""))))</f>
        <v>T-Test Welch</v>
      </c>
      <c r="S81" s="76" t="str">
        <f t="shared" si="19"/>
        <v>T-Test Welch</v>
      </c>
      <c r="T81" s="76" t="str">
        <f t="shared" si="19"/>
        <v>T-Test Welch</v>
      </c>
      <c r="U81" s="76" t="str">
        <f t="shared" si="19"/>
        <v>T-Test Welch</v>
      </c>
      <c r="V81" s="76" t="str">
        <f t="shared" si="19"/>
        <v>T-Test Welch</v>
      </c>
    </row>
    <row r="82" spans="1:22" s="3" customFormat="1" x14ac:dyDescent="0.25">
      <c r="A82" s="44" t="s">
        <v>40</v>
      </c>
      <c r="B82" s="76"/>
      <c r="C82" s="76">
        <f>IF(C81="Mann Withney",[1]!MTEST($B6:$B53,C6:C53,2), IF(C81="T-Test Welch",_xlfn.T.TEST($B6:$B53,C6:C53,2,3),""))</f>
        <v>0.68892504996446702</v>
      </c>
      <c r="D82" s="76">
        <f>IF(D81="Mann Withney",[1]!MTEST($B6:$B53,D6:D53,2), IF(D81="T-Test Welch",_xlfn.T.TEST($B6:$B53,D6:D53,2,3),""))</f>
        <v>0.12449813614092808</v>
      </c>
      <c r="E82" s="76">
        <f>IF(E81="Mann Withney",[1]!MTEST($B6:$B53,E6:E53,2), IF(E81="T-Test Welch",_xlfn.T.TEST($B6:$B53,E6:E53,2,3),""))</f>
        <v>1.5502078583888856E-3</v>
      </c>
      <c r="F82" s="76">
        <f>IF(F81="Mann Withney",[1]!MTEST($B6:$B53,F6:F53,2), IF(F81="T-Test Welch",_xlfn.T.TEST($B6:$B53,F6:F53,2,3),""))</f>
        <v>2.4597202830101139E-7</v>
      </c>
      <c r="G82" s="76">
        <f>IF(G81="Mann Withney",[1]!MTEST($B6:$B53,G6:G53,2), IF(G81="T-Test Welch",_xlfn.T.TEST($B6:$B53,G6:G53,2,3),""))</f>
        <v>4.7420156690236581E-9</v>
      </c>
      <c r="H82" s="76">
        <f>IF(H81="Mann Withney",[1]!MTEST($B6:$B53,H6:H53,2), IF(H81="T-Test Welch",_xlfn.T.TEST($B6:$B53,H6:H53,2,3),""))</f>
        <v>2.877119875677181E-9</v>
      </c>
      <c r="I82" s="76">
        <f>IF(I81="Mann Withney",[1]!MTEST($B6:$B53,I6:I53,2), IF(I81="T-Test Welch",_xlfn.T.TEST($B6:$B53,I6:I53,2,3),""))</f>
        <v>0.42727890617197617</v>
      </c>
      <c r="J82" s="76">
        <f>IF(J81="Mann Withney",[1]!MTEST($B6:$B53,J6:J53,2), IF(J81="T-Test Welch",_xlfn.T.TEST($B6:$B53,J6:J53,2,3),""))</f>
        <v>0.63532021112002623</v>
      </c>
      <c r="K82" s="76">
        <f>IF(K81="Mann Withney",[1]!MTEST($B6:$B53,K6:K53,2), IF(K81="T-Test Welch",_xlfn.T.TEST($B6:$B53,K6:K53,2,3),""))</f>
        <v>0.24821307898992351</v>
      </c>
      <c r="L82" s="76">
        <f>IF(L81="Mann Withney",[1]!MTEST($B6:$B53,L6:L53,2), IF(L81="T-Test Welch",_xlfn.T.TEST($B6:$B53,L6:L53,2,3),""))</f>
        <v>0.26996141949978858</v>
      </c>
      <c r="M82" s="76">
        <f>IF(M81="Mann Withney",[1]!MTEST($B6:$B53,M6:M53,2), IF(M81="T-Test Welch",_xlfn.T.TEST($B6:$B53,M6:M53,2,3),""))</f>
        <v>0.90970702731657371</v>
      </c>
      <c r="N82" s="76"/>
      <c r="O82" s="76">
        <f>IF(O81="Mann Withney",[1]!MTEST($B6:$B37,O6:O53,2), IF(O81="T-Test Welch",_xlfn.T.TEST($B6:$B37,O6:O53,2,3),""))</f>
        <v>2.3836660201226323E-8</v>
      </c>
      <c r="P82" s="76">
        <f>IF(P81="Mann Withney",[1]!MTEST($O6:$O53,P6:P53,2), IF(P81="T-Test Welch",_xlfn.T.TEST($O6:$O53,P6:P53,2,3),""))</f>
        <v>4.3281898129044476E-6</v>
      </c>
      <c r="Q82" s="76">
        <f>IF(Q81="Mann Withney",[1]!MTEST($O6:$O53,Q6:Q53,2), IF(Q81="T-Test Welch",_xlfn.T.TEST($O6:$O53,Q6:Q53,2,3),""))</f>
        <v>2.4342750037931182E-10</v>
      </c>
      <c r="R82" s="76">
        <f>IF(R81="Mann Withney",[1]!MTEST($O6:$O53,R6:R53,2), IF(R81="T-Test Welch",_xlfn.T.TEST($O6:$O53,R6:R53,2,3),""))</f>
        <v>0.18182374034894258</v>
      </c>
      <c r="S82" s="76">
        <f>IF(S81="Mann Withney",[1]!MTEST($O6:$O53,S6:S53,2), IF(S81="T-Test Welch",_xlfn.T.TEST($O6:$O53,S6:S53,2,3),""))</f>
        <v>0.2877538201883485</v>
      </c>
      <c r="T82" s="76">
        <f>IF(T81="Mann Withney",[1]!MTEST($O6:$O53,T6:T53,2), IF(T81="T-Test Welch",_xlfn.T.TEST($O6:$O53,T6:T53,2,3),""))</f>
        <v>0.55080089249137987</v>
      </c>
      <c r="U82" s="76">
        <f>IF(U81="Mann Withney",[1]!MTEST($O6:$O53,U6:U53,2), IF(U81="T-Test Welch",_xlfn.T.TEST($O6:$O53,U6:U53,2,3),""))</f>
        <v>0.50346633276543007</v>
      </c>
      <c r="V82" s="76">
        <f>IF(V81="Mann Withney",[1]!MTEST($O6:$O53,V6:V53,2), IF(V81="T-Test Welch",_xlfn.T.TEST($O6:$O53,V6:V53,2,3),""))</f>
        <v>0.14252427159248354</v>
      </c>
    </row>
    <row r="83" spans="1:22" s="3" customFormat="1" ht="15.75" thickBot="1" x14ac:dyDescent="0.3">
      <c r="A83" s="45" t="s">
        <v>15</v>
      </c>
      <c r="B83" s="77"/>
      <c r="C83" s="77" t="str">
        <f t="shared" ref="C83:I83" si="20">IF(C82&gt;0.05,"NS",IF(C82&gt;0.01,"*",IF(C82&gt;0.001,"**","***")))</f>
        <v>NS</v>
      </c>
      <c r="D83" s="77" t="str">
        <f t="shared" si="20"/>
        <v>NS</v>
      </c>
      <c r="E83" s="77" t="str">
        <f t="shared" si="20"/>
        <v>**</v>
      </c>
      <c r="F83" s="77" t="str">
        <f t="shared" si="20"/>
        <v>***</v>
      </c>
      <c r="G83" s="77" t="str">
        <f t="shared" si="20"/>
        <v>***</v>
      </c>
      <c r="H83" s="77" t="str">
        <f t="shared" si="20"/>
        <v>***</v>
      </c>
      <c r="I83" s="77" t="str">
        <f t="shared" si="20"/>
        <v>NS</v>
      </c>
      <c r="J83" s="77" t="str">
        <f t="shared" ref="J83:O83" si="21">IF(J82&gt;0.05,"NS",IF(J82&gt;0.01,"*",IF(J82&gt;0.001,"**","***")))</f>
        <v>NS</v>
      </c>
      <c r="K83" s="77" t="str">
        <f t="shared" si="21"/>
        <v>NS</v>
      </c>
      <c r="L83" s="77" t="str">
        <f t="shared" si="21"/>
        <v>NS</v>
      </c>
      <c r="M83" s="77" t="str">
        <f t="shared" si="21"/>
        <v>NS</v>
      </c>
      <c r="N83" s="77"/>
      <c r="O83" s="77" t="str">
        <f t="shared" si="21"/>
        <v>***</v>
      </c>
      <c r="P83" s="77" t="str">
        <f t="shared" ref="P83" si="22">IF(P82&gt;0.05,"NS",IF(P82&gt;0.01,"*",IF(P82&gt;0.001,"**","***")))</f>
        <v>***</v>
      </c>
      <c r="Q83" s="77" t="str">
        <f t="shared" ref="Q83" si="23">IF(Q82&gt;0.05,"NS",IF(Q82&gt;0.01,"*",IF(Q82&gt;0.001,"**","***")))</f>
        <v>***</v>
      </c>
      <c r="R83" s="77" t="str">
        <f t="shared" ref="R83:V83" si="24">IF(R82&gt;0.05,"NS",IF(R82&gt;0.01,"*",IF(R82&gt;0.001,"**","***")))</f>
        <v>NS</v>
      </c>
      <c r="S83" s="77" t="str">
        <f t="shared" si="24"/>
        <v>NS</v>
      </c>
      <c r="T83" s="77" t="str">
        <f t="shared" si="24"/>
        <v>NS</v>
      </c>
      <c r="U83" s="77" t="str">
        <f t="shared" si="24"/>
        <v>NS</v>
      </c>
      <c r="V83" s="77" t="str">
        <f t="shared" si="24"/>
        <v>NS</v>
      </c>
    </row>
    <row r="84" spans="1:22" s="1" customFormat="1" x14ac:dyDescent="0.25"/>
    <row r="85" spans="1:22" s="1" customFormat="1" x14ac:dyDescent="0.25">
      <c r="A85" s="2"/>
    </row>
    <row r="86" spans="1:22" x14ac:dyDescent="0.25">
      <c r="A86" s="1"/>
      <c r="B86" s="1"/>
    </row>
    <row r="87" spans="1:22" x14ac:dyDescent="0.25">
      <c r="A87" s="1"/>
      <c r="B87" s="1"/>
    </row>
    <row r="88" spans="1:22" ht="15.75" thickBot="1" x14ac:dyDescent="0.3"/>
    <row r="89" spans="1:22" s="31" customFormat="1" ht="27" thickBot="1" x14ac:dyDescent="0.3">
      <c r="A89" s="32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</row>
    <row r="90" spans="1:22" ht="15.75" thickBot="1" x14ac:dyDescent="0.3"/>
    <row r="91" spans="1:22" s="31" customFormat="1" ht="27" thickBot="1" x14ac:dyDescent="0.3">
      <c r="A91" s="32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</row>
    <row r="92" spans="1:22" ht="15.75" thickBot="1" x14ac:dyDescent="0.3"/>
    <row r="93" spans="1:22" s="31" customFormat="1" ht="27" thickBot="1" x14ac:dyDescent="0.3">
      <c r="A93" s="146"/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</row>
  </sheetData>
  <mergeCells count="10">
    <mergeCell ref="A7:A21"/>
    <mergeCell ref="A23:A37"/>
    <mergeCell ref="A93:V93"/>
    <mergeCell ref="O3:V3"/>
    <mergeCell ref="B3:M3"/>
    <mergeCell ref="A60:V60"/>
    <mergeCell ref="A72:V72"/>
    <mergeCell ref="A70:V70"/>
    <mergeCell ref="A65:V65"/>
    <mergeCell ref="A39:A53"/>
  </mergeCells>
  <pageMargins left="0.7" right="0.7" top="0.75" bottom="0.75" header="0.3" footer="0.3"/>
  <pageSetup paperSize="9" orientation="portrait" r:id="rId1"/>
  <headerFooter>
    <oddHeader>&amp;C&amp;"-,Gras"&amp;14Données poolées normalisées&amp;R&amp;"-,Gras"&amp;14Page : &amp;P/&amp;P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C436BD700BD428C1C0C71E54D8B5E" ma:contentTypeVersion="18" ma:contentTypeDescription="Create a new document." ma:contentTypeScope="" ma:versionID="782111b43a65dadfbc410eb6ccb7aa06">
  <xsd:schema xmlns:xsd="http://www.w3.org/2001/XMLSchema" xmlns:xs="http://www.w3.org/2001/XMLSchema" xmlns:p="http://schemas.microsoft.com/office/2006/metadata/properties" xmlns:ns2="cc801401-75a6-4297-ad63-d4d786ff6e7c" xmlns:ns3="508cc0b8-c8e1-4e41-95d2-be8416ed53ba" targetNamespace="http://schemas.microsoft.com/office/2006/metadata/properties" ma:root="true" ma:fieldsID="7f493af8791a6264672b29a70f2a6765" ns2:_="" ns3:_="">
    <xsd:import namespace="cc801401-75a6-4297-ad63-d4d786ff6e7c"/>
    <xsd:import namespace="508cc0b8-c8e1-4e41-95d2-be8416ed53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01401-75a6-4297-ad63-d4d786ff6e7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5" nillable="true" ma:displayName="Taxonomy Catch All Column" ma:hidden="true" ma:list="2e281972-ae1b-43a4-854f-cb1565a95e46" ma:internalName="TaxCatchAll" ma:showField="CatchAllData" ma:web="cc801401-75a6-4297-ad63-d4d786ff6e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8cc0b8-c8e1-4e41-95d2-be8416ed5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4f2cd92-8d93-4e4c-83d3-86703d9155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63B09F-805F-4CF5-A477-D772F35577F5}"/>
</file>

<file path=customXml/itemProps2.xml><?xml version="1.0" encoding="utf-8"?>
<ds:datastoreItem xmlns:ds="http://schemas.openxmlformats.org/officeDocument/2006/customXml" ds:itemID="{25800F13-E260-4C9F-B3D3-FFE21A9BE7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5</vt:i4>
      </vt:variant>
      <vt:variant>
        <vt:lpstr>Charts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Front page</vt:lpstr>
      <vt:lpstr>R1</vt:lpstr>
      <vt:lpstr>R2</vt:lpstr>
      <vt:lpstr>R3</vt:lpstr>
      <vt:lpstr>pooled normalised values</vt:lpstr>
      <vt:lpstr>Graph R1</vt:lpstr>
      <vt:lpstr>Graph R2</vt:lpstr>
      <vt:lpstr>Graph R3</vt:lpstr>
      <vt:lpstr>pooled normalised graphe</vt:lpstr>
      <vt:lpstr>'Front page'!Print_Area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2021-10-05T11:00:23Z</dcterms:modified>
</cp:coreProperties>
</file>