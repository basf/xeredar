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2C055AEB-169C-4148-B930-798D878D5A81}"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24" r:id="rId20"/>
    <pivotCache cacheId="25" r:id="rId21"/>
    <pivotCache cacheId="26" r:id="rId22"/>
    <pivotCache cacheId="27"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U32" i="33"/>
  <c r="U42" i="4" s="1"/>
  <c r="P31" i="33"/>
  <c r="P41"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E30" i="33" l="1"/>
  <c r="E40" i="4" s="1"/>
  <c r="F33" i="33"/>
  <c r="F43" i="4" s="1"/>
  <c r="M35" i="33"/>
  <c r="M45" i="4" s="1"/>
  <c r="G31" i="33"/>
  <c r="G41" i="4" s="1"/>
  <c r="O30" i="33"/>
  <c r="O40" i="4" s="1"/>
  <c r="P29" i="33"/>
  <c r="P39" i="4" s="1"/>
  <c r="T28" i="33"/>
  <c r="T38" i="4" s="1"/>
  <c r="R31" i="33"/>
  <c r="R41" i="4" s="1"/>
  <c r="S30" i="33"/>
  <c r="S40" i="4" s="1"/>
  <c r="V31" i="33"/>
  <c r="V41" i="4" s="1"/>
  <c r="S33" i="33"/>
  <c r="S43" i="4" s="1"/>
  <c r="P35" i="33"/>
  <c r="P45" i="4" s="1"/>
  <c r="T29" i="33"/>
  <c r="T39" i="4" s="1"/>
  <c r="S32" i="33"/>
  <c r="S42" i="4" s="1"/>
  <c r="P34" i="33"/>
  <c r="P44" i="4" s="1"/>
  <c r="T35" i="33"/>
  <c r="T45" i="4" s="1"/>
  <c r="P28" i="33"/>
  <c r="T34" i="33"/>
  <c r="T44" i="4" s="1"/>
  <c r="Q28" i="33"/>
  <c r="U28" i="33"/>
  <c r="U38" i="4" s="1"/>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V38" i="4" s="1"/>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R38" i="4"/>
  <c r="B22" i="33"/>
  <c r="E22" i="33"/>
  <c r="I45" i="33"/>
  <c r="I52" i="33"/>
  <c r="I27" i="33"/>
  <c r="P38" i="4"/>
  <c r="B27" i="33"/>
  <c r="B52" i="33" s="1"/>
  <c r="Q38" i="4"/>
  <c r="D27" i="33"/>
  <c r="D52" i="33" s="1"/>
  <c r="I22" i="33"/>
  <c r="E27" i="33"/>
  <c r="E52" i="33" s="1"/>
  <c r="S38" i="4"/>
  <c r="D45" i="33"/>
  <c r="F22" i="33"/>
  <c r="B46" i="33"/>
  <c r="F45" i="33"/>
  <c r="G22" i="33"/>
  <c r="G27" i="33"/>
  <c r="G52" i="33" s="1"/>
  <c r="C22" i="33"/>
  <c r="C27" i="33"/>
  <c r="C52" i="33" s="1"/>
  <c r="H27" i="33"/>
  <c r="H52" i="33" s="1"/>
  <c r="H45" i="33"/>
  <c r="J56" i="33"/>
  <c r="V56" i="33"/>
  <c r="O56" i="33"/>
  <c r="D56" i="33"/>
  <c r="I56" i="33"/>
  <c r="E56" i="33"/>
  <c r="R56" i="33"/>
  <c r="P56" i="33"/>
  <c r="U56" i="33"/>
  <c r="Q56" i="33"/>
  <c r="G56" i="33"/>
  <c r="F56" i="33"/>
  <c r="K56" i="33"/>
  <c r="H56" i="33"/>
  <c r="T56" i="33"/>
  <c r="M56" i="33"/>
  <c r="B56" i="33"/>
  <c r="L56" i="33"/>
  <c r="C56" i="33"/>
  <c r="S56" i="33"/>
  <c r="S47" i="33" l="1"/>
  <c r="S48" i="33" s="1"/>
  <c r="S54" i="33" s="1"/>
  <c r="U47" i="33"/>
  <c r="U48" i="33" s="1"/>
  <c r="U54" i="33" s="1"/>
  <c r="J46" i="33"/>
  <c r="J53" i="33" s="1"/>
  <c r="V46" i="33"/>
  <c r="V53" i="33" s="1"/>
  <c r="E47" i="33"/>
  <c r="E48" i="33" s="1"/>
  <c r="E54" i="33" s="1"/>
  <c r="T46" i="33"/>
  <c r="T53" i="33" s="1"/>
  <c r="R46" i="33"/>
  <c r="R53" i="33" s="1"/>
  <c r="D47" i="33"/>
  <c r="P47" i="33"/>
  <c r="P48" i="33" s="1"/>
  <c r="P54" i="33" s="1"/>
  <c r="M47" i="33"/>
  <c r="M48" i="33" s="1"/>
  <c r="M54" i="33" s="1"/>
  <c r="G46" i="33"/>
  <c r="G53" i="33" s="1"/>
  <c r="L47" i="33"/>
  <c r="L48" i="33" s="1"/>
  <c r="L54" i="33" s="1"/>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J47" i="33"/>
  <c r="J48" i="33" s="1"/>
  <c r="J54" i="33" s="1"/>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P59" i="33" s="1"/>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K38" i="4"/>
  <c r="I42" i="4"/>
  <c r="K47" i="33"/>
  <c r="K48" i="33" s="1"/>
  <c r="K54" i="33" s="1"/>
  <c r="E42" i="4"/>
  <c r="B53" i="33"/>
  <c r="V55" i="33" l="1"/>
  <c r="R55" i="33"/>
  <c r="S55" i="33"/>
  <c r="P55" i="33"/>
  <c r="M55" i="33"/>
  <c r="R59" i="33"/>
  <c r="R60" i="33" s="1"/>
  <c r="R61" i="33" s="1"/>
  <c r="T59" i="33"/>
  <c r="T60" i="33" s="1"/>
  <c r="T61" i="33" s="1"/>
  <c r="V59" i="33"/>
  <c r="T55" i="33"/>
  <c r="Q55" i="33"/>
  <c r="Q59" i="33"/>
  <c r="M59" i="33"/>
  <c r="M60" i="33" s="1"/>
  <c r="M61" i="33" s="1"/>
  <c r="S59" i="33"/>
  <c r="U59" i="33"/>
  <c r="U60" i="33" s="1"/>
  <c r="U61" i="33" s="1"/>
  <c r="K59" i="33"/>
  <c r="B64" i="33"/>
  <c r="F59" i="33"/>
  <c r="F60" i="33" s="1"/>
  <c r="F61" i="33" s="1"/>
  <c r="B65" i="33"/>
  <c r="I59" i="33"/>
  <c r="I60" i="33" s="1"/>
  <c r="I61" i="33" s="1"/>
  <c r="E59" i="33"/>
  <c r="H59" i="33"/>
  <c r="H60" i="33" s="1"/>
  <c r="H61" i="33" s="1"/>
  <c r="J59" i="33"/>
  <c r="J60" i="33" s="1"/>
  <c r="J61" i="33" s="1"/>
  <c r="L59" i="33"/>
  <c r="L60" i="33" s="1"/>
  <c r="L61" i="33" s="1"/>
  <c r="D59" i="33"/>
  <c r="D60" i="33" s="1"/>
  <c r="D61" i="33" s="1"/>
  <c r="O59" i="33"/>
  <c r="O60" i="33" s="1"/>
  <c r="O61" i="33" s="1"/>
  <c r="C59" i="33"/>
  <c r="C60" i="33" s="1"/>
  <c r="C61" i="33" s="1"/>
  <c r="G59" i="33"/>
  <c r="G60" i="33" s="1"/>
  <c r="G61" i="33" s="1"/>
  <c r="V60" i="33"/>
  <c r="V61" i="33" s="1"/>
  <c r="P60" i="33"/>
  <c r="P61" i="33" s="1"/>
  <c r="K60" i="33"/>
  <c r="K61" i="33" s="1"/>
  <c r="D55" i="33"/>
  <c r="B55" i="33"/>
  <c r="K55" i="33"/>
  <c r="L55" i="33"/>
  <c r="G55" i="33"/>
  <c r="F55" i="33"/>
  <c r="C55" i="33"/>
  <c r="J55" i="33"/>
  <c r="H55" i="33"/>
  <c r="I55" i="33"/>
  <c r="E55" i="33"/>
  <c r="S60" i="33"/>
  <c r="Q60" i="33"/>
  <c r="E60" i="33"/>
  <c r="Q61" i="33" l="1"/>
  <c r="E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H29" i="23"/>
  <c r="H23"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O9" i="12" l="1"/>
  <c r="O10" i="12" s="1"/>
  <c r="O41" i="23"/>
  <c r="O35" i="4" s="1"/>
  <c r="G29" i="23"/>
  <c r="G23" i="4" s="1"/>
  <c r="G34" i="23"/>
  <c r="G28" i="4" s="1"/>
  <c r="J29" i="23"/>
  <c r="J23" i="4" s="1"/>
  <c r="L30" i="23"/>
  <c r="L24" i="4" s="1"/>
  <c r="M28" i="23"/>
  <c r="T35" i="23"/>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P46" i="23" s="1"/>
  <c r="P53" i="23" s="1"/>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H22" i="4" s="1"/>
  <c r="I28" i="23"/>
  <c r="I22" i="4" s="1"/>
  <c r="D33" i="23"/>
  <c r="D27" i="4" s="1"/>
  <c r="H35" i="23"/>
  <c r="H29" i="4" s="1"/>
  <c r="J30" i="23"/>
  <c r="J24" i="4" s="1"/>
  <c r="F34" i="23"/>
  <c r="F28" i="4" s="1"/>
  <c r="F28" i="23"/>
  <c r="G31" i="23"/>
  <c r="G25" i="4" s="1"/>
  <c r="C35" i="23"/>
  <c r="C29" i="4" s="1"/>
  <c r="K31" i="23"/>
  <c r="K25" i="4" s="1"/>
  <c r="M30" i="23"/>
  <c r="M24" i="4" s="1"/>
  <c r="O43" i="23"/>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L22" i="4" s="1"/>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O43" i="1"/>
  <c r="O21" i="4" s="1"/>
  <c r="Q28" i="1"/>
  <c r="Q6" i="4" s="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7" i="4" s="1"/>
  <c r="E30" i="1"/>
  <c r="E8" i="4" s="1"/>
  <c r="E35" i="1"/>
  <c r="E13" i="4" s="1"/>
  <c r="E33" i="1"/>
  <c r="E11" i="4" s="1"/>
  <c r="G35" i="1"/>
  <c r="G13" i="4" s="1"/>
  <c r="O42" i="1"/>
  <c r="O20" i="4" s="1"/>
  <c r="O39" i="1"/>
  <c r="O17" i="4" s="1"/>
  <c r="I34" i="1"/>
  <c r="I12" i="4" s="1"/>
  <c r="H30" i="1"/>
  <c r="H8" i="4" s="1"/>
  <c r="G30" i="1"/>
  <c r="G8" i="4" s="1"/>
  <c r="F30" i="1"/>
  <c r="I30" i="1"/>
  <c r="I8" i="4" s="1"/>
  <c r="G29" i="1"/>
  <c r="G7" i="4" s="1"/>
  <c r="J34" i="1"/>
  <c r="J12" i="4" s="1"/>
  <c r="I33" i="1"/>
  <c r="I11" i="4" s="1"/>
  <c r="H35" i="1"/>
  <c r="H13" i="4" s="1"/>
  <c r="M28" i="1"/>
  <c r="M6" i="4" s="1"/>
  <c r="G34" i="1"/>
  <c r="G12" i="4" s="1"/>
  <c r="F34" i="1"/>
  <c r="F12" i="4" s="1"/>
  <c r="I29" i="1"/>
  <c r="H33" i="1"/>
  <c r="H11" i="4" s="1"/>
  <c r="H31" i="1"/>
  <c r="H9" i="4" s="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L6" i="4" s="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T6" i="4"/>
  <c r="M22" i="4"/>
  <c r="P6" i="4"/>
  <c r="D22" i="4"/>
  <c r="Q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R22" i="4"/>
  <c r="V22" i="4"/>
  <c r="U29"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F8" i="4"/>
  <c r="J10"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C56" i="1"/>
  <c r="T56" i="23"/>
  <c r="R56" i="1"/>
  <c r="T56" i="1"/>
  <c r="J56" i="23"/>
  <c r="J56" i="1"/>
  <c r="I56" i="1"/>
  <c r="L56" i="1"/>
  <c r="G56" i="23"/>
  <c r="M56" i="1"/>
  <c r="U56" i="23"/>
  <c r="E56" i="23"/>
  <c r="D56" i="23"/>
  <c r="O56" i="23"/>
  <c r="K56" i="23"/>
  <c r="G56" i="1"/>
  <c r="B56" i="23"/>
  <c r="L56" i="23"/>
  <c r="H56" i="1"/>
  <c r="S56" i="23"/>
  <c r="F56" i="1"/>
  <c r="K56" i="1"/>
  <c r="Q56" i="1"/>
  <c r="C56" i="23"/>
  <c r="B56" i="1"/>
  <c r="H56" i="23"/>
  <c r="R56" i="23"/>
  <c r="U56" i="1"/>
  <c r="L78" i="4"/>
  <c r="S56" i="1"/>
  <c r="V56" i="23"/>
  <c r="E56" i="1"/>
  <c r="F56" i="23"/>
  <c r="D56" i="1"/>
  <c r="I56" i="23"/>
  <c r="Q56" i="23"/>
  <c r="O56" i="1"/>
  <c r="P56" i="23"/>
  <c r="P56" i="1"/>
  <c r="V56" i="1"/>
  <c r="T46" i="1" l="1"/>
  <c r="T53" i="1" s="1"/>
  <c r="S46" i="1"/>
  <c r="S53" i="1" s="1"/>
  <c r="S6" i="4"/>
  <c r="F47" i="23"/>
  <c r="F48" i="23" s="1"/>
  <c r="F54" i="23" s="1"/>
  <c r="J46" i="23"/>
  <c r="J53" i="23" s="1"/>
  <c r="H46" i="23"/>
  <c r="H53" i="23" s="1"/>
  <c r="S47" i="23"/>
  <c r="S48" i="23" s="1"/>
  <c r="S54" i="23" s="1"/>
  <c r="E46" i="23"/>
  <c r="E53" i="23" s="1"/>
  <c r="Q46" i="23"/>
  <c r="Q53" i="23" s="1"/>
  <c r="R47" i="23"/>
  <c r="R48" i="23" s="1"/>
  <c r="R54" i="23" s="1"/>
  <c r="U47" i="23"/>
  <c r="U48" i="23" s="1"/>
  <c r="U54" i="23" s="1"/>
  <c r="P47" i="23"/>
  <c r="P48" i="23" s="1"/>
  <c r="P54" i="23" s="1"/>
  <c r="V47" i="23"/>
  <c r="V48" i="23" s="1"/>
  <c r="V54" i="23" s="1"/>
  <c r="U46" i="23"/>
  <c r="U53" i="23" s="1"/>
  <c r="S46" i="23"/>
  <c r="S53" i="23" s="1"/>
  <c r="J47" i="23"/>
  <c r="J48" i="23" s="1"/>
  <c r="J54" i="23" s="1"/>
  <c r="Q47" i="23"/>
  <c r="Q48" i="23" s="1"/>
  <c r="Q54" i="23" s="1"/>
  <c r="F22" i="4"/>
  <c r="T47" i="23"/>
  <c r="T48" i="23" s="1"/>
  <c r="T54" i="23" s="1"/>
  <c r="V46" i="23"/>
  <c r="V53" i="23" s="1"/>
  <c r="T46" i="23"/>
  <c r="T53" i="23" s="1"/>
  <c r="P23" i="4"/>
  <c r="R46" i="23"/>
  <c r="R53" i="23" s="1"/>
  <c r="V46" i="1"/>
  <c r="V53" i="1" s="1"/>
  <c r="S47" i="1"/>
  <c r="S48" i="1" s="1"/>
  <c r="S54" i="1" s="1"/>
  <c r="U47" i="1"/>
  <c r="U48" i="1" s="1"/>
  <c r="U54" i="1" s="1"/>
  <c r="V47" i="1"/>
  <c r="V48" i="1" s="1"/>
  <c r="V54" i="1" s="1"/>
  <c r="T47" i="1"/>
  <c r="T48" i="1" s="1"/>
  <c r="T54" i="1" s="1"/>
  <c r="U46" i="1"/>
  <c r="U53" i="1" s="1"/>
  <c r="F46" i="1"/>
  <c r="F53" i="1" s="1"/>
  <c r="P57" i="23"/>
  <c r="Q57" i="23"/>
  <c r="S57" i="23"/>
  <c r="U57" i="23"/>
  <c r="R57" i="23"/>
  <c r="V57" i="23"/>
  <c r="T57" i="23"/>
  <c r="Q23" i="4"/>
  <c r="M47" i="23"/>
  <c r="M48" i="23" s="1"/>
  <c r="M54" i="23" s="1"/>
  <c r="S23" i="4"/>
  <c r="S63" i="4" s="1"/>
  <c r="S64" i="4" s="1"/>
  <c r="U23" i="4"/>
  <c r="U63" i="4" s="1"/>
  <c r="U64" i="4" s="1"/>
  <c r="R24" i="4"/>
  <c r="V24" i="4"/>
  <c r="V57" i="4" s="1"/>
  <c r="V58" i="4" s="1"/>
  <c r="V76" i="4" s="1"/>
  <c r="T22" i="4"/>
  <c r="T63" i="4" s="1"/>
  <c r="T64" i="4" s="1"/>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U57" i="4"/>
  <c r="U58" i="4" s="1"/>
  <c r="U76" i="4" s="1"/>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Q78" i="4"/>
  <c r="U78" i="4"/>
  <c r="J78" i="4"/>
  <c r="P78" i="4"/>
  <c r="T78" i="4"/>
  <c r="M78" i="4"/>
  <c r="S78" i="4"/>
  <c r="V78" i="4"/>
  <c r="I78" i="4"/>
  <c r="B78" i="4"/>
  <c r="O78" i="4"/>
  <c r="F78" i="4"/>
  <c r="R78" i="4"/>
  <c r="D78" i="4"/>
  <c r="C78" i="4"/>
  <c r="K78" i="4"/>
  <c r="H78" i="4"/>
  <c r="E78" i="4"/>
  <c r="V56" i="4" l="1"/>
  <c r="V75" i="4" s="1"/>
  <c r="V63" i="4"/>
  <c r="V64" i="4" s="1"/>
  <c r="U56" i="4"/>
  <c r="U75" i="4" s="1"/>
  <c r="S57" i="4"/>
  <c r="S58" i="4" s="1"/>
  <c r="S76" i="4" s="1"/>
  <c r="C63" i="4"/>
  <c r="C64" i="4" s="1"/>
  <c r="S56" i="4"/>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J59" i="23"/>
  <c r="J60" i="23" s="1"/>
  <c r="K59" i="23"/>
  <c r="K60" i="23" s="1"/>
  <c r="D59" i="23"/>
  <c r="D60" i="23" s="1"/>
  <c r="I59" i="23"/>
  <c r="O59" i="23"/>
  <c r="O60" i="23" s="1"/>
  <c r="G59" i="23"/>
  <c r="G60" i="23" s="1"/>
  <c r="H59" i="23"/>
  <c r="H60" i="23" s="1"/>
  <c r="M59" i="23"/>
  <c r="M60" i="23" s="1"/>
  <c r="O76" i="4"/>
  <c r="C55" i="1"/>
  <c r="H55" i="1"/>
  <c r="F55" i="1"/>
  <c r="I55" i="1"/>
  <c r="L55" i="1"/>
  <c r="J55" i="1"/>
  <c r="D55" i="1"/>
  <c r="K55" i="1"/>
  <c r="E55" i="1"/>
  <c r="O59" i="1"/>
  <c r="O60" i="1" s="1"/>
  <c r="J59" i="1"/>
  <c r="F59" i="1"/>
  <c r="F60" i="1" s="1"/>
  <c r="M59" i="1"/>
  <c r="M60" i="1" s="1"/>
  <c r="I59" i="1"/>
  <c r="I60" i="1" s="1"/>
  <c r="E59" i="1"/>
  <c r="E60" i="1" s="1"/>
  <c r="L59" i="1"/>
  <c r="L60" i="1" s="1"/>
  <c r="H59" i="1"/>
  <c r="H60" i="1" s="1"/>
  <c r="D59" i="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T60" i="23"/>
  <c r="I60" i="23"/>
  <c r="E60" i="23"/>
  <c r="D60" i="1"/>
  <c r="J60" i="1"/>
  <c r="V62" i="4" l="1"/>
  <c r="V74" i="4"/>
  <c r="Z2" i="12" s="1"/>
  <c r="AH2" i="12"/>
  <c r="I3" i="12"/>
  <c r="F3" i="12"/>
  <c r="F4" i="12"/>
  <c r="H4" i="12"/>
  <c r="G3" i="12"/>
  <c r="J80" i="4"/>
  <c r="I4" i="12"/>
  <c r="G4" i="12"/>
  <c r="F4" i="27"/>
  <c r="AA2" i="12"/>
  <c r="P75" i="4"/>
  <c r="B5" i="27" s="1"/>
  <c r="O81" i="4"/>
  <c r="O82" i="4" s="1"/>
  <c r="AE2" i="12"/>
  <c r="U74" i="4"/>
  <c r="Y2" i="12" s="1"/>
  <c r="U62" i="4"/>
  <c r="B6" i="12"/>
  <c r="B6" i="27"/>
  <c r="R61" i="23"/>
  <c r="U55" i="4"/>
  <c r="F3" i="27"/>
  <c r="V77" i="4"/>
  <c r="U77" i="4"/>
  <c r="O77" i="4"/>
  <c r="S77" i="4"/>
  <c r="Q77" i="4"/>
  <c r="R77" i="4"/>
  <c r="P81" i="4"/>
  <c r="P82" i="4" s="1"/>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Q82" i="4"/>
  <c r="B5" i="12" l="1"/>
  <c r="P77" i="4"/>
  <c r="AE4" i="12"/>
  <c r="Z4" i="12"/>
  <c r="W4" i="12"/>
  <c r="AG4" i="12"/>
  <c r="AC4" i="12"/>
  <c r="AH4" i="12"/>
  <c r="AF4" i="12"/>
  <c r="Y4" i="12"/>
  <c r="AA4" i="12"/>
  <c r="K77" i="4"/>
  <c r="J77" i="4"/>
  <c r="G77" i="4"/>
  <c r="F77" i="4"/>
  <c r="L77" i="4"/>
  <c r="B77" i="4"/>
  <c r="B2" i="27"/>
  <c r="G6" i="27" s="1"/>
  <c r="M77" i="4"/>
  <c r="I77" i="4"/>
  <c r="I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F8" i="28"/>
  <c r="AB3" i="12"/>
  <c r="F9" i="28"/>
  <c r="F13" i="28"/>
  <c r="J13" i="28"/>
  <c r="F5" i="28"/>
  <c r="F4" i="28"/>
  <c r="J11" i="28"/>
  <c r="J9" i="28"/>
  <c r="F14" i="28"/>
  <c r="F12" i="28"/>
  <c r="J6" i="28"/>
  <c r="J7" i="28"/>
  <c r="F11" i="28"/>
  <c r="F6" i="28"/>
  <c r="J14" i="28"/>
  <c r="J5" i="28"/>
  <c r="J8" i="28"/>
  <c r="F10" i="28"/>
  <c r="J10" i="28"/>
  <c r="J4" i="28"/>
  <c r="J12" i="28"/>
  <c r="F7" i="28"/>
  <c r="J15" i="28"/>
  <c r="AI2" i="12"/>
  <c r="AI4" i="12" s="1"/>
  <c r="X2" i="12"/>
  <c r="X4" i="12" s="1"/>
  <c r="E13" i="28" l="1"/>
  <c r="I15" i="28"/>
  <c r="I10" i="28"/>
  <c r="E8" i="28"/>
  <c r="I14" i="28"/>
  <c r="E11" i="28"/>
  <c r="E7" i="28"/>
  <c r="I12" i="28"/>
  <c r="I4" i="28"/>
  <c r="E6" i="28"/>
  <c r="E15" i="28"/>
  <c r="I11" i="28"/>
  <c r="I7" i="28"/>
  <c r="E12" i="28"/>
  <c r="I6" i="28"/>
  <c r="E4" i="28"/>
  <c r="E9" i="28"/>
  <c r="I5" i="28"/>
  <c r="I9" i="28"/>
  <c r="I13" i="28"/>
  <c r="I8" i="28"/>
  <c r="E5" i="28"/>
  <c r="E10" i="28"/>
  <c r="E14" i="28"/>
  <c r="AF9" i="12"/>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K15" i="22" s="1"/>
  <c r="M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G44" i="22"/>
  <c r="J44" i="22" s="1"/>
  <c r="G38" i="22"/>
  <c r="J38" i="22" s="1"/>
  <c r="G33" i="22"/>
  <c r="J33" i="22" s="1"/>
  <c r="G46" i="22"/>
  <c r="J46" i="22" s="1"/>
  <c r="G37" i="22"/>
  <c r="J37" i="22" s="1"/>
  <c r="G40" i="22"/>
  <c r="J40" i="22" s="1"/>
  <c r="G41" i="22"/>
  <c r="J41" i="22" s="1"/>
  <c r="G50" i="22"/>
  <c r="J50" i="22" s="1"/>
  <c r="G35" i="22"/>
  <c r="J35" i="22" s="1"/>
  <c r="G42" i="22"/>
  <c r="J42" i="22" s="1"/>
  <c r="G47" i="22"/>
  <c r="J47" i="22" s="1"/>
  <c r="G49" i="22"/>
  <c r="J49" i="22" s="1"/>
  <c r="G34" i="22"/>
  <c r="J34" i="22" s="1"/>
  <c r="G39" i="22"/>
  <c r="J39" i="22" s="1"/>
  <c r="G32" i="22"/>
  <c r="J32" i="22" s="1"/>
  <c r="G45" i="22"/>
  <c r="J45" i="22" s="1"/>
  <c r="G36" i="22"/>
  <c r="J36" i="22" s="1"/>
  <c r="G48" i="22"/>
  <c r="J48" i="22" s="1"/>
  <c r="G43" i="22"/>
  <c r="J43" i="22" s="1"/>
  <c r="L3" i="28"/>
  <c r="I12" i="22" l="1"/>
  <c r="G13" i="22"/>
  <c r="K26" i="22"/>
  <c r="M26" i="22" s="1"/>
  <c r="I39" i="22"/>
  <c r="M39" i="22" s="1"/>
  <c r="I49" i="22"/>
  <c r="M49" i="22" s="1"/>
  <c r="I51" i="22"/>
  <c r="M51" i="22" s="1"/>
  <c r="I37" i="22"/>
  <c r="M37" i="22" s="1"/>
  <c r="I44" i="22"/>
  <c r="I38" i="22"/>
  <c r="I15" i="22"/>
  <c r="G15" i="22"/>
  <c r="K12" i="22"/>
  <c r="M12" i="22" s="1"/>
  <c r="K19" i="22"/>
  <c r="M19" i="22" s="1"/>
  <c r="K18" i="22"/>
  <c r="M18" i="22" s="1"/>
  <c r="K24" i="22"/>
  <c r="M24" i="22" s="1"/>
  <c r="G25" i="22"/>
  <c r="K14" i="22"/>
  <c r="M14" i="22" s="1"/>
  <c r="I36" i="22"/>
  <c r="I35" i="22"/>
  <c r="I48" i="22"/>
  <c r="I50" i="22"/>
  <c r="M50" i="22" s="1"/>
  <c r="G14" i="22"/>
  <c r="I41" i="22"/>
  <c r="I40" i="22"/>
  <c r="I43" i="22"/>
  <c r="I32" i="22"/>
  <c r="K16" i="22"/>
  <c r="M16" i="22" s="1"/>
  <c r="I19" i="22"/>
  <c r="I42" i="22"/>
  <c r="I18" i="22"/>
  <c r="I33" i="22"/>
  <c r="I45" i="22"/>
  <c r="I34" i="22"/>
  <c r="I47" i="22"/>
  <c r="I46" i="22"/>
  <c r="K51" i="22"/>
  <c r="N51" i="22" s="1"/>
  <c r="G10" i="22"/>
  <c r="I10" i="22" s="1"/>
  <c r="K10" i="22" s="1"/>
  <c r="I25" i="22"/>
  <c r="I24" i="22"/>
  <c r="G9" i="22"/>
  <c r="I9" i="22" s="1"/>
  <c r="K9" i="22" s="1"/>
  <c r="M9" i="22" s="1"/>
  <c r="I7" i="22"/>
  <c r="G3" i="28"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25" i="22"/>
  <c r="N17" i="22"/>
  <c r="K3" i="28"/>
  <c r="G14" i="28"/>
  <c r="G6" i="28"/>
  <c r="M10" i="22" l="1"/>
  <c r="N10" i="22"/>
  <c r="K2" i="28"/>
  <c r="N26" i="22"/>
  <c r="K39" i="22"/>
  <c r="N39" i="22" s="1"/>
  <c r="K7" i="22"/>
  <c r="H14" i="28" s="1"/>
  <c r="H5" i="28"/>
  <c r="G10" i="28"/>
  <c r="G12" i="28"/>
  <c r="G13" i="28"/>
  <c r="H9" i="28"/>
  <c r="G7" i="28"/>
  <c r="G11" i="28"/>
  <c r="K49" i="22"/>
  <c r="N49" i="22" s="1"/>
  <c r="H11" i="28"/>
  <c r="H15" i="28"/>
  <c r="G15" i="28"/>
  <c r="G8" i="28"/>
  <c r="K37" i="22"/>
  <c r="N37" i="22" s="1"/>
  <c r="H4" i="28"/>
  <c r="H13" i="28"/>
  <c r="G5" i="28"/>
  <c r="G9" i="28"/>
  <c r="G4" i="28"/>
  <c r="K50" i="22"/>
  <c r="N50" i="22" s="1"/>
  <c r="M44" i="22"/>
  <c r="K44" i="22"/>
  <c r="N44" i="22" s="1"/>
  <c r="M38" i="22"/>
  <c r="K38" i="22"/>
  <c r="N38" i="22" s="1"/>
  <c r="N19" i="22"/>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8" i="22"/>
  <c r="N21" i="22"/>
  <c r="N11" i="22"/>
  <c r="N9" i="22"/>
  <c r="N23" i="22"/>
  <c r="N22" i="22"/>
  <c r="N7" i="22" l="1"/>
  <c r="H12" i="28"/>
  <c r="H8" i="28"/>
  <c r="M7" i="22"/>
  <c r="H10" i="28"/>
  <c r="H7" i="28"/>
  <c r="H6" i="28"/>
  <c r="M33" i="22"/>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<sst xmlns="http://schemas.openxmlformats.org/spreadsheetml/2006/main" count="8054" uniqueCount="4706">
  <si>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</si>
  <si>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</si>
  <si>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</si>
  <si>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</si>
  <si>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</si>
  <si>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</si>
  <si>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</si>
  <si>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</si>
  <si>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</si>
  <si>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</si>
  <si>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</si>
  <si>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</si>
  <si>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</si>
  <si>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</si>
  <si>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</si>
  <si>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</si>
  <si>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</si>
  <si>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</si>
  <si>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</si>
  <si>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</si>
  <si>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</si>
  <si>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</si>
  <si>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</si>
  <si>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</si>
  <si>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</si>
  <si>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</si>
  <si>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</si>
  <si>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</si>
  <si>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</si>
  <si>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</si>
  <si>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</si>
  <si>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</si>
  <si>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</si>
  <si>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</si>
  <si>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</si>
  <si>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</si>
  <si>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</si>
  <si>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</si>
  <si>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</si>
  <si>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</si>
  <si>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</si>
  <si>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</si>
  <si>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</si>
  <si>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</si>
  <si>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</si>
  <si>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</si>
  <si>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</si>
  <si>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</si>
  <si>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</si>
  <si>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</si>
  <si>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</si>
  <si>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</si>
  <si>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</si>
  <si>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</si>
  <si>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</si>
  <si>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</si>
  <si>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</si>
  <si>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</si>
  <si>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</si>
  <si>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</si>
  <si>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</si>
  <si>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</si>
  <si>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</si>
  <si>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</si>
  <si>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</si>
  <si>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</si>
  <si>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</si>
  <si>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</si>
  <si>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</si>
  <si>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</si>
  <si>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</si>
  <si>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</si>
  <si>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</si>
  <si>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</si>
  <si>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</si>
  <si>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</si>
  <si>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</si>
  <si>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</si>
  <si>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</si>
  <si>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</si>
  <si>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</si>
  <si>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</si>
  <si>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</si>
  <si>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</si>
  <si>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</si>
  <si>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</si>
  <si>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</si>
  <si>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</si>
  <si>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</si>
  <si>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</si>
  <si>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</si>
  <si>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</si>
  <si>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</si>
  <si>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</si>
  <si>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</si>
  <si>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</si>
  <si>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</si>
  <si>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</si>
  <si>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</si>
  <si>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</si>
  <si>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</si>
  <si>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</si>
  <si>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</si>
  <si>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</si>
  <si>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</si>
  <si>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</si>
  <si>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</si>
  <si>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</si>
  <si>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</si>
  <si>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</si>
  <si>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</si>
  <si>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</si>
  <si>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</si>
  <si>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</si>
  <si>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</si>
  <si>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</si>
  <si>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</si>
  <si>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</si>
  <si>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</si>
  <si>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</si>
  <si>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</si>
  <si>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</si>
  <si>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</si>
  <si>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</si>
  <si>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</si>
  <si>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</si>
  <si>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</si>
  <si>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</si>
  <si>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</si>
  <si>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</si>
  <si>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</si>
  <si>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</si>
  <si>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</si>
  <si>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</si>
  <si>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</si>
  <si>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</si>
  <si>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</si>
  <si>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</si>
  <si>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</si>
  <si>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</si>
  <si>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</si>
  <si>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</si>
  <si>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</si>
  <si>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</si>
  <si>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</si>
  <si>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</si>
  <si>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</si>
  <si>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</si>
  <si>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</si>
  <si>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</si>
  <si>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</si>
  <si>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</si>
  <si>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</si>
  <si>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</si>
  <si>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</si>
  <si>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</si>
  <si>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</si>
  <si>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</si>
  <si>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</si>
  <si>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</si>
  <si>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</si>
  <si>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</si>
  <si>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</si>
  <si>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</si>
  <si>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</si>
  <si>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</si>
  <si>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ns</t>
  </si>
  <si>
    <t>&gt;0,99</t>
  </si>
  <si>
    <t>*</t>
  </si>
  <si>
    <t>***</t>
  </si>
  <si>
    <t>&lt;0,001</t>
  </si>
  <si>
    <t>Kruskal-Wallis</t>
  </si>
  <si>
    <t>ANOVA</t>
  </si>
  <si>
    <t xml:space="preserve">file name </t>
  </si>
  <si>
    <t>C:\Users\andre\Desktop\REACTIV CEFAS\Saccharin\Saccharin/20201201_Cefas_Test8_Run1/Plate 1/@1/A10_01- exclu.tif</t>
  </si>
  <si>
    <t>C:\Users\andre\Desktop\REACTIV CEFAS\Saccharin\Saccharin/20201201_Cefas_Test8_Run1/Plate 1/@1/A10_02- exclu.tif</t>
  </si>
  <si>
    <t>C:\Users\andre\Desktop\REACTIV CEFAS\Saccharin\Saccharin/20201201_Cefas_Test8_Run1/Plate 1/@1/A10_03- exclu.tif</t>
  </si>
  <si>
    <t>C:\Users\andre\Desktop\REACTIV CEFAS\Saccharin\Saccharin/20201201_Cefas_Test8_Run1/Plate 1/@1/B10_01- exclu.tif</t>
  </si>
  <si>
    <t>C:\Users\andre\Desktop\REACTIV CEFAS\Saccharin\Saccharin/20201201_Cefas_Test8_Run1/Plate 1/@1/B10_02- exclu.tif</t>
  </si>
  <si>
    <t xml:space="preserve">C:\Users\andre\Desktop\REACTIV CEFAS\Saccharin\Saccharin/20201201_Cefas_Test8_Run1/Plate 1/@1/B10_03.tif </t>
  </si>
  <si>
    <t xml:space="preserve"> 7267.6446 </t>
  </si>
  <si>
    <t xml:space="preserve"> 37.8036 </t>
  </si>
  <si>
    <t xml:space="preserve">C:\Users\andre\Desktop\REACTIV CEFAS\Saccharin\Saccharin/20201201_Cefas_Test8_Run1/Plate 1/@1/C10_01.tif </t>
  </si>
  <si>
    <t xml:space="preserve"> 6986.456 </t>
  </si>
  <si>
    <t xml:space="preserve"> 39.4241 </t>
  </si>
  <si>
    <t xml:space="preserve">C:\Users\andre\Desktop\REACTIV CEFAS\Saccharin\Saccharin/20201201_Cefas_Test8_Run1/Plate 1/@1/C10_02.tif </t>
  </si>
  <si>
    <t xml:space="preserve"> 6186.1499 </t>
  </si>
  <si>
    <t xml:space="preserve"> 39.8147 </t>
  </si>
  <si>
    <t xml:space="preserve">C:\Users\andre\Desktop\REACTIV CEFAS\Saccharin\Saccharin/20201201_Cefas_Test8_Run1/Plate 1/@1/C10_03.tif </t>
  </si>
  <si>
    <t xml:space="preserve"> 5991.4808 </t>
  </si>
  <si>
    <t xml:space="preserve"> 37.9639 </t>
  </si>
  <si>
    <t xml:space="preserve">C:\Users\andre\Desktop\REACTIV CEFAS\Saccharin\Saccharin/20201201_Cefas_Test8_Run1/Plate 1/@1/D10_01.tif </t>
  </si>
  <si>
    <t xml:space="preserve"> 3655.4522 </t>
  </si>
  <si>
    <t xml:space="preserve"> 34.5503 </t>
  </si>
  <si>
    <t xml:space="preserve">C:\Users\andre\Desktop\REACTIV CEFAS\Saccharin\Saccharin/20201201_Cefas_Test8_Run1/Plate 1/@1/D10_02.tif </t>
  </si>
  <si>
    <t xml:space="preserve"> 7592.093 </t>
  </si>
  <si>
    <t xml:space="preserve"> 32.9202 </t>
  </si>
  <si>
    <t xml:space="preserve">C:\Users\andre\Desktop\REACTIV CEFAS\Saccharin\Saccharin/20201201_Cefas_Test8_Run1/Plate 1/@1/D10_03.tif </t>
  </si>
  <si>
    <t xml:space="preserve"> 1838.541 </t>
  </si>
  <si>
    <t xml:space="preserve"> 33.2235 </t>
  </si>
  <si>
    <t xml:space="preserve">C:\Users\andre\Desktop\REACTIV CEFAS\Saccharin\Saccharin/20201201_Cefas_Test8_Run1/Plate 1/@1/E10_01.tif </t>
  </si>
  <si>
    <t xml:space="preserve"> 1752.0215 </t>
  </si>
  <si>
    <t xml:space="preserve"> 37.358 </t>
  </si>
  <si>
    <t xml:space="preserve">C:\Users\andre\Desktop\REACTIV CEFAS\Saccharin\Saccharin/20201201_Cefas_Test8_Run1/Plate 1/@1/E10_02.tif </t>
  </si>
  <si>
    <t xml:space="preserve"> 194.6691 </t>
  </si>
  <si>
    <t xml:space="preserve"> 31.4444 </t>
  </si>
  <si>
    <t xml:space="preserve">C:\Users\andre\Desktop\REACTIV CEFAS\Saccharin\Saccharin/20201201_Cefas_Test8_Run1/Plate 1/@1/E10_03.tif </t>
  </si>
  <si>
    <t xml:space="preserve">C:\Users\andre\Desktop\REACTIV CEFAS\Saccharin\Saccharin/20201201_Cefas_Test8_Run1/Plate 1/@1/F10_01.tif </t>
  </si>
  <si>
    <t xml:space="preserve"> 4412.4985 </t>
  </si>
  <si>
    <t xml:space="preserve"> 35.7255 </t>
  </si>
  <si>
    <t xml:space="preserve">C:\Users\andre\Desktop\REACTIV CEFAS\Saccharin\Saccharin/20201201_Cefas_Test8_Run1/Plate 1/@1/F10_02.tif </t>
  </si>
  <si>
    <t xml:space="preserve"> 800.3061 </t>
  </si>
  <si>
    <t xml:space="preserve"> 32.2703 </t>
  </si>
  <si>
    <t xml:space="preserve">C:\Users\andre\Desktop\REACTIV CEFAS\Saccharin\Saccharin/20201201_Cefas_Test8_Run1/Plate 1/@1/F10_03.tif </t>
  </si>
  <si>
    <t xml:space="preserve">C:\Users\andre\Desktop\REACTIV CEFAS\Saccharin\Saccharin/20201201_Cefas_Test8_Run1/Plate 1/@1/G10_01.tif </t>
  </si>
  <si>
    <t xml:space="preserve">C:\Users\andre\Desktop\REACTIV CEFAS\Saccharin\Saccharin/20201201_Cefas_Test8_Run1/Plate 1/@1/G10_02.tif </t>
  </si>
  <si>
    <t xml:space="preserve"> 21.6299 </t>
  </si>
  <si>
    <t xml:space="preserve">C:\Users\andre\Desktop\REACTIV CEFAS\Saccharin\Saccharin/20201201_Cefas_Test8_Run1/Plate 1/@1/G10_03.tif </t>
  </si>
  <si>
    <t xml:space="preserve">C:\Users\andre\Desktop\REACTIV CEFAS\Saccharin\Saccharin/20201201_Cefas_Test8_Run1/Plate 1/@1/H10_01.tif </t>
  </si>
  <si>
    <t xml:space="preserve"> 562.3773 </t>
  </si>
  <si>
    <t xml:space="preserve"> 31.4231 </t>
  </si>
  <si>
    <t xml:space="preserve">C:\Users\andre\Desktop\REACTIV CEFAS\Saccharin\Saccharin/20201201_Cefas_Test8_Run1/Plate 1/@1/H10_02.tif </t>
  </si>
  <si>
    <t xml:space="preserve"> 6467.3385 </t>
  </si>
  <si>
    <t xml:space="preserve"> 37.4582 </t>
  </si>
  <si>
    <t xml:space="preserve">C:\Users\andre\Desktop\REACTIV CEFAS\Saccharin\Saccharin/20201201_Cefas_Test8_Run1/Plate 1/@1/H10_03.tif </t>
  </si>
  <si>
    <t xml:space="preserve"> 7786.7621 </t>
  </si>
  <si>
    <t xml:space="preserve"> 39.6639 </t>
  </si>
  <si>
    <t xml:space="preserve">group </t>
  </si>
  <si>
    <t xml:space="preserve"> mean of mean fluo </t>
  </si>
  <si>
    <t xml:space="preserve"> SD mean fluo </t>
  </si>
  <si>
    <t xml:space="preserve"> mean of total fluo </t>
  </si>
  <si>
    <t xml:space="preserve"> SD total fluo </t>
  </si>
  <si>
    <t xml:space="preserve">C:\Users\andre\Desktop\REACTIV CEFAS\Saccharin\Saccharin/20201201_Cefas_Test8_Run1/Plate 1/@1/ </t>
  </si>
  <si>
    <t xml:space="preserve"> 29.8795 </t>
  </si>
  <si>
    <t xml:space="preserve"> 14.2068 </t>
  </si>
  <si>
    <t xml:space="preserve"> 140170.792 </t>
  </si>
  <si>
    <t xml:space="preserve"> 147850.892 </t>
  </si>
  <si>
    <t xml:space="preserve">C:\Users\andre\Desktop\REACTIV CEFAS\Saccharin\Saccharin/20201201_Cefas_Test8_Run1/Plate 1/@13/A8_01.tif </t>
  </si>
  <si>
    <t xml:space="preserve"> 24312.0016 </t>
  </si>
  <si>
    <t xml:space="preserve"> 35.6423 </t>
  </si>
  <si>
    <t xml:space="preserve">C:\Users\andre\Desktop\REACTIV CEFAS\Saccharin\Saccharin/20201201_Cefas_Test8_Run1/Plate 1/@13/A8_02.tif </t>
  </si>
  <si>
    <t xml:space="preserve"> 15140.9262 </t>
  </si>
  <si>
    <t xml:space="preserve"> 35.39 </t>
  </si>
  <si>
    <t xml:space="preserve">C:\Users\andre\Desktop\REACTIV CEFAS\Saccharin\Saccharin/20201201_Cefas_Test8_Run1/Plate 1/@13/A8_03.tif </t>
  </si>
  <si>
    <t xml:space="preserve"> 21911.0833 </t>
  </si>
  <si>
    <t xml:space="preserve"> 35.157 </t>
  </si>
  <si>
    <t xml:space="preserve">C:\Users\andre\Desktop\REACTIV CEFAS\Saccharin\Saccharin/20201201_Cefas_Test8_Run1/Plate 1/@13/B8_01.tif </t>
  </si>
  <si>
    <t xml:space="preserve"> 47239.6899 </t>
  </si>
  <si>
    <t xml:space="preserve"> 36.8214 </t>
  </si>
  <si>
    <t xml:space="preserve">C:\Users\andre\Desktop\REACTIV CEFAS\Saccharin\Saccharin/20201201_Cefas_Test8_Run1/Plate 1/@13/B8_02.tif </t>
  </si>
  <si>
    <t xml:space="preserve"> 60217.6266 </t>
  </si>
  <si>
    <t xml:space="preserve"> 38.5862 </t>
  </si>
  <si>
    <t xml:space="preserve">C:\Users\andre\Desktop\REACTIV CEFAS\Saccharin\Saccharin/20201201_Cefas_Test8_Run1/Plate 1/@13/B8_03.tif </t>
  </si>
  <si>
    <t xml:space="preserve"> 51046.5513 </t>
  </si>
  <si>
    <t xml:space="preserve"> 37.1699 </t>
  </si>
  <si>
    <t xml:space="preserve">C:\Users\andre\Desktop\REACTIV CEFAS\Saccharin\Saccharin/20201201_Cefas_Test8_Run1/Plate 1/@13/C8_01.tif </t>
  </si>
  <si>
    <t xml:space="preserve"> 69756.4102 </t>
  </si>
  <si>
    <t xml:space="preserve"> 42.9181 </t>
  </si>
  <si>
    <t xml:space="preserve">C:\Users\andre\Desktop\REACTIV CEFAS\Saccharin\Saccharin/20201201_Cefas_Test8_Run1/Plate 1/@13/C8_02.tif </t>
  </si>
  <si>
    <t xml:space="preserve"> 74644.7664 </t>
  </si>
  <si>
    <t xml:space="preserve"> 47.8621 </t>
  </si>
  <si>
    <t xml:space="preserve">C:\Users\andre\Desktop\REACTIV CEFAS\Saccharin\Saccharin/20201201_Cefas_Test8_Run1/Plate 1/@13/C8_03.tif </t>
  </si>
  <si>
    <t xml:space="preserve"> 74298.6881 </t>
  </si>
  <si>
    <t xml:space="preserve"> 47.5345 </t>
  </si>
  <si>
    <t xml:space="preserve">C:\Users\andre\Desktop\REACTIV CEFAS\Saccharin\Saccharin/20201201_Cefas_Test8_Run1/Plate 1/@13/D8_01.tif </t>
  </si>
  <si>
    <t xml:space="preserve"> 50895.1421 </t>
  </si>
  <si>
    <t xml:space="preserve"> 39.4717 </t>
  </si>
  <si>
    <t xml:space="preserve">C:\Users\andre\Desktop\REACTIV CEFAS\Saccharin\Saccharin/20201201_Cefas_Test8_Run1/Plate 1/@13/D8_02.tif </t>
  </si>
  <si>
    <t xml:space="preserve"> 42459.4832 </t>
  </si>
  <si>
    <t xml:space="preserve"> 36.0683 </t>
  </si>
  <si>
    <t xml:space="preserve">C:\Users\andre\Desktop\REACTIV CEFAS\Saccharin\Saccharin/20201201_Cefas_Test8_Run1/Plate 1/@13/D8_03.tif </t>
  </si>
  <si>
    <t xml:space="preserve"> 41507.7678 </t>
  </si>
  <si>
    <t xml:space="preserve"> 37.468 </t>
  </si>
  <si>
    <t xml:space="preserve">C:\Users\andre\Desktop\REACTIV CEFAS\Saccharin\Saccharin/20201201_Cefas_Test8_Run1/Plate 1/@13/E8_01.tif </t>
  </si>
  <si>
    <t xml:space="preserve"> 8132.8404 </t>
  </si>
  <si>
    <t xml:space="preserve"> 33.8218 </t>
  </si>
  <si>
    <t xml:space="preserve">C:\Users\andre\Desktop\REACTIV CEFAS\Saccharin\Saccharin/20201201_Cefas_Test8_Run1/Plate 1/@13/E8_02.tif </t>
  </si>
  <si>
    <t xml:space="preserve"> 5472.3633 </t>
  </si>
  <si>
    <t xml:space="preserve"> 32.8735 </t>
  </si>
  <si>
    <t xml:space="preserve">C:\Users\andre\Desktop\REACTIV CEFAS\Saccharin\Saccharin/20201201_Cefas_Test8_Run1/Plate 1/@13/E8_03.tif </t>
  </si>
  <si>
    <t xml:space="preserve"> 3828.4913 </t>
  </si>
  <si>
    <t xml:space="preserve"> 32.1808 </t>
  </si>
  <si>
    <t xml:space="preserve">C:\Users\andre\Desktop\REACTIV CEFAS\Saccharin\Saccharin/20201201_Cefas_Test8_Run1/Plate 1/@13/F8_01.tif </t>
  </si>
  <si>
    <t xml:space="preserve"> 37571.127 </t>
  </si>
  <si>
    <t xml:space="preserve"> 39.4865 </t>
  </si>
  <si>
    <t xml:space="preserve">C:\Users\andre\Desktop\REACTIV CEFAS\Saccharin\Saccharin/20201201_Cefas_Test8_Run1/Plate 1/@13/F8_02.tif </t>
  </si>
  <si>
    <t xml:space="preserve"> 29503.1763 </t>
  </si>
  <si>
    <t xml:space="preserve"> 38.5249 </t>
  </si>
  <si>
    <t xml:space="preserve">C:\Users\andre\Desktop\REACTIV CEFAS\Saccharin\Saccharin/20201201_Cefas_Test8_Run1/Plate 1/@13/F8_03.tif </t>
  </si>
  <si>
    <t xml:space="preserve"> 38003.7249 </t>
  </si>
  <si>
    <t xml:space="preserve"> 39.7063 </t>
  </si>
  <si>
    <t xml:space="preserve">C:\Users\andre\Desktop\REACTIV CEFAS\Saccharin\Saccharin/20201201_Cefas_Test8_Run1/Plate 1/@13/G8_01.tif </t>
  </si>
  <si>
    <t xml:space="preserve"> 51630.5585 </t>
  </si>
  <si>
    <t xml:space="preserve"> 36.4001 </t>
  </si>
  <si>
    <t xml:space="preserve">C:\Users\andre\Desktop\REACTIV CEFAS\Saccharin\Saccharin/20201201_Cefas_Test8_Run1/Plate 1/@13/G8_02.tif </t>
  </si>
  <si>
    <t xml:space="preserve"> 42632.5223 </t>
  </si>
  <si>
    <t xml:space="preserve"> 36.1187 </t>
  </si>
  <si>
    <t xml:space="preserve">C:\Users\andre\Desktop\REACTIV CEFAS\Saccharin\Saccharin/20201201_Cefas_Test8_Run1/Plate 1/@13/G8_03.tif </t>
  </si>
  <si>
    <t xml:space="preserve"> 47499.2486 </t>
  </si>
  <si>
    <t xml:space="preserve"> 36.51 </t>
  </si>
  <si>
    <t>C:\Users\andre\Desktop\REACTIV CEFAS\Saccharin\Saccharin/20201201_Cefas_Test8_Run1/Plate 1/@13/H8_01- exclu.tif</t>
  </si>
  <si>
    <t>C:\Users\andre\Desktop\REACTIV CEFAS\Saccharin\Saccharin/20201201_Cefas_Test8_Run1/Plate 1/@13/H8_02- exclu.tif</t>
  </si>
  <si>
    <t>C:\Users\andre\Desktop\REACTIV CEFAS\Saccharin\Saccharin/20201201_Cefas_Test8_Run1/Plate 1/@13/H8_03- exclu.tif</t>
  </si>
  <si>
    <t xml:space="preserve">C:\Users\andre\Desktop\REACTIV CEFAS\Saccharin\Saccharin/20201201_Cefas_Test8_Run1/Plate 1/@13/ </t>
  </si>
  <si>
    <t xml:space="preserve"> 37.2545 </t>
  </si>
  <si>
    <t xml:space="preserve"> 4.1747 </t>
  </si>
  <si>
    <t xml:space="preserve"> 1401409.88 </t>
  </si>
  <si>
    <t xml:space="preserve"> 1029844.4 </t>
  </si>
  <si>
    <t xml:space="preserve">C:\Users\andre\Desktop\REACTIV CEFAS\Saccharin\Saccharin/20201201_Cefas_Test8_Run1/Plate 1/@14/A9_01.tif </t>
  </si>
  <si>
    <t xml:space="preserve"> 53620.5088 </t>
  </si>
  <si>
    <t xml:space="preserve"> 45.5264 </t>
  </si>
  <si>
    <t xml:space="preserve">C:\Users\andre\Desktop\REACTIV CEFAS\Saccharin\Saccharin/20201201_Cefas_Test8_Run1/Plate 1/@14/A9_02.tif </t>
  </si>
  <si>
    <t xml:space="preserve"> 56345.8755 </t>
  </si>
  <si>
    <t xml:space="preserve"> 47.2418 </t>
  </si>
  <si>
    <t xml:space="preserve">C:\Users\andre\Desktop\REACTIV CEFAS\Saccharin\Saccharin/20201201_Cefas_Test8_Run1/Plate 1/@14/A9_03.tif </t>
  </si>
  <si>
    <t xml:space="preserve"> 63224.182 </t>
  </si>
  <si>
    <t xml:space="preserve"> 48.338 </t>
  </si>
  <si>
    <t xml:space="preserve">C:\Users\andre\Desktop\REACTIV CEFAS\Saccharin\Saccharin/20201201_Cefas_Test8_Run1/Plate 1/@14/B9_01.tif </t>
  </si>
  <si>
    <t xml:space="preserve"> 57838.3382 </t>
  </si>
  <si>
    <t xml:space="preserve"> 40.2427 </t>
  </si>
  <si>
    <t xml:space="preserve">C:\Users\andre\Desktop\REACTIV CEFAS\Saccharin\Saccharin/20201201_Cefas_Test8_Run1/Plate 1/@14/B9_02.tif </t>
  </si>
  <si>
    <t xml:space="preserve"> 55350.9004 </t>
  </si>
  <si>
    <t xml:space="preserve"> 41.4412 </t>
  </si>
  <si>
    <t xml:space="preserve">C:\Users\andre\Desktop\REACTIV CEFAS\Saccharin\Saccharin/20201201_Cefas_Test8_Run1/Plate 1/@14/B9_03.tif </t>
  </si>
  <si>
    <t xml:space="preserve"> 56735.2136 </t>
  </si>
  <si>
    <t xml:space="preserve"> 40.9344 </t>
  </si>
  <si>
    <t xml:space="preserve">C:\Users\andre\Desktop\REACTIV CEFAS\Saccharin\Saccharin/20201201_Cefas_Test8_Run1/Plate 1/@14/C9_01.tif </t>
  </si>
  <si>
    <t xml:space="preserve"> 61126.0822 </t>
  </si>
  <si>
    <t xml:space="preserve"> 45.4306 </t>
  </si>
  <si>
    <t xml:space="preserve">C:\Users\andre\Desktop\REACTIV CEFAS\Saccharin\Saccharin/20201201_Cefas_Test8_Run1/Plate 1/@14/C9_02.tif </t>
  </si>
  <si>
    <t xml:space="preserve"> 57232.7012 </t>
  </si>
  <si>
    <t xml:space="preserve"> 44.8141 </t>
  </si>
  <si>
    <t xml:space="preserve">C:\Users\andre\Desktop\REACTIV CEFAS\Saccharin\Saccharin/20201201_Cefas_Test8_Run1/Plate 1/@14/C9_03.tif </t>
  </si>
  <si>
    <t xml:space="preserve"> 55199.4911 </t>
  </si>
  <si>
    <t xml:space="preserve"> 42.2092 </t>
  </si>
  <si>
    <t xml:space="preserve">C:\Users\andre\Desktop\REACTIV CEFAS\Saccharin\Saccharin/20201201_Cefas_Test8_Run1/Plate 1/@14/D9_01.tif </t>
  </si>
  <si>
    <t xml:space="preserve"> 65408.8014 </t>
  </si>
  <si>
    <t xml:space="preserve"> 44.8185 </t>
  </si>
  <si>
    <t xml:space="preserve">C:\Users\andre\Desktop\REACTIV CEFAS\Saccharin\Saccharin/20201201_Cefas_Test8_Run1/Plate 1/@14/D9_02.tif </t>
  </si>
  <si>
    <t xml:space="preserve"> 54853.4128 </t>
  </si>
  <si>
    <t xml:space="preserve"> 42.1928 </t>
  </si>
  <si>
    <t xml:space="preserve">C:\Users\andre\Desktop\REACTIV CEFAS\Saccharin\Saccharin/20201201_Cefas_Test8_Run1/Plate 1/@14/D9_03.tif </t>
  </si>
  <si>
    <t xml:space="preserve"> 59720.1391 </t>
  </si>
  <si>
    <t xml:space="preserve"> 44.2912 </t>
  </si>
  <si>
    <t xml:space="preserve">C:\Users\andre\Desktop\REACTIV CEFAS\Saccharin\Saccharin/20201201_Cefas_Test8_Run1/Plate 1/@14/E9_01.tif </t>
  </si>
  <si>
    <t xml:space="preserve"> 51500.7791 </t>
  </si>
  <si>
    <t xml:space="preserve"> 46.0302 </t>
  </si>
  <si>
    <t>C:\Users\andre\Desktop\REACTIV CEFAS\Saccharin\Saccharin/20201201_Cefas_Test8_Run1/Plate 1/@14/E9_02- exclu.tif</t>
  </si>
  <si>
    <t xml:space="preserve">C:\Users\andre\Desktop\REACTIV CEFAS\Saccharin\Saccharin/20201201_Cefas_Test8_Run1/Plate 1/@14/E9_03.tif </t>
  </si>
  <si>
    <t xml:space="preserve"> 43995.2057 </t>
  </si>
  <si>
    <t xml:space="preserve"> 45.826 </t>
  </si>
  <si>
    <t xml:space="preserve">C:\Users\andre\Desktop\REACTIV CEFAS\Saccharin\Saccharin/20201201_Cefas_Test8_Run1/Plate 1/@14/F9_01.tif </t>
  </si>
  <si>
    <t xml:space="preserve"> 36987.1198 </t>
  </si>
  <si>
    <t xml:space="preserve"> 42.5357 </t>
  </si>
  <si>
    <t xml:space="preserve">C:\Users\andre\Desktop\REACTIV CEFAS\Saccharin\Saccharin/20201201_Cefas_Test8_Run1/Plate 1/@14/F9_02.tif </t>
  </si>
  <si>
    <t xml:space="preserve"> 32012.2441 </t>
  </si>
  <si>
    <t xml:space="preserve"> 43.7878 </t>
  </si>
  <si>
    <t xml:space="preserve">C:\Users\andre\Desktop\REACTIV CEFAS\Saccharin\Saccharin/20201201_Cefas_Test8_Run1/Plate 1/@14/F9_03.tif </t>
  </si>
  <si>
    <t xml:space="preserve"> 30108.8133 </t>
  </si>
  <si>
    <t xml:space="preserve"> 42.1803 </t>
  </si>
  <si>
    <t xml:space="preserve">C:\Users\andre\Desktop\REACTIV CEFAS\Saccharin\Saccharin/20201201_Cefas_Test8_Run1/Plate 1/@14/G9_01.tif </t>
  </si>
  <si>
    <t xml:space="preserve"> 5818.4417 </t>
  </si>
  <si>
    <t xml:space="preserve"> 37.8885 </t>
  </si>
  <si>
    <t xml:space="preserve">C:\Users\andre\Desktop\REACTIV CEFAS\Saccharin\Saccharin/20201201_Cefas_Test8_Run1/Plate 1/@14/G9_02.tif </t>
  </si>
  <si>
    <t xml:space="preserve"> 10274.1999 </t>
  </si>
  <si>
    <t xml:space="preserve"> 43.7263 </t>
  </si>
  <si>
    <t xml:space="preserve">C:\Users\andre\Desktop\REACTIV CEFAS\Saccharin\Saccharin/20201201_Cefas_Test8_Run1/Plate 1/@14/G9_03.tif </t>
  </si>
  <si>
    <t xml:space="preserve"> 6488.9684 </t>
  </si>
  <si>
    <t xml:space="preserve"> 40.9467 </t>
  </si>
  <si>
    <t xml:space="preserve">C:\Users\andre\Desktop\REACTIV CEFAS\Saccharin\Saccharin/20201201_Cefas_Test8_Run1/Plate 1/@14/H9_01.tif </t>
  </si>
  <si>
    <t xml:space="preserve"> 31147.0483 </t>
  </si>
  <si>
    <t xml:space="preserve"> 35.1354 </t>
  </si>
  <si>
    <t xml:space="preserve">C:\Users\andre\Desktop\REACTIV CEFAS\Saccharin\Saccharin/20201201_Cefas_Test8_Run1/Plate 1/@14/H9_02.tif </t>
  </si>
  <si>
    <t xml:space="preserve"> 35062.0592 </t>
  </si>
  <si>
    <t xml:space="preserve"> 36.2918 </t>
  </si>
  <si>
    <t xml:space="preserve">C:\Users\andre\Desktop\REACTIV CEFAS\Saccharin\Saccharin/20201201_Cefas_Test8_Run1/Plate 1/@14/H9_03.tif </t>
  </si>
  <si>
    <t xml:space="preserve"> 36143.5539 </t>
  </si>
  <si>
    <t xml:space="preserve"> 35.2328 </t>
  </si>
  <si>
    <t xml:space="preserve">C:\Users\andre\Desktop\REACTIV CEFAS\Saccharin\Saccharin/20201201_Cefas_Test8_Run1/Plate 1/@14/ </t>
  </si>
  <si>
    <t xml:space="preserve"> 42.6169 </t>
  </si>
  <si>
    <t xml:space="preserve"> 3.6317 </t>
  </si>
  <si>
    <t xml:space="preserve"> 1901017.12 </t>
  </si>
  <si>
    <t xml:space="preserve"> 832858.493 </t>
  </si>
  <si>
    <t xml:space="preserve">C:\Users\andre\Desktop\REACTIV CEFAS\Saccharin\Saccharin/20201201_Cefas_Test8_Run1/Plate 1/@15/A11_01.tif </t>
  </si>
  <si>
    <t xml:space="preserve"> 79403.3432 </t>
  </si>
  <si>
    <t xml:space="preserve"> 51.1351 </t>
  </si>
  <si>
    <t xml:space="preserve">C:\Users\andre\Desktop\REACTIV CEFAS\Saccharin\Saccharin/20201201_Cefas_Test8_Run1/Plate 1/@15/A11_02.tif </t>
  </si>
  <si>
    <t xml:space="preserve"> 73498.3819 </t>
  </si>
  <si>
    <t xml:space="preserve"> 49.7969 </t>
  </si>
  <si>
    <t xml:space="preserve">C:\Users\andre\Desktop\REACTIV CEFAS\Saccharin\Saccharin/20201201_Cefas_Test8_Run1/Plate 1/@15/A11_03.tif </t>
  </si>
  <si>
    <t xml:space="preserve"> 75055.7344 </t>
  </si>
  <si>
    <t xml:space="preserve"> 53.9562 </t>
  </si>
  <si>
    <t xml:space="preserve">C:\Users\andre\Desktop\REACTIV CEFAS\Saccharin\Saccharin/20201201_Cefas_Test8_Run1/Plate 1/@15/B11_01.tif </t>
  </si>
  <si>
    <t xml:space="preserve"> 72957.6346 </t>
  </si>
  <si>
    <t xml:space="preserve"> 51.3694 </t>
  </si>
  <si>
    <t xml:space="preserve">C:\Users\andre\Desktop\REACTIV CEFAS\Saccharin\Saccharin/20201201_Cefas_Test8_Run1/Plate 1/@15/B11_02.tif </t>
  </si>
  <si>
    <t xml:space="preserve"> 79057.2649 </t>
  </si>
  <si>
    <t xml:space="preserve"> 51.3666 </t>
  </si>
  <si>
    <t xml:space="preserve">C:\Users\andre\Desktop\REACTIV CEFAS\Saccharin\Saccharin/20201201_Cefas_Test8_Run1/Plate 1/@15/B11_03.tif </t>
  </si>
  <si>
    <t xml:space="preserve"> 75380.1828 </t>
  </si>
  <si>
    <t xml:space="preserve"> 52.1392 </t>
  </si>
  <si>
    <t xml:space="preserve">C:\Users\andre\Desktop\REACTIV CEFAS\Saccharin\Saccharin/20201201_Cefas_Test8_Run1/Plate 1/@15/C11_01.tif </t>
  </si>
  <si>
    <t xml:space="preserve"> 87730.8526 </t>
  </si>
  <si>
    <t xml:space="preserve"> 49.747 </t>
  </si>
  <si>
    <t xml:space="preserve">C:\Users\andre\Desktop\REACTIV CEFAS\Saccharin\Saccharin/20201201_Cefas_Test8_Run1/Plate 1/@15/C11_02.tif </t>
  </si>
  <si>
    <t xml:space="preserve"> 85849.0518 </t>
  </si>
  <si>
    <t xml:space="preserve"> 48.5006 </t>
  </si>
  <si>
    <t xml:space="preserve">C:\Users\andre\Desktop\REACTIV CEFAS\Saccharin\Saccharin/20201201_Cefas_Test8_Run1/Plate 1/@15/C11_03.tif </t>
  </si>
  <si>
    <t xml:space="preserve"> 93484.4046 </t>
  </si>
  <si>
    <t xml:space="preserve"> 52.6617 </t>
  </si>
  <si>
    <t>C:\Users\andre\Desktop\REACTIV CEFAS\Saccharin\Saccharin/20201201_Cefas_Test8_Run1/Plate 1/@15/D11_01- exclu.tif</t>
  </si>
  <si>
    <t xml:space="preserve">C:\Users\andre\Desktop\REACTIV CEFAS\Saccharin\Saccharin/20201201_Cefas_Test8_Run1/Plate 1/@15/D11_02.tif </t>
  </si>
  <si>
    <t xml:space="preserve"> 53123.0212 </t>
  </si>
  <si>
    <t xml:space="preserve"> 43.9951 </t>
  </si>
  <si>
    <t xml:space="preserve">C:\Users\andre\Desktop\REACTIV CEFAS\Saccharin\Saccharin/20201201_Cefas_Test8_Run1/Plate 1/@15/D11_03.tif </t>
  </si>
  <si>
    <t xml:space="preserve"> 50332.7648 </t>
  </si>
  <si>
    <t xml:space="preserve"> 41.1771 </t>
  </si>
  <si>
    <t xml:space="preserve">C:\Users\andre\Desktop\REACTIV CEFAS\Saccharin\Saccharin/20201201_Cefas_Test8_Run1/Plate 1/@15/E11_01.tif </t>
  </si>
  <si>
    <t xml:space="preserve"> 86043.7208 </t>
  </si>
  <si>
    <t xml:space="preserve"> 57.5178 </t>
  </si>
  <si>
    <t xml:space="preserve">C:\Users\andre\Desktop\REACTIV CEFAS\Saccharin\Saccharin/20201201_Cefas_Test8_Run1/Plate 1/@15/E11_02.tif </t>
  </si>
  <si>
    <t xml:space="preserve"> 80117.1297 </t>
  </si>
  <si>
    <t xml:space="preserve"> 53.5359 </t>
  </si>
  <si>
    <t xml:space="preserve">C:\Users\andre\Desktop\REACTIV CEFAS\Saccharin\Saccharin/20201201_Cefas_Test8_Run1/Plate 1/@15/E11_03.tif </t>
  </si>
  <si>
    <t xml:space="preserve"> 83102.0552 </t>
  </si>
  <si>
    <t xml:space="preserve"> 58.6065 </t>
  </si>
  <si>
    <t xml:space="preserve">C:\Users\andre\Desktop\REACTIV CEFAS\Saccharin\Saccharin/20201201_Cefas_Test8_Run1/Plate 1/@15/F11_01.tif </t>
  </si>
  <si>
    <t xml:space="preserve"> 66706.595 </t>
  </si>
  <si>
    <t xml:space="preserve"> 47.4056 </t>
  </si>
  <si>
    <t xml:space="preserve">C:\Users\andre\Desktop\REACTIV CEFAS\Saccharin\Saccharin/20201201_Cefas_Test8_Run1/Plate 1/@15/F11_02.tif </t>
  </si>
  <si>
    <t xml:space="preserve"> 66230.7374 </t>
  </si>
  <si>
    <t xml:space="preserve"> 50.87 </t>
  </si>
  <si>
    <t>C:\Users\andre\Desktop\REACTIV CEFAS\Saccharin\Saccharin/20201201_Cefas_Test8_Run1/Plate 1/@15/F11_03- exclu.tif</t>
  </si>
  <si>
    <t xml:space="preserve">C:\Users\andre\Desktop\REACTIV CEFAS\Saccharin\Saccharin/20201201_Cefas_Test8_Run1/Plate 1/@15/G11_01.tif </t>
  </si>
  <si>
    <t xml:space="preserve"> 94219.821 </t>
  </si>
  <si>
    <t xml:space="preserve"> 52.9431 </t>
  </si>
  <si>
    <t xml:space="preserve">C:\Users\andre\Desktop\REACTIV CEFAS\Saccharin\Saccharin/20201201_Cefas_Test8_Run1/Plate 1/@15/G11_02.tif </t>
  </si>
  <si>
    <t xml:space="preserve"> 85978.8311 </t>
  </si>
  <si>
    <t xml:space="preserve"> 50.8503 </t>
  </si>
  <si>
    <t xml:space="preserve">C:\Users\andre\Desktop\REACTIV CEFAS\Saccharin\Saccharin/20201201_Cefas_Test8_Run1/Plate 1/@15/G11_03.tif </t>
  </si>
  <si>
    <t xml:space="preserve"> 92186.6109 </t>
  </si>
  <si>
    <t xml:space="preserve"> 54.7189 </t>
  </si>
  <si>
    <t xml:space="preserve">C:\Users\andre\Desktop\REACTIV CEFAS\Saccharin\Saccharin/20201201_Cefas_Test8_Run1/Plate 1/@15/H11_01.tif </t>
  </si>
  <si>
    <t xml:space="preserve"> 44773.8819 </t>
  </si>
  <si>
    <t xml:space="preserve"> 51.8604 </t>
  </si>
  <si>
    <t xml:space="preserve">C:\Users\andre\Desktop\REACTIV CEFAS\Saccharin\Saccharin/20201201_Cefas_Test8_Run1/Plate 1/@15/H11_02.tif </t>
  </si>
  <si>
    <t xml:space="preserve"> 51608.9286 </t>
  </si>
  <si>
    <t xml:space="preserve"> 49.6551 </t>
  </si>
  <si>
    <t xml:space="preserve">C:\Users\andre\Desktop\REACTIV CEFAS\Saccharin\Saccharin/20201201_Cefas_Test8_Run1/Plate 1/@15/H11_03.tif </t>
  </si>
  <si>
    <t xml:space="preserve"> 50376.0246 </t>
  </si>
  <si>
    <t xml:space="preserve"> 48.0854 </t>
  </si>
  <si>
    <t xml:space="preserve">C:\Users\andre\Desktop\REACTIV CEFAS\Saccharin\Saccharin/20201201_Cefas_Test8_Run1/Plate 1/@15/ </t>
  </si>
  <si>
    <t xml:space="preserve"> 50.8315 </t>
  </si>
  <si>
    <t xml:space="preserve"> 3.8989 </t>
  </si>
  <si>
    <t xml:space="preserve"> 3690184.42 </t>
  </si>
  <si>
    <t xml:space="preserve"> 1018859.53 </t>
  </si>
  <si>
    <t xml:space="preserve">C:\Users\andre\Desktop\REACTIV CEFAS\Saccharin\Saccharin/20201201_Cefas_Test8_Run1/Plate 1/@16/A12_01.tif </t>
  </si>
  <si>
    <t xml:space="preserve"> 4217.8295 </t>
  </si>
  <si>
    <t xml:space="preserve"> 35.1538 </t>
  </si>
  <si>
    <t xml:space="preserve">C:\Users\andre\Desktop\REACTIV CEFAS\Saccharin\Saccharin/20201201_Cefas_Test8_Run1/Plate 1/@16/A12_02.tif </t>
  </si>
  <si>
    <t xml:space="preserve"> 757.0463 </t>
  </si>
  <si>
    <t xml:space="preserve"> 31.5143 </t>
  </si>
  <si>
    <t xml:space="preserve">C:\Users\andre\Desktop\REACTIV CEFAS\Saccharin\Saccharin/20201201_Cefas_Test8_Run1/Plate 1/@16/A12_03.tif </t>
  </si>
  <si>
    <t xml:space="preserve"> 216.2989 </t>
  </si>
  <si>
    <t xml:space="preserve">C:\Users\andre\Desktop\REACTIV CEFAS\Saccharin\Saccharin/20201201_Cefas_Test8_Run1/Plate 1/@16/B12_01.tif </t>
  </si>
  <si>
    <t xml:space="preserve"> 2227.8791 </t>
  </si>
  <si>
    <t xml:space="preserve"> 32.8641 </t>
  </si>
  <si>
    <t xml:space="preserve">C:\Users\andre\Desktop\REACTIV CEFAS\Saccharin\Saccharin/20201201_Cefas_Test8_Run1/Plate 1/@16/B12_02.tif </t>
  </si>
  <si>
    <t xml:space="preserve"> 2898.4059 </t>
  </si>
  <si>
    <t xml:space="preserve"> 36.1642 </t>
  </si>
  <si>
    <t xml:space="preserve">C:\Users\andre\Desktop\REACTIV CEFAS\Saccharin\Saccharin/20201201_Cefas_Test8_Run1/Plate 1/@16/B12_03.tif </t>
  </si>
  <si>
    <t xml:space="preserve"> 3028.1852 </t>
  </si>
  <si>
    <t xml:space="preserve"> 34.8214 </t>
  </si>
  <si>
    <t xml:space="preserve">C:\Users\andre\Desktop\REACTIV CEFAS\Saccharin\Saccharin/20201201_Cefas_Test8_Run1/Plate 1/@16/C12_01.tif </t>
  </si>
  <si>
    <t xml:space="preserve"> 2920.0358 </t>
  </si>
  <si>
    <t xml:space="preserve"> 33.7111 </t>
  </si>
  <si>
    <t>C:\Users\andre\Desktop\REACTIV CEFAS\Saccharin\Saccharin/20201201_Cefas_Test8_Run1/Plate 1/@16/C12_02- exclu.tif</t>
  </si>
  <si>
    <t xml:space="preserve">C:\Users\andre\Desktop\REACTIV CEFAS\Saccharin\Saccharin/20201201_Cefas_Test8_Run1/Plate 1/@16/C12_03.tif </t>
  </si>
  <si>
    <t xml:space="preserve"> 648.8968 </t>
  </si>
  <si>
    <t xml:space="preserve"> 30.8333 </t>
  </si>
  <si>
    <t xml:space="preserve">C:\Users\andre\Desktop\REACTIV CEFAS\Saccharin\Saccharin/20201201_Cefas_Test8_Run1/Plate 1/@16/D12_01.tif </t>
  </si>
  <si>
    <t xml:space="preserve"> 8630.328 </t>
  </si>
  <si>
    <t xml:space="preserve"> 38.4511 </t>
  </si>
  <si>
    <t xml:space="preserve">C:\Users\andre\Desktop\REACTIV CEFAS\Saccharin\Saccharin/20201201_Cefas_Test8_Run1/Plate 1/@16/D12_02.tif </t>
  </si>
  <si>
    <t xml:space="preserve"> 2725.3667 </t>
  </si>
  <si>
    <t xml:space="preserve"> 33.7222 </t>
  </si>
  <si>
    <t xml:space="preserve">C:\Users\andre\Desktop\REACTIV CEFAS\Saccharin\Saccharin/20201201_Cefas_Test8_Run1/Plate 1/@16/D12_03.tif </t>
  </si>
  <si>
    <t xml:space="preserve"> 3417.5234 </t>
  </si>
  <si>
    <t xml:space="preserve"> 33.0253 </t>
  </si>
  <si>
    <t xml:space="preserve">C:\Users\andre\Desktop\REACTIV CEFAS\Saccharin\Saccharin/20201201_Cefas_Test8_Run1/Plate 1/@16/E12_01.tif </t>
  </si>
  <si>
    <t xml:space="preserve"> 4347.6088 </t>
  </si>
  <si>
    <t xml:space="preserve"> 35.1244 </t>
  </si>
  <si>
    <t>C:\Users\andre\Desktop\REACTIV CEFAS\Saccharin\Saccharin/20201201_Cefas_Test8_Run1/Plate 1/@16/E12_02- exclu.tif</t>
  </si>
  <si>
    <t>C:\Users\andre\Desktop\REACTIV CEFAS\Saccharin\Saccharin/20201201_Cefas_Test8_Run1/Plate 1/@16/E12_03- exclu.tif</t>
  </si>
  <si>
    <t xml:space="preserve">C:\Users\andre\Desktop\REACTIV CEFAS\Saccharin\Saccharin/20201201_Cefas_Test8_Run1/Plate 1/@16/F12_01.tif </t>
  </si>
  <si>
    <t xml:space="preserve"> 10555.3886 </t>
  </si>
  <si>
    <t xml:space="preserve"> 39.2766 </t>
  </si>
  <si>
    <t xml:space="preserve">C:\Users\andre\Desktop\REACTIV CEFAS\Saccharin\Saccharin/20201201_Cefas_Test8_Run1/Plate 1/@16/F12_02.tif </t>
  </si>
  <si>
    <t xml:space="preserve"> 5840.0715 </t>
  </si>
  <si>
    <t xml:space="preserve"> 37.4815 </t>
  </si>
  <si>
    <t xml:space="preserve">C:\Users\andre\Desktop\REACTIV CEFAS\Saccharin\Saccharin/20201201_Cefas_Test8_Run1/Plate 1/@16/F12_03.tif </t>
  </si>
  <si>
    <t xml:space="preserve"> 4650.4273 </t>
  </si>
  <si>
    <t xml:space="preserve"> 35.6186 </t>
  </si>
  <si>
    <t xml:space="preserve">C:\Users\andre\Desktop\REACTIV CEFAS\Saccharin\Saccharin/20201201_Cefas_Test8_Run1/Plate 1/@16/G12_01.tif </t>
  </si>
  <si>
    <t xml:space="preserve"> 1795.2813 </t>
  </si>
  <si>
    <t xml:space="preserve"> 31.0843 </t>
  </si>
  <si>
    <t xml:space="preserve">C:\Users\andre\Desktop\REACTIV CEFAS\Saccharin\Saccharin/20201201_Cefas_Test8_Run1/Plate 1/@16/G12_02.tif </t>
  </si>
  <si>
    <t xml:space="preserve"> 951.7154 </t>
  </si>
  <si>
    <t xml:space="preserve"> 32.6818 </t>
  </si>
  <si>
    <t xml:space="preserve">C:\Users\andre\Desktop\REACTIV CEFAS\Saccharin\Saccharin/20201201_Cefas_Test8_Run1/Plate 1/@16/G12_03.tif </t>
  </si>
  <si>
    <t xml:space="preserve"> 3439.1532 </t>
  </si>
  <si>
    <t xml:space="preserve"> 36.6164 </t>
  </si>
  <si>
    <t xml:space="preserve">C:\Users\andre\Desktop\REACTIV CEFAS\Saccharin\Saccharin/20201201_Cefas_Test8_Run1/Plate 1/@16/H12_01.tif </t>
  </si>
  <si>
    <t xml:space="preserve"> 4390.8686 </t>
  </si>
  <si>
    <t xml:space="preserve"> 35.1823 </t>
  </si>
  <si>
    <t xml:space="preserve">C:\Users\andre\Desktop\REACTIV CEFAS\Saccharin\Saccharin/20201201_Cefas_Test8_Run1/Plate 1/@16/H12_02.tif </t>
  </si>
  <si>
    <t xml:space="preserve"> 2768.6265 </t>
  </si>
  <si>
    <t xml:space="preserve"> 34.4375 </t>
  </si>
  <si>
    <t xml:space="preserve">C:\Users\andre\Desktop\REACTIV CEFAS\Saccharin\Saccharin/20201201_Cefas_Test8_Run1/Plate 1/@16/H12_03.tif </t>
  </si>
  <si>
    <t xml:space="preserve"> 4369.2387 </t>
  </si>
  <si>
    <t xml:space="preserve"> 37.3515 </t>
  </si>
  <si>
    <t xml:space="preserve">C:\Users\andre\Desktop\REACTIV CEFAS\Saccharin\Saccharin/20201201_Cefas_Test8_Run1/Plate 1/@16/ </t>
  </si>
  <si>
    <t xml:space="preserve"> 33.6831 </t>
  </si>
  <si>
    <t xml:space="preserve"> 7.7027 </t>
  </si>
  <si>
    <t xml:space="preserve"> 137755.5 </t>
  </si>
  <si>
    <t xml:space="preserve"> 108930.994 </t>
  </si>
  <si>
    <t xml:space="preserve">C:\Users\andre\Desktop\REACTIV CEFAS\Saccharin\Saccharin/20201201_Cefas_Test8_Run1/Plate 1/@2/A2_01.tif </t>
  </si>
  <si>
    <t xml:space="preserve"> 2314.3987 </t>
  </si>
  <si>
    <t xml:space="preserve"> 36.0935 </t>
  </si>
  <si>
    <t xml:space="preserve">C:\Users\andre\Desktop\REACTIV CEFAS\Saccharin\Saccharin/20201201_Cefas_Test8_Run1/Plate 1/@2/A2_02.tif </t>
  </si>
  <si>
    <t xml:space="preserve"> 3222.8543 </t>
  </si>
  <si>
    <t xml:space="preserve"> 35.3826 </t>
  </si>
  <si>
    <t xml:space="preserve">C:\Users\andre\Desktop\REACTIV CEFAS\Saccharin\Saccharin/20201201_Cefas_Test8_Run1/Plate 1/@2/A2_03.tif </t>
  </si>
  <si>
    <t xml:space="preserve"> 2422.5482 </t>
  </si>
  <si>
    <t xml:space="preserve"> 35.5625 </t>
  </si>
  <si>
    <t xml:space="preserve">C:\Users\andre\Desktop\REACTIV CEFAS\Saccharin\Saccharin/20201201_Cefas_Test8_Run1/Plate 1/@2/B2_01.tif </t>
  </si>
  <si>
    <t xml:space="preserve"> 6445.7086 </t>
  </si>
  <si>
    <t xml:space="preserve"> 37.4262 </t>
  </si>
  <si>
    <t xml:space="preserve">C:\Users\andre\Desktop\REACTIV CEFAS\Saccharin\Saccharin/20201201_Cefas_Test8_Run1/Plate 1/@2/B2_02.tif </t>
  </si>
  <si>
    <t xml:space="preserve"> 5018.1356 </t>
  </si>
  <si>
    <t xml:space="preserve"> 35.8621 </t>
  </si>
  <si>
    <t xml:space="preserve">C:\Users\andre\Desktop\REACTIV CEFAS\Saccharin\Saccharin/20201201_Cefas_Test8_Run1/Plate 1/@2/B2_03.tif </t>
  </si>
  <si>
    <t xml:space="preserve"> 6251.0395 </t>
  </si>
  <si>
    <t xml:space="preserve"> 37.4187 </t>
  </si>
  <si>
    <t xml:space="preserve">C:\Users\andre\Desktop\REACTIV CEFAS\Saccharin\Saccharin/20201201_Cefas_Test8_Run1/Plate 1/@2/C2_01.tif </t>
  </si>
  <si>
    <t xml:space="preserve"> 302.8185 </t>
  </si>
  <si>
    <t xml:space="preserve"> 31.2857 </t>
  </si>
  <si>
    <t xml:space="preserve">C:\Users\andre\Desktop\REACTIV CEFAS\Saccharin\Saccharin/20201201_Cefas_Test8_Run1/Plate 1/@2/C2_02.tif </t>
  </si>
  <si>
    <t xml:space="preserve"> 4174.5697 </t>
  </si>
  <si>
    <t xml:space="preserve"> 37.2124 </t>
  </si>
  <si>
    <t xml:space="preserve">C:\Users\andre\Desktop\REACTIV CEFAS\Saccharin\Saccharin/20201201_Cefas_Test8_Run1/Plate 1/@2/C2_03.tif </t>
  </si>
  <si>
    <t xml:space="preserve"> 6121.2602 </t>
  </si>
  <si>
    <t xml:space="preserve"> 40.8198 </t>
  </si>
  <si>
    <t xml:space="preserve">C:\Users\andre\Desktop\REACTIV CEFAS\Saccharin\Saccharin/20201201_Cefas_Test8_Run1/Plate 1/@2/D2_01.tif </t>
  </si>
  <si>
    <t xml:space="preserve"> 4261.0892 </t>
  </si>
  <si>
    <t xml:space="preserve"> 33.0558 </t>
  </si>
  <si>
    <t xml:space="preserve">C:\Users\andre\Desktop\REACTIV CEFAS\Saccharin\Saccharin/20201201_Cefas_Test8_Run1/Plate 1/@2/D2_02.tif </t>
  </si>
  <si>
    <t xml:space="preserve"> 4499.0181 </t>
  </si>
  <si>
    <t xml:space="preserve"> 37.6875 </t>
  </si>
  <si>
    <t xml:space="preserve">C:\Users\andre\Desktop\REACTIV CEFAS\Saccharin\Saccharin/20201201_Cefas_Test8_Run1/Plate 1/@2/D2_03.tif </t>
  </si>
  <si>
    <t xml:space="preserve"> 5147.9149 </t>
  </si>
  <si>
    <t xml:space="preserve"> 39.7647 </t>
  </si>
  <si>
    <t xml:space="preserve">C:\Users\andre\Desktop\REACTIV CEFAS\Saccharin\Saccharin/20201201_Cefas_Test8_Run1/Plate 1/@2/E2_01.tif </t>
  </si>
  <si>
    <t xml:space="preserve"> 6510.5983 </t>
  </si>
  <si>
    <t xml:space="preserve"> 38.6279 </t>
  </si>
  <si>
    <t xml:space="preserve">C:\Users\andre\Desktop\REACTIV CEFAS\Saccharin\Saccharin/20201201_Cefas_Test8_Run1/Plate 1/@2/E2_02.tif </t>
  </si>
  <si>
    <t xml:space="preserve"> 6078.0004 </t>
  </si>
  <si>
    <t xml:space="preserve"> 41.8221 </t>
  </si>
  <si>
    <t xml:space="preserve">C:\Users\andre\Desktop\REACTIV CEFAS\Saccharin\Saccharin/20201201_Cefas_Test8_Run1/Plate 1/@2/E2_03.tif </t>
  </si>
  <si>
    <t xml:space="preserve"> 6964.8261 </t>
  </si>
  <si>
    <t xml:space="preserve"> 39.5031 </t>
  </si>
  <si>
    <t xml:space="preserve">C:\Users\andre\Desktop\REACTIV CEFAS\Saccharin\Saccharin/20201201_Cefas_Test8_Run1/Plate 1/@2/F2_01.tif </t>
  </si>
  <si>
    <t xml:space="preserve"> 3309.3739 </t>
  </si>
  <si>
    <t xml:space="preserve"> 37.719 </t>
  </si>
  <si>
    <t xml:space="preserve">C:\Users\andre\Desktop\REACTIV CEFAS\Saccharin\Saccharin/20201201_Cefas_Test8_Run1/Plate 1/@2/F2_02.tif </t>
  </si>
  <si>
    <t xml:space="preserve"> 5320.9541 </t>
  </si>
  <si>
    <t xml:space="preserve"> 41.9553 </t>
  </si>
  <si>
    <t xml:space="preserve">C:\Users\andre\Desktop\REACTIV CEFAS\Saccharin\Saccharin/20201201_Cefas_Test8_Run1/Plate 1/@2/F2_03.tif </t>
  </si>
  <si>
    <t xml:space="preserve"> 7419.0539 </t>
  </si>
  <si>
    <t xml:space="preserve"> 40.0671 </t>
  </si>
  <si>
    <t xml:space="preserve">C:\Users\andre\Desktop\REACTIV CEFAS\Saccharin\Saccharin/20201201_Cefas_Test8_Run1/Plate 1/@2/G2_01.tif </t>
  </si>
  <si>
    <t xml:space="preserve"> 129.7794 </t>
  </si>
  <si>
    <t xml:space="preserve">C:\Users\andre\Desktop\REACTIV CEFAS\Saccharin\Saccharin/20201201_Cefas_Test8_Run1/Plate 1/@2/G2_02.tif </t>
  </si>
  <si>
    <t xml:space="preserve"> 35.3672 </t>
  </si>
  <si>
    <t xml:space="preserve">C:\Users\andre\Desktop\REACTIV CEFAS\Saccharin\Saccharin/20201201_Cefas_Test8_Run1/Plate 1/@2/G2_03.tif </t>
  </si>
  <si>
    <t xml:space="preserve"> 3871.7511 </t>
  </si>
  <si>
    <t xml:space="preserve"> 39.9777 </t>
  </si>
  <si>
    <t xml:space="preserve">C:\Users\andre\Desktop\REACTIV CEFAS\Saccharin\Saccharin/20201201_Cefas_Test8_Run1/Plate 1/@2/H2_01.tif </t>
  </si>
  <si>
    <t xml:space="preserve"> 6402.4488 </t>
  </si>
  <si>
    <t xml:space="preserve"> 34.5304 </t>
  </si>
  <si>
    <t xml:space="preserve">C:\Users\andre\Desktop\REACTIV CEFAS\Saccharin\Saccharin/20201201_Cefas_Test8_Run1/Plate 1/@2/H2_02.tif </t>
  </si>
  <si>
    <t xml:space="preserve"> 4542.2779 </t>
  </si>
  <si>
    <t xml:space="preserve"> 36.9857 </t>
  </si>
  <si>
    <t xml:space="preserve">C:\Users\andre\Desktop\REACTIV CEFAS\Saccharin\Saccharin/20201201_Cefas_Test8_Run1/Plate 1/@2/H2_03.tif </t>
  </si>
  <si>
    <t xml:space="preserve"> 5493.9932 </t>
  </si>
  <si>
    <t xml:space="preserve"> 39.7598 </t>
  </si>
  <si>
    <t xml:space="preserve">C:\Users\andre\Desktop\REACTIV CEFAS\Saccharin\Saccharin/20201201_Cefas_Test8_Run1/Plate 1/@2/ </t>
  </si>
  <si>
    <t xml:space="preserve"> 37.28 </t>
  </si>
  <si>
    <t xml:space="preserve"> 2.9939 </t>
  </si>
  <si>
    <t xml:space="preserve"> 173291.625 </t>
  </si>
  <si>
    <t xml:space="preserve"> 79358.4007 </t>
  </si>
  <si>
    <t xml:space="preserve">C:\Users\andre\Desktop\REACTIV CEFAS\Saccharin\Saccharin/20201201_Cefas_Test8_Run1/Plate 1/@3/A3_01.tif </t>
  </si>
  <si>
    <t xml:space="preserve"> 6315.9292 </t>
  </si>
  <si>
    <t xml:space="preserve"> 41.9555 </t>
  </si>
  <si>
    <t xml:space="preserve">C:\Users\andre\Desktop\REACTIV CEFAS\Saccharin\Saccharin/20201201_Cefas_Test8_Run1/Plate 1/@3/A3_02.tif </t>
  </si>
  <si>
    <t xml:space="preserve"> 6835.0467 </t>
  </si>
  <si>
    <t xml:space="preserve"> 43.3703 </t>
  </si>
  <si>
    <t xml:space="preserve">C:\Users\andre\Desktop\REACTIV CEFAS\Saccharin\Saccharin/20201201_Cefas_Test8_Run1/Plate 1/@3/A3_03.tif </t>
  </si>
  <si>
    <t xml:space="preserve">C:\Users\andre\Desktop\REACTIV CEFAS\Saccharin\Saccharin/20201201_Cefas_Test8_Run1/Plate 1/@3/B3_01.tif </t>
  </si>
  <si>
    <t xml:space="preserve"> 40556.0524 </t>
  </si>
  <si>
    <t xml:space="preserve"> 36.832 </t>
  </si>
  <si>
    <t xml:space="preserve">C:\Users\andre\Desktop\REACTIV CEFAS\Saccharin\Saccharin/20201201_Cefas_Test8_Run1/Plate 1/@3/B3_02.tif </t>
  </si>
  <si>
    <t xml:space="preserve"> 33461.447 </t>
  </si>
  <si>
    <t xml:space="preserve"> 34.9315 </t>
  </si>
  <si>
    <t xml:space="preserve">C:\Users\andre\Desktop\REACTIV CEFAS\Saccharin\Saccharin/20201201_Cefas_Test8_Run1/Plate 1/@3/B3_03.tif </t>
  </si>
  <si>
    <t xml:space="preserve"> 38479.5825 </t>
  </si>
  <si>
    <t xml:space="preserve"> 35.6521 </t>
  </si>
  <si>
    <t xml:space="preserve">C:\Users\andre\Desktop\REACTIV CEFAS\Saccharin\Saccharin/20201201_Cefas_Test8_Run1/Plate 1/@3/C3_01.tif </t>
  </si>
  <si>
    <t xml:space="preserve"> 2855.1461 </t>
  </si>
  <si>
    <t xml:space="preserve"> 35.1515 </t>
  </si>
  <si>
    <t xml:space="preserve">C:\Users\andre\Desktop\REACTIV CEFAS\Saccharin\Saccharin/20201201_Cefas_Test8_Run1/Plate 1/@3/C3_02.tif </t>
  </si>
  <si>
    <t xml:space="preserve"> 2465.808 </t>
  </si>
  <si>
    <t xml:space="preserve"> 34.6491 </t>
  </si>
  <si>
    <t xml:space="preserve">C:\Users\andre\Desktop\REACTIV CEFAS\Saccharin\Saccharin/20201201_Cefas_Test8_Run1/Plate 1/@3/C3_03.tif </t>
  </si>
  <si>
    <t xml:space="preserve"> 1578.9823 </t>
  </si>
  <si>
    <t xml:space="preserve"> 32.0959 </t>
  </si>
  <si>
    <t xml:space="preserve">C:\Users\andre\Desktop\REACTIV CEFAS\Saccharin\Saccharin/20201201_Cefas_Test8_Run1/Plate 1/@3/D3_01.tif </t>
  </si>
  <si>
    <t xml:space="preserve"> 5515.6231 </t>
  </si>
  <si>
    <t xml:space="preserve"> 40.0784 </t>
  </si>
  <si>
    <t xml:space="preserve">C:\Users\andre\Desktop\REACTIV CEFAS\Saccharin\Saccharin/20201201_Cefas_Test8_Run1/Plate 1/@3/D3_02.tif </t>
  </si>
  <si>
    <t xml:space="preserve"> 36.121 </t>
  </si>
  <si>
    <t xml:space="preserve">C:\Users\andre\Desktop\REACTIV CEFAS\Saccharin\Saccharin/20201201_Cefas_Test8_Run1/Plate 1/@3/D3_03.tif </t>
  </si>
  <si>
    <t xml:space="preserve"> 3741.9718 </t>
  </si>
  <si>
    <t xml:space="preserve"> 36.0173 </t>
  </si>
  <si>
    <t xml:space="preserve">C:\Users\andre\Desktop\REACTIV CEFAS\Saccharin\Saccharin/20201201_Cefas_Test8_Run1/Plate 1/@3/E3_01.tif </t>
  </si>
  <si>
    <t xml:space="preserve">C:\Users\andre\Desktop\REACTIV CEFAS\Saccharin\Saccharin/20201201_Cefas_Test8_Run1/Plate 1/@3/E3_02.tif </t>
  </si>
  <si>
    <t xml:space="preserve"> 1925.0606 </t>
  </si>
  <si>
    <t xml:space="preserve"> 33.0899 </t>
  </si>
  <si>
    <t xml:space="preserve">C:\Users\andre\Desktop\REACTIV CEFAS\Saccharin\Saccharin/20201201_Cefas_Test8_Run1/Plate 1/@3/E3_03.tif </t>
  </si>
  <si>
    <t xml:space="preserve"> 2941.6657 </t>
  </si>
  <si>
    <t xml:space="preserve"> 36.4559 </t>
  </si>
  <si>
    <t>C:\Users\andre\Desktop\REACTIV CEFAS\Saccharin\Saccharin/20201201_Cefas_Test8_Run1/Plate 1/@3/F3_01- exclu.tif</t>
  </si>
  <si>
    <t>C:\Users\andre\Desktop\REACTIV CEFAS\Saccharin\Saccharin/20201201_Cefas_Test8_Run1/Plate 1/@3/F3_02- exclu.tif</t>
  </si>
  <si>
    <t>C:\Users\andre\Desktop\REACTIV CEFAS\Saccharin\Saccharin/20201201_Cefas_Test8_Run1/Plate 1/@3/F3_03- exclu.tif</t>
  </si>
  <si>
    <t>C:\Users\andre\Desktop\REACTIV CEFAS\Saccharin\Saccharin/20201201_Cefas_Test8_Run1/Plate 1/@3/G3_01- exclu.tif</t>
  </si>
  <si>
    <t xml:space="preserve">C:\Users\andre\Desktop\REACTIV CEFAS\Saccharin\Saccharin/20201201_Cefas_Test8_Run1/Plate 1/@3/G3_02.tif </t>
  </si>
  <si>
    <t xml:space="preserve"> 4023.1604 </t>
  </si>
  <si>
    <t xml:space="preserve"> 35.9194 </t>
  </si>
  <si>
    <t>C:\Users\andre\Desktop\REACTIV CEFAS\Saccharin\Saccharin/20201201_Cefas_Test8_Run1/Plate 1/@3/G3_03- exclu.tif</t>
  </si>
  <si>
    <t xml:space="preserve">C:\Users\andre\Desktop\REACTIV CEFAS\Saccharin\Saccharin/20201201_Cefas_Test8_Run1/Plate 1/@3/H3_01.tif </t>
  </si>
  <si>
    <t xml:space="preserve"> 2119.7297 </t>
  </si>
  <si>
    <t xml:space="preserve"> 31.5204 </t>
  </si>
  <si>
    <t xml:space="preserve">C:\Users\andre\Desktop\REACTIV CEFAS\Saccharin\Saccharin/20201201_Cefas_Test8_Run1/Plate 1/@3/H3_02.tif </t>
  </si>
  <si>
    <t xml:space="preserve"> 908.4556 </t>
  </si>
  <si>
    <t xml:space="preserve"> 31.3571 </t>
  </si>
  <si>
    <t xml:space="preserve">C:\Users\andre\Desktop\REACTIV CEFAS\Saccharin\Saccharin/20201201_Cefas_Test8_Run1/Plate 1/@3/H3_03.tif </t>
  </si>
  <si>
    <t xml:space="preserve"> 2638.8471 </t>
  </si>
  <si>
    <t xml:space="preserve"> 33.4098 </t>
  </si>
  <si>
    <t xml:space="preserve">C:\Users\andre\Desktop\REACTIV CEFAS\Saccharin\Saccharin/20201201_Cefas_Test8_Run1/Plate 1/@3/ </t>
  </si>
  <si>
    <t xml:space="preserve"> 34.0583 </t>
  </si>
  <si>
    <t xml:space="preserve"> 11.4445 </t>
  </si>
  <si>
    <t xml:space="preserve"> 338262.75 </t>
  </si>
  <si>
    <t xml:space="preserve"> 433708.039 </t>
  </si>
  <si>
    <t xml:space="preserve">C:\Users\andre\Desktop\REACTIV CEFAS\Saccharin\Saccharin/20201201_Cefas_Test8_Run1/Plate 1/@4/A4_01.tif </t>
  </si>
  <si>
    <t xml:space="preserve"> 8305.8795 </t>
  </si>
  <si>
    <t xml:space="preserve"> 38.7161 </t>
  </si>
  <si>
    <t>C:\Users\andre\Desktop\REACTIV CEFAS\Saccharin\Saccharin/20201201_Cefas_Test8_Run1/Plate 1/@4/A4_02- exclu.tif</t>
  </si>
  <si>
    <t xml:space="preserve">C:\Users\andre\Desktop\REACTIV CEFAS\Saccharin\Saccharin/20201201_Cefas_Test8_Run1/Plate 1/@4/A4_03.tif </t>
  </si>
  <si>
    <t xml:space="preserve"> 6618.7478 </t>
  </si>
  <si>
    <t xml:space="preserve"> 36.0948 </t>
  </si>
  <si>
    <t xml:space="preserve">C:\Users\andre\Desktop\REACTIV CEFAS\Saccharin\Saccharin/20201201_Cefas_Test8_Run1/Plate 1/@4/B4_01.tif </t>
  </si>
  <si>
    <t xml:space="preserve"> 6921.5663 </t>
  </si>
  <si>
    <t xml:space="preserve"> 37.4438 </t>
  </si>
  <si>
    <t xml:space="preserve">C:\Users\andre\Desktop\REACTIV CEFAS\Saccharin\Saccharin/20201201_Cefas_Test8_Run1/Plate 1/@4/B4_02.tif </t>
  </si>
  <si>
    <t xml:space="preserve"> 13864.7625 </t>
  </si>
  <si>
    <t xml:space="preserve"> 42.6786 </t>
  </si>
  <si>
    <t xml:space="preserve">C:\Users\andre\Desktop\REACTIV CEFAS\Saccharin\Saccharin/20201201_Cefas_Test8_Run1/Plate 1/@4/B4_03.tif </t>
  </si>
  <si>
    <t xml:space="preserve"> 8954.7764 </t>
  </si>
  <si>
    <t xml:space="preserve"> 42.8237 </t>
  </si>
  <si>
    <t xml:space="preserve">C:\Users\andre\Desktop\REACTIV CEFAS\Saccharin\Saccharin/20201201_Cefas_Test8_Run1/Plate 1/@4/C4_01.tif </t>
  </si>
  <si>
    <t xml:space="preserve"> 21997.6028 </t>
  </si>
  <si>
    <t xml:space="preserve"> 32.8387 </t>
  </si>
  <si>
    <t xml:space="preserve">C:\Users\andre\Desktop\REACTIV CEFAS\Saccharin\Saccharin/20201201_Cefas_Test8_Run1/Plate 1/@4/C4_02.tif </t>
  </si>
  <si>
    <t xml:space="preserve"> 29957.4041 </t>
  </si>
  <si>
    <t xml:space="preserve"> 33.7292 </t>
  </si>
  <si>
    <t xml:space="preserve">C:\Users\andre\Desktop\REACTIV CEFAS\Saccharin\Saccharin/20201201_Cefas_Test8_Run1/Plate 1/@4/C4_03.tif </t>
  </si>
  <si>
    <t xml:space="preserve"> 37138.5291 </t>
  </si>
  <si>
    <t xml:space="preserve"> 35.2935 </t>
  </si>
  <si>
    <t xml:space="preserve">C:\Users\andre\Desktop\REACTIV CEFAS\Saccharin\Saccharin/20201201_Cefas_Test8_Run1/Plate 1/@4/D4_01.tif </t>
  </si>
  <si>
    <t xml:space="preserve"> 18493.5599 </t>
  </si>
  <si>
    <t xml:space="preserve"> 34.1825 </t>
  </si>
  <si>
    <t xml:space="preserve">C:\Users\andre\Desktop\REACTIV CEFAS\Saccharin\Saccharin/20201201_Cefas_Test8_Run1/Plate 1/@4/D4_02.tif </t>
  </si>
  <si>
    <t xml:space="preserve"> 24722.9696 </t>
  </si>
  <si>
    <t xml:space="preserve"> 33.7804 </t>
  </si>
  <si>
    <t xml:space="preserve">C:\Users\andre\Desktop\REACTIV CEFAS\Saccharin\Saccharin/20201201_Cefas_Test8_Run1/Plate 1/@4/D4_03.tif </t>
  </si>
  <si>
    <t xml:space="preserve"> 19293.866 </t>
  </si>
  <si>
    <t xml:space="preserve"> 32.3004 </t>
  </si>
  <si>
    <t xml:space="preserve">C:\Users\andre\Desktop\REACTIV CEFAS\Saccharin\Saccharin/20201201_Cefas_Test8_Run1/Plate 1/@4/E4_01.tif </t>
  </si>
  <si>
    <t xml:space="preserve"> 27145.5178 </t>
  </si>
  <si>
    <t xml:space="preserve"> 36.4135 </t>
  </si>
  <si>
    <t xml:space="preserve">C:\Users\andre\Desktop\REACTIV CEFAS\Saccharin\Saccharin/20201201_Cefas_Test8_Run1/Plate 1/@4/E4_02.tif </t>
  </si>
  <si>
    <t xml:space="preserve"> 23446.8058 </t>
  </si>
  <si>
    <t xml:space="preserve"> 35.8616 </t>
  </si>
  <si>
    <t xml:space="preserve">C:\Users\andre\Desktop\REACTIV CEFAS\Saccharin\Saccharin/20201201_Cefas_Test8_Run1/Plate 1/@4/E4_03.tif </t>
  </si>
  <si>
    <t xml:space="preserve"> 16157.5313 </t>
  </si>
  <si>
    <t xml:space="preserve"> 35.2383 </t>
  </si>
  <si>
    <t xml:space="preserve">C:\Users\andre\Desktop\REACTIV CEFAS\Saccharin\Saccharin/20201201_Cefas_Test8_Run1/Plate 1/@4/F4_01.tif </t>
  </si>
  <si>
    <t xml:space="preserve"> 3006.5554 </t>
  </si>
  <si>
    <t xml:space="preserve"> 31.7626 </t>
  </si>
  <si>
    <t xml:space="preserve">C:\Users\andre\Desktop\REACTIV CEFAS\Saccharin\Saccharin/20201201_Cefas_Test8_Run1/Plate 1/@4/F4_02.tif </t>
  </si>
  <si>
    <t xml:space="preserve"> 32.2624 </t>
  </si>
  <si>
    <t xml:space="preserve">C:\Users\andre\Desktop\REACTIV CEFAS\Saccharin\Saccharin/20201201_Cefas_Test8_Run1/Plate 1/@4/F4_03.tif </t>
  </si>
  <si>
    <t xml:space="preserve"> 4758.5768 </t>
  </si>
  <si>
    <t xml:space="preserve"> 32.4364 </t>
  </si>
  <si>
    <t xml:space="preserve">C:\Users\andre\Desktop\REACTIV CEFAS\Saccharin\Saccharin/20201201_Cefas_Test8_Run1/Plate 1/@4/G4_01.tif </t>
  </si>
  <si>
    <t xml:space="preserve"> 24095.7026 </t>
  </si>
  <si>
    <t xml:space="preserve"> 33.991 </t>
  </si>
  <si>
    <t xml:space="preserve">C:\Users\andre\Desktop\REACTIV CEFAS\Saccharin\Saccharin/20201201_Cefas_Test8_Run1/Plate 1/@4/G4_02.tif </t>
  </si>
  <si>
    <t xml:space="preserve"> 35624.4365 </t>
  </si>
  <si>
    <t xml:space="preserve"> 37.7747 </t>
  </si>
  <si>
    <t xml:space="preserve">C:\Users\andre\Desktop\REACTIV CEFAS\Saccharin\Saccharin/20201201_Cefas_Test8_Run1/Plate 1/@4/G4_03.tif </t>
  </si>
  <si>
    <t xml:space="preserve"> 23143.9873 </t>
  </si>
  <si>
    <t xml:space="preserve"> 35.3486 </t>
  </si>
  <si>
    <t xml:space="preserve">C:\Users\andre\Desktop\REACTIV CEFAS\Saccharin\Saccharin/20201201_Cefas_Test8_Run1/Plate 1/@4/H4_01.tif </t>
  </si>
  <si>
    <t xml:space="preserve"> 778.6762 </t>
  </si>
  <si>
    <t xml:space="preserve"> 31.0833 </t>
  </si>
  <si>
    <t>C:\Users\andre\Desktop\REACTIV CEFAS\Saccharin\Saccharin/20201201_Cefas_Test8_Run1/Plate 1/@4/H4_02- exclu.tif</t>
  </si>
  <si>
    <t xml:space="preserve">C:\Users\andre\Desktop\REACTIV CEFAS\Saccharin\Saccharin/20201201_Cefas_Test8_Run1/Plate 1/@4/H4_03.tif </t>
  </si>
  <si>
    <t xml:space="preserve"> 31.1613 </t>
  </si>
  <si>
    <t xml:space="preserve">C:\Users\andre\Desktop\REACTIV CEFAS\Saccharin\Saccharin/20201201_Cefas_Test8_Run1/Plate 1/@4/ </t>
  </si>
  <si>
    <t xml:space="preserve"> 33.5251 </t>
  </si>
  <si>
    <t xml:space="preserve"> 7.8271 </t>
  </si>
  <si>
    <t xml:space="preserve"> 544727.375 </t>
  </si>
  <si>
    <t xml:space="preserve"> 397328.388 </t>
  </si>
  <si>
    <t xml:space="preserve">C:\Users\andre\Desktop\REACTIV CEFAS\Saccharin\Saccharin/20201201_Cefas_Test8_Run1/Plate 1/@5/A5_01.tif </t>
  </si>
  <si>
    <t xml:space="preserve"> 23079.0976 </t>
  </si>
  <si>
    <t xml:space="preserve"> 36.5492 </t>
  </si>
  <si>
    <t>C:\Users\andre\Desktop\REACTIV CEFAS\Saccharin\Saccharin/20201201_Cefas_Test8_Run1/Plate 1/@5/A5_02- exclu.tif</t>
  </si>
  <si>
    <t xml:space="preserve">C:\Users\andre\Desktop\REACTIV CEFAS\Saccharin\Saccharin/20201201_Cefas_Test8_Run1/Plate 1/@5/A5_03.tif </t>
  </si>
  <si>
    <t xml:space="preserve"> 23554.9553 </t>
  </si>
  <si>
    <t xml:space="preserve"> 36.6538 </t>
  </si>
  <si>
    <t xml:space="preserve">C:\Users\andre\Desktop\REACTIV CEFAS\Saccharin\Saccharin/20201201_Cefas_Test8_Run1/Plate 1/@5/B5_01.tif </t>
  </si>
  <si>
    <t xml:space="preserve"> 53555.6191 </t>
  </si>
  <si>
    <t xml:space="preserve"> 38.2645 </t>
  </si>
  <si>
    <t xml:space="preserve">C:\Users\andre\Desktop\REACTIV CEFAS\Saccharin\Saccharin/20201201_Cefas_Test8_Run1/Plate 1/@5/B5_02.tif </t>
  </si>
  <si>
    <t xml:space="preserve"> 53490.7294 </t>
  </si>
  <si>
    <t xml:space="preserve"> 37.4905 </t>
  </si>
  <si>
    <t xml:space="preserve">C:\Users\andre\Desktop\REACTIV CEFAS\Saccharin\Saccharin/20201201_Cefas_Test8_Run1/Plate 1/@5/B5_03.tif </t>
  </si>
  <si>
    <t xml:space="preserve"> 67982.7588 </t>
  </si>
  <si>
    <t xml:space="preserve"> 40.2074 </t>
  </si>
  <si>
    <t xml:space="preserve">C:\Users\andre\Desktop\REACTIV CEFAS\Saccharin\Saccharin/20201201_Cefas_Test8_Run1/Plate 1/@5/C5_01.tif </t>
  </si>
  <si>
    <t xml:space="preserve"> 28508.2011 </t>
  </si>
  <si>
    <t xml:space="preserve"> 37.717 </t>
  </si>
  <si>
    <t xml:space="preserve">C:\Users\andre\Desktop\REACTIV CEFAS\Saccharin\Saccharin/20201201_Cefas_Test8_Run1/Plate 1/@5/C5_02.tif </t>
  </si>
  <si>
    <t xml:space="preserve"> 19812.9835 </t>
  </si>
  <si>
    <t xml:space="preserve"> 37.6299 </t>
  </si>
  <si>
    <t xml:space="preserve">C:\Users\andre\Desktop\REACTIV CEFAS\Saccharin\Saccharin/20201201_Cefas_Test8_Run1/Plate 1/@5/C5_03.tif </t>
  </si>
  <si>
    <t xml:space="preserve"> 28767.7599 </t>
  </si>
  <si>
    <t xml:space="preserve"> 40.9383 </t>
  </si>
  <si>
    <t xml:space="preserve">C:\Users\andre\Desktop\REACTIV CEFAS\Saccharin\Saccharin/20201201_Cefas_Test8_Run1/Plate 1/@5/D5_01.tif </t>
  </si>
  <si>
    <t xml:space="preserve"> 83988.8808 </t>
  </si>
  <si>
    <t xml:space="preserve"> 43.6902 </t>
  </si>
  <si>
    <t xml:space="preserve">C:\Users\andre\Desktop\REACTIV CEFAS\Saccharin\Saccharin/20201201_Cefas_Test8_Run1/Plate 1/@5/D5_02.tif </t>
  </si>
  <si>
    <t xml:space="preserve"> 80246.9091 </t>
  </si>
  <si>
    <t xml:space="preserve"> 42.4073 </t>
  </si>
  <si>
    <t xml:space="preserve">C:\Users\andre\Desktop\REACTIV CEFAS\Saccharin\Saccharin/20201201_Cefas_Test8_Run1/Plate 1/@5/D5_03.tif </t>
  </si>
  <si>
    <t xml:space="preserve"> 79122.1546 </t>
  </si>
  <si>
    <t xml:space="preserve"> 43.193 </t>
  </si>
  <si>
    <t xml:space="preserve">C:\Users\andre\Desktop\REACTIV CEFAS\Saccharin\Saccharin/20201201_Cefas_Test8_Run1/Plate 1/@5/E5_01.tif </t>
  </si>
  <si>
    <t xml:space="preserve"> 43951.9459 </t>
  </si>
  <si>
    <t xml:space="preserve"> 34.4405 </t>
  </si>
  <si>
    <t>C:\Users\andre\Desktop\REACTIV CEFAS\Saccharin\Saccharin/20201201_Cefas_Test8_Run1/Plate 1/@5/E5_02- exclu.tif</t>
  </si>
  <si>
    <t>C:\Users\andre\Desktop\REACTIV CEFAS\Saccharin\Saccharin/20201201_Cefas_Test8_Run1/Plate 1/@5/E5_03- exclu.tif</t>
  </si>
  <si>
    <t xml:space="preserve">C:\Users\andre\Desktop\REACTIV CEFAS\Saccharin\Saccharin/20201201_Cefas_Test8_Run1/Plate 1/@5/F5_01.tif </t>
  </si>
  <si>
    <t xml:space="preserve"> 50051.5762 </t>
  </si>
  <si>
    <t xml:space="preserve"> 39.0372 </t>
  </si>
  <si>
    <t xml:space="preserve">C:\Users\andre\Desktop\REACTIV CEFAS\Saccharin\Saccharin/20201201_Cefas_Test8_Run1/Plate 1/@5/F5_02.tif </t>
  </si>
  <si>
    <t xml:space="preserve"> 44665.7324 </t>
  </si>
  <si>
    <t xml:space="preserve"> 41.247 </t>
  </si>
  <si>
    <t xml:space="preserve">C:\Users\andre\Desktop\REACTIV CEFAS\Saccharin\Saccharin/20201201_Cefas_Test8_Run1/Plate 1/@5/F5_03.tif </t>
  </si>
  <si>
    <t xml:space="preserve"> 55545.5694 </t>
  </si>
  <si>
    <t xml:space="preserve"> 41.4202 </t>
  </si>
  <si>
    <t xml:space="preserve">C:\Users\andre\Desktop\REACTIV CEFAS\Saccharin\Saccharin/20201201_Cefas_Test8_Run1/Plate 1/@5/G5_01.tif </t>
  </si>
  <si>
    <t xml:space="preserve"> 64651.755 </t>
  </si>
  <si>
    <t xml:space="preserve"> 40.6591 </t>
  </si>
  <si>
    <t xml:space="preserve">C:\Users\andre\Desktop\REACTIV CEFAS\Saccharin\Saccharin/20201201_Cefas_Test8_Run1/Plate 1/@5/G5_02.tif </t>
  </si>
  <si>
    <t xml:space="preserve"> 54291.0355 </t>
  </si>
  <si>
    <t xml:space="preserve"> 36.7112 </t>
  </si>
  <si>
    <t xml:space="preserve">C:\Users\andre\Desktop\REACTIV CEFAS\Saccharin\Saccharin/20201201_Cefas_Test8_Run1/Plate 1/@5/G5_03.tif </t>
  </si>
  <si>
    <t xml:space="preserve"> 61169.342 </t>
  </si>
  <si>
    <t xml:space="preserve"> 40.8586 </t>
  </si>
  <si>
    <t xml:space="preserve">C:\Users\andre\Desktop\REACTIV CEFAS\Saccharin\Saccharin/20201201_Cefas_Test8_Run1/Plate 1/@5/H5_01.tif </t>
  </si>
  <si>
    <t xml:space="preserve"> 66014.4384 </t>
  </si>
  <si>
    <t xml:space="preserve"> 40.7126 </t>
  </si>
  <si>
    <t xml:space="preserve">C:\Users\andre\Desktop\REACTIV CEFAS\Saccharin\Saccharin/20201201_Cefas_Test8_Run1/Plate 1/@5/H5_02.tif </t>
  </si>
  <si>
    <t xml:space="preserve"> 71616.5811 </t>
  </si>
  <si>
    <t xml:space="preserve"> 41.396 </t>
  </si>
  <si>
    <t xml:space="preserve">C:\Users\andre\Desktop\REACTIV CEFAS\Saccharin\Saccharin/20201201_Cefas_Test8_Run1/Plate 1/@5/H5_03.tif </t>
  </si>
  <si>
    <t xml:space="preserve"> 58400.7155 </t>
  </si>
  <si>
    <t xml:space="preserve"> 41.1056 </t>
  </si>
  <si>
    <t xml:space="preserve">C:\Users\andre\Desktop\REACTIV CEFAS\Saccharin\Saccharin/20201201_Cefas_Test8_Run1/Plate 1/@5/ </t>
  </si>
  <si>
    <t xml:space="preserve"> 39.5958 </t>
  </si>
  <si>
    <t xml:space="preserve"> 2.3188 </t>
  </si>
  <si>
    <t xml:space="preserve"> 2007622.04 </t>
  </si>
  <si>
    <t xml:space="preserve"> 883631.368 </t>
  </si>
  <si>
    <t xml:space="preserve">C:\Users\andre\Desktop\REACTIV CEFAS\Saccharin\Saccharin/20201201_Cefas_Test8_Run1/Plate 1/@6/A6_01.tif </t>
  </si>
  <si>
    <t xml:space="preserve"> 57254.3311 </t>
  </si>
  <si>
    <t xml:space="preserve"> 41.0363 </t>
  </si>
  <si>
    <t>C:\Users\andre\Desktop\REACTIV CEFAS\Saccharin\Saccharin/20201201_Cefas_Test8_Run1/Plate 1/@6/A6_02- exclu.tif</t>
  </si>
  <si>
    <t xml:space="preserve">C:\Users\andre\Desktop\REACTIV CEFAS\Saccharin\Saccharin/20201201_Cefas_Test8_Run1/Plate 1/@6/A6_03.tif </t>
  </si>
  <si>
    <t xml:space="preserve"> 46980.1311 </t>
  </si>
  <si>
    <t xml:space="preserve"> 40.6285 </t>
  </si>
  <si>
    <t xml:space="preserve">C:\Users\andre\Desktop\REACTIV CEFAS\Saccharin\Saccharin/20201201_Cefas_Test8_Run1/Plate 1/@6/B6_01.tif </t>
  </si>
  <si>
    <t xml:space="preserve"> 56454.025 </t>
  </si>
  <si>
    <t xml:space="preserve"> 44.2326 </t>
  </si>
  <si>
    <t xml:space="preserve">C:\Users\andre\Desktop\REACTIV CEFAS\Saccharin\Saccharin/20201201_Cefas_Test8_Run1/Plate 1/@6/B6_02.tif </t>
  </si>
  <si>
    <t xml:space="preserve"> 41.2941 </t>
  </si>
  <si>
    <t xml:space="preserve">C:\Users\andre\Desktop\REACTIV CEFAS\Saccharin\Saccharin/20201201_Cefas_Test8_Run1/Plate 1/@6/B6_03.tif </t>
  </si>
  <si>
    <t xml:space="preserve"> 64997.8334 </t>
  </si>
  <si>
    <t xml:space="preserve"> 41.6912 </t>
  </si>
  <si>
    <t xml:space="preserve">C:\Users\andre\Desktop\REACTIV CEFAS\Saccharin\Saccharin/20201201_Cefas_Test8_Run1/Plate 1/@6/C6_01.tif </t>
  </si>
  <si>
    <t xml:space="preserve"> 69172.403 </t>
  </si>
  <si>
    <t xml:space="preserve"> 52.2861 </t>
  </si>
  <si>
    <t xml:space="preserve">C:\Users\andre\Desktop\REACTIV CEFAS\Saccharin\Saccharin/20201201_Cefas_Test8_Run1/Plate 1/@6/C6_02.tif </t>
  </si>
  <si>
    <t xml:space="preserve"> 63245.8119 </t>
  </si>
  <si>
    <t xml:space="preserve"> 53.6837 </t>
  </si>
  <si>
    <t xml:space="preserve">C:\Users\andre\Desktop\REACTIV CEFAS\Saccharin\Saccharin/20201201_Cefas_Test8_Run1/Plate 1/@6/C6_03.tif </t>
  </si>
  <si>
    <t xml:space="preserve"> 65105.9828 </t>
  </si>
  <si>
    <t xml:space="preserve"> 50.813 </t>
  </si>
  <si>
    <t xml:space="preserve">C:\Users\andre\Desktop\REACTIV CEFAS\Saccharin\Saccharin/20201201_Cefas_Test8_Run1/Plate 1/@6/D6_01.tif </t>
  </si>
  <si>
    <t xml:space="preserve"> 77716.2114 </t>
  </si>
  <si>
    <t xml:space="preserve"> 51.5853 </t>
  </si>
  <si>
    <t xml:space="preserve">C:\Users\andre\Desktop\REACTIV CEFAS\Saccharin\Saccharin/20201201_Cefas_Test8_Run1/Plate 1/@6/D6_02.tif </t>
  </si>
  <si>
    <t xml:space="preserve"> 77045.6847 </t>
  </si>
  <si>
    <t xml:space="preserve"> 46.3857 </t>
  </si>
  <si>
    <t xml:space="preserve">C:\Users\andre\Desktop\REACTIV CEFAS\Saccharin\Saccharin/20201201_Cefas_Test8_Run1/Plate 1/@6/D6_03.tif </t>
  </si>
  <si>
    <t xml:space="preserve"> 60109.4772 </t>
  </si>
  <si>
    <t xml:space="preserve"> 51.6463 </t>
  </si>
  <si>
    <t xml:space="preserve">C:\Users\andre\Desktop\REACTIV CEFAS\Saccharin\Saccharin/20201201_Cefas_Test8_Run1/Plate 1/@6/E6_01.tif </t>
  </si>
  <si>
    <t xml:space="preserve"> 55696.9787 </t>
  </si>
  <si>
    <t xml:space="preserve"> 45.8804 </t>
  </si>
  <si>
    <t xml:space="preserve">C:\Users\andre\Desktop\REACTIV CEFAS\Saccharin\Saccharin/20201201_Cefas_Test8_Run1/Plate 1/@6/E6_02.tif </t>
  </si>
  <si>
    <t xml:space="preserve"> 52949.9821 </t>
  </si>
  <si>
    <t xml:space="preserve"> 49.7177 </t>
  </si>
  <si>
    <t xml:space="preserve">C:\Users\andre\Desktop\REACTIV CEFAS\Saccharin\Saccharin/20201201_Cefas_Test8_Run1/Plate 1/@6/E6_03.tif </t>
  </si>
  <si>
    <t xml:space="preserve"> 64543.6056 </t>
  </si>
  <si>
    <t xml:space="preserve"> 46.8271 </t>
  </si>
  <si>
    <t xml:space="preserve">C:\Users\andre\Desktop\REACTIV CEFAS\Saccharin\Saccharin/20201201_Cefas_Test8_Run1/Plate 1/@6/F6_01.tif </t>
  </si>
  <si>
    <t xml:space="preserve"> 84745.9272 </t>
  </si>
  <si>
    <t xml:space="preserve"> 46.7483 </t>
  </si>
  <si>
    <t xml:space="preserve">C:\Users\andre\Desktop\REACTIV CEFAS\Saccharin\Saccharin/20201201_Cefas_Test8_Run1/Plate 1/@6/F6_02.tif </t>
  </si>
  <si>
    <t xml:space="preserve"> 86822.397 </t>
  </si>
  <si>
    <t xml:space="preserve"> 49.0252 </t>
  </si>
  <si>
    <t xml:space="preserve">C:\Users\andre\Desktop\REACTIV CEFAS\Saccharin\Saccharin/20201201_Cefas_Test8_Run1/Plate 1/@6/F6_03.tif </t>
  </si>
  <si>
    <t xml:space="preserve"> 87536.1836 </t>
  </si>
  <si>
    <t xml:space="preserve"> 46.8411 </t>
  </si>
  <si>
    <t xml:space="preserve">C:\Users\andre\Desktop\REACTIV CEFAS\Saccharin\Saccharin/20201201_Cefas_Test8_Run1/Plate 1/@6/G6_01.tif </t>
  </si>
  <si>
    <t xml:space="preserve"> 69064.2535 </t>
  </si>
  <si>
    <t xml:space="preserve"> 46.5205 </t>
  </si>
  <si>
    <t xml:space="preserve">C:\Users\andre\Desktop\REACTIV CEFAS\Saccharin\Saccharin/20201201_Cefas_Test8_Run1/Plate 1/@6/G6_02.tif </t>
  </si>
  <si>
    <t xml:space="preserve"> 76418.4177 </t>
  </si>
  <si>
    <t xml:space="preserve"> 50.7305 </t>
  </si>
  <si>
    <t xml:space="preserve">C:\Users\andre\Desktop\REACTIV CEFAS\Saccharin\Saccharin/20201201_Cefas_Test8_Run1/Plate 1/@6/G6_03.tif </t>
  </si>
  <si>
    <t xml:space="preserve"> 79835.9411 </t>
  </si>
  <si>
    <t xml:space="preserve"> 51.8309 </t>
  </si>
  <si>
    <t>C:\Users\andre\Desktop\REACTIV CEFAS\Saccharin\Saccharin/20201201_Cefas_Test8_Run1/Plate 1/@6/H6_01- exclu.tif</t>
  </si>
  <si>
    <t>C:\Users\andre\Desktop\REACTIV CEFAS\Saccharin\Saccharin/20201201_Cefas_Test8_Run1/Plate 1/@6/H6_02- exclu.tif</t>
  </si>
  <si>
    <t>C:\Users\andre\Desktop\REACTIV CEFAS\Saccharin\Saccharin/20201201_Cefas_Test8_Run1/Plate 1/@6/H6_03- exclu.tif</t>
  </si>
  <si>
    <t xml:space="preserve">C:\Users\andre\Desktop\REACTIV CEFAS\Saccharin\Saccharin/20201201_Cefas_Test8_Run1/Plate 1/@6/ </t>
  </si>
  <si>
    <t xml:space="preserve"> 44.1984 </t>
  </si>
  <si>
    <t xml:space="preserve"> 11.013 </t>
  </si>
  <si>
    <t xml:space="preserve"> 2787551.75 </t>
  </si>
  <si>
    <t xml:space="preserve"> 1268150.55 </t>
  </si>
  <si>
    <t xml:space="preserve">C:\Users\andre\Desktop\REACTIV CEFAS\Saccharin\Saccharin/20201201_Cefas_Test8_Run1/Plate 1/@7/A7_01.tif </t>
  </si>
  <si>
    <t xml:space="preserve"> 89893.8421 </t>
  </si>
  <si>
    <t xml:space="preserve"> 50.4981 </t>
  </si>
  <si>
    <t xml:space="preserve">C:\Users\andre\Desktop\REACTIV CEFAS\Saccharin\Saccharin/20201201_Cefas_Test8_Run1/Plate 1/@7/A7_02.tif </t>
  </si>
  <si>
    <t xml:space="preserve"> 91472.8244 </t>
  </si>
  <si>
    <t xml:space="preserve"> 51.5784 </t>
  </si>
  <si>
    <t xml:space="preserve">C:\Users\andre\Desktop\REACTIV CEFAS\Saccharin\Saccharin/20201201_Cefas_Test8_Run1/Plate 1/@7/A7_03.tif </t>
  </si>
  <si>
    <t xml:space="preserve"> 59568.7298 </t>
  </si>
  <si>
    <t xml:space="preserve"> 54.6801 </t>
  </si>
  <si>
    <t xml:space="preserve">C:\Users\andre\Desktop\REACTIV CEFAS\Saccharin\Saccharin/20201201_Cefas_Test8_Run1/Plate 1/@7/B7_01.tif </t>
  </si>
  <si>
    <t xml:space="preserve"> 66641.7054 </t>
  </si>
  <si>
    <t xml:space="preserve"> 49.9818 </t>
  </si>
  <si>
    <t xml:space="preserve">C:\Users\andre\Desktop\REACTIV CEFAS\Saccharin\Saccharin/20201201_Cefas_Test8_Run1/Plate 1/@7/B7_02.tif </t>
  </si>
  <si>
    <t xml:space="preserve"> 65798.1395 </t>
  </si>
  <si>
    <t xml:space="preserve"> 50.9471 </t>
  </si>
  <si>
    <t xml:space="preserve">C:\Users\andre\Desktop\REACTIV CEFAS\Saccharin\Saccharin/20201201_Cefas_Test8_Run1/Plate 1/@7/B7_03.tif </t>
  </si>
  <si>
    <t xml:space="preserve"> 70578.3462 </t>
  </si>
  <si>
    <t xml:space="preserve"> 54.19 </t>
  </si>
  <si>
    <t xml:space="preserve">C:\Users\andre\Desktop\REACTIV CEFAS\Saccharin\Saccharin/20201201_Cefas_Test8_Run1/Plate 1/@7/C7_01.tif </t>
  </si>
  <si>
    <t xml:space="preserve"> 68977.734 </t>
  </si>
  <si>
    <t xml:space="preserve"> 53.8272 </t>
  </si>
  <si>
    <t>C:\Users\andre\Desktop\REACTIV CEFAS\Saccharin\Saccharin/20201201_Cefas_Test8_Run1/Plate 1/@7/C7_02- exclu.tif</t>
  </si>
  <si>
    <t xml:space="preserve">C:\Users\andre\Desktop\REACTIV CEFAS\Saccharin\Saccharin/20201201_Cefas_Test8_Run1/Plate 1/@7/C7_03.tif </t>
  </si>
  <si>
    <t xml:space="preserve"> 71941.0295 </t>
  </si>
  <si>
    <t xml:space="preserve"> 56.5658 </t>
  </si>
  <si>
    <t xml:space="preserve">C:\Users\andre\Desktop\REACTIV CEFAS\Saccharin\Saccharin/20201201_Cefas_Test8_Run1/Plate 1/@7/D7_01.tif </t>
  </si>
  <si>
    <t xml:space="preserve"> 71551.6914 </t>
  </si>
  <si>
    <t xml:space="preserve"> 50.8458 </t>
  </si>
  <si>
    <t xml:space="preserve">C:\Users\andre\Desktop\REACTIV CEFAS\Saccharin\Saccharin/20201201_Cefas_Test8_Run1/Plate 1/@7/D7_02.tif </t>
  </si>
  <si>
    <t xml:space="preserve"> 72265.478 </t>
  </si>
  <si>
    <t xml:space="preserve"> 52.8578 </t>
  </si>
  <si>
    <t xml:space="preserve">C:\Users\andre\Desktop\REACTIV CEFAS\Saccharin\Saccharin/20201201_Cefas_Test8_Run1/Plate 1/@7/D7_03.tif </t>
  </si>
  <si>
    <t xml:space="preserve"> 69691.5205 </t>
  </si>
  <si>
    <t xml:space="preserve"> 54.7616 </t>
  </si>
  <si>
    <t xml:space="preserve">C:\Users\andre\Desktop\REACTIV CEFAS\Saccharin\Saccharin/20201201_Cefas_Test8_Run1/Plate 1/@7/E7_01.tif </t>
  </si>
  <si>
    <t xml:space="preserve"> 80766.0265 </t>
  </si>
  <si>
    <t xml:space="preserve"> 60.7469 </t>
  </si>
  <si>
    <t xml:space="preserve">C:\Users\andre\Desktop\REACTIV CEFAS\Saccharin\Saccharin/20201201_Cefas_Test8_Run1/Plate 1/@7/E7_02.tif </t>
  </si>
  <si>
    <t xml:space="preserve"> 80852.5461 </t>
  </si>
  <si>
    <t xml:space="preserve"> 63.0516 </t>
  </si>
  <si>
    <t xml:space="preserve">C:\Users\andre\Desktop\REACTIV CEFAS\Saccharin\Saccharin/20201201_Cefas_Test8_Run1/Plate 1/@7/E7_03.tif </t>
  </si>
  <si>
    <t xml:space="preserve"> 79684.5318 </t>
  </si>
  <si>
    <t xml:space="preserve"> 61.256 </t>
  </si>
  <si>
    <t xml:space="preserve">C:\Users\andre\Desktop\REACTIV CEFAS\Saccharin\Saccharin/20201201_Cefas_Test8_Run1/Plate 1/@7/F7_01.tif </t>
  </si>
  <si>
    <t xml:space="preserve"> 88185.0804 </t>
  </si>
  <si>
    <t xml:space="preserve"> 58.7508 </t>
  </si>
  <si>
    <t xml:space="preserve">C:\Users\andre\Desktop\REACTIV CEFAS\Saccharin\Saccharin/20201201_Cefas_Test8_Run1/Plate 1/@7/F7_02.tif </t>
  </si>
  <si>
    <t xml:space="preserve"> 81804.2615 </t>
  </si>
  <si>
    <t xml:space="preserve"> 58.4109 </t>
  </si>
  <si>
    <t xml:space="preserve">C:\Users\andre\Desktop\REACTIV CEFAS\Saccharin\Saccharin/20201201_Cefas_Test8_Run1/Plate 1/@7/F7_03.tif </t>
  </si>
  <si>
    <t xml:space="preserve"> 85221.7848 </t>
  </si>
  <si>
    <t xml:space="preserve"> 56.2566 </t>
  </si>
  <si>
    <t xml:space="preserve">C:\Users\andre\Desktop\REACTIV CEFAS\Saccharin\Saccharin/20201201_Cefas_Test8_Run1/Plate 1/@7/G7_01.tif </t>
  </si>
  <si>
    <t xml:space="preserve"> 71876.1399 </t>
  </si>
  <si>
    <t xml:space="preserve"> 54.0674 </t>
  </si>
  <si>
    <t xml:space="preserve">C:\Users\andre\Desktop\REACTIV CEFAS\Saccharin\Saccharin/20201201_Cefas_Test8_Run1/Plate 1/@7/G7_02.tif </t>
  </si>
  <si>
    <t xml:space="preserve"> 77088.9445 </t>
  </si>
  <si>
    <t xml:space="preserve"> 56.8123 </t>
  </si>
  <si>
    <t xml:space="preserve">C:\Users\andre\Desktop\REACTIV CEFAS\Saccharin\Saccharin/20201201_Cefas_Test8_Run1/Plate 1/@7/G7_03.tif </t>
  </si>
  <si>
    <t xml:space="preserve"> 75509.9621 </t>
  </si>
  <si>
    <t xml:space="preserve"> 54.4658 </t>
  </si>
  <si>
    <t xml:space="preserve">C:\Users\andre\Desktop\REACTIV CEFAS\Saccharin\Saccharin/20201201_Cefas_Test8_Run1/Plate 1/@7/H7_01.tif </t>
  </si>
  <si>
    <t xml:space="preserve"> 40534.4225 </t>
  </si>
  <si>
    <t xml:space="preserve"> 47.3991 </t>
  </si>
  <si>
    <t xml:space="preserve">C:\Users\andre\Desktop\REACTIV CEFAS\Saccharin\Saccharin/20201201_Cefas_Test8_Run1/Plate 1/@7/H7_02.tif </t>
  </si>
  <si>
    <t xml:space="preserve"> 40620.9421 </t>
  </si>
  <si>
    <t xml:space="preserve"> 47.7077 </t>
  </si>
  <si>
    <t xml:space="preserve">C:\Users\andre\Desktop\REACTIV CEFAS\Saccharin\Saccharin/20201201_Cefas_Test8_Run1/Plate 1/@7/H7_03.tif </t>
  </si>
  <si>
    <t xml:space="preserve"> 44882.0314 </t>
  </si>
  <si>
    <t xml:space="preserve"> 52.1137 </t>
  </si>
  <si>
    <t xml:space="preserve">C:\Users\andre\Desktop\REACTIV CEFAS\Saccharin\Saccharin/20201201_Cefas_Test8_Run1/Plate 1/@7/ </t>
  </si>
  <si>
    <t xml:space="preserve"> 54.3885 </t>
  </si>
  <si>
    <t xml:space="preserve"> 4.0711 </t>
  </si>
  <si>
    <t xml:space="preserve"> 3901850.92 </t>
  </si>
  <si>
    <t xml:space="preserve"> 924744.452 </t>
  </si>
  <si>
    <t xml:space="preserve">C:\Users\andre\Desktop\REACTIV CEFAS\Saccharin\Saccharin/20201201_Cefas_Test8_Run1/Plate 3/@10/A4_01.tif </t>
  </si>
  <si>
    <t xml:space="preserve">C:\Users\andre\Desktop\REACTIV CEFAS\Saccharin\Saccharin/20201201_Cefas_Test8_Run1/Plate 3/@10/A4_02.tif </t>
  </si>
  <si>
    <t xml:space="preserve"> 4455.7583 </t>
  </si>
  <si>
    <t xml:space="preserve"> 34.2524 </t>
  </si>
  <si>
    <t xml:space="preserve">C:\Users\andre\Desktop\REACTIV CEFAS\Saccharin\Saccharin/20201201_Cefas_Test8_Run1/Plate 3/@10/A4_03.tif </t>
  </si>
  <si>
    <t xml:space="preserve"> 6943.1962 </t>
  </si>
  <si>
    <t xml:space="preserve"> 38.5234 </t>
  </si>
  <si>
    <t xml:space="preserve">C:\Users\andre\Desktop\REACTIV CEFAS\Saccharin\Saccharin/20201201_Cefas_Test8_Run1/Plate 3/@10/B4_01.tif </t>
  </si>
  <si>
    <t xml:space="preserve"> 37.6554 </t>
  </si>
  <si>
    <t xml:space="preserve">C:\Users\andre\Desktop\REACTIV CEFAS\Saccharin\Saccharin/20201201_Cefas_Test8_Run1/Plate 3/@10/B4_02.tif </t>
  </si>
  <si>
    <t xml:space="preserve"> 32.7303 </t>
  </si>
  <si>
    <t xml:space="preserve">C:\Users\andre\Desktop\REACTIV CEFAS\Saccharin\Saccharin/20201201_Cefas_Test8_Run1/Plate 3/@10/B4_03.tif </t>
  </si>
  <si>
    <t xml:space="preserve"> 4736.9469 </t>
  </si>
  <si>
    <t xml:space="preserve"> 34.653 </t>
  </si>
  <si>
    <t xml:space="preserve">C:\Users\andre\Desktop\REACTIV CEFAS\Saccharin\Saccharin/20201201_Cefas_Test8_Run1/Plate 3/@10/C4_01.tif </t>
  </si>
  <si>
    <t xml:space="preserve"> 6662.0075 </t>
  </si>
  <si>
    <t xml:space="preserve"> 40.6299 </t>
  </si>
  <si>
    <t xml:space="preserve">C:\Users\andre\Desktop\REACTIV CEFAS\Saccharin\Saccharin/20201201_Cefas_Test8_Run1/Plate 3/@10/C4_02.tif </t>
  </si>
  <si>
    <t xml:space="preserve"> 7354.1642 </t>
  </si>
  <si>
    <t xml:space="preserve"> 38.7765 </t>
  </si>
  <si>
    <t>C:\Users\andre\Desktop\REACTIV CEFAS\Saccharin\Saccharin/20201201_Cefas_Test8_Run1/Plate 3/@10/C4_03- exclu.tif</t>
  </si>
  <si>
    <t xml:space="preserve">C:\Users\andre\Desktop\REACTIV CEFAS\Saccharin\Saccharin/20201201_Cefas_Test8_Run1/Plate 3/@10/D4_01.tif </t>
  </si>
  <si>
    <t xml:space="preserve"> 7527.2033 </t>
  </si>
  <si>
    <t xml:space="preserve"> 35.6149 </t>
  </si>
  <si>
    <t xml:space="preserve">C:\Users\andre\Desktop\REACTIV CEFAS\Saccharin\Saccharin/20201201_Cefas_Test8_Run1/Plate 3/@10/D4_02.tif </t>
  </si>
  <si>
    <t xml:space="preserve"> 7008.0859 </t>
  </si>
  <si>
    <t xml:space="preserve"> 35.3735 </t>
  </si>
  <si>
    <t xml:space="preserve">C:\Users\andre\Desktop\REACTIV CEFAS\Saccharin\Saccharin/20201201_Cefas_Test8_Run1/Plate 3/@10/D4_03.tif </t>
  </si>
  <si>
    <t xml:space="preserve"> 33.8103 </t>
  </si>
  <si>
    <t xml:space="preserve">C:\Users\andre\Desktop\REACTIV CEFAS\Saccharin\Saccharin/20201201_Cefas_Test8_Run1/Plate 3/@10/E4_01.tif </t>
  </si>
  <si>
    <t xml:space="preserve"> 1860.1709 </t>
  </si>
  <si>
    <t xml:space="preserve"> 33.8488 </t>
  </si>
  <si>
    <t xml:space="preserve">C:\Users\andre\Desktop\REACTIV CEFAS\Saccharin\Saccharin/20201201_Cefas_Test8_Run1/Plate 3/@10/E4_02.tif </t>
  </si>
  <si>
    <t xml:space="preserve"> 32.8607 </t>
  </si>
  <si>
    <t xml:space="preserve">C:\Users\andre\Desktop\REACTIV CEFAS\Saccharin\Saccharin/20201201_Cefas_Test8_Run1/Plate 3/@10/E4_03.tif </t>
  </si>
  <si>
    <t xml:space="preserve"> 1687.1318 </t>
  </si>
  <si>
    <t xml:space="preserve"> 33.2692 </t>
  </si>
  <si>
    <t xml:space="preserve">C:\Users\andre\Desktop\REACTIV CEFAS\Saccharin\Saccharin/20201201_Cefas_Test8_Run1/Plate 3/@10/F4_01.tif </t>
  </si>
  <si>
    <t xml:space="preserve"> 12177.6307 </t>
  </si>
  <si>
    <t xml:space="preserve"> 40.8224 </t>
  </si>
  <si>
    <t xml:space="preserve">C:\Users\andre\Desktop\REACTIV CEFAS\Saccharin\Saccharin/20201201_Cefas_Test8_Run1/Plate 3/@10/F4_02.tif </t>
  </si>
  <si>
    <t xml:space="preserve"> 13994.5418 </t>
  </si>
  <si>
    <t xml:space="preserve"> 48.5039 </t>
  </si>
  <si>
    <t xml:space="preserve">C:\Users\andre\Desktop\REACTIV CEFAS\Saccharin\Saccharin/20201201_Cefas_Test8_Run1/Plate 3/@10/F4_03.tif </t>
  </si>
  <si>
    <t xml:space="preserve"> 15443.7448 </t>
  </si>
  <si>
    <t xml:space="preserve"> 48.6345 </t>
  </si>
  <si>
    <t>C:\Users\andre\Desktop\REACTIV CEFAS\Saccharin\Saccharin/20201201_Cefas_Test8_Run1/Plate 3/@10/G4_01- exclu.tif</t>
  </si>
  <si>
    <t>C:\Users\andre\Desktop\REACTIV CEFAS\Saccharin\Saccharin/20201201_Cefas_Test8_Run1/Plate 3/@10/G4_02- exclu.tif</t>
  </si>
  <si>
    <t>C:\Users\andre\Desktop\REACTIV CEFAS\Saccharin\Saccharin/20201201_Cefas_Test8_Run1/Plate 3/@10/G4_03- exclu.tif</t>
  </si>
  <si>
    <t xml:space="preserve">C:\Users\andre\Desktop\REACTIV CEFAS\Saccharin\Saccharin/20201201_Cefas_Test8_Run1/Plate 3/@10/H4_01.tif </t>
  </si>
  <si>
    <t xml:space="preserve">C:\Users\andre\Desktop\REACTIV CEFAS\Saccharin\Saccharin/20201201_Cefas_Test8_Run1/Plate 3/@10/H4_02.tif </t>
  </si>
  <si>
    <t xml:space="preserve"> 34.0769 </t>
  </si>
  <si>
    <t xml:space="preserve">C:\Users\andre\Desktop\REACTIV CEFAS\Saccharin\Saccharin/20201201_Cefas_Test8_Run1/Plate 3/@10/H4_03.tif </t>
  </si>
  <si>
    <t xml:space="preserve"> 1038.2349 </t>
  </si>
  <si>
    <t xml:space="preserve"> 33.9792 </t>
  </si>
  <si>
    <t xml:space="preserve">C:\Users\andre\Desktop\REACTIV CEFAS\Saccharin\Saccharin/20201201_Cefas_Test8_Run1/Plate 3/@10/ </t>
  </si>
  <si>
    <t xml:space="preserve"> 35.933 </t>
  </si>
  <si>
    <t xml:space="preserve"> 9.3238 </t>
  </si>
  <si>
    <t xml:space="preserve"> 245557.875 </t>
  </si>
  <si>
    <t xml:space="preserve"> 220778.602 </t>
  </si>
  <si>
    <t xml:space="preserve">C:\Users\andre\Desktop\REACTIV CEFAS\Saccharin\Saccharin/20201201_Cefas_Test8_Run1/Plate 3/@11/A5_01.tif </t>
  </si>
  <si>
    <t xml:space="preserve"> 8998.0362 </t>
  </si>
  <si>
    <t xml:space="preserve"> 35.7043 </t>
  </si>
  <si>
    <t xml:space="preserve">C:\Users\andre\Desktop\REACTIV CEFAS\Saccharin\Saccharin/20201201_Cefas_Test8_Run1/Plate 3/@11/A5_02.tif </t>
  </si>
  <si>
    <t xml:space="preserve"> 1643.872 </t>
  </si>
  <si>
    <t xml:space="preserve"> 31.7368 </t>
  </si>
  <si>
    <t xml:space="preserve">C:\Users\andre\Desktop\REACTIV CEFAS\Saccharin\Saccharin/20201201_Cefas_Test8_Run1/Plate 3/@11/A5_03.tif </t>
  </si>
  <si>
    <t xml:space="preserve">C:\Users\andre\Desktop\REACTIV CEFAS\Saccharin\Saccharin/20201201_Cefas_Test8_Run1/Plate 3/@11/B5_01.tif </t>
  </si>
  <si>
    <t xml:space="preserve"> 35.2438 </t>
  </si>
  <si>
    <t xml:space="preserve">C:\Users\andre\Desktop\REACTIV CEFAS\Saccharin\Saccharin/20201201_Cefas_Test8_Run1/Plate 3/@11/B5_02.tif </t>
  </si>
  <si>
    <t xml:space="preserve"> 2833.5162 </t>
  </si>
  <si>
    <t xml:space="preserve"> 34.6336 </t>
  </si>
  <si>
    <t xml:space="preserve">C:\Users\andre\Desktop\REACTIV CEFAS\Saccharin\Saccharin/20201201_Cefas_Test8_Run1/Plate 3/@11/B5_03.tif </t>
  </si>
  <si>
    <t xml:space="preserve"> 7938.1713 </t>
  </si>
  <si>
    <t xml:space="preserve"> 37.1744 </t>
  </si>
  <si>
    <t xml:space="preserve">C:\Users\andre\Desktop\REACTIV CEFAS\Saccharin\Saccharin/20201201_Cefas_Test8_Run1/Plate 3/@11/C5_01.tif </t>
  </si>
  <si>
    <t xml:space="preserve"> 42.3678 </t>
  </si>
  <si>
    <t xml:space="preserve">C:\Users\andre\Desktop\REACTIV CEFAS\Saccharin\Saccharin/20201201_Cefas_Test8_Run1/Plate 3/@11/C5_02.tif </t>
  </si>
  <si>
    <t xml:space="preserve"> 9776.7124 </t>
  </si>
  <si>
    <t xml:space="preserve"> 39.281 </t>
  </si>
  <si>
    <t xml:space="preserve">C:\Users\andre\Desktop\REACTIV CEFAS\Saccharin\Saccharin/20201201_Cefas_Test8_Run1/Plate 3/@11/C5_03.tif </t>
  </si>
  <si>
    <t xml:space="preserve"> 8349.1393 </t>
  </si>
  <si>
    <t xml:space="preserve"> 38.6192 </t>
  </si>
  <si>
    <t xml:space="preserve">C:\Users\andre\Desktop\REACTIV CEFAS\Saccharin\Saccharin/20201201_Cefas_Test8_Run1/Plate 3/@11/D5_01.tif </t>
  </si>
  <si>
    <t xml:space="preserve"> 108.1495 </t>
  </si>
  <si>
    <t xml:space="preserve"> 32.6 </t>
  </si>
  <si>
    <t xml:space="preserve">C:\Users\andre\Desktop\REACTIV CEFAS\Saccharin\Saccharin/20201201_Cefas_Test8_Run1/Plate 3/@11/D5_02.tif </t>
  </si>
  <si>
    <t xml:space="preserve"> 43.2598 </t>
  </si>
  <si>
    <t xml:space="preserve">C:\Users\andre\Desktop\REACTIV CEFAS\Saccharin\Saccharin/20201201_Cefas_Test8_Run1/Plate 3/@11/D5_03.tif </t>
  </si>
  <si>
    <t xml:space="preserve"> 173.0392 </t>
  </si>
  <si>
    <t xml:space="preserve"> 31.125 </t>
  </si>
  <si>
    <t xml:space="preserve">C:\Users\andre\Desktop\REACTIV CEFAS\Saccharin\Saccharin/20201201_Cefas_Test8_Run1/Plate 3/@11/E5_01.tif </t>
  </si>
  <si>
    <t xml:space="preserve"> 10944.7267 </t>
  </si>
  <si>
    <t xml:space="preserve"> 41.4387 </t>
  </si>
  <si>
    <t xml:space="preserve">C:\Users\andre\Desktop\REACTIV CEFAS\Saccharin\Saccharin/20201201_Cefas_Test8_Run1/Plate 3/@11/E5_02.tif </t>
  </si>
  <si>
    <t xml:space="preserve">C:\Users\andre\Desktop\REACTIV CEFAS\Saccharin\Saccharin/20201201_Cefas_Test8_Run1/Plate 3/@11/E5_03.tif </t>
  </si>
  <si>
    <t xml:space="preserve"> 3633.8223 </t>
  </si>
  <si>
    <t xml:space="preserve"> 38.0119 </t>
  </si>
  <si>
    <t xml:space="preserve">C:\Users\andre\Desktop\REACTIV CEFAS\Saccharin\Saccharin/20201201_Cefas_Test8_Run1/Plate 3/@11/F5_01.tif </t>
  </si>
  <si>
    <t xml:space="preserve"> 5710.2922 </t>
  </si>
  <si>
    <t xml:space="preserve"> 34.572 </t>
  </si>
  <si>
    <t xml:space="preserve">C:\Users\andre\Desktop\REACTIV CEFAS\Saccharin\Saccharin/20201201_Cefas_Test8_Run1/Plate 3/@11/F5_02.tif </t>
  </si>
  <si>
    <t xml:space="preserve"> 3936.6408 </t>
  </si>
  <si>
    <t xml:space="preserve"> 37.2912 </t>
  </si>
  <si>
    <t xml:space="preserve">C:\Users\andre\Desktop\REACTIV CEFAS\Saccharin\Saccharin/20201201_Cefas_Test8_Run1/Plate 3/@11/F5_03.tif </t>
  </si>
  <si>
    <t xml:space="preserve"> 5753.552 </t>
  </si>
  <si>
    <t xml:space="preserve"> 35.312 </t>
  </si>
  <si>
    <t>C:\Users\andre\Desktop\REACTIV CEFAS\Saccharin\Saccharin/20201201_Cefas_Test8_Run1/Plate 3/@11/G5_01- exclu.tif</t>
  </si>
  <si>
    <t>C:\Users\andre\Desktop\REACTIV CEFAS\Saccharin\Saccharin/20201201_Cefas_Test8_Run1/Plate 3/@11/G5_02- exclu.tif</t>
  </si>
  <si>
    <t>C:\Users\andre\Desktop\REACTIV CEFAS\Saccharin\Saccharin/20201201_Cefas_Test8_Run1/Plate 3/@11/G5_03- exclu.tif</t>
  </si>
  <si>
    <t xml:space="preserve">C:\Users\andre\Desktop\REACTIV CEFAS\Saccharin\Saccharin/20201201_Cefas_Test8_Run1/Plate 3/@11/H5_01.tif </t>
  </si>
  <si>
    <t xml:space="preserve"> 1600.6122 </t>
  </si>
  <si>
    <t xml:space="preserve"> 32.1081 </t>
  </si>
  <si>
    <t xml:space="preserve">C:\Users\andre\Desktop\REACTIV CEFAS\Saccharin\Saccharin/20201201_Cefas_Test8_Run1/Plate 3/@11/H5_02.tif </t>
  </si>
  <si>
    <t xml:space="preserve"> 33.1183 </t>
  </si>
  <si>
    <t xml:space="preserve">C:\Users\andre\Desktop\REACTIV CEFAS\Saccharin\Saccharin/20201201_Cefas_Test8_Run1/Plate 3/@11/H5_03.tif </t>
  </si>
  <si>
    <t xml:space="preserve"> 4044.7903 </t>
  </si>
  <si>
    <t xml:space="preserve"> 35.8128 </t>
  </si>
  <si>
    <t xml:space="preserve">C:\Users\andre\Desktop\REACTIV CEFAS\Saccharin\Saccharin/20201201_Cefas_Test8_Run1/Plate 3/@11/ </t>
  </si>
  <si>
    <t xml:space="preserve"> 37.5041 </t>
  </si>
  <si>
    <t xml:space="preserve"> 5.7916 </t>
  </si>
  <si>
    <t xml:space="preserve"> 255225.667 </t>
  </si>
  <si>
    <t xml:space="preserve"> 237639.629 </t>
  </si>
  <si>
    <t xml:space="preserve">C:\Users\andre\Desktop\REACTIV CEFAS\Saccharin\Saccharin/20201201_Cefas_Test8_Run1/Plate 3/@12/A6_01.tif </t>
  </si>
  <si>
    <t xml:space="preserve"> 7505.5734 </t>
  </si>
  <si>
    <t xml:space="preserve"> 36.6254 </t>
  </si>
  <si>
    <t xml:space="preserve">C:\Users\andre\Desktop\REACTIV CEFAS\Saccharin\Saccharin/20201201_Cefas_Test8_Run1/Plate 3/@12/A6_02.tif </t>
  </si>
  <si>
    <t xml:space="preserve"> 4953.2459 </t>
  </si>
  <si>
    <t xml:space="preserve"> 36.4279 </t>
  </si>
  <si>
    <t xml:space="preserve">C:\Users\andre\Desktop\REACTIV CEFAS\Saccharin\Saccharin/20201201_Cefas_Test8_Run1/Plate 3/@12/A6_03.tif </t>
  </si>
  <si>
    <t xml:space="preserve"> 9041.296 </t>
  </si>
  <si>
    <t xml:space="preserve"> 37.0096 </t>
  </si>
  <si>
    <t xml:space="preserve">C:\Users\andre\Desktop\REACTIV CEFAS\Saccharin\Saccharin/20201201_Cefas_Test8_Run1/Plate 3/@12/B6_01.tif </t>
  </si>
  <si>
    <t xml:space="preserve"> 8435.6589 </t>
  </si>
  <si>
    <t xml:space="preserve"> 40.9385 </t>
  </si>
  <si>
    <t xml:space="preserve">C:\Users\andre\Desktop\REACTIV CEFAS\Saccharin\Saccharin/20201201_Cefas_Test8_Run1/Plate 3/@12/B6_02.tif </t>
  </si>
  <si>
    <t xml:space="preserve"> 4866.7263 </t>
  </si>
  <si>
    <t xml:space="preserve"> 39.2622 </t>
  </si>
  <si>
    <t xml:space="preserve">C:\Users\andre\Desktop\REACTIV CEFAS\Saccharin\Saccharin/20201201_Cefas_Test8_Run1/Plate 3/@12/B6_03.tif </t>
  </si>
  <si>
    <t xml:space="preserve"> 7072.9755 </t>
  </si>
  <si>
    <t xml:space="preserve"> 36.4648 </t>
  </si>
  <si>
    <t xml:space="preserve">C:\Users\andre\Desktop\REACTIV CEFAS\Saccharin\Saccharin/20201201_Cefas_Test8_Run1/Plate 3/@12/C6_01.tif </t>
  </si>
  <si>
    <t xml:space="preserve"> 6705.2673 </t>
  </si>
  <si>
    <t xml:space="preserve"> 37.6968 </t>
  </si>
  <si>
    <t xml:space="preserve">C:\Users\andre\Desktop\REACTIV CEFAS\Saccharin\Saccharin/20201201_Cefas_Test8_Run1/Plate 3/@12/C6_02.tif </t>
  </si>
  <si>
    <t xml:space="preserve"> 31.375 </t>
  </si>
  <si>
    <t xml:space="preserve">C:\Users\andre\Desktop\REACTIV CEFAS\Saccharin\Saccharin/20201201_Cefas_Test8_Run1/Plate 3/@12/C6_03.tif </t>
  </si>
  <si>
    <t xml:space="preserve">C:\Users\andre\Desktop\REACTIV CEFAS\Saccharin\Saccharin/20201201_Cefas_Test8_Run1/Plate 3/@12/D6_01.tif </t>
  </si>
  <si>
    <t xml:space="preserve"> 6791.7869 </t>
  </si>
  <si>
    <t xml:space="preserve"> 36.3822 </t>
  </si>
  <si>
    <t xml:space="preserve">C:\Users\andre\Desktop\REACTIV CEFAS\Saccharin\Saccharin/20201201_Cefas_Test8_Run1/Plate 3/@12/D6_02.tif </t>
  </si>
  <si>
    <t xml:space="preserve"> 1968.3204 </t>
  </si>
  <si>
    <t xml:space="preserve"> 35.1648 </t>
  </si>
  <si>
    <t xml:space="preserve">C:\Users\andre\Desktop\REACTIV CEFAS\Saccharin\Saccharin/20201201_Cefas_Test8_Run1/Plate 3/@12/D6_03.tif </t>
  </si>
  <si>
    <t xml:space="preserve"> 3698.712 </t>
  </si>
  <si>
    <t xml:space="preserve"> 34.3509 </t>
  </si>
  <si>
    <t xml:space="preserve">C:\Users\andre\Desktop\REACTIV CEFAS\Saccharin\Saccharin/20201201_Cefas_Test8_Run1/Plate 3/@12/E6_01.tif </t>
  </si>
  <si>
    <t xml:space="preserve"> 1103.1246 </t>
  </si>
  <si>
    <t xml:space="preserve"> 34.0392 </t>
  </si>
  <si>
    <t xml:space="preserve">C:\Users\andre\Desktop\REACTIV CEFAS\Saccharin\Saccharin/20201201_Cefas_Test8_Run1/Plate 3/@12/E6_02.tif </t>
  </si>
  <si>
    <t xml:space="preserve"> 1946.6905 </t>
  </si>
  <si>
    <t xml:space="preserve"> 35.0667 </t>
  </si>
  <si>
    <t xml:space="preserve">C:\Users\andre\Desktop\REACTIV CEFAS\Saccharin\Saccharin/20201201_Cefas_Test8_Run1/Plate 3/@12/E6_03.tif </t>
  </si>
  <si>
    <t xml:space="preserve"> 41.6339 </t>
  </si>
  <si>
    <t xml:space="preserve">C:\Users\andre\Desktop\REACTIV CEFAS\Saccharin\Saccharin/20201201_Cefas_Test8_Run1/Plate 3/@12/F6_01.tif </t>
  </si>
  <si>
    <t xml:space="preserve"> 5385.8438 </t>
  </si>
  <si>
    <t xml:space="preserve"> 35.2972 </t>
  </si>
  <si>
    <t xml:space="preserve">C:\Users\andre\Desktop\REACTIV CEFAS\Saccharin\Saccharin/20201201_Cefas_Test8_Run1/Plate 3/@12/F6_02.tif </t>
  </si>
  <si>
    <t xml:space="preserve"> 4607.1676 </t>
  </si>
  <si>
    <t xml:space="preserve"> 36.1315 </t>
  </si>
  <si>
    <t xml:space="preserve">C:\Users\andre\Desktop\REACTIV CEFAS\Saccharin\Saccharin/20201201_Cefas_Test8_Run1/Plate 3/@12/F6_03.tif </t>
  </si>
  <si>
    <t xml:space="preserve"> 4563.9078 </t>
  </si>
  <si>
    <t xml:space="preserve"> 35.109 </t>
  </si>
  <si>
    <t xml:space="preserve">C:\Users\andre\Desktop\REACTIV CEFAS\Saccharin\Saccharin/20201201_Cefas_Test8_Run1/Plate 3/@12/G6_01.tif </t>
  </si>
  <si>
    <t xml:space="preserve"> 43.4253 </t>
  </si>
  <si>
    <t xml:space="preserve">C:\Users\andre\Desktop\REACTIV CEFAS\Saccharin\Saccharin/20201201_Cefas_Test8_Run1/Plate 3/@12/G6_02.tif </t>
  </si>
  <si>
    <t xml:space="preserve"> 37.6265 </t>
  </si>
  <si>
    <t xml:space="preserve">C:\Users\andre\Desktop\REACTIV CEFAS\Saccharin\Saccharin/20201201_Cefas_Test8_Run1/Plate 3/@12/G6_03.tif </t>
  </si>
  <si>
    <t xml:space="preserve"> 3568.9326 </t>
  </si>
  <si>
    <t xml:space="preserve"> 36.2121 </t>
  </si>
  <si>
    <t xml:space="preserve">C:\Users\andre\Desktop\REACTIV CEFAS\Saccharin\Saccharin/20201201_Cefas_Test8_Run1/Plate 3/@12/H6_01.tif </t>
  </si>
  <si>
    <t xml:space="preserve"> 4131.3099 </t>
  </si>
  <si>
    <t xml:space="preserve"> 37.6545 </t>
  </si>
  <si>
    <t xml:space="preserve">C:\Users\andre\Desktop\REACTIV CEFAS\Saccharin\Saccharin/20201201_Cefas_Test8_Run1/Plate 3/@12/H6_02.tif </t>
  </si>
  <si>
    <t xml:space="preserve"> 4001.5305 </t>
  </si>
  <si>
    <t xml:space="preserve"> 36.3459 </t>
  </si>
  <si>
    <t xml:space="preserve">C:\Users\andre\Desktop\REACTIV CEFAS\Saccharin\Saccharin/20201201_Cefas_Test8_Run1/Plate 3/@12/H6_03.tif </t>
  </si>
  <si>
    <t xml:space="preserve">C:\Users\andre\Desktop\REACTIV CEFAS\Saccharin\Saccharin/20201201_Cefas_Test8_Run1/Plate 3/@12/ </t>
  </si>
  <si>
    <t xml:space="preserve"> 35.01 </t>
  </si>
  <si>
    <t xml:space="preserve"> 7.9989 </t>
  </si>
  <si>
    <t xml:space="preserve"> 173277.042 </t>
  </si>
  <si>
    <t xml:space="preserve"> 105097.288 </t>
  </si>
  <si>
    <t xml:space="preserve">C:\Users\andre\Desktop\REACTIV CEFAS\Saccharin\Saccharin/20201201_Cefas_Test8_Run1/Plate 3/@17/A8_01.tif </t>
  </si>
  <si>
    <t xml:space="preserve"> 70708.1255 </t>
  </si>
  <si>
    <t xml:space="preserve"> 45.5335 </t>
  </si>
  <si>
    <t xml:space="preserve">C:\Users\andre\Desktop\REACTIV CEFAS\Saccharin\Saccharin/20201201_Cefas_Test8_Run1/Plate 3/@17/A8_02.tif </t>
  </si>
  <si>
    <t xml:space="preserve"> 78732.8164 </t>
  </si>
  <si>
    <t xml:space="preserve"> 49.2695 </t>
  </si>
  <si>
    <t xml:space="preserve">C:\Users\andre\Desktop\REACTIV CEFAS\Saccharin\Saccharin/20201201_Cefas_Test8_Run1/Plate 3/@17/A8_03.tif </t>
  </si>
  <si>
    <t xml:space="preserve"> 85589.493 </t>
  </si>
  <si>
    <t xml:space="preserve"> 49.3161 </t>
  </si>
  <si>
    <t xml:space="preserve">C:\Users\andre\Desktop\REACTIV CEFAS\Saccharin\Saccharin/20201201_Cefas_Test8_Run1/Plate 3/@17/B8_01.tif </t>
  </si>
  <si>
    <t xml:space="preserve"> 76245.3786 </t>
  </si>
  <si>
    <t xml:space="preserve"> 46.2346 </t>
  </si>
  <si>
    <t xml:space="preserve">C:\Users\andre\Desktop\REACTIV CEFAS\Saccharin\Saccharin/20201201_Cefas_Test8_Run1/Plate 3/@17/B8_02.tif </t>
  </si>
  <si>
    <t xml:space="preserve"> 71248.8729 </t>
  </si>
  <si>
    <t xml:space="preserve"> 48.976 </t>
  </si>
  <si>
    <t xml:space="preserve">C:\Users\andre\Desktop\REACTIV CEFAS\Saccharin\Saccharin/20201201_Cefas_Test8_Run1/Plate 3/@17/B8_03.tif </t>
  </si>
  <si>
    <t xml:space="preserve"> 74990.8447 </t>
  </si>
  <si>
    <t xml:space="preserve"> 48.4707 </t>
  </si>
  <si>
    <t xml:space="preserve">C:\Users\andre\Desktop\REACTIV CEFAS\Saccharin\Saccharin/20201201_Cefas_Test8_Run1/Plate 3/@17/C8_01.tif </t>
  </si>
  <si>
    <t xml:space="preserve"> 45487.6684 </t>
  </si>
  <si>
    <t xml:space="preserve"> 40.9011 </t>
  </si>
  <si>
    <t xml:space="preserve">C:\Users\andre\Desktop\REACTIV CEFAS\Saccharin\Saccharin/20201201_Cefas_Test8_Run1/Plate 3/@17/C8_02.tif </t>
  </si>
  <si>
    <t xml:space="preserve"> 36359.8529 </t>
  </si>
  <si>
    <t xml:space="preserve"> 39.182 </t>
  </si>
  <si>
    <t xml:space="preserve">C:\Users\andre\Desktop\REACTIV CEFAS\Saccharin\Saccharin/20201201_Cefas_Test8_Run1/Plate 3/@17/C8_03.tif </t>
  </si>
  <si>
    <t xml:space="preserve"> 41204.9493 </t>
  </si>
  <si>
    <t xml:space="preserve"> 40.3176 </t>
  </si>
  <si>
    <t xml:space="preserve">C:\Users\andre\Desktop\REACTIV CEFAS\Saccharin\Saccharin/20201201_Cefas_Test8_Run1/Plate 3/@17/D8_01.tif </t>
  </si>
  <si>
    <t xml:space="preserve"> 24960.8984 </t>
  </si>
  <si>
    <t xml:space="preserve"> 36.5303 </t>
  </si>
  <si>
    <t xml:space="preserve">C:\Users\andre\Desktop\REACTIV CEFAS\Saccharin\Saccharin/20201201_Cefas_Test8_Run1/Plate 3/@17/D8_02.tif </t>
  </si>
  <si>
    <t xml:space="preserve"> 24182.2222 </t>
  </si>
  <si>
    <t xml:space="preserve"> 35.2442 </t>
  </si>
  <si>
    <t xml:space="preserve">C:\Users\andre\Desktop\REACTIV CEFAS\Saccharin\Saccharin/20201201_Cefas_Test8_Run1/Plate 3/@17/D8_03.tif </t>
  </si>
  <si>
    <t xml:space="preserve"> 23987.5531 </t>
  </si>
  <si>
    <t xml:space="preserve"> 35.5915 </t>
  </si>
  <si>
    <t xml:space="preserve">C:\Users\andre\Desktop\REACTIV CEFAS\Saccharin\Saccharin/20201201_Cefas_Test8_Run1/Plate 3/@17/E8_01.tif </t>
  </si>
  <si>
    <t xml:space="preserve"> 56324.2456 </t>
  </si>
  <si>
    <t xml:space="preserve"> 46.0561 </t>
  </si>
  <si>
    <t xml:space="preserve">C:\Users\andre\Desktop\REACTIV CEFAS\Saccharin\Saccharin/20201201_Cefas_Test8_Run1/Plate 3/@17/E8_02.tif </t>
  </si>
  <si>
    <t xml:space="preserve"> 57297.5909 </t>
  </si>
  <si>
    <t xml:space="preserve"> 46.0185 </t>
  </si>
  <si>
    <t xml:space="preserve">C:\Users\andre\Desktop\REACTIV CEFAS\Saccharin\Saccharin/20201201_Cefas_Test8_Run1/Plate 3/@17/E8_03.tif </t>
  </si>
  <si>
    <t xml:space="preserve"> 63743.2995 </t>
  </si>
  <si>
    <t xml:space="preserve"> 46.814 </t>
  </si>
  <si>
    <t xml:space="preserve">C:\Users\andre\Desktop\REACTIV CEFAS\Saccharin\Saccharin/20201201_Cefas_Test8_Run1/Plate 3/@17/F8_01.tif </t>
  </si>
  <si>
    <t xml:space="preserve"> 3201.2244 </t>
  </si>
  <si>
    <t xml:space="preserve"> 32.3919 </t>
  </si>
  <si>
    <t xml:space="preserve">C:\Users\andre\Desktop\REACTIV CEFAS\Saccharin\Saccharin/20201201_Cefas_Test8_Run1/Plate 3/@17/F8_02.tif </t>
  </si>
  <si>
    <t xml:space="preserve"> 3049.8151 </t>
  </si>
  <si>
    <t xml:space="preserve"> 32.6028 </t>
  </si>
  <si>
    <t xml:space="preserve">C:\Users\andre\Desktop\REACTIV CEFAS\Saccharin\Saccharin/20201201_Cefas_Test8_Run1/Plate 3/@17/F8_03.tif </t>
  </si>
  <si>
    <t xml:space="preserve"> 8911.5166 </t>
  </si>
  <si>
    <t xml:space="preserve"> 34.2597 </t>
  </si>
  <si>
    <t xml:space="preserve">C:\Users\andre\Desktop\REACTIV CEFAS\Saccharin\Saccharin/20201201_Cefas_Test8_Run1/Plate 3/@17/G8_01.tif </t>
  </si>
  <si>
    <t xml:space="preserve"> 12372.2997 </t>
  </si>
  <si>
    <t xml:space="preserve"> 35.715 </t>
  </si>
  <si>
    <t xml:space="preserve">C:\Users\andre\Desktop\REACTIV CEFAS\Saccharin\Saccharin/20201201_Cefas_Test8_Run1/Plate 3/@17/G8_02.tif </t>
  </si>
  <si>
    <t xml:space="preserve"> 9884.8618 </t>
  </si>
  <si>
    <t xml:space="preserve"> 35.2976 </t>
  </si>
  <si>
    <t xml:space="preserve">C:\Users\andre\Desktop\REACTIV CEFAS\Saccharin\Saccharin/20201201_Cefas_Test8_Run1/Plate 3/@17/G8_03.tif </t>
  </si>
  <si>
    <t xml:space="preserve"> 19596.6845 </t>
  </si>
  <si>
    <t xml:space="preserve"> 35.8289 </t>
  </si>
  <si>
    <t xml:space="preserve">C:\Users\andre\Desktop\REACTIV CEFAS\Saccharin\Saccharin/20201201_Cefas_Test8_Run1/Plate 3/@17/H8_01.tif </t>
  </si>
  <si>
    <t xml:space="preserve"> 66749.8548 </t>
  </si>
  <si>
    <t xml:space="preserve"> 45.708 </t>
  </si>
  <si>
    <t xml:space="preserve">C:\Users\andre\Desktop\REACTIV CEFAS\Saccharin\Saccharin/20201201_Cefas_Test8_Run1/Plate 3/@17/H8_02.tif </t>
  </si>
  <si>
    <t xml:space="preserve"> 63981.2283 </t>
  </si>
  <si>
    <t xml:space="preserve"> 42.8654 </t>
  </si>
  <si>
    <t xml:space="preserve">C:\Users\andre\Desktop\REACTIV CEFAS\Saccharin\Saccharin/20201201_Cefas_Test8_Run1/Plate 3/@17/H8_03.tif </t>
  </si>
  <si>
    <t xml:space="preserve"> 65235.7622 </t>
  </si>
  <si>
    <t xml:space="preserve"> 42.7066 </t>
  </si>
  <si>
    <t xml:space="preserve">C:\Users\andre\Desktop\REACTIV CEFAS\Saccharin\Saccharin/20201201_Cefas_Test8_Run1/Plate 3/@17/ </t>
  </si>
  <si>
    <t xml:space="preserve"> 41.3263 </t>
  </si>
  <si>
    <t xml:space="preserve"> 5.8192 </t>
  </si>
  <si>
    <t xml:space="preserve"> 2013721.58 </t>
  </si>
  <si>
    <t xml:space="preserve"> 1357164.51 </t>
  </si>
  <si>
    <t xml:space="preserve">C:\Users\andre\Desktop\REACTIV CEFAS\Saccharin\Saccharin/20201201_Cefas_Test8_Run1/Plate 3/@18/A9_01.tif </t>
  </si>
  <si>
    <t xml:space="preserve"> 60671.8544 </t>
  </si>
  <si>
    <t xml:space="preserve"> 41.1287 </t>
  </si>
  <si>
    <t xml:space="preserve">C:\Users\andre\Desktop\REACTIV CEFAS\Saccharin\Saccharin/20201201_Cefas_Test8_Run1/Plate 3/@18/A9_02.tif </t>
  </si>
  <si>
    <t xml:space="preserve"> 62856.4738 </t>
  </si>
  <si>
    <t xml:space="preserve"> 41.8586 </t>
  </si>
  <si>
    <t xml:space="preserve">C:\Users\andre\Desktop\REACTIV CEFAS\Saccharin\Saccharin/20201201_Cefas_Test8_Run1/Plate 3/@18/A9_03.tif </t>
  </si>
  <si>
    <t xml:space="preserve"> 64305.6767 </t>
  </si>
  <si>
    <t xml:space="preserve"> 40.2378 </t>
  </si>
  <si>
    <t xml:space="preserve">C:\Users\andre\Desktop\REACTIV CEFAS\Saccharin\Saccharin/20201201_Cefas_Test8_Run1/Plate 3/@18/B9_01.tif </t>
  </si>
  <si>
    <t xml:space="preserve"> 40231.604 </t>
  </si>
  <si>
    <t xml:space="preserve"> 36.7812 </t>
  </si>
  <si>
    <t xml:space="preserve">C:\Users\andre\Desktop\REACTIV CEFAS\Saccharin\Saccharin/20201201_Cefas_Test8_Run1/Plate 3/@18/B9_02.tif </t>
  </si>
  <si>
    <t xml:space="preserve"> 46439.3838 </t>
  </si>
  <si>
    <t xml:space="preserve"> 38.5957 </t>
  </si>
  <si>
    <t xml:space="preserve">C:\Users\andre\Desktop\REACTIV CEFAS\Saccharin\Saccharin/20201201_Cefas_Test8_Run1/Plate 3/@18/B9_03.tif </t>
  </si>
  <si>
    <t xml:space="preserve"> 39928.7855 </t>
  </si>
  <si>
    <t xml:space="preserve"> 36.8093 </t>
  </si>
  <si>
    <t xml:space="preserve">C:\Users\andre\Desktop\REACTIV CEFAS\Saccharin\Saccharin/20201201_Cefas_Test8_Run1/Plate 3/@18/C9_01.tif </t>
  </si>
  <si>
    <t xml:space="preserve"> 9149.4454 </t>
  </si>
  <si>
    <t xml:space="preserve"> 32.7872 </t>
  </si>
  <si>
    <t xml:space="preserve">C:\Users\andre\Desktop\REACTIV CEFAS\Saccharin\Saccharin/20201201_Cefas_Test8_Run1/Plate 3/@18/C9_02.tif </t>
  </si>
  <si>
    <t xml:space="preserve"> 8067.9507 </t>
  </si>
  <si>
    <t xml:space="preserve"> 32.1984 </t>
  </si>
  <si>
    <t xml:space="preserve">C:\Users\andre\Desktop\REACTIV CEFAS\Saccharin\Saccharin/20201201_Cefas_Test8_Run1/Plate 3/@18/C9_03.tif </t>
  </si>
  <si>
    <t xml:space="preserve"> 19423.6454 </t>
  </si>
  <si>
    <t xml:space="preserve"> 33.9143 </t>
  </si>
  <si>
    <t xml:space="preserve">C:\Users\andre\Desktop\REACTIV CEFAS\Saccharin\Saccharin/20201201_Cefas_Test8_Run1/Plate 3/@18/D9_01.tif </t>
  </si>
  <si>
    <t xml:space="preserve"> 28335.162 </t>
  </si>
  <si>
    <t xml:space="preserve"> 36.2023 </t>
  </si>
  <si>
    <t xml:space="preserve">C:\Users\andre\Desktop\REACTIV CEFAS\Saccharin\Saccharin/20201201_Cefas_Test8_Run1/Plate 3/@18/D9_02.tif </t>
  </si>
  <si>
    <t xml:space="preserve"> 23187.247 </t>
  </si>
  <si>
    <t xml:space="preserve"> 35.6614 </t>
  </si>
  <si>
    <t xml:space="preserve">C:\Users\andre\Desktop\REACTIV CEFAS\Saccharin\Saccharin/20201201_Cefas_Test8_Run1/Plate 3/@18/D9_03.tif </t>
  </si>
  <si>
    <t xml:space="preserve"> 20872.8483 </t>
  </si>
  <si>
    <t xml:space="preserve"> 35.1668 </t>
  </si>
  <si>
    <t xml:space="preserve">C:\Users\andre\Desktop\REACTIV CEFAS\Saccharin\Saccharin/20201201_Cefas_Test8_Run1/Plate 3/@18/E9_01.tif </t>
  </si>
  <si>
    <t xml:space="preserve"> 18969.4176 </t>
  </si>
  <si>
    <t xml:space="preserve"> 35.5017 </t>
  </si>
  <si>
    <t xml:space="preserve">C:\Users\andre\Desktop\REACTIV CEFAS\Saccharin\Saccharin/20201201_Cefas_Test8_Run1/Plate 3/@18/E9_02.tif </t>
  </si>
  <si>
    <t xml:space="preserve"> 17455.325 </t>
  </si>
  <si>
    <t xml:space="preserve"> 35.7187 </t>
  </si>
  <si>
    <t xml:space="preserve">C:\Users\andre\Desktop\REACTIV CEFAS\Saccharin\Saccharin/20201201_Cefas_Test8_Run1/Plate 3/@18/E9_03.tif </t>
  </si>
  <si>
    <t xml:space="preserve"> 14578.549 </t>
  </si>
  <si>
    <t xml:space="preserve"> 35.2849 </t>
  </si>
  <si>
    <t xml:space="preserve">C:\Users\andre\Desktop\REACTIV CEFAS\Saccharin\Saccharin/20201201_Cefas_Test8_Run1/Plate 3/@18/F9_01.tif </t>
  </si>
  <si>
    <t xml:space="preserve"> 67831.3496 </t>
  </si>
  <si>
    <t xml:space="preserve"> 40.287 </t>
  </si>
  <si>
    <t xml:space="preserve">C:\Users\andre\Desktop\REACTIV CEFAS\Saccharin\Saccharin/20201201_Cefas_Test8_Run1/Plate 3/@18/F9_02.tif </t>
  </si>
  <si>
    <t xml:space="preserve"> 60542.0751 </t>
  </si>
  <si>
    <t xml:space="preserve"> 42.5916 </t>
  </si>
  <si>
    <t xml:space="preserve">C:\Users\andre\Desktop\REACTIV CEFAS\Saccharin\Saccharin/20201201_Cefas_Test8_Run1/Plate 3/@18/F9_03.tif </t>
  </si>
  <si>
    <t xml:space="preserve"> 52582.2738 </t>
  </si>
  <si>
    <t xml:space="preserve"> 44.2431 </t>
  </si>
  <si>
    <t xml:space="preserve">C:\Users\andre\Desktop\REACTIV CEFAS\Saccharin\Saccharin/20201201_Cefas_Test8_Run1/Plate 3/@18/G9_01.tif </t>
  </si>
  <si>
    <t xml:space="preserve"> 26474.991 </t>
  </si>
  <si>
    <t xml:space="preserve"> 35.8023 </t>
  </si>
  <si>
    <t xml:space="preserve">C:\Users\andre\Desktop\REACTIV CEFAS\Saccharin\Saccharin/20201201_Cefas_Test8_Run1/Plate 3/@18/G9_02.tif </t>
  </si>
  <si>
    <t xml:space="preserve"> 30130.4432 </t>
  </si>
  <si>
    <t xml:space="preserve"> 35.3869 </t>
  </si>
  <si>
    <t xml:space="preserve">C:\Users\andre\Desktop\REACTIV CEFAS\Saccharin\Saccharin/20201201_Cefas_Test8_Run1/Plate 3/@18/G9_03.tif </t>
  </si>
  <si>
    <t xml:space="preserve"> 33634.4861 </t>
  </si>
  <si>
    <t xml:space="preserve"> 35.573 </t>
  </si>
  <si>
    <t xml:space="preserve">C:\Users\andre\Desktop\REACTIV CEFAS\Saccharin\Saccharin/20201201_Cefas_Test8_Run1/Plate 3/@18/H9_01.tif </t>
  </si>
  <si>
    <t xml:space="preserve"> 2617.2173 </t>
  </si>
  <si>
    <t xml:space="preserve"> 32.7521 </t>
  </si>
  <si>
    <t xml:space="preserve">C:\Users\andre\Desktop\REACTIV CEFAS\Saccharin\Saccharin/20201201_Cefas_Test8_Run1/Plate 3/@18/H9_02.tif </t>
  </si>
  <si>
    <t xml:space="preserve"> 5429.1036 </t>
  </si>
  <si>
    <t xml:space="preserve"> 33.0837 </t>
  </si>
  <si>
    <t xml:space="preserve">C:\Users\andre\Desktop\REACTIV CEFAS\Saccharin\Saccharin/20201201_Cefas_Test8_Run1/Plate 3/@18/H9_03.tif </t>
  </si>
  <si>
    <t xml:space="preserve"> 4088.0501 </t>
  </si>
  <si>
    <t xml:space="preserve"> 32.5397 </t>
  </si>
  <si>
    <t xml:space="preserve">C:\Users\andre\Desktop\REACTIV CEFAS\Saccharin\Saccharin/20201201_Cefas_Test8_Run1/Plate 3/@18/ </t>
  </si>
  <si>
    <t xml:space="preserve"> 36.6711 </t>
  </si>
  <si>
    <t xml:space="preserve"> 3.4135 </t>
  </si>
  <si>
    <t xml:space="preserve"> 1221625.71 </t>
  </si>
  <si>
    <t xml:space="preserve"> 899673.033 </t>
  </si>
  <si>
    <t xml:space="preserve">C:\Users\andre\Desktop\REACTIV CEFAS\Saccharin\Saccharin/20201201_Cefas_Test8_Run1/Plate 3/@19/A10_01.tif </t>
  </si>
  <si>
    <t xml:space="preserve"> 37765.796 </t>
  </si>
  <si>
    <t xml:space="preserve"> 45.6546 </t>
  </si>
  <si>
    <t xml:space="preserve">C:\Users\andre\Desktop\REACTIV CEFAS\Saccharin\Saccharin/20201201_Cefas_Test8_Run1/Plate 3/@19/A10_02.tif </t>
  </si>
  <si>
    <t xml:space="preserve"> 27816.0445 </t>
  </si>
  <si>
    <t xml:space="preserve"> 37.703 </t>
  </si>
  <si>
    <t xml:space="preserve">C:\Users\andre\Desktop\REACTIV CEFAS\Saccharin\Saccharin/20201201_Cefas_Test8_Run1/Plate 3/@19/A10_03.tif </t>
  </si>
  <si>
    <t xml:space="preserve"> 54831.7829 </t>
  </si>
  <si>
    <t xml:space="preserve"> 45.0438 </t>
  </si>
  <si>
    <t>C:\Users\andre\Desktop\REACTIV CEFAS\Saccharin\Saccharin/20201201_Cefas_Test8_Run1/Plate 3/@19/B10_01- exclu.tif</t>
  </si>
  <si>
    <t>C:\Users\andre\Desktop\REACTIV CEFAS\Saccharin\Saccharin/20201201_Cefas_Test8_Run1/Plate 3/@19/B10_02- exclu.tif</t>
  </si>
  <si>
    <t xml:space="preserve">C:\Users\andre\Desktop\REACTIV CEFAS\Saccharin\Saccharin/20201201_Cefas_Test8_Run1/Plate 3/@19/B10_03.tif </t>
  </si>
  <si>
    <t xml:space="preserve"> 29654.5855 </t>
  </si>
  <si>
    <t xml:space="preserve"> 41.8665 </t>
  </si>
  <si>
    <t xml:space="preserve">C:\Users\andre\Desktop\REACTIV CEFAS\Saccharin\Saccharin/20201201_Cefas_Test8_Run1/Plate 3/@19/C10_01.tif </t>
  </si>
  <si>
    <t xml:space="preserve"> 19899.5031 </t>
  </si>
  <si>
    <t xml:space="preserve"> 37.9054 </t>
  </si>
  <si>
    <t xml:space="preserve">C:\Users\andre\Desktop\REACTIV CEFAS\Saccharin\Saccharin/20201201_Cefas_Test8_Run1/Plate 3/@19/C10_02.tif </t>
  </si>
  <si>
    <t xml:space="preserve"> 27772.7847 </t>
  </si>
  <si>
    <t xml:space="preserve"> 38.7741 </t>
  </si>
  <si>
    <t xml:space="preserve">C:\Users\andre\Desktop\REACTIV CEFAS\Saccharin\Saccharin/20201201_Cefas_Test8_Run1/Plate 3/@19/C10_03.tif </t>
  </si>
  <si>
    <t xml:space="preserve"> 25177.1973 </t>
  </si>
  <si>
    <t xml:space="preserve"> 37.6727 </t>
  </si>
  <si>
    <t xml:space="preserve">C:\Users\andre\Desktop\REACTIV CEFAS\Saccharin\Saccharin/20201201_Cefas_Test8_Run1/Plate 3/@19/D10_01.tif </t>
  </si>
  <si>
    <t xml:space="preserve"> 47953.4764 </t>
  </si>
  <si>
    <t xml:space="preserve"> 42.6116 </t>
  </si>
  <si>
    <t xml:space="preserve">C:\Users\andre\Desktop\REACTIV CEFAS\Saccharin\Saccharin/20201201_Cefas_Test8_Run1/Plate 3/@19/D10_02.tif </t>
  </si>
  <si>
    <t xml:space="preserve"> 42546.0027 </t>
  </si>
  <si>
    <t xml:space="preserve"> 43.5425 </t>
  </si>
  <si>
    <t xml:space="preserve">C:\Users\andre\Desktop\REACTIV CEFAS\Saccharin\Saccharin/20201201_Cefas_Test8_Run1/Plate 3/@19/D10_03.tif </t>
  </si>
  <si>
    <t xml:space="preserve"> 43021.8604 </t>
  </si>
  <si>
    <t xml:space="preserve"> 45.7547 </t>
  </si>
  <si>
    <t xml:space="preserve">C:\Users\andre\Desktop\REACTIV CEFAS\Saccharin\Saccharin/20201201_Cefas_Test8_Run1/Plate 3/@19/E10_01.tif </t>
  </si>
  <si>
    <t xml:space="preserve"> 50873.5122 </t>
  </si>
  <si>
    <t xml:space="preserve"> 42.2326 </t>
  </si>
  <si>
    <t xml:space="preserve">C:\Users\andre\Desktop\REACTIV CEFAS\Saccharin\Saccharin/20201201_Cefas_Test8_Run1/Plate 3/@19/E10_02.tif </t>
  </si>
  <si>
    <t xml:space="preserve"> 45639.0777 </t>
  </si>
  <si>
    <t xml:space="preserve"> 39.2166 </t>
  </si>
  <si>
    <t xml:space="preserve">C:\Users\andre\Desktop\REACTIV CEFAS\Saccharin\Saccharin/20201201_Cefas_Test8_Run1/Plate 3/@19/E10_03.tif </t>
  </si>
  <si>
    <t xml:space="preserve"> 49143.1206 </t>
  </si>
  <si>
    <t xml:space="preserve"> 40.4551 </t>
  </si>
  <si>
    <t xml:space="preserve">C:\Users\andre\Desktop\REACTIV CEFAS\Saccharin\Saccharin/20201201_Cefas_Test8_Run1/Plate 3/@19/F10_01.tif </t>
  </si>
  <si>
    <t xml:space="preserve"> 50765.3627 </t>
  </si>
  <si>
    <t xml:space="preserve"> 49.262 </t>
  </si>
  <si>
    <t xml:space="preserve">C:\Users\andre\Desktop\REACTIV CEFAS\Saccharin\Saccharin/20201201_Cefas_Test8_Run1/Plate 3/@19/F10_02.tif </t>
  </si>
  <si>
    <t xml:space="preserve"> 46742.2023 </t>
  </si>
  <si>
    <t xml:space="preserve"> 46.6145 </t>
  </si>
  <si>
    <t xml:space="preserve">C:\Users\andre\Desktop\REACTIV CEFAS\Saccharin\Saccharin/20201201_Cefas_Test8_Run1/Plate 3/@19/F10_03.tif </t>
  </si>
  <si>
    <t xml:space="preserve"> 48.6028 </t>
  </si>
  <si>
    <t xml:space="preserve">C:\Users\andre\Desktop\REACTIV CEFAS\Saccharin\Saccharin/20201201_Cefas_Test8_Run1/Plate 3/@19/G10_01.tif </t>
  </si>
  <si>
    <t xml:space="preserve"> 62575.2852 </t>
  </si>
  <si>
    <t xml:space="preserve"> 45.5005 </t>
  </si>
  <si>
    <t xml:space="preserve">C:\Users\andre\Desktop\REACTIV CEFAS\Saccharin\Saccharin/20201201_Cefas_Test8_Run1/Plate 3/@19/G10_02.tif </t>
  </si>
  <si>
    <t xml:space="preserve"> 57773.4486 </t>
  </si>
  <si>
    <t xml:space="preserve"> 42.3669 </t>
  </si>
  <si>
    <t xml:space="preserve">C:\Users\andre\Desktop\REACTIV CEFAS\Saccharin\Saccharin/20201201_Cefas_Test8_Run1/Plate 3/@19/G10_03.tif </t>
  </si>
  <si>
    <t xml:space="preserve"> 53187.9109 </t>
  </si>
  <si>
    <t xml:space="preserve"> 40.9744 </t>
  </si>
  <si>
    <t xml:space="preserve">C:\Users\andre\Desktop\REACTIV CEFAS\Saccharin\Saccharin/20201201_Cefas_Test8_Run1/Plate 3/@19/H10_01.tif </t>
  </si>
  <si>
    <t xml:space="preserve"> 59611.9896 </t>
  </si>
  <si>
    <t xml:space="preserve"> 42.0758 </t>
  </si>
  <si>
    <t xml:space="preserve">C:\Users\andre\Desktop\REACTIV CEFAS\Saccharin\Saccharin/20201201_Cefas_Test8_Run1/Plate 3/@19/H10_02.tif </t>
  </si>
  <si>
    <t xml:space="preserve"> 62272.4666 </t>
  </si>
  <si>
    <t xml:space="preserve"> 42.3098 </t>
  </si>
  <si>
    <t xml:space="preserve">C:\Users\andre\Desktop\REACTIV CEFAS\Saccharin\Saccharin/20201201_Cefas_Test8_Run1/Plate 3/@19/H10_03.tif </t>
  </si>
  <si>
    <t xml:space="preserve"> 61861.4986 </t>
  </si>
  <si>
    <t xml:space="preserve"> 42.1895 </t>
  </si>
  <si>
    <t xml:space="preserve">C:\Users\andre\Desktop\REACTIV CEFAS\Saccharin\Saccharin/20201201_Cefas_Test8_Run1/Plate 3/@19/ </t>
  </si>
  <si>
    <t xml:space="preserve"> 42.8862 </t>
  </si>
  <si>
    <t xml:space="preserve"> 3.3003 </t>
  </si>
  <si>
    <t xml:space="preserve"> 1948670.5 </t>
  </si>
  <si>
    <t xml:space="preserve"> 624752.064 </t>
  </si>
  <si>
    <t>C:\Users\andre\Desktop\REACTIV CEFAS\Saccharin\Saccharin/20201201_Cefas_Test8_Run1/Plate 3/@20/A11_01- exclu.tif</t>
  </si>
  <si>
    <t>C:\Users\andre\Desktop\REACTIV CEFAS\Saccharin\Saccharin/20201201_Cefas_Test8_Run1/Plate 3/@20/A11_02- exclu.tif</t>
  </si>
  <si>
    <t>C:\Users\andre\Desktop\REACTIV CEFAS\Saccharin\Saccharin/20201201_Cefas_Test8_Run1/Plate 3/@20/A11_03- exclu.tif</t>
  </si>
  <si>
    <t xml:space="preserve">C:\Users\andre\Desktop\REACTIV CEFAS\Saccharin\Saccharin/20201201_Cefas_Test8_Run1/Plate 3/@20/B11_01.tif </t>
  </si>
  <si>
    <t xml:space="preserve"> 55156.2313 </t>
  </si>
  <si>
    <t xml:space="preserve"> 48.6604 </t>
  </si>
  <si>
    <t xml:space="preserve">C:\Users\andre\Desktop\REACTIV CEFAS\Saccharin\Saccharin/20201201_Cefas_Test8_Run1/Plate 3/@20/B11_02.tif </t>
  </si>
  <si>
    <t xml:space="preserve"> 53404.2098 </t>
  </si>
  <si>
    <t xml:space="preserve"> 48.8967 </t>
  </si>
  <si>
    <t xml:space="preserve">C:\Users\andre\Desktop\REACTIV CEFAS\Saccharin\Saccharin/20201201_Cefas_Test8_Run1/Plate 3/@20/B11_03.tif </t>
  </si>
  <si>
    <t xml:space="preserve"> 49164.7505 </t>
  </si>
  <si>
    <t xml:space="preserve"> 48.9076 </t>
  </si>
  <si>
    <t xml:space="preserve">C:\Users\andre\Desktop\REACTIV CEFAS\Saccharin\Saccharin/20201201_Cefas_Test8_Run1/Plate 3/@20/C11_01.tif </t>
  </si>
  <si>
    <t xml:space="preserve"> 46807.092 </t>
  </si>
  <si>
    <t xml:space="preserve"> 42.3064 </t>
  </si>
  <si>
    <t xml:space="preserve">C:\Users\andre\Desktop\REACTIV CEFAS\Saccharin\Saccharin/20201201_Cefas_Test8_Run1/Plate 3/@20/C11_02.tif </t>
  </si>
  <si>
    <t xml:space="preserve"> 41334.7286 </t>
  </si>
  <si>
    <t xml:space="preserve"> 39.6949 </t>
  </si>
  <si>
    <t xml:space="preserve">C:\Users\andre\Desktop\REACTIV CEFAS\Saccharin\Saccharin/20201201_Cefas_Test8_Run1/Plate 3/@20/C11_03.tif </t>
  </si>
  <si>
    <t xml:space="preserve"> 46893.6116 </t>
  </si>
  <si>
    <t xml:space="preserve"> 42.3916 </t>
  </si>
  <si>
    <t xml:space="preserve">C:\Users\andre\Desktop\REACTIV CEFAS\Saccharin\Saccharin/20201201_Cefas_Test8_Run1/Plate 3/@20/D11_01.tif </t>
  </si>
  <si>
    <t xml:space="preserve"> 40967.0204 </t>
  </si>
  <si>
    <t xml:space="preserve"> 36.8105 </t>
  </si>
  <si>
    <t xml:space="preserve">C:\Users\andre\Desktop\REACTIV CEFAS\Saccharin\Saccharin/20201201_Cefas_Test8_Run1/Plate 3/@20/D11_02.tif </t>
  </si>
  <si>
    <t xml:space="preserve"> 33396.5573 </t>
  </si>
  <si>
    <t xml:space="preserve"> 35.4974 </t>
  </si>
  <si>
    <t xml:space="preserve">C:\Users\andre\Desktop\REACTIV CEFAS\Saccharin\Saccharin/20201201_Cefas_Test8_Run1/Plate 3/@20/D11_03.tif </t>
  </si>
  <si>
    <t xml:space="preserve"> 35840.7354 </t>
  </si>
  <si>
    <t xml:space="preserve"> 34.9342 </t>
  </si>
  <si>
    <t xml:space="preserve">C:\Users\andre\Desktop\REACTIV CEFAS\Saccharin\Saccharin/20201201_Cefas_Test8_Run1/Plate 3/@20/E11_01.tif </t>
  </si>
  <si>
    <t xml:space="preserve"> 64608.4953 </t>
  </si>
  <si>
    <t xml:space="preserve"> 38.6816 </t>
  </si>
  <si>
    <t xml:space="preserve">C:\Users\andre\Desktop\REACTIV CEFAS\Saccharin\Saccharin/20201201_Cefas_Test8_Run1/Plate 3/@20/E11_02.tif </t>
  </si>
  <si>
    <t xml:space="preserve"> 66057.6982 </t>
  </si>
  <si>
    <t xml:space="preserve"> 47.0714 </t>
  </si>
  <si>
    <t xml:space="preserve">C:\Users\andre\Desktop\REACTIV CEFAS\Saccharin\Saccharin/20201201_Cefas_Test8_Run1/Plate 3/@20/E11_03.tif </t>
  </si>
  <si>
    <t xml:space="preserve"> 66836.3744 </t>
  </si>
  <si>
    <t xml:space="preserve"> 45.5673 </t>
  </si>
  <si>
    <t xml:space="preserve">C:\Users\andre\Desktop\REACTIV CEFAS\Saccharin\Saccharin/20201201_Cefas_Test8_Run1/Plate 3/@20/F11_01.tif </t>
  </si>
  <si>
    <t xml:space="preserve"> 31839.2049 </t>
  </si>
  <si>
    <t xml:space="preserve"> 36.2833 </t>
  </si>
  <si>
    <t xml:space="preserve">C:\Users\andre\Desktop\REACTIV CEFAS\Saccharin\Saccharin/20201201_Cefas_Test8_Run1/Plate 3/@20/F11_02.tif </t>
  </si>
  <si>
    <t xml:space="preserve"> 36.6349 </t>
  </si>
  <si>
    <t xml:space="preserve">C:\Users\andre\Desktop\REACTIV CEFAS\Saccharin\Saccharin/20201201_Cefas_Test8_Run1/Plate 3/@20/F11_03.tif </t>
  </si>
  <si>
    <t xml:space="preserve"> 17541.8445 </t>
  </si>
  <si>
    <t xml:space="preserve"> 34.0875 </t>
  </si>
  <si>
    <t xml:space="preserve">C:\Users\andre\Desktop\REACTIV CEFAS\Saccharin\Saccharin/20201201_Cefas_Test8_Run1/Plate 3/@20/G11_01.tif </t>
  </si>
  <si>
    <t xml:space="preserve"> 67290.6022 </t>
  </si>
  <si>
    <t xml:space="preserve"> 41.7085 </t>
  </si>
  <si>
    <t xml:space="preserve">C:\Users\andre\Desktop\REACTIV CEFAS\Saccharin\Saccharin/20201201_Cefas_Test8_Run1/Plate 3/@20/G11_02.tif </t>
  </si>
  <si>
    <t xml:space="preserve"> 60174.3669 </t>
  </si>
  <si>
    <t xml:space="preserve"> 38.2426 </t>
  </si>
  <si>
    <t xml:space="preserve">C:\Users\andre\Desktop\REACTIV CEFAS\Saccharin\Saccharin/20201201_Cefas_Test8_Run1/Plate 3/@20/G11_03.tif </t>
  </si>
  <si>
    <t xml:space="preserve"> 57470.63 </t>
  </si>
  <si>
    <t xml:space="preserve"> 37.4577 </t>
  </si>
  <si>
    <t xml:space="preserve">C:\Users\andre\Desktop\REACTIV CEFAS\Saccharin\Saccharin/20201201_Cefas_Test8_Run1/Plate 3/@20/H11_01.tif </t>
  </si>
  <si>
    <t xml:space="preserve"> 35.5233 </t>
  </si>
  <si>
    <t xml:space="preserve">C:\Users\andre\Desktop\REACTIV CEFAS\Saccharin\Saccharin/20201201_Cefas_Test8_Run1/Plate 3/@20/H11_02.tif </t>
  </si>
  <si>
    <t xml:space="preserve"> 6359.189 </t>
  </si>
  <si>
    <t xml:space="preserve"> 36.4966 </t>
  </si>
  <si>
    <t xml:space="preserve">C:\Users\andre\Desktop\REACTIV CEFAS\Saccharin\Saccharin/20201201_Cefas_Test8_Run1/Plate 3/@20/H11_03.tif </t>
  </si>
  <si>
    <t xml:space="preserve"> 35.0405 </t>
  </si>
  <si>
    <t xml:space="preserve">C:\Users\andre\Desktop\REACTIV CEFAS\Saccharin\Saccharin/20201201_Cefas_Test8_Run1/Plate 3/@20/ </t>
  </si>
  <si>
    <t xml:space="preserve"> 39.5527 </t>
  </si>
  <si>
    <t xml:space="preserve"> 4.9099 </t>
  </si>
  <si>
    <t xml:space="preserve"> 988614.792 </t>
  </si>
  <si>
    <t xml:space="preserve">C:\Users\andre\Desktop\REACTIV CEFAS\Saccharin\Saccharin/20201201_Cefas_Test8_Run1/Plate 3/@21/A12_01.tif </t>
  </si>
  <si>
    <t xml:space="preserve"> 40491.1627 </t>
  </si>
  <si>
    <t xml:space="preserve"> 37.3584 </t>
  </si>
  <si>
    <t xml:space="preserve">C:\Users\andre\Desktop\REACTIV CEFAS\Saccharin\Saccharin/20201201_Cefas_Test8_Run1/Plate 3/@21/A12_02.tif </t>
  </si>
  <si>
    <t xml:space="preserve"> 36078.6642 </t>
  </si>
  <si>
    <t xml:space="preserve"> 37.0408 </t>
  </si>
  <si>
    <t xml:space="preserve">C:\Users\andre\Desktop\REACTIV CEFAS\Saccharin\Saccharin/20201201_Cefas_Test8_Run1/Plate 3/@21/A12_03.tif </t>
  </si>
  <si>
    <t xml:space="preserve"> 42135.0347 </t>
  </si>
  <si>
    <t xml:space="preserve"> 37.9492 </t>
  </si>
  <si>
    <t xml:space="preserve">C:\Users\andre\Desktop\REACTIV CEFAS\Saccharin\Saccharin/20201201_Cefas_Test8_Run1/Plate 3/@21/B12_01.tif </t>
  </si>
  <si>
    <t xml:space="preserve"> 65019.4633 </t>
  </si>
  <si>
    <t xml:space="preserve"> 42.6101 </t>
  </si>
  <si>
    <t xml:space="preserve">C:\Users\andre\Desktop\REACTIV CEFAS\Saccharin\Saccharin/20201201_Cefas_Test8_Run1/Plate 3/@21/B12_02.tif </t>
  </si>
  <si>
    <t xml:space="preserve"> 72287.1078 </t>
  </si>
  <si>
    <t xml:space="preserve"> 42.7457 </t>
  </si>
  <si>
    <t xml:space="preserve">C:\Users\andre\Desktop\REACTIV CEFAS\Saccharin\Saccharin/20201201_Cefas_Test8_Run1/Plate 3/@21/B12_03.tif </t>
  </si>
  <si>
    <t xml:space="preserve"> 69951.0792 </t>
  </si>
  <si>
    <t xml:space="preserve"> 41.6957 </t>
  </si>
  <si>
    <t xml:space="preserve">C:\Users\andre\Desktop\REACTIV CEFAS\Saccharin\Saccharin/20201201_Cefas_Test8_Run1/Plate 3/@21/C12_01.tif </t>
  </si>
  <si>
    <t xml:space="preserve"> 13172.6058 </t>
  </si>
  <si>
    <t xml:space="preserve"> 35.6831 </t>
  </si>
  <si>
    <t xml:space="preserve">C:\Users\andre\Desktop\REACTIV CEFAS\Saccharin\Saccharin/20201201_Cefas_Test8_Run1/Plate 3/@21/C12_02.tif </t>
  </si>
  <si>
    <t xml:space="preserve"> 16655.0189 </t>
  </si>
  <si>
    <t xml:space="preserve"> 37.8143 </t>
  </si>
  <si>
    <t xml:space="preserve">C:\Users\andre\Desktop\REACTIV CEFAS\Saccharin\Saccharin/20201201_Cefas_Test8_Run1/Plate 3/@21/C12_03.tif </t>
  </si>
  <si>
    <t xml:space="preserve"> 24398.5211 </t>
  </si>
  <si>
    <t xml:space="preserve"> 38.4796 </t>
  </si>
  <si>
    <t xml:space="preserve">C:\Users\andre\Desktop\REACTIV CEFAS\Saccharin\Saccharin/20201201_Cefas_Test8_Run1/Plate 3/@21/D12_01.tif </t>
  </si>
  <si>
    <t xml:space="preserve"> 31.8023 </t>
  </si>
  <si>
    <t xml:space="preserve">C:\Users\andre\Desktop\REACTIV CEFAS\Saccharin\Saccharin/20201201_Cefas_Test8_Run1/Plate 3/@21/D12_02.tif </t>
  </si>
  <si>
    <t xml:space="preserve"> 11312.4349 </t>
  </si>
  <si>
    <t xml:space="preserve"> 33.4532 </t>
  </si>
  <si>
    <t xml:space="preserve">C:\Users\andre\Desktop\REACTIV CEFAS\Saccharin\Saccharin/20201201_Cefas_Test8_Run1/Plate 3/@21/D12_03.tif </t>
  </si>
  <si>
    <t xml:space="preserve"> 16200.7911 </t>
  </si>
  <si>
    <t xml:space="preserve"> 34.4406 </t>
  </si>
  <si>
    <t xml:space="preserve">C:\Users\andre\Desktop\REACTIV CEFAS\Saccharin\Saccharin/20201201_Cefas_Test8_Run1/Plate 3/@21/E12_01.tif </t>
  </si>
  <si>
    <t xml:space="preserve"> 32942.3295 </t>
  </si>
  <si>
    <t xml:space="preserve"> 37.9192 </t>
  </si>
  <si>
    <t xml:space="preserve">C:\Users\andre\Desktop\REACTIV CEFAS\Saccharin\Saccharin/20201201_Cefas_Test8_Run1/Plate 3/@21/E12_02.tif </t>
  </si>
  <si>
    <t xml:space="preserve"> 22884.4285 </t>
  </si>
  <si>
    <t xml:space="preserve"> 37.4773 </t>
  </si>
  <si>
    <t xml:space="preserve">C:\Users\andre\Desktop\REACTIV CEFAS\Saccharin\Saccharin/20201201_Cefas_Test8_Run1/Plate 3/@21/E12_03.tif </t>
  </si>
  <si>
    <t xml:space="preserve"> 35689.3261 </t>
  </si>
  <si>
    <t xml:space="preserve"> 39.1897 </t>
  </si>
  <si>
    <t xml:space="preserve">C:\Users\andre\Desktop\REACTIV CEFAS\Saccharin\Saccharin/20201201_Cefas_Test8_Run1/Plate 3/@21/F12_01.tif </t>
  </si>
  <si>
    <t xml:space="preserve"> 41810.5863 </t>
  </si>
  <si>
    <t xml:space="preserve"> 42.5142 </t>
  </si>
  <si>
    <t xml:space="preserve">C:\Users\andre\Desktop\REACTIV CEFAS\Saccharin\Saccharin/20201201_Cefas_Test8_Run1/Plate 3/@21/F12_02.tif </t>
  </si>
  <si>
    <t xml:space="preserve"> 38998.7 </t>
  </si>
  <si>
    <t xml:space="preserve"> 42.6467 </t>
  </si>
  <si>
    <t xml:space="preserve">C:\Users\andre\Desktop\REACTIV CEFAS\Saccharin\Saccharin/20201201_Cefas_Test8_Run1/Plate 3/@21/F12_03.tif </t>
  </si>
  <si>
    <t xml:space="preserve"> 44579.2128 </t>
  </si>
  <si>
    <t xml:space="preserve"> 40.8035 </t>
  </si>
  <si>
    <t xml:space="preserve">C:\Users\andre\Desktop\REACTIV CEFAS\Saccharin\Saccharin/20201201_Cefas_Test8_Run1/Plate 3/@21/G12_01.tif </t>
  </si>
  <si>
    <t xml:space="preserve"> 48948.4515 </t>
  </si>
  <si>
    <t xml:space="preserve"> 42.4308 </t>
  </si>
  <si>
    <t xml:space="preserve">C:\Users\andre\Desktop\REACTIV CEFAS\Saccharin\Saccharin/20201201_Cefas_Test8_Run1/Plate 3/@21/G12_02.tif </t>
  </si>
  <si>
    <t xml:space="preserve"> 52863.4625 </t>
  </si>
  <si>
    <t xml:space="preserve"> 41.3662 </t>
  </si>
  <si>
    <t xml:space="preserve">C:\Users\andre\Desktop\REACTIV CEFAS\Saccharin\Saccharin/20201201_Cefas_Test8_Run1/Plate 3/@21/G12_03.tif </t>
  </si>
  <si>
    <t xml:space="preserve"> 58725.1639 </t>
  </si>
  <si>
    <t xml:space="preserve"> 40.8077 </t>
  </si>
  <si>
    <t xml:space="preserve">C:\Users\andre\Desktop\REACTIV CEFAS\Saccharin\Saccharin/20201201_Cefas_Test8_Run1/Plate 3/@21/H12_01.tif </t>
  </si>
  <si>
    <t xml:space="preserve"> 56886.6229 </t>
  </si>
  <si>
    <t xml:space="preserve"> 46.1156 </t>
  </si>
  <si>
    <t xml:space="preserve">C:\Users\andre\Desktop\REACTIV CEFAS\Saccharin\Saccharin/20201201_Cefas_Test8_Run1/Plate 3/@21/H12_02.tif </t>
  </si>
  <si>
    <t xml:space="preserve"> 61472.1605 </t>
  </si>
  <si>
    <t xml:space="preserve"> 44.988 </t>
  </si>
  <si>
    <t xml:space="preserve">C:\Users\andre\Desktop\REACTIV CEFAS\Saccharin\Saccharin/20201201_Cefas_Test8_Run1/Plate 3/@21/H12_03.tif </t>
  </si>
  <si>
    <t xml:space="preserve"> 63116.0325 </t>
  </si>
  <si>
    <t xml:space="preserve"> 46.1169 </t>
  </si>
  <si>
    <t xml:space="preserve">C:\Users\andre\Desktop\REACTIV CEFAS\Saccharin\Saccharin/20201201_Cefas_Test8_Run1/Plate 3/@21/ </t>
  </si>
  <si>
    <t xml:space="preserve"> 39.727 </t>
  </si>
  <si>
    <t xml:space="preserve"> 3.8194 </t>
  </si>
  <si>
    <t xml:space="preserve"> 1666011.21 </t>
  </si>
  <si>
    <t xml:space="preserve"> 909647.423 </t>
  </si>
  <si>
    <t xml:space="preserve">C:\Users\andre\Desktop\REACTIV CEFAS\Saccharin\Saccharin/20201201_Cefas_Test8_Run1/Plate 3/@8/A2_01.tif </t>
  </si>
  <si>
    <t xml:space="preserve"> 5277.6943 </t>
  </si>
  <si>
    <t xml:space="preserve"> 34.5451 </t>
  </si>
  <si>
    <t xml:space="preserve">C:\Users\andre\Desktop\REACTIV CEFAS\Saccharin\Saccharin/20201201_Cefas_Test8_Run1/Plate 3/@8/A2_02.tif </t>
  </si>
  <si>
    <t xml:space="preserve">C:\Users\andre\Desktop\REACTIV CEFAS\Saccharin\Saccharin/20201201_Cefas_Test8_Run1/Plate 3/@8/A2_03.tif </t>
  </si>
  <si>
    <t xml:space="preserve"> 3071.445 </t>
  </si>
  <si>
    <t xml:space="preserve"> 32.4014 </t>
  </si>
  <si>
    <t xml:space="preserve">C:\Users\andre\Desktop\REACTIV CEFAS\Saccharin\Saccharin/20201201_Cefas_Test8_Run1/Plate 3/@8/B2_01.tif </t>
  </si>
  <si>
    <t xml:space="preserve"> 627.2669 </t>
  </si>
  <si>
    <t xml:space="preserve"> 31.7931 </t>
  </si>
  <si>
    <t xml:space="preserve">C:\Users\andre\Desktop\REACTIV CEFAS\Saccharin\Saccharin/20201201_Cefas_Test8_Run1/Plate 3/@8/B2_02.tif </t>
  </si>
  <si>
    <t xml:space="preserve"> 4672.0572 </t>
  </si>
  <si>
    <t xml:space="preserve"> 34.7454 </t>
  </si>
  <si>
    <t xml:space="preserve">C:\Users\andre\Desktop\REACTIV CEFAS\Saccharin\Saccharin/20201201_Cefas_Test8_Run1/Plate 3/@8/B2_03.tif </t>
  </si>
  <si>
    <t xml:space="preserve"> 36.9035 </t>
  </si>
  <si>
    <t xml:space="preserve">C:\Users\andre\Desktop\REACTIV CEFAS\Saccharin\Saccharin/20201201_Cefas_Test8_Run1/Plate 3/@8/C2_01.tif </t>
  </si>
  <si>
    <t xml:space="preserve"> 8219.36 </t>
  </si>
  <si>
    <t xml:space="preserve"> 35.4763 </t>
  </si>
  <si>
    <t xml:space="preserve">C:\Users\andre\Desktop\REACTIV CEFAS\Saccharin\Saccharin/20201201_Cefas_Test8_Run1/Plate 3/@8/C2_02.tif </t>
  </si>
  <si>
    <t xml:space="preserve"> 10014.6412 </t>
  </si>
  <si>
    <t xml:space="preserve"> 34.9374 </t>
  </si>
  <si>
    <t xml:space="preserve">C:\Users\andre\Desktop\REACTIV CEFAS\Saccharin\Saccharin/20201201_Cefas_Test8_Run1/Plate 3/@8/C2_03.tif </t>
  </si>
  <si>
    <t xml:space="preserve"> 3677.0821 </t>
  </si>
  <si>
    <t xml:space="preserve"> 32.6941 </t>
  </si>
  <si>
    <t xml:space="preserve">C:\Users\andre\Desktop\REACTIV CEFAS\Saccharin\Saccharin/20201201_Cefas_Test8_Run1/Plate 3/@8/D2_01.tif </t>
  </si>
  <si>
    <t xml:space="preserve"> 40.171 </t>
  </si>
  <si>
    <t xml:space="preserve">C:\Users\andre\Desktop\REACTIV CEFAS\Saccharin\Saccharin/20201201_Cefas_Test8_Run1/Plate 3/@8/D2_02.tif </t>
  </si>
  <si>
    <t xml:space="preserve"> 40.3048 </t>
  </si>
  <si>
    <t xml:space="preserve">C:\Users\andre\Desktop\REACTIV CEFAS\Saccharin\Saccharin/20201201_Cefas_Test8_Run1/Plate 3/@8/D2_03.tif </t>
  </si>
  <si>
    <t xml:space="preserve"> 7159.4951 </t>
  </si>
  <si>
    <t xml:space="preserve"> 43.9033 </t>
  </si>
  <si>
    <t xml:space="preserve">C:\Users\andre\Desktop\REACTIV CEFAS\Saccharin\Saccharin/20201201_Cefas_Test8_Run1/Plate 3/@8/E2_01.tif </t>
  </si>
  <si>
    <t xml:space="preserve"> 36.3057 </t>
  </si>
  <si>
    <t xml:space="preserve">C:\Users\andre\Desktop\REACTIV CEFAS\Saccharin\Saccharin/20201201_Cefas_Test8_Run1/Plate 3/@8/E2_02.tif </t>
  </si>
  <si>
    <t xml:space="preserve"> 5558.8829 </t>
  </si>
  <si>
    <t xml:space="preserve"> 34.9883 </t>
  </si>
  <si>
    <t xml:space="preserve">C:\Users\andre\Desktop\REACTIV CEFAS\Saccharin\Saccharin/20201201_Cefas_Test8_Run1/Plate 3/@8/E2_03.tif </t>
  </si>
  <si>
    <t xml:space="preserve"> 34.2408 </t>
  </si>
  <si>
    <t xml:space="preserve">C:\Users\andre\Desktop\REACTIV CEFAS\Saccharin\Saccharin/20201201_Cefas_Test8_Run1/Plate 3/@8/F2_01.tif </t>
  </si>
  <si>
    <t xml:space="preserve"> 39.4112 </t>
  </si>
  <si>
    <t xml:space="preserve">C:\Users\andre\Desktop\REACTIV CEFAS\Saccharin\Saccharin/20201201_Cefas_Test8_Run1/Plate 3/@8/F2_02.tif </t>
  </si>
  <si>
    <t xml:space="preserve"> 46.7801 </t>
  </si>
  <si>
    <t xml:space="preserve">C:\Users\andre\Desktop\REACTIV CEFAS\Saccharin\Saccharin/20201201_Cefas_Test8_Run1/Plate 3/@8/F2_03.tif </t>
  </si>
  <si>
    <t xml:space="preserve"> 4780.2067 </t>
  </si>
  <si>
    <t xml:space="preserve"> 37.7285 </t>
  </si>
  <si>
    <t xml:space="preserve">C:\Users\andre\Desktop\REACTIV CEFAS\Saccharin\Saccharin/20201201_Cefas_Test8_Run1/Plate 3/@8/G2_01.tif </t>
  </si>
  <si>
    <t xml:space="preserve"> 40.4599 </t>
  </si>
  <si>
    <t xml:space="preserve">C:\Users\andre\Desktop\REACTIV CEFAS\Saccharin\Saccharin/20201201_Cefas_Test8_Run1/Plate 3/@8/G2_02.tif </t>
  </si>
  <si>
    <t xml:space="preserve"> 6142.8901 </t>
  </si>
  <si>
    <t xml:space="preserve"> 40.9437 </t>
  </si>
  <si>
    <t xml:space="preserve">C:\Users\andre\Desktop\REACTIV CEFAS\Saccharin\Saccharin/20201201_Cefas_Test8_Run1/Plate 3/@8/G2_03.tif </t>
  </si>
  <si>
    <t xml:space="preserve"> 38.5779 </t>
  </si>
  <si>
    <t xml:space="preserve">C:\Users\andre\Desktop\REACTIV CEFAS\Saccharin\Saccharin/20201201_Cefas_Test8_Run1/Plate 3/@8/H2_01.tif </t>
  </si>
  <si>
    <t xml:space="preserve"> 37.019 </t>
  </si>
  <si>
    <t xml:space="preserve">C:\Users\andre\Desktop\REACTIV CEFAS\Saccharin\Saccharin/20201201_Cefas_Test8_Run1/Plate 3/@8/H2_02.tif </t>
  </si>
  <si>
    <t xml:space="preserve"> 5623.7726 </t>
  </si>
  <si>
    <t xml:space="preserve"> 40.8654 </t>
  </si>
  <si>
    <t xml:space="preserve">C:\Users\andre\Desktop\REACTIV CEFAS\Saccharin\Saccharin/20201201_Cefas_Test8_Run1/Plate 3/@8/H2_03.tif </t>
  </si>
  <si>
    <t xml:space="preserve"> 821.936 </t>
  </si>
  <si>
    <t xml:space="preserve"> 31.7105 </t>
  </si>
  <si>
    <t xml:space="preserve">C:\Users\andre\Desktop\REACTIV CEFAS\Saccharin\Saccharin/20201201_Cefas_Test8_Run1/Plate 3/@8/ </t>
  </si>
  <si>
    <t xml:space="preserve"> 35.7044 </t>
  </si>
  <si>
    <t xml:space="preserve"> 8.5183 </t>
  </si>
  <si>
    <t xml:space="preserve"> 195618.958 </t>
  </si>
  <si>
    <t xml:space="preserve"> 103195.903 </t>
  </si>
  <si>
    <t xml:space="preserve">C:\Users\andre\Desktop\REACTIV CEFAS\Saccharin\Saccharin/20201201_Cefas_Test8_Run1/Plate 3/@9/A3_01.tif </t>
  </si>
  <si>
    <t xml:space="preserve"> 2682.1069 </t>
  </si>
  <si>
    <t xml:space="preserve"> 34.5726 </t>
  </si>
  <si>
    <t xml:space="preserve">C:\Users\andre\Desktop\REACTIV CEFAS\Saccharin\Saccharin/20201201_Cefas_Test8_Run1/Plate 3/@9/A3_02.tif </t>
  </si>
  <si>
    <t xml:space="preserve"> 4304.349 </t>
  </si>
  <si>
    <t xml:space="preserve"> 36.1055 </t>
  </si>
  <si>
    <t xml:space="preserve">C:\Users\andre\Desktop\REACTIV CEFAS\Saccharin\Saccharin/20201201_Cefas_Test8_Run1/Plate 3/@9/A3_03.tif </t>
  </si>
  <si>
    <t xml:space="preserve"> 2054.84 </t>
  </si>
  <si>
    <t xml:space="preserve"> 32.3263 </t>
  </si>
  <si>
    <t xml:space="preserve">C:\Users\andre\Desktop\REACTIV CEFAS\Saccharin\Saccharin/20201201_Cefas_Test8_Run1/Plate 3/@9/B3_01.tif </t>
  </si>
  <si>
    <t xml:space="preserve"> 35.4107 </t>
  </si>
  <si>
    <t xml:space="preserve">C:\Users\andre\Desktop\REACTIV CEFAS\Saccharin\Saccharin/20201201_Cefas_Test8_Run1/Plate 3/@9/B3_02.tif </t>
  </si>
  <si>
    <t xml:space="preserve"> 34.2637 </t>
  </si>
  <si>
    <t xml:space="preserve">C:\Users\andre\Desktop\REACTIV CEFAS\Saccharin\Saccharin/20201201_Cefas_Test8_Run1/Plate 3/@9/B3_03.tif </t>
  </si>
  <si>
    <t xml:space="preserve"> 1622.2421 </t>
  </si>
  <si>
    <t xml:space="preserve"> 33.3067 </t>
  </si>
  <si>
    <t>C:\Users\andre\Desktop\REACTIV CEFAS\Saccharin\Saccharin/20201201_Cefas_Test8_Run1/Plate 3/@9/C3_01- exclu.tif</t>
  </si>
  <si>
    <t>C:\Users\andre\Desktop\REACTIV CEFAS\Saccharin\Saccharin/20201201_Cefas_Test8_Run1/Plate 3/@9/C3_02- exclu.tif</t>
  </si>
  <si>
    <t>C:\Users\andre\Desktop\REACTIV CEFAS\Saccharin\Saccharin/20201201_Cefas_Test8_Run1/Plate 3/@9/C3_03- exclu.tif</t>
  </si>
  <si>
    <t xml:space="preserve">C:\Users\andre\Desktop\REACTIV CEFAS\Saccharin\Saccharin/20201201_Cefas_Test8_Run1/Plate 3/@9/D3_01.tif </t>
  </si>
  <si>
    <t xml:space="preserve"> 37.7157 </t>
  </si>
  <si>
    <t xml:space="preserve">C:\Users\andre\Desktop\REACTIV CEFAS\Saccharin\Saccharin/20201201_Cefas_Test8_Run1/Plate 3/@9/D3_02.tif </t>
  </si>
  <si>
    <t xml:space="preserve"> 3179.5945 </t>
  </si>
  <si>
    <t xml:space="preserve"> 35.0612 </t>
  </si>
  <si>
    <t xml:space="preserve">C:\Users\andre\Desktop\REACTIV CEFAS\Saccharin\Saccharin/20201201_Cefas_Test8_Run1/Plate 3/@9/D3_03.tif </t>
  </si>
  <si>
    <t xml:space="preserve"> 3460.7831 </t>
  </si>
  <si>
    <t xml:space="preserve"> 35.6063 </t>
  </si>
  <si>
    <t xml:space="preserve">C:\Users\andre\Desktop\REACTIV CEFAS\Saccharin\Saccharin/20201201_Cefas_Test8_Run1/Plate 3/@9/E3_01.tif </t>
  </si>
  <si>
    <t xml:space="preserve"> 2141.3596 </t>
  </si>
  <si>
    <t xml:space="preserve"> 36.2424 </t>
  </si>
  <si>
    <t xml:space="preserve">C:\Users\andre\Desktop\REACTIV CEFAS\Saccharin\Saccharin/20201201_Cefas_Test8_Run1/Plate 3/@9/E3_02.tif </t>
  </si>
  <si>
    <t xml:space="preserve"> 324.4484 </t>
  </si>
  <si>
    <t xml:space="preserve"> 32.3333 </t>
  </si>
  <si>
    <t xml:space="preserve">C:\Users\andre\Desktop\REACTIV CEFAS\Saccharin\Saccharin/20201201_Cefas_Test8_Run1/Plate 3/@9/E3_03.tif </t>
  </si>
  <si>
    <t xml:space="preserve"> 2033.2101 </t>
  </si>
  <si>
    <t xml:space="preserve"> 35.734 </t>
  </si>
  <si>
    <t>C:\Users\andre\Desktop\REACTIV CEFAS\Saccharin\Saccharin/20201201_Cefas_Test8_Run1/Plate 3/@9/F3_01- exclu.tif</t>
  </si>
  <si>
    <t>C:\Users\andre\Desktop\REACTIV CEFAS\Saccharin\Saccharin/20201201_Cefas_Test8_Run1/Plate 3/@9/F3_02- exclu.tif</t>
  </si>
  <si>
    <t>C:\Users\andre\Desktop\REACTIV CEFAS\Saccharin\Saccharin/20201201_Cefas_Test8_Run1/Plate 3/@9/F3_03- exclu.tif</t>
  </si>
  <si>
    <t xml:space="preserve">C:\Users\andre\Desktop\REACTIV CEFAS\Saccharin\Saccharin/20201201_Cefas_Test8_Run1/Plate 3/@9/G3_01.tif </t>
  </si>
  <si>
    <t xml:space="preserve">C:\Users\andre\Desktop\REACTIV CEFAS\Saccharin\Saccharin/20201201_Cefas_Test8_Run1/Plate 3/@9/G3_02.tif </t>
  </si>
  <si>
    <t xml:space="preserve"> 2963.2956 </t>
  </si>
  <si>
    <t xml:space="preserve"> 37.0219 </t>
  </si>
  <si>
    <t xml:space="preserve">C:\Users\andre\Desktop\REACTIV CEFAS\Saccharin\Saccharin/20201201_Cefas_Test8_Run1/Plate 3/@9/G3_03.tif </t>
  </si>
  <si>
    <t xml:space="preserve"> 37.5855 </t>
  </si>
  <si>
    <t xml:space="preserve">C:\Users\andre\Desktop\REACTIV CEFAS\Saccharin\Saccharin/20201201_Cefas_Test8_Run1/Plate 3/@9/H3_01.tif </t>
  </si>
  <si>
    <t xml:space="preserve"> 32.9969 </t>
  </si>
  <si>
    <t xml:space="preserve">C:\Users\andre\Desktop\REACTIV CEFAS\Saccharin\Saccharin/20201201_Cefas_Test8_Run1/Plate 3/@9/H3_02.tif </t>
  </si>
  <si>
    <t xml:space="preserve"> 11507.1039 </t>
  </si>
  <si>
    <t xml:space="preserve"> 38.203 </t>
  </si>
  <si>
    <t>C:\Users\andre\Desktop\REACTIV CEFAS\Saccharin\Saccharin/20201201_Cefas_Test8_Run1/Plate 3/@9/H3_03- exclu.tif</t>
  </si>
  <si>
    <t xml:space="preserve">C:\Users\andre\Desktop\REACTIV CEFAS\Saccharin\Saccharin/20201201_Cefas_Test8_Run1/Plate 3/@9/ </t>
  </si>
  <si>
    <t xml:space="preserve"> 35.4755 </t>
  </si>
  <si>
    <t xml:space="preserve"> 12.4072 </t>
  </si>
  <si>
    <t xml:space="preserve"> 257483.042 </t>
  </si>
  <si>
    <t xml:space="preserve"> 273882.196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</si>
  <si>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</si>
  <si>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</si>
  <si>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</si>
  <si>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</si>
  <si>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</si>
  <si>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</si>
  <si>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</si>
  <si>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</si>
  <si>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</si>
  <si>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</si>
  <si>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</si>
  <si>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</si>
  <si>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</si>
  <si>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</si>
  <si>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</si>
  <si>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</si>
  <si>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</si>
  <si>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</si>
  <si>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</si>
  <si>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</si>
  <si>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</si>
  <si>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</si>
  <si>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</si>
  <si>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</si>
  <si>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</si>
  <si>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</si>
  <si>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</si>
  <si>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</si>
  <si>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 xml:space="preserve">C:\Users\andre\Desktop\REACTIV CEFAS\Saccharin\Saccharin/20201203_Cefas_Test8_Run3/Plate 1/@1/A10_01.tif </t>
  </si>
  <si>
    <t xml:space="preserve"> 34.1316 </t>
  </si>
  <si>
    <t xml:space="preserve">C:\Users\andre\Desktop\REACTIV CEFAS\Saccharin\Saccharin/20201203_Cefas_Test8_Run3/Plate 1/@1/A10_02.tif </t>
  </si>
  <si>
    <t xml:space="preserve"> 36.3149 </t>
  </si>
  <si>
    <t xml:space="preserve">C:\Users\andre\Desktop\REACTIV CEFAS\Saccharin\Saccharin/20201203_Cefas_Test8_Run3/Plate 1/@1/A10_03.tif </t>
  </si>
  <si>
    <t xml:space="preserve"> 7894.9115 </t>
  </si>
  <si>
    <t xml:space="preserve"> 39.0521 </t>
  </si>
  <si>
    <t xml:space="preserve">C:\Users\andre\Desktop\REACTIV CEFAS\Saccharin\Saccharin/20201203_Cefas_Test8_Run3/Plate 1/@1/B10_01.tif </t>
  </si>
  <si>
    <t>C:\Users\andre\Desktop\REACTIV CEFAS\Saccharin\Saccharin/20201203_Cefas_Test8_Run3/Plate 1/@1/B10_02- exclu.tif</t>
  </si>
  <si>
    <t xml:space="preserve">C:\Users\andre\Desktop\REACTIV CEFAS\Saccharin\Saccharin/20201203_Cefas_Test8_Run3/Plate 1/@1/B10_03.tif </t>
  </si>
  <si>
    <t xml:space="preserve"> 1557.3524 </t>
  </si>
  <si>
    <t xml:space="preserve"> 32.3472 </t>
  </si>
  <si>
    <t xml:space="preserve">C:\Users\andre\Desktop\REACTIV CEFAS\Saccharin\Saccharin/20201203_Cefas_Test8_Run3/Plate 1/@1/C10_01.tif </t>
  </si>
  <si>
    <t xml:space="preserve"> 8608.6981 </t>
  </si>
  <si>
    <t xml:space="preserve"> 39.2839 </t>
  </si>
  <si>
    <t xml:space="preserve">C:\Users\andre\Desktop\REACTIV CEFAS\Saccharin\Saccharin/20201203_Cefas_Test8_Run3/Plate 1/@1/C10_02.tif </t>
  </si>
  <si>
    <t xml:space="preserve"> 38.3577 </t>
  </si>
  <si>
    <t xml:space="preserve">C:\Users\andre\Desktop\REACTIV CEFAS\Saccharin\Saccharin/20201203_Cefas_Test8_Run3/Plate 1/@1/C10_03.tif </t>
  </si>
  <si>
    <t xml:space="preserve"> 13302.3852 </t>
  </si>
  <si>
    <t xml:space="preserve"> 39.4276 </t>
  </si>
  <si>
    <t>C:\Users\andre\Desktop\REACTIV CEFAS\Saccharin\Saccharin/20201203_Cefas_Test8_Run3/Plate 1/@1/D10_01- exclu.tif</t>
  </si>
  <si>
    <t xml:space="preserve">C:\Users\andre\Desktop\REACTIV CEFAS\Saccharin\Saccharin/20201203_Cefas_Test8_Run3/Plate 1/@1/D10_02.tif </t>
  </si>
  <si>
    <t xml:space="preserve"> 2703.7368 </t>
  </si>
  <si>
    <t xml:space="preserve"> 36.56 </t>
  </si>
  <si>
    <t xml:space="preserve">C:\Users\andre\Desktop\REACTIV CEFAS\Saccharin\Saccharin/20201203_Cefas_Test8_Run3/Plate 1/@1/D10_03.tif </t>
  </si>
  <si>
    <t xml:space="preserve"> 9084.5557 </t>
  </si>
  <si>
    <t xml:space="preserve"> 43.5976 </t>
  </si>
  <si>
    <t xml:space="preserve">C:\Users\andre\Desktop\REACTIV CEFAS\Saccharin\Saccharin/20201203_Cefas_Test8_Run3/Plate 1/@1/E10_01.tif </t>
  </si>
  <si>
    <t xml:space="preserve"> 34.0602 </t>
  </si>
  <si>
    <t xml:space="preserve">C:\Users\andre\Desktop\REACTIV CEFAS\Saccharin\Saccharin/20201203_Cefas_Test8_Run3/Plate 1/@1/E10_02.tif </t>
  </si>
  <si>
    <t xml:space="preserve"> 6164.52 </t>
  </si>
  <si>
    <t xml:space="preserve"> 33.6035 </t>
  </si>
  <si>
    <t xml:space="preserve">C:\Users\andre\Desktop\REACTIV CEFAS\Saccharin\Saccharin/20201203_Cefas_Test8_Run3/Plate 1/@1/E10_03.tif </t>
  </si>
  <si>
    <t xml:space="preserve"> 7440.6838 </t>
  </si>
  <si>
    <t xml:space="preserve"> 33.1134 </t>
  </si>
  <si>
    <t xml:space="preserve">C:\Users\andre\Desktop\REACTIV CEFAS\Saccharin\Saccharin/20201203_Cefas_Test8_Run3/Plate 1/@1/F10_01.tif </t>
  </si>
  <si>
    <t xml:space="preserve"> 1989.9503 </t>
  </si>
  <si>
    <t xml:space="preserve"> 36.4022 </t>
  </si>
  <si>
    <t xml:space="preserve">C:\Users\andre\Desktop\REACTIV CEFAS\Saccharin\Saccharin/20201203_Cefas_Test8_Run3/Plate 1/@1/F10_02.tif </t>
  </si>
  <si>
    <t xml:space="preserve"> 2184.6194 </t>
  </si>
  <si>
    <t xml:space="preserve"> 30.6139 </t>
  </si>
  <si>
    <t xml:space="preserve">C:\Users\andre\Desktop\REACTIV CEFAS\Saccharin\Saccharin/20201203_Cefas_Test8_Run3/Plate 1/@1/F10_03.tif </t>
  </si>
  <si>
    <t xml:space="preserve"> 410.968 </t>
  </si>
  <si>
    <t xml:space="preserve"> 30.8421 </t>
  </si>
  <si>
    <t xml:space="preserve">C:\Users\andre\Desktop\REACTIV CEFAS\Saccharin\Saccharin/20201203_Cefas_Test8_Run3/Plate 1/@1/G10_01.tif </t>
  </si>
  <si>
    <t xml:space="preserve">C:\Users\andre\Desktop\REACTIV CEFAS\Saccharin\Saccharin/20201203_Cefas_Test8_Run3/Plate 1/@1/G10_02.tif </t>
  </si>
  <si>
    <t xml:space="preserve"> 38.8043 </t>
  </si>
  <si>
    <t xml:space="preserve">C:\Users\andre\Desktop\REACTIV CEFAS\Saccharin\Saccharin/20201203_Cefas_Test8_Run3/Plate 1/@1/G10_03.tif </t>
  </si>
  <si>
    <t xml:space="preserve"> 7570.4631 </t>
  </si>
  <si>
    <t xml:space="preserve"> 38.6686 </t>
  </si>
  <si>
    <t xml:space="preserve">C:\Users\andre\Desktop\REACTIV CEFAS\Saccharin\Saccharin/20201203_Cefas_Test8_Run3/Plate 1/@1/H10_01.tif </t>
  </si>
  <si>
    <t xml:space="preserve">C:\Users\andre\Desktop\REACTIV CEFAS\Saccharin\Saccharin/20201203_Cefas_Test8_Run3/Plate 1/@1/H10_02.tif </t>
  </si>
  <si>
    <t xml:space="preserve"> 46.0211 </t>
  </si>
  <si>
    <t xml:space="preserve">C:\Users\andre\Desktop\REACTIV CEFAS\Saccharin\Saccharin/20201203_Cefas_Test8_Run3/Plate 1/@1/H10_03.tif </t>
  </si>
  <si>
    <t xml:space="preserve"> 7916.5414 </t>
  </si>
  <si>
    <t xml:space="preserve"> 47.2568 </t>
  </si>
  <si>
    <t xml:space="preserve">C:\Users\andre\Desktop\REACTIV CEFAS\Saccharin\Saccharin/20201203_Cefas_Test8_Run3/Plate 1/@1/ </t>
  </si>
  <si>
    <t xml:space="preserve"> 32.1702 </t>
  </si>
  <si>
    <t xml:space="preserve"> 13.1971 </t>
  </si>
  <si>
    <t xml:space="preserve"> 180731.333 </t>
  </si>
  <si>
    <t xml:space="preserve"> 163665.138 </t>
  </si>
  <si>
    <t>C:\Users\andre\Desktop\REACTIV CEFAS\Saccharin\Saccharin/20201203_Cefas_Test8_Run3/Plate 1/@13/A8_01- exclu.tif</t>
  </si>
  <si>
    <t>C:\Users\andre\Desktop\REACTIV CEFAS\Saccharin\Saccharin/20201203_Cefas_Test8_Run3/Plate 1/@13/A8_02- exclu.tif</t>
  </si>
  <si>
    <t xml:space="preserve">C:\Users\andre\Desktop\REACTIV CEFAS\Saccharin\Saccharin/20201203_Cefas_Test8_Run3/Plate 1/@13/A8_03.tif </t>
  </si>
  <si>
    <t xml:space="preserve"> 15811.453 </t>
  </si>
  <si>
    <t xml:space="preserve"> 33.1737 </t>
  </si>
  <si>
    <t xml:space="preserve">C:\Users\andre\Desktop\REACTIV CEFAS\Saccharin\Saccharin/20201203_Cefas_Test8_Run3/Plate 1/@13/B8_01.tif </t>
  </si>
  <si>
    <t xml:space="preserve"> 72460.147 </t>
  </si>
  <si>
    <t xml:space="preserve"> 50.7788 </t>
  </si>
  <si>
    <t xml:space="preserve">C:\Users\andre\Desktop\REACTIV CEFAS\Saccharin\Saccharin/20201203_Cefas_Test8_Run3/Plate 1/@13/B8_02.tif </t>
  </si>
  <si>
    <t xml:space="preserve"> 64197.5273 </t>
  </si>
  <si>
    <t xml:space="preserve"> 48.597 </t>
  </si>
  <si>
    <t xml:space="preserve">C:\Users\andre\Desktop\REACTIV CEFAS\Saccharin\Saccharin/20201203_Cefas_Test8_Run3/Plate 1/@13/B8_03.tif </t>
  </si>
  <si>
    <t xml:space="preserve"> 60909.7833 </t>
  </si>
  <si>
    <t xml:space="preserve"> 50.8775 </t>
  </si>
  <si>
    <t xml:space="preserve">C:\Users\andre\Desktop\REACTIV CEFAS\Saccharin\Saccharin/20201203_Cefas_Test8_Run3/Plate 1/@13/C8_01.tif </t>
  </si>
  <si>
    <t xml:space="preserve"> 47.7466 </t>
  </si>
  <si>
    <t xml:space="preserve">C:\Users\andre\Desktop\REACTIV CEFAS\Saccharin\Saccharin/20201203_Cefas_Test8_Run3/Plate 1/@13/C8_02.tif </t>
  </si>
  <si>
    <t xml:space="preserve"> 68069.2784 </t>
  </si>
  <si>
    <t xml:space="preserve"> 44.2854 </t>
  </si>
  <si>
    <t xml:space="preserve">C:\Users\andre\Desktop\REACTIV CEFAS\Saccharin\Saccharin/20201203_Cefas_Test8_Run3/Plate 1/@13/C8_03.tif </t>
  </si>
  <si>
    <t xml:space="preserve"> 74341.9478 </t>
  </si>
  <si>
    <t xml:space="preserve"> 42.7221 </t>
  </si>
  <si>
    <t xml:space="preserve">C:\Users\andre\Desktop\REACTIV CEFAS\Saccharin\Saccharin/20201203_Cefas_Test8_Run3/Plate 1/@13/D8_01.tif </t>
  </si>
  <si>
    <t xml:space="preserve"> 33807.5253 </t>
  </si>
  <si>
    <t xml:space="preserve"> 37.1843 </t>
  </si>
  <si>
    <t xml:space="preserve">C:\Users\andre\Desktop\REACTIV CEFAS\Saccharin\Saccharin/20201203_Cefas_Test8_Run3/Plate 1/@13/D8_02.tif </t>
  </si>
  <si>
    <t xml:space="preserve"> 30390.002 </t>
  </si>
  <si>
    <t xml:space="preserve"> 35.5922 </t>
  </si>
  <si>
    <t xml:space="preserve">C:\Users\andre\Desktop\REACTIV CEFAS\Saccharin\Saccharin/20201203_Cefas_Test8_Run3/Plate 1/@13/D8_03.tif </t>
  </si>
  <si>
    <t xml:space="preserve"> 32250.1729 </t>
  </si>
  <si>
    <t xml:space="preserve"> 35.4299 </t>
  </si>
  <si>
    <t xml:space="preserve">C:\Users\andre\Desktop\REACTIV CEFAS\Saccharin\Saccharin/20201203_Cefas_Test8_Run3/Plate 1/@13/E8_01.tif </t>
  </si>
  <si>
    <t xml:space="preserve"> 57730.1888 </t>
  </si>
  <si>
    <t xml:space="preserve"> 38.1135 </t>
  </si>
  <si>
    <t xml:space="preserve">C:\Users\andre\Desktop\REACTIV CEFAS\Saccharin\Saccharin/20201203_Cefas_Test8_Run3/Plate 1/@13/E8_02.tif </t>
  </si>
  <si>
    <t xml:space="preserve"> 60455.5555 </t>
  </si>
  <si>
    <t xml:space="preserve"> 40.771 </t>
  </si>
  <si>
    <t xml:space="preserve">C:\Users\andre\Desktop\REACTIV CEFAS\Saccharin\Saccharin/20201203_Cefas_Test8_Run3/Plate 1/@13/E8_03.tif </t>
  </si>
  <si>
    <t xml:space="preserve"> 58206.0464 </t>
  </si>
  <si>
    <t xml:space="preserve"> 37.5151 </t>
  </si>
  <si>
    <t xml:space="preserve">C:\Users\andre\Desktop\REACTIV CEFAS\Saccharin\Saccharin/20201203_Cefas_Test8_Run3/Plate 1/@13/F8_01.tif </t>
  </si>
  <si>
    <t xml:space="preserve"> 1341.0535 </t>
  </si>
  <si>
    <t xml:space="preserve"> 33.4355 </t>
  </si>
  <si>
    <t xml:space="preserve">C:\Users\andre\Desktop\REACTIV CEFAS\Saccharin\Saccharin/20201203_Cefas_Test8_Run3/Plate 1/@13/F8_02.tif </t>
  </si>
  <si>
    <t xml:space="preserve"> 31.7027 </t>
  </si>
  <si>
    <t xml:space="preserve">C:\Users\andre\Desktop\REACTIV CEFAS\Saccharin\Saccharin/20201203_Cefas_Test8_Run3/Plate 1/@13/F8_03.tif </t>
  </si>
  <si>
    <t xml:space="preserve"> 31.1111 </t>
  </si>
  <si>
    <t xml:space="preserve">C:\Users\andre\Desktop\REACTIV CEFAS\Saccharin\Saccharin/20201203_Cefas_Test8_Run3/Plate 1/@13/G8_01.tif </t>
  </si>
  <si>
    <t xml:space="preserve"> 73736.3108 </t>
  </si>
  <si>
    <t xml:space="preserve"> 41.9607 </t>
  </si>
  <si>
    <t xml:space="preserve">C:\Users\andre\Desktop\REACTIV CEFAS\Saccharin\Saccharin/20201203_Cefas_Test8_Run3/Plate 1/@13/G8_02.tif </t>
  </si>
  <si>
    <t xml:space="preserve"> 44.0905 </t>
  </si>
  <si>
    <t xml:space="preserve">C:\Users\andre\Desktop\REACTIV CEFAS\Saccharin\Saccharin/20201203_Cefas_Test8_Run3/Plate 1/@13/G8_03.tif </t>
  </si>
  <si>
    <t xml:space="preserve"> 85438.0838 </t>
  </si>
  <si>
    <t xml:space="preserve"> 49.0529 </t>
  </si>
  <si>
    <t xml:space="preserve">C:\Users\andre\Desktop\REACTIV CEFAS\Saccharin\Saccharin/20201203_Cefas_Test8_Run3/Plate 1/@13/H8_01.tif </t>
  </si>
  <si>
    <t xml:space="preserve"> 62012.9079 </t>
  </si>
  <si>
    <t xml:space="preserve"> 41.4077 </t>
  </si>
  <si>
    <t xml:space="preserve">C:\Users\andre\Desktop\REACTIV CEFAS\Saccharin\Saccharin/20201203_Cefas_Test8_Run3/Plate 1/@13/H8_02.tif </t>
  </si>
  <si>
    <t xml:space="preserve"> 47520.8785 </t>
  </si>
  <si>
    <t xml:space="preserve"> 38.7633 </t>
  </si>
  <si>
    <t xml:space="preserve">C:\Users\andre\Desktop\REACTIV CEFAS\Saccharin\Saccharin/20201203_Cefas_Test8_Run3/Plate 1/@13/H8_03.tif </t>
  </si>
  <si>
    <t xml:space="preserve"> 61277.4915 </t>
  </si>
  <si>
    <t xml:space="preserve"> 41.15 </t>
  </si>
  <si>
    <t xml:space="preserve">C:\Users\andre\Desktop\REACTIV CEFAS\Saccharin\Saccharin/20201203_Cefas_Test8_Run3/Plate 1/@13/ </t>
  </si>
  <si>
    <t xml:space="preserve"> 40.4829 </t>
  </si>
  <si>
    <t xml:space="preserve"> 6.0636 </t>
  </si>
  <si>
    <t xml:space="preserve"> 2004108.08 </t>
  </si>
  <si>
    <t xml:space="preserve"> 1264555.13 </t>
  </si>
  <si>
    <t xml:space="preserve">C:\Users\andre\Desktop\REACTIV CEFAS\Saccharin\Saccharin/20201203_Cefas_Test8_Run3/Plate 1/@14/A9_01.tif </t>
  </si>
  <si>
    <t xml:space="preserve"> 48861.932 </t>
  </si>
  <si>
    <t xml:space="preserve"> 42.1961 </t>
  </si>
  <si>
    <t xml:space="preserve">C:\Users\andre\Desktop\REACTIV CEFAS\Saccharin\Saccharin/20201203_Cefas_Test8_Run3/Plate 1/@14/A9_02.tif </t>
  </si>
  <si>
    <t xml:space="preserve"> 39561.0773 </t>
  </si>
  <si>
    <t xml:space="preserve"> 41.3554 </t>
  </si>
  <si>
    <t xml:space="preserve">C:\Users\andre\Desktop\REACTIV CEFAS\Saccharin\Saccharin/20201203_Cefas_Test8_Run3/Plate 1/@14/A9_03.tif </t>
  </si>
  <si>
    <t xml:space="preserve"> 42827.1914 </t>
  </si>
  <si>
    <t xml:space="preserve"> 37.9515 </t>
  </si>
  <si>
    <t xml:space="preserve">C:\Users\andre\Desktop\REACTIV CEFAS\Saccharin\Saccharin/20201203_Cefas_Test8_Run3/Plate 1/@14/B9_01.tif </t>
  </si>
  <si>
    <t xml:space="preserve"> 45.2048 </t>
  </si>
  <si>
    <t xml:space="preserve">C:\Users\andre\Desktop\REACTIV CEFAS\Saccharin\Saccharin/20201203_Cefas_Test8_Run3/Plate 1/@14/B9_02.tif </t>
  </si>
  <si>
    <t xml:space="preserve"> 73346.9727 </t>
  </si>
  <si>
    <t xml:space="preserve"> 43.2365 </t>
  </si>
  <si>
    <t xml:space="preserve">C:\Users\andre\Desktop\REACTIV CEFAS\Saccharin\Saccharin/20201203_Cefas_Test8_Run3/Plate 1/@14/B9_03.tif </t>
  </si>
  <si>
    <t xml:space="preserve"> 75336.923 </t>
  </si>
  <si>
    <t xml:space="preserve"> 47.4574 </t>
  </si>
  <si>
    <t>C:\Users\andre\Desktop\REACTIV CEFAS\Saccharin\Saccharin/20201203_Cefas_Test8_Run3/Plate 1/@14/C9_01- exclu.tif</t>
  </si>
  <si>
    <t>C:\Users\andre\Desktop\REACTIV CEFAS\Saccharin\Saccharin/20201203_Cefas_Test8_Run3/Plate 1/@14/C9_02- exclu.tif</t>
  </si>
  <si>
    <t>C:\Users\andre\Desktop\REACTIV CEFAS\Saccharin\Saccharin/20201203_Cefas_Test8_Run3/Plate 1/@14/C9_03- exclu.tif</t>
  </si>
  <si>
    <t xml:space="preserve">C:\Users\andre\Desktop\REACTIV CEFAS\Saccharin\Saccharin/20201203_Cefas_Test8_Run3/Plate 1/@14/D9_01.tif </t>
  </si>
  <si>
    <t xml:space="preserve"> 61190.9719 </t>
  </si>
  <si>
    <t xml:space="preserve"> 38.2683 </t>
  </si>
  <si>
    <t xml:space="preserve">C:\Users\andre\Desktop\REACTIV CEFAS\Saccharin\Saccharin/20201203_Cefas_Test8_Run3/Plate 1/@14/D9_02.tif </t>
  </si>
  <si>
    <t xml:space="preserve"> 50722.1029 </t>
  </si>
  <si>
    <t xml:space="preserve"> 38.7416 </t>
  </si>
  <si>
    <t xml:space="preserve">C:\Users\andre\Desktop\REACTIV CEFAS\Saccharin\Saccharin/20201203_Cefas_Test8_Run3/Plate 1/@14/D9_03.tif </t>
  </si>
  <si>
    <t xml:space="preserve"> 54247.7757 </t>
  </si>
  <si>
    <t xml:space="preserve"> 38.8477 </t>
  </si>
  <si>
    <t xml:space="preserve">C:\Users\andre\Desktop\REACTIV CEFAS\Saccharin\Saccharin/20201203_Cefas_Test8_Run3/Plate 1/@14/E9_01.tif </t>
  </si>
  <si>
    <t xml:space="preserve"> 59525.47 </t>
  </si>
  <si>
    <t xml:space="preserve"> 38.8612 </t>
  </si>
  <si>
    <t xml:space="preserve">C:\Users\andre\Desktop\REACTIV CEFAS\Saccharin\Saccharin/20201203_Cefas_Test8_Run3/Plate 1/@14/E9_02.tif </t>
  </si>
  <si>
    <t xml:space="preserve"> 67139.1929 </t>
  </si>
  <si>
    <t xml:space="preserve"> 43.2072 </t>
  </si>
  <si>
    <t xml:space="preserve">C:\Users\andre\Desktop\REACTIV CEFAS\Saccharin\Saccharin/20201203_Cefas_Test8_Run3/Plate 1/@14/E9_03.tif </t>
  </si>
  <si>
    <t xml:space="preserve"> 55783.4982 </t>
  </si>
  <si>
    <t xml:space="preserve"> 39.071 </t>
  </si>
  <si>
    <t xml:space="preserve">C:\Users\andre\Desktop\REACTIV CEFAS\Saccharin\Saccharin/20201203_Cefas_Test8_Run3/Plate 1/@14/F9_01.tif </t>
  </si>
  <si>
    <t xml:space="preserve"> 59958.0679 </t>
  </si>
  <si>
    <t xml:space="preserve"> 39.825 </t>
  </si>
  <si>
    <t xml:space="preserve">C:\Users\andre\Desktop\REACTIV CEFAS\Saccharin\Saccharin/20201203_Cefas_Test8_Run3/Plate 1/@14/F9_02.tif </t>
  </si>
  <si>
    <t xml:space="preserve"> 54983.1921 </t>
  </si>
  <si>
    <t xml:space="preserve"> 40.9603 </t>
  </si>
  <si>
    <t xml:space="preserve">C:\Users\andre\Desktop\REACTIV CEFAS\Saccharin\Saccharin/20201203_Cefas_Test8_Run3/Plate 1/@14/F9_03.tif </t>
  </si>
  <si>
    <t xml:space="preserve"> 59633.6195 </t>
  </si>
  <si>
    <t xml:space="preserve"> 41.1821 </t>
  </si>
  <si>
    <t xml:space="preserve">C:\Users\andre\Desktop\REACTIV CEFAS\Saccharin\Saccharin/20201203_Cefas_Test8_Run3/Plate 1/@14/G9_01.tif </t>
  </si>
  <si>
    <t xml:space="preserve"> 18082.5919 </t>
  </si>
  <si>
    <t xml:space="preserve"> 32.4318 </t>
  </si>
  <si>
    <t xml:space="preserve">C:\Users\andre\Desktop\REACTIV CEFAS\Saccharin\Saccharin/20201203_Cefas_Test8_Run3/Plate 1/@14/G9_02.tif </t>
  </si>
  <si>
    <t xml:space="preserve"> 13518.6841 </t>
  </si>
  <si>
    <t xml:space="preserve"> 31.9152 </t>
  </si>
  <si>
    <t xml:space="preserve">C:\Users\andre\Desktop\REACTIV CEFAS\Saccharin\Saccharin/20201203_Cefas_Test8_Run3/Plate 1/@14/G9_03.tif </t>
  </si>
  <si>
    <t xml:space="preserve"> 19185.7165 </t>
  </si>
  <si>
    <t xml:space="preserve"> 32.6618 </t>
  </si>
  <si>
    <t xml:space="preserve">C:\Users\andre\Desktop\REACTIV CEFAS\Saccharin\Saccharin/20201203_Cefas_Test8_Run3/Plate 1/@14/H9_01.tif </t>
  </si>
  <si>
    <t xml:space="preserve"> 41572.6575 </t>
  </si>
  <si>
    <t xml:space="preserve"> 42.7503 </t>
  </si>
  <si>
    <t xml:space="preserve">C:\Users\andre\Desktop\REACTIV CEFAS\Saccharin\Saccharin/20201203_Cefas_Test8_Run3/Plate 1/@14/H9_02.tif </t>
  </si>
  <si>
    <t xml:space="preserve"> 42437.8533 </t>
  </si>
  <si>
    <t xml:space="preserve"> 39.3078 </t>
  </si>
  <si>
    <t>C:\Users\andre\Desktop\REACTIV CEFAS\Saccharin\Saccharin/20201203_Cefas_Test8_Run3/Plate 1/@14/H9_03- exclu.tif</t>
  </si>
  <si>
    <t xml:space="preserve">C:\Users\andre\Desktop\REACTIV CEFAS\Saccharin\Saccharin/20201203_Cefas_Test8_Run3/Plate 1/@14/ </t>
  </si>
  <si>
    <t xml:space="preserve"> 38.7894 </t>
  </si>
  <si>
    <t xml:space="preserve"> 4.8004 </t>
  </si>
  <si>
    <t xml:space="preserve"> 1033538.59 </t>
  </si>
  <si>
    <t xml:space="preserve">C:\Users\andre\Desktop\REACTIV CEFAS\Saccharin\Saccharin/20201203_Cefas_Test8_Run3/Plate 1/@15/A11_01.tif </t>
  </si>
  <si>
    <t xml:space="preserve"> 73044.1542 </t>
  </si>
  <si>
    <t xml:space="preserve"> 47.2926 </t>
  </si>
  <si>
    <t xml:space="preserve">C:\Users\andre\Desktop\REACTIV CEFAS\Saccharin\Saccharin/20201203_Cefas_Test8_Run3/Plate 1/@15/A11_02.tif </t>
  </si>
  <si>
    <t xml:space="preserve"> 68090.9083 </t>
  </si>
  <si>
    <t xml:space="preserve"> 45.0753 </t>
  </si>
  <si>
    <t xml:space="preserve">C:\Users\andre\Desktop\REACTIV CEFAS\Saccharin\Saccharin/20201203_Cefas_Test8_Run3/Plate 1/@15/A11_03.tif </t>
  </si>
  <si>
    <t xml:space="preserve"> 67442.0115 </t>
  </si>
  <si>
    <t xml:space="preserve"> 47.4885 </t>
  </si>
  <si>
    <t xml:space="preserve">C:\Users\andre\Desktop\REACTIV CEFAS\Saccharin\Saccharin/20201203_Cefas_Test8_Run3/Plate 1/@15/B11_01.tif </t>
  </si>
  <si>
    <t xml:space="preserve"> 73390.2325 </t>
  </si>
  <si>
    <t xml:space="preserve"> 40.5385 </t>
  </si>
  <si>
    <t xml:space="preserve">C:\Users\andre\Desktop\REACTIV CEFAS\Saccharin\Saccharin/20201203_Cefas_Test8_Run3/Plate 1/@15/B11_02.tif </t>
  </si>
  <si>
    <t xml:space="preserve"> 73952.6097 </t>
  </si>
  <si>
    <t xml:space="preserve"> 40.4899 </t>
  </si>
  <si>
    <t xml:space="preserve">C:\Users\andre\Desktop\REACTIV CEFAS\Saccharin\Saccharin/20201203_Cefas_Test8_Run3/Plate 1/@15/B11_03.tif </t>
  </si>
  <si>
    <t xml:space="preserve"> 78105.5495 </t>
  </si>
  <si>
    <t xml:space="preserve"> 45.2088 </t>
  </si>
  <si>
    <t xml:space="preserve">C:\Users\andre\Desktop\REACTIV CEFAS\Saccharin\Saccharin/20201203_Cefas_Test8_Run3/Plate 1/@15/C11_01.tif </t>
  </si>
  <si>
    <t xml:space="preserve"> 45.8029 </t>
  </si>
  <si>
    <t xml:space="preserve">C:\Users\andre\Desktop\REACTIV CEFAS\Saccharin\Saccharin/20201203_Cefas_Test8_Run3/Plate 1/@15/C11_02.tif </t>
  </si>
  <si>
    <t xml:space="preserve"> 60433.9256 </t>
  </si>
  <si>
    <t xml:space="preserve"> 46.8096 </t>
  </si>
  <si>
    <t xml:space="preserve">C:\Users\andre\Desktop\REACTIV CEFAS\Saccharin\Saccharin/20201203_Cefas_Test8_Run3/Plate 1/@15/C11_03.tif </t>
  </si>
  <si>
    <t xml:space="preserve"> 69626.6308 </t>
  </si>
  <si>
    <t xml:space="preserve"> 45.1066 </t>
  </si>
  <si>
    <t xml:space="preserve">C:\Users\andre\Desktop\REACTIV CEFAS\Saccharin\Saccharin/20201203_Cefas_Test8_Run3/Plate 1/@15/D11_01.tif </t>
  </si>
  <si>
    <t xml:space="preserve"> 54658.7437 </t>
  </si>
  <si>
    <t xml:space="preserve"> 48.4044 </t>
  </si>
  <si>
    <t xml:space="preserve">C:\Users\andre\Desktop\REACTIV CEFAS\Saccharin\Saccharin/20201203_Cefas_Test8_Run3/Plate 1/@15/D11_02.tif </t>
  </si>
  <si>
    <t xml:space="preserve"> 58249.3062 </t>
  </si>
  <si>
    <t xml:space="preserve"> 45.8147 </t>
  </si>
  <si>
    <t xml:space="preserve">C:\Users\andre\Desktop\REACTIV CEFAS\Saccharin\Saccharin/20201203_Cefas_Test8_Run3/Plate 1/@15/D11_03.tif </t>
  </si>
  <si>
    <t xml:space="preserve"> 62726.6944 </t>
  </si>
  <si>
    <t xml:space="preserve"> 48.1848 </t>
  </si>
  <si>
    <t xml:space="preserve">C:\Users\andre\Desktop\REACTIV CEFAS\Saccharin\Saccharin/20201203_Cefas_Test8_Run3/Plate 1/@15/E11_01.tif </t>
  </si>
  <si>
    <t xml:space="preserve"> 70318.7874 </t>
  </si>
  <si>
    <t xml:space="preserve"> 45.7032 </t>
  </si>
  <si>
    <t xml:space="preserve">C:\Users\andre\Desktop\REACTIV CEFAS\Saccharin\Saccharin/20201203_Cefas_Test8_Run3/Plate 1/@15/E11_02.tif </t>
  </si>
  <si>
    <t xml:space="preserve"> 74385.2076 </t>
  </si>
  <si>
    <t xml:space="preserve"> 50.8587 </t>
  </si>
  <si>
    <t xml:space="preserve">C:\Users\andre\Desktop\REACTIV CEFAS\Saccharin\Saccharin/20201203_Cefas_Test8_Run3/Plate 1/@15/E11_03.tif </t>
  </si>
  <si>
    <t xml:space="preserve"> 69215.6628 </t>
  </si>
  <si>
    <t xml:space="preserve"> 46.4684 </t>
  </si>
  <si>
    <t xml:space="preserve">C:\Users\andre\Desktop\REACTIV CEFAS\Saccharin\Saccharin/20201203_Cefas_Test8_Run3/Plate 1/@15/F11_01.tif </t>
  </si>
  <si>
    <t xml:space="preserve"> 95322.9456 </t>
  </si>
  <si>
    <t xml:space="preserve"> 49.4329 </t>
  </si>
  <si>
    <t xml:space="preserve">C:\Users\andre\Desktop\REACTIV CEFAS\Saccharin\Saccharin/20201203_Cefas_Test8_Run3/Plate 1/@15/F11_02.tif </t>
  </si>
  <si>
    <t xml:space="preserve"> 95604.1343 </t>
  </si>
  <si>
    <t xml:space="preserve"> 49.8353 </t>
  </si>
  <si>
    <t xml:space="preserve">C:\Users\andre\Desktop\REACTIV CEFAS\Saccharin\Saccharin/20201203_Cefas_Test8_Run3/Plate 1/@15/F11_03.tif </t>
  </si>
  <si>
    <t xml:space="preserve"> 96923.5578 </t>
  </si>
  <si>
    <t xml:space="preserve"> 47.4084 </t>
  </si>
  <si>
    <t>C:\Users\andre\Desktop\REACTIV CEFAS\Saccharin\Saccharin/20201203_Cefas_Test8_Run3/Plate 1/@15/G11_01- exclu.tif</t>
  </si>
  <si>
    <t>C:\Users\andre\Desktop\REACTIV CEFAS\Saccharin\Saccharin/20201203_Cefas_Test8_Run3/Plate 1/@15/G11_02- exclu.tif</t>
  </si>
  <si>
    <t>C:\Users\andre\Desktop\REACTIV CEFAS\Saccharin\Saccharin/20201203_Cefas_Test8_Run3/Plate 1/@15/G11_03- exclu.tif</t>
  </si>
  <si>
    <t xml:space="preserve">C:\Users\andre\Desktop\REACTIV CEFAS\Saccharin\Saccharin/20201203_Cefas_Test8_Run3/Plate 1/@15/H11_01.tif </t>
  </si>
  <si>
    <t xml:space="preserve"> 35710.956 </t>
  </si>
  <si>
    <t xml:space="preserve"> 36.2362 </t>
  </si>
  <si>
    <t xml:space="preserve">C:\Users\andre\Desktop\REACTIV CEFAS\Saccharin\Saccharin/20201203_Cefas_Test8_Run3/Plate 1/@15/H11_02.tif </t>
  </si>
  <si>
    <t xml:space="preserve"> 41529.3977 </t>
  </si>
  <si>
    <t xml:space="preserve"> 36.3109 </t>
  </si>
  <si>
    <t xml:space="preserve">C:\Users\andre\Desktop\REACTIV CEFAS\Saccharin\Saccharin/20201203_Cefas_Test8_Run3/Plate 1/@15/H11_03.tif </t>
  </si>
  <si>
    <t xml:space="preserve"> 27188.7775 </t>
  </si>
  <si>
    <t xml:space="preserve"> 33.922 </t>
  </si>
  <si>
    <t xml:space="preserve">C:\Users\andre\Desktop\REACTIV CEFAS\Saccharin\Saccharin/20201203_Cefas_Test8_Run3/Plate 1/@15/ </t>
  </si>
  <si>
    <t xml:space="preserve"> 39.2664 </t>
  </si>
  <si>
    <t xml:space="preserve"> 15.7769 </t>
  </si>
  <si>
    <t xml:space="preserve"> 2693719.42 </t>
  </si>
  <si>
    <t xml:space="preserve"> 1388268.76 </t>
  </si>
  <si>
    <t xml:space="preserve">C:\Users\andre\Desktop\REACTIV CEFAS\Saccharin\Saccharin/20201203_Cefas_Test8_Run3/Plate 1/@16/A12_01.tif </t>
  </si>
  <si>
    <t xml:space="preserve">C:\Users\andre\Desktop\REACTIV CEFAS\Saccharin\Saccharin/20201203_Cefas_Test8_Run3/Plate 1/@16/A12_02.tif </t>
  </si>
  <si>
    <t xml:space="preserve"> 237.9288 </t>
  </si>
  <si>
    <t xml:space="preserve"> 31.6364 </t>
  </si>
  <si>
    <t xml:space="preserve">C:\Users\andre\Desktop\REACTIV CEFAS\Saccharin\Saccharin/20201203_Cefas_Test8_Run3/Plate 1/@16/A12_03.tif </t>
  </si>
  <si>
    <t xml:space="preserve"> 1254.5339 </t>
  </si>
  <si>
    <t xml:space="preserve"> 31.7586 </t>
  </si>
  <si>
    <t xml:space="preserve">C:\Users\andre\Desktop\REACTIV CEFAS\Saccharin\Saccharin/20201203_Cefas_Test8_Run3/Plate 1/@16/B12_01.tif </t>
  </si>
  <si>
    <t xml:space="preserve"> 4477.3882 </t>
  </si>
  <si>
    <t xml:space="preserve"> 34.2222 </t>
  </si>
  <si>
    <t xml:space="preserve">C:\Users\andre\Desktop\REACTIV CEFAS\Saccharin\Saccharin/20201203_Cefas_Test8_Run3/Plate 1/@16/B12_02.tif </t>
  </si>
  <si>
    <t xml:space="preserve"> 1514.0926 </t>
  </si>
  <si>
    <t xml:space="preserve"> 32.1857 </t>
  </si>
  <si>
    <t xml:space="preserve">C:\Users\andre\Desktop\REACTIV CEFAS\Saccharin\Saccharin/20201203_Cefas_Test8_Run3/Plate 1/@16/B12_03.tif </t>
  </si>
  <si>
    <t xml:space="preserve"> 2357.6585 </t>
  </si>
  <si>
    <t xml:space="preserve"> 32.1284 </t>
  </si>
  <si>
    <t xml:space="preserve">C:\Users\andre\Desktop\REACTIV CEFAS\Saccharin\Saccharin/20201203_Cefas_Test8_Run3/Plate 1/@16/C12_01.tif </t>
  </si>
  <si>
    <t xml:space="preserve"> 41.7059 </t>
  </si>
  <si>
    <t>C:\Users\andre\Desktop\REACTIV CEFAS\Saccharin\Saccharin/20201203_Cefas_Test8_Run3/Plate 1/@16/C12_02- exclu.tif</t>
  </si>
  <si>
    <t xml:space="preserve">C:\Users\andre\Desktop\REACTIV CEFAS\Saccharin\Saccharin/20201203_Cefas_Test8_Run3/Plate 1/@16/C12_03.tif </t>
  </si>
  <si>
    <t xml:space="preserve">C:\Users\andre\Desktop\REACTIV CEFAS\Saccharin\Saccharin/20201203_Cefas_Test8_Run3/Plate 1/@16/D12_01.tif </t>
  </si>
  <si>
    <t xml:space="preserve">C:\Users\andre\Desktop\REACTIV CEFAS\Saccharin\Saccharin/20201203_Cefas_Test8_Run3/Plate 1/@16/D12_02.tif </t>
  </si>
  <si>
    <t xml:space="preserve"> 3720.3419 </t>
  </si>
  <si>
    <t xml:space="preserve"> 37.1628 </t>
  </si>
  <si>
    <t xml:space="preserve">C:\Users\andre\Desktop\REACTIV CEFAS\Saccharin\Saccharin/20201203_Cefas_Test8_Run3/Plate 1/@16/D12_03.tif </t>
  </si>
  <si>
    <t xml:space="preserve"> 1189.6442 </t>
  </si>
  <si>
    <t xml:space="preserve"> 33.1636 </t>
  </si>
  <si>
    <t xml:space="preserve">C:\Users\andre\Desktop\REACTIV CEFAS\Saccharin\Saccharin/20201203_Cefas_Test8_Run3/Plate 1/@16/E12_01.tif </t>
  </si>
  <si>
    <t xml:space="preserve"> 33.7194 </t>
  </si>
  <si>
    <t xml:space="preserve">C:\Users\andre\Desktop\REACTIV CEFAS\Saccharin\Saccharin/20201203_Cefas_Test8_Run3/Plate 1/@16/E12_02.tif </t>
  </si>
  <si>
    <t xml:space="preserve"> 33.3421 </t>
  </si>
  <si>
    <t xml:space="preserve">C:\Users\andre\Desktop\REACTIV CEFAS\Saccharin\Saccharin/20201203_Cefas_Test8_Run3/Plate 1/@16/E12_03.tif </t>
  </si>
  <si>
    <t xml:space="preserve"> 31.9535 </t>
  </si>
  <si>
    <t xml:space="preserve">C:\Users\andre\Desktop\REACTIV CEFAS\Saccharin\Saccharin/20201203_Cefas_Test8_Run3/Plate 1/@16/F12_01.tif </t>
  </si>
  <si>
    <t xml:space="preserve"> 33.9435 </t>
  </si>
  <si>
    <t xml:space="preserve">C:\Users\andre\Desktop\REACTIV CEFAS\Saccharin\Saccharin/20201203_Cefas_Test8_Run3/Plate 1/@16/F12_02.tif </t>
  </si>
  <si>
    <t xml:space="preserve"> 432.5979 </t>
  </si>
  <si>
    <t xml:space="preserve">C:\Users\andre\Desktop\REACTIV CEFAS\Saccharin\Saccharin/20201203_Cefas_Test8_Run3/Plate 1/@16/F12_03.tif </t>
  </si>
  <si>
    <t xml:space="preserve"> 35.1508 </t>
  </si>
  <si>
    <t xml:space="preserve">C:\Users\andre\Desktop\REACTIV CEFAS\Saccharin\Saccharin/20201203_Cefas_Test8_Run3/Plate 1/@16/G12_01.tif </t>
  </si>
  <si>
    <t xml:space="preserve"> 9625.3031 </t>
  </si>
  <si>
    <t xml:space="preserve"> 40.5461 </t>
  </si>
  <si>
    <t xml:space="preserve">C:\Users\andre\Desktop\REACTIV CEFAS\Saccharin\Saccharin/20201203_Cefas_Test8_Run3/Plate 1/@16/G12_02.tif </t>
  </si>
  <si>
    <t xml:space="preserve"> 9214.3351 </t>
  </si>
  <si>
    <t xml:space="preserve">C:\Users\andre\Desktop\REACTIV CEFAS\Saccharin\Saccharin/20201203_Cefas_Test8_Run3/Plate 1/@16/G12_03.tif </t>
  </si>
  <si>
    <t xml:space="preserve"> 5775.1819 </t>
  </si>
  <si>
    <t xml:space="preserve"> 39.5243 </t>
  </si>
  <si>
    <t>C:\Users\andre\Desktop\REACTIV CEFAS\Saccharin\Saccharin/20201203_Cefas_Test8_Run3/Plate 1/@16/H12_01- exclu.tif</t>
  </si>
  <si>
    <t>C:\Users\andre\Desktop\REACTIV CEFAS\Saccharin\Saccharin/20201203_Cefas_Test8_Run3/Plate 1/@16/H12_02- exclu.tif</t>
  </si>
  <si>
    <t>C:\Users\andre\Desktop\REACTIV CEFAS\Saccharin\Saccharin/20201203_Cefas_Test8_Run3/Plate 1/@16/H12_03- exclu.tif</t>
  </si>
  <si>
    <t xml:space="preserve">C:\Users\andre\Desktop\REACTIV CEFAS\Saccharin\Saccharin/20201203_Cefas_Test8_Run3/Plate 1/@16/ </t>
  </si>
  <si>
    <t xml:space="preserve"> 26.1865 </t>
  </si>
  <si>
    <t xml:space="preserve"> 15.7368 </t>
  </si>
  <si>
    <t xml:space="preserve"> 108680.208 </t>
  </si>
  <si>
    <t xml:space="preserve"> 126908.679 </t>
  </si>
  <si>
    <t xml:space="preserve">C:\Users\andre\Desktop\REACTIV CEFAS\Saccharin\Saccharin/20201203_Cefas_Test8_Run3/Plate 1/@2/A2_01.tif </t>
  </si>
  <si>
    <t xml:space="preserve"> 8868.2568 </t>
  </si>
  <si>
    <t xml:space="preserve"> 43.5439 </t>
  </si>
  <si>
    <t xml:space="preserve">C:\Users\andre\Desktop\REACTIV CEFAS\Saccharin\Saccharin/20201203_Cefas_Test8_Run3/Plate 1/@2/A2_02.tif </t>
  </si>
  <si>
    <t xml:space="preserve"> 11117.7658 </t>
  </si>
  <si>
    <t xml:space="preserve"> 49.0953 </t>
  </si>
  <si>
    <t>C:\Users\andre\Desktop\REACTIV CEFAS\Saccharin\Saccharin/20201203_Cefas_Test8_Run3/Plate 1/@2/A2_03- exclu.tif</t>
  </si>
  <si>
    <t xml:space="preserve">C:\Users\andre\Desktop\REACTIV CEFAS\Saccharin\Saccharin/20201203_Cefas_Test8_Run3/Plate 1/@2/B2_01.tif </t>
  </si>
  <si>
    <t xml:space="preserve"> 39.9098 </t>
  </si>
  <si>
    <t>C:\Users\andre\Desktop\REACTIV CEFAS\Saccharin\Saccharin/20201203_Cefas_Test8_Run3/Plate 1/@2/B2_02- exclu.tif</t>
  </si>
  <si>
    <t>C:\Users\andre\Desktop\REACTIV CEFAS\Saccharin\Saccharin/20201203_Cefas_Test8_Run3/Plate 1/@2/B2_03- exclu.tif</t>
  </si>
  <si>
    <t xml:space="preserve">C:\Users\andre\Desktop\REACTIV CEFAS\Saccharin\Saccharin/20201203_Cefas_Test8_Run3/Plate 1/@2/C2_01.tif </t>
  </si>
  <si>
    <t xml:space="preserve">C:\Users\andre\Desktop\REACTIV CEFAS\Saccharin\Saccharin/20201203_Cefas_Test8_Run3/Plate 1/@2/C2_02.tif </t>
  </si>
  <si>
    <t xml:space="preserve"> 3287.744 </t>
  </si>
  <si>
    <t xml:space="preserve"> 36.1447 </t>
  </si>
  <si>
    <t xml:space="preserve">C:\Users\andre\Desktop\REACTIV CEFAS\Saccharin\Saccharin/20201203_Cefas_Test8_Run3/Plate 1/@2/C2_03.tif </t>
  </si>
  <si>
    <t xml:space="preserve"> 540.7474 </t>
  </si>
  <si>
    <t xml:space="preserve"> 33.2 </t>
  </si>
  <si>
    <t xml:space="preserve">C:\Users\andre\Desktop\REACTIV CEFAS\Saccharin\Saccharin/20201203_Cefas_Test8_Run3/Plate 1/@2/D2_01.tif </t>
  </si>
  <si>
    <t xml:space="preserve"> 11182.6555 </t>
  </si>
  <si>
    <t xml:space="preserve"> 38.1683 </t>
  </si>
  <si>
    <t xml:space="preserve">C:\Users\andre\Desktop\REACTIV CEFAS\Saccharin\Saccharin/20201203_Cefas_Test8_Run3/Plate 1/@2/D2_02.tif </t>
  </si>
  <si>
    <t xml:space="preserve"> 36.8846 </t>
  </si>
  <si>
    <t xml:space="preserve">C:\Users\andre\Desktop\REACTIV CEFAS\Saccharin\Saccharin/20201203_Cefas_Test8_Run3/Plate 1/@2/D2_03.tif </t>
  </si>
  <si>
    <t xml:space="preserve"> 8522.1785 </t>
  </si>
  <si>
    <t xml:space="preserve"> 35.9188 </t>
  </si>
  <si>
    <t>C:\Users\andre\Desktop\REACTIV CEFAS\Saccharin\Saccharin/20201203_Cefas_Test8_Run3/Plate 1/@2/E2_01- exclu.tif</t>
  </si>
  <si>
    <t>C:\Users\andre\Desktop\REACTIV CEFAS\Saccharin\Saccharin/20201203_Cefas_Test8_Run3/Plate 1/@2/E2_02- exclu.tif</t>
  </si>
  <si>
    <t>C:\Users\andre\Desktop\REACTIV CEFAS\Saccharin\Saccharin/20201203_Cefas_Test8_Run3/Plate 1/@2/E2_03- exclu.tif</t>
  </si>
  <si>
    <t xml:space="preserve">C:\Users\andre\Desktop\REACTIV CEFAS\Saccharin\Saccharin/20201203_Cefas_Test8_Run3/Plate 1/@2/F2_01.tif </t>
  </si>
  <si>
    <t xml:space="preserve"> 3979.9006 </t>
  </si>
  <si>
    <t xml:space="preserve"> 36.837 </t>
  </si>
  <si>
    <t xml:space="preserve">C:\Users\andre\Desktop\REACTIV CEFAS\Saccharin\Saccharin/20201203_Cefas_Test8_Run3/Plate 1/@2/F2_02.tif </t>
  </si>
  <si>
    <t xml:space="preserve"> 5602.1427 </t>
  </si>
  <si>
    <t xml:space="preserve"> 39.7838 </t>
  </si>
  <si>
    <t xml:space="preserve">C:\Users\andre\Desktop\REACTIV CEFAS\Saccharin\Saccharin/20201203_Cefas_Test8_Run3/Plate 1/@2/F2_03.tif </t>
  </si>
  <si>
    <t xml:space="preserve"> 36.5294 </t>
  </si>
  <si>
    <t xml:space="preserve">C:\Users\andre\Desktop\REACTIV CEFAS\Saccharin\Saccharin/20201203_Cefas_Test8_Run3/Plate 1/@2/G2_01.tif </t>
  </si>
  <si>
    <t xml:space="preserve"> 519.1175 </t>
  </si>
  <si>
    <t xml:space="preserve"> 31.6667 </t>
  </si>
  <si>
    <t xml:space="preserve">C:\Users\andre\Desktop\REACTIV CEFAS\Saccharin\Saccharin/20201203_Cefas_Test8_Run3/Plate 1/@2/G2_02.tif </t>
  </si>
  <si>
    <t xml:space="preserve"> 64.8897 </t>
  </si>
  <si>
    <t xml:space="preserve">C:\Users\andre\Desktop\REACTIV CEFAS\Saccharin\Saccharin/20201203_Cefas_Test8_Run3/Plate 1/@2/G2_03.tif </t>
  </si>
  <si>
    <t xml:space="preserve"> 8846.6269 </t>
  </si>
  <si>
    <t xml:space="preserve"> 38.0782 </t>
  </si>
  <si>
    <t xml:space="preserve">C:\Users\andre\Desktop\REACTIV CEFAS\Saccharin\Saccharin/20201203_Cefas_Test8_Run3/Plate 1/@2/H2_01.tif </t>
  </si>
  <si>
    <t xml:space="preserve"> 8673.5877 </t>
  </si>
  <si>
    <t xml:space="preserve"> 37.8928 </t>
  </si>
  <si>
    <t xml:space="preserve">C:\Users\andre\Desktop\REACTIV CEFAS\Saccharin\Saccharin/20201203_Cefas_Test8_Run3/Plate 1/@2/H2_02.tif </t>
  </si>
  <si>
    <t xml:space="preserve"> 3850.1212 </t>
  </si>
  <si>
    <t xml:space="preserve"> 37.7697 </t>
  </si>
  <si>
    <t xml:space="preserve">C:\Users\andre\Desktop\REACTIV CEFAS\Saccharin\Saccharin/20201203_Cefas_Test8_Run3/Plate 1/@2/H2_03.tif </t>
  </si>
  <si>
    <t xml:space="preserve"> 7765.1322 </t>
  </si>
  <si>
    <t xml:space="preserve"> 38.585 </t>
  </si>
  <si>
    <t xml:space="preserve">C:\Users\andre\Desktop\REACTIV CEFAS\Saccharin\Saccharin/20201203_Cefas_Test8_Run3/Plate 1/@2/ </t>
  </si>
  <si>
    <t xml:space="preserve"> 37.7109 </t>
  </si>
  <si>
    <t xml:space="preserve"> 13.863 </t>
  </si>
  <si>
    <t xml:space="preserve"> 332434.333 </t>
  </si>
  <si>
    <t xml:space="preserve"> 346843.6 </t>
  </si>
  <si>
    <t xml:space="preserve">C:\Users\andre\Desktop\REACTIV CEFAS\Saccharin\Saccharin/20201203_Cefas_Test8_Run3/Plate 1/@3/A3_01.tif </t>
  </si>
  <si>
    <t xml:space="preserve"> 31.8 </t>
  </si>
  <si>
    <t>C:\Users\andre\Desktop\REACTIV CEFAS\Saccharin\Saccharin/20201203_Cefas_Test8_Run3/Plate 1/@3/A3_02- exclu.tif</t>
  </si>
  <si>
    <t>C:\Users\andre\Desktop\REACTIV CEFAS\Saccharin\Saccharin/20201203_Cefas_Test8_Run3/Plate 1/@3/A3_03- exclu.tif</t>
  </si>
  <si>
    <t>C:\Users\andre\Desktop\REACTIV CEFAS\Saccharin\Saccharin/20201203_Cefas_Test8_Run3/Plate 1/@3/B3_01- exclu.tif</t>
  </si>
  <si>
    <t xml:space="preserve">C:\Users\andre\Desktop\REACTIV CEFAS\Saccharin\Saccharin/20201203_Cefas_Test8_Run3/Plate 1/@3/B3_02.tif </t>
  </si>
  <si>
    <t xml:space="preserve"> 34.8469 </t>
  </si>
  <si>
    <t xml:space="preserve">C:\Users\andre\Desktop\REACTIV CEFAS\Saccharin\Saccharin/20201203_Cefas_Test8_Run3/Plate 1/@3/B3_03.tif </t>
  </si>
  <si>
    <t xml:space="preserve">C:\Users\andre\Desktop\REACTIV CEFAS\Saccharin\Saccharin/20201203_Cefas_Test8_Run3/Plate 1/@3/C3_01.tif </t>
  </si>
  <si>
    <t xml:space="preserve"> 33.8941 </t>
  </si>
  <si>
    <t xml:space="preserve">C:\Users\andre\Desktop\REACTIV CEFAS\Saccharin\Saccharin/20201203_Cefas_Test8_Run3/Plate 1/@3/C3_02.tif </t>
  </si>
  <si>
    <t xml:space="preserve"> 32.2133 </t>
  </si>
  <si>
    <t xml:space="preserve">C:\Users\andre\Desktop\REACTIV CEFAS\Saccharin\Saccharin/20201203_Cefas_Test8_Run3/Plate 1/@3/C3_03.tif </t>
  </si>
  <si>
    <t xml:space="preserve"> 1535.7225 </t>
  </si>
  <si>
    <t xml:space="preserve"> 32.2113 </t>
  </si>
  <si>
    <t xml:space="preserve">C:\Users\andre\Desktop\REACTIV CEFAS\Saccharin\Saccharin/20201203_Cefas_Test8_Run3/Plate 1/@3/D3_01.tif </t>
  </si>
  <si>
    <t xml:space="preserve"> 6553.8581 </t>
  </si>
  <si>
    <t xml:space="preserve"> 39.9241 </t>
  </si>
  <si>
    <t xml:space="preserve">C:\Users\andre\Desktop\REACTIV CEFAS\Saccharin\Saccharin/20201203_Cefas_Test8_Run3/Plate 1/@3/D3_02.tif </t>
  </si>
  <si>
    <t xml:space="preserve"> 9841.6021 </t>
  </si>
  <si>
    <t xml:space="preserve"> 45.6527 </t>
  </si>
  <si>
    <t xml:space="preserve">C:\Users\andre\Desktop\REACTIV CEFAS\Saccharin\Saccharin/20201203_Cefas_Test8_Run3/Plate 1/@3/D3_03.tif </t>
  </si>
  <si>
    <t xml:space="preserve"> 10663.5381 </t>
  </si>
  <si>
    <t xml:space="preserve"> 44.1765 </t>
  </si>
  <si>
    <t xml:space="preserve">C:\Users\andre\Desktop\REACTIV CEFAS\Saccharin\Saccharin/20201203_Cefas_Test8_Run3/Plate 1/@3/E3_01.tif </t>
  </si>
  <si>
    <t xml:space="preserve"> 5580.5128 </t>
  </si>
  <si>
    <t xml:space="preserve"> 39.8876 </t>
  </si>
  <si>
    <t xml:space="preserve">C:\Users\andre\Desktop\REACTIV CEFAS\Saccharin\Saccharin/20201203_Cefas_Test8_Run3/Plate 1/@3/E3_02.tif </t>
  </si>
  <si>
    <t xml:space="preserve"> 5299.3242 </t>
  </si>
  <si>
    <t xml:space="preserve"> 40.6531 </t>
  </si>
  <si>
    <t xml:space="preserve">C:\Users\andre\Desktop\REACTIV CEFAS\Saccharin\Saccharin/20201203_Cefas_Test8_Run3/Plate 1/@3/E3_03.tif </t>
  </si>
  <si>
    <t xml:space="preserve">C:\Users\andre\Desktop\REACTIV CEFAS\Saccharin\Saccharin/20201203_Cefas_Test8_Run3/Plate 1/@3/F3_01.tif </t>
  </si>
  <si>
    <t xml:space="preserve"> 3374.2636 </t>
  </si>
  <si>
    <t xml:space="preserve"> 37.0256 </t>
  </si>
  <si>
    <t xml:space="preserve">C:\Users\andre\Desktop\REACTIV CEFAS\Saccharin\Saccharin/20201203_Cefas_Test8_Run3/Plate 1/@3/F3_02.tif </t>
  </si>
  <si>
    <t xml:space="preserve"> 34.8776 </t>
  </si>
  <si>
    <t xml:space="preserve">C:\Users\andre\Desktop\REACTIV CEFAS\Saccharin\Saccharin/20201203_Cefas_Test8_Run3/Plate 1/@3/F3_03.tif </t>
  </si>
  <si>
    <t xml:space="preserve"> 3612.1924 </t>
  </si>
  <si>
    <t xml:space="preserve"> 35.6587 </t>
  </si>
  <si>
    <t xml:space="preserve">C:\Users\andre\Desktop\REACTIV CEFAS\Saccharin\Saccharin/20201203_Cefas_Test8_Run3/Plate 1/@3/G3_01.tif </t>
  </si>
  <si>
    <t xml:space="preserve"> 32.88 </t>
  </si>
  <si>
    <t xml:space="preserve">C:\Users\andre\Desktop\REACTIV CEFAS\Saccharin\Saccharin/20201203_Cefas_Test8_Run3/Plate 1/@3/G3_02.tif </t>
  </si>
  <si>
    <t xml:space="preserve"> 22646.4997 </t>
  </si>
  <si>
    <t xml:space="preserve"> 33.8023 </t>
  </si>
  <si>
    <t xml:space="preserve">C:\Users\andre\Desktop\REACTIV CEFAS\Saccharin\Saccharin/20201203_Cefas_Test8_Run3/Plate 1/@3/G3_03.tif </t>
  </si>
  <si>
    <t xml:space="preserve"> 32.4238 </t>
  </si>
  <si>
    <t xml:space="preserve">C:\Users\andre\Desktop\REACTIV CEFAS\Saccharin\Saccharin/20201203_Cefas_Test8_Run3/Plate 1/@3/H3_01.tif </t>
  </si>
  <si>
    <t xml:space="preserve"> 7548.8332 </t>
  </si>
  <si>
    <t xml:space="preserve"> 37.2521 </t>
  </si>
  <si>
    <t xml:space="preserve">C:\Users\andre\Desktop\REACTIV CEFAS\Saccharin\Saccharin/20201203_Cefas_Test8_Run3/Plate 1/@3/H3_02.tif </t>
  </si>
  <si>
    <t xml:space="preserve"> 17974.4424 </t>
  </si>
  <si>
    <t xml:space="preserve"> 35.1023 </t>
  </si>
  <si>
    <t xml:space="preserve">C:\Users\andre\Desktop\REACTIV CEFAS\Saccharin\Saccharin/20201203_Cefas_Test8_Run3/Plate 1/@3/H3_03.tif </t>
  </si>
  <si>
    <t xml:space="preserve"> 9582.0433 </t>
  </si>
  <si>
    <t xml:space="preserve"> 34.7788 </t>
  </si>
  <si>
    <t xml:space="preserve">C:\Users\andre\Desktop\REACTIV CEFAS\Saccharin\Saccharin/20201203_Cefas_Test8_Run3/Plate 1/@3/ </t>
  </si>
  <si>
    <t xml:space="preserve"> 33.2496 </t>
  </si>
  <si>
    <t xml:space="preserve"> 10.9426 </t>
  </si>
  <si>
    <t xml:space="preserve"> 228032.208 </t>
  </si>
  <si>
    <t xml:space="preserve"> 214814.989 </t>
  </si>
  <si>
    <t xml:space="preserve">C:\Users\andre\Desktop\REACTIV CEFAS\Saccharin\Saccharin/20201203_Cefas_Test8_Run3/Plate 1/@4/A4_01.tif </t>
  </si>
  <si>
    <t xml:space="preserve"> 12653.4884 </t>
  </si>
  <si>
    <t xml:space="preserve"> 34.5641 </t>
  </si>
  <si>
    <t xml:space="preserve">C:\Users\andre\Desktop\REACTIV CEFAS\Saccharin\Saccharin/20201203_Cefas_Test8_Run3/Plate 1/@4/A4_02.tif </t>
  </si>
  <si>
    <t xml:space="preserve"> 12610.2286 </t>
  </si>
  <si>
    <t xml:space="preserve"> 34.1046 </t>
  </si>
  <si>
    <t xml:space="preserve">C:\Users\andre\Desktop\REACTIV CEFAS\Saccharin\Saccharin/20201203_Cefas_Test8_Run3/Plate 1/@4/A4_03.tif </t>
  </si>
  <si>
    <t xml:space="preserve"> 19553.4247 </t>
  </si>
  <si>
    <t xml:space="preserve"> 34.6195 </t>
  </si>
  <si>
    <t xml:space="preserve">C:\Users\andre\Desktop\REACTIV CEFAS\Saccharin\Saccharin/20201203_Cefas_Test8_Run3/Plate 1/@4/B4_01.tif </t>
  </si>
  <si>
    <t xml:space="preserve"> 3785.2316 </t>
  </si>
  <si>
    <t xml:space="preserve"> 33.5886 </t>
  </si>
  <si>
    <t xml:space="preserve">C:\Users\andre\Desktop\REACTIV CEFAS\Saccharin\Saccharin/20201203_Cefas_Test8_Run3/Plate 1/@4/B4_02.tif </t>
  </si>
  <si>
    <t xml:space="preserve"> 3352.6337 </t>
  </si>
  <si>
    <t xml:space="preserve"> 33.2323 </t>
  </si>
  <si>
    <t xml:space="preserve">C:\Users\andre\Desktop\REACTIV CEFAS\Saccharin\Saccharin/20201203_Cefas_Test8_Run3/Plate 1/@4/B4_03.tif </t>
  </si>
  <si>
    <t xml:space="preserve"> 11139.3957 </t>
  </si>
  <si>
    <t xml:space="preserve"> 33.233 </t>
  </si>
  <si>
    <t xml:space="preserve">C:\Users\andre\Desktop\REACTIV CEFAS\Saccharin\Saccharin/20201203_Cefas_Test8_Run3/Plate 1/@4/C4_01.tif </t>
  </si>
  <si>
    <t xml:space="preserve"> 11161.0256 </t>
  </si>
  <si>
    <t xml:space="preserve"> 34.7713 </t>
  </si>
  <si>
    <t xml:space="preserve">C:\Users\andre\Desktop\REACTIV CEFAS\Saccharin\Saccharin/20201203_Cefas_Test8_Run3/Plate 1/@4/C4_02.tif </t>
  </si>
  <si>
    <t xml:space="preserve"> 86.5196 </t>
  </si>
  <si>
    <t xml:space="preserve"> 30.5 </t>
  </si>
  <si>
    <t xml:space="preserve">C:\Users\andre\Desktop\REACTIV CEFAS\Saccharin\Saccharin/20201203_Cefas_Test8_Run3/Plate 1/@4/C4_03.tif </t>
  </si>
  <si>
    <t xml:space="preserve"> 34.5 </t>
  </si>
  <si>
    <t xml:space="preserve">C:\Users\andre\Desktop\REACTIV CEFAS\Saccharin\Saccharin/20201203_Cefas_Test8_Run3/Plate 1/@4/D4_01.tif </t>
  </si>
  <si>
    <t xml:space="preserve"> 5169.5448 </t>
  </si>
  <si>
    <t xml:space="preserve"> 35.9749 </t>
  </si>
  <si>
    <t xml:space="preserve">C:\Users\andre\Desktop\REACTIV CEFAS\Saccharin\Saccharin/20201203_Cefas_Test8_Run3/Plate 1/@4/D4_02.tif </t>
  </si>
  <si>
    <t xml:space="preserve"> 33.6459 </t>
  </si>
  <si>
    <t xml:space="preserve">C:\Users\andre\Desktop\REACTIV CEFAS\Saccharin\Saccharin/20201203_Cefas_Test8_Run3/Plate 1/@4/D4_03.tif </t>
  </si>
  <si>
    <t xml:space="preserve"> 7116.2353 </t>
  </si>
  <si>
    <t xml:space="preserve"> 33.2918 </t>
  </si>
  <si>
    <t xml:space="preserve">C:\Users\andre\Desktop\REACTIV CEFAS\Saccharin\Saccharin/20201203_Cefas_Test8_Run3/Plate 1/@4/E4_01.tif </t>
  </si>
  <si>
    <t xml:space="preserve"> 37.9115 </t>
  </si>
  <si>
    <t xml:space="preserve">C:\Users\andre\Desktop\REACTIV CEFAS\Saccharin\Saccharin/20201203_Cefas_Test8_Run3/Plate 1/@4/E4_02.tif </t>
  </si>
  <si>
    <t xml:space="preserve"> 2595.5874 </t>
  </si>
  <si>
    <t xml:space="preserve"> 33.3417 </t>
  </si>
  <si>
    <t xml:space="preserve">C:\Users\andre\Desktop\REACTIV CEFAS\Saccharin\Saccharin/20201203_Cefas_Test8_Run3/Plate 1/@4/E4_03.tif </t>
  </si>
  <si>
    <t xml:space="preserve"> 33.8655 </t>
  </si>
  <si>
    <t xml:space="preserve">C:\Users\andre\Desktop\REACTIV CEFAS\Saccharin\Saccharin/20201203_Cefas_Test8_Run3/Plate 1/@4/F4_01.tif </t>
  </si>
  <si>
    <t xml:space="preserve"> 37.0866 </t>
  </si>
  <si>
    <t xml:space="preserve">C:\Users\andre\Desktop\REACTIV CEFAS\Saccharin\Saccharin/20201203_Cefas_Test8_Run3/Plate 1/@4/F4_02.tif </t>
  </si>
  <si>
    <t xml:space="preserve"> 45292.9994 </t>
  </si>
  <si>
    <t xml:space="preserve"> 36.1662 </t>
  </si>
  <si>
    <t xml:space="preserve">C:\Users\andre\Desktop\REACTIV CEFAS\Saccharin\Saccharin/20201203_Cefas_Test8_Run3/Plate 1/@4/F4_03.tif </t>
  </si>
  <si>
    <t xml:space="preserve"> 37.1399 </t>
  </si>
  <si>
    <t xml:space="preserve">C:\Users\andre\Desktop\REACTIV CEFAS\Saccharin\Saccharin/20201203_Cefas_Test8_Run3/Plate 1/@4/G4_01.tif </t>
  </si>
  <si>
    <t xml:space="preserve"> 5883.3313 </t>
  </si>
  <si>
    <t xml:space="preserve"> 34.5625 </t>
  </si>
  <si>
    <t xml:space="preserve">C:\Users\andre\Desktop\REACTIV CEFAS\Saccharin\Saccharin/20201203_Cefas_Test8_Run3/Plate 1/@4/G4_02.tif </t>
  </si>
  <si>
    <t xml:space="preserve"> 1470.8328 </t>
  </si>
  <si>
    <t xml:space="preserve"> 31.4265 </t>
  </si>
  <si>
    <t xml:space="preserve">C:\Users\andre\Desktop\REACTIV CEFAS\Saccharin\Saccharin/20201203_Cefas_Test8_Run3/Plate 1/@4/G4_03.tif </t>
  </si>
  <si>
    <t xml:space="preserve"> 35.2154 </t>
  </si>
  <si>
    <t xml:space="preserve">C:\Users\andre\Desktop\REACTIV CEFAS\Saccharin\Saccharin/20201203_Cefas_Test8_Run3/Plate 1/@4/H4_01.tif </t>
  </si>
  <si>
    <t xml:space="preserve"> 10425.6092 </t>
  </si>
  <si>
    <t xml:space="preserve"> 33.8527 </t>
  </si>
  <si>
    <t xml:space="preserve">C:\Users\andre\Desktop\REACTIV CEFAS\Saccharin\Saccharin/20201203_Cefas_Test8_Run3/Plate 1/@4/H4_02.tif </t>
  </si>
  <si>
    <t xml:space="preserve"> 17217.3961 </t>
  </si>
  <si>
    <t xml:space="preserve"> 34.7776 </t>
  </si>
  <si>
    <t xml:space="preserve">C:\Users\andre\Desktop\REACTIV CEFAS\Saccharin\Saccharin/20201203_Cefas_Test8_Run3/Plate 1/@4/H4_03.tif </t>
  </si>
  <si>
    <t xml:space="preserve"> 10966.3566 </t>
  </si>
  <si>
    <t xml:space="preserve"> 33.5523 </t>
  </si>
  <si>
    <t xml:space="preserve">C:\Users\andre\Desktop\REACTIV CEFAS\Saccharin\Saccharin/20201203_Cefas_Test8_Run3/Plate 1/@4/ </t>
  </si>
  <si>
    <t xml:space="preserve"> 34.3718 </t>
  </si>
  <si>
    <t xml:space="preserve"> 1.6867 </t>
  </si>
  <si>
    <t xml:space="preserve"> 462161.458 </t>
  </si>
  <si>
    <t xml:space="preserve"> 527022.614 </t>
  </si>
  <si>
    <t xml:space="preserve">C:\Users\andre\Desktop\REACTIV CEFAS\Saccharin\Saccharin/20201203_Cefas_Test8_Run3/Plate 1/@5/A5_01.tif </t>
  </si>
  <si>
    <t xml:space="preserve"> 52192.9357 </t>
  </si>
  <si>
    <t xml:space="preserve"> 38.5446 </t>
  </si>
  <si>
    <t xml:space="preserve">C:\Users\andre\Desktop\REACTIV CEFAS\Saccharin\Saccharin/20201203_Cefas_Test8_Run3/Plate 1/@5/A5_02.tif </t>
  </si>
  <si>
    <t xml:space="preserve"> 40.7248 </t>
  </si>
  <si>
    <t xml:space="preserve">C:\Users\andre\Desktop\REACTIV CEFAS\Saccharin\Saccharin/20201203_Cefas_Test8_Run3/Plate 1/@5/A5_03.tif </t>
  </si>
  <si>
    <t xml:space="preserve"> 53836.8077 </t>
  </si>
  <si>
    <t xml:space="preserve"> 43.4166 </t>
  </si>
  <si>
    <t xml:space="preserve">C:\Users\andre\Desktop\REACTIV CEFAS\Saccharin\Saccharin/20201203_Cefas_Test8_Run3/Plate 1/@5/B5_01.tif </t>
  </si>
  <si>
    <t xml:space="preserve"> 13410.5347 </t>
  </si>
  <si>
    <t xml:space="preserve"> 33.5355 </t>
  </si>
  <si>
    <t xml:space="preserve">C:\Users\andre\Desktop\REACTIV CEFAS\Saccharin\Saccharin/20201203_Cefas_Test8_Run3/Plate 1/@5/B5_02.tif </t>
  </si>
  <si>
    <t xml:space="preserve"> 11550.3637 </t>
  </si>
  <si>
    <t xml:space="preserve"> 32.4888 </t>
  </si>
  <si>
    <t xml:space="preserve">C:\Users\andre\Desktop\REACTIV CEFAS\Saccharin\Saccharin/20201203_Cefas_Test8_Run3/Plate 1/@5/B5_03.tif </t>
  </si>
  <si>
    <t xml:space="preserve"> 13345.645 </t>
  </si>
  <si>
    <t xml:space="preserve"> 33.2998 </t>
  </si>
  <si>
    <t xml:space="preserve">C:\Users\andre\Desktop\REACTIV CEFAS\Saccharin\Saccharin/20201203_Cefas_Test8_Run3/Plate 1/@5/C5_01.tif </t>
  </si>
  <si>
    <t xml:space="preserve"> 36.178 </t>
  </si>
  <si>
    <t xml:space="preserve">C:\Users\andre\Desktop\REACTIV CEFAS\Saccharin\Saccharin/20201203_Cefas_Test8_Run3/Plate 1/@5/C5_02.tif </t>
  </si>
  <si>
    <t xml:space="preserve"> 35170.2087 </t>
  </si>
  <si>
    <t xml:space="preserve"> 35.8659 </t>
  </si>
  <si>
    <t xml:space="preserve">C:\Users\andre\Desktop\REACTIV CEFAS\Saccharin\Saccharin/20201203_Cefas_Test8_Run3/Plate 1/@5/C5_03.tif </t>
  </si>
  <si>
    <t xml:space="preserve"> 43432.8284 </t>
  </si>
  <si>
    <t xml:space="preserve"> 38.3889 </t>
  </si>
  <si>
    <t xml:space="preserve">C:\Users\andre\Desktop\REACTIV CEFAS\Saccharin\Saccharin/20201203_Cefas_Test8_Run3/Plate 1/@5/D5_01.tif </t>
  </si>
  <si>
    <t xml:space="preserve"> 63656.7799 </t>
  </si>
  <si>
    <t xml:space="preserve"> 47.6184 </t>
  </si>
  <si>
    <t xml:space="preserve">C:\Users\andre\Desktop\REACTIV CEFAS\Saccharin\Saccharin/20201203_Cefas_Test8_Run3/Plate 1/@5/D5_02.tif </t>
  </si>
  <si>
    <t xml:space="preserve"> 70362.0472 </t>
  </si>
  <si>
    <t xml:space="preserve"> 46.7608 </t>
  </si>
  <si>
    <t xml:space="preserve">C:\Users\andre\Desktop\REACTIV CEFAS\Saccharin\Saccharin/20201203_Cefas_Test8_Run3/Plate 1/@5/D5_03.tif </t>
  </si>
  <si>
    <t xml:space="preserve"> 70491.8266 </t>
  </si>
  <si>
    <t xml:space="preserve"> 47.8487 </t>
  </si>
  <si>
    <t xml:space="preserve">C:\Users\andre\Desktop\REACTIV CEFAS\Saccharin\Saccharin/20201203_Cefas_Test8_Run3/Plate 1/@5/E5_01.tif </t>
  </si>
  <si>
    <t xml:space="preserve"> 29827.6247 </t>
  </si>
  <si>
    <t xml:space="preserve"> 35.5874 </t>
  </si>
  <si>
    <t xml:space="preserve">C:\Users\andre\Desktop\REACTIV CEFAS\Saccharin\Saccharin/20201203_Cefas_Test8_Run3/Plate 1/@5/E5_02.tif </t>
  </si>
  <si>
    <t xml:space="preserve"> 34283.383 </t>
  </si>
  <si>
    <t xml:space="preserve"> 37.3155 </t>
  </si>
  <si>
    <t xml:space="preserve">C:\Users\andre\Desktop\REACTIV CEFAS\Saccharin\Saccharin/20201203_Cefas_Test8_Run3/Plate 1/@5/E5_03.tif </t>
  </si>
  <si>
    <t xml:space="preserve"> 42351.3337 </t>
  </si>
  <si>
    <t xml:space="preserve"> 37.1103 </t>
  </si>
  <si>
    <t xml:space="preserve">C:\Users\andre\Desktop\REACTIV CEFAS\Saccharin\Saccharin/20201203_Cefas_Test8_Run3/Plate 1/@5/F5_01.tif </t>
  </si>
  <si>
    <t xml:space="preserve"> 42.1723 </t>
  </si>
  <si>
    <t xml:space="preserve">C:\Users\andre\Desktop\REACTIV CEFAS\Saccharin\Saccharin/20201203_Cefas_Test8_Run3/Plate 1/@5/F5_02.tif </t>
  </si>
  <si>
    <t xml:space="preserve"> 45660.7076 </t>
  </si>
  <si>
    <t xml:space="preserve"> 39.6774 </t>
  </si>
  <si>
    <t xml:space="preserve">C:\Users\andre\Desktop\REACTIV CEFAS\Saccharin\Saccharin/20201203_Cefas_Test8_Run3/Plate 1/@5/F5_03.tif </t>
  </si>
  <si>
    <t xml:space="preserve"> 46114.9353 </t>
  </si>
  <si>
    <t xml:space="preserve"> 38.6454 </t>
  </si>
  <si>
    <t xml:space="preserve">C:\Users\andre\Desktop\REACTIV CEFAS\Saccharin\Saccharin/20201203_Cefas_Test8_Run3/Plate 1/@5/G5_01.tif </t>
  </si>
  <si>
    <t xml:space="preserve"> 32.8684 </t>
  </si>
  <si>
    <t xml:space="preserve">C:\Users\andre\Desktop\REACTIV CEFAS\Saccharin\Saccharin/20201203_Cefas_Test8_Run3/Plate 1/@5/G5_02.tif </t>
  </si>
  <si>
    <t xml:space="preserve"> 11853.1823 </t>
  </si>
  <si>
    <t xml:space="preserve"> 33.1113 </t>
  </si>
  <si>
    <t xml:space="preserve">C:\Users\andre\Desktop\REACTIV CEFAS\Saccharin\Saccharin/20201203_Cefas_Test8_Run3/Plate 1/@5/G5_03.tif </t>
  </si>
  <si>
    <t xml:space="preserve"> 32.9016 </t>
  </si>
  <si>
    <t xml:space="preserve">C:\Users\andre\Desktop\REACTIV CEFAS\Saccharin\Saccharin/20201203_Cefas_Test8_Run3/Plate 1/@5/H5_01.tif </t>
  </si>
  <si>
    <t xml:space="preserve"> 32531.3615 </t>
  </si>
  <si>
    <t xml:space="preserve"> 39.1257 </t>
  </si>
  <si>
    <t xml:space="preserve">C:\Users\andre\Desktop\REACTIV CEFAS\Saccharin\Saccharin/20201203_Cefas_Test8_Run3/Plate 1/@5/H5_02.tif </t>
  </si>
  <si>
    <t xml:space="preserve"> 28075.6032 </t>
  </si>
  <si>
    <t xml:space="preserve"> 37.3259 </t>
  </si>
  <si>
    <t xml:space="preserve">C:\Users\andre\Desktop\REACTIV CEFAS\Saccharin\Saccharin/20201203_Cefas_Test8_Run3/Plate 1/@5/H5_03.tif </t>
  </si>
  <si>
    <t xml:space="preserve"> 28724.5001 </t>
  </si>
  <si>
    <t xml:space="preserve"> 38.4413 </t>
  </si>
  <si>
    <t xml:space="preserve">C:\Users\andre\Desktop\REACTIV CEFAS\Saccharin\Saccharin/20201203_Cefas_Test8_Run3/Plate 1/@5/ </t>
  </si>
  <si>
    <t xml:space="preserve"> 38.2897 </t>
  </si>
  <si>
    <t xml:space="preserve"> 4.6043 </t>
  </si>
  <si>
    <t xml:space="preserve"> 1480722.08 </t>
  </si>
  <si>
    <t xml:space="preserve"> 931316.692 </t>
  </si>
  <si>
    <t>C:\Users\andre\Desktop\REACTIV CEFAS\Saccharin\Saccharin/20201203_Cefas_Test8_Run3/Plate 1/@6/A6_01- exclu.tif</t>
  </si>
  <si>
    <t>C:\Users\andre\Desktop\REACTIV CEFAS\Saccharin\Saccharin/20201203_Cefas_Test8_Run3/Plate 1/@6/A6_02- exclu.tif</t>
  </si>
  <si>
    <t>C:\Users\andre\Desktop\REACTIV CEFAS\Saccharin\Saccharin/20201203_Cefas_Test8_Run3/Plate 1/@6/A6_03- exclu.tif</t>
  </si>
  <si>
    <t xml:space="preserve">C:\Users\andre\Desktop\REACTIV CEFAS\Saccharin\Saccharin/20201203_Cefas_Test8_Run3/Plate 1/@6/B6_01.tif </t>
  </si>
  <si>
    <t xml:space="preserve"> 49921.7968 </t>
  </si>
  <si>
    <t xml:space="preserve"> 43.8544 </t>
  </si>
  <si>
    <t xml:space="preserve">C:\Users\andre\Desktop\REACTIV CEFAS\Saccharin\Saccharin/20201203_Cefas_Test8_Run3/Plate 1/@6/B6_02.tif </t>
  </si>
  <si>
    <t xml:space="preserve"> 49078.2309 </t>
  </si>
  <si>
    <t xml:space="preserve"> 44.3795 </t>
  </si>
  <si>
    <t xml:space="preserve">C:\Users\andre\Desktop\REACTIV CEFAS\Saccharin\Saccharin/20201203_Cefas_Test8_Run3/Plate 1/@6/B6_03.tif </t>
  </si>
  <si>
    <t xml:space="preserve"> 48429.3341 </t>
  </si>
  <si>
    <t xml:space="preserve"> 41.7517 </t>
  </si>
  <si>
    <t xml:space="preserve">C:\Users\andre\Desktop\REACTIV CEFAS\Saccharin\Saccharin/20201203_Cefas_Test8_Run3/Plate 1/@6/C6_01.tif </t>
  </si>
  <si>
    <t xml:space="preserve"> 69085.8834 </t>
  </si>
  <si>
    <t xml:space="preserve"> 42.5914 </t>
  </si>
  <si>
    <t xml:space="preserve">C:\Users\andre\Desktop\REACTIV CEFAS\Saccharin\Saccharin/20201203_Cefas_Test8_Run3/Plate 1/@6/C6_02.tif </t>
  </si>
  <si>
    <t xml:space="preserve"> 50981.6616 </t>
  </si>
  <si>
    <t xml:space="preserve"> 41.1039 </t>
  </si>
  <si>
    <t xml:space="preserve">C:\Users\andre\Desktop\REACTIV CEFAS\Saccharin\Saccharin/20201203_Cefas_Test8_Run3/Plate 1/@6/C6_03.tif </t>
  </si>
  <si>
    <t xml:space="preserve"> 63678.4098 </t>
  </si>
  <si>
    <t xml:space="preserve"> 43.5428 </t>
  </si>
  <si>
    <t xml:space="preserve">C:\Users\andre\Desktop\REACTIV CEFAS\Saccharin\Saccharin/20201203_Cefas_Test8_Run3/Plate 1/@6/D6_01.tif </t>
  </si>
  <si>
    <t xml:space="preserve"> 46698.9425 </t>
  </si>
  <si>
    <t xml:space="preserve"> 41.1149 </t>
  </si>
  <si>
    <t xml:space="preserve">C:\Users\andre\Desktop\REACTIV CEFAS\Saccharin\Saccharin/20201203_Cefas_Test8_Run3/Plate 1/@6/D6_02.tif </t>
  </si>
  <si>
    <t xml:space="preserve"> 40145.0844 </t>
  </si>
  <si>
    <t xml:space="preserve"> 39.2247 </t>
  </si>
  <si>
    <t xml:space="preserve">C:\Users\andre\Desktop\REACTIV CEFAS\Saccharin\Saccharin/20201203_Cefas_Test8_Run3/Plate 1/@6/D6_03.tif </t>
  </si>
  <si>
    <t xml:space="preserve"> 40512.7926 </t>
  </si>
  <si>
    <t xml:space="preserve"> 37.8484 </t>
  </si>
  <si>
    <t xml:space="preserve">C:\Users\andre\Desktop\REACTIV CEFAS\Saccharin\Saccharin/20201203_Cefas_Test8_Run3/Plate 1/@6/E6_01.tif </t>
  </si>
  <si>
    <t xml:space="preserve"> 58443.9753 </t>
  </si>
  <si>
    <t xml:space="preserve"> 37.9915 </t>
  </si>
  <si>
    <t xml:space="preserve">C:\Users\andre\Desktop\REACTIV CEFAS\Saccharin\Saccharin/20201203_Cefas_Test8_Run3/Plate 1/@6/E6_02.tif </t>
  </si>
  <si>
    <t xml:space="preserve"> 68718.1752 </t>
  </si>
  <si>
    <t xml:space="preserve"> 40.7044 </t>
  </si>
  <si>
    <t xml:space="preserve">C:\Users\andre\Desktop\REACTIV CEFAS\Saccharin\Saccharin/20201203_Cefas_Test8_Run3/Plate 1/@6/E6_03.tif </t>
  </si>
  <si>
    <t xml:space="preserve"> 69280.5525 </t>
  </si>
  <si>
    <t xml:space="preserve"> 40.4889 </t>
  </si>
  <si>
    <t xml:space="preserve">C:\Users\andre\Desktop\REACTIV CEFAS\Saccharin\Saccharin/20201203_Cefas_Test8_Run3/Plate 1/@6/F6_01.tif </t>
  </si>
  <si>
    <t xml:space="preserve"> 48039.996 </t>
  </si>
  <si>
    <t xml:space="preserve"> 40.8685 </t>
  </si>
  <si>
    <t>C:\Users\andre\Desktop\REACTIV CEFAS\Saccharin\Saccharin/20201203_Cefas_Test8_Run3/Plate 1/@6/F6_02- exclu.tif</t>
  </si>
  <si>
    <t>C:\Users\andre\Desktop\REACTIV CEFAS\Saccharin\Saccharin/20201203_Cefas_Test8_Run3/Plate 1/@6/F6_03- exclu.tif</t>
  </si>
  <si>
    <t xml:space="preserve">C:\Users\andre\Desktop\REACTIV CEFAS\Saccharin\Saccharin/20201203_Cefas_Test8_Run3/Plate 1/@6/G6_01.tif </t>
  </si>
  <si>
    <t xml:space="preserve"> 43.8862 </t>
  </si>
  <si>
    <t xml:space="preserve">C:\Users\andre\Desktop\REACTIV CEFAS\Saccharin\Saccharin/20201203_Cefas_Test8_Run3/Plate 1/@6/G6_02.tif </t>
  </si>
  <si>
    <t xml:space="preserve"> 59287.5412 </t>
  </si>
  <si>
    <t xml:space="preserve"> 43.9146 </t>
  </si>
  <si>
    <t xml:space="preserve">C:\Users\andre\Desktop\REACTIV CEFAS\Saccharin\Saccharin/20201203_Cefas_Test8_Run3/Plate 1/@6/G6_03.tif </t>
  </si>
  <si>
    <t xml:space="preserve"> 64846.4241 </t>
  </si>
  <si>
    <t xml:space="preserve"> 45.1618 </t>
  </si>
  <si>
    <t xml:space="preserve">C:\Users\andre\Desktop\REACTIV CEFAS\Saccharin\Saccharin/20201203_Cefas_Test8_Run3/Plate 1/@6/H6_01.tif </t>
  </si>
  <si>
    <t xml:space="preserve"> 68328.8371 </t>
  </si>
  <si>
    <t xml:space="preserve"> 49.4517 </t>
  </si>
  <si>
    <t xml:space="preserve">C:\Users\andre\Desktop\REACTIV CEFAS\Saccharin\Saccharin/20201203_Cefas_Test8_Run3/Plate 1/@6/H6_02.tif </t>
  </si>
  <si>
    <t xml:space="preserve"> 52.1661 </t>
  </si>
  <si>
    <t xml:space="preserve">C:\Users\andre\Desktop\REACTIV CEFAS\Saccharin\Saccharin/20201203_Cefas_Test8_Run3/Plate 1/@6/H6_03.tif </t>
  </si>
  <si>
    <t xml:space="preserve"> 67636.6805 </t>
  </si>
  <si>
    <t xml:space="preserve"> 50.6936 </t>
  </si>
  <si>
    <t xml:space="preserve">C:\Users\andre\Desktop\REACTIV CEFAS\Saccharin\Saccharin/20201203_Cefas_Test8_Run3/Plate 1/@6/ </t>
  </si>
  <si>
    <t xml:space="preserve"> 36.9639 </t>
  </si>
  <si>
    <t xml:space="preserve"> 14.9929 </t>
  </si>
  <si>
    <t xml:space="preserve"> 1990627.17 </t>
  </si>
  <si>
    <t xml:space="preserve"> 1143424.6 </t>
  </si>
  <si>
    <t xml:space="preserve">C:\Users\andre\Desktop\REACTIV CEFAS\Saccharin\Saccharin/20201203_Cefas_Test8_Run3/Plate 1/@7/A7_01.tif </t>
  </si>
  <si>
    <t xml:space="preserve"> 48.2559 </t>
  </si>
  <si>
    <t xml:space="preserve">C:\Users\andre\Desktop\REACTIV CEFAS\Saccharin\Saccharin/20201203_Cefas_Test8_Run3/Plate 1/@7/A7_02.tif </t>
  </si>
  <si>
    <t xml:space="preserve"> 69778.0401 </t>
  </si>
  <si>
    <t xml:space="preserve"> 52.4709 </t>
  </si>
  <si>
    <t xml:space="preserve">C:\Users\andre\Desktop\REACTIV CEFAS\Saccharin\Saccharin/20201203_Cefas_Test8_Run3/Plate 1/@7/A7_03.tif </t>
  </si>
  <si>
    <t xml:space="preserve"> 64630.1252 </t>
  </si>
  <si>
    <t xml:space="preserve"> 51.2784 </t>
  </si>
  <si>
    <t xml:space="preserve">C:\Users\andre\Desktop\REACTIV CEFAS\Saccharin\Saccharin/20201203_Cefas_Test8_Run3/Plate 1/@7/B7_01.tif </t>
  </si>
  <si>
    <t xml:space="preserve"> 63397.2212 </t>
  </si>
  <si>
    <t xml:space="preserve"> 50.6977 </t>
  </si>
  <si>
    <t xml:space="preserve">C:\Users\andre\Desktop\REACTIV CEFAS\Saccharin\Saccharin/20201203_Cefas_Test8_Run3/Plate 1/@7/B7_02.tif </t>
  </si>
  <si>
    <t xml:space="preserve"> 72676.446 </t>
  </si>
  <si>
    <t xml:space="preserve"> 53.847 </t>
  </si>
  <si>
    <t xml:space="preserve">C:\Users\andre\Desktop\REACTIV CEFAS\Saccharin\Saccharin/20201203_Cefas_Test8_Run3/Plate 1/@7/B7_03.tif </t>
  </si>
  <si>
    <t xml:space="preserve"> 50.2821 </t>
  </si>
  <si>
    <t>C:\Users\andre\Desktop\REACTIV CEFAS\Saccharin\Saccharin/20201203_Cefas_Test8_Run3/Plate 1/@7/C7_01- exclu.tif</t>
  </si>
  <si>
    <t>C:\Users\andre\Desktop\REACTIV CEFAS\Saccharin\Saccharin/20201203_Cefas_Test8_Run3/Plate 1/@7/C7_02- exclu.tif</t>
  </si>
  <si>
    <t>C:\Users\andre\Desktop\REACTIV CEFAS\Saccharin\Saccharin/20201203_Cefas_Test8_Run3/Plate 1/@7/C7_03- exclu.tif</t>
  </si>
  <si>
    <t xml:space="preserve">C:\Users\andre\Desktop\REACTIV CEFAS\Saccharin\Saccharin/20201203_Cefas_Test8_Run3/Plate 1/@7/D7_01.tif </t>
  </si>
  <si>
    <t xml:space="preserve"> 103109.708 </t>
  </si>
  <si>
    <t xml:space="preserve"> 56.1091 </t>
  </si>
  <si>
    <t xml:space="preserve">C:\Users\andre\Desktop\REACTIV CEFAS\Saccharin\Saccharin/20201203_Cefas_Test8_Run3/Plate 1/@7/D7_02.tif </t>
  </si>
  <si>
    <t xml:space="preserve"> 95258.0559 </t>
  </si>
  <si>
    <t xml:space="preserve"> 52.2448 </t>
  </si>
  <si>
    <t xml:space="preserve">C:\Users\andre\Desktop\REACTIV CEFAS\Saccharin\Saccharin/20201203_Cefas_Test8_Run3/Plate 1/@7/D7_03.tif </t>
  </si>
  <si>
    <t xml:space="preserve"> 94003.5221 </t>
  </si>
  <si>
    <t xml:space="preserve"> 54.488 </t>
  </si>
  <si>
    <t xml:space="preserve">C:\Users\andre\Desktop\REACTIV CEFAS\Saccharin\Saccharin/20201203_Cefas_Test8_Run3/Plate 1/@7/E7_01.tif </t>
  </si>
  <si>
    <t xml:space="preserve"> 65452.0611 </t>
  </si>
  <si>
    <t xml:space="preserve"> 56.2445 </t>
  </si>
  <si>
    <t>C:\Users\andre\Desktop\REACTIV CEFAS\Saccharin\Saccharin/20201203_Cefas_Test8_Run3/Plate 1/@7/E7_02- exclu.tif</t>
  </si>
  <si>
    <t>C:\Users\andre\Desktop\REACTIV CEFAS\Saccharin\Saccharin/20201203_Cefas_Test8_Run3/Plate 1/@7/E7_03- exclu.tif</t>
  </si>
  <si>
    <t xml:space="preserve">C:\Users\andre\Desktop\REACTIV CEFAS\Saccharin\Saccharin/20201203_Cefas_Test8_Run3/Plate 1/@7/F7_01.tif </t>
  </si>
  <si>
    <t xml:space="preserve"> 96772.1486 </t>
  </si>
  <si>
    <t xml:space="preserve"> 53.5255 </t>
  </si>
  <si>
    <t xml:space="preserve">C:\Users\andre\Desktop\REACTIV CEFAS\Saccharin\Saccharin/20201203_Cefas_Test8_Run3/Plate 1/@7/F7_02.tif </t>
  </si>
  <si>
    <t xml:space="preserve"> 91537.7141 </t>
  </si>
  <si>
    <t xml:space="preserve"> 52.8774 </t>
  </si>
  <si>
    <t xml:space="preserve">C:\Users\andre\Desktop\REACTIV CEFAS\Saccharin\Saccharin/20201203_Cefas_Test8_Run3/Plate 1/@7/F7_03.tif </t>
  </si>
  <si>
    <t xml:space="preserve"> 95733.9136 </t>
  </si>
  <si>
    <t xml:space="preserve"> 57.8681 </t>
  </si>
  <si>
    <t xml:space="preserve">C:\Users\andre\Desktop\REACTIV CEFAS\Saccharin\Saccharin/20201203_Cefas_Test8_Run3/Plate 1/@7/G7_01.tif </t>
  </si>
  <si>
    <t xml:space="preserve"> 85676.0126 </t>
  </si>
  <si>
    <t xml:space="preserve"> 51.7251 </t>
  </si>
  <si>
    <t xml:space="preserve">C:\Users\andre\Desktop\REACTIV CEFAS\Saccharin\Saccharin/20201203_Cefas_Test8_Run3/Plate 1/@7/G7_02.tif </t>
  </si>
  <si>
    <t xml:space="preserve"> 83426.5036 </t>
  </si>
  <si>
    <t xml:space="preserve"> 53.8652 </t>
  </si>
  <si>
    <t xml:space="preserve">C:\Users\andre\Desktop\REACTIV CEFAS\Saccharin\Saccharin/20201203_Cefas_Test8_Run3/Plate 1/@7/G7_03.tif </t>
  </si>
  <si>
    <t xml:space="preserve"> 97507.565 </t>
  </si>
  <si>
    <t xml:space="preserve"> 53.7695 </t>
  </si>
  <si>
    <t xml:space="preserve">C:\Users\andre\Desktop\REACTIV CEFAS\Saccharin\Saccharin/20201203_Cefas_Test8_Run3/Plate 1/@7/H7_01.tif </t>
  </si>
  <si>
    <t xml:space="preserve"> 85762.5322 </t>
  </si>
  <si>
    <t xml:space="preserve"> 55.4207 </t>
  </si>
  <si>
    <t xml:space="preserve">C:\Users\andre\Desktop\REACTIV CEFAS\Saccharin\Saccharin/20201203_Cefas_Test8_Run3/Plate 1/@7/H7_02.tif </t>
  </si>
  <si>
    <t xml:space="preserve"> 88531.1587 </t>
  </si>
  <si>
    <t xml:space="preserve"> 55.0667 </t>
  </si>
  <si>
    <t xml:space="preserve">C:\Users\andre\Desktop\REACTIV CEFAS\Saccharin\Saccharin/20201203_Cefas_Test8_Run3/Plate 1/@7/H7_03.tif </t>
  </si>
  <si>
    <t xml:space="preserve"> 88898.8669 </t>
  </si>
  <si>
    <t xml:space="preserve"> 55.0056 </t>
  </si>
  <si>
    <t xml:space="preserve">C:\Users\andre\Desktop\REACTIV CEFAS\Saccharin\Saccharin/20201203_Cefas_Test8_Run3/Plate 1/@7/ </t>
  </si>
  <si>
    <t xml:space="preserve"> 53.4539 </t>
  </si>
  <si>
    <t xml:space="preserve"> 2.2937 </t>
  </si>
  <si>
    <t xml:space="preserve"> 4187836.92 </t>
  </si>
  <si>
    <t xml:space="preserve"> 909734.53 </t>
  </si>
  <si>
    <t xml:space="preserve">C:\Users\andre\Desktop\REACTIV CEFAS\Saccharin\Saccharin/20201203_Cefas_Test8_Run3/Plate 3/@10/A4_01.tif </t>
  </si>
  <si>
    <t xml:space="preserve"> 33.6912 </t>
  </si>
  <si>
    <t xml:space="preserve">C:\Users\andre\Desktop\REACTIV CEFAS\Saccharin\Saccharin/20201203_Cefas_Test8_Run3/Plate 3/@10/A4_02.tif </t>
  </si>
  <si>
    <t xml:space="preserve"> 33.8246 </t>
  </si>
  <si>
    <t xml:space="preserve">C:\Users\andre\Desktop\REACTIV CEFAS\Saccharin\Saccharin/20201203_Cefas_Test8_Run3/Plate 3/@10/A4_03.tif </t>
  </si>
  <si>
    <t xml:space="preserve"> 35.875 </t>
  </si>
  <si>
    <t xml:space="preserve">C:\Users\andre\Desktop\REACTIV CEFAS\Saccharin\Saccharin/20201203_Cefas_Test8_Run3/Plate 3/@10/B4_01.tif </t>
  </si>
  <si>
    <t xml:space="preserve"> 3157.9646 </t>
  </si>
  <si>
    <t xml:space="preserve"> 35.1507 </t>
  </si>
  <si>
    <t xml:space="preserve">C:\Users\andre\Desktop\REACTIV CEFAS\Saccharin\Saccharin/20201203_Cefas_Test8_Run3/Plate 3/@10/B4_02.tif </t>
  </si>
  <si>
    <t xml:space="preserve"> 10858.2071 </t>
  </si>
  <si>
    <t xml:space="preserve"> 37.3207 </t>
  </si>
  <si>
    <t xml:space="preserve">C:\Users\andre\Desktop\REACTIV CEFAS\Saccharin\Saccharin/20201203_Cefas_Test8_Run3/Plate 3/@10/B4_03.tif </t>
  </si>
  <si>
    <t xml:space="preserve"> 36.3056 </t>
  </si>
  <si>
    <t xml:space="preserve">C:\Users\andre\Desktop\REACTIV CEFAS\Saccharin\Saccharin/20201203_Cefas_Test8_Run3/Plate 3/@10/C4_01.tif </t>
  </si>
  <si>
    <t xml:space="preserve"> 10382.3494 </t>
  </si>
  <si>
    <t xml:space="preserve"> 43.2313 </t>
  </si>
  <si>
    <t>C:\Users\andre\Desktop\REACTIV CEFAS\Saccharin\Saccharin/20201203_Cefas_Test8_Run3/Plate 3/@10/C4_02- exclu.tif</t>
  </si>
  <si>
    <t xml:space="preserve">C:\Users\andre\Desktop\REACTIV CEFAS\Saccharin\Saccharin/20201203_Cefas_Test8_Run3/Plate 3/@10/C4_03.tif </t>
  </si>
  <si>
    <t xml:space="preserve"> 44.1707 </t>
  </si>
  <si>
    <t>C:\Users\andre\Desktop\REACTIV CEFAS\Saccharin\Saccharin/20201203_Cefas_Test8_Run3/Plate 3/@10/D4_01- exclu.tif</t>
  </si>
  <si>
    <t>C:\Users\andre\Desktop\REACTIV CEFAS\Saccharin\Saccharin/20201203_Cefas_Test8_Run3/Plate 3/@10/D4_02- exclu.tif</t>
  </si>
  <si>
    <t>C:\Users\andre\Desktop\REACTIV CEFAS\Saccharin\Saccharin/20201203_Cefas_Test8_Run3/Plate 3/@10/D4_03- exclu.tif</t>
  </si>
  <si>
    <t xml:space="preserve">C:\Users\andre\Desktop\REACTIV CEFAS\Saccharin\Saccharin/20201203_Cefas_Test8_Run3/Plate 3/@10/E4_01.tif </t>
  </si>
  <si>
    <t xml:space="preserve"> 9603.6732 </t>
  </si>
  <si>
    <t xml:space="preserve"> 42.473 </t>
  </si>
  <si>
    <t>C:\Users\andre\Desktop\REACTIV CEFAS\Saccharin\Saccharin/20201203_Cefas_Test8_Run3/Plate 3/@10/E4_02- exclu.tif</t>
  </si>
  <si>
    <t>C:\Users\andre\Desktop\REACTIV CEFAS\Saccharin\Saccharin/20201203_Cefas_Test8_Run3/Plate 3/@10/E4_03- exclu.tif</t>
  </si>
  <si>
    <t xml:space="preserve">C:\Users\andre\Desktop\REACTIV CEFAS\Saccharin\Saccharin/20201203_Cefas_Test8_Run3/Plate 3/@10/F4_01.tif </t>
  </si>
  <si>
    <t xml:space="preserve"> 33.4369 </t>
  </si>
  <si>
    <t xml:space="preserve">C:\Users\andre\Desktop\REACTIV CEFAS\Saccharin\Saccharin/20201203_Cefas_Test8_Run3/Plate 3/@10/F4_02.tif </t>
  </si>
  <si>
    <t xml:space="preserve"> 5212.8046 </t>
  </si>
  <si>
    <t xml:space="preserve"> 41.0954 </t>
  </si>
  <si>
    <t xml:space="preserve">C:\Users\andre\Desktop\REACTIV CEFAS\Saccharin\Saccharin/20201203_Cefas_Test8_Run3/Plate 3/@10/F4_03.tif </t>
  </si>
  <si>
    <t xml:space="preserve"> 4066.4202 </t>
  </si>
  <si>
    <t xml:space="preserve"> 36.1489 </t>
  </si>
  <si>
    <t>C:\Users\andre\Desktop\REACTIV CEFAS\Saccharin\Saccharin/20201203_Cefas_Test8_Run3/Plate 3/@10/G4_01- exclu.tif</t>
  </si>
  <si>
    <t>C:\Users\andre\Desktop\REACTIV CEFAS\Saccharin\Saccharin/20201203_Cefas_Test8_Run3/Plate 3/@10/G4_02- exclu.tif</t>
  </si>
  <si>
    <t>C:\Users\andre\Desktop\REACTIV CEFAS\Saccharin\Saccharin/20201203_Cefas_Test8_Run3/Plate 3/@10/G4_03- exclu.tif</t>
  </si>
  <si>
    <t xml:space="preserve">C:\Users\andre\Desktop\REACTIV CEFAS\Saccharin\Saccharin/20201203_Cefas_Test8_Run3/Plate 3/@10/H4_01.tif </t>
  </si>
  <si>
    <t xml:space="preserve"> 31.8182 </t>
  </si>
  <si>
    <t xml:space="preserve">C:\Users\andre\Desktop\REACTIV CEFAS\Saccharin\Saccharin/20201203_Cefas_Test8_Run3/Plate 3/@10/H4_02.tif </t>
  </si>
  <si>
    <t xml:space="preserve"> 454.2278 </t>
  </si>
  <si>
    <t xml:space="preserve"> 32.2381 </t>
  </si>
  <si>
    <t xml:space="preserve">C:\Users\andre\Desktop\REACTIV CEFAS\Saccharin\Saccharin/20201203_Cefas_Test8_Run3/Plate 3/@10/H4_03.tif </t>
  </si>
  <si>
    <t xml:space="preserve"> 34.619 </t>
  </si>
  <si>
    <t xml:space="preserve">C:\Users\andre\Desktop\REACTIV CEFAS\Saccharin\Saccharin/20201203_Cefas_Test8_Run3/Plate 3/@10/ </t>
  </si>
  <si>
    <t xml:space="preserve"> 30.4823 </t>
  </si>
  <si>
    <t xml:space="preserve"> 14.4023 </t>
  </si>
  <si>
    <t xml:space="preserve"> 195765.833 </t>
  </si>
  <si>
    <t xml:space="preserve"> 185725.966 </t>
  </si>
  <si>
    <t xml:space="preserve">C:\Users\andre\Desktop\REACTIV CEFAS\Saccharin\Saccharin/20201203_Cefas_Test8_Run3/Plate 3/@11/A5_01.tif </t>
  </si>
  <si>
    <t xml:space="preserve"> 41.9275 </t>
  </si>
  <si>
    <t xml:space="preserve">C:\Users\andre\Desktop\REACTIV CEFAS\Saccharin\Saccharin/20201203_Cefas_Test8_Run3/Plate 3/@11/A5_02.tif </t>
  </si>
  <si>
    <t xml:space="preserve"> 35.8736 </t>
  </si>
  <si>
    <t xml:space="preserve">C:\Users\andre\Desktop\REACTIV CEFAS\Saccharin\Saccharin/20201203_Cefas_Test8_Run3/Plate 3/@11/A5_03.tif </t>
  </si>
  <si>
    <t xml:space="preserve"> 5083.0252 </t>
  </si>
  <si>
    <t xml:space="preserve"> 38.5787 </t>
  </si>
  <si>
    <t xml:space="preserve">C:\Users\andre\Desktop\REACTIV CEFAS\Saccharin\Saccharin/20201203_Cefas_Test8_Run3/Plate 3/@11/B5_01.tif </t>
  </si>
  <si>
    <t xml:space="preserve"> 10252.5701 </t>
  </si>
  <si>
    <t xml:space="preserve"> 39.7743 </t>
  </si>
  <si>
    <t>C:\Users\andre\Desktop\REACTIV CEFAS\Saccharin\Saccharin/20201203_Cefas_Test8_Run3/Plate 3/@11/B5_02- exclu.tif</t>
  </si>
  <si>
    <t xml:space="preserve">C:\Users\andre\Desktop\REACTIV CEFAS\Saccharin\Saccharin/20201203_Cefas_Test8_Run3/Plate 3/@11/B5_03.tif </t>
  </si>
  <si>
    <t>C:\Users\andre\Desktop\REACTIV CEFAS\Saccharin\Saccharin/20201203_Cefas_Test8_Run3/Plate 3/@11/C5_01- exclu.tif</t>
  </si>
  <si>
    <t>C:\Users\andre\Desktop\REACTIV CEFAS\Saccharin\Saccharin/20201203_Cefas_Test8_Run3/Plate 3/@11/C5_02- exclu.tif</t>
  </si>
  <si>
    <t>C:\Users\andre\Desktop\REACTIV CEFAS\Saccharin\Saccharin/20201203_Cefas_Test8_Run3/Plate 3/@11/C5_03- exclu.tif</t>
  </si>
  <si>
    <t xml:space="preserve">C:\Users\andre\Desktop\REACTIV CEFAS\Saccharin\Saccharin/20201203_Cefas_Test8_Run3/Plate 3/@11/D5_01.tif </t>
  </si>
  <si>
    <t xml:space="preserve"> 1146.3844 </t>
  </si>
  <si>
    <t xml:space="preserve"> 32.1887 </t>
  </si>
  <si>
    <t xml:space="preserve">C:\Users\andre\Desktop\REACTIV CEFAS\Saccharin\Saccharin/20201203_Cefas_Test8_Run3/Plate 3/@11/D5_02.tif </t>
  </si>
  <si>
    <t xml:space="preserve"> 39.9385 </t>
  </si>
  <si>
    <t xml:space="preserve">C:\Users\andre\Desktop\REACTIV CEFAS\Saccharin\Saccharin/20201203_Cefas_Test8_Run3/Plate 3/@11/D5_03.tif </t>
  </si>
  <si>
    <t xml:space="preserve"> 1384.3133 </t>
  </si>
  <si>
    <t xml:space="preserve"> 33.5469 </t>
  </si>
  <si>
    <t xml:space="preserve">C:\Users\andre\Desktop\REACTIV CEFAS\Saccharin\Saccharin/20201203_Cefas_Test8_Run3/Plate 3/@11/E5_01.tif </t>
  </si>
  <si>
    <t xml:space="preserve"> 6207.7798 </t>
  </si>
  <si>
    <t xml:space="preserve"> 35.3937 </t>
  </si>
  <si>
    <t xml:space="preserve">C:\Users\andre\Desktop\REACTIV CEFAS\Saccharin\Saccharin/20201203_Cefas_Test8_Run3/Plate 3/@11/E5_02.tif </t>
  </si>
  <si>
    <t xml:space="preserve"> 9906.4917 </t>
  </si>
  <si>
    <t xml:space="preserve"> 44.9061 </t>
  </si>
  <si>
    <t xml:space="preserve">C:\Users\andre\Desktop\REACTIV CEFAS\Saccharin\Saccharin/20201203_Cefas_Test8_Run3/Plate 3/@11/E5_03.tif </t>
  </si>
  <si>
    <t xml:space="preserve"> 38.7033 </t>
  </si>
  <si>
    <t xml:space="preserve">C:\Users\andre\Desktop\REACTIV CEFAS\Saccharin\Saccharin/20201203_Cefas_Test8_Run3/Plate 3/@11/F5_01.tif </t>
  </si>
  <si>
    <t xml:space="preserve"> 38.8449 </t>
  </si>
  <si>
    <t xml:space="preserve">C:\Users\andre\Desktop\REACTIV CEFAS\Saccharin\Saccharin/20201203_Cefas_Test8_Run3/Plate 3/@11/F5_02.tif </t>
  </si>
  <si>
    <t xml:space="preserve"> 3244.4842 </t>
  </si>
  <si>
    <t xml:space="preserve"> 34.42 </t>
  </si>
  <si>
    <t xml:space="preserve">C:\Users\andre\Desktop\REACTIV CEFAS\Saccharin\Saccharin/20201203_Cefas_Test8_Run3/Plate 3/@11/F5_03.tif </t>
  </si>
  <si>
    <t xml:space="preserve"> 2573.9575 </t>
  </si>
  <si>
    <t xml:space="preserve"> 33.0924 </t>
  </si>
  <si>
    <t xml:space="preserve">C:\Users\andre\Desktop\REACTIV CEFAS\Saccharin\Saccharin/20201203_Cefas_Test8_Run3/Plate 3/@11/G5_01.tif </t>
  </si>
  <si>
    <t xml:space="preserve"> 3590.5625 </t>
  </si>
  <si>
    <t xml:space="preserve"> 35.4639 </t>
  </si>
  <si>
    <t xml:space="preserve">C:\Users\andre\Desktop\REACTIV CEFAS\Saccharin\Saccharin/20201203_Cefas_Test8_Run3/Plate 3/@11/G5_02.tif </t>
  </si>
  <si>
    <t xml:space="preserve"> 6748.5271 </t>
  </si>
  <si>
    <t xml:space="preserve"> 36.3269 </t>
  </si>
  <si>
    <t xml:space="preserve">C:\Users\andre\Desktop\REACTIV CEFAS\Saccharin\Saccharin/20201203_Cefas_Test8_Run3/Plate 3/@11/G5_03.tif </t>
  </si>
  <si>
    <t xml:space="preserve"> 32.2286 </t>
  </si>
  <si>
    <t xml:space="preserve">C:\Users\andre\Desktop\REACTIV CEFAS\Saccharin\Saccharin/20201203_Cefas_Test8_Run3/Plate 3/@11/H5_01.tif </t>
  </si>
  <si>
    <t xml:space="preserve">C:\Users\andre\Desktop\REACTIV CEFAS\Saccharin\Saccharin/20201203_Cefas_Test8_Run3/Plate 3/@11/H5_02.tif </t>
  </si>
  <si>
    <t xml:space="preserve">C:\Users\andre\Desktop\REACTIV CEFAS\Saccharin\Saccharin/20201203_Cefas_Test8_Run3/Plate 3/@11/H5_03.tif </t>
  </si>
  <si>
    <t xml:space="preserve">C:\Users\andre\Desktop\REACTIV CEFAS\Saccharin\Saccharin/20201203_Cefas_Test8_Run3/Plate 3/@11/ </t>
  </si>
  <si>
    <t xml:space="preserve"> 32.7104 </t>
  </si>
  <si>
    <t xml:space="preserve"> 13.3015 </t>
  </si>
  <si>
    <t xml:space="preserve"> 211127.542 </t>
  </si>
  <si>
    <t xml:space="preserve"> 184922.92 </t>
  </si>
  <si>
    <t>C:\Users\andre\Desktop\REACTIV CEFAS\Saccharin\Saccharin/20201203_Cefas_Test8_Run3/Plate 3/@12/A6_01- exclu.tif</t>
  </si>
  <si>
    <t xml:space="preserve">C:\Users\andre\Desktop\REACTIV CEFAS\Saccharin\Saccharin/20201203_Cefas_Test8_Run3/Plate 3/@12/A6_02.tif </t>
  </si>
  <si>
    <t xml:space="preserve"> 37.8243 </t>
  </si>
  <si>
    <t>C:\Users\andre\Desktop\REACTIV CEFAS\Saccharin\Saccharin/20201203_Cefas_Test8_Run3/Plate 3/@12/A6_03- exclu.tif</t>
  </si>
  <si>
    <t xml:space="preserve">C:\Users\andre\Desktop\REACTIV CEFAS\Saccharin\Saccharin/20201203_Cefas_Test8_Run3/Plate 3/@12/B6_01.tif </t>
  </si>
  <si>
    <t xml:space="preserve">C:\Users\andre\Desktop\REACTIV CEFAS\Saccharin\Saccharin/20201203_Cefas_Test8_Run3/Plate 3/@12/B6_02.tif </t>
  </si>
  <si>
    <t xml:space="preserve"> 38.3128 </t>
  </si>
  <si>
    <t>C:\Users\andre\Desktop\REACTIV CEFAS\Saccharin\Saccharin/20201203_Cefas_Test8_Run3/Plate 3/@12/B6_03- exclu.tif</t>
  </si>
  <si>
    <t xml:space="preserve">C:\Users\andre\Desktop\REACTIV CEFAS\Saccharin\Saccharin/20201203_Cefas_Test8_Run3/Plate 3/@12/C6_01.tif </t>
  </si>
  <si>
    <t xml:space="preserve"> 12826.5275 </t>
  </si>
  <si>
    <t xml:space="preserve"> 49.6813 </t>
  </si>
  <si>
    <t xml:space="preserve">C:\Users\andre\Desktop\REACTIV CEFAS\Saccharin\Saccharin/20201203_Cefas_Test8_Run3/Plate 3/@12/C6_02.tif </t>
  </si>
  <si>
    <t xml:space="preserve"> 34.32 </t>
  </si>
  <si>
    <t xml:space="preserve">C:\Users\andre\Desktop\REACTIV CEFAS\Saccharin\Saccharin/20201203_Cefas_Test8_Run3/Plate 3/@12/C6_03.tif </t>
  </si>
  <si>
    <t xml:space="preserve"> 40.2969 </t>
  </si>
  <si>
    <t xml:space="preserve">C:\Users\andre\Desktop\REACTIV CEFAS\Saccharin\Saccharin/20201203_Cefas_Test8_Run3/Plate 3/@12/D6_01.tif </t>
  </si>
  <si>
    <t xml:space="preserve"> 33.9658 </t>
  </si>
  <si>
    <t xml:space="preserve">C:\Users\andre\Desktop\REACTIV CEFAS\Saccharin\Saccharin/20201203_Cefas_Test8_Run3/Plate 3/@12/D6_02.tif </t>
  </si>
  <si>
    <t xml:space="preserve">C:\Users\andre\Desktop\REACTIV CEFAS\Saccharin\Saccharin/20201203_Cefas_Test8_Run3/Plate 3/@12/D6_03.tif </t>
  </si>
  <si>
    <t xml:space="preserve">C:\Users\andre\Desktop\REACTIV CEFAS\Saccharin\Saccharin/20201203_Cefas_Test8_Run3/Plate 3/@12/E6_01.tif </t>
  </si>
  <si>
    <t xml:space="preserve"> 40.0658 </t>
  </si>
  <si>
    <t xml:space="preserve">C:\Users\andre\Desktop\REACTIV CEFAS\Saccharin\Saccharin/20201203_Cefas_Test8_Run3/Plate 3/@12/E6_02.tif </t>
  </si>
  <si>
    <t xml:space="preserve"> 10987.9865 </t>
  </si>
  <si>
    <t xml:space="preserve"> 44.5157 </t>
  </si>
  <si>
    <t xml:space="preserve">C:\Users\andre\Desktop\REACTIV CEFAS\Saccharin\Saccharin/20201203_Cefas_Test8_Run3/Plate 3/@12/E6_03.tif </t>
  </si>
  <si>
    <t xml:space="preserve"> 9322.4846 </t>
  </si>
  <si>
    <t xml:space="preserve"> 43.3828 </t>
  </si>
  <si>
    <t xml:space="preserve">C:\Users\andre\Desktop\REACTIV CEFAS\Saccharin\Saccharin/20201203_Cefas_Test8_Run3/Plate 3/@12/F6_01.tif </t>
  </si>
  <si>
    <t xml:space="preserve"> 38.2586 </t>
  </si>
  <si>
    <t xml:space="preserve">C:\Users\andre\Desktop\REACTIV CEFAS\Saccharin\Saccharin/20201203_Cefas_Test8_Run3/Plate 3/@12/F6_02.tif </t>
  </si>
  <si>
    <t xml:space="preserve"> 39.4331 </t>
  </si>
  <si>
    <t xml:space="preserve">C:\Users\andre\Desktop\REACTIV CEFAS\Saccharin\Saccharin/20201203_Cefas_Test8_Run3/Plate 3/@12/F6_03.tif </t>
  </si>
  <si>
    <t xml:space="preserve"> 44.3733 </t>
  </si>
  <si>
    <t xml:space="preserve">C:\Users\andre\Desktop\REACTIV CEFAS\Saccharin\Saccharin/20201203_Cefas_Test8_Run3/Plate 3/@12/G6_01.tif </t>
  </si>
  <si>
    <t xml:space="preserve"> 38.932 </t>
  </si>
  <si>
    <t xml:space="preserve">C:\Users\andre\Desktop\REACTIV CEFAS\Saccharin\Saccharin/20201203_Cefas_Test8_Run3/Plate 3/@12/G6_02.tif </t>
  </si>
  <si>
    <t xml:space="preserve"> 6878.3065 </t>
  </si>
  <si>
    <t xml:space="preserve"> 41.8176 </t>
  </si>
  <si>
    <t xml:space="preserve">C:\Users\andre\Desktop\REACTIV CEFAS\Saccharin\Saccharin/20201203_Cefas_Test8_Run3/Plate 3/@12/G6_03.tif </t>
  </si>
  <si>
    <t xml:space="preserve"> 9473.8938 </t>
  </si>
  <si>
    <t xml:space="preserve"> 37.5982 </t>
  </si>
  <si>
    <t xml:space="preserve">C:\Users\andre\Desktop\REACTIV CEFAS\Saccharin\Saccharin/20201203_Cefas_Test8_Run3/Plate 3/@12/H6_01.tif </t>
  </si>
  <si>
    <t xml:space="preserve"> 2746.9966 </t>
  </si>
  <si>
    <t xml:space="preserve"> 33.7008 </t>
  </si>
  <si>
    <t xml:space="preserve">C:\Users\andre\Desktop\REACTIV CEFAS\Saccharin\Saccharin/20201203_Cefas_Test8_Run3/Plate 3/@12/H6_02.tif </t>
  </si>
  <si>
    <t xml:space="preserve"> 2206.2493 </t>
  </si>
  <si>
    <t xml:space="preserve"> 34.2941 </t>
  </si>
  <si>
    <t xml:space="preserve">C:\Users\andre\Desktop\REACTIV CEFAS\Saccharin\Saccharin/20201203_Cefas_Test8_Run3/Plate 3/@12/H6_03.tif </t>
  </si>
  <si>
    <t xml:space="preserve"> 2660.477 </t>
  </si>
  <si>
    <t xml:space="preserve"> 34.439 </t>
  </si>
  <si>
    <t xml:space="preserve">C:\Users\andre\Desktop\REACTIV CEFAS\Saccharin\Saccharin/20201203_Cefas_Test8_Run3/Plate 3/@12/ </t>
  </si>
  <si>
    <t xml:space="preserve"> 32.7811 </t>
  </si>
  <si>
    <t xml:space="preserve"> 15.4473 </t>
  </si>
  <si>
    <t xml:space="preserve"> 228158.333 </t>
  </si>
  <si>
    <t xml:space="preserve"> 182419.62 </t>
  </si>
  <si>
    <t xml:space="preserve">C:\Users\andre\Desktop\REACTIV CEFAS\Saccharin\Saccharin/20201203_Cefas_Test8_Run3/Plate 3/@17/A8_01.tif </t>
  </si>
  <si>
    <t xml:space="preserve"> 33.1699 </t>
  </si>
  <si>
    <t xml:space="preserve">C:\Users\andre\Desktop\REACTIV CEFAS\Saccharin\Saccharin/20201203_Cefas_Test8_Run3/Plate 3/@17/A8_02.tif </t>
  </si>
  <si>
    <t xml:space="preserve"> 5450.7334 </t>
  </si>
  <si>
    <t xml:space="preserve"> 32.3214 </t>
  </si>
  <si>
    <t xml:space="preserve">C:\Users\andre\Desktop\REACTIV CEFAS\Saccharin\Saccharin/20201203_Cefas_Test8_Run3/Plate 3/@17/A8_03.tif </t>
  </si>
  <si>
    <t xml:space="preserve"> 33.1149 </t>
  </si>
  <si>
    <t xml:space="preserve">C:\Users\andre\Desktop\REACTIV CEFAS\Saccharin\Saccharin/20201203_Cefas_Test8_Run3/Plate 3/@17/B8_01.tif </t>
  </si>
  <si>
    <t xml:space="preserve"> 16676.6488 </t>
  </si>
  <si>
    <t xml:space="preserve"> 34.6278 </t>
  </si>
  <si>
    <t xml:space="preserve">C:\Users\andre\Desktop\REACTIV CEFAS\Saccharin\Saccharin/20201203_Cefas_Test8_Run3/Plate 3/@17/B8_02.tif </t>
  </si>
  <si>
    <t xml:space="preserve"> 22754.6491 </t>
  </si>
  <si>
    <t xml:space="preserve"> 35.2262 </t>
  </si>
  <si>
    <t xml:space="preserve">C:\Users\andre\Desktop\REACTIV CEFAS\Saccharin\Saccharin/20201203_Cefas_Test8_Run3/Plate 3/@17/B8_03.tif </t>
  </si>
  <si>
    <t xml:space="preserve"> 24549.9304 </t>
  </si>
  <si>
    <t xml:space="preserve"> 33.9991 </t>
  </si>
  <si>
    <t xml:space="preserve">C:\Users\andre\Desktop\REACTIV CEFAS\Saccharin\Saccharin/20201203_Cefas_Test8_Run3/Plate 3/@17/C8_01.tif </t>
  </si>
  <si>
    <t xml:space="preserve"> 29200.3577 </t>
  </si>
  <si>
    <t xml:space="preserve"> 35.8896 </t>
  </si>
  <si>
    <t xml:space="preserve">C:\Users\andre\Desktop\REACTIV CEFAS\Saccharin\Saccharin/20201203_Cefas_Test8_Run3/Plate 3/@17/C8_02.tif </t>
  </si>
  <si>
    <t xml:space="preserve"> 40664.2019 </t>
  </si>
  <si>
    <t xml:space="preserve"> 37.8346 </t>
  </si>
  <si>
    <t xml:space="preserve">C:\Users\andre\Desktop\REACTIV CEFAS\Saccharin\Saccharin/20201203_Cefas_Test8_Run3/Plate 3/@17/C8_03.tif </t>
  </si>
  <si>
    <t xml:space="preserve"> 41399.6183 </t>
  </si>
  <si>
    <t xml:space="preserve"> 35.5737 </t>
  </si>
  <si>
    <t>C:\Users\andre\Desktop\REACTIV CEFAS\Saccharin\Saccharin/20201203_Cefas_Test8_Run3/Plate 3/@17/D8_01- exclu.tif</t>
  </si>
  <si>
    <t>C:\Users\andre\Desktop\REACTIV CEFAS\Saccharin\Saccharin/20201203_Cefas_Test8_Run3/Plate 3/@17/D8_02- exclu.tif</t>
  </si>
  <si>
    <t>C:\Users\andre\Desktop\REACTIV CEFAS\Saccharin\Saccharin/20201203_Cefas_Test8_Run3/Plate 3/@17/D8_03- exclu.tif</t>
  </si>
  <si>
    <t xml:space="preserve">C:\Users\andre\Desktop\REACTIV CEFAS\Saccharin\Saccharin/20201203_Cefas_Test8_Run3/Plate 3/@17/E8_01.tif </t>
  </si>
  <si>
    <t xml:space="preserve"> 42091.7749 </t>
  </si>
  <si>
    <t xml:space="preserve"> 43.2215 </t>
  </si>
  <si>
    <t xml:space="preserve">C:\Users\andre\Desktop\REACTIV CEFAS\Saccharin\Saccharin/20201203_Cefas_Test8_Run3/Plate 3/@17/E8_02.tif </t>
  </si>
  <si>
    <t xml:space="preserve"> 44124.985 </t>
  </si>
  <si>
    <t xml:space="preserve"> 42.0265 </t>
  </si>
  <si>
    <t xml:space="preserve">C:\Users\andre\Desktop\REACTIV CEFAS\Saccharin\Saccharin/20201203_Cefas_Test8_Run3/Plate 3/@17/E8_03.tif </t>
  </si>
  <si>
    <t xml:space="preserve"> 49034.9711 </t>
  </si>
  <si>
    <t xml:space="preserve"> 41.918 </t>
  </si>
  <si>
    <t xml:space="preserve">C:\Users\andre\Desktop\REACTIV CEFAS\Saccharin\Saccharin/20201203_Cefas_Test8_Run3/Plate 3/@17/F8_01.tif </t>
  </si>
  <si>
    <t xml:space="preserve"> 30.9048 </t>
  </si>
  <si>
    <t xml:space="preserve">C:\Users\andre\Desktop\REACTIV CEFAS\Saccharin\Saccharin/20201203_Cefas_Test8_Run3/Plate 3/@17/F8_02.tif </t>
  </si>
  <si>
    <t xml:space="preserve"> 42.2005 </t>
  </si>
  <si>
    <t>C:\Users\andre\Desktop\REACTIV CEFAS\Saccharin\Saccharin/20201203_Cefas_Test8_Run3/Plate 3/@17/F8_03- exclu.tif</t>
  </si>
  <si>
    <t xml:space="preserve">C:\Users\andre\Desktop\REACTIV CEFAS\Saccharin\Saccharin/20201203_Cefas_Test8_Run3/Plate 3/@17/G8_01.tif </t>
  </si>
  <si>
    <t xml:space="preserve"> 52063.1564 </t>
  </si>
  <si>
    <t xml:space="preserve"> 40.9202 </t>
  </si>
  <si>
    <t xml:space="preserve">C:\Users\andre\Desktop\REACTIV CEFAS\Saccharin\Saccharin/20201203_Cefas_Test8_Run3/Plate 3/@17/G8_02.tif </t>
  </si>
  <si>
    <t xml:space="preserve"> 52365.9749 </t>
  </si>
  <si>
    <t xml:space="preserve"> 41.8001 </t>
  </si>
  <si>
    <t xml:space="preserve">C:\Users\andre\Desktop\REACTIV CEFAS\Saccharin\Saccharin/20201203_Cefas_Test8_Run3/Plate 3/@17/G8_03.tif </t>
  </si>
  <si>
    <t xml:space="preserve"> 60260.8864 </t>
  </si>
  <si>
    <t xml:space="preserve"> 44.2696 </t>
  </si>
  <si>
    <t xml:space="preserve">C:\Users\andre\Desktop\REACTIV CEFAS\Saccharin\Saccharin/20201203_Cefas_Test8_Run3/Plate 3/@17/H8_01.tif </t>
  </si>
  <si>
    <t xml:space="preserve"> 31774.3152 </t>
  </si>
  <si>
    <t xml:space="preserve"> 35.0272 </t>
  </si>
  <si>
    <t xml:space="preserve">C:\Users\andre\Desktop\REACTIV CEFAS\Saccharin\Saccharin/20201203_Cefas_Test8_Run3/Plate 3/@17/H8_02.tif </t>
  </si>
  <si>
    <t xml:space="preserve"> 34456.4221 </t>
  </si>
  <si>
    <t xml:space="preserve"> 34.2348 </t>
  </si>
  <si>
    <t xml:space="preserve">C:\Users\andre\Desktop\REACTIV CEFAS\Saccharin\Saccharin/20201203_Cefas_Test8_Run3/Plate 3/@17/H8_03.tif </t>
  </si>
  <si>
    <t xml:space="preserve"> 47715.5476 </t>
  </si>
  <si>
    <t xml:space="preserve"> 36.9864 </t>
  </si>
  <si>
    <t xml:space="preserve">C:\Users\andre\Desktop\REACTIV CEFAS\Saccharin\Saccharin/20201203_Cefas_Test8_Run3/Plate 3/@17/ </t>
  </si>
  <si>
    <t xml:space="preserve"> 38.5854 </t>
  </si>
  <si>
    <t xml:space="preserve"> 4.8519 </t>
  </si>
  <si>
    <t xml:space="preserve"> 1136404.88 </t>
  </si>
  <si>
    <t xml:space="preserve"> 737816.746 </t>
  </si>
  <si>
    <t xml:space="preserve">C:\Users\andre\Desktop\REACTIV CEFAS\Saccharin\Saccharin/20201203_Cefas_Test8_Run3/Plate 3/@18/A9_01.tif </t>
  </si>
  <si>
    <t xml:space="preserve"> 9279.2248 </t>
  </si>
  <si>
    <t xml:space="preserve"> 32.6177 </t>
  </si>
  <si>
    <t xml:space="preserve">C:\Users\andre\Desktop\REACTIV CEFAS\Saccharin\Saccharin/20201203_Cefas_Test8_Run3/Plate 3/@18/A9_02.tif </t>
  </si>
  <si>
    <t xml:space="preserve"> 34.1702 </t>
  </si>
  <si>
    <t xml:space="preserve">C:\Users\andre\Desktop\REACTIV CEFAS\Saccharin\Saccharin/20201203_Cefas_Test8_Run3/Plate 3/@18/A9_03.tif </t>
  </si>
  <si>
    <t xml:space="preserve"> 10706.7978 </t>
  </si>
  <si>
    <t xml:space="preserve"> 34.2465 </t>
  </si>
  <si>
    <t xml:space="preserve">C:\Users\andre\Desktop\REACTIV CEFAS\Saccharin\Saccharin/20201203_Cefas_Test8_Run3/Plate 3/@18/B9_01.tif </t>
  </si>
  <si>
    <t xml:space="preserve"> 57167.8115 </t>
  </si>
  <si>
    <t xml:space="preserve"> 43.762 </t>
  </si>
  <si>
    <t xml:space="preserve">C:\Users\andre\Desktop\REACTIV CEFAS\Saccharin\Saccharin/20201203_Cefas_Test8_Run3/Plate 3/@18/B9_02.tif </t>
  </si>
  <si>
    <t xml:space="preserve"> 63051.1428 </t>
  </si>
  <si>
    <t xml:space="preserve"> 43.341 </t>
  </si>
  <si>
    <t xml:space="preserve">C:\Users\andre\Desktop\REACTIV CEFAS\Saccharin\Saccharin/20201203_Cefas_Test8_Run3/Plate 3/@18/B9_03.tif </t>
  </si>
  <si>
    <t xml:space="preserve"> 60585.3349 </t>
  </si>
  <si>
    <t xml:space="preserve"> 42.1285 </t>
  </si>
  <si>
    <t xml:space="preserve">C:\Users\andre\Desktop\REACTIV CEFAS\Saccharin\Saccharin/20201203_Cefas_Test8_Run3/Plate 3/@18/C9_01.tif </t>
  </si>
  <si>
    <t xml:space="preserve"> 48645.633 </t>
  </si>
  <si>
    <t xml:space="preserve"> 43.7177 </t>
  </si>
  <si>
    <t xml:space="preserve">C:\Users\andre\Desktop\REACTIV CEFAS\Saccharin\Saccharin/20201203_Cefas_Test8_Run3/Plate 3/@18/C9_02.tif </t>
  </si>
  <si>
    <t xml:space="preserve"> 55567.1993 </t>
  </si>
  <si>
    <t xml:space="preserve"> 45.2118 </t>
  </si>
  <si>
    <t xml:space="preserve">C:\Users\andre\Desktop\REACTIV CEFAS\Saccharin\Saccharin/20201203_Cefas_Test8_Run3/Plate 3/@18/C9_03.tif </t>
  </si>
  <si>
    <t xml:space="preserve"> 41.8008 </t>
  </si>
  <si>
    <t xml:space="preserve">C:\Users\andre\Desktop\REACTIV CEFAS\Saccharin\Saccharin/20201203_Cefas_Test8_Run3/Plate 3/@18/D9_01.tif </t>
  </si>
  <si>
    <t xml:space="preserve"> 37506.2373 </t>
  </si>
  <si>
    <t xml:space="preserve"> 38.3362 </t>
  </si>
  <si>
    <t xml:space="preserve">C:\Users\andre\Desktop\REACTIV CEFAS\Saccharin\Saccharin/20201203_Cefas_Test8_Run3/Plate 3/@18/D9_02.tif </t>
  </si>
  <si>
    <t xml:space="preserve"> 38566.1021 </t>
  </si>
  <si>
    <t xml:space="preserve"> 37.8985 </t>
  </si>
  <si>
    <t xml:space="preserve">C:\Users\andre\Desktop\REACTIV CEFAS\Saccharin\Saccharin/20201203_Cefas_Test8_Run3/Plate 3/@18/D9_03.tif </t>
  </si>
  <si>
    <t xml:space="preserve"> 40988.6503 </t>
  </si>
  <si>
    <t xml:space="preserve"> 40.2681 </t>
  </si>
  <si>
    <t>C:\Users\andre\Desktop\REACTIV CEFAS\Saccharin\Saccharin/20201203_Cefas_Test8_Run3/Plate 3/@18/E9_01- exclu.tif</t>
  </si>
  <si>
    <t>C:\Users\andre\Desktop\REACTIV CEFAS\Saccharin\Saccharin/20201203_Cefas_Test8_Run3/Plate 3/@18/E9_02- exclu.tif</t>
  </si>
  <si>
    <t>C:\Users\andre\Desktop\REACTIV CEFAS\Saccharin\Saccharin/20201203_Cefas_Test8_Run3/Plate 3/@18/E9_03- exclu.tif</t>
  </si>
  <si>
    <t xml:space="preserve">C:\Users\andre\Desktop\REACTIV CEFAS\Saccharin\Saccharin/20201203_Cefas_Test8_Run3/Plate 3/@18/F9_01.tif </t>
  </si>
  <si>
    <t xml:space="preserve"> 14773.218 </t>
  </si>
  <si>
    <t xml:space="preserve"> 41.7877 </t>
  </si>
  <si>
    <t>C:\Users\andre\Desktop\REACTIV CEFAS\Saccharin\Saccharin/20201203_Cefas_Test8_Run3/Plate 3/@18/F9_02- exclu.tif</t>
  </si>
  <si>
    <t xml:space="preserve">C:\Users\andre\Desktop\REACTIV CEFAS\Saccharin\Saccharin/20201203_Cefas_Test8_Run3/Plate 3/@18/F9_03.tif </t>
  </si>
  <si>
    <t xml:space="preserve"> 14686.6985 </t>
  </si>
  <si>
    <t xml:space="preserve"> 36.5449 </t>
  </si>
  <si>
    <t xml:space="preserve">C:\Users\andre\Desktop\REACTIV CEFAS\Saccharin\Saccharin/20201203_Cefas_Test8_Run3/Plate 3/@18/G9_01.tif </t>
  </si>
  <si>
    <t xml:space="preserve"> 40.9992 </t>
  </si>
  <si>
    <t xml:space="preserve">C:\Users\andre\Desktop\REACTIV CEFAS\Saccharin\Saccharin/20201203_Cefas_Test8_Run3/Plate 3/@18/G9_02.tif </t>
  </si>
  <si>
    <t xml:space="preserve"> 66576.8157 </t>
  </si>
  <si>
    <t xml:space="preserve"> 41.2596 </t>
  </si>
  <si>
    <t xml:space="preserve">C:\Users\andre\Desktop\REACTIV CEFAS\Saccharin\Saccharin/20201203_Cefas_Test8_Run3/Plate 3/@18/G9_03.tif </t>
  </si>
  <si>
    <t xml:space="preserve"> 61948.0182 </t>
  </si>
  <si>
    <t xml:space="preserve"> 39.2936 </t>
  </si>
  <si>
    <t xml:space="preserve">C:\Users\andre\Desktop\REACTIV CEFAS\Saccharin\Saccharin/20201203_Cefas_Test8_Run3/Plate 3/@18/H9_01.tif </t>
  </si>
  <si>
    <t xml:space="preserve"> 41.9087 </t>
  </si>
  <si>
    <t xml:space="preserve">C:\Users\andre\Desktop\REACTIV CEFAS\Saccharin\Saccharin/20201203_Cefas_Test8_Run3/Plate 3/@18/H9_02.tif </t>
  </si>
  <si>
    <t xml:space="preserve"> 53360.95 </t>
  </si>
  <si>
    <t xml:space="preserve"> 41.8687 </t>
  </si>
  <si>
    <t xml:space="preserve">C:\Users\andre\Desktop\REACTIV CEFAS\Saccharin\Saccharin/20201203_Cefas_Test8_Run3/Plate 3/@18/H9_03.tif </t>
  </si>
  <si>
    <t xml:space="preserve"> 55221.121 </t>
  </si>
  <si>
    <t xml:space="preserve"> 41.906 </t>
  </si>
  <si>
    <t xml:space="preserve">C:\Users\andre\Desktop\REACTIV CEFAS\Saccharin\Saccharin/20201203_Cefas_Test8_Run3/Plate 3/@18/ </t>
  </si>
  <si>
    <t xml:space="preserve"> 40.3468 </t>
  </si>
  <si>
    <t xml:space="preserve"> 3.466 </t>
  </si>
  <si>
    <t xml:space="preserve"> 1705639.75 </t>
  </si>
  <si>
    <t xml:space="preserve"> 832859.549 </t>
  </si>
  <si>
    <t xml:space="preserve">C:\Users\andre\Desktop\REACTIV CEFAS\Saccharin\Saccharin/20201203_Cefas_Test8_Run3/Plate 3/@19/A10_01.tif </t>
  </si>
  <si>
    <t xml:space="preserve"> 44427.8036 </t>
  </si>
  <si>
    <t xml:space="preserve"> 37.851 </t>
  </si>
  <si>
    <t xml:space="preserve">C:\Users\andre\Desktop\REACTIV CEFAS\Saccharin\Saccharin/20201203_Cefas_Test8_Run3/Plate 3/@19/A10_02.tif </t>
  </si>
  <si>
    <t xml:space="preserve"> 48818.6722 </t>
  </si>
  <si>
    <t xml:space="preserve"> 42.2853 </t>
  </si>
  <si>
    <t xml:space="preserve">C:\Users\andre\Desktop\REACTIV CEFAS\Saccharin\Saccharin/20201203_Cefas_Test8_Run3/Plate 3/@19/A10_03.tif </t>
  </si>
  <si>
    <t xml:space="preserve"> 38.2574 </t>
  </si>
  <si>
    <t xml:space="preserve">C:\Users\andre\Desktop\REACTIV CEFAS\Saccharin\Saccharin/20201203_Cefas_Test8_Run3/Plate 3/@19/B10_01.tif </t>
  </si>
  <si>
    <t xml:space="preserve"> 14037.8016 </t>
  </si>
  <si>
    <t xml:space="preserve"> 33.9784 </t>
  </si>
  <si>
    <t xml:space="preserve">C:\Users\andre\Desktop\REACTIV CEFAS\Saccharin\Saccharin/20201203_Cefas_Test8_Run3/Plate 3/@19/B10_02.tif </t>
  </si>
  <si>
    <t xml:space="preserve"> 29351.767 </t>
  </si>
  <si>
    <t xml:space="preserve"> 36.1275 </t>
  </si>
  <si>
    <t xml:space="preserve">C:\Users\andre\Desktop\REACTIV CEFAS\Saccharin\Saccharin/20201203_Cefas_Test8_Run3/Plate 3/@19/B10_03.tif </t>
  </si>
  <si>
    <t xml:space="preserve"> 38.7953 </t>
  </si>
  <si>
    <t xml:space="preserve">C:\Users\andre\Desktop\REACTIV CEFAS\Saccharin\Saccharin/20201203_Cefas_Test8_Run3/Plate 3/@19/C10_01.tif </t>
  </si>
  <si>
    <t xml:space="preserve"> 64824.7942 </t>
  </si>
  <si>
    <t xml:space="preserve"> 41.8265 </t>
  </si>
  <si>
    <t xml:space="preserve">C:\Users\andre\Desktop\REACTIV CEFAS\Saccharin\Saccharin/20201203_Cefas_Test8_Run3/Plate 3/@19/C10_02.tif </t>
  </si>
  <si>
    <t xml:space="preserve"> 61428.9007 </t>
  </si>
  <si>
    <t xml:space="preserve"> 40.3989 </t>
  </si>
  <si>
    <t xml:space="preserve">C:\Users\andre\Desktop\REACTIV CEFAS\Saccharin\Saccharin/20201203_Cefas_Test8_Run3/Plate 3/@19/C10_03.tif </t>
  </si>
  <si>
    <t xml:space="preserve"> 62791.5841 </t>
  </si>
  <si>
    <t xml:space="preserve"> 39.6211 </t>
  </si>
  <si>
    <t xml:space="preserve">C:\Users\andre\Desktop\REACTIV CEFAS\Saccharin\Saccharin/20201203_Cefas_Test8_Run3/Plate 3/@19/D10_01.tif </t>
  </si>
  <si>
    <t xml:space="preserve"> 39366.4082 </t>
  </si>
  <si>
    <t xml:space="preserve"> 38.2324 </t>
  </si>
  <si>
    <t xml:space="preserve">C:\Users\andre\Desktop\REACTIV CEFAS\Saccharin\Saccharin/20201203_Cefas_Test8_Run3/Plate 3/@19/D10_02.tif </t>
  </si>
  <si>
    <t xml:space="preserve"> 38.4589 </t>
  </si>
  <si>
    <t xml:space="preserve">C:\Users\andre\Desktop\REACTIV CEFAS\Saccharin\Saccharin/20201203_Cefas_Test8_Run3/Plate 3/@19/D10_03.tif </t>
  </si>
  <si>
    <t xml:space="preserve"> 38393.063 </t>
  </si>
  <si>
    <t xml:space="preserve"> 37.5149 </t>
  </si>
  <si>
    <t xml:space="preserve">C:\Users\andre\Desktop\REACTIV CEFAS\Saccharin\Saccharin/20201203_Cefas_Test8_Run3/Plate 3/@19/E10_01.tif </t>
  </si>
  <si>
    <t xml:space="preserve"> 35.8455 </t>
  </si>
  <si>
    <t xml:space="preserve">C:\Users\andre\Desktop\REACTIV CEFAS\Saccharin\Saccharin/20201203_Cefas_Test8_Run3/Plate 3/@19/E10_02.tif </t>
  </si>
  <si>
    <t xml:space="preserve"> 1168.0143 </t>
  </si>
  <si>
    <t xml:space="preserve"> 33.0185 </t>
  </si>
  <si>
    <t xml:space="preserve">C:\Users\andre\Desktop\REACTIV CEFAS\Saccharin\Saccharin/20201203_Cefas_Test8_Run3/Plate 3/@19/E10_03.tif </t>
  </si>
  <si>
    <t xml:space="preserve"> 5731.9221 </t>
  </si>
  <si>
    <t xml:space="preserve"> 35.5472 </t>
  </si>
  <si>
    <t>C:\Users\andre\Desktop\REACTIV CEFAS\Saccharin\Saccharin/20201203_Cefas_Test8_Run3/Plate 3/@19/F10_01- exclu.tif</t>
  </si>
  <si>
    <t>C:\Users\andre\Desktop\REACTIV CEFAS\Saccharin\Saccharin/20201203_Cefas_Test8_Run3/Plate 3/@19/F10_02- exclu.tif</t>
  </si>
  <si>
    <t>C:\Users\andre\Desktop\REACTIV CEFAS\Saccharin\Saccharin/20201203_Cefas_Test8_Run3/Plate 3/@19/F10_03- exclu.tif</t>
  </si>
  <si>
    <t xml:space="preserve">C:\Users\andre\Desktop\REACTIV CEFAS\Saccharin\Saccharin/20201203_Cefas_Test8_Run3/Plate 3/@19/G10_01.tif </t>
  </si>
  <si>
    <t xml:space="preserve"> 30346.7422 </t>
  </si>
  <si>
    <t xml:space="preserve"> 39.0128 </t>
  </si>
  <si>
    <t xml:space="preserve">C:\Users\andre\Desktop\REACTIV CEFAS\Saccharin\Saccharin/20201203_Cefas_Test8_Run3/Plate 3/@19/G10_02.tif </t>
  </si>
  <si>
    <t xml:space="preserve"> 21002.6277 </t>
  </si>
  <si>
    <t xml:space="preserve"> 36.5469 </t>
  </si>
  <si>
    <t xml:space="preserve">C:\Users\andre\Desktop\REACTIV CEFAS\Saccharin\Saccharin/20201203_Cefas_Test8_Run3/Plate 3/@19/G10_03.tif </t>
  </si>
  <si>
    <t xml:space="preserve"> 33591.2264 </t>
  </si>
  <si>
    <t xml:space="preserve"> 39.4198 </t>
  </si>
  <si>
    <t xml:space="preserve">C:\Users\andre\Desktop\REACTIV CEFAS\Saccharin\Saccharin/20201203_Cefas_Test8_Run3/Plate 3/@19/H10_01.tif </t>
  </si>
  <si>
    <t xml:space="preserve"> 18039.3321 </t>
  </si>
  <si>
    <t xml:space="preserve"> 34.0396 </t>
  </si>
  <si>
    <t xml:space="preserve">C:\Users\andre\Desktop\REACTIV CEFAS\Saccharin\Saccharin/20201203_Cefas_Test8_Run3/Plate 3/@19/H10_02.tif </t>
  </si>
  <si>
    <t xml:space="preserve"> 32682.7708 </t>
  </si>
  <si>
    <t xml:space="preserve"> 39.2449 </t>
  </si>
  <si>
    <t xml:space="preserve">C:\Users\andre\Desktop\REACTIV CEFAS\Saccharin\Saccharin/20201203_Cefas_Test8_Run3/Plate 3/@19/H10_03.tif </t>
  </si>
  <si>
    <t xml:space="preserve"> 21867.8235 </t>
  </si>
  <si>
    <t xml:space="preserve"> 39.5203 </t>
  </si>
  <si>
    <t xml:space="preserve">C:\Users\andre\Desktop\REACTIV CEFAS\Saccharin\Saccharin/20201203_Cefas_Test8_Run3/Plate 3/@19/ </t>
  </si>
  <si>
    <t xml:space="preserve"> 38.5668 </t>
  </si>
  <si>
    <t xml:space="preserve"> 3.0241 </t>
  </si>
  <si>
    <t xml:space="preserve"> 1444862.54 </t>
  </si>
  <si>
    <t xml:space="preserve"> 842273.68 </t>
  </si>
  <si>
    <t>C:\Users\andre\Desktop\REACTIV CEFAS\Saccharin\Saccharin/20201203_Cefas_Test8_Run3/Plate 3/@20/A11_01- exclu.tif</t>
  </si>
  <si>
    <t>C:\Users\andre\Desktop\REACTIV CEFAS\Saccharin\Saccharin/20201203_Cefas_Test8_Run3/Plate 3/@20/A11_02- exclu.tif</t>
  </si>
  <si>
    <t xml:space="preserve">C:\Users\andre\Desktop\REACTIV CEFAS\Saccharin\Saccharin/20201203_Cefas_Test8_Run3/Plate 3/@20/A11_03.tif </t>
  </si>
  <si>
    <t xml:space="preserve"> 79879.2009 </t>
  </si>
  <si>
    <t xml:space="preserve"> 43.8007 </t>
  </si>
  <si>
    <t xml:space="preserve">C:\Users\andre\Desktop\REACTIV CEFAS\Saccharin\Saccharin/20201203_Cefas_Test8_Run3/Plate 3/@20/B11_01.tif </t>
  </si>
  <si>
    <t xml:space="preserve"> 27837.6744 </t>
  </si>
  <si>
    <t xml:space="preserve"> 35.3955 </t>
  </si>
  <si>
    <t xml:space="preserve">C:\Users\andre\Desktop\REACTIV CEFAS\Saccharin\Saccharin/20201203_Cefas_Test8_Run3/Plate 3/@20/B11_02.tif </t>
  </si>
  <si>
    <t xml:space="preserve"> 36878.9703 </t>
  </si>
  <si>
    <t xml:space="preserve"> 36.7818 </t>
  </si>
  <si>
    <t xml:space="preserve">C:\Users\andre\Desktop\REACTIV CEFAS\Saccharin\Saccharin/20201203_Cefas_Test8_Run3/Plate 3/@20/B11_03.tif </t>
  </si>
  <si>
    <t xml:space="preserve"> 38.803 </t>
  </si>
  <si>
    <t>C:\Users\andre\Desktop\REACTIV CEFAS\Saccharin\Saccharin/20201203_Cefas_Test8_Run3/Plate 3/@20/C11_01- exclu.tif</t>
  </si>
  <si>
    <t xml:space="preserve">C:\Users\andre\Desktop\REACTIV CEFAS\Saccharin\Saccharin/20201203_Cefas_Test8_Run3/Plate 3/@20/C11_02.tif </t>
  </si>
  <si>
    <t xml:space="preserve"> 32.1185 </t>
  </si>
  <si>
    <t xml:space="preserve">C:\Users\andre\Desktop\REACTIV CEFAS\Saccharin\Saccharin/20201203_Cefas_Test8_Run3/Plate 3/@20/C11_03.tif </t>
  </si>
  <si>
    <t xml:space="preserve"> 15638.4138 </t>
  </si>
  <si>
    <t xml:space="preserve"> 33.6833 </t>
  </si>
  <si>
    <t xml:space="preserve">C:\Users\andre\Desktop\REACTIV CEFAS\Saccharin\Saccharin/20201203_Cefas_Test8_Run3/Plate 3/@20/D11_01.tif </t>
  </si>
  <si>
    <t xml:space="preserve"> 34.631 </t>
  </si>
  <si>
    <t xml:space="preserve">C:\Users\andre\Desktop\REACTIV CEFAS\Saccharin\Saccharin/20201203_Cefas_Test8_Run3/Plate 3/@20/D11_02.tif </t>
  </si>
  <si>
    <t xml:space="preserve"> 21478.4854 </t>
  </si>
  <si>
    <t xml:space="preserve"> 33.7472 </t>
  </si>
  <si>
    <t xml:space="preserve">C:\Users\andre\Desktop\REACTIV CEFAS\Saccharin\Saccharin/20201203_Cefas_Test8_Run3/Plate 3/@20/D11_03.tif </t>
  </si>
  <si>
    <t xml:space="preserve"> 33353.2975 </t>
  </si>
  <si>
    <t xml:space="preserve"> 35.4553 </t>
  </si>
  <si>
    <t xml:space="preserve">C:\Users\andre\Desktop\REACTIV CEFAS\Saccharin\Saccharin/20201203_Cefas_Test8_Run3/Plate 3/@20/E11_01.tif </t>
  </si>
  <si>
    <t xml:space="preserve"> 27037.3683 </t>
  </si>
  <si>
    <t xml:space="preserve"> 34.1312 </t>
  </si>
  <si>
    <t xml:space="preserve">C:\Users\andre\Desktop\REACTIV CEFAS\Saccharin\Saccharin/20201203_Cefas_Test8_Run3/Plate 3/@20/E11_02.tif </t>
  </si>
  <si>
    <t xml:space="preserve"> 33958.9346 </t>
  </si>
  <si>
    <t xml:space="preserve"> 35.1561 </t>
  </si>
  <si>
    <t xml:space="preserve">C:\Users\andre\Desktop\REACTIV CEFAS\Saccharin\Saccharin/20201203_Cefas_Test8_Run3/Plate 3/@20/E11_03.tif </t>
  </si>
  <si>
    <t xml:space="preserve"> 28162.1228 </t>
  </si>
  <si>
    <t xml:space="preserve"> 35.5845 </t>
  </si>
  <si>
    <t xml:space="preserve">C:\Users\andre\Desktop\REACTIV CEFAS\Saccharin\Saccharin/20201203_Cefas_Test8_Run3/Plate 3/@20/F11_01.tif </t>
  </si>
  <si>
    <t xml:space="preserve"> 57903.2279 </t>
  </si>
  <si>
    <t xml:space="preserve"> 42.2055 </t>
  </si>
  <si>
    <t xml:space="preserve">C:\Users\andre\Desktop\REACTIV CEFAS\Saccharin\Saccharin/20201203_Cefas_Test8_Run3/Plate 3/@20/F11_02.tif </t>
  </si>
  <si>
    <t xml:space="preserve"> 42.4836 </t>
  </si>
  <si>
    <t xml:space="preserve">C:\Users\andre\Desktop\REACTIV CEFAS\Saccharin\Saccharin/20201203_Cefas_Test8_Run3/Plate 3/@20/F11_03.tif </t>
  </si>
  <si>
    <t xml:space="preserve"> 59114.502 </t>
  </si>
  <si>
    <t xml:space="preserve"> 46.9415 </t>
  </si>
  <si>
    <t xml:space="preserve">C:\Users\andre\Desktop\REACTIV CEFAS\Saccharin\Saccharin/20201203_Cefas_Test8_Run3/Plate 3/@20/G11_01.tif </t>
  </si>
  <si>
    <t xml:space="preserve"> 11269.1751 </t>
  </si>
  <si>
    <t xml:space="preserve"> 45.0154 </t>
  </si>
  <si>
    <t xml:space="preserve">C:\Users\andre\Desktop\REACTIV CEFAS\Saccharin\Saccharin/20201203_Cefas_Test8_Run3/Plate 3/@20/G11_02.tif </t>
  </si>
  <si>
    <t xml:space="preserve"> 13475.4244 </t>
  </si>
  <si>
    <t xml:space="preserve"> 48.3291 </t>
  </si>
  <si>
    <t xml:space="preserve">C:\Users\andre\Desktop\REACTIV CEFAS\Saccharin\Saccharin/20201203_Cefas_Test8_Run3/Plate 3/@20/G11_03.tif </t>
  </si>
  <si>
    <t xml:space="preserve"> 497.4876 </t>
  </si>
  <si>
    <t xml:space="preserve"> 30.8261 </t>
  </si>
  <si>
    <t xml:space="preserve">C:\Users\andre\Desktop\REACTIV CEFAS\Saccharin\Saccharin/20201203_Cefas_Test8_Run3/Plate 3/@20/H11_01.tif </t>
  </si>
  <si>
    <t xml:space="preserve"> 66165.8477 </t>
  </si>
  <si>
    <t xml:space="preserve"> 41.4747 </t>
  </si>
  <si>
    <t xml:space="preserve">C:\Users\andre\Desktop\REACTIV CEFAS\Saccharin\Saccharin/20201203_Cefas_Test8_Run3/Plate 3/@20/H11_02.tif </t>
  </si>
  <si>
    <t xml:space="preserve"> 57795.0784 </t>
  </si>
  <si>
    <t xml:space="preserve"> 38.2545 </t>
  </si>
  <si>
    <t xml:space="preserve">C:\Users\andre\Desktop\REACTIV CEFAS\Saccharin\Saccharin/20201203_Cefas_Test8_Run3/Plate 3/@20/H11_03.tif </t>
  </si>
  <si>
    <t xml:space="preserve"> 71919.3996 </t>
  </si>
  <si>
    <t xml:space="preserve"> 40.6914 </t>
  </si>
  <si>
    <t xml:space="preserve">C:\Users\andre\Desktop\REACTIV CEFAS\Saccharin\Saccharin/20201203_Cefas_Test8_Run3/Plate 3/@20/ </t>
  </si>
  <si>
    <t xml:space="preserve"> 38.9153 </t>
  </si>
  <si>
    <t xml:space="preserve"> 5.5773 </t>
  </si>
  <si>
    <t xml:space="preserve"> 1533814.58 </t>
  </si>
  <si>
    <t xml:space="preserve"> 1046356.53 </t>
  </si>
  <si>
    <t>C:\Users\andre\Desktop\REACTIV CEFAS\Saccharin\Saccharin/20201203_Cefas_Test8_Run3/Plate 3/@21/A12_01- exclu.tif</t>
  </si>
  <si>
    <t>C:\Users\andre\Desktop\REACTIV CEFAS\Saccharin\Saccharin/20201203_Cefas_Test8_Run3/Plate 3/@21/A12_02- exclu.tif</t>
  </si>
  <si>
    <t>C:\Users\andre\Desktop\REACTIV CEFAS\Saccharin\Saccharin/20201203_Cefas_Test8_Run3/Plate 3/@21/A12_03- exclu.tif</t>
  </si>
  <si>
    <t xml:space="preserve">C:\Users\andre\Desktop\REACTIV CEFAS\Saccharin\Saccharin/20201203_Cefas_Test8_Run3/Plate 3/@21/B12_01.tif </t>
  </si>
  <si>
    <t xml:space="preserve"> 2076.4699 </t>
  </si>
  <si>
    <t xml:space="preserve"> 32.8021 </t>
  </si>
  <si>
    <t xml:space="preserve">C:\Users\andre\Desktop\REACTIV CEFAS\Saccharin\Saccharin/20201203_Cefas_Test8_Run3/Plate 3/@21/B12_02.tif </t>
  </si>
  <si>
    <t xml:space="preserve"> 39.0342 </t>
  </si>
  <si>
    <t xml:space="preserve">C:\Users\andre\Desktop\REACTIV CEFAS\Saccharin\Saccharin/20201203_Cefas_Test8_Run3/Plate 3/@21/B12_03.tif </t>
  </si>
  <si>
    <t xml:space="preserve"> 38.5925 </t>
  </si>
  <si>
    <t xml:space="preserve">C:\Users\andre\Desktop\REACTIV CEFAS\Saccharin\Saccharin/20201203_Cefas_Test8_Run3/Plate 3/@21/C12_01.tif </t>
  </si>
  <si>
    <t xml:space="preserve"> 34434.7922 </t>
  </si>
  <si>
    <t xml:space="preserve"> 35.9089 </t>
  </si>
  <si>
    <t xml:space="preserve">C:\Users\andre\Desktop\REACTIV CEFAS\Saccharin\Saccharin/20201203_Cefas_Test8_Run3/Plate 3/@21/C12_02.tif </t>
  </si>
  <si>
    <t xml:space="preserve"> 36057.0343 </t>
  </si>
  <si>
    <t xml:space="preserve"> 38.0642 </t>
  </si>
  <si>
    <t xml:space="preserve">C:\Users\andre\Desktop\REACTIV CEFAS\Saccharin\Saccharin/20201203_Cefas_Test8_Run3/Plate 3/@21/C12_03.tif </t>
  </si>
  <si>
    <t xml:space="preserve"> 38263.2836 </t>
  </si>
  <si>
    <t xml:space="preserve"> 37.1425 </t>
  </si>
  <si>
    <t xml:space="preserve">C:\Users\andre\Desktop\REACTIV CEFAS\Saccharin\Saccharin/20201203_Cefas_Test8_Run3/Plate 3/@21/D12_01.tif </t>
  </si>
  <si>
    <t xml:space="preserve"> 23273.7666 </t>
  </si>
  <si>
    <t xml:space="preserve"> 35.2063 </t>
  </si>
  <si>
    <t xml:space="preserve">C:\Users\andre\Desktop\REACTIV CEFAS\Saccharin\Saccharin/20201203_Cefas_Test8_Run3/Plate 3/@21/D12_02.tif </t>
  </si>
  <si>
    <t xml:space="preserve"> 15205.8159 </t>
  </si>
  <si>
    <t xml:space="preserve"> 34.7112 </t>
  </si>
  <si>
    <t xml:space="preserve">C:\Users\andre\Desktop\REACTIV CEFAS\Saccharin\Saccharin/20201203_Cefas_Test8_Run3/Plate 3/@21/D12_03.tif </t>
  </si>
  <si>
    <t xml:space="preserve"> 18407.0403 </t>
  </si>
  <si>
    <t xml:space="preserve"> 35.1974 </t>
  </si>
  <si>
    <t xml:space="preserve">C:\Users\andre\Desktop\REACTIV CEFAS\Saccharin\Saccharin/20201203_Cefas_Test8_Run3/Plate 3/@21/E12_01.tif </t>
  </si>
  <si>
    <t xml:space="preserve"> 62532.0254 </t>
  </si>
  <si>
    <t xml:space="preserve"> 42.0709 </t>
  </si>
  <si>
    <t xml:space="preserve">C:\Users\andre\Desktop\REACTIV CEFAS\Saccharin\Saccharin/20201203_Cefas_Test8_Run3/Plate 3/@21/E12_02.tif </t>
  </si>
  <si>
    <t xml:space="preserve"> 64673.3849 </t>
  </si>
  <si>
    <t xml:space="preserve"> 42.0659 </t>
  </si>
  <si>
    <t xml:space="preserve">C:\Users\andre\Desktop\REACTIV CEFAS\Saccharin\Saccharin/20201203_Cefas_Test8_Run3/Plate 3/@21/E12_03.tif </t>
  </si>
  <si>
    <t xml:space="preserve"> 57038.0321 </t>
  </si>
  <si>
    <t xml:space="preserve"> 37.7084 </t>
  </si>
  <si>
    <t xml:space="preserve">C:\Users\andre\Desktop\REACTIV CEFAS\Saccharin\Saccharin/20201203_Cefas_Test8_Run3/Plate 3/@21/F12_01.tif </t>
  </si>
  <si>
    <t xml:space="preserve"> 58227.6763 </t>
  </si>
  <si>
    <t xml:space="preserve"> 40.3618 </t>
  </si>
  <si>
    <t xml:space="preserve">C:\Users\andre\Desktop\REACTIV CEFAS\Saccharin\Saccharin/20201203_Cefas_Test8_Run3/Plate 3/@21/F12_02.tif </t>
  </si>
  <si>
    <t xml:space="preserve"> 51327.74 </t>
  </si>
  <si>
    <t xml:space="preserve"> 36.2937 </t>
  </si>
  <si>
    <t xml:space="preserve">C:\Users\andre\Desktop\REACTIV CEFAS\Saccharin\Saccharin/20201203_Cefas_Test8_Run3/Plate 3/@21/F12_03.tif </t>
  </si>
  <si>
    <t xml:space="preserve"> 48753.7825 </t>
  </si>
  <si>
    <t xml:space="preserve"> 36.2893 </t>
  </si>
  <si>
    <t xml:space="preserve">C:\Users\andre\Desktop\REACTIV CEFAS\Saccharin\Saccharin/20201203_Cefas_Test8_Run3/Plate 3/@21/G12_01.tif </t>
  </si>
  <si>
    <t xml:space="preserve"> 16871.3178 </t>
  </si>
  <si>
    <t xml:space="preserve"> 34.6846 </t>
  </si>
  <si>
    <t xml:space="preserve">C:\Users\andre\Desktop\REACTIV CEFAS\Saccharin\Saccharin/20201203_Cefas_Test8_Run3/Plate 3/@21/G12_02.tif </t>
  </si>
  <si>
    <t xml:space="preserve"> 20029.2824 </t>
  </si>
  <si>
    <t xml:space="preserve"> 35.5648 </t>
  </si>
  <si>
    <t xml:space="preserve">C:\Users\andre\Desktop\REACTIV CEFAS\Saccharin\Saccharin/20201203_Cefas_Test8_Run3/Plate 3/@21/G12_03.tif </t>
  </si>
  <si>
    <t xml:space="preserve"> 14059.4315 </t>
  </si>
  <si>
    <t xml:space="preserve"> 35.9846 </t>
  </si>
  <si>
    <t xml:space="preserve">C:\Users\andre\Desktop\REACTIV CEFAS\Saccharin\Saccharin/20201203_Cefas_Test8_Run3/Plate 3/@21/H12_01.tif </t>
  </si>
  <si>
    <t xml:space="preserve"> 1449.2029 </t>
  </si>
  <si>
    <t xml:space="preserve"> 31.7015 </t>
  </si>
  <si>
    <t xml:space="preserve">C:\Users\andre\Desktop\REACTIV CEFAS\Saccharin\Saccharin/20201203_Cefas_Test8_Run3/Plate 3/@21/H12_02.tif </t>
  </si>
  <si>
    <t xml:space="preserve"> 32.6806 </t>
  </si>
  <si>
    <t xml:space="preserve">C:\Users\andre\Desktop\REACTIV CEFAS\Saccharin\Saccharin/20201203_Cefas_Test8_Run3/Plate 3/@21/H12_03.tif </t>
  </si>
  <si>
    <t xml:space="preserve"> 32.1871 </t>
  </si>
  <si>
    <t xml:space="preserve">C:\Users\andre\Desktop\REACTIV CEFAS\Saccharin\Saccharin/20201203_Cefas_Test8_Run3/Plate 3/@21/ </t>
  </si>
  <si>
    <t xml:space="preserve"> 37.9609 </t>
  </si>
  <si>
    <t xml:space="preserve"> 5.0552 </t>
  </si>
  <si>
    <t xml:space="preserve"> 1158681.04 </t>
  </si>
  <si>
    <t xml:space="preserve"> 882901.069 </t>
  </si>
  <si>
    <t xml:space="preserve">C:\Users\andre\Desktop\REACTIV CEFAS\Saccharin\Saccharin/20201203_Cefas_Test8_Run3/Plate 3/@8/A2_01.tif </t>
  </si>
  <si>
    <t xml:space="preserve"> 30.3333 </t>
  </si>
  <si>
    <t xml:space="preserve">C:\Users\andre\Desktop\REACTIV CEFAS\Saccharin\Saccharin/20201203_Cefas_Test8_Run3/Plate 3/@8/A2_02.tif </t>
  </si>
  <si>
    <t xml:space="preserve"> 9344.1145 </t>
  </si>
  <si>
    <t xml:space="preserve"> 38.213 </t>
  </si>
  <si>
    <t>C:\Users\andre\Desktop\REACTIV CEFAS\Saccharin\Saccharin/20201203_Cefas_Test8_Run3/Plate 3/@8/A2_03- exclu.tif</t>
  </si>
  <si>
    <t xml:space="preserve">C:\Users\andre\Desktop\REACTIV CEFAS\Saccharin\Saccharin/20201203_Cefas_Test8_Run3/Plate 3/@8/B2_01.tif </t>
  </si>
  <si>
    <t xml:space="preserve"> 37.7463 </t>
  </si>
  <si>
    <t xml:space="preserve">C:\Users\andre\Desktop\REACTIV CEFAS\Saccharin\Saccharin/20201203_Cefas_Test8_Run3/Plate 3/@8/B2_02.tif </t>
  </si>
  <si>
    <t xml:space="preserve"> 37.4951 </t>
  </si>
  <si>
    <t xml:space="preserve">C:\Users\andre\Desktop\REACTIV CEFAS\Saccharin\Saccharin/20201203_Cefas_Test8_Run3/Plate 3/@8/B2_03.tif </t>
  </si>
  <si>
    <t xml:space="preserve"> 37.1324 </t>
  </si>
  <si>
    <t xml:space="preserve">C:\Users\andre\Desktop\REACTIV CEFAS\Saccharin\Saccharin/20201203_Cefas_Test8_Run3/Plate 3/@8/C2_01.tif </t>
  </si>
  <si>
    <t xml:space="preserve"> 32.3544 </t>
  </si>
  <si>
    <t xml:space="preserve">C:\Users\andre\Desktop\REACTIV CEFAS\Saccharin\Saccharin/20201203_Cefas_Test8_Run3/Plate 3/@8/C2_02.tif </t>
  </si>
  <si>
    <t xml:space="preserve"> 11701.773 </t>
  </si>
  <si>
    <t xml:space="preserve"> 37.5601 </t>
  </si>
  <si>
    <t xml:space="preserve">C:\Users\andre\Desktop\REACTIV CEFAS\Saccharin\Saccharin/20201203_Cefas_Test8_Run3/Plate 3/@8/C2_03.tif </t>
  </si>
  <si>
    <t xml:space="preserve"> 7051.3456 </t>
  </si>
  <si>
    <t xml:space="preserve"> 37.3926 </t>
  </si>
  <si>
    <t xml:space="preserve">C:\Users\andre\Desktop\REACTIV CEFAS\Saccharin\Saccharin/20201203_Cefas_Test8_Run3/Plate 3/@8/D2_01.tif </t>
  </si>
  <si>
    <t xml:space="preserve"> 35.5661 </t>
  </si>
  <si>
    <t xml:space="preserve">C:\Users\andre\Desktop\REACTIV CEFAS\Saccharin\Saccharin/20201203_Cefas_Test8_Run3/Plate 3/@8/D2_02.tif </t>
  </si>
  <si>
    <t xml:space="preserve"> 33.5907 </t>
  </si>
  <si>
    <t xml:space="preserve">C:\Users\andre\Desktop\REACTIV CEFAS\Saccharin\Saccharin/20201203_Cefas_Test8_Run3/Plate 3/@8/D2_03.tif </t>
  </si>
  <si>
    <t xml:space="preserve"> 6424.0787 </t>
  </si>
  <si>
    <t xml:space="preserve"> 39.101 </t>
  </si>
  <si>
    <t xml:space="preserve">C:\Users\andre\Desktop\REACTIV CEFAS\Saccharin\Saccharin/20201203_Cefas_Test8_Run3/Plate 3/@8/E2_01.tif </t>
  </si>
  <si>
    <t xml:space="preserve"> 31.3 </t>
  </si>
  <si>
    <t xml:space="preserve">C:\Users\andre\Desktop\REACTIV CEFAS\Saccharin\Saccharin/20201203_Cefas_Test8_Run3/Plate 3/@8/E2_02.tif </t>
  </si>
  <si>
    <t xml:space="preserve"> 35.6045 </t>
  </si>
  <si>
    <t xml:space="preserve">C:\Users\andre\Desktop\REACTIV CEFAS\Saccharin\Saccharin/20201203_Cefas_Test8_Run3/Plate 3/@8/E2_03.tif </t>
  </si>
  <si>
    <t xml:space="preserve"> 1211.2741 </t>
  </si>
  <si>
    <t xml:space="preserve"> 32.5714 </t>
  </si>
  <si>
    <t>C:\Users\andre\Desktop\REACTIV CEFAS\Saccharin\Saccharin/20201203_Cefas_Test8_Run3/Plate 3/@8/F2_01- exclu.tif</t>
  </si>
  <si>
    <t xml:space="preserve">C:\Users\andre\Desktop\REACTIV CEFAS\Saccharin\Saccharin/20201203_Cefas_Test8_Run3/Plate 3/@8/F2_02.tif </t>
  </si>
  <si>
    <t xml:space="preserve"> 9235.965 </t>
  </si>
  <si>
    <t xml:space="preserve"> 46.3021 </t>
  </si>
  <si>
    <t xml:space="preserve">C:\Users\andre\Desktop\REACTIV CEFAS\Saccharin\Saccharin/20201203_Cefas_Test8_Run3/Plate 3/@8/F2_03.tif </t>
  </si>
  <si>
    <t xml:space="preserve"> 6337.5591 </t>
  </si>
  <si>
    <t xml:space="preserve"> 41.2116 </t>
  </si>
  <si>
    <t xml:space="preserve">C:\Users\andre\Desktop\REACTIV CEFAS\Saccharin\Saccharin/20201203_Cefas_Test8_Run3/Plate 3/@8/G2_01.tif </t>
  </si>
  <si>
    <t xml:space="preserve"> 35.2271 </t>
  </si>
  <si>
    <t xml:space="preserve">C:\Users\andre\Desktop\REACTIV CEFAS\Saccharin\Saccharin/20201203_Cefas_Test8_Run3/Plate 3/@8/G2_02.tif </t>
  </si>
  <si>
    <t xml:space="preserve"> 31.9167 </t>
  </si>
  <si>
    <t xml:space="preserve">C:\Users\andre\Desktop\REACTIV CEFAS\Saccharin\Saccharin/20201203_Cefas_Test8_Run3/Plate 3/@8/G2_03.tif </t>
  </si>
  <si>
    <t xml:space="preserve"> 34.8303 </t>
  </si>
  <si>
    <t xml:space="preserve">C:\Users\andre\Desktop\REACTIV CEFAS\Saccharin\Saccharin/20201203_Cefas_Test8_Run3/Plate 3/@8/H2_01.tif </t>
  </si>
  <si>
    <t xml:space="preserve"> 1903.4307 </t>
  </si>
  <si>
    <t xml:space="preserve"> 34.1364 </t>
  </si>
  <si>
    <t xml:space="preserve">C:\Users\andre\Desktop\REACTIV CEFAS\Saccharin\Saccharin/20201203_Cefas_Test8_Run3/Plate 3/@8/H2_02.tif </t>
  </si>
  <si>
    <t xml:space="preserve"> 4520.648 </t>
  </si>
  <si>
    <t xml:space="preserve"> 37.89 </t>
  </si>
  <si>
    <t xml:space="preserve">C:\Users\andre\Desktop\REACTIV CEFAS\Saccharin\Saccharin/20201203_Cefas_Test8_Run3/Plate 3/@8/H2_03.tif </t>
  </si>
  <si>
    <t xml:space="preserve"> 34.2786 </t>
  </si>
  <si>
    <t xml:space="preserve">C:\Users\andre\Desktop\REACTIV CEFAS\Saccharin\Saccharin/20201203_Cefas_Test8_Run3/Plate 3/@8/ </t>
  </si>
  <si>
    <t xml:space="preserve"> 35.8751 </t>
  </si>
  <si>
    <t xml:space="preserve"> 3.5342 </t>
  </si>
  <si>
    <t xml:space="preserve"> 175605.833 </t>
  </si>
  <si>
    <t xml:space="preserve"> 125031.924 </t>
  </si>
  <si>
    <t>C:\Users\andre\Desktop\REACTIV CEFAS\Saccharin\Saccharin/20201203_Cefas_Test8_Run3/Plate 3/@9/A3_01- exclu.tif</t>
  </si>
  <si>
    <t>C:\Users\andre\Desktop\REACTIV CEFAS\Saccharin\Saccharin/20201203_Cefas_Test8_Run3/Plate 3/@9/A3_02- exclu.tif</t>
  </si>
  <si>
    <t>C:\Users\andre\Desktop\REACTIV CEFAS\Saccharin\Saccharin/20201203_Cefas_Test8_Run3/Plate 3/@9/A3_03- exclu.tif</t>
  </si>
  <si>
    <t xml:space="preserve">C:\Users\andre\Desktop\REACTIV CEFAS\Saccharin\Saccharin/20201203_Cefas_Test8_Run3/Plate 3/@9/B3_01.tif </t>
  </si>
  <si>
    <t xml:space="preserve"> 31.6 </t>
  </si>
  <si>
    <t xml:space="preserve">C:\Users\andre\Desktop\REACTIV CEFAS\Saccharin\Saccharin/20201203_Cefas_Test8_Run3/Plate 3/@9/B3_02.tif </t>
  </si>
  <si>
    <t xml:space="preserve">C:\Users\andre\Desktop\REACTIV CEFAS\Saccharin\Saccharin/20201203_Cefas_Test8_Run3/Plate 3/@9/B3_03.tif </t>
  </si>
  <si>
    <t xml:space="preserve"> 32.3182 </t>
  </si>
  <si>
    <t xml:space="preserve">C:\Users\andre\Desktop\REACTIV CEFAS\Saccharin\Saccharin/20201203_Cefas_Test8_Run3/Plate 3/@9/C3_01.tif </t>
  </si>
  <si>
    <t xml:space="preserve"> 31.505 </t>
  </si>
  <si>
    <t xml:space="preserve">C:\Users\andre\Desktop\REACTIV CEFAS\Saccharin\Saccharin/20201203_Cefas_Test8_Run3/Plate 3/@9/C3_02.tif </t>
  </si>
  <si>
    <t xml:space="preserve"> 34.125 </t>
  </si>
  <si>
    <t xml:space="preserve">C:\Users\andre\Desktop\REACTIV CEFAS\Saccharin\Saccharin/20201203_Cefas_Test8_Run3/Plate 3/@9/C3_03.tif </t>
  </si>
  <si>
    <t xml:space="preserve"> 713.7865 </t>
  </si>
  <si>
    <t xml:space="preserve"> 31.3333 </t>
  </si>
  <si>
    <t xml:space="preserve">C:\Users\andre\Desktop\REACTIV CEFAS\Saccharin\Saccharin/20201203_Cefas_Test8_Run3/Plate 3/@9/D3_01.tif </t>
  </si>
  <si>
    <t xml:space="preserve"> 35.801 </t>
  </si>
  <si>
    <t xml:space="preserve">C:\Users\andre\Desktop\REACTIV CEFAS\Saccharin\Saccharin/20201203_Cefas_Test8_Run3/Plate 3/@9/D3_02.tif </t>
  </si>
  <si>
    <t xml:space="preserve"> 3504.0429 </t>
  </si>
  <si>
    <t xml:space="preserve"> 35.5247 </t>
  </si>
  <si>
    <t xml:space="preserve">C:\Users\andre\Desktop\REACTIV CEFAS\Saccharin\Saccharin/20201203_Cefas_Test8_Run3/Plate 3/@9/D3_03.tif </t>
  </si>
  <si>
    <t xml:space="preserve"> 7029.7158 </t>
  </si>
  <si>
    <t xml:space="preserve"> 39.4738 </t>
  </si>
  <si>
    <t xml:space="preserve">C:\Users\andre\Desktop\REACTIV CEFAS\Saccharin\Saccharin/20201203_Cefas_Test8_Run3/Plate 3/@9/E3_01.tif </t>
  </si>
  <si>
    <t xml:space="preserve"> 36.796 </t>
  </si>
  <si>
    <t xml:space="preserve">C:\Users\andre\Desktop\REACTIV CEFAS\Saccharin\Saccharin/20201203_Cefas_Test8_Run3/Plate 3/@9/E3_02.tif </t>
  </si>
  <si>
    <t xml:space="preserve"> 4888.3562 </t>
  </si>
  <si>
    <t xml:space="preserve"> 37.3407 </t>
  </si>
  <si>
    <t xml:space="preserve">C:\Users\andre\Desktop\REACTIV CEFAS\Saccharin\Saccharin/20201203_Cefas_Test8_Run3/Plate 3/@9/E3_03.tif </t>
  </si>
  <si>
    <t xml:space="preserve"> 7721.8724 </t>
  </si>
  <si>
    <t xml:space="preserve"> 38.4986 </t>
  </si>
  <si>
    <t xml:space="preserve">C:\Users\andre\Desktop\REACTIV CEFAS\Saccharin\Saccharin/20201203_Cefas_Test8_Run3/Plate 3/@9/F3_01.tif </t>
  </si>
  <si>
    <t xml:space="preserve"> 9798.3423 </t>
  </si>
  <si>
    <t xml:space="preserve"> 37.9227 </t>
  </si>
  <si>
    <t xml:space="preserve">C:\Users\andre\Desktop\REACTIV CEFAS\Saccharin\Saccharin/20201203_Cefas_Test8_Run3/Plate 3/@9/F3_02.tif </t>
  </si>
  <si>
    <t xml:space="preserve"> 8824.997 </t>
  </si>
  <si>
    <t xml:space="preserve"> 35.9436 </t>
  </si>
  <si>
    <t xml:space="preserve">C:\Users\andre\Desktop\REACTIV CEFAS\Saccharin\Saccharin/20201203_Cefas_Test8_Run3/Plate 3/@9/F3_03.tif </t>
  </si>
  <si>
    <t xml:space="preserve"> 34.8305 </t>
  </si>
  <si>
    <t xml:space="preserve">C:\Users\andre\Desktop\REACTIV CEFAS\Saccharin\Saccharin/20201203_Cefas_Test8_Run3/Plate 3/@9/G3_01.tif </t>
  </si>
  <si>
    <t xml:space="preserve"> 10836.5772 </t>
  </si>
  <si>
    <t xml:space="preserve">C:\Users\andre\Desktop\REACTIV CEFAS\Saccharin\Saccharin/20201203_Cefas_Test8_Run3/Plate 3/@9/G3_02.tif </t>
  </si>
  <si>
    <t xml:space="preserve">C:\Users\andre\Desktop\REACTIV CEFAS\Saccharin\Saccharin/20201203_Cefas_Test8_Run3/Plate 3/@9/G3_03.tif </t>
  </si>
  <si>
    <t xml:space="preserve"> 40.3804 </t>
  </si>
  <si>
    <t>C:\Users\andre\Desktop\REACTIV CEFAS\Saccharin\Saccharin/20201203_Cefas_Test8_Run3/Plate 3/@9/H3_01- exclu.tif</t>
  </si>
  <si>
    <t>C:\Users\andre\Desktop\REACTIV CEFAS\Saccharin\Saccharin/20201203_Cefas_Test8_Run3/Plate 3/@9/H3_02- exclu.tif</t>
  </si>
  <si>
    <t xml:space="preserve">C:\Users\andre\Desktop\REACTIV CEFAS\Saccharin\Saccharin/20201203_Cefas_Test8_Run3/Plate 3/@9/H3_03.tif </t>
  </si>
  <si>
    <t xml:space="preserve"> 33.8561 </t>
  </si>
  <si>
    <t xml:space="preserve">C:\Users\andre\Desktop\REACTIV CEFAS\Saccharin\Saccharin/20201203_Cefas_Test8_Run3/Plate 3/@9/ </t>
  </si>
  <si>
    <t xml:space="preserve"> 33.3747 </t>
  </si>
  <si>
    <t xml:space="preserve"> 11.3813 </t>
  </si>
  <si>
    <t xml:space="preserve"> 181012.417 </t>
  </si>
  <si>
    <t xml:space="preserve"> 173506.674 </t>
  </si>
  <si>
    <t>SAC-0.01mg/L</t>
  </si>
  <si>
    <t>Chemical</t>
  </si>
  <si>
    <t>SAC</t>
  </si>
  <si>
    <t>SAC-0.1mg/L</t>
  </si>
  <si>
    <t>SAC-1mg/L</t>
  </si>
  <si>
    <t>SAC-10mg/L</t>
  </si>
  <si>
    <t>SAC-100mg/L</t>
  </si>
  <si>
    <t xml:space="preserve">C:\Users\andre\Desktop\REACTIV CEFAS\Saccharin\Saccharin/20201217_Cefas_Test10_Run1/Plate 1/@1/A10_01.tif </t>
  </si>
  <si>
    <t xml:space="preserve"> 39.5348 </t>
  </si>
  <si>
    <t>C:\Users\andre\Desktop\REACTIV CEFAS\Saccharin\Saccharin/20201217_Cefas_Test10_Run1/Plate 1/@1/A10_02- exclu.tif</t>
  </si>
  <si>
    <t xml:space="preserve">C:\Users\andre\Desktop\REACTIV CEFAS\Saccharin\Saccharin/20201217_Cefas_Test10_Run1/Plate 1/@1/A10_03.tif </t>
  </si>
  <si>
    <t xml:space="preserve"> 37.2823 </t>
  </si>
  <si>
    <t xml:space="preserve">C:\Users\andre\Desktop\REACTIV CEFAS\Saccharin\Saccharin/20201217_Cefas_Test10_Run1/Plate 1/@1/A10_04.tif </t>
  </si>
  <si>
    <t xml:space="preserve"> 9365.7444 </t>
  </si>
  <si>
    <t xml:space="preserve"> 37.3048 </t>
  </si>
  <si>
    <t xml:space="preserve">C:\Users\andre\Desktop\REACTIV CEFAS\Saccharin\Saccharin/20201217_Cefas_Test10_Run1/Plate 1/@1/B10_01.tif </t>
  </si>
  <si>
    <t xml:space="preserve"> 34.9157 </t>
  </si>
  <si>
    <t xml:space="preserve">C:\Users\andre\Desktop\REACTIV CEFAS\Saccharin\Saccharin/20201217_Cefas_Test10_Run1/Plate 1/@1/B10_02.tif </t>
  </si>
  <si>
    <t xml:space="preserve"> 4585.5377 </t>
  </si>
  <si>
    <t xml:space="preserve"> 34.0377 </t>
  </si>
  <si>
    <t xml:space="preserve">C:\Users\andre\Desktop\REACTIV CEFAS\Saccharin\Saccharin/20201217_Cefas_Test10_Run1/Plate 1/@1/B10_03.tif </t>
  </si>
  <si>
    <t xml:space="preserve"> 36.0537 </t>
  </si>
  <si>
    <t xml:space="preserve">C:\Users\andre\Desktop\REACTIV CEFAS\Saccharin\Saccharin/20201217_Cefas_Test10_Run1/Plate 1/@1/B10_04.tif </t>
  </si>
  <si>
    <t xml:space="preserve"> 34.1605 </t>
  </si>
  <si>
    <t xml:space="preserve">C:\Users\andre\Desktop\REACTIV CEFAS\Saccharin\Saccharin/20201217_Cefas_Test10_Run1/Plate 1/@1/C10_01.tif </t>
  </si>
  <si>
    <t xml:space="preserve"> 30.2 </t>
  </si>
  <si>
    <t xml:space="preserve">C:\Users\andre\Desktop\REACTIV CEFAS\Saccharin\Saccharin/20201217_Cefas_Test10_Run1/Plate 1/@1/C10_02.tif </t>
  </si>
  <si>
    <t xml:space="preserve"> 8500.5486 </t>
  </si>
  <si>
    <t xml:space="preserve"> 45.5267 </t>
  </si>
  <si>
    <t xml:space="preserve">C:\Users\andre\Desktop\REACTIV CEFAS\Saccharin\Saccharin/20201217_Cefas_Test10_Run1/Plate 1/@1/C10_03.tif </t>
  </si>
  <si>
    <t xml:space="preserve"> 151.4093 </t>
  </si>
  <si>
    <t xml:space="preserve"> 30.7143 </t>
  </si>
  <si>
    <t xml:space="preserve">C:\Users\andre\Desktop\REACTIV CEFAS\Saccharin\Saccharin/20201217_Cefas_Test10_Run1/Plate 1/@1/C10_04.tif </t>
  </si>
  <si>
    <t xml:space="preserve">C:\Users\andre\Desktop\REACTIV CEFAS\Saccharin\Saccharin/20201217_Cefas_Test10_Run1/Plate 1/@1/D10_01.tif </t>
  </si>
  <si>
    <t xml:space="preserve"> 10490.4989 </t>
  </si>
  <si>
    <t xml:space="preserve"> 36.7835 </t>
  </si>
  <si>
    <t xml:space="preserve">C:\Users\andre\Desktop\REACTIV CEFAS\Saccharin\Saccharin/20201217_Cefas_Test10_Run1/Plate 1/@1/D10_02.tif </t>
  </si>
  <si>
    <t xml:space="preserve"> 7743.5023 </t>
  </si>
  <si>
    <t xml:space="preserve"> 38.7709 </t>
  </si>
  <si>
    <t xml:space="preserve">C:\Users\andre\Desktop\REACTIV CEFAS\Saccharin\Saccharin/20201217_Cefas_Test10_Run1/Plate 1/@1/D10_03.tif </t>
  </si>
  <si>
    <t xml:space="preserve"> 10901.4669 </t>
  </si>
  <si>
    <t xml:space="preserve"> 39.9901 </t>
  </si>
  <si>
    <t xml:space="preserve">C:\Users\andre\Desktop\REACTIV CEFAS\Saccharin\Saccharin/20201217_Cefas_Test10_Run1/Plate 1/@1/D10_04.tif </t>
  </si>
  <si>
    <t xml:space="preserve">C:\Users\andre\Desktop\REACTIV CEFAS\Saccharin\Saccharin/20201217_Cefas_Test10_Run1/Plate 1/@1/E10_01.tif </t>
  </si>
  <si>
    <t xml:space="preserve"> 6294.2993 </t>
  </si>
  <si>
    <t xml:space="preserve"> 43.4192 </t>
  </si>
  <si>
    <t xml:space="preserve">C:\Users\andre\Desktop\REACTIV CEFAS\Saccharin\Saccharin/20201217_Cefas_Test10_Run1/Plate 1/@1/E10_02.tif </t>
  </si>
  <si>
    <t xml:space="preserve"> 6575.488 </t>
  </si>
  <si>
    <t xml:space="preserve"> 45.7599 </t>
  </si>
  <si>
    <t xml:space="preserve">C:\Users\andre\Desktop\REACTIV CEFAS\Saccharin\Saccharin/20201217_Cefas_Test10_Run1/Plate 1/@1/E10_03.tif </t>
  </si>
  <si>
    <t xml:space="preserve"> 39.4246 </t>
  </si>
  <si>
    <t xml:space="preserve">C:\Users\andre\Desktop\REACTIV CEFAS\Saccharin\Saccharin/20201217_Cefas_Test10_Run1/Plate 1/@1/E10_04.tif </t>
  </si>
  <si>
    <t xml:space="preserve"> 42.3379 </t>
  </si>
  <si>
    <t xml:space="preserve">C:\Users\andre\Desktop\REACTIV CEFAS\Saccharin\Saccharin/20201217_Cefas_Test10_Run1/Plate 1/@1/F10_01.tif </t>
  </si>
  <si>
    <t xml:space="preserve"> 38.2789 </t>
  </si>
  <si>
    <t xml:space="preserve">C:\Users\andre\Desktop\REACTIV CEFAS\Saccharin\Saccharin/20201217_Cefas_Test10_Run1/Plate 1/@1/F10_02.tif </t>
  </si>
  <si>
    <t xml:space="preserve"> 9646.933 </t>
  </si>
  <si>
    <t xml:space="preserve"> 44.0022 </t>
  </si>
  <si>
    <t xml:space="preserve">C:\Users\andre\Desktop\REACTIV CEFAS\Saccharin\Saccharin/20201217_Cefas_Test10_Run1/Plate 1/@1/F10_03.tif </t>
  </si>
  <si>
    <t xml:space="preserve"> 8803.3671 </t>
  </si>
  <si>
    <t xml:space="preserve"> 41.0885 </t>
  </si>
  <si>
    <t xml:space="preserve">C:\Users\andre\Desktop\REACTIV CEFAS\Saccharin\Saccharin/20201217_Cefas_Test10_Run1/Plate 1/@1/F10_04.tif </t>
  </si>
  <si>
    <t xml:space="preserve"> 6380.8189 </t>
  </si>
  <si>
    <t xml:space="preserve"> 37.7763 </t>
  </si>
  <si>
    <t xml:space="preserve">C:\Users\andre\Desktop\REACTIV CEFAS\Saccharin\Saccharin/20201217_Cefas_Test10_Run1/Plate 1/@1/G10_01.tif </t>
  </si>
  <si>
    <t xml:space="preserve"> 8284.2496 </t>
  </si>
  <si>
    <t xml:space="preserve"> 39.9765 </t>
  </si>
  <si>
    <t xml:space="preserve">C:\Users\andre\Desktop\REACTIV CEFAS\Saccharin\Saccharin/20201217_Cefas_Test10_Run1/Plate 1/@1/G10_02.tif </t>
  </si>
  <si>
    <t xml:space="preserve"> 5904.9612 </t>
  </si>
  <si>
    <t xml:space="preserve"> 37.5788 </t>
  </si>
  <si>
    <t xml:space="preserve">C:\Users\andre\Desktop\REACTIV CEFAS\Saccharin\Saccharin/20201217_Cefas_Test10_Run1/Plate 1/@1/G10_03.tif </t>
  </si>
  <si>
    <t xml:space="preserve"> 37.8284 </t>
  </si>
  <si>
    <t xml:space="preserve">C:\Users\andre\Desktop\REACTIV CEFAS\Saccharin\Saccharin/20201217_Cefas_Test10_Run1/Plate 1/@1/G10_04.tif </t>
  </si>
  <si>
    <t xml:space="preserve"> 11334.0648 </t>
  </si>
  <si>
    <t xml:space="preserve"> 41.7004 </t>
  </si>
  <si>
    <t xml:space="preserve">C:\Users\andre\Desktop\REACTIV CEFAS\Saccharin\Saccharin/20201217_Cefas_Test10_Run1/Plate 1/@1/H10_01.tif </t>
  </si>
  <si>
    <t xml:space="preserve"> 36.2598 </t>
  </si>
  <si>
    <t xml:space="preserve">C:\Users\andre\Desktop\REACTIV CEFAS\Saccharin\Saccharin/20201217_Cefas_Test10_Run1/Plate 1/@1/H10_02.tif </t>
  </si>
  <si>
    <t xml:space="preserve"> 30.375 </t>
  </si>
  <si>
    <t xml:space="preserve">C:\Users\andre\Desktop\REACTIV CEFAS\Saccharin\Saccharin/20201217_Cefas_Test10_Run1/Plate 1/@1/H10_03.tif </t>
  </si>
  <si>
    <t xml:space="preserve"> 40.1843 </t>
  </si>
  <si>
    <t xml:space="preserve">C:\Users\andre\Desktop\REACTIV CEFAS\Saccharin\Saccharin/20201217_Cefas_Test10_Run1/Plate 1/@1/H10_04.tif </t>
  </si>
  <si>
    <t xml:space="preserve"> 39.1603 </t>
  </si>
  <si>
    <t xml:space="preserve">C:\Users\andre\Desktop\REACTIV CEFAS\Saccharin\Saccharin/20201217_Cefas_Test10_Run1/Plate 1/@1/ </t>
  </si>
  <si>
    <t xml:space="preserve"> 36.8441 </t>
  </si>
  <si>
    <t xml:space="preserve"> 7.8914 </t>
  </si>
  <si>
    <t xml:space="preserve"> 233202.75 </t>
  </si>
  <si>
    <t xml:space="preserve"> 137729.762 </t>
  </si>
  <si>
    <t xml:space="preserve">C:\Users\andre\Desktop\REACTIV CEFAS\Saccharin\Saccharin/20201217_Cefas_Test10_Run1/Plate 1/@13/A8_01.tif </t>
  </si>
  <si>
    <t xml:space="preserve"> 7830.0219 </t>
  </si>
  <si>
    <t xml:space="preserve"> 41.1685 </t>
  </si>
  <si>
    <t xml:space="preserve">C:\Users\andre\Desktop\REACTIV CEFAS\Saccharin\Saccharin/20201217_Cefas_Test10_Run1/Plate 1/@13/A8_02.tif </t>
  </si>
  <si>
    <t xml:space="preserve"> 33.6587 </t>
  </si>
  <si>
    <t xml:space="preserve">C:\Users\andre\Desktop\REACTIV CEFAS\Saccharin\Saccharin/20201217_Cefas_Test10_Run1/Plate 1/@13/A8_03.tif </t>
  </si>
  <si>
    <t xml:space="preserve"> 7613.7229 </t>
  </si>
  <si>
    <t xml:space="preserve"> 40.0199 </t>
  </si>
  <si>
    <t xml:space="preserve">C:\Users\andre\Desktop\REACTIV CEFAS\Saccharin\Saccharin/20201217_Cefas_Test10_Run1/Plate 1/@13/A8_04.tif </t>
  </si>
  <si>
    <t xml:space="preserve"> 5039.7654 </t>
  </si>
  <si>
    <t xml:space="preserve"> 35.4292 </t>
  </si>
  <si>
    <t xml:space="preserve">C:\Users\andre\Desktop\REACTIV CEFAS\Saccharin\Saccharin/20201217_Cefas_Test10_Run1/Plate 1/@13/B8_01.tif </t>
  </si>
  <si>
    <t xml:space="preserve"> 42913.7109 </t>
  </si>
  <si>
    <t xml:space="preserve"> 37.5146 </t>
  </si>
  <si>
    <t xml:space="preserve">C:\Users\andre\Desktop\REACTIV CEFAS\Saccharin\Saccharin/20201217_Cefas_Test10_Run1/Plate 1/@13/B8_02.tif </t>
  </si>
  <si>
    <t xml:space="preserve"> 59785.0288 </t>
  </si>
  <si>
    <t xml:space="preserve"> 40.9801 </t>
  </si>
  <si>
    <t xml:space="preserve">C:\Users\andre\Desktop\REACTIV CEFAS\Saccharin\Saccharin/20201217_Cefas_Test10_Run1/Plate 1/@13/B8_03.tif </t>
  </si>
  <si>
    <t xml:space="preserve"> 56951.5126 </t>
  </si>
  <si>
    <t xml:space="preserve"> 38.8982 </t>
  </si>
  <si>
    <t xml:space="preserve">C:\Users\andre\Desktop\REACTIV CEFAS\Saccharin\Saccharin/20201217_Cefas_Test10_Run1/Plate 1/@13/B8_04.tif </t>
  </si>
  <si>
    <t xml:space="preserve"> 41.9385 </t>
  </si>
  <si>
    <t xml:space="preserve">C:\Users\andre\Desktop\REACTIV CEFAS\Saccharin\Saccharin/20201217_Cefas_Test10_Run1/Plate 1/@13/C8_01.tif </t>
  </si>
  <si>
    <t xml:space="preserve"> 45098.3303 </t>
  </si>
  <si>
    <t xml:space="preserve"> 39.1856 </t>
  </si>
  <si>
    <t xml:space="preserve">C:\Users\andre\Desktop\REACTIV CEFAS\Saccharin\Saccharin/20201217_Cefas_Test10_Run1/Plate 1/@13/C8_02.tif </t>
  </si>
  <si>
    <t xml:space="preserve"> 47109.9105 </t>
  </si>
  <si>
    <t xml:space="preserve"> 38.1253 </t>
  </si>
  <si>
    <t xml:space="preserve">C:\Users\andre\Desktop\REACTIV CEFAS\Saccharin\Saccharin/20201217_Cefas_Test10_Run1/Plate 1/@13/C8_03.tif </t>
  </si>
  <si>
    <t xml:space="preserve"> 37.4899 </t>
  </si>
  <si>
    <t xml:space="preserve">C:\Users\andre\Desktop\REACTIV CEFAS\Saccharin\Saccharin/20201217_Cefas_Test10_Run1/Plate 1/@13/C8_04.tif </t>
  </si>
  <si>
    <t xml:space="preserve"> 47672.2878 </t>
  </si>
  <si>
    <t xml:space="preserve"> 38.9088 </t>
  </si>
  <si>
    <t xml:space="preserve">C:\Users\andre\Desktop\REACTIV CEFAS\Saccharin\Saccharin/20201217_Cefas_Test10_Run1/Plate 1/@13/D8_01.tif </t>
  </si>
  <si>
    <t xml:space="preserve"> 54723.6334 </t>
  </si>
  <si>
    <t xml:space="preserve"> 45.0051 </t>
  </si>
  <si>
    <t>C:\Users\andre\Desktop\REACTIV CEFAS\Saccharin\Saccharin/20201217_Cefas_Test10_Run1/Plate 1/@13/D8_02- exclu.tif</t>
  </si>
  <si>
    <t xml:space="preserve">C:\Users\andre\Desktop\REACTIV CEFAS\Saccharin\Saccharin/20201217_Cefas_Test10_Run1/Plate 1/@13/D8_03.tif </t>
  </si>
  <si>
    <t xml:space="preserve"> 54399.185 </t>
  </si>
  <si>
    <t xml:space="preserve"> 45.8537 </t>
  </si>
  <si>
    <t xml:space="preserve">C:\Users\andre\Desktop\REACTIV CEFAS\Saccharin\Saccharin/20201217_Cefas_Test10_Run1/Plate 1/@13/D8_04.tif </t>
  </si>
  <si>
    <t xml:space="preserve"> 51176.3307 </t>
  </si>
  <si>
    <t xml:space="preserve"> 46.9484 </t>
  </si>
  <si>
    <t xml:space="preserve">C:\Users\andre\Desktop\REACTIV CEFAS\Saccharin\Saccharin/20201217_Cefas_Test10_Run1/Plate 1/@13/E8_01.tif </t>
  </si>
  <si>
    <t xml:space="preserve"> 18601.7094 </t>
  </si>
  <si>
    <t xml:space="preserve"> 35.343 </t>
  </si>
  <si>
    <t>C:\Users\andre\Desktop\REACTIV CEFAS\Saccharin\Saccharin/20201217_Cefas_Test10_Run1/Plate 1/@13/E8_02- exclu.tif</t>
  </si>
  <si>
    <t xml:space="preserve">C:\Users\andre\Desktop\REACTIV CEFAS\Saccharin\Saccharin/20201217_Cefas_Test10_Run1/Plate 1/@13/E8_03.tif </t>
  </si>
  <si>
    <t xml:space="preserve"> 23490.0656 </t>
  </si>
  <si>
    <t xml:space="preserve"> 36.0617 </t>
  </si>
  <si>
    <t xml:space="preserve">C:\Users\andre\Desktop\REACTIV CEFAS\Saccharin\Saccharin/20201217_Cefas_Test10_Run1/Plate 1/@13/E8_04.tif </t>
  </si>
  <si>
    <t xml:space="preserve"> 11571.9936 </t>
  </si>
  <si>
    <t xml:space="preserve"> 35.3196 </t>
  </si>
  <si>
    <t>C:\Users\andre\Desktop\REACTIV CEFAS\Saccharin\Saccharin/20201217_Cefas_Test10_Run1/Plate 1/@13/F8_01- exclu.tif</t>
  </si>
  <si>
    <t xml:space="preserve">C:\Users\andre\Desktop\REACTIV CEFAS\Saccharin\Saccharin/20201217_Cefas_Test10_Run1/Plate 1/@13/F8_02.tif </t>
  </si>
  <si>
    <t xml:space="preserve"> 74320.3179 </t>
  </si>
  <si>
    <t xml:space="preserve"> 42.2884 </t>
  </si>
  <si>
    <t xml:space="preserve">C:\Users\andre\Desktop\REACTIV CEFAS\Saccharin\Saccharin/20201217_Cefas_Test10_Run1/Plate 1/@13/F8_03.tif </t>
  </si>
  <si>
    <t xml:space="preserve"> 80333.4287 </t>
  </si>
  <si>
    <t xml:space="preserve"> 44.6117 </t>
  </si>
  <si>
    <t xml:space="preserve">C:\Users\andre\Desktop\REACTIV CEFAS\Saccharin\Saccharin/20201217_Cefas_Test10_Run1/Plate 1/@13/F8_04.tif </t>
  </si>
  <si>
    <t xml:space="preserve"> 78365.1082 </t>
  </si>
  <si>
    <t xml:space="preserve"> 43.4041 </t>
  </si>
  <si>
    <t xml:space="preserve">C:\Users\andre\Desktop\REACTIV CEFAS\Saccharin\Saccharin/20201217_Cefas_Test10_Run1/Plate 1/@13/G8_01.tif </t>
  </si>
  <si>
    <t xml:space="preserve"> 61450.5306 </t>
  </si>
  <si>
    <t xml:space="preserve"> 39.6586 </t>
  </si>
  <si>
    <t xml:space="preserve">C:\Users\andre\Desktop\REACTIV CEFAS\Saccharin\Saccharin/20201217_Cefas_Test10_Run1/Plate 1/@13/G8_02.tif </t>
  </si>
  <si>
    <t xml:space="preserve"> 58487.2351 </t>
  </si>
  <si>
    <t xml:space="preserve"> 39.0074 </t>
  </si>
  <si>
    <t xml:space="preserve">C:\Users\andre\Desktop\REACTIV CEFAS\Saccharin\Saccharin/20201217_Cefas_Test10_Run1/Plate 1/@13/G8_03.tif </t>
  </si>
  <si>
    <t xml:space="preserve"> 64089.3778 </t>
  </si>
  <si>
    <t xml:space="preserve"> 38.9423 </t>
  </si>
  <si>
    <t xml:space="preserve">C:\Users\andre\Desktop\REACTIV CEFAS\Saccharin\Saccharin/20201217_Cefas_Test10_Run1/Plate 1/@13/G8_04.tif </t>
  </si>
  <si>
    <t xml:space="preserve"> 45530.9282 </t>
  </si>
  <si>
    <t xml:space="preserve"> 36.439 </t>
  </si>
  <si>
    <t xml:space="preserve">C:\Users\andre\Desktop\REACTIV CEFAS\Saccharin\Saccharin/20201217_Cefas_Test10_Run1/Plate 1/@13/H8_01.tif </t>
  </si>
  <si>
    <t xml:space="preserve"> 76915.9053 </t>
  </si>
  <si>
    <t xml:space="preserve"> 47.7663 </t>
  </si>
  <si>
    <t>C:\Users\andre\Desktop\REACTIV CEFAS\Saccharin\Saccharin/20201217_Cefas_Test10_Run1/Plate 1/@13/H8_02- exclu.tif</t>
  </si>
  <si>
    <t>C:\Users\andre\Desktop\REACTIV CEFAS\Saccharin\Saccharin/20201217_Cefas_Test10_Run1/Plate 1/@13/H8_03- exclu.tif</t>
  </si>
  <si>
    <t xml:space="preserve">C:\Users\andre\Desktop\REACTIV CEFAS\Saccharin\Saccharin/20201217_Cefas_Test10_Run1/Plate 1/@13/H8_04.tif </t>
  </si>
  <si>
    <t xml:space="preserve"> 92338.0202 </t>
  </si>
  <si>
    <t xml:space="preserve"> 44.0412 </t>
  </si>
  <si>
    <t xml:space="preserve">C:\Users\andre\Desktop\REACTIV CEFAS\Saccharin\Saccharin/20201217_Cefas_Test10_Run1/Plate 1/@13/ </t>
  </si>
  <si>
    <t xml:space="preserve"> 40.4529 </t>
  </si>
  <si>
    <t xml:space="preserve"> 4.3915 </t>
  </si>
  <si>
    <t xml:space="preserve"> 2082927.84 </t>
  </si>
  <si>
    <t xml:space="preserve"> 1204866.54 </t>
  </si>
  <si>
    <t xml:space="preserve">C:\Users\andre\Desktop\REACTIV CEFAS\Saccharin\Saccharin/20201217_Cefas_Test10_Run1/Plate 1/@14/A9_01.tif </t>
  </si>
  <si>
    <t xml:space="preserve"> 22473.4605 </t>
  </si>
  <si>
    <t xml:space="preserve"> 35.6959 </t>
  </si>
  <si>
    <t xml:space="preserve">C:\Users\andre\Desktop\REACTIV CEFAS\Saccharin\Saccharin/20201217_Cefas_Test10_Run1/Plate 1/@14/A9_02.tif </t>
  </si>
  <si>
    <t xml:space="preserve"> 18709.8589 </t>
  </si>
  <si>
    <t xml:space="preserve"> 33.6335 </t>
  </si>
  <si>
    <t xml:space="preserve">C:\Users\andre\Desktop\REACTIV CEFAS\Saccharin\Saccharin/20201217_Cefas_Test10_Run1/Plate 1/@14/A9_03.tif </t>
  </si>
  <si>
    <t xml:space="preserve"> 17758.1435 </t>
  </si>
  <si>
    <t xml:space="preserve"> 34.4056 </t>
  </si>
  <si>
    <t xml:space="preserve">C:\Users\andre\Desktop\REACTIV CEFAS\Saccharin\Saccharin/20201217_Cefas_Test10_Run1/Plate 1/@14/A9_04.tif </t>
  </si>
  <si>
    <t xml:space="preserve"> 21565.0049 </t>
  </si>
  <si>
    <t xml:space="preserve"> 34.5356 </t>
  </si>
  <si>
    <t xml:space="preserve">C:\Users\andre\Desktop\REACTIV CEFAS\Saccharin\Saccharin/20201217_Cefas_Test10_Run1/Plate 1/@14/B9_01.tif </t>
  </si>
  <si>
    <t xml:space="preserve"> 37.2241 </t>
  </si>
  <si>
    <t xml:space="preserve">C:\Users\andre\Desktop\REACTIV CEFAS\Saccharin\Saccharin/20201217_Cefas_Test10_Run1/Plate 1/@14/B9_02.tif </t>
  </si>
  <si>
    <t xml:space="preserve"> 5667.0324 </t>
  </si>
  <si>
    <t xml:space="preserve"> 38.2786 </t>
  </si>
  <si>
    <t xml:space="preserve">C:\Users\andre\Desktop\REACTIV CEFAS\Saccharin\Saccharin/20201217_Cefas_Test10_Run1/Plate 1/@14/B9_03.tif </t>
  </si>
  <si>
    <t xml:space="preserve"> 35.3726 </t>
  </si>
  <si>
    <t xml:space="preserve">C:\Users\andre\Desktop\REACTIV CEFAS\Saccharin\Saccharin/20201217_Cefas_Test10_Run1/Plate 1/@14/B9_04.tif </t>
  </si>
  <si>
    <t xml:space="preserve"> 34.5385 </t>
  </si>
  <si>
    <t xml:space="preserve">C:\Users\andre\Desktop\REACTIV CEFAS\Saccharin\Saccharin/20201217_Cefas_Test10_Run1/Plate 1/@14/C9_01.tif </t>
  </si>
  <si>
    <t xml:space="preserve"> 62229.2068 </t>
  </si>
  <si>
    <t xml:space="preserve"> 39.4692 </t>
  </si>
  <si>
    <t xml:space="preserve">C:\Users\andre\Desktop\REACTIV CEFAS\Saccharin\Saccharin/20201217_Cefas_Test10_Run1/Plate 1/@14/C9_02.tif </t>
  </si>
  <si>
    <t xml:space="preserve"> 54593.854 </t>
  </si>
  <si>
    <t xml:space="preserve"> 38.3494 </t>
  </si>
  <si>
    <t xml:space="preserve">C:\Users\andre\Desktop\REACTIV CEFAS\Saccharin\Saccharin/20201217_Cefas_Test10_Run1/Plate 1/@14/C9_03.tif </t>
  </si>
  <si>
    <t xml:space="preserve"> 67182.4527 </t>
  </si>
  <si>
    <t xml:space="preserve"> 40.925 </t>
  </si>
  <si>
    <t>C:\Users\andre\Desktop\REACTIV CEFAS\Saccharin\Saccharin/20201217_Cefas_Test10_Run1/Plate 1/@14/C9_04- exclu.tif</t>
  </si>
  <si>
    <t xml:space="preserve">C:\Users\andre\Desktop\REACTIV CEFAS\Saccharin\Saccharin/20201217_Cefas_Test10_Run1/Plate 1/@14/D9_01.tif </t>
  </si>
  <si>
    <t xml:space="preserve"> 36.0271 </t>
  </si>
  <si>
    <t>C:\Users\andre\Desktop\REACTIV CEFAS\Saccharin\Saccharin/20201217_Cefas_Test10_Run1/Plate 1/@14/D9_02- exclu.tif</t>
  </si>
  <si>
    <t xml:space="preserve">C:\Users\andre\Desktop\REACTIV CEFAS\Saccharin\Saccharin/20201217_Cefas_Test10_Run1/Plate 1/@14/D9_03.tif </t>
  </si>
  <si>
    <t xml:space="preserve"> 34.6647 </t>
  </si>
  <si>
    <t xml:space="preserve">C:\Users\andre\Desktop\REACTIV CEFAS\Saccharin\Saccharin/20201217_Cefas_Test10_Run1/Plate 1/@14/D9_04.tif </t>
  </si>
  <si>
    <t xml:space="preserve"> 26150.5426 </t>
  </si>
  <si>
    <t xml:space="preserve"> 33.9024 </t>
  </si>
  <si>
    <t xml:space="preserve">C:\Users\andre\Desktop\REACTIV CEFAS\Saccharin\Saccharin/20201217_Cefas_Test10_Run1/Plate 1/@14/E9_01.tif </t>
  </si>
  <si>
    <t xml:space="preserve"> 39.5934 </t>
  </si>
  <si>
    <t xml:space="preserve">C:\Users\andre\Desktop\REACTIV CEFAS\Saccharin\Saccharin/20201217_Cefas_Test10_Run1/Plate 1/@14/E9_02.tif </t>
  </si>
  <si>
    <t xml:space="preserve"> 53014.8717 </t>
  </si>
  <si>
    <t xml:space="preserve"> 40.4264 </t>
  </si>
  <si>
    <t xml:space="preserve">C:\Users\andre\Desktop\REACTIV CEFAS\Saccharin\Saccharin/20201217_Cefas_Test10_Run1/Plate 1/@14/E9_03.tif </t>
  </si>
  <si>
    <t xml:space="preserve"> 50484.1741 </t>
  </si>
  <si>
    <t xml:space="preserve"> 38.91 </t>
  </si>
  <si>
    <t xml:space="preserve">C:\Users\andre\Desktop\REACTIV CEFAS\Saccharin\Saccharin/20201217_Cefas_Test10_Run1/Plate 1/@14/E9_04.tif </t>
  </si>
  <si>
    <t xml:space="preserve"> 52820.2027 </t>
  </si>
  <si>
    <t xml:space="preserve"> 39.959 </t>
  </si>
  <si>
    <t xml:space="preserve">C:\Users\andre\Desktop\REACTIV CEFAS\Saccharin\Saccharin/20201217_Cefas_Test10_Run1/Plate 1/@14/F9_01.tif </t>
  </si>
  <si>
    <t xml:space="preserve"> 48970.0814 </t>
  </si>
  <si>
    <t xml:space="preserve"> 36.8313 </t>
  </si>
  <si>
    <t xml:space="preserve">C:\Users\andre\Desktop\REACTIV CEFAS\Saccharin\Saccharin/20201217_Cefas_Test10_Run1/Plate 1/@14/F9_02.tif </t>
  </si>
  <si>
    <t xml:space="preserve"> 37.5727 </t>
  </si>
  <si>
    <t xml:space="preserve">C:\Users\andre\Desktop\REACTIV CEFAS\Saccharin\Saccharin/20201217_Cefas_Test10_Run1/Plate 1/@14/F9_03.tif </t>
  </si>
  <si>
    <t xml:space="preserve"> 53901.6974 </t>
  </si>
  <si>
    <t xml:space="preserve"> 39.3006 </t>
  </si>
  <si>
    <t xml:space="preserve">C:\Users\andre\Desktop\REACTIV CEFAS\Saccharin\Saccharin/20201217_Cefas_Test10_Run1/Plate 1/@14/F9_04.tif </t>
  </si>
  <si>
    <t xml:space="preserve"> 59179.3917 </t>
  </si>
  <si>
    <t xml:space="preserve"> 39.7971 </t>
  </si>
  <si>
    <t xml:space="preserve">C:\Users\andre\Desktop\REACTIV CEFAS\Saccharin\Saccharin/20201217_Cefas_Test10_Run1/Plate 1/@14/G9_01.tif </t>
  </si>
  <si>
    <t xml:space="preserve"> 62077.7976 </t>
  </si>
  <si>
    <t xml:space="preserve"> 39.5491 </t>
  </si>
  <si>
    <t xml:space="preserve">C:\Users\andre\Desktop\REACTIV CEFAS\Saccharin\Saccharin/20201217_Cefas_Test10_Run1/Plate 1/@14/G9_02.tif </t>
  </si>
  <si>
    <t xml:space="preserve"> 63159.2923 </t>
  </si>
  <si>
    <t xml:space="preserve"> 39.5216 </t>
  </si>
  <si>
    <t xml:space="preserve">C:\Users\andre\Desktop\REACTIV CEFAS\Saccharin\Saccharin/20201217_Cefas_Test10_Run1/Plate 1/@14/G9_03.tif </t>
  </si>
  <si>
    <t xml:space="preserve"> 61645.1997 </t>
  </si>
  <si>
    <t xml:space="preserve"> 40.4291 </t>
  </si>
  <si>
    <t xml:space="preserve">C:\Users\andre\Desktop\REACTIV CEFAS\Saccharin\Saccharin/20201217_Cefas_Test10_Run1/Plate 1/@14/G9_04.tif </t>
  </si>
  <si>
    <t xml:space="preserve"> 39.4338 </t>
  </si>
  <si>
    <t xml:space="preserve">C:\Users\andre\Desktop\REACTIV CEFAS\Saccharin\Saccharin/20201217_Cefas_Test10_Run1/Plate 1/@14/H9_01.tif </t>
  </si>
  <si>
    <t xml:space="preserve"> 54139.6263 </t>
  </si>
  <si>
    <t xml:space="preserve"> 40.0967 </t>
  </si>
  <si>
    <t xml:space="preserve">C:\Users\andre\Desktop\REACTIV CEFAS\Saccharin\Saccharin/20201217_Cefas_Test10_Run1/Plate 1/@14/H9_02.tif </t>
  </si>
  <si>
    <t xml:space="preserve"> 57189.4414 </t>
  </si>
  <si>
    <t xml:space="preserve"> 40.2761 </t>
  </si>
  <si>
    <t xml:space="preserve">C:\Users\andre\Desktop\REACTIV CEFAS\Saccharin\Saccharin/20201217_Cefas_Test10_Run1/Plate 1/@14/H9_03.tif </t>
  </si>
  <si>
    <t xml:space="preserve"> 58811.6835 </t>
  </si>
  <si>
    <t xml:space="preserve"> 41.2711 </t>
  </si>
  <si>
    <t xml:space="preserve">C:\Users\andre\Desktop\REACTIV CEFAS\Saccharin\Saccharin/20201217_Cefas_Test10_Run1/Plate 1/@14/H9_04.tif </t>
  </si>
  <si>
    <t xml:space="preserve"> 55242.7509 </t>
  </si>
  <si>
    <t xml:space="preserve"> 40.0121 </t>
  </si>
  <si>
    <t xml:space="preserve">C:\Users\andre\Desktop\REACTIV CEFAS\Saccharin\Saccharin/20201217_Cefas_Test10_Run1/Plate 1/@14/ </t>
  </si>
  <si>
    <t xml:space="preserve"> 38.015 </t>
  </si>
  <si>
    <t xml:space="preserve"> 2.3291 </t>
  </si>
  <si>
    <t xml:space="preserve"> 1675605.78 </t>
  </si>
  <si>
    <t xml:space="preserve"> 808265.489 </t>
  </si>
  <si>
    <t xml:space="preserve">C:\Users\andre\Desktop\REACTIV CEFAS\Saccharin\Saccharin/20201217_Cefas_Test10_Run1/Plate 1/@15/A11_01.tif </t>
  </si>
  <si>
    <t xml:space="preserve"> 45206.4798 </t>
  </si>
  <si>
    <t xml:space="preserve"> 49.2211 </t>
  </si>
  <si>
    <t xml:space="preserve">C:\Users\andre\Desktop\REACTIV CEFAS\Saccharin\Saccharin/20201217_Cefas_Test10_Run1/Plate 1/@15/A11_02.tif </t>
  </si>
  <si>
    <t xml:space="preserve"> 48797.0423 </t>
  </si>
  <si>
    <t xml:space="preserve"> 46.6418 </t>
  </si>
  <si>
    <t xml:space="preserve">C:\Users\andre\Desktop\REACTIV CEFAS\Saccharin\Saccharin/20201217_Cefas_Test10_Run1/Plate 1/@15/A11_03.tif </t>
  </si>
  <si>
    <t xml:space="preserve"> 43389.5686 </t>
  </si>
  <si>
    <t xml:space="preserve"> 44.7168 </t>
  </si>
  <si>
    <t>C:\Users\andre\Desktop\REACTIV CEFAS\Saccharin\Saccharin/20201217_Cefas_Test10_Run1/Plate 1/@15/A11_04- exclu.tif</t>
  </si>
  <si>
    <t xml:space="preserve">C:\Users\andre\Desktop\REACTIV CEFAS\Saccharin\Saccharin/20201217_Cefas_Test10_Run1/Plate 1/@15/B11_01.tif </t>
  </si>
  <si>
    <t xml:space="preserve"> 49.3197 </t>
  </si>
  <si>
    <t xml:space="preserve">C:\Users\andre\Desktop\REACTIV CEFAS\Saccharin\Saccharin/20201217_Cefas_Test10_Run1/Plate 1/@15/B11_02.tif </t>
  </si>
  <si>
    <t xml:space="preserve"> 69453.5917 </t>
  </si>
  <si>
    <t xml:space="preserve"> 46.3282 </t>
  </si>
  <si>
    <t xml:space="preserve">C:\Users\andre\Desktop\REACTIV CEFAS\Saccharin\Saccharin/20201217_Cefas_Test10_Run1/Plate 1/@15/B11_03.tif </t>
  </si>
  <si>
    <t xml:space="preserve"> 70297.1575 </t>
  </si>
  <si>
    <t xml:space="preserve"> 48.4434 </t>
  </si>
  <si>
    <t xml:space="preserve">C:\Users\andre\Desktop\REACTIV CEFAS\Saccharin\Saccharin/20201217_Cefas_Test10_Run1/Plate 1/@15/B11_04.tif </t>
  </si>
  <si>
    <t xml:space="preserve"> 95906.9528 </t>
  </si>
  <si>
    <t xml:space="preserve"> 39.7869 </t>
  </si>
  <si>
    <t xml:space="preserve">C:\Users\andre\Desktop\REACTIV CEFAS\Saccharin\Saccharin/20201217_Cefas_Test10_Run1/Plate 1/@15/C11_01.tif </t>
  </si>
  <si>
    <t xml:space="preserve"> 72308.7377 </t>
  </si>
  <si>
    <t xml:space="preserve"> 48.9758 </t>
  </si>
  <si>
    <t xml:space="preserve">C:\Users\andre\Desktop\REACTIV CEFAS\Saccharin\Saccharin/20201217_Cefas_Test10_Run1/Plate 1/@15/C11_02.tif </t>
  </si>
  <si>
    <t xml:space="preserve"> 64067.7479 </t>
  </si>
  <si>
    <t xml:space="preserve"> 48.3707 </t>
  </si>
  <si>
    <t xml:space="preserve">C:\Users\andre\Desktop\REACTIV CEFAS\Saccharin\Saccharin/20201217_Cefas_Test10_Run1/Plate 1/@15/C11_03.tif </t>
  </si>
  <si>
    <t xml:space="preserve"> 69258.9226 </t>
  </si>
  <si>
    <t xml:space="preserve"> 47.9216 </t>
  </si>
  <si>
    <t xml:space="preserve">C:\Users\andre\Desktop\REACTIV CEFAS\Saccharin\Saccharin/20201217_Cefas_Test10_Run1/Plate 1/@15/C11_04.tif </t>
  </si>
  <si>
    <t xml:space="preserve"> 68393.7268 </t>
  </si>
  <si>
    <t xml:space="preserve"> 48.7321 </t>
  </si>
  <si>
    <t xml:space="preserve">C:\Users\andre\Desktop\REACTIV CEFAS\Saccharin\Saccharin/20201217_Cefas_Test10_Run1/Plate 1/@15/D11_01.tif </t>
  </si>
  <si>
    <t xml:space="preserve"> 66209.1075 </t>
  </si>
  <si>
    <t xml:space="preserve"> 52.179 </t>
  </si>
  <si>
    <t xml:space="preserve">C:\Users\andre\Desktop\REACTIV CEFAS\Saccharin\Saccharin/20201217_Cefas_Test10_Run1/Plate 1/@15/D11_02.tif </t>
  </si>
  <si>
    <t xml:space="preserve"> 50311.1349 </t>
  </si>
  <si>
    <t xml:space="preserve"> 52.2623 </t>
  </si>
  <si>
    <t xml:space="preserve">C:\Users\andre\Desktop\REACTIV CEFAS\Saccharin\Saccharin/20201217_Cefas_Test10_Run1/Plate 1/@15/D11_03.tif </t>
  </si>
  <si>
    <t xml:space="preserve"> 59417.3205 </t>
  </si>
  <si>
    <t xml:space="preserve"> 51.8056 </t>
  </si>
  <si>
    <t xml:space="preserve">C:\Users\andre\Desktop\REACTIV CEFAS\Saccharin\Saccharin/20201217_Cefas_Test10_Run1/Plate 1/@15/D11_04.tif </t>
  </si>
  <si>
    <t xml:space="preserve"> 86541.2084 </t>
  </si>
  <si>
    <t xml:space="preserve"> 53.2239 </t>
  </si>
  <si>
    <t xml:space="preserve">C:\Users\andre\Desktop\REACTIV CEFAS\Saccharin\Saccharin/20201217_Cefas_Test10_Run1/Plate 1/@15/E11_01.tif </t>
  </si>
  <si>
    <t xml:space="preserve"> 91299.7852 </t>
  </si>
  <si>
    <t xml:space="preserve"> 53.0301 </t>
  </si>
  <si>
    <t>C:\Users\andre\Desktop\REACTIV CEFAS\Saccharin\Saccharin/20201217_Cefas_Test10_Run1/Plate 1/@15/E11_02- exclu.tif</t>
  </si>
  <si>
    <t xml:space="preserve">C:\Users\andre\Desktop\REACTIV CEFAS\Saccharin\Saccharin/20201217_Cefas_Test10_Run1/Plate 1/@15/E11_03.tif </t>
  </si>
  <si>
    <t xml:space="preserve"> 92554.3191 </t>
  </si>
  <si>
    <t xml:space="preserve"> 51.8941 </t>
  </si>
  <si>
    <t>C:\Users\andre\Desktop\REACTIV CEFAS\Saccharin\Saccharin/20201217_Cefas_Test10_Run1/Plate 1/@15/E11_04- exclu.tif</t>
  </si>
  <si>
    <t xml:space="preserve">C:\Users\andre\Desktop\REACTIV CEFAS\Saccharin\Saccharin/20201217_Cefas_Test10_Run1/Plate 1/@15/F11_01.tif </t>
  </si>
  <si>
    <t xml:space="preserve"> 60022.9576 </t>
  </si>
  <si>
    <t xml:space="preserve"> 49.2076 </t>
  </si>
  <si>
    <t xml:space="preserve">C:\Users\andre\Desktop\REACTIV CEFAS\Saccharin\Saccharin/20201217_Cefas_Test10_Run1/Plate 1/@15/F11_02.tif </t>
  </si>
  <si>
    <t xml:space="preserve"> 51.0247 </t>
  </si>
  <si>
    <t xml:space="preserve">C:\Users\andre\Desktop\REACTIV CEFAS\Saccharin\Saccharin/20201217_Cefas_Test10_Run1/Plate 1/@15/F11_03.tif </t>
  </si>
  <si>
    <t xml:space="preserve"> 64586.8654 </t>
  </si>
  <si>
    <t xml:space="preserve"> 48.4588 </t>
  </si>
  <si>
    <t xml:space="preserve">C:\Users\andre\Desktop\REACTIV CEFAS\Saccharin\Saccharin/20201217_Cefas_Test10_Run1/Plate 1/@15/F11_04.tif </t>
  </si>
  <si>
    <t xml:space="preserve"> 68372.0969 </t>
  </si>
  <si>
    <t xml:space="preserve"> 51.745 </t>
  </si>
  <si>
    <t>C:\Users\andre\Desktop\REACTIV CEFAS\Saccharin\Saccharin/20201217_Cefas_Test10_Run1/Plate 1/@15/G11_01- exclu.tif</t>
  </si>
  <si>
    <t>C:\Users\andre\Desktop\REACTIV CEFAS\Saccharin\Saccharin/20201217_Cefas_Test10_Run1/Plate 1/@15/G11_02- exclu.tif</t>
  </si>
  <si>
    <t>C:\Users\andre\Desktop\REACTIV CEFAS\Saccharin\Saccharin/20201217_Cefas_Test10_Run1/Plate 1/@15/G11_03- exclu.tif</t>
  </si>
  <si>
    <t xml:space="preserve">C:\Users\andre\Desktop\REACTIV CEFAS\Saccharin\Saccharin/20201217_Cefas_Test10_Run1/Plate 1/@15/G11_04.tif </t>
  </si>
  <si>
    <t xml:space="preserve"> 43.6184 </t>
  </si>
  <si>
    <t xml:space="preserve">C:\Users\andre\Desktop\REACTIV CEFAS\Saccharin\Saccharin/20201217_Cefas_Test10_Run1/Plate 1/@15/H11_01.tif </t>
  </si>
  <si>
    <t xml:space="preserve"> 89180.0556 </t>
  </si>
  <si>
    <t xml:space="preserve"> 52.1426 </t>
  </si>
  <si>
    <t xml:space="preserve">C:\Users\andre\Desktop\REACTIV CEFAS\Saccharin\Saccharin/20201217_Cefas_Test10_Run1/Plate 1/@15/H11_02.tif </t>
  </si>
  <si>
    <t xml:space="preserve"> 85113.6354 </t>
  </si>
  <si>
    <t xml:space="preserve"> 48.4943 </t>
  </si>
  <si>
    <t xml:space="preserve">C:\Users\andre\Desktop\REACTIV CEFAS\Saccharin\Saccharin/20201217_Cefas_Test10_Run1/Plate 1/@15/H11_03.tif </t>
  </si>
  <si>
    <t xml:space="preserve"> 83037.1655 </t>
  </si>
  <si>
    <t xml:space="preserve"> 46.8755 </t>
  </si>
  <si>
    <t xml:space="preserve">C:\Users\andre\Desktop\REACTIV CEFAS\Saccharin\Saccharin/20201217_Cefas_Test10_Run1/Plate 1/@15/H11_04.tif </t>
  </si>
  <si>
    <t xml:space="preserve"> 91407.9347 </t>
  </si>
  <si>
    <t xml:space="preserve"> 48.4941 </t>
  </si>
  <si>
    <t xml:space="preserve">C:\Users\andre\Desktop\REACTIV CEFAS\Saccharin\Saccharin/20201217_Cefas_Test10_Run1/Plate 1/@15/ </t>
  </si>
  <si>
    <t xml:space="preserve"> 47.5085 </t>
  </si>
  <si>
    <t xml:space="preserve"> 5.7611 </t>
  </si>
  <si>
    <t xml:space="preserve"> 3113422.53 </t>
  </si>
  <si>
    <t xml:space="preserve"> 1237403.33 </t>
  </si>
  <si>
    <t xml:space="preserve">C:\Users\andre\Desktop\REACTIV CEFAS\Saccharin\Saccharin/20201217_Cefas_Test10_Run1/Plate 1/@16/A12_01.tif </t>
  </si>
  <si>
    <t xml:space="preserve"> 2552.3276 </t>
  </si>
  <si>
    <t xml:space="preserve"> 34.2288 </t>
  </si>
  <si>
    <t xml:space="preserve">C:\Users\andre\Desktop\REACTIV CEFAS\Saccharin\Saccharin/20201217_Cefas_Test10_Run1/Plate 1/@16/A12_02.tif </t>
  </si>
  <si>
    <t xml:space="preserve"> 35.3533 </t>
  </si>
  <si>
    <t xml:space="preserve">C:\Users\andre\Desktop\REACTIV CEFAS\Saccharin\Saccharin/20201217_Cefas_Test10_Run1/Plate 1/@16/A12_03.tif </t>
  </si>
  <si>
    <t xml:space="preserve"> 34.5556 </t>
  </si>
  <si>
    <t xml:space="preserve">C:\Users\andre\Desktop\REACTIV CEFAS\Saccharin\Saccharin/20201217_Cefas_Test10_Run1/Plate 1/@16/A12_04.tif </t>
  </si>
  <si>
    <t xml:space="preserve"> 6272.6694 </t>
  </si>
  <si>
    <t xml:space="preserve"> 39.6655 </t>
  </si>
  <si>
    <t xml:space="preserve">C:\Users\andre\Desktop\REACTIV CEFAS\Saccharin\Saccharin/20201217_Cefas_Test10_Run1/Plate 1/@16/B12_01.tif </t>
  </si>
  <si>
    <t xml:space="preserve"> 35.7668 </t>
  </si>
  <si>
    <t xml:space="preserve">C:\Users\andre\Desktop\REACTIV CEFAS\Saccharin\Saccharin/20201217_Cefas_Test10_Run1/Plate 1/@16/B12_02.tif </t>
  </si>
  <si>
    <t xml:space="preserve"> 10339.0896 </t>
  </si>
  <si>
    <t xml:space="preserve"> 40.0188 </t>
  </si>
  <si>
    <t xml:space="preserve">C:\Users\andre\Desktop\REACTIV CEFAS\Saccharin\Saccharin/20201217_Cefas_Test10_Run1/Plate 1/@16/B12_03.tif </t>
  </si>
  <si>
    <t xml:space="preserve"> 39.0601 </t>
  </si>
  <si>
    <t xml:space="preserve">C:\Users\andre\Desktop\REACTIV CEFAS\Saccharin\Saccharin/20201217_Cefas_Test10_Run1/Plate 1/@16/B12_04.tif </t>
  </si>
  <si>
    <t xml:space="preserve"> 35.5755 </t>
  </si>
  <si>
    <t xml:space="preserve">C:\Users\andre\Desktop\REACTIV CEFAS\Saccharin\Saccharin/20201217_Cefas_Test10_Run1/Plate 1/@16/C12_01.tif </t>
  </si>
  <si>
    <t xml:space="preserve"> 6229.4097 </t>
  </si>
  <si>
    <t xml:space="preserve"> 34.7743 </t>
  </si>
  <si>
    <t xml:space="preserve">C:\Users\andre\Desktop\REACTIV CEFAS\Saccharin\Saccharin/20201217_Cefas_Test10_Run1/Plate 1/@16/C12_02.tif </t>
  </si>
  <si>
    <t xml:space="preserve"> 36.5187 </t>
  </si>
  <si>
    <t xml:space="preserve">C:\Users\andre\Desktop\REACTIV CEFAS\Saccharin\Saccharin/20201217_Cefas_Test10_Run1/Plate 1/@16/C12_03.tif </t>
  </si>
  <si>
    <t xml:space="preserve"> 34.9841 </t>
  </si>
  <si>
    <t xml:space="preserve">C:\Users\andre\Desktop\REACTIV CEFAS\Saccharin\Saccharin/20201217_Cefas_Test10_Run1/Plate 1/@16/C12_04.tif </t>
  </si>
  <si>
    <t>C:\Users\andre\Desktop\REACTIV CEFAS\Saccharin\Saccharin/20201217_Cefas_Test10_Run1/Plate 1/@16/D12_01- exclu.tif</t>
  </si>
  <si>
    <t>C:\Users\andre\Desktop\REACTIV CEFAS\Saccharin\Saccharin/20201217_Cefas_Test10_Run1/Plate 1/@16/D12_02- exclu.tif</t>
  </si>
  <si>
    <t xml:space="preserve">C:\Users\andre\Desktop\REACTIV CEFAS\Saccharin\Saccharin/20201217_Cefas_Test10_Run1/Plate 1/@16/D12_03.tif </t>
  </si>
  <si>
    <t xml:space="preserve"> 8370.7692 </t>
  </si>
  <si>
    <t xml:space="preserve"> 38.3798 </t>
  </si>
  <si>
    <t xml:space="preserve">C:\Users\andre\Desktop\REACTIV CEFAS\Saccharin\Saccharin/20201217_Cefas_Test10_Run1/Plate 1/@16/D12_04.tif </t>
  </si>
  <si>
    <t xml:space="preserve"> 33.8952 </t>
  </si>
  <si>
    <t>C:\Users\andre\Desktop\REACTIV CEFAS\Saccharin\Saccharin/20201217_Cefas_Test10_Run1/Plate 1/@16/E12_01- exclu.tif</t>
  </si>
  <si>
    <t xml:space="preserve">C:\Users\andre\Desktop\REACTIV CEFAS\Saccharin\Saccharin/20201217_Cefas_Test10_Run1/Plate 1/@16/E12_02.tif </t>
  </si>
  <si>
    <t xml:space="preserve"> 10728.4277 </t>
  </si>
  <si>
    <t xml:space="preserve"> 44.9577 </t>
  </si>
  <si>
    <t xml:space="preserve">C:\Users\andre\Desktop\REACTIV CEFAS\Saccharin\Saccharin/20201217_Cefas_Test10_Run1/Plate 1/@16/E12_03.tif </t>
  </si>
  <si>
    <t xml:space="preserve"> 46.0403 </t>
  </si>
  <si>
    <t>C:\Users\andre\Desktop\REACTIV CEFAS\Saccharin\Saccharin/20201217_Cefas_Test10_Run1/Plate 1/@16/E12_04- exclu.tif</t>
  </si>
  <si>
    <t xml:space="preserve">C:\Users\andre\Desktop\REACTIV CEFAS\Saccharin\Saccharin/20201217_Cefas_Test10_Run1/Plate 1/@16/F12_01.tif </t>
  </si>
  <si>
    <t xml:space="preserve"> 15292.3355 </t>
  </si>
  <si>
    <t xml:space="preserve"> 42.4059 </t>
  </si>
  <si>
    <t xml:space="preserve">C:\Users\andre\Desktop\REACTIV CEFAS\Saccharin\Saccharin/20201217_Cefas_Test10_Run1/Plate 1/@16/F12_02.tif </t>
  </si>
  <si>
    <t xml:space="preserve"> 13129.346 </t>
  </si>
  <si>
    <t xml:space="preserve"> 42.2768 </t>
  </si>
  <si>
    <t xml:space="preserve">C:\Users\andre\Desktop\REACTIV CEFAS\Saccharin\Saccharin/20201217_Cefas_Test10_Run1/Plate 1/@16/F12_03.tif </t>
  </si>
  <si>
    <t xml:space="preserve"> 12026.2214 </t>
  </si>
  <si>
    <t xml:space="preserve"> 40.4856 </t>
  </si>
  <si>
    <t xml:space="preserve">C:\Users\andre\Desktop\REACTIV CEFAS\Saccharin\Saccharin/20201217_Cefas_Test10_Run1/Plate 1/@16/F12_04.tif </t>
  </si>
  <si>
    <t xml:space="preserve"> 10122.7907 </t>
  </si>
  <si>
    <t xml:space="preserve"> 42.0214 </t>
  </si>
  <si>
    <t>C:\Users\andre\Desktop\REACTIV CEFAS\Saccharin\Saccharin/20201217_Cefas_Test10_Run1/Plate 1/@16/G12_01- exclu.tif</t>
  </si>
  <si>
    <t xml:space="preserve">C:\Users\andre\Desktop\REACTIV CEFAS\Saccharin\Saccharin/20201217_Cefas_Test10_Run1/Plate 1/@16/G12_02.tif </t>
  </si>
  <si>
    <t xml:space="preserve"> 7224.3848 </t>
  </si>
  <si>
    <t xml:space="preserve"> 37.6916 </t>
  </si>
  <si>
    <t xml:space="preserve">C:\Users\andre\Desktop\REACTIV CEFAS\Saccharin\Saccharin/20201217_Cefas_Test10_Run1/Plate 1/@16/G12_03.tif </t>
  </si>
  <si>
    <t xml:space="preserve"> 32.7027 </t>
  </si>
  <si>
    <t xml:space="preserve">C:\Users\andre\Desktop\REACTIV CEFAS\Saccharin\Saccharin/20201217_Cefas_Test10_Run1/Plate 1/@16/G12_04.tif </t>
  </si>
  <si>
    <t xml:space="preserve"> 36.5071 </t>
  </si>
  <si>
    <t xml:space="preserve">C:\Users\andre\Desktop\REACTIV CEFAS\Saccharin\Saccharin/20201217_Cefas_Test10_Run1/Plate 1/@16/H12_01.tif </t>
  </si>
  <si>
    <t xml:space="preserve"> 5926.5911 </t>
  </si>
  <si>
    <t xml:space="preserve"> 42.5292 </t>
  </si>
  <si>
    <t xml:space="preserve">C:\Users\andre\Desktop\REACTIV CEFAS\Saccharin\Saccharin/20201217_Cefas_Test10_Run1/Plate 1/@16/H12_02.tif </t>
  </si>
  <si>
    <t xml:space="preserve"> 2271.1389 </t>
  </si>
  <si>
    <t xml:space="preserve"> 35.3524 </t>
  </si>
  <si>
    <t xml:space="preserve">C:\Users\andre\Desktop\REACTIV CEFAS\Saccharin\Saccharin/20201217_Cefas_Test10_Run1/Plate 1/@16/H12_03.tif </t>
  </si>
  <si>
    <t xml:space="preserve"> 31.2222 </t>
  </si>
  <si>
    <t xml:space="preserve">C:\Users\andre\Desktop\REACTIV CEFAS\Saccharin\Saccharin/20201217_Cefas_Test10_Run1/Plate 1/@16/H12_04.tif </t>
  </si>
  <si>
    <t xml:space="preserve"> 37.8495 </t>
  </si>
  <si>
    <t xml:space="preserve">C:\Users\andre\Desktop\REACTIV CEFAS\Saccharin\Saccharin/20201217_Cefas_Test10_Run1/Plate 1/@16/ </t>
  </si>
  <si>
    <t xml:space="preserve"> 33.9067 </t>
  </si>
  <si>
    <t xml:space="preserve"> 11.7533 </t>
  </si>
  <si>
    <t xml:space="preserve"> 228294.062 </t>
  </si>
  <si>
    <t xml:space="preserve"> 177529.229 </t>
  </si>
  <si>
    <t xml:space="preserve">C:\Users\andre\Desktop\REACTIV CEFAS\Saccharin\Saccharin/20201217_Cefas_Test10_Run1/Plate 1/@2/A2_01.tif </t>
  </si>
  <si>
    <t xml:space="preserve"> 11009.6164 </t>
  </si>
  <si>
    <t xml:space="preserve"> 40.3929 </t>
  </si>
  <si>
    <t xml:space="preserve">C:\Users\andre\Desktop\REACTIV CEFAS\Saccharin\Saccharin/20201217_Cefas_Test10_Run1/Plate 1/@2/A2_02.tif </t>
  </si>
  <si>
    <t xml:space="preserve"> 11680.1431 </t>
  </si>
  <si>
    <t xml:space="preserve"> 37.0463 </t>
  </si>
  <si>
    <t xml:space="preserve">C:\Users\andre\Desktop\REACTIV CEFAS\Saccharin\Saccharin/20201217_Cefas_Test10_Run1/Plate 1/@2/A2_03.tif </t>
  </si>
  <si>
    <t xml:space="preserve"> 11788.2926 </t>
  </si>
  <si>
    <t xml:space="preserve"> 38.6367 </t>
  </si>
  <si>
    <t xml:space="preserve">C:\Users\andre\Desktop\REACTIV CEFAS\Saccharin\Saccharin/20201217_Cefas_Test10_Run1/Plate 1/@2/A2_04.tif </t>
  </si>
  <si>
    <t xml:space="preserve"> 32.5455 </t>
  </si>
  <si>
    <t xml:space="preserve">C:\Users\andre\Desktop\REACTIV CEFAS\Saccharin\Saccharin/20201217_Cefas_Test10_Run1/Plate 1/@2/B2_01.tif </t>
  </si>
  <si>
    <t xml:space="preserve"> 34.8737 </t>
  </si>
  <si>
    <t xml:space="preserve">C:\Users\andre\Desktop\REACTIV CEFAS\Saccharin\Saccharin/20201217_Cefas_Test10_Run1/Plate 1/@2/B2_02.tif </t>
  </si>
  <si>
    <t xml:space="preserve"> 10057.901 </t>
  </si>
  <si>
    <t xml:space="preserve"> 37.0387 </t>
  </si>
  <si>
    <t xml:space="preserve">C:\Users\andre\Desktop\REACTIV CEFAS\Saccharin\Saccharin/20201217_Cefas_Test10_Run1/Plate 1/@2/B2_03.tif </t>
  </si>
  <si>
    <t xml:space="preserve"> 36.1611 </t>
  </si>
  <si>
    <t xml:space="preserve">C:\Users\andre\Desktop\REACTIV CEFAS\Saccharin\Saccharin/20201217_Cefas_Test10_Run1/Plate 1/@2/B2_04.tif </t>
  </si>
  <si>
    <t xml:space="preserve"> 38.0369 </t>
  </si>
  <si>
    <t xml:space="preserve">C:\Users\andre\Desktop\REACTIV CEFAS\Saccharin\Saccharin/20201217_Cefas_Test10_Run1/Plate 1/@2/C2_01.tif </t>
  </si>
  <si>
    <t xml:space="preserve"> 16308.9406 </t>
  </si>
  <si>
    <t xml:space="preserve"> 33.6446 </t>
  </si>
  <si>
    <t>C:\Users\andre\Desktop\REACTIV CEFAS\Saccharin\Saccharin/20201217_Cefas_Test10_Run1/Plate 1/@2/C2_02- exclu.tif</t>
  </si>
  <si>
    <t xml:space="preserve">C:\Users\andre\Desktop\REACTIV CEFAS\Saccharin\Saccharin/20201217_Cefas_Test10_Run1/Plate 1/@2/C2_03.tif </t>
  </si>
  <si>
    <t xml:space="preserve"> 14729.9582 </t>
  </si>
  <si>
    <t xml:space="preserve"> 33.0455 </t>
  </si>
  <si>
    <t xml:space="preserve">C:\Users\andre\Desktop\REACTIV CEFAS\Saccharin\Saccharin/20201217_Cefas_Test10_Run1/Plate 1/@2/C2_04.tif </t>
  </si>
  <si>
    <t xml:space="preserve"> 13648.4635 </t>
  </si>
  <si>
    <t xml:space="preserve"> 32.7258 </t>
  </si>
  <si>
    <t xml:space="preserve">C:\Users\andre\Desktop\REACTIV CEFAS\Saccharin\Saccharin/20201217_Cefas_Test10_Run1/Plate 1/@2/D2_01.tif </t>
  </si>
  <si>
    <t xml:space="preserve"> 9127.8155 </t>
  </si>
  <si>
    <t xml:space="preserve"> 32.7322 </t>
  </si>
  <si>
    <t xml:space="preserve">C:\Users\andre\Desktop\REACTIV CEFAS\Saccharin\Saccharin/20201217_Cefas_Test10_Run1/Plate 1/@2/D2_02.tif </t>
  </si>
  <si>
    <t xml:space="preserve"> 14665.0686 </t>
  </si>
  <si>
    <t xml:space="preserve"> 33.9867 </t>
  </si>
  <si>
    <t xml:space="preserve">C:\Users\andre\Desktop\REACTIV CEFAS\Saccharin\Saccharin/20201217_Cefas_Test10_Run1/Plate 1/@2/D2_03.tif </t>
  </si>
  <si>
    <t xml:space="preserve"> 19380.3856 </t>
  </si>
  <si>
    <t xml:space="preserve"> 35.9509 </t>
  </si>
  <si>
    <t xml:space="preserve">C:\Users\andre\Desktop\REACTIV CEFAS\Saccharin\Saccharin/20201217_Cefas_Test10_Run1/Plate 1/@2/D2_04.tif </t>
  </si>
  <si>
    <t xml:space="preserve"> 9949.7515 </t>
  </si>
  <si>
    <t xml:space="preserve"> 33.213 </t>
  </si>
  <si>
    <t xml:space="preserve">C:\Users\andre\Desktop\REACTIV CEFAS\Saccharin\Saccharin/20201217_Cefas_Test10_Run1/Plate 1/@2/E2_01.tif </t>
  </si>
  <si>
    <t xml:space="preserve"> 39.1203 </t>
  </si>
  <si>
    <t xml:space="preserve">C:\Users\andre\Desktop\REACTIV CEFAS\Saccharin\Saccharin/20201217_Cefas_Test10_Run1/Plate 1/@2/E2_02.tif </t>
  </si>
  <si>
    <t xml:space="preserve"> 8089.5806 </t>
  </si>
  <si>
    <t xml:space="preserve"> 39.9465 </t>
  </si>
  <si>
    <t xml:space="preserve">C:\Users\andre\Desktop\REACTIV CEFAS\Saccharin\Saccharin/20201217_Cefas_Test10_Run1/Plate 1/@2/E2_03.tif </t>
  </si>
  <si>
    <t xml:space="preserve"> 37.5956 </t>
  </si>
  <si>
    <t>C:\Users\andre\Desktop\REACTIV CEFAS\Saccharin\Saccharin/20201217_Cefas_Test10_Run1/Plate 1/@2/E2_04- exclu.tif</t>
  </si>
  <si>
    <t xml:space="preserve">C:\Users\andre\Desktop\REACTIV CEFAS\Saccharin\Saccharin/20201217_Cefas_Test10_Run1/Plate 1/@2/F2_01.tif </t>
  </si>
  <si>
    <t xml:space="preserve"> 24030.8129 </t>
  </si>
  <si>
    <t xml:space="preserve"> 33.6427 </t>
  </si>
  <si>
    <t xml:space="preserve">C:\Users\andre\Desktop\REACTIV CEFAS\Saccharin\Saccharin/20201217_Cefas_Test10_Run1/Plate 1/@2/F2_02.tif </t>
  </si>
  <si>
    <t xml:space="preserve"> 32142.0234 </t>
  </si>
  <si>
    <t xml:space="preserve"> 35.8291 </t>
  </si>
  <si>
    <t xml:space="preserve">C:\Users\andre\Desktop\REACTIV CEFAS\Saccharin\Saccharin/20201217_Cefas_Test10_Run1/Plate 1/@2/F2_03.tif </t>
  </si>
  <si>
    <t xml:space="preserve"> 24485.0407 </t>
  </si>
  <si>
    <t xml:space="preserve"> 35.0168 </t>
  </si>
  <si>
    <t xml:space="preserve">C:\Users\andre\Desktop\REACTIV CEFAS\Saccharin\Saccharin/20201217_Cefas_Test10_Run1/Plate 1/@2/F2_04.tif </t>
  </si>
  <si>
    <t xml:space="preserve"> 18212.3713 </t>
  </si>
  <si>
    <t xml:space="preserve"> 32.0178 </t>
  </si>
  <si>
    <t xml:space="preserve">C:\Users\andre\Desktop\REACTIV CEFAS\Saccharin\Saccharin/20201217_Cefas_Test10_Run1/Plate 1/@2/G2_01.tif </t>
  </si>
  <si>
    <t xml:space="preserve"> 42.2492 </t>
  </si>
  <si>
    <t xml:space="preserve">C:\Users\andre\Desktop\REACTIV CEFAS\Saccharin\Saccharin/20201217_Cefas_Test10_Run1/Plate 1/@2/G2_02.tif </t>
  </si>
  <si>
    <t xml:space="preserve"> 8003.061 </t>
  </si>
  <si>
    <t xml:space="preserve"> 40.2811 </t>
  </si>
  <si>
    <t xml:space="preserve">C:\Users\andre\Desktop\REACTIV CEFAS\Saccharin\Saccharin/20201217_Cefas_Test10_Run1/Plate 1/@2/G2_03.tif </t>
  </si>
  <si>
    <t xml:space="preserve"> 2984.9255 </t>
  </si>
  <si>
    <t xml:space="preserve"> 36.7681 </t>
  </si>
  <si>
    <t xml:space="preserve">C:\Users\andre\Desktop\REACTIV CEFAS\Saccharin\Saccharin/20201217_Cefas_Test10_Run1/Plate 1/@2/G2_04.tif </t>
  </si>
  <si>
    <t xml:space="preserve"> 13432.1646 </t>
  </si>
  <si>
    <t xml:space="preserve"> 36.7214 </t>
  </si>
  <si>
    <t xml:space="preserve">C:\Users\andre\Desktop\REACTIV CEFAS\Saccharin\Saccharin/20201217_Cefas_Test10_Run1/Plate 1/@2/H2_01.tif </t>
  </si>
  <si>
    <t xml:space="preserve"> 9755.0825 </t>
  </si>
  <si>
    <t xml:space="preserve"> 42.133 </t>
  </si>
  <si>
    <t xml:space="preserve">C:\Users\andre\Desktop\REACTIV CEFAS\Saccharin\Saccharin/20201217_Cefas_Test10_Run1/Plate 1/@2/H2_02.tif </t>
  </si>
  <si>
    <t xml:space="preserve"> 44.7176 </t>
  </si>
  <si>
    <t>C:\Users\andre\Desktop\REACTIV CEFAS\Saccharin\Saccharin/20201217_Cefas_Test10_Run1/Plate 1/@2/H2_03- exclu.tif</t>
  </si>
  <si>
    <t>C:\Users\andre\Desktop\REACTIV CEFAS\Saccharin\Saccharin/20201217_Cefas_Test10_Run1/Plate 1/@2/H2_04- exclu.tif</t>
  </si>
  <si>
    <t xml:space="preserve">C:\Users\andre\Desktop\REACTIV CEFAS\Saccharin\Saccharin/20201217_Cefas_Test10_Run1/Plate 1/@2/ </t>
  </si>
  <si>
    <t xml:space="preserve"> 36.7614 </t>
  </si>
  <si>
    <t xml:space="preserve"> 4.146 </t>
  </si>
  <si>
    <t xml:space="preserve"> 417511.719 </t>
  </si>
  <si>
    <t xml:space="preserve"> 261468.016 </t>
  </si>
  <si>
    <t xml:space="preserve">C:\Users\andre\Desktop\REACTIV CEFAS\Saccharin\Saccharin/20201217_Cefas_Test10_Run1/Plate 1/@3/A3_01.tif </t>
  </si>
  <si>
    <t xml:space="preserve"> 34.4381 </t>
  </si>
  <si>
    <t xml:space="preserve">C:\Users\andre\Desktop\REACTIV CEFAS\Saccharin\Saccharin/20201217_Cefas_Test10_Run1/Plate 1/@3/A3_02.tif </t>
  </si>
  <si>
    <t xml:space="preserve"> 34.9479 </t>
  </si>
  <si>
    <t xml:space="preserve">C:\Users\andre\Desktop\REACTIV CEFAS\Saccharin\Saccharin/20201217_Cefas_Test10_Run1/Plate 1/@3/A3_03.tif </t>
  </si>
  <si>
    <t xml:space="preserve"> 16590.1292 </t>
  </si>
  <si>
    <t xml:space="preserve"> 35.5111 </t>
  </si>
  <si>
    <t xml:space="preserve">C:\Users\andre\Desktop\REACTIV CEFAS\Saccharin\Saccharin/20201217_Cefas_Test10_Run1/Plate 1/@3/A3_04.tif </t>
  </si>
  <si>
    <t xml:space="preserve"> 13756.613 </t>
  </si>
  <si>
    <t xml:space="preserve"> 33.1855 </t>
  </si>
  <si>
    <t xml:space="preserve">C:\Users\andre\Desktop\REACTIV CEFAS\Saccharin\Saccharin/20201217_Cefas_Test10_Run1/Plate 1/@3/B3_01.tif </t>
  </si>
  <si>
    <t xml:space="preserve"> 10230.9402 </t>
  </si>
  <si>
    <t xml:space="preserve"> 37.1036 </t>
  </si>
  <si>
    <t xml:space="preserve">C:\Users\andre\Desktop\REACTIV CEFAS\Saccharin\Saccharin/20201217_Cefas_Test10_Run1/Plate 1/@3/B3_02.tif </t>
  </si>
  <si>
    <t xml:space="preserve"> 10641.9082 </t>
  </si>
  <si>
    <t xml:space="preserve"> 37.6829 </t>
  </si>
  <si>
    <t xml:space="preserve">C:\Users\andre\Desktop\REACTIV CEFAS\Saccharin\Saccharin/20201217_Cefas_Test10_Run1/Plate 1/@3/B3_03.tif </t>
  </si>
  <si>
    <t xml:space="preserve"> 13540.314 </t>
  </si>
  <si>
    <t xml:space="preserve"> 37.6182 </t>
  </si>
  <si>
    <t xml:space="preserve">C:\Users\andre\Desktop\REACTIV CEFAS\Saccharin\Saccharin/20201217_Cefas_Test10_Run1/Plate 1/@3/B3_04.tif </t>
  </si>
  <si>
    <t xml:space="preserve"> 12848.1574 </t>
  </si>
  <si>
    <t xml:space="preserve"> 35.7374 </t>
  </si>
  <si>
    <t xml:space="preserve">C:\Users\andre\Desktop\REACTIV CEFAS\Saccharin\Saccharin/20201217_Cefas_Test10_Run1/Plate 1/@3/C3_01.tif </t>
  </si>
  <si>
    <t xml:space="preserve"> 30.6 </t>
  </si>
  <si>
    <t xml:space="preserve">C:\Users\andre\Desktop\REACTIV CEFAS\Saccharin\Saccharin/20201217_Cefas_Test10_Run1/Plate 1/@3/C3_02.tif </t>
  </si>
  <si>
    <t xml:space="preserve"> 45.203 </t>
  </si>
  <si>
    <t>C:\Users\andre\Desktop\REACTIV CEFAS\Saccharin\Saccharin/20201217_Cefas_Test10_Run1/Plate 1/@3/C3_03- exclu.tif</t>
  </si>
  <si>
    <t>C:\Users\andre\Desktop\REACTIV CEFAS\Saccharin\Saccharin/20201217_Cefas_Test10_Run1/Plate 1/@3/C3_04- exclu.tif</t>
  </si>
  <si>
    <t xml:space="preserve">C:\Users\andre\Desktop\REACTIV CEFAS\Saccharin\Saccharin/20201217_Cefas_Test10_Run1/Plate 1/@3/D3_01.tif </t>
  </si>
  <si>
    <t xml:space="preserve"> 41.6477 </t>
  </si>
  <si>
    <t xml:space="preserve">C:\Users\andre\Desktop\REACTIV CEFAS\Saccharin\Saccharin/20201217_Cefas_Test10_Run1/Plate 1/@3/D3_02.tif </t>
  </si>
  <si>
    <t xml:space="preserve"> 39.8882 </t>
  </si>
  <si>
    <t xml:space="preserve">C:\Users\andre\Desktop\REACTIV CEFAS\Saccharin\Saccharin/20201217_Cefas_Test10_Run1/Plate 1/@3/D3_03.tif </t>
  </si>
  <si>
    <t xml:space="preserve"> 389.3381 </t>
  </si>
  <si>
    <t xml:space="preserve">C:\Users\andre\Desktop\REACTIV CEFAS\Saccharin\Saccharin/20201217_Cefas_Test10_Run1/Plate 1/@3/D3_04.tif </t>
  </si>
  <si>
    <t xml:space="preserve"> 5104.6551 </t>
  </si>
  <si>
    <t xml:space="preserve"> 43.661 </t>
  </si>
  <si>
    <t xml:space="preserve">C:\Users\andre\Desktop\REACTIV CEFAS\Saccharin\Saccharin/20201217_Cefas_Test10_Run1/Plate 1/@3/E3_01.tif </t>
  </si>
  <si>
    <t xml:space="preserve"> 40.3105 </t>
  </si>
  <si>
    <t xml:space="preserve">C:\Users\andre\Desktop\REACTIV CEFAS\Saccharin\Saccharin/20201217_Cefas_Test10_Run1/Plate 1/@3/E3_02.tif </t>
  </si>
  <si>
    <t xml:space="preserve"> 40.9239 </t>
  </si>
  <si>
    <t xml:space="preserve">C:\Users\andre\Desktop\REACTIV CEFAS\Saccharin\Saccharin/20201217_Cefas_Test10_Run1/Plate 1/@3/E3_03.tif </t>
  </si>
  <si>
    <t xml:space="preserve"> 12761.6378 </t>
  </si>
  <si>
    <t xml:space="preserve"> 39.2373 </t>
  </si>
  <si>
    <t xml:space="preserve">C:\Users\andre\Desktop\REACTIV CEFAS\Saccharin\Saccharin/20201217_Cefas_Test10_Run1/Plate 1/@3/E3_04.tif </t>
  </si>
  <si>
    <t xml:space="preserve"> 9019.6661 </t>
  </si>
  <si>
    <t xml:space="preserve"> 41.6835 </t>
  </si>
  <si>
    <t xml:space="preserve">C:\Users\andre\Desktop\REACTIV CEFAS\Saccharin\Saccharin/20201217_Cefas_Test10_Run1/Plate 1/@3/F3_01.tif </t>
  </si>
  <si>
    <t xml:space="preserve"> 12199.2606 </t>
  </si>
  <si>
    <t xml:space="preserve"> 40.2979 </t>
  </si>
  <si>
    <t xml:space="preserve">C:\Users\andre\Desktop\REACTIV CEFAS\Saccharin\Saccharin/20201217_Cefas_Test10_Run1/Plate 1/@3/F3_02.tif </t>
  </si>
  <si>
    <t xml:space="preserve"> 8392.3991 </t>
  </si>
  <si>
    <t xml:space="preserve"> 39.0515 </t>
  </si>
  <si>
    <t xml:space="preserve">C:\Users\andre\Desktop\REACTIV CEFAS\Saccharin\Saccharin/20201217_Cefas_Test10_Run1/Plate 1/@3/F3_03.tif </t>
  </si>
  <si>
    <t xml:space="preserve"> 9733.4526 </t>
  </si>
  <si>
    <t xml:space="preserve"> 40.6933 </t>
  </si>
  <si>
    <t xml:space="preserve">C:\Users\andre\Desktop\REACTIV CEFAS\Saccharin\Saccharin/20201217_Cefas_Test10_Run1/Plate 1/@3/F3_04.tif </t>
  </si>
  <si>
    <t xml:space="preserve"> 4823.4665 </t>
  </si>
  <si>
    <t xml:space="preserve"> 40.4619 </t>
  </si>
  <si>
    <t xml:space="preserve">C:\Users\andre\Desktop\REACTIV CEFAS\Saccharin\Saccharin/20201217_Cefas_Test10_Run1/Plate 1/@3/G3_01.tif </t>
  </si>
  <si>
    <t xml:space="preserve"> 1016.605 </t>
  </si>
  <si>
    <t xml:space="preserve"> 33.1277 </t>
  </si>
  <si>
    <t xml:space="preserve">C:\Users\andre\Desktop\REACTIV CEFAS\Saccharin\Saccharin/20201217_Cefas_Test10_Run1/Plate 1/@3/G3_02.tif </t>
  </si>
  <si>
    <t xml:space="preserve">C:\Users\andre\Desktop\REACTIV CEFAS\Saccharin\Saccharin/20201217_Cefas_Test10_Run1/Plate 1/@3/G3_03.tif </t>
  </si>
  <si>
    <t xml:space="preserve">C:\Users\andre\Desktop\REACTIV CEFAS\Saccharin\Saccharin/20201217_Cefas_Test10_Run1/Plate 1/@3/G3_04.tif </t>
  </si>
  <si>
    <t xml:space="preserve"> 43.5216 </t>
  </si>
  <si>
    <t xml:space="preserve">C:\Users\andre\Desktop\REACTIV CEFAS\Saccharin\Saccharin/20201217_Cefas_Test10_Run1/Plate 1/@3/H3_01.tif </t>
  </si>
  <si>
    <t xml:space="preserve"> 38.8605 </t>
  </si>
  <si>
    <t xml:space="preserve">C:\Users\andre\Desktop\REACTIV CEFAS\Saccharin\Saccharin/20201217_Cefas_Test10_Run1/Plate 1/@3/H3_02.tif </t>
  </si>
  <si>
    <t xml:space="preserve"> 10533.7587 </t>
  </si>
  <si>
    <t xml:space="preserve"> 39.2238 </t>
  </si>
  <si>
    <t xml:space="preserve">C:\Users\andre\Desktop\REACTIV CEFAS\Saccharin\Saccharin/20201217_Cefas_Test10_Run1/Plate 1/@3/H3_03.tif </t>
  </si>
  <si>
    <t xml:space="preserve"> 13150.9759 </t>
  </si>
  <si>
    <t xml:space="preserve"> 39.2105 </t>
  </si>
  <si>
    <t xml:space="preserve">C:\Users\andre\Desktop\REACTIV CEFAS\Saccharin\Saccharin/20201217_Cefas_Test10_Run1/Plate 1/@3/H3_04.tif </t>
  </si>
  <si>
    <t xml:space="preserve"> 30.625 </t>
  </si>
  <si>
    <t xml:space="preserve">C:\Users\andre\Desktop\REACTIV CEFAS\Saccharin\Saccharin/20201217_Cefas_Test10_Run1/Plate 1/@3/ </t>
  </si>
  <si>
    <t xml:space="preserve"> 37.1492 </t>
  </si>
  <si>
    <t xml:space="preserve"> 4.4246 </t>
  </si>
  <si>
    <t xml:space="preserve"> 299284.719 </t>
  </si>
  <si>
    <t xml:space="preserve"> 185200.074 </t>
  </si>
  <si>
    <t>C:\Users\andre\Desktop\REACTIV CEFAS\Saccharin\Saccharin/20201217_Cefas_Test10_Run1/Plate 1/@4/A4_01- exclu.tif</t>
  </si>
  <si>
    <t>C:\Users\andre\Desktop\REACTIV CEFAS\Saccharin\Saccharin/20201217_Cefas_Test10_Run1/Plate 1/@4/A4_02- exclu.tif</t>
  </si>
  <si>
    <t>C:\Users\andre\Desktop\REACTIV CEFAS\Saccharin\Saccharin/20201217_Cefas_Test10_Run1/Plate 1/@4/A4_03- exclu.tif</t>
  </si>
  <si>
    <t xml:space="preserve">C:\Users\andre\Desktop\REACTIV CEFAS\Saccharin\Saccharin/20201217_Cefas_Test10_Run1/Plate 1/@4/A4_04.tif </t>
  </si>
  <si>
    <t xml:space="preserve"> 35.4015 </t>
  </si>
  <si>
    <t xml:space="preserve">C:\Users\andre\Desktop\REACTIV CEFAS\Saccharin\Saccharin/20201217_Cefas_Test10_Run1/Plate 1/@4/B4_01.tif </t>
  </si>
  <si>
    <t xml:space="preserve"> 17260.6559 </t>
  </si>
  <si>
    <t xml:space="preserve"> 33.6992 </t>
  </si>
  <si>
    <t>C:\Users\andre\Desktop\REACTIV CEFAS\Saccharin\Saccharin/20201217_Cefas_Test10_Run1/Plate 1/@4/B4_02- exclu.tif</t>
  </si>
  <si>
    <t xml:space="preserve">C:\Users\andre\Desktop\REACTIV CEFAS\Saccharin\Saccharin/20201217_Cefas_Test10_Run1/Plate 1/@4/B4_03.tif </t>
  </si>
  <si>
    <t xml:space="preserve"> 18904.5279 </t>
  </si>
  <si>
    <t xml:space="preserve"> 33.5915 </t>
  </si>
  <si>
    <t xml:space="preserve">C:\Users\andre\Desktop\REACTIV CEFAS\Saccharin\Saccharin/20201217_Cefas_Test10_Run1/Plate 1/@4/B4_04.tif </t>
  </si>
  <si>
    <t xml:space="preserve"> 24571.5603 </t>
  </si>
  <si>
    <t xml:space="preserve"> 33.8477 </t>
  </si>
  <si>
    <t xml:space="preserve">C:\Users\andre\Desktop\REACTIV CEFAS\Saccharin\Saccharin/20201217_Cefas_Test10_Run1/Plate 1/@4/C4_01.tif </t>
  </si>
  <si>
    <t xml:space="preserve"> 70946.0544 </t>
  </si>
  <si>
    <t xml:space="preserve"> 46.3034 </t>
  </si>
  <si>
    <t xml:space="preserve">C:\Users\andre\Desktop\REACTIV CEFAS\Saccharin\Saccharin/20201217_Cefas_Test10_Run1/Plate 1/@4/C4_02.tif </t>
  </si>
  <si>
    <t xml:space="preserve"> 43.4517 </t>
  </si>
  <si>
    <t xml:space="preserve">C:\Users\andre\Desktop\REACTIV CEFAS\Saccharin\Saccharin/20201217_Cefas_Test10_Run1/Plate 1/@4/C4_03.tif </t>
  </si>
  <si>
    <t xml:space="preserve"> 65473.691 </t>
  </si>
  <si>
    <t xml:space="preserve"> 45.5035 </t>
  </si>
  <si>
    <t>C:\Users\andre\Desktop\REACTIV CEFAS\Saccharin\Saccharin/20201217_Cefas_Test10_Run1/Plate 1/@4/C4_04- exclu.tif</t>
  </si>
  <si>
    <t xml:space="preserve">C:\Users\andre\Desktop\REACTIV CEFAS\Saccharin\Saccharin/20201217_Cefas_Test10_Run1/Plate 1/@4/D4_01.tif </t>
  </si>
  <si>
    <t xml:space="preserve"> 18644.9692 </t>
  </si>
  <si>
    <t xml:space="preserve"> 33.1137 </t>
  </si>
  <si>
    <t xml:space="preserve">C:\Users\andre\Desktop\REACTIV CEFAS\Saccharin\Saccharin/20201217_Cefas_Test10_Run1/Plate 1/@4/D4_02.tif </t>
  </si>
  <si>
    <t xml:space="preserve"> 30498.1514 </t>
  </si>
  <si>
    <t xml:space="preserve"> 37.0674 </t>
  </si>
  <si>
    <t xml:space="preserve">C:\Users\andre\Desktop\REACTIV CEFAS\Saccharin\Saccharin/20201217_Cefas_Test10_Run1/Plate 1/@4/D4_03.tif </t>
  </si>
  <si>
    <t xml:space="preserve"> 36.4064 </t>
  </si>
  <si>
    <t xml:space="preserve">C:\Users\andre\Desktop\REACTIV CEFAS\Saccharin\Saccharin/20201217_Cefas_Test10_Run1/Plate 1/@4/D4_04.tif </t>
  </si>
  <si>
    <t xml:space="preserve"> 39777.3762 </t>
  </si>
  <si>
    <t xml:space="preserve"> 36.6476 </t>
  </si>
  <si>
    <t xml:space="preserve">C:\Users\andre\Desktop\REACTIV CEFAS\Saccharin\Saccharin/20201217_Cefas_Test10_Run1/Plate 1/@4/E4_01.tif </t>
  </si>
  <si>
    <t xml:space="preserve"> 17239.026 </t>
  </si>
  <si>
    <t xml:space="preserve"> 33.1857 </t>
  </si>
  <si>
    <t xml:space="preserve">C:\Users\andre\Desktop\REACTIV CEFAS\Saccharin\Saccharin/20201217_Cefas_Test10_Run1/Plate 1/@4/E4_02.tif </t>
  </si>
  <si>
    <t xml:space="preserve"> 29546.4361 </t>
  </si>
  <si>
    <t xml:space="preserve"> 33.8675 </t>
  </si>
  <si>
    <t xml:space="preserve">C:\Users\andre\Desktop\REACTIV CEFAS\Saccharin\Saccharin/20201217_Cefas_Test10_Run1/Plate 1/@4/E4_03.tif </t>
  </si>
  <si>
    <t xml:space="preserve"> 38847.2908 </t>
  </si>
  <si>
    <t xml:space="preserve">C:\Users\andre\Desktop\REACTIV CEFAS\Saccharin\Saccharin/20201217_Cefas_Test10_Run1/Plate 1/@4/E4_04.tif </t>
  </si>
  <si>
    <t xml:space="preserve"> 36251.7034 </t>
  </si>
  <si>
    <t xml:space="preserve"> 34.8455 </t>
  </si>
  <si>
    <t xml:space="preserve">C:\Users\andre\Desktop\REACTIV CEFAS\Saccharin\Saccharin/20201217_Cefas_Test10_Run1/Plate 1/@4/F4_01.tif </t>
  </si>
  <si>
    <t>C:\Users\andre\Desktop\REACTIV CEFAS\Saccharin\Saccharin/20201217_Cefas_Test10_Run1/Plate 1/@4/F4_02- exclu.tif</t>
  </si>
  <si>
    <t xml:space="preserve">C:\Users\andre\Desktop\REACTIV CEFAS\Saccharin\Saccharin/20201217_Cefas_Test10_Run1/Plate 1/@4/F4_03.tif </t>
  </si>
  <si>
    <t xml:space="preserve"> 39.9857 </t>
  </si>
  <si>
    <t>C:\Users\andre\Desktop\REACTIV CEFAS\Saccharin\Saccharin/20201217_Cefas_Test10_Run1/Plate 1/@4/F4_04- exclu.tif</t>
  </si>
  <si>
    <t xml:space="preserve">C:\Users\andre\Desktop\REACTIV CEFAS\Saccharin\Saccharin/20201217_Cefas_Test10_Run1/Plate 1/@4/G4_01.tif </t>
  </si>
  <si>
    <t xml:space="preserve"> 1773.6514 </t>
  </si>
  <si>
    <t xml:space="preserve"> 34.3293 </t>
  </si>
  <si>
    <t xml:space="preserve">C:\Users\andre\Desktop\REACTIV CEFAS\Saccharin\Saccharin/20201217_Cefas_Test10_Run1/Plate 1/@4/G4_02.tif </t>
  </si>
  <si>
    <t xml:space="preserve"> 36.9209 </t>
  </si>
  <si>
    <t xml:space="preserve">C:\Users\andre\Desktop\REACTIV CEFAS\Saccharin\Saccharin/20201217_Cefas_Test10_Run1/Plate 1/@4/G4_03.tif </t>
  </si>
  <si>
    <t xml:space="preserve"> 7246.0147 </t>
  </si>
  <si>
    <t xml:space="preserve"> 38.9582 </t>
  </si>
  <si>
    <t xml:space="preserve">C:\Users\andre\Desktop\REACTIV CEFAS\Saccharin\Saccharin/20201217_Cefas_Test10_Run1/Plate 1/@4/G4_04.tif </t>
  </si>
  <si>
    <t xml:space="preserve"> 12329.0399 </t>
  </si>
  <si>
    <t xml:space="preserve"> 36.7965 </t>
  </si>
  <si>
    <t xml:space="preserve">C:\Users\andre\Desktop\REACTIV CEFAS\Saccharin\Saccharin/20201217_Cefas_Test10_Run1/Plate 1/@4/H4_01.tif </t>
  </si>
  <si>
    <t xml:space="preserve"> 31.831 </t>
  </si>
  <si>
    <t xml:space="preserve">C:\Users\andre\Desktop\REACTIV CEFAS\Saccharin\Saccharin/20201217_Cefas_Test10_Run1/Plate 1/@4/H4_02.tif </t>
  </si>
  <si>
    <t xml:space="preserve"> 31.726 </t>
  </si>
  <si>
    <t xml:space="preserve">C:\Users\andre\Desktop\REACTIV CEFAS\Saccharin\Saccharin/20201217_Cefas_Test10_Run1/Plate 1/@4/H4_03.tif </t>
  </si>
  <si>
    <t xml:space="preserve"> 14556.9191 </t>
  </si>
  <si>
    <t xml:space="preserve"> 35.2006 </t>
  </si>
  <si>
    <t xml:space="preserve">C:\Users\andre\Desktop\REACTIV CEFAS\Saccharin\Saccharin/20201217_Cefas_Test10_Run1/Plate 1/@4/H4_04.tif </t>
  </si>
  <si>
    <t xml:space="preserve"> 33.6253 </t>
  </si>
  <si>
    <t xml:space="preserve">C:\Users\andre\Desktop\REACTIV CEFAS\Saccharin\Saccharin/20201217_Cefas_Test10_Run1/Plate 1/@4/ </t>
  </si>
  <si>
    <t xml:space="preserve"> 36.9123 </t>
  </si>
  <si>
    <t xml:space="preserve"> 4.462 </t>
  </si>
  <si>
    <t xml:space="preserve"> 948028.094 </t>
  </si>
  <si>
    <t xml:space="preserve"> 921359.489 </t>
  </si>
  <si>
    <t xml:space="preserve">C:\Users\andre\Desktop\REACTIV CEFAS\Saccharin\Saccharin/20201217_Cefas_Test10_Run1/Plate 1/@5/A5_01.tif </t>
  </si>
  <si>
    <t xml:space="preserve"> 45141.5901 </t>
  </si>
  <si>
    <t xml:space="preserve"> 39.3876 </t>
  </si>
  <si>
    <t xml:space="preserve">C:\Users\andre\Desktop\REACTIV CEFAS\Saccharin\Saccharin/20201217_Cefas_Test10_Run1/Plate 1/@5/A5_02.tif </t>
  </si>
  <si>
    <t xml:space="preserve"> 58963.0928 </t>
  </si>
  <si>
    <t xml:space="preserve"> 41.3683 </t>
  </si>
  <si>
    <t>C:\Users\andre\Desktop\REACTIV CEFAS\Saccharin\Saccharin/20201217_Cefas_Test10_Run1/Plate 1/@5/A5_03- exclu.tif</t>
  </si>
  <si>
    <t xml:space="preserve">C:\Users\andre\Desktop\REACTIV CEFAS\Saccharin\Saccharin/20201217_Cefas_Test10_Run1/Plate 1/@5/A5_04.tif </t>
  </si>
  <si>
    <t xml:space="preserve"> 40880.5008 </t>
  </si>
  <si>
    <t xml:space="preserve"> 38.0127 </t>
  </si>
  <si>
    <t xml:space="preserve">C:\Users\andre\Desktop\REACTIV CEFAS\Saccharin\Saccharin/20201217_Cefas_Test10_Run1/Plate 1/@5/B5_01.tif </t>
  </si>
  <si>
    <t xml:space="preserve"> 67377.1218 </t>
  </si>
  <si>
    <t xml:space="preserve"> 42.8263 </t>
  </si>
  <si>
    <t xml:space="preserve">C:\Users\andre\Desktop\REACTIV CEFAS\Saccharin\Saccharin/20201217_Cefas_Test10_Run1/Plate 1/@5/B5_02.tif </t>
  </si>
  <si>
    <t xml:space="preserve"> 57708.5589 </t>
  </si>
  <si>
    <t xml:space="preserve"> 44.096 </t>
  </si>
  <si>
    <t xml:space="preserve">C:\Users\andre\Desktop\REACTIV CEFAS\Saccharin\Saccharin/20201217_Cefas_Test10_Run1/Plate 1/@5/B5_03.tif </t>
  </si>
  <si>
    <t xml:space="preserve"> 61731.7193 </t>
  </si>
  <si>
    <t xml:space="preserve"> 40.6997 </t>
  </si>
  <si>
    <t xml:space="preserve">C:\Users\andre\Desktop\REACTIV CEFAS\Saccharin\Saccharin/20201217_Cefas_Test10_Run1/Plate 1/@5/B5_04.tif </t>
  </si>
  <si>
    <t xml:space="preserve"> 62315.7264 </t>
  </si>
  <si>
    <t xml:space="preserve"> 41.1236 </t>
  </si>
  <si>
    <t xml:space="preserve">C:\Users\andre\Desktop\REACTIV CEFAS\Saccharin\Saccharin/20201217_Cefas_Test10_Run1/Plate 1/@5/C5_01.tif </t>
  </si>
  <si>
    <t xml:space="preserve"> 76115.5992 </t>
  </si>
  <si>
    <t xml:space="preserve"> 38.7548 </t>
  </si>
  <si>
    <t>C:\Users\andre\Desktop\REACTIV CEFAS\Saccharin\Saccharin/20201217_Cefas_Test10_Run1/Plate 1/@5/C5_02- exclu.tif</t>
  </si>
  <si>
    <t>C:\Users\andre\Desktop\REACTIV CEFAS\Saccharin\Saccharin/20201217_Cefas_Test10_Run1/Plate 1/@5/C5_03- exclu.tif</t>
  </si>
  <si>
    <t xml:space="preserve">C:\Users\andre\Desktop\REACTIV CEFAS\Saccharin\Saccharin/20201217_Cefas_Test10_Run1/Plate 1/@5/C5_04.tif </t>
  </si>
  <si>
    <t xml:space="preserve"> 45.2896 </t>
  </si>
  <si>
    <t xml:space="preserve">C:\Users\andre\Desktop\REACTIV CEFAS\Saccharin\Saccharin/20201217_Cefas_Test10_Run1/Plate 1/@5/D5_01.tif </t>
  </si>
  <si>
    <t xml:space="preserve"> 43.2514 </t>
  </si>
  <si>
    <t xml:space="preserve">C:\Users\andre\Desktop\REACTIV CEFAS\Saccharin\Saccharin/20201217_Cefas_Test10_Run1/Plate 1/@5/D5_02.tif </t>
  </si>
  <si>
    <t xml:space="preserve"> 52495.7543 </t>
  </si>
  <si>
    <t xml:space="preserve"> 42.2921 </t>
  </si>
  <si>
    <t xml:space="preserve">C:\Users\andre\Desktop\REACTIV CEFAS\Saccharin\Saccharin/20201217_Cefas_Test10_Run1/Plate 1/@5/D5_03.tif </t>
  </si>
  <si>
    <t xml:space="preserve"> 59374.0608 </t>
  </si>
  <si>
    <t xml:space="preserve"> 43.3701 </t>
  </si>
  <si>
    <t xml:space="preserve">C:\Users\andre\Desktop\REACTIV CEFAS\Saccharin\Saccharin/20201217_Cefas_Test10_Run1/Plate 1/@5/D5_04.tif </t>
  </si>
  <si>
    <t xml:space="preserve"> 49489.1989 </t>
  </si>
  <si>
    <t xml:space="preserve"> 43.7076 </t>
  </si>
  <si>
    <t xml:space="preserve">C:\Users\andre\Desktop\REACTIV CEFAS\Saccharin\Saccharin/20201217_Cefas_Test10_Run1/Plate 1/@5/E5_01.tif </t>
  </si>
  <si>
    <t xml:space="preserve"> 58011.3774 </t>
  </si>
  <si>
    <t xml:space="preserve"> 40.2946 </t>
  </si>
  <si>
    <t xml:space="preserve">C:\Users\andre\Desktop\REACTIV CEFAS\Saccharin\Saccharin/20201217_Cefas_Test10_Run1/Plate 1/@5/E5_02.tif </t>
  </si>
  <si>
    <t xml:space="preserve"> 39.9979 </t>
  </si>
  <si>
    <t>C:\Users\andre\Desktop\REACTIV CEFAS\Saccharin\Saccharin/20201217_Cefas_Test10_Run1/Plate 1/@5/E5_03- exclu.tif</t>
  </si>
  <si>
    <t xml:space="preserve">C:\Users\andre\Desktop\REACTIV CEFAS\Saccharin\Saccharin/20201217_Cefas_Test10_Run1/Plate 1/@5/E5_04.tif </t>
  </si>
  <si>
    <t xml:space="preserve"> 41594.2874 </t>
  </si>
  <si>
    <t xml:space="preserve"> 35.3521 </t>
  </si>
  <si>
    <t xml:space="preserve">C:\Users\andre\Desktop\REACTIV CEFAS\Saccharin\Saccharin/20201217_Cefas_Test10_Run1/Plate 1/@5/F5_01.tif </t>
  </si>
  <si>
    <t xml:space="preserve"> 83534.6531 </t>
  </si>
  <si>
    <t xml:space="preserve"> 44.3915 </t>
  </si>
  <si>
    <t xml:space="preserve">C:\Users\andre\Desktop\REACTIV CEFAS\Saccharin\Saccharin/20201217_Cefas_Test10_Run1/Plate 1/@5/F5_02.tif </t>
  </si>
  <si>
    <t xml:space="preserve"> 77932.5103 </t>
  </si>
  <si>
    <t xml:space="preserve"> 42.7386 </t>
  </si>
  <si>
    <t xml:space="preserve">C:\Users\andre\Desktop\REACTIV CEFAS\Saccharin\Saccharin/20201217_Cefas_Test10_Run1/Plate 1/@5/F5_03.tif </t>
  </si>
  <si>
    <t xml:space="preserve"> 79771.0514 </t>
  </si>
  <si>
    <t xml:space="preserve"> 44.5911 </t>
  </si>
  <si>
    <t xml:space="preserve">C:\Users\andre\Desktop\REACTIV CEFAS\Saccharin\Saccharin/20201217_Cefas_Test10_Run1/Plate 1/@5/F5_04.tif </t>
  </si>
  <si>
    <t xml:space="preserve"> 88033.6711 </t>
  </si>
  <si>
    <t xml:space="preserve"> 44.9727 </t>
  </si>
  <si>
    <t xml:space="preserve">C:\Users\andre\Desktop\REACTIV CEFAS\Saccharin\Saccharin/20201217_Cefas_Test10_Run1/Plate 1/@5/G5_01.tif </t>
  </si>
  <si>
    <t xml:space="preserve"> 13497.0542 </t>
  </si>
  <si>
    <t xml:space="preserve"> 33.8766 </t>
  </si>
  <si>
    <t xml:space="preserve">C:\Users\andre\Desktop\REACTIV CEFAS\Saccharin\Saccharin/20201217_Cefas_Test10_Run1/Plate 1/@5/G5_02.tif </t>
  </si>
  <si>
    <t xml:space="preserve"> 37073.6394 </t>
  </si>
  <si>
    <t xml:space="preserve"> 36.0963 </t>
  </si>
  <si>
    <t xml:space="preserve">C:\Users\andre\Desktop\REACTIV CEFAS\Saccharin\Saccharin/20201217_Cefas_Test10_Run1/Plate 1/@5/G5_03.tif </t>
  </si>
  <si>
    <t xml:space="preserve"> 34867.3901 </t>
  </si>
  <si>
    <t xml:space="preserve"> 36.9082 </t>
  </si>
  <si>
    <t xml:space="preserve">C:\Users\andre\Desktop\REACTIV CEFAS\Saccharin\Saccharin/20201217_Cefas_Test10_Run1/Plate 1/@5/G5_04.tif </t>
  </si>
  <si>
    <t xml:space="preserve"> 33.6591 </t>
  </si>
  <si>
    <t xml:space="preserve">C:\Users\andre\Desktop\REACTIV CEFAS\Saccharin\Saccharin/20201217_Cefas_Test10_Run1/Plate 1/@5/H5_01.tif </t>
  </si>
  <si>
    <t xml:space="preserve"> 973.3453 </t>
  </si>
  <si>
    <t xml:space="preserve"> 31.3556 </t>
  </si>
  <si>
    <t>C:\Users\andre\Desktop\REACTIV CEFAS\Saccharin\Saccharin/20201217_Cefas_Test10_Run1/Plate 1/@5/H5_02- exclu.tif</t>
  </si>
  <si>
    <t>C:\Users\andre\Desktop\REACTIV CEFAS\Saccharin\Saccharin/20201217_Cefas_Test10_Run1/Plate 1/@5/H5_03- exclu.tif</t>
  </si>
  <si>
    <t>C:\Users\andre\Desktop\REACTIV CEFAS\Saccharin\Saccharin/20201217_Cefas_Test10_Run1/Plate 1/@5/H5_04- exclu.tif</t>
  </si>
  <si>
    <t xml:space="preserve">C:\Users\andre\Desktop\REACTIV CEFAS\Saccharin\Saccharin/20201217_Cefas_Test10_Run1/Plate 1/@5/ </t>
  </si>
  <si>
    <t xml:space="preserve"> 41.1186 </t>
  </si>
  <si>
    <t xml:space="preserve"> 3.874 </t>
  </si>
  <si>
    <t xml:space="preserve"> 2178940.12 </t>
  </si>
  <si>
    <t xml:space="preserve"> 1120797.4 </t>
  </si>
  <si>
    <t xml:space="preserve">C:\Users\andre\Desktop\REACTIV CEFAS\Saccharin\Saccharin/20201217_Cefas_Test10_Run1/Plate 1/@6/A6_01.tif </t>
  </si>
  <si>
    <t xml:space="preserve"> 56518.9147 </t>
  </si>
  <si>
    <t xml:space="preserve"> 43.1871 </t>
  </si>
  <si>
    <t xml:space="preserve">C:\Users\andre\Desktop\REACTIV CEFAS\Saccharin\Saccharin/20201217_Cefas_Test10_Run1/Plate 1/@6/A6_02.tif </t>
  </si>
  <si>
    <t xml:space="preserve"> 62769.9542 </t>
  </si>
  <si>
    <t xml:space="preserve"> 46.0152 </t>
  </si>
  <si>
    <t xml:space="preserve">C:\Users\andre\Desktop\REACTIV CEFAS\Saccharin\Saccharin/20201217_Cefas_Test10_Run1/Plate 1/@6/A6_03.tif </t>
  </si>
  <si>
    <t xml:space="preserve"> 63808.1892 </t>
  </si>
  <si>
    <t xml:space="preserve"> 47.2071 </t>
  </si>
  <si>
    <t xml:space="preserve">C:\Users\andre\Desktop\REACTIV CEFAS\Saccharin\Saccharin/20201217_Cefas_Test10_Run1/Plate 1/@6/A6_04.tif </t>
  </si>
  <si>
    <t xml:space="preserve"> 64911.3138 </t>
  </si>
  <si>
    <t xml:space="preserve"> 45.5811 </t>
  </si>
  <si>
    <t xml:space="preserve">C:\Users\andre\Desktop\REACTIV CEFAS\Saccharin\Saccharin/20201217_Cefas_Test10_Run1/Plate 1/@6/B6_01.tif </t>
  </si>
  <si>
    <t xml:space="preserve"> 46.3974 </t>
  </si>
  <si>
    <t xml:space="preserve">C:\Users\andre\Desktop\REACTIV CEFAS\Saccharin\Saccharin/20201217_Cefas_Test10_Run1/Plate 1/@6/B6_02.tif </t>
  </si>
  <si>
    <t xml:space="preserve"> 53923.3273 </t>
  </si>
  <si>
    <t xml:space="preserve"> 45.7148 </t>
  </si>
  <si>
    <t xml:space="preserve">C:\Users\andre\Desktop\REACTIV CEFAS\Saccharin\Saccharin/20201217_Cefas_Test10_Run1/Plate 1/@6/B6_03.tif </t>
  </si>
  <si>
    <t xml:space="preserve"> 55069.7117 </t>
  </si>
  <si>
    <t xml:space="preserve"> 47.9666 </t>
  </si>
  <si>
    <t xml:space="preserve">C:\Users\andre\Desktop\REACTIV CEFAS\Saccharin\Saccharin/20201217_Cefas_Test10_Run1/Plate 1/@6/B6_04.tif </t>
  </si>
  <si>
    <t xml:space="preserve"> 57665.2991 </t>
  </si>
  <si>
    <t xml:space="preserve"> 47.323 </t>
  </si>
  <si>
    <t>C:\Users\andre\Desktop\REACTIV CEFAS\Saccharin\Saccharin/20201217_Cefas_Test10_Run1/Plate 1/@6/C6_01- exclu.tif</t>
  </si>
  <si>
    <t>C:\Users\andre\Desktop\REACTIV CEFAS\Saccharin\Saccharin/20201217_Cefas_Test10_Run1/Plate 1/@6/C6_02- exclu.tif</t>
  </si>
  <si>
    <t xml:space="preserve">C:\Users\andre\Desktop\REACTIV CEFAS\Saccharin\Saccharin/20201217_Cefas_Test10_Run1/Plate 1/@6/C6_03.tif </t>
  </si>
  <si>
    <t xml:space="preserve"> 73000.8944 </t>
  </si>
  <si>
    <t xml:space="preserve"> 43.1292 </t>
  </si>
  <si>
    <t xml:space="preserve">C:\Users\andre\Desktop\REACTIV CEFAS\Saccharin\Saccharin/20201217_Cefas_Test10_Run1/Plate 1/@6/C6_04.tif </t>
  </si>
  <si>
    <t xml:space="preserve"> 82539.6779 </t>
  </si>
  <si>
    <t xml:space="preserve"> 41.5629 </t>
  </si>
  <si>
    <t xml:space="preserve">C:\Users\andre\Desktop\REACTIV CEFAS\Saccharin\Saccharin/20201217_Cefas_Test10_Run1/Plate 1/@6/D6_01.tif </t>
  </si>
  <si>
    <t xml:space="preserve"> 63202.5521 </t>
  </si>
  <si>
    <t xml:space="preserve"> 47.8409 </t>
  </si>
  <si>
    <t xml:space="preserve">C:\Users\andre\Desktop\REACTIV CEFAS\Saccharin\Saccharin/20201217_Cefas_Test10_Run1/Plate 1/@6/D6_02.tif </t>
  </si>
  <si>
    <t xml:space="preserve"> 62034.5378 </t>
  </si>
  <si>
    <t xml:space="preserve"> 46.6974 </t>
  </si>
  <si>
    <t xml:space="preserve">C:\Users\andre\Desktop\REACTIV CEFAS\Saccharin\Saccharin/20201217_Cefas_Test10_Run1/Plate 1/@6/D6_03.tif </t>
  </si>
  <si>
    <t xml:space="preserve"> 65495.3209 </t>
  </si>
  <si>
    <t xml:space="preserve"> 47.0337 </t>
  </si>
  <si>
    <t xml:space="preserve">C:\Users\andre\Desktop\REACTIV CEFAS\Saccharin\Saccharin/20201217_Cefas_Test10_Run1/Plate 1/@6/D6_04.tif </t>
  </si>
  <si>
    <t xml:space="preserve"> 64219.1572 </t>
  </si>
  <si>
    <t xml:space="preserve"> 46.7686 </t>
  </si>
  <si>
    <t xml:space="preserve">C:\Users\andre\Desktop\REACTIV CEFAS\Saccharin\Saccharin/20201217_Cefas_Test10_Run1/Plate 1/@6/E6_01.tif </t>
  </si>
  <si>
    <t xml:space="preserve"> 50938.4019 </t>
  </si>
  <si>
    <t xml:space="preserve"> 43.0047 </t>
  </si>
  <si>
    <t xml:space="preserve">C:\Users\andre\Desktop\REACTIV CEFAS\Saccharin\Saccharin/20201217_Cefas_Test10_Run1/Plate 1/@6/E6_02.tif </t>
  </si>
  <si>
    <t xml:space="preserve"> 57859.9681 </t>
  </si>
  <si>
    <t xml:space="preserve"> 44.5607 </t>
  </si>
  <si>
    <t xml:space="preserve">C:\Users\andre\Desktop\REACTIV CEFAS\Saccharin\Saccharin/20201217_Cefas_Test10_Run1/Plate 1/@6/E6_03.tif </t>
  </si>
  <si>
    <t xml:space="preserve"> 48213.0351 </t>
  </si>
  <si>
    <t xml:space="preserve"> 44.4154 </t>
  </si>
  <si>
    <t xml:space="preserve">C:\Users\andre\Desktop\REACTIV CEFAS\Saccharin\Saccharin/20201217_Cefas_Test10_Run1/Plate 1/@6/E6_04.tif </t>
  </si>
  <si>
    <t xml:space="preserve"> 56605.4342 </t>
  </si>
  <si>
    <t xml:space="preserve"> 43.3481 </t>
  </si>
  <si>
    <t xml:space="preserve">C:\Users\andre\Desktop\REACTIV CEFAS\Saccharin\Saccharin/20201217_Cefas_Test10_Run1/Plate 1/@6/F6_01.tif </t>
  </si>
  <si>
    <t xml:space="preserve"> 78451.6278 </t>
  </si>
  <si>
    <t xml:space="preserve"> 45.0543 </t>
  </si>
  <si>
    <t xml:space="preserve">C:\Users\andre\Desktop\REACTIV CEFAS\Saccharin\Saccharin/20201217_Cefas_Test10_Run1/Plate 1/@6/F6_02.tif </t>
  </si>
  <si>
    <t xml:space="preserve"> 70080.8586 </t>
  </si>
  <si>
    <t xml:space="preserve"> 45.7179 </t>
  </si>
  <si>
    <t xml:space="preserve">C:\Users\andre\Desktop\REACTIV CEFAS\Saccharin\Saccharin/20201217_Cefas_Test10_Run1/Plate 1/@6/F6_03.tif </t>
  </si>
  <si>
    <t xml:space="preserve"> 79078.8948 </t>
  </si>
  <si>
    <t xml:space="preserve"> 43.8072 </t>
  </si>
  <si>
    <t xml:space="preserve">C:\Users\andre\Desktop\REACTIV CEFAS\Saccharin\Saccharin/20201217_Cefas_Test10_Run1/Plate 1/@6/F6_04.tif </t>
  </si>
  <si>
    <t xml:space="preserve"> 82345.0089 </t>
  </si>
  <si>
    <t xml:space="preserve"> 48.0029 </t>
  </si>
  <si>
    <t xml:space="preserve">C:\Users\andre\Desktop\REACTIV CEFAS\Saccharin\Saccharin/20201217_Cefas_Test10_Run1/Plate 1/@6/G6_01.tif </t>
  </si>
  <si>
    <t xml:space="preserve"> 38.8173 </t>
  </si>
  <si>
    <t xml:space="preserve">C:\Users\andre\Desktop\REACTIV CEFAS\Saccharin\Saccharin/20201217_Cefas_Test10_Run1/Plate 1/@6/G6_02.tif </t>
  </si>
  <si>
    <t xml:space="preserve"> 70426.9369 </t>
  </si>
  <si>
    <t xml:space="preserve"> 40.8707 </t>
  </si>
  <si>
    <t xml:space="preserve">C:\Users\andre\Desktop\REACTIV CEFAS\Saccharin\Saccharin/20201217_Cefas_Test10_Run1/Plate 1/@6/G6_03.tif </t>
  </si>
  <si>
    <t xml:space="preserve"> 40.2626 </t>
  </si>
  <si>
    <t xml:space="preserve">C:\Users\andre\Desktop\REACTIV CEFAS\Saccharin\Saccharin/20201217_Cefas_Test10_Run1/Plate 1/@6/G6_04.tif </t>
  </si>
  <si>
    <t xml:space="preserve"> 75315.2931 </t>
  </si>
  <si>
    <t xml:space="preserve"> 43.5063 </t>
  </si>
  <si>
    <t xml:space="preserve">C:\Users\andre\Desktop\REACTIV CEFAS\Saccharin\Saccharin/20201217_Cefas_Test10_Run1/Plate 1/@6/H6_01.tif </t>
  </si>
  <si>
    <t xml:space="preserve"> 58422.3454 </t>
  </si>
  <si>
    <t xml:space="preserve"> 46.3776 </t>
  </si>
  <si>
    <t xml:space="preserve">C:\Users\andre\Desktop\REACTIV CEFAS\Saccharin\Saccharin/20201217_Cefas_Test10_Run1/Plate 1/@6/H6_02.tif </t>
  </si>
  <si>
    <t xml:space="preserve"> 57124.5517 </t>
  </si>
  <si>
    <t xml:space="preserve"> 49.4317 </t>
  </si>
  <si>
    <t xml:space="preserve">C:\Users\andre\Desktop\REACTIV CEFAS\Saccharin\Saccharin/20201217_Cefas_Test10_Run1/Plate 1/@6/H6_03.tif </t>
  </si>
  <si>
    <t xml:space="preserve"> 52928.3522 </t>
  </si>
  <si>
    <t xml:space="preserve"> 45.4103 </t>
  </si>
  <si>
    <t xml:space="preserve">C:\Users\andre\Desktop\REACTIV CEFAS\Saccharin\Saccharin/20201217_Cefas_Test10_Run1/Plate 1/@6/H6_04.tif </t>
  </si>
  <si>
    <t xml:space="preserve"> 58660.2742 </t>
  </si>
  <si>
    <t xml:space="preserve"> 44.1221 </t>
  </si>
  <si>
    <t xml:space="preserve">C:\Users\andre\Desktop\REACTIV CEFAS\Saccharin\Saccharin/20201217_Cefas_Test10_Run1/Plate 1/@6/ </t>
  </si>
  <si>
    <t xml:space="preserve"> 45.0437 </t>
  </si>
  <si>
    <t xml:space="preserve"> 2.8049 </t>
  </si>
  <si>
    <t xml:space="preserve"> 2838848.66 </t>
  </si>
  <si>
    <t xml:space="preserve"> 410328.876 </t>
  </si>
  <si>
    <t xml:space="preserve">C:\Users\andre\Desktop\REACTIV CEFAS\Saccharin\Saccharin/20201217_Cefas_Test10_Run1/Plate 1/@7/A7_01.tif </t>
  </si>
  <si>
    <t xml:space="preserve"> 102309.402 </t>
  </si>
  <si>
    <t xml:space="preserve"> 58.3159 </t>
  </si>
  <si>
    <t>C:\Users\andre\Desktop\REACTIV CEFAS\Saccharin\Saccharin/20201217_Cefas_Test10_Run1/Plate 1/@7/A7_02- exclu.tif</t>
  </si>
  <si>
    <t>C:\Users\andre\Desktop\REACTIV CEFAS\Saccharin\Saccharin/20201217_Cefas_Test10_Run1/Plate 1/@7/A7_03- exclu.tif</t>
  </si>
  <si>
    <t>C:\Users\andre\Desktop\REACTIV CEFAS\Saccharin\Saccharin/20201217_Cefas_Test10_Run1/Plate 1/@7/A7_04- exclu.tif</t>
  </si>
  <si>
    <t xml:space="preserve">C:\Users\andre\Desktop\REACTIV CEFAS\Saccharin\Saccharin/20201217_Cefas_Test10_Run1/Plate 1/@7/B7_01.tif </t>
  </si>
  <si>
    <t xml:space="preserve"> 58.458 </t>
  </si>
  <si>
    <t xml:space="preserve">C:\Users\andre\Desktop\REACTIV CEFAS\Saccharin\Saccharin/20201217_Cefas_Test10_Run1/Plate 1/@7/B7_02.tif </t>
  </si>
  <si>
    <t xml:space="preserve"> 81955.6707 </t>
  </si>
  <si>
    <t xml:space="preserve"> 61.5864 </t>
  </si>
  <si>
    <t xml:space="preserve">C:\Users\andre\Desktop\REACTIV CEFAS\Saccharin\Saccharin/20201217_Cefas_Test10_Run1/Plate 1/@7/B7_03.tif </t>
  </si>
  <si>
    <t xml:space="preserve"> 69648.2607 </t>
  </si>
  <si>
    <t xml:space="preserve"> 67.6575 </t>
  </si>
  <si>
    <t xml:space="preserve">C:\Users\andre\Desktop\REACTIV CEFAS\Saccharin\Saccharin/20201217_Cefas_Test10_Run1/Plate 1/@7/B7_04.tif </t>
  </si>
  <si>
    <t xml:space="preserve"> 87774.1124 </t>
  </si>
  <si>
    <t xml:space="preserve"> 64.1402 </t>
  </si>
  <si>
    <t>C:\Users\andre\Desktop\REACTIV CEFAS\Saccharin\Saccharin/20201217_Cefas_Test10_Run1/Plate 1/@7/C7_01- exclu.tif</t>
  </si>
  <si>
    <t>C:\Users\andre\Desktop\REACTIV CEFAS\Saccharin\Saccharin/20201217_Cefas_Test10_Run1/Plate 1/@7/C7_02- exclu.tif</t>
  </si>
  <si>
    <t xml:space="preserve">C:\Users\andre\Desktop\REACTIV CEFAS\Saccharin\Saccharin/20201217_Cefas_Test10_Run1/Plate 1/@7/C7_03.tif </t>
  </si>
  <si>
    <t xml:space="preserve"> 81047.2152 </t>
  </si>
  <si>
    <t xml:space="preserve"> 58.731 </t>
  </si>
  <si>
    <t xml:space="preserve">C:\Users\andre\Desktop\REACTIV CEFAS\Saccharin\Saccharin/20201217_Cefas_Test10_Run1/Plate 1/@7/C7_04.tif </t>
  </si>
  <si>
    <t xml:space="preserve"> 79446.603 </t>
  </si>
  <si>
    <t xml:space="preserve"> 58.6973 </t>
  </si>
  <si>
    <t xml:space="preserve">C:\Users\andre\Desktop\REACTIV CEFAS\Saccharin\Saccharin/20201217_Cefas_Test10_Run1/Plate 1/@7/D7_01.tif </t>
  </si>
  <si>
    <t xml:space="preserve"> 82864.1263 </t>
  </si>
  <si>
    <t xml:space="preserve"> 57.3566 </t>
  </si>
  <si>
    <t xml:space="preserve">C:\Users\andre\Desktop\REACTIV CEFAS\Saccharin\Saccharin/20201217_Cefas_Test10_Run1/Plate 1/@7/D7_02.tif </t>
  </si>
  <si>
    <t xml:space="preserve"> 83339.984 </t>
  </si>
  <si>
    <t xml:space="preserve"> 51.605 </t>
  </si>
  <si>
    <t xml:space="preserve">C:\Users\andre\Desktop\REACTIV CEFAS\Saccharin\Saccharin/20201217_Cefas_Test10_Run1/Plate 1/@7/D7_03.tif </t>
  </si>
  <si>
    <t xml:space="preserve"> 79468.2329 </t>
  </si>
  <si>
    <t xml:space="preserve"> 54.6339 </t>
  </si>
  <si>
    <t xml:space="preserve">C:\Users\andre\Desktop\REACTIV CEFAS\Saccharin\Saccharin/20201217_Cefas_Test10_Run1/Plate 1/@7/D7_04.tif </t>
  </si>
  <si>
    <t xml:space="preserve"> 80787.6564 </t>
  </si>
  <si>
    <t xml:space="preserve"> 50.7609 </t>
  </si>
  <si>
    <t xml:space="preserve">C:\Users\andre\Desktop\REACTIV CEFAS\Saccharin\Saccharin/20201217_Cefas_Test10_Run1/Plate 1/@7/E7_01.tif </t>
  </si>
  <si>
    <t xml:space="preserve"> 83729.3221 </t>
  </si>
  <si>
    <t xml:space="preserve"> 53.6329 </t>
  </si>
  <si>
    <t xml:space="preserve">C:\Users\andre\Desktop\REACTIV CEFAS\Saccharin\Saccharin/20201217_Cefas_Test10_Run1/Plate 1/@7/E7_02.tif </t>
  </si>
  <si>
    <t xml:space="preserve"> 81717.7419 </t>
  </si>
  <si>
    <t xml:space="preserve"> 53.5005 </t>
  </si>
  <si>
    <t xml:space="preserve">C:\Users\andre\Desktop\REACTIV CEFAS\Saccharin\Saccharin/20201217_Cefas_Test10_Run1/Plate 1/@7/E7_03.tif </t>
  </si>
  <si>
    <t xml:space="preserve"> 86714.2476 </t>
  </si>
  <si>
    <t xml:space="preserve"> 57.0304 </t>
  </si>
  <si>
    <t xml:space="preserve">C:\Users\andre\Desktop\REACTIV CEFAS\Saccharin\Saccharin/20201217_Cefas_Test10_Run1/Plate 1/@7/E7_04.tif </t>
  </si>
  <si>
    <t xml:space="preserve"> 84097.0303 </t>
  </si>
  <si>
    <t xml:space="preserve"> 56.6847 </t>
  </si>
  <si>
    <t xml:space="preserve">C:\Users\andre\Desktop\REACTIV CEFAS\Saccharin\Saccharin/20201217_Cefas_Test10_Run1/Plate 1/@7/F7_01.tif </t>
  </si>
  <si>
    <t xml:space="preserve"> 108755.11 </t>
  </si>
  <si>
    <t xml:space="preserve"> 59.1337 </t>
  </si>
  <si>
    <t xml:space="preserve">C:\Users\andre\Desktop\REACTIV CEFAS\Saccharin\Saccharin/20201217_Cefas_Test10_Run1/Plate 1/@7/F7_02.tif </t>
  </si>
  <si>
    <t xml:space="preserve"> 106289.302 </t>
  </si>
  <si>
    <t xml:space="preserve"> 61.6764 </t>
  </si>
  <si>
    <t xml:space="preserve">C:\Users\andre\Desktop\REACTIV CEFAS\Saccharin\Saccharin/20201217_Cefas_Test10_Run1/Plate 1/@7/F7_03.tif </t>
  </si>
  <si>
    <t xml:space="preserve"> 110680.171 </t>
  </si>
  <si>
    <t xml:space="preserve"> 58.6074 </t>
  </si>
  <si>
    <t xml:space="preserve">C:\Users\andre\Desktop\REACTIV CEFAS\Saccharin\Saccharin/20201217_Cefas_Test10_Run1/Plate 1/@7/F7_04.tif </t>
  </si>
  <si>
    <t xml:space="preserve"> 111026.249 </t>
  </si>
  <si>
    <t xml:space="preserve"> 60.3493 </t>
  </si>
  <si>
    <t xml:space="preserve">C:\Users\andre\Desktop\REACTIV CEFAS\Saccharin\Saccharin/20201217_Cefas_Test10_Run1/Plate 1/@7/G7_01.tif </t>
  </si>
  <si>
    <t xml:space="preserve"> 54.8851 </t>
  </si>
  <si>
    <t xml:space="preserve">C:\Users\andre\Desktop\REACTIV CEFAS\Saccharin\Saccharin/20201217_Cefas_Test10_Run1/Plate 1/@7/G7_02.tif </t>
  </si>
  <si>
    <t xml:space="preserve"> 85005.4859 </t>
  </si>
  <si>
    <t xml:space="preserve"> 55.3196 </t>
  </si>
  <si>
    <t xml:space="preserve">C:\Users\andre\Desktop\REACTIV CEFAS\Saccharin\Saccharin/20201217_Cefas_Test10_Run1/Plate 1/@7/G7_03.tif </t>
  </si>
  <si>
    <t xml:space="preserve"> 83621.1726 </t>
  </si>
  <si>
    <t xml:space="preserve"> 54.2794 </t>
  </si>
  <si>
    <t xml:space="preserve">C:\Users\andre\Desktop\REACTIV CEFAS\Saccharin\Saccharin/20201217_Cefas_Test10_Run1/Plate 1/@7/G7_04.tif </t>
  </si>
  <si>
    <t xml:space="preserve"> 86908.9166 </t>
  </si>
  <si>
    <t xml:space="preserve"> 50.506 </t>
  </si>
  <si>
    <t xml:space="preserve">C:\Users\andre\Desktop\REACTIV CEFAS\Saccharin\Saccharin/20201217_Cefas_Test10_Run1/Plate 1/@7/H7_01.tif </t>
  </si>
  <si>
    <t xml:space="preserve"> 101206.277 </t>
  </si>
  <si>
    <t xml:space="preserve"> 61.2533 </t>
  </si>
  <si>
    <t xml:space="preserve">C:\Users\andre\Desktop\REACTIV CEFAS\Saccharin\Saccharin/20201217_Cefas_Test10_Run1/Plate 1/@7/H7_02.tif </t>
  </si>
  <si>
    <t xml:space="preserve"> 101509.095 </t>
  </si>
  <si>
    <t xml:space="preserve"> 58.3718 </t>
  </si>
  <si>
    <t xml:space="preserve">C:\Users\andre\Desktop\REACTIV CEFAS\Saccharin\Saccharin/20201217_Cefas_Test10_Run1/Plate 1/@7/H7_03.tif </t>
  </si>
  <si>
    <t xml:space="preserve"> 95149.9065 </t>
  </si>
  <si>
    <t xml:space="preserve"> 56.1796 </t>
  </si>
  <si>
    <t xml:space="preserve">C:\Users\andre\Desktop\REACTIV CEFAS\Saccharin\Saccharin/20201217_Cefas_Test10_Run1/Plate 1/@7/H7_04.tif </t>
  </si>
  <si>
    <t xml:space="preserve"> 106873.309 </t>
  </si>
  <si>
    <t xml:space="preserve"> 59.8116 </t>
  </si>
  <si>
    <t xml:space="preserve">C:\Users\andre\Desktop\REACTIV CEFAS\Saccharin\Saccharin/20201217_Cefas_Test10_Run1/Plate 1/@7/ </t>
  </si>
  <si>
    <t xml:space="preserve"> 57.2091 </t>
  </si>
  <si>
    <t xml:space="preserve"> 3.8689 </t>
  </si>
  <si>
    <t xml:space="preserve"> 5095755.12 </t>
  </si>
  <si>
    <t xml:space="preserve"> 1021359.18 </t>
  </si>
  <si>
    <t xml:space="preserve">C:\Users\andre\Desktop\REACTIV CEFAS\Saccharin\Saccharin/20201217_Cefas_Test10_Run1/Plate 3/@10/A4_01.tif </t>
  </si>
  <si>
    <t xml:space="preserve"> 34.5049 </t>
  </si>
  <si>
    <t xml:space="preserve">C:\Users\andre\Desktop\REACTIV CEFAS\Saccharin\Saccharin/20201217_Cefas_Test10_Run1/Plate 3/@10/A4_02.tif </t>
  </si>
  <si>
    <t xml:space="preserve"> 34.1905 </t>
  </si>
  <si>
    <t xml:space="preserve">C:\Users\andre\Desktop\REACTIV CEFAS\Saccharin\Saccharin/20201217_Cefas_Test10_Run1/Plate 3/@10/A4_03.tif </t>
  </si>
  <si>
    <t xml:space="preserve"> 2400.9183 </t>
  </si>
  <si>
    <t xml:space="preserve"> 35.6126 </t>
  </si>
  <si>
    <t xml:space="preserve">C:\Users\andre\Desktop\REACTIV CEFAS\Saccharin\Saccharin/20201217_Cefas_Test10_Run1/Plate 3/@10/A4_04.tif </t>
  </si>
  <si>
    <t xml:space="preserve"> 38.3252 </t>
  </si>
  <si>
    <t xml:space="preserve">C:\Users\andre\Desktop\REACTIV CEFAS\Saccharin\Saccharin/20201217_Cefas_Test10_Run1/Plate 3/@10/B4_01.tif </t>
  </si>
  <si>
    <t xml:space="preserve"> 605.637 </t>
  </si>
  <si>
    <t xml:space="preserve"> 32.2857 </t>
  </si>
  <si>
    <t xml:space="preserve">C:\Users\andre\Desktop\REACTIV CEFAS\Saccharin\Saccharin/20201217_Cefas_Test10_Run1/Plate 3/@10/B4_02.tif </t>
  </si>
  <si>
    <t xml:space="preserve"> 33.2958 </t>
  </si>
  <si>
    <t xml:space="preserve">C:\Users\andre\Desktop\REACTIV CEFAS\Saccharin\Saccharin/20201217_Cefas_Test10_Run1/Plate 3/@10/B4_03.tif </t>
  </si>
  <si>
    <t xml:space="preserve"> 32.1515 </t>
  </si>
  <si>
    <t xml:space="preserve">C:\Users\andre\Desktop\REACTIV CEFAS\Saccharin\Saccharin/20201217_Cefas_Test10_Run1/Plate 3/@10/B4_04.tif </t>
  </si>
  <si>
    <t xml:space="preserve"> 843.5659 </t>
  </si>
  <si>
    <t xml:space="preserve"> 32.5385 </t>
  </si>
  <si>
    <t xml:space="preserve">C:\Users\andre\Desktop\REACTIV CEFAS\Saccharin\Saccharin/20201217_Cefas_Test10_Run1/Plate 3/@10/C4_01.tif </t>
  </si>
  <si>
    <t xml:space="preserve"> 37.5372 </t>
  </si>
  <si>
    <t xml:space="preserve">C:\Users\andre\Desktop\REACTIV CEFAS\Saccharin\Saccharin/20201217_Cefas_Test10_Run1/Plate 3/@10/C4_02.tif </t>
  </si>
  <si>
    <t xml:space="preserve"> 35.1 </t>
  </si>
  <si>
    <t xml:space="preserve">C:\Users\andre\Desktop\REACTIV CEFAS\Saccharin\Saccharin/20201217_Cefas_Test10_Run1/Plate 3/@10/C4_03.tif </t>
  </si>
  <si>
    <t xml:space="preserve"> 886.8257 </t>
  </si>
  <si>
    <t xml:space="preserve"> 32.8537 </t>
  </si>
  <si>
    <t xml:space="preserve">C:\Users\andre\Desktop\REACTIV CEFAS\Saccharin\Saccharin/20201217_Cefas_Test10_Run1/Plate 3/@10/C4_04.tif </t>
  </si>
  <si>
    <t xml:space="preserve"> 36.8462 </t>
  </si>
  <si>
    <t>C:\Users\andre\Desktop\REACTIV CEFAS\Saccharin\Saccharin/20201217_Cefas_Test10_Run1/Plate 3/@10/D4_01- exclu.tif</t>
  </si>
  <si>
    <t xml:space="preserve">C:\Users\andre\Desktop\REACTIV CEFAS\Saccharin\Saccharin/20201217_Cefas_Test10_Run1/Plate 3/@10/D4_02.tif </t>
  </si>
  <si>
    <t xml:space="preserve"> 37.6614 </t>
  </si>
  <si>
    <t xml:space="preserve">C:\Users\andre\Desktop\REACTIV CEFAS\Saccharin\Saccharin/20201217_Cefas_Test10_Run1/Plate 3/@10/D4_03.tif </t>
  </si>
  <si>
    <t xml:space="preserve"> 865.1958 </t>
  </si>
  <si>
    <t xml:space="preserve"> 37.2 </t>
  </si>
  <si>
    <t xml:space="preserve">C:\Users\andre\Desktop\REACTIV CEFAS\Saccharin\Saccharin/20201217_Cefas_Test10_Run1/Plate 3/@10/D4_04.tif </t>
  </si>
  <si>
    <t xml:space="preserve"> 36.7306 </t>
  </si>
  <si>
    <t xml:space="preserve">C:\Users\andre\Desktop\REACTIV CEFAS\Saccharin\Saccharin/20201217_Cefas_Test10_Run1/Plate 3/@10/E4_01.tif </t>
  </si>
  <si>
    <t xml:space="preserve"> 3806.8615 </t>
  </si>
  <si>
    <t xml:space="preserve"> 32.8352 </t>
  </si>
  <si>
    <t xml:space="preserve">C:\Users\andre\Desktop\REACTIV CEFAS\Saccharin\Saccharin/20201217_Cefas_Test10_Run1/Plate 3/@10/E4_02.tif </t>
  </si>
  <si>
    <t xml:space="preserve"> 34.7524 </t>
  </si>
  <si>
    <t xml:space="preserve">C:\Users\andre\Desktop\REACTIV CEFAS\Saccharin\Saccharin/20201217_Cefas_Test10_Run1/Plate 3/@10/E4_03.tif </t>
  </si>
  <si>
    <t xml:space="preserve"> 37.4872 </t>
  </si>
  <si>
    <t xml:space="preserve">C:\Users\andre\Desktop\REACTIV CEFAS\Saccharin\Saccharin/20201217_Cefas_Test10_Run1/Plate 3/@10/E4_04.tif </t>
  </si>
  <si>
    <t xml:space="preserve"> 36.2444 </t>
  </si>
  <si>
    <t xml:space="preserve">C:\Users\andre\Desktop\REACTIV CEFAS\Saccharin\Saccharin/20201217_Cefas_Test10_Run1/Plate 3/@10/F4_01.tif </t>
  </si>
  <si>
    <t xml:space="preserve"> 38.2767 </t>
  </si>
  <si>
    <t xml:space="preserve">C:\Users\andre\Desktop\REACTIV CEFAS\Saccharin\Saccharin/20201217_Cefas_Test10_Run1/Plate 3/@10/F4_02.tif </t>
  </si>
  <si>
    <t xml:space="preserve"> 39.2395 </t>
  </si>
  <si>
    <t xml:space="preserve">C:\Users\andre\Desktop\REACTIV CEFAS\Saccharin\Saccharin/20201217_Cefas_Test10_Run1/Plate 3/@10/F4_03.tif </t>
  </si>
  <si>
    <t xml:space="preserve"> 39.6364 </t>
  </si>
  <si>
    <t>C:\Users\andre\Desktop\REACTIV CEFAS\Saccharin\Saccharin/20201217_Cefas_Test10_Run1/Plate 3/@10/F4_04- exclu.tif</t>
  </si>
  <si>
    <t xml:space="preserve">C:\Users\andre\Desktop\REACTIV CEFAS\Saccharin\Saccharin/20201217_Cefas_Test10_Run1/Plate 3/@10/G4_01.tif </t>
  </si>
  <si>
    <t xml:space="preserve"> 5861.7014 </t>
  </si>
  <si>
    <t xml:space="preserve"> 36.1033 </t>
  </si>
  <si>
    <t xml:space="preserve">C:\Users\andre\Desktop\REACTIV CEFAS\Saccharin\Saccharin/20201217_Cefas_Test10_Run1/Plate 3/@10/G4_02.tif </t>
  </si>
  <si>
    <t xml:space="preserve"> 36.4486 </t>
  </si>
  <si>
    <t xml:space="preserve">C:\Users\andre\Desktop\REACTIV CEFAS\Saccharin\Saccharin/20201217_Cefas_Test10_Run1/Plate 3/@10/G4_03.tif </t>
  </si>
  <si>
    <t xml:space="preserve"> 5364.2139 </t>
  </si>
  <si>
    <t xml:space="preserve"> 36.1734 </t>
  </si>
  <si>
    <t xml:space="preserve">C:\Users\andre\Desktop\REACTIV CEFAS\Saccharin\Saccharin/20201217_Cefas_Test10_Run1/Plate 3/@10/G4_04.tif </t>
  </si>
  <si>
    <t xml:space="preserve">C:\Users\andre\Desktop\REACTIV CEFAS\Saccharin\Saccharin/20201217_Cefas_Test10_Run1/Plate 3/@10/H4_01.tif </t>
  </si>
  <si>
    <t xml:space="preserve"> 38.7198 </t>
  </si>
  <si>
    <t xml:space="preserve">C:\Users\andre\Desktop\REACTIV CEFAS\Saccharin\Saccharin/20201217_Cefas_Test10_Run1/Plate 3/@10/H4_02.tif </t>
  </si>
  <si>
    <t xml:space="preserve">C:\Users\andre\Desktop\REACTIV CEFAS\Saccharin\Saccharin/20201217_Cefas_Test10_Run1/Plate 3/@10/H4_03.tif </t>
  </si>
  <si>
    <t xml:space="preserve"> 38.7518 </t>
  </si>
  <si>
    <t xml:space="preserve">C:\Users\andre\Desktop\REACTIV CEFAS\Saccharin\Saccharin/20201217_Cefas_Test10_Run1/Plate 3/@10/H4_04.tif </t>
  </si>
  <si>
    <t xml:space="preserve"> 35.7198 </t>
  </si>
  <si>
    <t xml:space="preserve">C:\Users\andre\Desktop\REACTIV CEFAS\Saccharin\Saccharin/20201217_Cefas_Test10_Run1/Plate 3/@10/ </t>
  </si>
  <si>
    <t xml:space="preserve"> 34.5854 </t>
  </si>
  <si>
    <t xml:space="preserve"> 6.7674 </t>
  </si>
  <si>
    <t xml:space="preserve"> 138987.594 </t>
  </si>
  <si>
    <t xml:space="preserve"> 91100.6019 </t>
  </si>
  <si>
    <t xml:space="preserve">C:\Users\andre\Desktop\REACTIV CEFAS\Saccharin\Saccharin/20201217_Cefas_Test10_Run1/Plate 3/@11/A5_01.tif </t>
  </si>
  <si>
    <t xml:space="preserve">C:\Users\andre\Desktop\REACTIV CEFAS\Saccharin\Saccharin/20201217_Cefas_Test10_Run1/Plate 3/@11/A5_02.tif </t>
  </si>
  <si>
    <t xml:space="preserve">C:\Users\andre\Desktop\REACTIV CEFAS\Saccharin\Saccharin/20201217_Cefas_Test10_Run1/Plate 3/@11/A5_03.tif </t>
  </si>
  <si>
    <t xml:space="preserve">C:\Users\andre\Desktop\REACTIV CEFAS\Saccharin\Saccharin/20201217_Cefas_Test10_Run1/Plate 3/@11/A5_04.tif </t>
  </si>
  <si>
    <t xml:space="preserve">C:\Users\andre\Desktop\REACTIV CEFAS\Saccharin\Saccharin/20201217_Cefas_Test10_Run1/Plate 3/@11/B5_01.tif </t>
  </si>
  <si>
    <t xml:space="preserve"> 34.2778 </t>
  </si>
  <si>
    <t xml:space="preserve">C:\Users\andre\Desktop\REACTIV CEFAS\Saccharin\Saccharin/20201217_Cefas_Test10_Run1/Plate 3/@11/B5_02.tif </t>
  </si>
  <si>
    <t xml:space="preserve"> 37.6164 </t>
  </si>
  <si>
    <t xml:space="preserve">C:\Users\andre\Desktop\REACTIV CEFAS\Saccharin\Saccharin/20201217_Cefas_Test10_Run1/Plate 3/@11/B5_03.tif </t>
  </si>
  <si>
    <t xml:space="preserve"> 38.1329 </t>
  </si>
  <si>
    <t xml:space="preserve">C:\Users\andre\Desktop\REACTIV CEFAS\Saccharin\Saccharin/20201217_Cefas_Test10_Run1/Plate 3/@11/B5_04.tif </t>
  </si>
  <si>
    <t xml:space="preserve"> 7808.392 </t>
  </si>
  <si>
    <t xml:space="preserve"> 38.6094 </t>
  </si>
  <si>
    <t xml:space="preserve">C:\Users\andre\Desktop\REACTIV CEFAS\Saccharin\Saccharin/20201217_Cefas_Test10_Run1/Plate 3/@11/C5_01.tif </t>
  </si>
  <si>
    <t xml:space="preserve"> 35.378 </t>
  </si>
  <si>
    <t xml:space="preserve">C:\Users\andre\Desktop\REACTIV CEFAS\Saccharin\Saccharin/20201217_Cefas_Test10_Run1/Plate 3/@11/C5_02.tif </t>
  </si>
  <si>
    <t xml:space="preserve"> 39.1188 </t>
  </si>
  <si>
    <t xml:space="preserve">C:\Users\andre\Desktop\REACTIV CEFAS\Saccharin\Saccharin/20201217_Cefas_Test10_Run1/Plate 3/@11/C5_03.tif </t>
  </si>
  <si>
    <t xml:space="preserve"> 38.4859 </t>
  </si>
  <si>
    <t>C:\Users\andre\Desktop\REACTIV CEFAS\Saccharin\Saccharin/20201217_Cefas_Test10_Run1/Plate 3/@11/C5_04- exclu.tif</t>
  </si>
  <si>
    <t xml:space="preserve">C:\Users\andre\Desktop\REACTIV CEFAS\Saccharin\Saccharin/20201217_Cefas_Test10_Run1/Plate 3/@11/D5_01.tif </t>
  </si>
  <si>
    <t xml:space="preserve"> 35.981 </t>
  </si>
  <si>
    <t xml:space="preserve">C:\Users\andre\Desktop\REACTIV CEFAS\Saccharin\Saccharin/20201217_Cefas_Test10_Run1/Plate 3/@11/D5_02.tif </t>
  </si>
  <si>
    <t xml:space="preserve"> 32.1296 </t>
  </si>
  <si>
    <t xml:space="preserve">C:\Users\andre\Desktop\REACTIV CEFAS\Saccharin\Saccharin/20201217_Cefas_Test10_Run1/Plate 3/@11/D5_03.tif </t>
  </si>
  <si>
    <t xml:space="preserve"> 1816.9111 </t>
  </si>
  <si>
    <t xml:space="preserve"> 32.631 </t>
  </si>
  <si>
    <t xml:space="preserve">C:\Users\andre\Desktop\REACTIV CEFAS\Saccharin\Saccharin/20201217_Cefas_Test10_Run1/Plate 3/@11/D5_04.tif </t>
  </si>
  <si>
    <t xml:space="preserve"> 2292.7688 </t>
  </si>
  <si>
    <t xml:space="preserve"> 34.8396 </t>
  </si>
  <si>
    <t xml:space="preserve">C:\Users\andre\Desktop\REACTIV CEFAS\Saccharin\Saccharin/20201217_Cefas_Test10_Run1/Plate 3/@11/E5_01.tif </t>
  </si>
  <si>
    <t xml:space="preserve"> 32.6905 </t>
  </si>
  <si>
    <t xml:space="preserve">C:\Users\andre\Desktop\REACTIV CEFAS\Saccharin\Saccharin/20201217_Cefas_Test10_Run1/Plate 3/@11/E5_02.tif </t>
  </si>
  <si>
    <t xml:space="preserve"> 40.5445 </t>
  </si>
  <si>
    <t xml:space="preserve">C:\Users\andre\Desktop\REACTIV CEFAS\Saccharin\Saccharin/20201217_Cefas_Test10_Run1/Plate 3/@11/E5_03.tif </t>
  </si>
  <si>
    <t xml:space="preserve"> 39.4382 </t>
  </si>
  <si>
    <t xml:space="preserve">C:\Users\andre\Desktop\REACTIV CEFAS\Saccharin\Saccharin/20201217_Cefas_Test10_Run1/Plate 3/@11/E5_04.tif </t>
  </si>
  <si>
    <t xml:space="preserve"> 13453.7945 </t>
  </si>
  <si>
    <t xml:space="preserve"> 44.8006 </t>
  </si>
  <si>
    <t xml:space="preserve">C:\Users\andre\Desktop\REACTIV CEFAS\Saccharin\Saccharin/20201217_Cefas_Test10_Run1/Plate 3/@11/F5_01.tif </t>
  </si>
  <si>
    <t xml:space="preserve"> 33.224 </t>
  </si>
  <si>
    <t xml:space="preserve">C:\Users\andre\Desktop\REACTIV CEFAS\Saccharin\Saccharin/20201217_Cefas_Test10_Run1/Plate 3/@11/F5_02.tif </t>
  </si>
  <si>
    <t xml:space="preserve"> 12220.8905 </t>
  </si>
  <si>
    <t xml:space="preserve"> 34.9133 </t>
  </si>
  <si>
    <t xml:space="preserve">C:\Users\andre\Desktop\REACTIV CEFAS\Saccharin\Saccharin/20201217_Cefas_Test10_Run1/Plate 3/@11/F5_03.tif </t>
  </si>
  <si>
    <t xml:space="preserve"> 34.5847 </t>
  </si>
  <si>
    <t xml:space="preserve">C:\Users\andre\Desktop\REACTIV CEFAS\Saccharin\Saccharin/20201217_Cefas_Test10_Run1/Plate 3/@11/F5_04.tif </t>
  </si>
  <si>
    <t xml:space="preserve"> 259.5587 </t>
  </si>
  <si>
    <t xml:space="preserve"> 32.0833 </t>
  </si>
  <si>
    <t xml:space="preserve">C:\Users\andre\Desktop\REACTIV CEFAS\Saccharin\Saccharin/20201217_Cefas_Test10_Run1/Plate 3/@11/G5_01.tif </t>
  </si>
  <si>
    <t xml:space="preserve"> 4628.7975 </t>
  </si>
  <si>
    <t xml:space="preserve"> 37.028 </t>
  </si>
  <si>
    <t xml:space="preserve">C:\Users\andre\Desktop\REACTIV CEFAS\Saccharin\Saccharin/20201217_Cefas_Test10_Run1/Plate 3/@11/G5_02.tif </t>
  </si>
  <si>
    <t xml:space="preserve"> 39.9129 </t>
  </si>
  <si>
    <t xml:space="preserve">C:\Users\andre\Desktop\REACTIV CEFAS\Saccharin\Saccharin/20201217_Cefas_Test10_Run1/Plate 3/@11/G5_03.tif </t>
  </si>
  <si>
    <t xml:space="preserve"> 30.9815 </t>
  </si>
  <si>
    <t xml:space="preserve">C:\Users\andre\Desktop\REACTIV CEFAS\Saccharin\Saccharin/20201217_Cefas_Test10_Run1/Plate 3/@11/G5_04.tif </t>
  </si>
  <si>
    <t xml:space="preserve"> 7397.424 </t>
  </si>
  <si>
    <t xml:space="preserve"> 42.7485 </t>
  </si>
  <si>
    <t xml:space="preserve">C:\Users\andre\Desktop\REACTIV CEFAS\Saccharin\Saccharin/20201217_Cefas_Test10_Run1/Plate 3/@11/H5_01.tif </t>
  </si>
  <si>
    <t xml:space="preserve"> 5256.0644 </t>
  </si>
  <si>
    <t xml:space="preserve"> 36.214 </t>
  </si>
  <si>
    <t xml:space="preserve">C:\Users\andre\Desktop\REACTIV CEFAS\Saccharin\Saccharin/20201217_Cefas_Test10_Run1/Plate 3/@11/H5_02.tif </t>
  </si>
  <si>
    <t xml:space="preserve"> 38.8835 </t>
  </si>
  <si>
    <t xml:space="preserve">C:\Users\andre\Desktop\REACTIV CEFAS\Saccharin\Saccharin/20201217_Cefas_Test10_Run1/Plate 3/@11/H5_03.tif </t>
  </si>
  <si>
    <t xml:space="preserve"> 9300.8547 </t>
  </si>
  <si>
    <t xml:space="preserve"> 38.6209 </t>
  </si>
  <si>
    <t xml:space="preserve">C:\Users\andre\Desktop\REACTIV CEFAS\Saccharin\Saccharin/20201217_Cefas_Test10_Run1/Plate 3/@11/H5_04.tif </t>
  </si>
  <si>
    <t xml:space="preserve"> 39.1538 </t>
  </si>
  <si>
    <t xml:space="preserve">C:\Users\andre\Desktop\REACTIV CEFAS\Saccharin\Saccharin/20201217_Cefas_Test10_Run1/Plate 3/@11/ </t>
  </si>
  <si>
    <t xml:space="preserve"> 34.8947 </t>
  </si>
  <si>
    <t xml:space="preserve"> 7.3741 </t>
  </si>
  <si>
    <t xml:space="preserve"> 169088.344 </t>
  </si>
  <si>
    <t xml:space="preserve"> 147049.247 </t>
  </si>
  <si>
    <t xml:space="preserve">C:\Users\andre\Desktop\REACTIV CEFAS\Saccharin\Saccharin/20201217_Cefas_Test10_Run1/Plate 3/@12/A6_01.tif </t>
  </si>
  <si>
    <t xml:space="preserve"> 10144.4206 </t>
  </si>
  <si>
    <t xml:space="preserve"> 40.5949 </t>
  </si>
  <si>
    <t xml:space="preserve">C:\Users\andre\Desktop\REACTIV CEFAS\Saccharin\Saccharin/20201217_Cefas_Test10_Run1/Plate 3/@12/A6_02.tif </t>
  </si>
  <si>
    <t xml:space="preserve"> 31.5 </t>
  </si>
  <si>
    <t xml:space="preserve">C:\Users\andre\Desktop\REACTIV CEFAS\Saccharin\Saccharin/20201217_Cefas_Test10_Run1/Plate 3/@12/A6_03.tif </t>
  </si>
  <si>
    <t xml:space="preserve"> 42.3837 </t>
  </si>
  <si>
    <t xml:space="preserve">C:\Users\andre\Desktop\REACTIV CEFAS\Saccharin\Saccharin/20201217_Cefas_Test10_Run1/Plate 3/@12/A6_04.tif </t>
  </si>
  <si>
    <t xml:space="preserve"> 33.4 </t>
  </si>
  <si>
    <t xml:space="preserve">C:\Users\andre\Desktop\REACTIV CEFAS\Saccharin\Saccharin/20201217_Cefas_Test10_Run1/Plate 3/@12/B6_01.tif </t>
  </si>
  <si>
    <t xml:space="preserve"> 37.1116 </t>
  </si>
  <si>
    <t xml:space="preserve">C:\Users\andre\Desktop\REACTIV CEFAS\Saccharin\Saccharin/20201217_Cefas_Test10_Run1/Plate 3/@12/B6_02.tif </t>
  </si>
  <si>
    <t xml:space="preserve"> 34.0941 </t>
  </si>
  <si>
    <t xml:space="preserve">C:\Users\andre\Desktop\REACTIV CEFAS\Saccharin\Saccharin/20201217_Cefas_Test10_Run1/Plate 3/@12/B6_03.tif </t>
  </si>
  <si>
    <t xml:space="preserve"> 7310.9044 </t>
  </si>
  <si>
    <t xml:space="preserve"> 37.2781 </t>
  </si>
  <si>
    <t xml:space="preserve">C:\Users\andre\Desktop\REACTIV CEFAS\Saccharin\Saccharin/20201217_Cefas_Test10_Run1/Plate 3/@12/B6_04.tif </t>
  </si>
  <si>
    <t xml:space="preserve"> 37.5021 </t>
  </si>
  <si>
    <t xml:space="preserve">C:\Users\andre\Desktop\REACTIV CEFAS\Saccharin\Saccharin/20201217_Cefas_Test10_Run1/Plate 3/@12/C6_01.tif </t>
  </si>
  <si>
    <t xml:space="preserve"> 36.375 </t>
  </si>
  <si>
    <t xml:space="preserve">C:\Users\andre\Desktop\REACTIV CEFAS\Saccharin\Saccharin/20201217_Cefas_Test10_Run1/Plate 3/@12/C6_02.tif </t>
  </si>
  <si>
    <t xml:space="preserve"> 34.4343 </t>
  </si>
  <si>
    <t xml:space="preserve">C:\Users\andre\Desktop\REACTIV CEFAS\Saccharin\Saccharin/20201217_Cefas_Test10_Run1/Plate 3/@12/C6_03.tif </t>
  </si>
  <si>
    <t xml:space="preserve"> 36.9533 </t>
  </si>
  <si>
    <t xml:space="preserve">C:\Users\andre\Desktop\REACTIV CEFAS\Saccharin\Saccharin/20201217_Cefas_Test10_Run1/Plate 3/@12/C6_04.tif </t>
  </si>
  <si>
    <t xml:space="preserve"> 37.3409 </t>
  </si>
  <si>
    <t xml:space="preserve">C:\Users\andre\Desktop\REACTIV CEFAS\Saccharin\Saccharin/20201217_Cefas_Test10_Run1/Plate 3/@12/D6_01.tif </t>
  </si>
  <si>
    <t xml:space="preserve"> 2379.2884 </t>
  </si>
  <si>
    <t xml:space="preserve"> 37.6364 </t>
  </si>
  <si>
    <t xml:space="preserve">C:\Users\andre\Desktop\REACTIV CEFAS\Saccharin\Saccharin/20201217_Cefas_Test10_Run1/Plate 3/@12/D6_02.tif </t>
  </si>
  <si>
    <t xml:space="preserve"> 41.4105 </t>
  </si>
  <si>
    <t xml:space="preserve">C:\Users\andre\Desktop\REACTIV CEFAS\Saccharin\Saccharin/20201217_Cefas_Test10_Run1/Plate 3/@12/D6_03.tif </t>
  </si>
  <si>
    <t xml:space="preserve"> 43.5811 </t>
  </si>
  <si>
    <t xml:space="preserve">C:\Users\andre\Desktop\REACTIV CEFAS\Saccharin\Saccharin/20201217_Cefas_Test10_Run1/Plate 3/@12/D6_04.tif </t>
  </si>
  <si>
    <t xml:space="preserve"> 12242.5204 </t>
  </si>
  <si>
    <t xml:space="preserve"> 45.023 </t>
  </si>
  <si>
    <t xml:space="preserve">C:\Users\andre\Desktop\REACTIV CEFAS\Saccharin\Saccharin/20201217_Cefas_Test10_Run1/Plate 3/@12/E6_01.tif </t>
  </si>
  <si>
    <t xml:space="preserve"> 39.2083 </t>
  </si>
  <si>
    <t xml:space="preserve">C:\Users\andre\Desktop\REACTIV CEFAS\Saccharin\Saccharin/20201217_Cefas_Test10_Run1/Plate 3/@12/E6_02.tif </t>
  </si>
  <si>
    <t xml:space="preserve"> 4434.1284 </t>
  </si>
  <si>
    <t xml:space="preserve"> 41.7756 </t>
  </si>
  <si>
    <t xml:space="preserve">C:\Users\andre\Desktop\REACTIV CEFAS\Saccharin\Saccharin/20201217_Cefas_Test10_Run1/Plate 3/@12/E6_03.tif </t>
  </si>
  <si>
    <t xml:space="preserve"> 4715.317 </t>
  </si>
  <si>
    <t xml:space="preserve"> 40.6009 </t>
  </si>
  <si>
    <t xml:space="preserve">C:\Users\andre\Desktop\REACTIV CEFAS\Saccharin\Saccharin/20201217_Cefas_Test10_Run1/Plate 3/@12/E6_04.tif </t>
  </si>
  <si>
    <t xml:space="preserve"> 930.0855 </t>
  </si>
  <si>
    <t xml:space="preserve"> 30.9535 </t>
  </si>
  <si>
    <t xml:space="preserve">C:\Users\andre\Desktop\REACTIV CEFAS\Saccharin\Saccharin/20201217_Cefas_Test10_Run1/Plate 3/@12/F6_01.tif </t>
  </si>
  <si>
    <t xml:space="preserve"> 35.2736 </t>
  </si>
  <si>
    <t xml:space="preserve">C:\Users\andre\Desktop\REACTIV CEFAS\Saccharin\Saccharin/20201217_Cefas_Test10_Run1/Plate 3/@12/F6_02.tif </t>
  </si>
  <si>
    <t xml:space="preserve"> 34.5984 </t>
  </si>
  <si>
    <t xml:space="preserve">C:\Users\andre\Desktop\REACTIV CEFAS\Saccharin\Saccharin/20201217_Cefas_Test10_Run1/Plate 3/@12/F6_03.tif </t>
  </si>
  <si>
    <t xml:space="preserve"> 32.012 </t>
  </si>
  <si>
    <t xml:space="preserve">C:\Users\andre\Desktop\REACTIV CEFAS\Saccharin\Saccharin/20201217_Cefas_Test10_Run1/Plate 3/@12/F6_04.tif </t>
  </si>
  <si>
    <t xml:space="preserve"> 37.4867 </t>
  </si>
  <si>
    <t xml:space="preserve">C:\Users\andre\Desktop\REACTIV CEFAS\Saccharin\Saccharin/20201217_Cefas_Test10_Run1/Plate 3/@12/G6_01.tif </t>
  </si>
  <si>
    <t xml:space="preserve"> 33.4474 </t>
  </si>
  <si>
    <t xml:space="preserve">C:\Users\andre\Desktop\REACTIV CEFAS\Saccharin\Saccharin/20201217_Cefas_Test10_Run1/Plate 3/@12/G6_02.tif </t>
  </si>
  <si>
    <t xml:space="preserve"> 34.5785 </t>
  </si>
  <si>
    <t xml:space="preserve">C:\Users\andre\Desktop\REACTIV CEFAS\Saccharin\Saccharin/20201217_Cefas_Test10_Run1/Plate 3/@12/G6_03.tif </t>
  </si>
  <si>
    <t xml:space="preserve"> 31.7692 </t>
  </si>
  <si>
    <t xml:space="preserve">C:\Users\andre\Desktop\REACTIV CEFAS\Saccharin\Saccharin/20201217_Cefas_Test10_Run1/Plate 3/@12/G6_04.tif </t>
  </si>
  <si>
    <t xml:space="preserve"> 2249.509 </t>
  </si>
  <si>
    <t xml:space="preserve"> 33.7308 </t>
  </si>
  <si>
    <t xml:space="preserve">C:\Users\andre\Desktop\REACTIV CEFAS\Saccharin\Saccharin/20201217_Cefas_Test10_Run1/Plate 3/@12/H6_01.tif </t>
  </si>
  <si>
    <t xml:space="preserve"> 9711.8227 </t>
  </si>
  <si>
    <t xml:space="preserve"> 42.6526 </t>
  </si>
  <si>
    <t xml:space="preserve">C:\Users\andre\Desktop\REACTIV CEFAS\Saccharin\Saccharin/20201217_Cefas_Test10_Run1/Plate 3/@12/H6_02.tif </t>
  </si>
  <si>
    <t xml:space="preserve"> 40.8203 </t>
  </si>
  <si>
    <t xml:space="preserve">C:\Users\andre\Desktop\REACTIV CEFAS\Saccharin\Saccharin/20201217_Cefas_Test10_Run1/Plate 3/@12/H6_03.tif </t>
  </si>
  <si>
    <t xml:space="preserve"> 42.0994 </t>
  </si>
  <si>
    <t xml:space="preserve">C:\Users\andre\Desktop\REACTIV CEFAS\Saccharin\Saccharin/20201217_Cefas_Test10_Run1/Plate 3/@12/H6_04.tif </t>
  </si>
  <si>
    <t xml:space="preserve"> 41.2519 </t>
  </si>
  <si>
    <t xml:space="preserve">C:\Users\andre\Desktop\REACTIV CEFAS\Saccharin\Saccharin/20201217_Cefas_Test10_Run1/Plate 3/@12/ </t>
  </si>
  <si>
    <t xml:space="preserve"> 37.4649 </t>
  </si>
  <si>
    <t xml:space="preserve"> 3.9343 </t>
  </si>
  <si>
    <t xml:space="preserve"> 186762.688 </t>
  </si>
  <si>
    <t xml:space="preserve"> 134040.15 </t>
  </si>
  <si>
    <t xml:space="preserve">C:\Users\andre\Desktop\REACTIV CEFAS\Saccharin\Saccharin/20201217_Cefas_Test10_Run1/Plate 3/@17/A8_01.tif </t>
  </si>
  <si>
    <t xml:space="preserve"> 41.5243 </t>
  </si>
  <si>
    <t xml:space="preserve">C:\Users\andre\Desktop\REACTIV CEFAS\Saccharin\Saccharin/20201217_Cefas_Test10_Run1/Plate 3/@17/A8_02.tif </t>
  </si>
  <si>
    <t xml:space="preserve"> 44.6237 </t>
  </si>
  <si>
    <t xml:space="preserve">C:\Users\andre\Desktop\REACTIV CEFAS\Saccharin\Saccharin/20201217_Cefas_Test10_Run1/Plate 3/@17/A8_03.tif </t>
  </si>
  <si>
    <t xml:space="preserve"> 44.3304 </t>
  </si>
  <si>
    <t xml:space="preserve">C:\Users\andre\Desktop\REACTIV CEFAS\Saccharin\Saccharin/20201217_Cefas_Test10_Run1/Plate 3/@17/A8_04.tif </t>
  </si>
  <si>
    <t xml:space="preserve"> 54637.1138 </t>
  </si>
  <si>
    <t xml:space="preserve"> 43.3179 </t>
  </si>
  <si>
    <t xml:space="preserve">C:\Users\andre\Desktop\REACTIV CEFAS\Saccharin\Saccharin/20201217_Cefas_Test10_Run1/Plate 3/@17/B8_01.tif </t>
  </si>
  <si>
    <t xml:space="preserve"> 61580.31 </t>
  </si>
  <si>
    <t xml:space="preserve"> 40.8662 </t>
  </si>
  <si>
    <t xml:space="preserve">C:\Users\andre\Desktop\REACTIV CEFAS\Saccharin\Saccharin/20201217_Cefas_Test10_Run1/Plate 3/@17/B8_02.tif </t>
  </si>
  <si>
    <t xml:space="preserve"> 63937.9685 </t>
  </si>
  <si>
    <t xml:space="preserve"> 42.8498 </t>
  </si>
  <si>
    <t xml:space="preserve">C:\Users\andre\Desktop\REACTIV CEFAS\Saccharin\Saccharin/20201217_Cefas_Test10_Run1/Plate 3/@17/B8_03.tif </t>
  </si>
  <si>
    <t xml:space="preserve"> 62294.0965 </t>
  </si>
  <si>
    <t xml:space="preserve"> 40.2247 </t>
  </si>
  <si>
    <t xml:space="preserve">C:\Users\andre\Desktop\REACTIV CEFAS\Saccharin\Saccharin/20201217_Cefas_Test10_Run1/Plate 3/@17/B8_04.tif </t>
  </si>
  <si>
    <t xml:space="preserve"> 71962.6594 </t>
  </si>
  <si>
    <t xml:space="preserve"> 41.5624 </t>
  </si>
  <si>
    <t xml:space="preserve">C:\Users\andre\Desktop\REACTIV CEFAS\Saccharin\Saccharin/20201217_Cefas_Test10_Run1/Plate 3/@17/C8_01.tif </t>
  </si>
  <si>
    <t xml:space="preserve"> 58270.9361 </t>
  </si>
  <si>
    <t xml:space="preserve"> 37.8267 </t>
  </si>
  <si>
    <t xml:space="preserve">C:\Users\andre\Desktop\REACTIV CEFAS\Saccharin\Saccharin/20201217_Cefas_Test10_Run1/Plate 3/@17/C8_02.tif </t>
  </si>
  <si>
    <t xml:space="preserve"> 66403.7765 </t>
  </si>
  <si>
    <t xml:space="preserve"> 40.9866 </t>
  </si>
  <si>
    <t xml:space="preserve">C:\Users\andre\Desktop\REACTIV CEFAS\Saccharin\Saccharin/20201217_Cefas_Test10_Run1/Plate 3/@17/C8_03.tif </t>
  </si>
  <si>
    <t xml:space="preserve"> 63829.819 </t>
  </si>
  <si>
    <t xml:space="preserve"> 40.5269 </t>
  </si>
  <si>
    <t xml:space="preserve">C:\Users\andre\Desktop\REACTIV CEFAS\Saccharin\Saccharin/20201217_Cefas_Test10_Run1/Plate 3/@17/C8_04.tif </t>
  </si>
  <si>
    <t xml:space="preserve"> 63440.4809 </t>
  </si>
  <si>
    <t xml:space="preserve"> 37.6458 </t>
  </si>
  <si>
    <t xml:space="preserve">C:\Users\andre\Desktop\REACTIV CEFAS\Saccharin\Saccharin/20201217_Cefas_Test10_Run1/Plate 3/@17/D8_01.tif </t>
  </si>
  <si>
    <t xml:space="preserve"> 64024.4881 </t>
  </si>
  <si>
    <t xml:space="preserve"> 43.0544 </t>
  </si>
  <si>
    <t>C:\Users\andre\Desktop\REACTIV CEFAS\Saccharin\Saccharin/20201217_Cefas_Test10_Run1/Plate 3/@17/D8_02- exclu.tif</t>
  </si>
  <si>
    <t xml:space="preserve">C:\Users\andre\Desktop\REACTIV CEFAS\Saccharin\Saccharin/20201217_Cefas_Test10_Run1/Plate 3/@17/D8_03.tif </t>
  </si>
  <si>
    <t xml:space="preserve"> 58292.566 </t>
  </si>
  <si>
    <t xml:space="preserve"> 42.9955 </t>
  </si>
  <si>
    <t xml:space="preserve">C:\Users\andre\Desktop\REACTIV CEFAS\Saccharin\Saccharin/20201217_Cefas_Test10_Run1/Plate 3/@17/D8_04.tif </t>
  </si>
  <si>
    <t xml:space="preserve"> 56843.3631 </t>
  </si>
  <si>
    <t xml:space="preserve"> 41.6568 </t>
  </si>
  <si>
    <t xml:space="preserve">C:\Users\andre\Desktop\REACTIV CEFAS\Saccharin\Saccharin/20201217_Cefas_Test10_Run1/Plate 3/@17/E8_01.tif </t>
  </si>
  <si>
    <t xml:space="preserve"> 35.3143 </t>
  </si>
  <si>
    <t xml:space="preserve">C:\Users\andre\Desktop\REACTIV CEFAS\Saccharin\Saccharin/20201217_Cefas_Test10_Run1/Plate 3/@17/E8_02.tif </t>
  </si>
  <si>
    <t xml:space="preserve"> 50851.8823 </t>
  </si>
  <si>
    <t xml:space="preserve"> 38.1748 </t>
  </si>
  <si>
    <t xml:space="preserve">C:\Users\andre\Desktop\REACTIV CEFAS\Saccharin\Saccharin/20201217_Cefas_Test10_Run1/Plate 3/@17/E8_03.tif </t>
  </si>
  <si>
    <t xml:space="preserve"> 44449.4335 </t>
  </si>
  <si>
    <t xml:space="preserve"> 36.3762 </t>
  </si>
  <si>
    <t xml:space="preserve">C:\Users\andre\Desktop\REACTIV CEFAS\Saccharin\Saccharin/20201217_Cefas_Test10_Run1/Plate 3/@17/E8_04.tif </t>
  </si>
  <si>
    <t xml:space="preserve"> 43649.1274 </t>
  </si>
  <si>
    <t xml:space="preserve"> 36.5619 </t>
  </si>
  <si>
    <t xml:space="preserve">C:\Users\andre\Desktop\REACTIV CEFAS\Saccharin\Saccharin/20201217_Cefas_Test10_Run1/Plate 3/@17/F8_01.tif </t>
  </si>
  <si>
    <t xml:space="preserve"> 44730.6221 </t>
  </si>
  <si>
    <t xml:space="preserve"> 41.3269 </t>
  </si>
  <si>
    <t xml:space="preserve">C:\Users\andre\Desktop\REACTIV CEFAS\Saccharin\Saccharin/20201217_Cefas_Test10_Run1/Plate 3/@17/F8_02.tif </t>
  </si>
  <si>
    <t xml:space="preserve"> 41486.1379 </t>
  </si>
  <si>
    <t xml:space="preserve"> 39.9202 </t>
  </si>
  <si>
    <t xml:space="preserve">C:\Users\andre\Desktop\REACTIV CEFAS\Saccharin\Saccharin/20201217_Cefas_Test10_Run1/Plate 3/@17/F8_03.tif </t>
  </si>
  <si>
    <t xml:space="preserve"> 44168.2448 </t>
  </si>
  <si>
    <t xml:space="preserve"> 40.9662 </t>
  </si>
  <si>
    <t xml:space="preserve">C:\Users\andre\Desktop\REACTIV CEFAS\Saccharin\Saccharin/20201217_Cefas_Test10_Run1/Plate 3/@17/F8_04.tif </t>
  </si>
  <si>
    <t xml:space="preserve"> 44600.8427 </t>
  </si>
  <si>
    <t xml:space="preserve"> 41.0112 </t>
  </si>
  <si>
    <t xml:space="preserve">C:\Users\andre\Desktop\REACTIV CEFAS\Saccharin\Saccharin/20201217_Cefas_Test10_Run1/Plate 3/@17/G8_01.tif </t>
  </si>
  <si>
    <t xml:space="preserve"> 28702.8702 </t>
  </si>
  <si>
    <t xml:space="preserve"> 34.8892 </t>
  </si>
  <si>
    <t xml:space="preserve">C:\Users\andre\Desktop\REACTIV CEFAS\Saccharin\Saccharin/20201217_Cefas_Test10_Run1/Plate 3/@17/G8_02.tif </t>
  </si>
  <si>
    <t xml:space="preserve"> 15746.5633 </t>
  </si>
  <si>
    <t xml:space="preserve"> 33.0618 </t>
  </si>
  <si>
    <t xml:space="preserve">C:\Users\andre\Desktop\REACTIV CEFAS\Saccharin\Saccharin/20201217_Cefas_Test10_Run1/Plate 3/@17/G8_03.tif </t>
  </si>
  <si>
    <t xml:space="preserve"> 27945.8239 </t>
  </si>
  <si>
    <t xml:space="preserve"> 34.8746 </t>
  </si>
  <si>
    <t xml:space="preserve">C:\Users\andre\Desktop\REACTIV CEFAS\Saccharin\Saccharin/20201217_Cefas_Test10_Run1/Plate 3/@17/G8_04.tif </t>
  </si>
  <si>
    <t xml:space="preserve"> 27989.0836 </t>
  </si>
  <si>
    <t xml:space="preserve"> 35.2396 </t>
  </si>
  <si>
    <t>C:\Users\andre\Desktop\REACTIV CEFAS\Saccharin\Saccharin/20201217_Cefas_Test10_Run1/Plate 3/@17/H8_01- exclu.tif</t>
  </si>
  <si>
    <t>C:\Users\andre\Desktop\REACTIV CEFAS\Saccharin\Saccharin/20201217_Cefas_Test10_Run1/Plate 3/@17/H8_02- exclu.tif</t>
  </si>
  <si>
    <t>C:\Users\andre\Desktop\REACTIV CEFAS\Saccharin\Saccharin/20201217_Cefas_Test10_Run1/Plate 3/@17/H8_03- exclu.tif</t>
  </si>
  <si>
    <t>C:\Users\andre\Desktop\REACTIV CEFAS\Saccharin\Saccharin/20201217_Cefas_Test10_Run1/Plate 3/@17/H8_04- exclu.tif</t>
  </si>
  <si>
    <t xml:space="preserve">C:\Users\andre\Desktop\REACTIV CEFAS\Saccharin\Saccharin/20201217_Cefas_Test10_Run1/Plate 3/@17/ </t>
  </si>
  <si>
    <t xml:space="preserve"> 40.1304 </t>
  </si>
  <si>
    <t xml:space="preserve"> 3.2329 </t>
  </si>
  <si>
    <t xml:space="preserve"> 2098770.97 </t>
  </si>
  <si>
    <t xml:space="preserve"> 640117.95 </t>
  </si>
  <si>
    <t xml:space="preserve">C:\Users\andre\Desktop\REACTIV CEFAS\Saccharin\Saccharin/20201217_Cefas_Test10_Run1/Plate 3/@18/A9_01.tif </t>
  </si>
  <si>
    <t xml:space="preserve"> 59828.2885 </t>
  </si>
  <si>
    <t xml:space="preserve"> 39.3181 </t>
  </si>
  <si>
    <t xml:space="preserve">C:\Users\andre\Desktop\REACTIV CEFAS\Saccharin\Saccharin/20201217_Cefas_Test10_Run1/Plate 3/@18/A9_02.tif </t>
  </si>
  <si>
    <t xml:space="preserve"> 76137.2291 </t>
  </si>
  <si>
    <t xml:space="preserve"> 42.7295 </t>
  </si>
  <si>
    <t xml:space="preserve">C:\Users\andre\Desktop\REACTIV CEFAS\Saccharin\Saccharin/20201217_Cefas_Test10_Run1/Plate 3/@18/A9_03.tif </t>
  </si>
  <si>
    <t xml:space="preserve"> 40.4748 </t>
  </si>
  <si>
    <t>C:\Users\andre\Desktop\REACTIV CEFAS\Saccharin\Saccharin/20201217_Cefas_Test10_Run1/Plate 3/@18/A9_04- exclu.tif</t>
  </si>
  <si>
    <t xml:space="preserve">C:\Users\andre\Desktop\REACTIV CEFAS\Saccharin\Saccharin/20201217_Cefas_Test10_Run1/Plate 3/@18/B9_01.tif </t>
  </si>
  <si>
    <t xml:space="preserve"> 15400.485 </t>
  </si>
  <si>
    <t xml:space="preserve"> 33.9888 </t>
  </si>
  <si>
    <t xml:space="preserve">C:\Users\andre\Desktop\REACTIV CEFAS\Saccharin\Saccharin/20201217_Cefas_Test10_Run1/Plate 3/@18/B9_02.tif </t>
  </si>
  <si>
    <t xml:space="preserve"> 26258.6921 </t>
  </si>
  <si>
    <t xml:space="preserve"> 36.7479 </t>
  </si>
  <si>
    <t xml:space="preserve">C:\Users\andre\Desktop\REACTIV CEFAS\Saccharin\Saccharin/20201217_Cefas_Test10_Run1/Plate 3/@18/B9_03.tif </t>
  </si>
  <si>
    <t xml:space="preserve"> 24333.6315 </t>
  </si>
  <si>
    <t xml:space="preserve"> 36.3218 </t>
  </si>
  <si>
    <t>C:\Users\andre\Desktop\REACTIV CEFAS\Saccharin\Saccharin/20201217_Cefas_Test10_Run1/Plate 3/@18/B9_04- exclu.tif</t>
  </si>
  <si>
    <t xml:space="preserve">C:\Users\andre\Desktop\REACTIV CEFAS\Saccharin\Saccharin/20201217_Cefas_Test10_Run1/Plate 3/@18/C9_01.tif </t>
  </si>
  <si>
    <t xml:space="preserve"> 73260.4531 </t>
  </si>
  <si>
    <t xml:space="preserve"> 40.4071 </t>
  </si>
  <si>
    <t xml:space="preserve">C:\Users\andre\Desktop\REACTIV CEFAS\Saccharin\Saccharin/20201217_Cefas_Test10_Run1/Plate 3/@18/C9_02.tif </t>
  </si>
  <si>
    <t xml:space="preserve"> 80484.8379 </t>
  </si>
  <si>
    <t xml:space="preserve"> 44.2153 </t>
  </si>
  <si>
    <t xml:space="preserve">C:\Users\andre\Desktop\REACTIV CEFAS\Saccharin\Saccharin/20201217_Cefas_Test10_Run1/Plate 3/@18/C9_03.tif </t>
  </si>
  <si>
    <t xml:space="preserve"> 77651.3217 </t>
  </si>
  <si>
    <t xml:space="preserve"> 43.2836 </t>
  </si>
  <si>
    <t xml:space="preserve">C:\Users\andre\Desktop\REACTIV CEFAS\Saccharin\Saccharin/20201217_Cefas_Test10_Run1/Plate 3/@18/C9_04.tif </t>
  </si>
  <si>
    <t xml:space="preserve"> 76050.7095 </t>
  </si>
  <si>
    <t xml:space="preserve"> 43.8461 </t>
  </si>
  <si>
    <t xml:space="preserve">C:\Users\andre\Desktop\REACTIV CEFAS\Saccharin\Saccharin/20201217_Cefas_Test10_Run1/Plate 3/@18/D9_01.tif </t>
  </si>
  <si>
    <t xml:space="preserve"> 42.4189 </t>
  </si>
  <si>
    <t xml:space="preserve">C:\Users\andre\Desktop\REACTIV CEFAS\Saccharin\Saccharin/20201217_Cefas_Test10_Run1/Plate 3/@18/D9_02.tif </t>
  </si>
  <si>
    <t xml:space="preserve"> 70383.6771 </t>
  </si>
  <si>
    <t xml:space="preserve"> 40.0922 </t>
  </si>
  <si>
    <t xml:space="preserve">C:\Users\andre\Desktop\REACTIV CEFAS\Saccharin\Saccharin/20201217_Cefas_Test10_Run1/Plate 3/@18/D9_03.tif </t>
  </si>
  <si>
    <t xml:space="preserve"> 66187.4776 </t>
  </si>
  <si>
    <t xml:space="preserve"> 41.2105 </t>
  </si>
  <si>
    <t xml:space="preserve">C:\Users\andre\Desktop\REACTIV CEFAS\Saccharin\Saccharin/20201217_Cefas_Test10_Run1/Plate 3/@18/D9_04.tif </t>
  </si>
  <si>
    <t xml:space="preserve"> 67009.4136 </t>
  </si>
  <si>
    <t xml:space="preserve"> 39.3683 </t>
  </si>
  <si>
    <t xml:space="preserve">C:\Users\andre\Desktop\REACTIV CEFAS\Saccharin\Saccharin/20201217_Cefas_Test10_Run1/Plate 3/@18/E9_01.tif </t>
  </si>
  <si>
    <t xml:space="preserve"> 52733.6831 </t>
  </si>
  <si>
    <t xml:space="preserve"> 37.8244 </t>
  </si>
  <si>
    <t xml:space="preserve">C:\Users\andre\Desktop\REACTIV CEFAS\Saccharin\Saccharin/20201217_Cefas_Test10_Run1/Plate 3/@18/E9_02.tif </t>
  </si>
  <si>
    <t xml:space="preserve"> 37.7248 </t>
  </si>
  <si>
    <t xml:space="preserve">C:\Users\andre\Desktop\REACTIV CEFAS\Saccharin\Saccharin/20201217_Cefas_Test10_Run1/Plate 3/@18/E9_03.tif </t>
  </si>
  <si>
    <t xml:space="preserve"> 49337.7896 </t>
  </si>
  <si>
    <t xml:space="preserve"> 39.1859 </t>
  </si>
  <si>
    <t xml:space="preserve">C:\Users\andre\Desktop\REACTIV CEFAS\Saccharin\Saccharin/20201217_Cefas_Test10_Run1/Plate 3/@18/E9_04.tif </t>
  </si>
  <si>
    <t xml:space="preserve"> 42.2205 </t>
  </si>
  <si>
    <t>C:\Users\andre\Desktop\REACTIV CEFAS\Saccharin\Saccharin/20201217_Cefas_Test10_Run1/Plate 3/@18/F9_01- exclu.tif</t>
  </si>
  <si>
    <t xml:space="preserve">C:\Users\andre\Desktop\REACTIV CEFAS\Saccharin\Saccharin/20201217_Cefas_Test10_Run1/Plate 3/@18/F9_02.tif </t>
  </si>
  <si>
    <t xml:space="preserve"> 47780.4372 </t>
  </si>
  <si>
    <t xml:space="preserve"> 36.4151 </t>
  </si>
  <si>
    <t>C:\Users\andre\Desktop\REACTIV CEFAS\Saccharin\Saccharin/20201217_Cefas_Test10_Run1/Plate 3/@18/F9_03- exclu.tif</t>
  </si>
  <si>
    <t xml:space="preserve">C:\Users\andre\Desktop\REACTIV CEFAS\Saccharin\Saccharin/20201217_Cefas_Test10_Run1/Plate 3/@18/F9_04.tif </t>
  </si>
  <si>
    <t xml:space="preserve"> 34953.9097 </t>
  </si>
  <si>
    <t xml:space="preserve"> 35.315 </t>
  </si>
  <si>
    <t xml:space="preserve">C:\Users\andre\Desktop\REACTIV CEFAS\Saccharin\Saccharin/20201217_Cefas_Test10_Run1/Plate 3/@18/G9_01.tif </t>
  </si>
  <si>
    <t xml:space="preserve"> 46.9357 </t>
  </si>
  <si>
    <t xml:space="preserve">C:\Users\andre\Desktop\REACTIV CEFAS\Saccharin\Saccharin/20201217_Cefas_Test10_Run1/Plate 3/@18/G9_02.tif </t>
  </si>
  <si>
    <t xml:space="preserve"> 44.6317 </t>
  </si>
  <si>
    <t>C:\Users\andre\Desktop\REACTIV CEFAS\Saccharin\Saccharin/20201217_Cefas_Test10_Run1/Plate 3/@18/G9_03- exclu.tif</t>
  </si>
  <si>
    <t>C:\Users\andre\Desktop\REACTIV CEFAS\Saccharin\Saccharin/20201217_Cefas_Test10_Run1/Plate 3/@18/G9_04- exclu.tif</t>
  </si>
  <si>
    <t xml:space="preserve">C:\Users\andre\Desktop\REACTIV CEFAS\Saccharin\Saccharin/20201217_Cefas_Test10_Run1/Plate 3/@18/H9_01.tif </t>
  </si>
  <si>
    <t xml:space="preserve"> 63873.0788 </t>
  </si>
  <si>
    <t xml:space="preserve"> 38.1818 </t>
  </si>
  <si>
    <t xml:space="preserve">C:\Users\andre\Desktop\REACTIV CEFAS\Saccharin\Saccharin/20201217_Cefas_Test10_Run1/Plate 3/@18/H9_02.tif </t>
  </si>
  <si>
    <t xml:space="preserve"> 57427.3702 </t>
  </si>
  <si>
    <t xml:space="preserve"> 38.4599 </t>
  </si>
  <si>
    <t xml:space="preserve">C:\Users\andre\Desktop\REACTIV CEFAS\Saccharin\Saccharin/20201217_Cefas_Test10_Run1/Plate 3/@18/H9_03.tif </t>
  </si>
  <si>
    <t xml:space="preserve"> 62596.9151 </t>
  </si>
  <si>
    <t xml:space="preserve"> 37.6603 </t>
  </si>
  <si>
    <t xml:space="preserve">C:\Users\andre\Desktop\REACTIV CEFAS\Saccharin\Saccharin/20201217_Cefas_Test10_Run1/Plate 3/@18/H9_04.tif </t>
  </si>
  <si>
    <t xml:space="preserve"> 67268.9723 </t>
  </si>
  <si>
    <t xml:space="preserve"> 35.7347 </t>
  </si>
  <si>
    <t xml:space="preserve">C:\Users\andre\Desktop\REACTIV CEFAS\Saccharin\Saccharin/20201217_Cefas_Test10_Run1/Plate 3/@18/ </t>
  </si>
  <si>
    <t xml:space="preserve"> 39.5826 </t>
  </si>
  <si>
    <t xml:space="preserve"> 4.2466 </t>
  </si>
  <si>
    <t xml:space="preserve"> 2161256.25 </t>
  </si>
  <si>
    <t xml:space="preserve"> 891293.256 </t>
  </si>
  <si>
    <t xml:space="preserve">C:\Users\andre\Desktop\REACTIV CEFAS\Saccharin\Saccharin/20201217_Cefas_Test10_Run1/Plate 3/@19/A10_01.tif </t>
  </si>
  <si>
    <t xml:space="preserve"> 48991.7113 </t>
  </si>
  <si>
    <t xml:space="preserve"> 39.555 </t>
  </si>
  <si>
    <t xml:space="preserve">C:\Users\andre\Desktop\REACTIV CEFAS\Saccharin\Saccharin/20201217_Cefas_Test10_Run1/Plate 3/@19/A10_02.tif </t>
  </si>
  <si>
    <t xml:space="preserve"> 43973.5758 </t>
  </si>
  <si>
    <t xml:space="preserve"> 40.1058 </t>
  </si>
  <si>
    <t>C:\Users\andre\Desktop\REACTIV CEFAS\Saccharin\Saccharin/20201217_Cefas_Test10_Run1/Plate 3/@19/A10_03- exclu.tif</t>
  </si>
  <si>
    <t xml:space="preserve">C:\Users\andre\Desktop\REACTIV CEFAS\Saccharin\Saccharin/20201217_Cefas_Test10_Run1/Plate 3/@19/A10_04.tif </t>
  </si>
  <si>
    <t xml:space="preserve"> 67571.7908 </t>
  </si>
  <si>
    <t xml:space="preserve"> 38.2871 </t>
  </si>
  <si>
    <t xml:space="preserve">C:\Users\andre\Desktop\REACTIV CEFAS\Saccharin\Saccharin/20201217_Cefas_Test10_Run1/Plate 3/@19/B10_01.tif </t>
  </si>
  <si>
    <t xml:space="preserve"> 44644.1025 </t>
  </si>
  <si>
    <t xml:space="preserve"> 37.3004 </t>
  </si>
  <si>
    <t xml:space="preserve">C:\Users\andre\Desktop\REACTIV CEFAS\Saccharin\Saccharin/20201217_Cefas_Test10_Run1/Plate 3/@19/B10_02.tif </t>
  </si>
  <si>
    <t xml:space="preserve"> 37.1077 </t>
  </si>
  <si>
    <t xml:space="preserve">C:\Users\andre\Desktop\REACTIV CEFAS\Saccharin\Saccharin/20201217_Cefas_Test10_Run1/Plate 3/@19/B10_03.tif </t>
  </si>
  <si>
    <t xml:space="preserve"> 41031.9101 </t>
  </si>
  <si>
    <t xml:space="preserve"> 35.0353 </t>
  </si>
  <si>
    <t xml:space="preserve">C:\Users\andre\Desktop\REACTIV CEFAS\Saccharin\Saccharin/20201217_Cefas_Test10_Run1/Plate 3/@19/B10_04.tif </t>
  </si>
  <si>
    <t xml:space="preserve"> 39690.8566 </t>
  </si>
  <si>
    <t xml:space="preserve"> 35.2305 </t>
  </si>
  <si>
    <t xml:space="preserve">C:\Users\andre\Desktop\REACTIV CEFAS\Saccharin\Saccharin/20201217_Cefas_Test10_Run1/Plate 3/@19/C10_01.tif </t>
  </si>
  <si>
    <t xml:space="preserve"> 38.7069 </t>
  </si>
  <si>
    <t xml:space="preserve">C:\Users\andre\Desktop\REACTIV CEFAS\Saccharin\Saccharin/20201217_Cefas_Test10_Run1/Plate 3/@19/C10_02.tif </t>
  </si>
  <si>
    <t xml:space="preserve"> 37.4043 </t>
  </si>
  <si>
    <t xml:space="preserve">C:\Users\andre\Desktop\REACTIV CEFAS\Saccharin\Saccharin/20201217_Cefas_Test10_Run1/Plate 3/@19/C10_03.tif </t>
  </si>
  <si>
    <t xml:space="preserve"> 40318.1236 </t>
  </si>
  <si>
    <t xml:space="preserve"> 36.86 </t>
  </si>
  <si>
    <t xml:space="preserve">C:\Users\andre\Desktop\REACTIV CEFAS\Saccharin\Saccharin/20201217_Cefas_Test10_Run1/Plate 3/@19/C10_04.tif </t>
  </si>
  <si>
    <t xml:space="preserve"> 46828.7219 </t>
  </si>
  <si>
    <t xml:space="preserve"> 38.5321 </t>
  </si>
  <si>
    <t xml:space="preserve">C:\Users\andre\Desktop\REACTIV CEFAS\Saccharin\Saccharin/20201217_Cefas_Test10_Run1/Plate 3/@19/D10_01.tif </t>
  </si>
  <si>
    <t xml:space="preserve"> 36900.6002 </t>
  </si>
  <si>
    <t xml:space="preserve"> 37.6331 </t>
  </si>
  <si>
    <t xml:space="preserve">C:\Users\andre\Desktop\REACTIV CEFAS\Saccharin\Saccharin/20201217_Cefas_Test10_Run1/Plate 3/@19/D10_02.tif </t>
  </si>
  <si>
    <t xml:space="preserve"> 33007.2192 </t>
  </si>
  <si>
    <t xml:space="preserve"> 35.7202 </t>
  </si>
  <si>
    <t xml:space="preserve">C:\Users\andre\Desktop\REACTIV CEFAS\Saccharin\Saccharin/20201217_Cefas_Test10_Run1/Plate 3/@19/D10_03.tif </t>
  </si>
  <si>
    <t xml:space="preserve"> 47802.0671 </t>
  </si>
  <si>
    <t xml:space="preserve"> 37.7385 </t>
  </si>
  <si>
    <t xml:space="preserve">C:\Users\andre\Desktop\REACTIV CEFAS\Saccharin\Saccharin/20201217_Cefas_Test10_Run1/Plate 3/@19/D10_04.tif </t>
  </si>
  <si>
    <t xml:space="preserve"> 38.0843 </t>
  </si>
  <si>
    <t xml:space="preserve">C:\Users\andre\Desktop\REACTIV CEFAS\Saccharin\Saccharin/20201217_Cefas_Test10_Run1/Plate 3/@19/E10_01.tif </t>
  </si>
  <si>
    <t xml:space="preserve"> 35.9804 </t>
  </si>
  <si>
    <t xml:space="preserve">C:\Users\andre\Desktop\REACTIV CEFAS\Saccharin\Saccharin/20201217_Cefas_Test10_Run1/Plate 3/@19/E10_02.tif </t>
  </si>
  <si>
    <t xml:space="preserve"> 35.6738 </t>
  </si>
  <si>
    <t xml:space="preserve">C:\Users\andre\Desktop\REACTIV CEFAS\Saccharin\Saccharin/20201217_Cefas_Test10_Run1/Plate 3/@19/E10_03.tif </t>
  </si>
  <si>
    <t xml:space="preserve"> 35.4505 </t>
  </si>
  <si>
    <t xml:space="preserve">C:\Users\andre\Desktop\REACTIV CEFAS\Saccharin\Saccharin/20201217_Cefas_Test10_Run1/Plate 3/@19/E10_04.tif </t>
  </si>
  <si>
    <t xml:space="preserve"> 38.5022 </t>
  </si>
  <si>
    <t xml:space="preserve">C:\Users\andre\Desktop\REACTIV CEFAS\Saccharin\Saccharin/20201217_Cefas_Test10_Run1/Plate 3/@19/F10_01.tif </t>
  </si>
  <si>
    <t xml:space="preserve"> 35.3186 </t>
  </si>
  <si>
    <t xml:space="preserve">C:\Users\andre\Desktop\REACTIV CEFAS\Saccharin\Saccharin/20201217_Cefas_Test10_Run1/Plate 3/@19/F10_02.tif </t>
  </si>
  <si>
    <t xml:space="preserve"> 33.1529 </t>
  </si>
  <si>
    <t xml:space="preserve">C:\Users\andre\Desktop\REACTIV CEFAS\Saccharin\Saccharin/20201217_Cefas_Test10_Run1/Plate 3/@19/F10_03.tif </t>
  </si>
  <si>
    <t xml:space="preserve"> 5688.6623 </t>
  </si>
  <si>
    <t xml:space="preserve"> 33.2662 </t>
  </si>
  <si>
    <t xml:space="preserve">C:\Users\andre\Desktop\REACTIV CEFAS\Saccharin\Saccharin/20201217_Cefas_Test10_Run1/Plate 3/@19/F10_04.tif </t>
  </si>
  <si>
    <t xml:space="preserve"> 8111.2105 </t>
  </si>
  <si>
    <t xml:space="preserve"> 35.1227 </t>
  </si>
  <si>
    <t xml:space="preserve">C:\Users\andre\Desktop\REACTIV CEFAS\Saccharin\Saccharin/20201217_Cefas_Test10_Run1/Plate 3/@19/G10_01.tif </t>
  </si>
  <si>
    <t xml:space="preserve"> 35.7747 </t>
  </si>
  <si>
    <t xml:space="preserve">C:\Users\andre\Desktop\REACTIV CEFAS\Saccharin\Saccharin/20201217_Cefas_Test10_Run1/Plate 3/@19/G10_02.tif </t>
  </si>
  <si>
    <t xml:space="preserve"> 37.8374 </t>
  </si>
  <si>
    <t xml:space="preserve">C:\Users\andre\Desktop\REACTIV CEFAS\Saccharin\Saccharin/20201217_Cefas_Test10_Run1/Plate 3/@19/G10_03.tif </t>
  </si>
  <si>
    <t xml:space="preserve"> 35.758 </t>
  </si>
  <si>
    <t xml:space="preserve">C:\Users\andre\Desktop\REACTIV CEFAS\Saccharin\Saccharin/20201217_Cefas_Test10_Run1/Plate 3/@19/G10_04.tif </t>
  </si>
  <si>
    <t xml:space="preserve"> 51825.2275 </t>
  </si>
  <si>
    <t xml:space="preserve"> 35.3669 </t>
  </si>
  <si>
    <t xml:space="preserve">C:\Users\andre\Desktop\REACTIV CEFAS\Saccharin\Saccharin/20201217_Cefas_Test10_Run1/Plate 3/@19/H10_01.tif </t>
  </si>
  <si>
    <t xml:space="preserve"> 67917.8691 </t>
  </si>
  <si>
    <t xml:space="preserve"> 44.8548 </t>
  </si>
  <si>
    <t xml:space="preserve">C:\Users\andre\Desktop\REACTIV CEFAS\Saccharin\Saccharin/20201217_Cefas_Test10_Run1/Plate 3/@19/H10_02.tif </t>
  </si>
  <si>
    <t xml:space="preserve"> 62207.577 </t>
  </si>
  <si>
    <t xml:space="preserve"> 40.0862 </t>
  </si>
  <si>
    <t xml:space="preserve">C:\Users\andre\Desktop\REACTIV CEFAS\Saccharin\Saccharin/20201217_Cefas_Test10_Run1/Plate 3/@19/H10_03.tif </t>
  </si>
  <si>
    <t xml:space="preserve"> 66987.7837 </t>
  </si>
  <si>
    <t xml:space="preserve"> 40.5586 </t>
  </si>
  <si>
    <t xml:space="preserve">C:\Users\andre\Desktop\REACTIV CEFAS\Saccharin\Saccharin/20201217_Cefas_Test10_Run1/Plate 3/@19/H10_04.tif </t>
  </si>
  <si>
    <t xml:space="preserve"> 65149.2426 </t>
  </si>
  <si>
    <t xml:space="preserve"> 39.6162 </t>
  </si>
  <si>
    <t xml:space="preserve">C:\Users\andre\Desktop\REACTIV CEFAS\Saccharin\Saccharin/20201217_Cefas_Test10_Run1/Plate 3/@19/ </t>
  </si>
  <si>
    <t xml:space="preserve"> 37.4858 </t>
  </si>
  <si>
    <t xml:space="preserve"> 2.6287 </t>
  </si>
  <si>
    <t xml:space="preserve"> 1462318.75 </t>
  </si>
  <si>
    <t xml:space="preserve"> 850776.785 </t>
  </si>
  <si>
    <t xml:space="preserve">C:\Users\andre\Desktop\REACTIV CEFAS\Saccharin\Saccharin/20201217_Cefas_Test10_Run1/Plate 3/@20/A11_01.tif </t>
  </si>
  <si>
    <t xml:space="preserve"> 42416.2234 </t>
  </si>
  <si>
    <t xml:space="preserve"> 39.331 </t>
  </si>
  <si>
    <t xml:space="preserve">C:\Users\andre\Desktop\REACTIV CEFAS\Saccharin\Saccharin/20201217_Cefas_Test10_Run1/Plate 3/@20/A11_02.tif </t>
  </si>
  <si>
    <t xml:space="preserve"> 47564.1383 </t>
  </si>
  <si>
    <t xml:space="preserve"> 37.4065 </t>
  </si>
  <si>
    <t xml:space="preserve">C:\Users\andre\Desktop\REACTIV CEFAS\Saccharin\Saccharin/20201217_Cefas_Test10_Run1/Plate 3/@20/A11_03.tif </t>
  </si>
  <si>
    <t xml:space="preserve"> 52171.3058 </t>
  </si>
  <si>
    <t xml:space="preserve"> 39.4954 </t>
  </si>
  <si>
    <t xml:space="preserve">C:\Users\andre\Desktop\REACTIV CEFAS\Saccharin\Saccharin/20201217_Cefas_Test10_Run1/Plate 3/@20/A11_04.tif </t>
  </si>
  <si>
    <t xml:space="preserve"> 56280.9858 </t>
  </si>
  <si>
    <t xml:space="preserve"> 40.618 </t>
  </si>
  <si>
    <t xml:space="preserve">C:\Users\andre\Desktop\REACTIV CEFAS\Saccharin\Saccharin/20201217_Cefas_Test10_Run1/Plate 3/@20/B11_01.tif </t>
  </si>
  <si>
    <t xml:space="preserve"> 26604.7704 </t>
  </si>
  <si>
    <t xml:space="preserve"> 34.8642 </t>
  </si>
  <si>
    <t xml:space="preserve">C:\Users\andre\Desktop\REACTIV CEFAS\Saccharin\Saccharin/20201217_Cefas_Test10_Run1/Plate 3/@20/B11_02.tif </t>
  </si>
  <si>
    <t xml:space="preserve"> 21738.0441 </t>
  </si>
  <si>
    <t xml:space="preserve"> 34.4995 </t>
  </si>
  <si>
    <t xml:space="preserve">C:\Users\andre\Desktop\REACTIV CEFAS\Saccharin\Saccharin/20201217_Cefas_Test10_Run1/Plate 3/@20/B11_03.tif </t>
  </si>
  <si>
    <t xml:space="preserve"> 32639.511 </t>
  </si>
  <si>
    <t xml:space="preserve"> 36.1584 </t>
  </si>
  <si>
    <t xml:space="preserve">C:\Users\andre\Desktop\REACTIV CEFAS\Saccharin\Saccharin/20201217_Cefas_Test10_Run1/Plate 3/@20/B11_04.tif </t>
  </si>
  <si>
    <t xml:space="preserve"> 24203.8521 </t>
  </si>
  <si>
    <t xml:space="preserve"> 34.8204 </t>
  </si>
  <si>
    <t xml:space="preserve">C:\Users\andre\Desktop\REACTIV CEFAS\Saccharin\Saccharin/20201217_Cefas_Test10_Run1/Plate 3/@20/C11_01.tif </t>
  </si>
  <si>
    <t xml:space="preserve"> 55826.758 </t>
  </si>
  <si>
    <t xml:space="preserve"> 36.7644 </t>
  </si>
  <si>
    <t xml:space="preserve">C:\Users\andre\Desktop\REACTIV CEFAS\Saccharin\Saccharin/20201217_Cefas_Test10_Run1/Plate 3/@20/C11_02.tif </t>
  </si>
  <si>
    <t xml:space="preserve"> 37.6639 </t>
  </si>
  <si>
    <t xml:space="preserve">C:\Users\andre\Desktop\REACTIV CEFAS\Saccharin\Saccharin/20201217_Cefas_Test10_Run1/Plate 3/@20/C11_03.tif </t>
  </si>
  <si>
    <t xml:space="preserve"> 38.1392 </t>
  </si>
  <si>
    <t>C:\Users\andre\Desktop\REACTIV CEFAS\Saccharin\Saccharin/20201217_Cefas_Test10_Run1/Plate 3/@20/C11_04- exclu.tif</t>
  </si>
  <si>
    <t xml:space="preserve">C:\Users\andre\Desktop\REACTIV CEFAS\Saccharin\Saccharin/20201217_Cefas_Test10_Run1/Plate 3/@20/D11_01.tif </t>
  </si>
  <si>
    <t xml:space="preserve"> 19250.6062 </t>
  </si>
  <si>
    <t xml:space="preserve"> 33.1798 </t>
  </si>
  <si>
    <t xml:space="preserve">C:\Users\andre\Desktop\REACTIV CEFAS\Saccharin\Saccharin/20201217_Cefas_Test10_Run1/Plate 3/@20/D11_02.tif </t>
  </si>
  <si>
    <t xml:space="preserve"> 23901.0336 </t>
  </si>
  <si>
    <t xml:space="preserve"> 34.581 </t>
  </si>
  <si>
    <t xml:space="preserve">C:\Users\andre\Desktop\REACTIV CEFAS\Saccharin\Saccharin/20201217_Cefas_Test10_Run1/Plate 3/@20/D11_03.tif </t>
  </si>
  <si>
    <t xml:space="preserve"> 25631.4251 </t>
  </si>
  <si>
    <t xml:space="preserve"> 35.5401 </t>
  </si>
  <si>
    <t xml:space="preserve">C:\Users\andre\Desktop\REACTIV CEFAS\Saccharin\Saccharin/20201217_Cefas_Test10_Run1/Plate 3/@20/D11_04.tif </t>
  </si>
  <si>
    <t xml:space="preserve"> 32747.6605 </t>
  </si>
  <si>
    <t xml:space="preserve"> 35.5641 </t>
  </si>
  <si>
    <t xml:space="preserve">C:\Users\andre\Desktop\REACTIV CEFAS\Saccharin\Saccharin/20201217_Cefas_Test10_Run1/Plate 3/@20/E11_01.tif </t>
  </si>
  <si>
    <t xml:space="preserve"> 48321.1846 </t>
  </si>
  <si>
    <t xml:space="preserve"> 37.7359 </t>
  </si>
  <si>
    <t xml:space="preserve">C:\Users\andre\Desktop\REACTIV CEFAS\Saccharin\Saccharin/20201217_Cefas_Test10_Run1/Plate 3/@20/E11_02.tif </t>
  </si>
  <si>
    <t xml:space="preserve"> 45444.4086 </t>
  </si>
  <si>
    <t xml:space="preserve"> 36.8325 </t>
  </si>
  <si>
    <t xml:space="preserve">C:\Users\andre\Desktop\REACTIV CEFAS\Saccharin\Saccharin/20201217_Cefas_Test10_Run1/Plate 3/@20/E11_03.tif </t>
  </si>
  <si>
    <t xml:space="preserve"> 54810.153 </t>
  </si>
  <si>
    <t xml:space="preserve"> 39.9021 </t>
  </si>
  <si>
    <t xml:space="preserve">C:\Users\andre\Desktop\REACTIV CEFAS\Saccharin\Saccharin/20201217_Cefas_Test10_Run1/Plate 3/@20/E11_04.tif </t>
  </si>
  <si>
    <t xml:space="preserve"> 46266.3446 </t>
  </si>
  <si>
    <t xml:space="preserve"> 36.3034 </t>
  </si>
  <si>
    <t xml:space="preserve">C:\Users\andre\Desktop\REACTIV CEFAS\Saccharin\Saccharin/20201217_Cefas_Test10_Run1/Plate 3/@20/F11_01.tif </t>
  </si>
  <si>
    <t xml:space="preserve"> 25090.6778 </t>
  </si>
  <si>
    <t xml:space="preserve"> 34.4586 </t>
  </si>
  <si>
    <t xml:space="preserve">C:\Users\andre\Desktop\REACTIV CEFAS\Saccharin\Saccharin/20201217_Cefas_Test10_Run1/Plate 3/@20/F11_02.tif </t>
  </si>
  <si>
    <t xml:space="preserve"> 28248.6424 </t>
  </si>
  <si>
    <t xml:space="preserve"> 34.3813 </t>
  </si>
  <si>
    <t>C:\Users\andre\Desktop\REACTIV CEFAS\Saccharin\Saccharin/20201217_Cefas_Test10_Run1/Plate 3/@20/F11_03- exclu.tif</t>
  </si>
  <si>
    <t xml:space="preserve">C:\Users\andre\Desktop\REACTIV CEFAS\Saccharin\Saccharin/20201217_Cefas_Test10_Run1/Plate 3/@20/F11_04.tif </t>
  </si>
  <si>
    <t xml:space="preserve"> 35.1596 </t>
  </si>
  <si>
    <t xml:space="preserve">C:\Users\andre\Desktop\REACTIV CEFAS\Saccharin\Saccharin/20201217_Cefas_Test10_Run1/Plate 3/@20/G11_01.tif </t>
  </si>
  <si>
    <t xml:space="preserve"> 8976.4063 </t>
  </si>
  <si>
    <t xml:space="preserve"> 35.4386 </t>
  </si>
  <si>
    <t xml:space="preserve">C:\Users\andre\Desktop\REACTIV CEFAS\Saccharin\Saccharin/20201217_Cefas_Test10_Run1/Plate 3/@20/G11_02.tif </t>
  </si>
  <si>
    <t xml:space="preserve"> 36.2528 </t>
  </si>
  <si>
    <t xml:space="preserve">C:\Users\andre\Desktop\REACTIV CEFAS\Saccharin\Saccharin/20201217_Cefas_Test10_Run1/Plate 3/@20/G11_03.tif </t>
  </si>
  <si>
    <t xml:space="preserve"> 35.6615 </t>
  </si>
  <si>
    <t xml:space="preserve">C:\Users\andre\Desktop\REACTIV CEFAS\Saccharin\Saccharin/20201217_Cefas_Test10_Run1/Plate 3/@20/G11_04.tif </t>
  </si>
  <si>
    <t xml:space="preserve"> 37.8149 </t>
  </si>
  <si>
    <t xml:space="preserve">C:\Users\andre\Desktop\REACTIV CEFAS\Saccharin\Saccharin/20201217_Cefas_Test10_Run1/Plate 3/@20/H11_01.tif </t>
  </si>
  <si>
    <t xml:space="preserve"> 35.2377 </t>
  </si>
  <si>
    <t xml:space="preserve">C:\Users\andre\Desktop\REACTIV CEFAS\Saccharin\Saccharin/20201217_Cefas_Test10_Run1/Plate 3/@20/H11_02.tif </t>
  </si>
  <si>
    <t xml:space="preserve"> 36641.0415 </t>
  </si>
  <si>
    <t xml:space="preserve">C:\Users\andre\Desktop\REACTIV CEFAS\Saccharin\Saccharin/20201217_Cefas_Test10_Run1/Plate 3/@20/H11_03.tif </t>
  </si>
  <si>
    <t xml:space="preserve"> 37982.095 </t>
  </si>
  <si>
    <t xml:space="preserve"> 36.4311 </t>
  </si>
  <si>
    <t xml:space="preserve">C:\Users\andre\Desktop\REACTIV CEFAS\Saccharin\Saccharin/20201217_Cefas_Test10_Run1/Plate 3/@20/H11_04.tif </t>
  </si>
  <si>
    <t xml:space="preserve"> 36835.7106 </t>
  </si>
  <si>
    <t xml:space="preserve"> 34.916 </t>
  </si>
  <si>
    <t xml:space="preserve">C:\Users\andre\Desktop\REACTIV CEFAS\Saccharin\Saccharin/20201217_Cefas_Test10_Run1/Plate 3/@20/ </t>
  </si>
  <si>
    <t xml:space="preserve"> 36.4633 </t>
  </si>
  <si>
    <t xml:space="preserve"> 1.7964 </t>
  </si>
  <si>
    <t xml:space="preserve"> 1273093.09 </t>
  </si>
  <si>
    <t xml:space="preserve"> 617511.07 </t>
  </si>
  <si>
    <t xml:space="preserve">C:\Users\andre\Desktop\REACTIV CEFAS\Saccharin\Saccharin/20201217_Cefas_Test10_Run1/Plate 3/@21/A12_01.tif </t>
  </si>
  <si>
    <t xml:space="preserve"> 27210.4074 </t>
  </si>
  <si>
    <t xml:space="preserve"> 35.368 </t>
  </si>
  <si>
    <t xml:space="preserve">C:\Users\andre\Desktop\REACTIV CEFAS\Saccharin\Saccharin/20201217_Cefas_Test10_Run1/Plate 3/@21/A12_02.tif </t>
  </si>
  <si>
    <t xml:space="preserve"> 22559.9801 </t>
  </si>
  <si>
    <t xml:space="preserve"> 34.7833 </t>
  </si>
  <si>
    <t>C:\Users\andre\Desktop\REACTIV CEFAS\Saccharin\Saccharin/20201217_Cefas_Test10_Run1/Plate 3/@21/A12_03- exclu.tif</t>
  </si>
  <si>
    <t xml:space="preserve">C:\Users\andre\Desktop\REACTIV CEFAS\Saccharin\Saccharin/20201217_Cefas_Test10_Run1/Plate 3/@21/A12_04.tif </t>
  </si>
  <si>
    <t xml:space="preserve"> 29395.0268 </t>
  </si>
  <si>
    <t xml:space="preserve"> 35.6431 </t>
  </si>
  <si>
    <t xml:space="preserve">C:\Users\andre\Desktop\REACTIV CEFAS\Saccharin\Saccharin/20201217_Cefas_Test10_Run1/Plate 3/@21/B12_01.tif </t>
  </si>
  <si>
    <t xml:space="preserve"> 38.7368 </t>
  </si>
  <si>
    <t xml:space="preserve">C:\Users\andre\Desktop\REACTIV CEFAS\Saccharin\Saccharin/20201217_Cefas_Test10_Run1/Plate 3/@21/B12_02.tif </t>
  </si>
  <si>
    <t xml:space="preserve"> 9928.1216 </t>
  </si>
  <si>
    <t xml:space="preserve"> 37.2658 </t>
  </si>
  <si>
    <t xml:space="preserve">C:\Users\andre\Desktop\REACTIV CEFAS\Saccharin\Saccharin/20201217_Cefas_Test10_Run1/Plate 3/@21/B12_03.tif </t>
  </si>
  <si>
    <t xml:space="preserve"> 6899.9364 </t>
  </si>
  <si>
    <t xml:space="preserve"> 41.8558 </t>
  </si>
  <si>
    <t xml:space="preserve">C:\Users\andre\Desktop\REACTIV CEFAS\Saccharin\Saccharin/20201217_Cefas_Test10_Run1/Plate 3/@21/B12_04.tif </t>
  </si>
  <si>
    <t xml:space="preserve"> 5796.8118 </t>
  </si>
  <si>
    <t xml:space="preserve"> 40.5784 </t>
  </si>
  <si>
    <t xml:space="preserve">C:\Users\andre\Desktop\REACTIV CEFAS\Saccharin\Saccharin/20201217_Cefas_Test10_Run1/Plate 3/@21/C12_01.tif </t>
  </si>
  <si>
    <t xml:space="preserve"> 35.9786 </t>
  </si>
  <si>
    <t xml:space="preserve">C:\Users\andre\Desktop\REACTIV CEFAS\Saccharin\Saccharin/20201217_Cefas_Test10_Run1/Plate 3/@21/C12_02.tif </t>
  </si>
  <si>
    <t xml:space="preserve"> 45747.2271 </t>
  </si>
  <si>
    <t xml:space="preserve"> 37.0369 </t>
  </si>
  <si>
    <t xml:space="preserve">C:\Users\andre\Desktop\REACTIV CEFAS\Saccharin\Saccharin/20201217_Cefas_Test10_Run1/Plate 3/@21/C12_03.tif </t>
  </si>
  <si>
    <t xml:space="preserve"> 38.8781 </t>
  </si>
  <si>
    <t xml:space="preserve">C:\Users\andre\Desktop\REACTIV CEFAS\Saccharin\Saccharin/20201217_Cefas_Test10_Run1/Plate 3/@21/C12_04.tif </t>
  </si>
  <si>
    <t xml:space="preserve"> 51522.409 </t>
  </si>
  <si>
    <t xml:space="preserve"> 39.1146 </t>
  </si>
  <si>
    <t xml:space="preserve">C:\Users\andre\Desktop\REACTIV CEFAS\Saccharin\Saccharin/20201217_Cefas_Test10_Run1/Plate 3/@21/D12_01.tif </t>
  </si>
  <si>
    <t xml:space="preserve"> 56151.2065 </t>
  </si>
  <si>
    <t xml:space="preserve"> 37.7827 </t>
  </si>
  <si>
    <t xml:space="preserve">C:\Users\andre\Desktop\REACTIV CEFAS\Saccharin\Saccharin/20201217_Cefas_Test10_Run1/Plate 3/@21/D12_02.tif </t>
  </si>
  <si>
    <t xml:space="preserve"> 43281.4192 </t>
  </si>
  <si>
    <t xml:space="preserve"> 36.3948 </t>
  </si>
  <si>
    <t xml:space="preserve">C:\Users\andre\Desktop\REACTIV CEFAS\Saccharin\Saccharin/20201217_Cefas_Test10_Run1/Plate 3/@21/D12_03.tif </t>
  </si>
  <si>
    <t xml:space="preserve"> 43043.4903 </t>
  </si>
  <si>
    <t xml:space="preserve"> 35.1975 </t>
  </si>
  <si>
    <t xml:space="preserve">C:\Users\andre\Desktop\REACTIV CEFAS\Saccharin\Saccharin/20201217_Cefas_Test10_Run1/Plate 3/@21/D12_04.tif </t>
  </si>
  <si>
    <t xml:space="preserve"> 36.2378 </t>
  </si>
  <si>
    <t xml:space="preserve">C:\Users\andre\Desktop\REACTIV CEFAS\Saccharin\Saccharin/20201217_Cefas_Test10_Run1/Plate 3/@21/E12_01.tif </t>
  </si>
  <si>
    <t xml:space="preserve"> 20137.4319 </t>
  </si>
  <si>
    <t xml:space="preserve"> 34.4715 </t>
  </si>
  <si>
    <t xml:space="preserve">C:\Users\andre\Desktop\REACTIV CEFAS\Saccharin\Saccharin/20201217_Cefas_Test10_Run1/Plate 3/@21/E12_02.tif </t>
  </si>
  <si>
    <t xml:space="preserve"> 20375.3607 </t>
  </si>
  <si>
    <t xml:space="preserve"> 33.8238 </t>
  </si>
  <si>
    <t xml:space="preserve">C:\Users\andre\Desktop\REACTIV CEFAS\Saccharin\Saccharin/20201217_Cefas_Test10_Run1/Plate 3/@21/E12_03.tif </t>
  </si>
  <si>
    <t xml:space="preserve"> 12956.3069 </t>
  </si>
  <si>
    <t xml:space="preserve"> 34.9466 </t>
  </si>
  <si>
    <t xml:space="preserve">C:\Users\andre\Desktop\REACTIV CEFAS\Saccharin\Saccharin/20201217_Cefas_Test10_Run1/Plate 3/@21/E12_04.tif </t>
  </si>
  <si>
    <t xml:space="preserve"> 17996.0723 </t>
  </si>
  <si>
    <t xml:space="preserve"> 33.9724 </t>
  </si>
  <si>
    <t xml:space="preserve">C:\Users\andre\Desktop\REACTIV CEFAS\Saccharin\Saccharin/20201217_Cefas_Test10_Run1/Plate 3/@21/F12_01.tif </t>
  </si>
  <si>
    <t xml:space="preserve"> 8716.8475 </t>
  </si>
  <si>
    <t xml:space="preserve"> 36.6203 </t>
  </si>
  <si>
    <t xml:space="preserve">C:\Users\andre\Desktop\REACTIV CEFAS\Saccharin\Saccharin/20201217_Cefas_Test10_Run1/Plate 3/@21/F12_02.tif </t>
  </si>
  <si>
    <t xml:space="preserve"> 36.989 </t>
  </si>
  <si>
    <t xml:space="preserve">C:\Users\andre\Desktop\REACTIV CEFAS\Saccharin\Saccharin/20201217_Cefas_Test10_Run1/Plate 3/@21/F12_03.tif </t>
  </si>
  <si>
    <t xml:space="preserve"> 33.0638 </t>
  </si>
  <si>
    <t>C:\Users\andre\Desktop\REACTIV CEFAS\Saccharin\Saccharin/20201217_Cefas_Test10_Run1/Plate 3/@21/F12_04- exclu.tif</t>
  </si>
  <si>
    <t xml:space="preserve">C:\Users\andre\Desktop\REACTIV CEFAS\Saccharin\Saccharin/20201217_Cefas_Test10_Run1/Plate 3/@21/G12_01.tif </t>
  </si>
  <si>
    <t xml:space="preserve"> 9452.264 </t>
  </si>
  <si>
    <t xml:space="preserve"> 35.1739 </t>
  </si>
  <si>
    <t xml:space="preserve">C:\Users\andre\Desktop\REACTIV CEFAS\Saccharin\Saccharin/20201217_Cefas_Test10_Run1/Plate 3/@21/G12_02.tif </t>
  </si>
  <si>
    <t xml:space="preserve"> 31.5254 </t>
  </si>
  <si>
    <t xml:space="preserve">C:\Users\andre\Desktop\REACTIV CEFAS\Saccharin\Saccharin/20201217_Cefas_Test10_Run1/Plate 3/@21/G12_03.tif </t>
  </si>
  <si>
    <t xml:space="preserve"> 13367.2749 </t>
  </si>
  <si>
    <t xml:space="preserve"> 36.4741 </t>
  </si>
  <si>
    <t xml:space="preserve">C:\Users\andre\Desktop\REACTIV CEFAS\Saccharin\Saccharin/20201217_Cefas_Test10_Run1/Plate 3/@21/G12_04.tif </t>
  </si>
  <si>
    <t xml:space="preserve"> 34.7193 </t>
  </si>
  <si>
    <t xml:space="preserve">C:\Users\andre\Desktop\REACTIV CEFAS\Saccharin\Saccharin/20201217_Cefas_Test10_Run1/Plate 3/@21/H12_01.tif </t>
  </si>
  <si>
    <t xml:space="preserve"> 44687.3623 </t>
  </si>
  <si>
    <t xml:space="preserve"> 34.5058 </t>
  </si>
  <si>
    <t xml:space="preserve">C:\Users\andre\Desktop\REACTIV CEFAS\Saccharin\Saccharin/20201217_Cefas_Test10_Run1/Plate 3/@21/H12_02.tif </t>
  </si>
  <si>
    <t xml:space="preserve"> 53598.8789 </t>
  </si>
  <si>
    <t xml:space="preserve"> 35.364 </t>
  </si>
  <si>
    <t xml:space="preserve">C:\Users\andre\Desktop\REACTIV CEFAS\Saccharin\Saccharin/20201217_Cefas_Test10_Run1/Plate 3/@21/H12_03.tif </t>
  </si>
  <si>
    <t xml:space="preserve"> 46936.8713 </t>
  </si>
  <si>
    <t xml:space="preserve"> 35.0097 </t>
  </si>
  <si>
    <t xml:space="preserve">C:\Users\andre\Desktop\REACTIV CEFAS\Saccharin\Saccharin/20201217_Cefas_Test10_Run1/Plate 3/@21/H12_04.tif </t>
  </si>
  <si>
    <t xml:space="preserve"> 44946.921 </t>
  </si>
  <si>
    <t xml:space="preserve"> 34.2714 </t>
  </si>
  <si>
    <t xml:space="preserve">C:\Users\andre\Desktop\REACTIV CEFAS\Saccharin\Saccharin/20201217_Cefas_Test10_Run1/Plate 3/@21/ </t>
  </si>
  <si>
    <t xml:space="preserve"> 36.0102 </t>
  </si>
  <si>
    <t xml:space="preserve"> 2.2012 </t>
  </si>
  <si>
    <t xml:space="preserve"> 981456.531 </t>
  </si>
  <si>
    <t xml:space="preserve"> 693235.374 </t>
  </si>
  <si>
    <t xml:space="preserve">C:\Users\andre\Desktop\REACTIV CEFAS\Saccharin\Saccharin/20201217_Cefas_Test10_Run1/Plate 3/@8/A2_01.tif </t>
  </si>
  <si>
    <t xml:space="preserve"> 34.6071 </t>
  </si>
  <si>
    <t xml:space="preserve">C:\Users\andre\Desktop\REACTIV CEFAS\Saccharin\Saccharin/20201217_Cefas_Test10_Run1/Plate 3/@8/A2_02.tif </t>
  </si>
  <si>
    <t xml:space="preserve"> 10166.0505 </t>
  </si>
  <si>
    <t xml:space="preserve"> 41.683 </t>
  </si>
  <si>
    <t xml:space="preserve">C:\Users\andre\Desktop\REACTIV CEFAS\Saccharin\Saccharin/20201217_Cefas_Test10_Run1/Plate 3/@8/A2_03.tif </t>
  </si>
  <si>
    <t xml:space="preserve"> 43.3972 </t>
  </si>
  <si>
    <t xml:space="preserve">C:\Users\andre\Desktop\REACTIV CEFAS\Saccharin\Saccharin/20201217_Cefas_Test10_Run1/Plate 3/@8/A2_04.tif </t>
  </si>
  <si>
    <t xml:space="preserve"> 41.1396 </t>
  </si>
  <si>
    <t xml:space="preserve">C:\Users\andre\Desktop\REACTIV CEFAS\Saccharin\Saccharin/20201217_Cefas_Test10_Run1/Plate 3/@8/B2_01.tif </t>
  </si>
  <si>
    <t xml:space="preserve"> 40.1855 </t>
  </si>
  <si>
    <t>C:\Users\andre\Desktop\REACTIV CEFAS\Saccharin\Saccharin/20201217_Cefas_Test10_Run1/Plate 3/@8/B2_02- exclu.tif</t>
  </si>
  <si>
    <t xml:space="preserve">C:\Users\andre\Desktop\REACTIV CEFAS\Saccharin\Saccharin/20201217_Cefas_Test10_Run1/Plate 3/@8/B2_03.tif </t>
  </si>
  <si>
    <t xml:space="preserve"> 367.7082 </t>
  </si>
  <si>
    <t xml:space="preserve"> 32.1765 </t>
  </si>
  <si>
    <t xml:space="preserve">C:\Users\andre\Desktop\REACTIV CEFAS\Saccharin\Saccharin/20201217_Cefas_Test10_Run1/Plate 3/@8/B2_04.tif </t>
  </si>
  <si>
    <t xml:space="preserve"> 34.2439 </t>
  </si>
  <si>
    <t>C:\Users\andre\Desktop\REACTIV CEFAS\Saccharin\Saccharin/20201217_Cefas_Test10_Run1/Plate 3/@8/C2_01- exclu.tif</t>
  </si>
  <si>
    <t xml:space="preserve">C:\Users\andre\Desktop\REACTIV CEFAS\Saccharin\Saccharin/20201217_Cefas_Test10_Run1/Plate 3/@8/C2_02.tif </t>
  </si>
  <si>
    <t xml:space="preserve"> 35.2881 </t>
  </si>
  <si>
    <t xml:space="preserve">C:\Users\andre\Desktop\REACTIV CEFAS\Saccharin\Saccharin/20201217_Cefas_Test10_Run1/Plate 3/@8/C2_03.tif </t>
  </si>
  <si>
    <t xml:space="preserve"> 37.6296 </t>
  </si>
  <si>
    <t xml:space="preserve">C:\Users\andre\Desktop\REACTIV CEFAS\Saccharin\Saccharin/20201217_Cefas_Test10_Run1/Plate 3/@8/C2_04.tif </t>
  </si>
  <si>
    <t xml:space="preserve"> 4693.6871 </t>
  </si>
  <si>
    <t xml:space="preserve"> 37.8848 </t>
  </si>
  <si>
    <t xml:space="preserve">C:\Users\andre\Desktop\REACTIV CEFAS\Saccharin\Saccharin/20201217_Cefas_Test10_Run1/Plate 3/@8/D2_01.tif </t>
  </si>
  <si>
    <t xml:space="preserve"> 12566.9688 </t>
  </si>
  <si>
    <t xml:space="preserve"> 41.1033 </t>
  </si>
  <si>
    <t xml:space="preserve">C:\Users\andre\Desktop\REACTIV CEFAS\Saccharin\Saccharin/20201217_Cefas_Test10_Run1/Plate 3/@8/D2_02.tif </t>
  </si>
  <si>
    <t xml:space="preserve"> 44.0628 </t>
  </si>
  <si>
    <t xml:space="preserve">C:\Users\andre\Desktop\REACTIV CEFAS\Saccharin\Saccharin/20201217_Cefas_Test10_Run1/Plate 3/@8/D2_03.tif </t>
  </si>
  <si>
    <t xml:space="preserve"> 18753.1186 </t>
  </si>
  <si>
    <t xml:space="preserve"> 33.3033 </t>
  </si>
  <si>
    <t xml:space="preserve">C:\Users\andre\Desktop\REACTIV CEFAS\Saccharin\Saccharin/20201217_Cefas_Test10_Run1/Plate 3/@8/D2_04.tif </t>
  </si>
  <si>
    <t xml:space="preserve"> 1276.1638 </t>
  </si>
  <si>
    <t xml:space="preserve"> 32.0339 </t>
  </si>
  <si>
    <t xml:space="preserve">C:\Users\andre\Desktop\REACTIV CEFAS\Saccharin\Saccharin/20201217_Cefas_Test10_Run1/Plate 3/@8/E2_01.tif </t>
  </si>
  <si>
    <t xml:space="preserve"> 33.7613 </t>
  </si>
  <si>
    <t xml:space="preserve">C:\Users\andre\Desktop\REACTIV CEFAS\Saccharin\Saccharin/20201217_Cefas_Test10_Run1/Plate 3/@8/E2_02.tif </t>
  </si>
  <si>
    <t xml:space="preserve"> 33.994 </t>
  </si>
  <si>
    <t xml:space="preserve">C:\Users\andre\Desktop\REACTIV CEFAS\Saccharin\Saccharin/20201217_Cefas_Test10_Run1/Plate 3/@8/E2_03.tif </t>
  </si>
  <si>
    <t xml:space="preserve"> 1319.4236 </t>
  </si>
  <si>
    <t xml:space="preserve"> 33.377 </t>
  </si>
  <si>
    <t xml:space="preserve">C:\Users\andre\Desktop\REACTIV CEFAS\Saccharin\Saccharin/20201217_Cefas_Test10_Run1/Plate 3/@8/E2_04.tif </t>
  </si>
  <si>
    <t xml:space="preserve"> 38.8061 </t>
  </si>
  <si>
    <t xml:space="preserve">C:\Users\andre\Desktop\REACTIV CEFAS\Saccharin\Saccharin/20201217_Cefas_Test10_Run1/Plate 3/@8/F2_01.tif </t>
  </si>
  <si>
    <t xml:space="preserve"> 30.2667 </t>
  </si>
  <si>
    <t xml:space="preserve">C:\Users\andre\Desktop\REACTIV CEFAS\Saccharin\Saccharin/20201217_Cefas_Test10_Run1/Plate 3/@8/F2_02.tif </t>
  </si>
  <si>
    <t xml:space="preserve"> 4282.7191 </t>
  </si>
  <si>
    <t xml:space="preserve"> 34.0859 </t>
  </si>
  <si>
    <t xml:space="preserve">C:\Users\andre\Desktop\REACTIV CEFAS\Saccharin\Saccharin/20201217_Cefas_Test10_Run1/Plate 3/@8/F2_03.tif </t>
  </si>
  <si>
    <t xml:space="preserve"> 38.3466 </t>
  </si>
  <si>
    <t xml:space="preserve">C:\Users\andre\Desktop\REACTIV CEFAS\Saccharin\Saccharin/20201217_Cefas_Test10_Run1/Plate 3/@8/F2_04.tif </t>
  </si>
  <si>
    <t xml:space="preserve"> 281.1886 </t>
  </si>
  <si>
    <t xml:space="preserve">C:\Users\andre\Desktop\REACTIV CEFAS\Saccharin\Saccharin/20201217_Cefas_Test10_Run1/Plate 3/@8/G2_01.tif </t>
  </si>
  <si>
    <t xml:space="preserve"> 35.3688 </t>
  </si>
  <si>
    <t xml:space="preserve">C:\Users\andre\Desktop\REACTIV CEFAS\Saccharin\Saccharin/20201217_Cefas_Test10_Run1/Plate 3/@8/G2_02.tif </t>
  </si>
  <si>
    <t xml:space="preserve">C:\Users\andre\Desktop\REACTIV CEFAS\Saccharin\Saccharin/20201217_Cefas_Test10_Run1/Plate 3/@8/G2_03.tif </t>
  </si>
  <si>
    <t xml:space="preserve"> 39.5343 </t>
  </si>
  <si>
    <t xml:space="preserve">C:\Users\andre\Desktop\REACTIV CEFAS\Saccharin\Saccharin/20201217_Cefas_Test10_Run1/Plate 3/@8/G2_04.tif </t>
  </si>
  <si>
    <t xml:space="preserve"> 32.3529 </t>
  </si>
  <si>
    <t xml:space="preserve">C:\Users\andre\Desktop\REACTIV CEFAS\Saccharin\Saccharin/20201217_Cefas_Test10_Run1/Plate 3/@8/H2_01.tif </t>
  </si>
  <si>
    <t xml:space="preserve"> 9192.7052 </t>
  </si>
  <si>
    <t xml:space="preserve"> 38.1459 </t>
  </si>
  <si>
    <t xml:space="preserve">C:\Users\andre\Desktop\REACTIV CEFAS\Saccharin\Saccharin/20201217_Cefas_Test10_Run1/Plate 3/@8/H2_02.tif </t>
  </si>
  <si>
    <t xml:space="preserve"> 7635.3528 </t>
  </si>
  <si>
    <t xml:space="preserve"> 37.6091 </t>
  </si>
  <si>
    <t xml:space="preserve">C:\Users\andre\Desktop\REACTIV CEFAS\Saccharin\Saccharin/20201217_Cefas_Test10_Run1/Plate 3/@8/H2_03.tif </t>
  </si>
  <si>
    <t xml:space="preserve"> 42.5547 </t>
  </si>
  <si>
    <t xml:space="preserve">C:\Users\andre\Desktop\REACTIV CEFAS\Saccharin\Saccharin/20201217_Cefas_Test10_Run1/Plate 3/@8/H2_04.tif </t>
  </si>
  <si>
    <t xml:space="preserve">C:\Users\andre\Desktop\REACTIV CEFAS\Saccharin\Saccharin/20201217_Cefas_Test10_Run1/Plate 3/@8/ </t>
  </si>
  <si>
    <t xml:space="preserve"> 36.3744 </t>
  </si>
  <si>
    <t xml:space="preserve"> 3.8988 </t>
  </si>
  <si>
    <t xml:space="preserve"> 221842.906 </t>
  </si>
  <si>
    <t xml:space="preserve"> 201415.231 </t>
  </si>
  <si>
    <t xml:space="preserve">C:\Users\andre\Desktop\REACTIV CEFAS\Saccharin\Saccharin/20201217_Cefas_Test10_Run1/Plate 3/@9/A3_01.tif </t>
  </si>
  <si>
    <t xml:space="preserve"> 41.7538 </t>
  </si>
  <si>
    <t xml:space="preserve">C:\Users\andre\Desktop\REACTIV CEFAS\Saccharin\Saccharin/20201217_Cefas_Test10_Run1/Plate 3/@9/A3_02.tif </t>
  </si>
  <si>
    <t xml:space="preserve"> 14210.8408 </t>
  </si>
  <si>
    <t xml:space="preserve"> 50.2542 </t>
  </si>
  <si>
    <t xml:space="preserve">C:\Users\andre\Desktop\REACTIV CEFAS\Saccharin\Saccharin/20201217_Cefas_Test10_Run1/Plate 3/@9/A3_03.tif </t>
  </si>
  <si>
    <t xml:space="preserve"> 9863.232 </t>
  </si>
  <si>
    <t xml:space="preserve"> 44.8026 </t>
  </si>
  <si>
    <t xml:space="preserve">C:\Users\andre\Desktop\REACTIV CEFAS\Saccharin\Saccharin/20201217_Cefas_Test10_Run1/Plate 3/@9/A3_04.tif </t>
  </si>
  <si>
    <t xml:space="preserve"> 670.5267 </t>
  </si>
  <si>
    <t xml:space="preserve"> 33.3226 </t>
  </si>
  <si>
    <t xml:space="preserve">C:\Users\andre\Desktop\REACTIV CEFAS\Saccharin\Saccharin/20201217_Cefas_Test10_Run1/Plate 3/@9/B3_01.tif </t>
  </si>
  <si>
    <t xml:space="preserve"> 37.0385 </t>
  </si>
  <si>
    <t xml:space="preserve">C:\Users\andre\Desktop\REACTIV CEFAS\Saccharin\Saccharin/20201217_Cefas_Test10_Run1/Plate 3/@9/B3_02.tif </t>
  </si>
  <si>
    <t xml:space="preserve"> 5407.4737 </t>
  </si>
  <si>
    <t xml:space="preserve"> 39.596 </t>
  </si>
  <si>
    <t xml:space="preserve">C:\Users\andre\Desktop\REACTIV CEFAS\Saccharin\Saccharin/20201217_Cefas_Test10_Run1/Plate 3/@9/B3_03.tif </t>
  </si>
  <si>
    <t xml:space="preserve"> 6597.1179 </t>
  </si>
  <si>
    <t xml:space="preserve"> 42.2787 </t>
  </si>
  <si>
    <t xml:space="preserve">C:\Users\andre\Desktop\REACTIV CEFAS\Saccharin\Saccharin/20201217_Cefas_Test10_Run1/Plate 3/@9/B3_04.tif </t>
  </si>
  <si>
    <t xml:space="preserve"> 39.5472 </t>
  </si>
  <si>
    <t>C:\Users\andre\Desktop\REACTIV CEFAS\Saccharin\Saccharin/20201217_Cefas_Test10_Run1/Plate 3/@9/C3_01- exclu.tif</t>
  </si>
  <si>
    <t>C:\Users\andre\Desktop\REACTIV CEFAS\Saccharin\Saccharin/20201217_Cefas_Test10_Run1/Plate 3/@9/C3_02- exclu.tif</t>
  </si>
  <si>
    <t>C:\Users\andre\Desktop\REACTIV CEFAS\Saccharin\Saccharin/20201217_Cefas_Test10_Run1/Plate 3/@9/C3_03- exclu.tif</t>
  </si>
  <si>
    <t xml:space="preserve">C:\Users\andre\Desktop\REACTIV CEFAS\Saccharin\Saccharin/20201217_Cefas_Test10_Run1/Plate 3/@9/C3_04.tif </t>
  </si>
  <si>
    <t xml:space="preserve"> 32.1111 </t>
  </si>
  <si>
    <t>C:\Users\andre\Desktop\REACTIV CEFAS\Saccharin\Saccharin/20201217_Cefas_Test10_Run1/Plate 3/@9/D3_01- exclu.tif</t>
  </si>
  <si>
    <t>C:\Users\andre\Desktop\REACTIV CEFAS\Saccharin\Saccharin/20201217_Cefas_Test10_Run1/Plate 3/@9/D3_02- exclu.tif</t>
  </si>
  <si>
    <t>C:\Users\andre\Desktop\REACTIV CEFAS\Saccharin\Saccharin/20201217_Cefas_Test10_Run1/Plate 3/@9/D3_03- exclu.tif</t>
  </si>
  <si>
    <t>C:\Users\andre\Desktop\REACTIV CEFAS\Saccharin\Saccharin/20201217_Cefas_Test10_Run1/Plate 3/@9/D3_04- exclu.tif</t>
  </si>
  <si>
    <t xml:space="preserve">C:\Users\andre\Desktop\REACTIV CEFAS\Saccharin\Saccharin/20201217_Cefas_Test10_Run1/Plate 3/@9/E3_01.tif </t>
  </si>
  <si>
    <t xml:space="preserve"> 34.9756 </t>
  </si>
  <si>
    <t>C:\Users\andre\Desktop\REACTIV CEFAS\Saccharin\Saccharin/20201217_Cefas_Test10_Run1/Plate 3/@9/E3_02- exclu.tif</t>
  </si>
  <si>
    <t xml:space="preserve">C:\Users\andre\Desktop\REACTIV CEFAS\Saccharin\Saccharin/20201217_Cefas_Test10_Run1/Plate 3/@9/E3_03.tif </t>
  </si>
  <si>
    <t xml:space="preserve">C:\Users\andre\Desktop\REACTIV CEFAS\Saccharin\Saccharin/20201217_Cefas_Test10_Run1/Plate 3/@9/E3_04.tif </t>
  </si>
  <si>
    <t xml:space="preserve"> 33.125 </t>
  </si>
  <si>
    <t xml:space="preserve">C:\Users\andre\Desktop\REACTIV CEFAS\Saccharin\Saccharin/20201217_Cefas_Test10_Run1/Plate 3/@9/F3_01.tif </t>
  </si>
  <si>
    <t xml:space="preserve"> 39.0137 </t>
  </si>
  <si>
    <t xml:space="preserve">C:\Users\andre\Desktop\REACTIV CEFAS\Saccharin\Saccharin/20201217_Cefas_Test10_Run1/Plate 3/@9/F3_02.tif </t>
  </si>
  <si>
    <t xml:space="preserve"> 7375.7941 </t>
  </si>
  <si>
    <t xml:space="preserve"> 44.7155 </t>
  </si>
  <si>
    <t xml:space="preserve">C:\Users\andre\Desktop\REACTIV CEFAS\Saccharin\Saccharin/20201217_Cefas_Test10_Run1/Plate 3/@9/F3_03.tif </t>
  </si>
  <si>
    <t xml:space="preserve"> 46.3925 </t>
  </si>
  <si>
    <t>C:\Users\andre\Desktop\REACTIV CEFAS\Saccharin\Saccharin/20201217_Cefas_Test10_Run1/Plate 3/@9/F3_04- exclu.tif</t>
  </si>
  <si>
    <t xml:space="preserve">C:\Users\andre\Desktop\REACTIV CEFAS\Saccharin\Saccharin/20201217_Cefas_Test10_Run1/Plate 3/@9/G3_01.tif </t>
  </si>
  <si>
    <t xml:space="preserve"> 2487.4379 </t>
  </si>
  <si>
    <t xml:space="preserve"> 35.8609 </t>
  </si>
  <si>
    <t xml:space="preserve">C:\Users\andre\Desktop\REACTIV CEFAS\Saccharin\Saccharin/20201217_Cefas_Test10_Run1/Plate 3/@9/G3_02.tif </t>
  </si>
  <si>
    <t xml:space="preserve">C:\Users\andre\Desktop\REACTIV CEFAS\Saccharin\Saccharin/20201217_Cefas_Test10_Run1/Plate 3/@9/G3_03.tif </t>
  </si>
  <si>
    <t xml:space="preserve">C:\Users\andre\Desktop\REACTIV CEFAS\Saccharin\Saccharin/20201217_Cefas_Test10_Run1/Plate 3/@9/G3_04.tif </t>
  </si>
  <si>
    <t xml:space="preserve"> 38.425 </t>
  </si>
  <si>
    <t xml:space="preserve">C:\Users\andre\Desktop\REACTIV CEFAS\Saccharin\Saccharin/20201217_Cefas_Test10_Run1/Plate 3/@9/H3_01.tif </t>
  </si>
  <si>
    <t xml:space="preserve"> 40.0557 </t>
  </si>
  <si>
    <t>C:\Users\andre\Desktop\REACTIV CEFAS\Saccharin\Saccharin/20201217_Cefas_Test10_Run1/Plate 3/@9/H3_02- exclu.tif</t>
  </si>
  <si>
    <t xml:space="preserve">C:\Users\andre\Desktop\REACTIV CEFAS\Saccharin\Saccharin/20201217_Cefas_Test10_Run1/Plate 3/@9/H3_03.tif </t>
  </si>
  <si>
    <t>C:\Users\andre\Desktop\REACTIV CEFAS\Saccharin\Saccharin/20201217_Cefas_Test10_Run1/Plate 3/@9/H3_04- exclu.tif</t>
  </si>
  <si>
    <t xml:space="preserve">C:\Users\andre\Desktop\REACTIV CEFAS\Saccharin\Saccharin/20201217_Cefas_Test10_Run1/Plate 3/@9/ </t>
  </si>
  <si>
    <t xml:space="preserve"> 31.7553 </t>
  </si>
  <si>
    <t xml:space="preserve"> 16.346 </t>
  </si>
  <si>
    <t xml:space="preserve"> 208197.219 </t>
  </si>
  <si>
    <t xml:space="preserve"> 231310.959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</si>
</sst>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0.13366220102735191</c:v>
                  </c:pt>
                  <c:pt idx="2">
                    <c:v>0.20001354212138434</c:v>
                  </c:pt>
                  <c:pt idx="3">
                    <c:v>1.4438534133077505E-2</c:v>
                  </c:pt>
                  <c:pt idx="4">
                    <c:v>0.28218310319489076</c:v>
                  </c:pt>
                  <c:pt idx="5">
                    <c:v>0.18722198337880328</c:v>
                  </c:pt>
                  <c:pt idx="6">
                    <c:v>0.12267540310928408</c:v>
                  </c:pt>
                  <c:pt idx="7">
                    <c:v>0.20851141158589892</c:v>
                  </c:pt>
                  <c:pt idx="8">
                    <c:v>0.18811290958555643</c:v>
                  </c:pt>
                </c:numCache>
              </c:numRef>
            </c:plus>
            <c:minus>
              <c:numRef>
                <c:f>'R1'!$N$48:$V$48</c:f>
                <c:numCache>
                  <c:formatCode>General</c:formatCode>
                  <c:ptCount val="9"/>
                  <c:pt idx="0">
                    <c:v>0</c:v>
                  </c:pt>
                  <c:pt idx="1">
                    <c:v>0.13366220102735191</c:v>
                  </c:pt>
                  <c:pt idx="2">
                    <c:v>0.20001354212138434</c:v>
                  </c:pt>
                  <c:pt idx="3">
                    <c:v>1.4438534133077505E-2</c:v>
                  </c:pt>
                  <c:pt idx="4">
                    <c:v>0.28218310319489076</c:v>
                  </c:pt>
                  <c:pt idx="5">
                    <c:v>0.18722198337880328</c:v>
                  </c:pt>
                  <c:pt idx="6">
                    <c:v>0.12267540310928408</c:v>
                  </c:pt>
                  <c:pt idx="7">
                    <c:v>0.20851141158589892</c:v>
                  </c:pt>
                  <c:pt idx="8">
                    <c:v>0.18811290958555643</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SAC-0.01mg/L</c:v>
                </c:pt>
                <c:pt idx="8">
                  <c:v>SAC-0.1mg/L</c:v>
                </c:pt>
                <c:pt idx="9">
                  <c:v>SAC-1mg/L</c:v>
                </c:pt>
                <c:pt idx="10">
                  <c:v>SAC-10mg/L</c:v>
                </c:pt>
                <c:pt idx="11">
                  <c:v>SAC-100mg/L</c:v>
                </c:pt>
                <c:pt idx="13">
                  <c:v>Testo -30µg/L</c:v>
                </c:pt>
                <c:pt idx="14">
                  <c:v>Testo 30µg/L + EE2 -64ng/L</c:v>
                </c:pt>
                <c:pt idx="15">
                  <c:v>Testo 30µg/L + FAD-10mg/L</c:v>
                </c:pt>
                <c:pt idx="16">
                  <c:v>SAC-0,01mg/L + Testostérone</c:v>
                </c:pt>
                <c:pt idx="17">
                  <c:v>SAC-0,1mg/L + Testostérone</c:v>
                </c:pt>
                <c:pt idx="18">
                  <c:v>SAC-1mg/L + Testostérone</c:v>
                </c:pt>
                <c:pt idx="19">
                  <c:v>SAC-10mg/L + Testostérone</c:v>
                </c:pt>
                <c:pt idx="20">
                  <c:v>SAC-100mg/L + Testostérone</c:v>
                </c:pt>
              </c:strCache>
            </c:strRef>
          </c:cat>
          <c:val>
            <c:numRef>
              <c:f>'R1'!$B$53:$V$53</c:f>
              <c:numCache>
                <c:formatCode>0.0000</c:formatCode>
                <c:ptCount val="21"/>
                <c:pt idx="0">
                  <c:v>7.6675848253166937E-2</c:v>
                </c:pt>
                <c:pt idx="1">
                  <c:v>9.8393945143188208E-2</c:v>
                </c:pt>
                <c:pt idx="2">
                  <c:v>0.16751845425361739</c:v>
                </c:pt>
                <c:pt idx="3">
                  <c:v>0.31475276015862169</c:v>
                </c:pt>
                <c:pt idx="4">
                  <c:v>1.1509423352134527</c:v>
                </c:pt>
                <c:pt idx="5">
                  <c:v>1.7963518635179823</c:v>
                </c:pt>
                <c:pt idx="6">
                  <c:v>2.2282526120369388</c:v>
                </c:pt>
                <c:pt idx="7">
                  <c:v>0.11107127107393459</c:v>
                </c:pt>
                <c:pt idx="8">
                  <c:v>7.5689385036259729E-2</c:v>
                </c:pt>
                <c:pt idx="9">
                  <c:v>0.12587365730699501</c:v>
                </c:pt>
                <c:pt idx="10">
                  <c:v>0.10422640285780924</c:v>
                </c:pt>
                <c:pt idx="11">
                  <c:v>9.838566481400321E-2</c:v>
                </c:pt>
                <c:pt idx="13">
                  <c:v>1.0000000000000002</c:v>
                </c:pt>
                <c:pt idx="14">
                  <c:v>2.1101116787081371</c:v>
                </c:pt>
                <c:pt idx="15">
                  <c:v>7.2391818855594661E-2</c:v>
                </c:pt>
                <c:pt idx="16">
                  <c:v>1.1433790352197002</c:v>
                </c:pt>
                <c:pt idx="17">
                  <c:v>0.6936317489737801</c:v>
                </c:pt>
                <c:pt idx="18">
                  <c:v>1.0963108051621131</c:v>
                </c:pt>
                <c:pt idx="19">
                  <c:v>0.98949338929025532</c:v>
                </c:pt>
                <c:pt idx="20">
                  <c:v>0.94595117011965657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1.6272568596304545E-2</c:v>
                  </c:pt>
                  <c:pt idx="1">
                    <c:v>3.6935486504571284E-2</c:v>
                  </c:pt>
                  <c:pt idx="2">
                    <c:v>2.4211498565760329E-2</c:v>
                  </c:pt>
                  <c:pt idx="3">
                    <c:v>0.17518882868440447</c:v>
                  </c:pt>
                  <c:pt idx="4">
                    <c:v>0.2177590049600551</c:v>
                  </c:pt>
                  <c:pt idx="5">
                    <c:v>7.2095493393819501E-2</c:v>
                  </c:pt>
                  <c:pt idx="6">
                    <c:v>0.14977701978596272</c:v>
                  </c:pt>
                  <c:pt idx="7">
                    <c:v>2.6465675496809886E-2</c:v>
                  </c:pt>
                  <c:pt idx="8">
                    <c:v>3.0547019608248089E-2</c:v>
                  </c:pt>
                  <c:pt idx="9">
                    <c:v>1.0473787316264369E-2</c:v>
                  </c:pt>
                  <c:pt idx="10">
                    <c:v>1.7189864687962832E-2</c:v>
                  </c:pt>
                  <c:pt idx="11">
                    <c:v>1.6290645726641351E-2</c:v>
                  </c:pt>
                  <c:pt idx="13">
                    <c:v>0.1366958431790255</c:v>
                  </c:pt>
                  <c:pt idx="14">
                    <c:v>0.15717207437217215</c:v>
                  </c:pt>
                  <c:pt idx="15">
                    <c:v>2.6199819732474188E-2</c:v>
                  </c:pt>
                  <c:pt idx="16">
                    <c:v>0.13427833201839953</c:v>
                  </c:pt>
                  <c:pt idx="17">
                    <c:v>0.14856599276026944</c:v>
                  </c:pt>
                  <c:pt idx="18">
                    <c:v>0.16196741758652516</c:v>
                  </c:pt>
                  <c:pt idx="19">
                    <c:v>0.11136006942698462</c:v>
                  </c:pt>
                  <c:pt idx="20">
                    <c:v>0.13370734419153427</c:v>
                  </c:pt>
                </c:numCache>
              </c:numRef>
            </c:plus>
            <c:minus>
              <c:numRef>
                <c:f>'R1'!$N$48:$V$48</c:f>
                <c:numCache>
                  <c:formatCode>General</c:formatCode>
                  <c:ptCount val="9"/>
                  <c:pt idx="0">
                    <c:v>0</c:v>
                  </c:pt>
                  <c:pt idx="1">
                    <c:v>0.13366220102735191</c:v>
                  </c:pt>
                  <c:pt idx="2">
                    <c:v>0.20001354212138434</c:v>
                  </c:pt>
                  <c:pt idx="3">
                    <c:v>1.4438534133077505E-2</c:v>
                  </c:pt>
                  <c:pt idx="4">
                    <c:v>0.28218310319489076</c:v>
                  </c:pt>
                  <c:pt idx="5">
                    <c:v>0.18722198337880328</c:v>
                  </c:pt>
                  <c:pt idx="6">
                    <c:v>0.12267540310928408</c:v>
                  </c:pt>
                  <c:pt idx="7">
                    <c:v>0.20851141158589892</c:v>
                  </c:pt>
                  <c:pt idx="8">
                    <c:v>0.18811290958555643</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SAC-0.01mg/L</c:v>
                </c:pt>
                <c:pt idx="8">
                  <c:v>SAC-0.1mg/L</c:v>
                </c:pt>
                <c:pt idx="9">
                  <c:v>SAC-1mg/L</c:v>
                </c:pt>
                <c:pt idx="10">
                  <c:v>SAC-10mg/L</c:v>
                </c:pt>
                <c:pt idx="11">
                  <c:v>SAC-100mg/L</c:v>
                </c:pt>
                <c:pt idx="13">
                  <c:v>Testo -30µg/L</c:v>
                </c:pt>
                <c:pt idx="14">
                  <c:v>Testo 30µg/L + EE2 -64ng/L</c:v>
                </c:pt>
                <c:pt idx="15">
                  <c:v>Testo 30µg/L + FAD-10mg/L</c:v>
                </c:pt>
                <c:pt idx="16">
                  <c:v>SAC-0,01mg/L + Testostérone</c:v>
                </c:pt>
                <c:pt idx="17">
                  <c:v>SAC-0,1mg/L + Testostérone</c:v>
                </c:pt>
                <c:pt idx="18">
                  <c:v>SAC-1mg/L + Testostérone</c:v>
                </c:pt>
                <c:pt idx="19">
                  <c:v>SAC-10mg/L + Testostérone</c:v>
                </c:pt>
                <c:pt idx="20">
                  <c:v>SAC-100mg/L + Testostérone</c:v>
                </c:pt>
              </c:strCache>
            </c:strRef>
          </c:cat>
          <c:val>
            <c:numRef>
              <c:f>'R2'!$B$53:$V$53</c:f>
              <c:numCache>
                <c:formatCode>0.0000</c:formatCode>
                <c:ptCount val="21"/>
                <c:pt idx="0">
                  <c:v>0.12663860338043909</c:v>
                </c:pt>
                <c:pt idx="1">
                  <c:v>0.21837829933862951</c:v>
                </c:pt>
                <c:pt idx="2">
                  <c:v>0.16142842677982053</c:v>
                </c:pt>
                <c:pt idx="3">
                  <c:v>0.4622823800266177</c:v>
                </c:pt>
                <c:pt idx="4">
                  <c:v>1.0957576604969597</c:v>
                </c:pt>
                <c:pt idx="5">
                  <c:v>1.5118614229605791</c:v>
                </c:pt>
                <c:pt idx="6">
                  <c:v>2.7467237123179684</c:v>
                </c:pt>
                <c:pt idx="7">
                  <c:v>0.11038518215375023</c:v>
                </c:pt>
                <c:pt idx="8">
                  <c:v>8.8279693317204297E-2</c:v>
                </c:pt>
                <c:pt idx="9">
                  <c:v>7.5391961423866297E-2</c:v>
                </c:pt>
                <c:pt idx="10">
                  <c:v>9.1487726537901798E-2</c:v>
                </c:pt>
                <c:pt idx="11">
                  <c:v>9.7794451037736707E-2</c:v>
                </c:pt>
                <c:pt idx="13">
                  <c:v>1</c:v>
                </c:pt>
                <c:pt idx="14">
                  <c:v>1.7931633728185332</c:v>
                </c:pt>
                <c:pt idx="15">
                  <c:v>0.13879662017563141</c:v>
                </c:pt>
                <c:pt idx="16">
                  <c:v>1.0902217723737542</c:v>
                </c:pt>
                <c:pt idx="17">
                  <c:v>1.1650623636315056</c:v>
                </c:pt>
                <c:pt idx="18">
                  <c:v>0.76716436949817957</c:v>
                </c:pt>
                <c:pt idx="19">
                  <c:v>0.67296399674434448</c:v>
                </c:pt>
                <c:pt idx="20">
                  <c:v>0.50295654983299098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1.8368645847350887E-2</c:v>
                  </c:pt>
                  <c:pt idx="1">
                    <c:v>2.6868972182651139E-2</c:v>
                  </c:pt>
                  <c:pt idx="2">
                    <c:v>3.4077253894085009E-2</c:v>
                  </c:pt>
                  <c:pt idx="3">
                    <c:v>9.4270690684614841E-2</c:v>
                  </c:pt>
                  <c:pt idx="4">
                    <c:v>0.16839135678018669</c:v>
                  </c:pt>
                  <c:pt idx="5">
                    <c:v>0.11106482876520762</c:v>
                  </c:pt>
                  <c:pt idx="6">
                    <c:v>0.15219150894313377</c:v>
                  </c:pt>
                  <c:pt idx="7">
                    <c:v>1.6080070139740613E-2</c:v>
                  </c:pt>
                  <c:pt idx="8">
                    <c:v>2.0101510759652736E-2</c:v>
                  </c:pt>
                  <c:pt idx="9">
                    <c:v>3.3172898095528647E-2</c:v>
                  </c:pt>
                  <c:pt idx="10">
                    <c:v>2.1273952524703554E-2</c:v>
                  </c:pt>
                  <c:pt idx="11">
                    <c:v>2.2526311436600228E-2</c:v>
                  </c:pt>
                  <c:pt idx="13">
                    <c:v>0.13654382495340242</c:v>
                  </c:pt>
                  <c:pt idx="14">
                    <c:v>0.19011224382931713</c:v>
                  </c:pt>
                  <c:pt idx="15">
                    <c:v>1.9410019348010576E-2</c:v>
                  </c:pt>
                  <c:pt idx="16">
                    <c:v>0.15166956113961796</c:v>
                  </c:pt>
                  <c:pt idx="17">
                    <c:v>0.17449172692654563</c:v>
                  </c:pt>
                  <c:pt idx="18">
                    <c:v>0.14326464747666937</c:v>
                  </c:pt>
                  <c:pt idx="19">
                    <c:v>0.20306229745385113</c:v>
                  </c:pt>
                  <c:pt idx="20">
                    <c:v>0.17300740835268949</c:v>
                  </c:pt>
                </c:numCache>
              </c:numRef>
            </c:plus>
            <c:minus>
              <c:numRef>
                <c:f>'R1'!$N$48:$V$48</c:f>
                <c:numCache>
                  <c:formatCode>General</c:formatCode>
                  <c:ptCount val="9"/>
                  <c:pt idx="0">
                    <c:v>0</c:v>
                  </c:pt>
                  <c:pt idx="1">
                    <c:v>0.13366220102735191</c:v>
                  </c:pt>
                  <c:pt idx="2">
                    <c:v>0.20001354212138434</c:v>
                  </c:pt>
                  <c:pt idx="3">
                    <c:v>1.4438534133077505E-2</c:v>
                  </c:pt>
                  <c:pt idx="4">
                    <c:v>0.28218310319489076</c:v>
                  </c:pt>
                  <c:pt idx="5">
                    <c:v>0.18722198337880328</c:v>
                  </c:pt>
                  <c:pt idx="6">
                    <c:v>0.12267540310928408</c:v>
                  </c:pt>
                  <c:pt idx="7">
                    <c:v>0.20851141158589892</c:v>
                  </c:pt>
                  <c:pt idx="8">
                    <c:v>0.18811290958555643</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SAC-0.01mg/L</c:v>
                </c:pt>
                <c:pt idx="8">
                  <c:v>SAC-0.1mg/L</c:v>
                </c:pt>
                <c:pt idx="9">
                  <c:v>SAC-1mg/L</c:v>
                </c:pt>
                <c:pt idx="10">
                  <c:v>SAC-10mg/L</c:v>
                </c:pt>
                <c:pt idx="11">
                  <c:v>SAC-100mg/L</c:v>
                </c:pt>
                <c:pt idx="13">
                  <c:v>Testo -30µg/L</c:v>
                </c:pt>
                <c:pt idx="14">
                  <c:v>Testo 30µg/L + EE2 -64ng/L</c:v>
                </c:pt>
                <c:pt idx="15">
                  <c:v>Testo 30µg/L + FAD-10mg/L</c:v>
                </c:pt>
                <c:pt idx="16">
                  <c:v>SAC-0,01mg/L + Testostérone</c:v>
                </c:pt>
                <c:pt idx="17">
                  <c:v>SAC-0,1mg/L + Testostérone</c:v>
                </c:pt>
                <c:pt idx="18">
                  <c:v>SAC-1mg/L + Testostérone</c:v>
                </c:pt>
                <c:pt idx="19">
                  <c:v>SAC-10mg/L + Testostérone</c:v>
                </c:pt>
                <c:pt idx="20">
                  <c:v>SAC-100mg/L + Testostérone</c:v>
                </c:pt>
              </c:strCache>
            </c:strRef>
          </c:cat>
          <c:val>
            <c:numRef>
              <c:f>'R3'!$B$53:$V$53</c:f>
              <c:numCache>
                <c:formatCode>0.0000</c:formatCode>
                <c:ptCount val="21"/>
                <c:pt idx="0">
                  <c:v>9.4884034586449964E-2</c:v>
                </c:pt>
                <c:pt idx="1">
                  <c:v>0.11382600753343498</c:v>
                </c:pt>
                <c:pt idx="2">
                  <c:v>0.10396005536908262</c:v>
                </c:pt>
                <c:pt idx="3">
                  <c:v>0.22855800620573716</c:v>
                </c:pt>
                <c:pt idx="4">
                  <c:v>0.73227847326762419</c:v>
                </c:pt>
                <c:pt idx="5">
                  <c:v>1.2086216221284047</c:v>
                </c:pt>
                <c:pt idx="6">
                  <c:v>2.1658192095475717</c:v>
                </c:pt>
                <c:pt idx="7">
                  <c:v>9.0070590354646735E-2</c:v>
                </c:pt>
                <c:pt idx="8">
                  <c:v>8.1438898890955208E-2</c:v>
                </c:pt>
                <c:pt idx="9">
                  <c:v>0.11884143319634116</c:v>
                </c:pt>
                <c:pt idx="10">
                  <c:v>8.7702148839277391E-2</c:v>
                </c:pt>
                <c:pt idx="11">
                  <c:v>0.11401931731726356</c:v>
                </c:pt>
                <c:pt idx="13">
                  <c:v>1.0000000000000002</c:v>
                </c:pt>
                <c:pt idx="14">
                  <c:v>1.5224639492162999</c:v>
                </c:pt>
                <c:pt idx="15">
                  <c:v>5.6783816582915377E-2</c:v>
                </c:pt>
                <c:pt idx="16">
                  <c:v>0.57375308196182484</c:v>
                </c:pt>
                <c:pt idx="17">
                  <c:v>0.84980318587962722</c:v>
                </c:pt>
                <c:pt idx="18">
                  <c:v>0.63210766822130082</c:v>
                </c:pt>
                <c:pt idx="19">
                  <c:v>0.7889463419539624</c:v>
                </c:pt>
                <c:pt idx="20">
                  <c:v>0.51995294003046433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31465006-B31A-4CE5-8EF4-DDF6C9F3D71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D9B3A9C1-8783-422C-9841-D07C25F18E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340691FE-E620-4339-A9AC-1309E653A3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9A807A2D-FB3C-4DB9-B724-775DEE7BBFD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72450AA0-FF02-48FD-BA38-86CBEBB575E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08A0C45D-EF23-45A4-BA03-8FD9043E75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A079302B-2F72-4D73-83D6-3320BB7E5D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1BA4E1B3-6E6D-489A-BB8D-B2A1EC7EB6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BA562F69-2751-4525-BBD3-FC9CB33786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29E1D735-516B-45C3-99E8-7271118BAD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DC0D4CD4-926E-41F8-9B2B-B3BB2441E4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1D94044A-DC2C-4252-931B-89D2C44CA6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D39FB684-9FC1-403D-9F51-353AB466AE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A7E9803B-5D96-4376-9726-4A70EC9E49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49E1B7BB-F9E6-424B-9166-6EB9668906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04A91D8A-0ED0-46FB-BEC4-57FEE08331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1606F997-F866-42E4-B14C-0AA3648AEC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E66E47B6-0B49-470A-9D03-66D363B39F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436ACAE2-8640-45C1-AA08-1EF22851EF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82FA895D-395D-48EB-8883-5F78C18895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1.1466546250547672E-2</c:v>
                  </c:pt>
                  <c:pt idx="1">
                    <c:v>1.9005995944252466E-2</c:v>
                  </c:pt>
                  <c:pt idx="2">
                    <c:v>3.259949217174677E-2</c:v>
                  </c:pt>
                  <c:pt idx="3">
                    <c:v>7.0592726759400481E-2</c:v>
                  </c:pt>
                  <c:pt idx="4">
                    <c:v>0.11125785623507692</c:v>
                  </c:pt>
                  <c:pt idx="5">
                    <c:v>8.1473050532198762E-2</c:v>
                  </c:pt>
                  <c:pt idx="6">
                    <c:v>0.1060062274049843</c:v>
                  </c:pt>
                  <c:pt idx="7">
                    <c:v>1.0823224529362832E-2</c:v>
                  </c:pt>
                  <c:pt idx="8">
                    <c:v>1.3916992299659602E-2</c:v>
                  </c:pt>
                  <c:pt idx="9">
                    <c:v>1.7672216158932223E-2</c:v>
                  </c:pt>
                  <c:pt idx="10">
                    <c:v>1.1833195281924589E-2</c:v>
                  </c:pt>
                  <c:pt idx="11">
                    <c:v>1.015928534385485E-2</c:v>
                  </c:pt>
                  <c:pt idx="13">
                    <c:v>7.6618254641187683E-2</c:v>
                  </c:pt>
                  <c:pt idx="14">
                    <c:v>0.11281886422769129</c:v>
                  </c:pt>
                  <c:pt idx="15">
                    <c:v>1.3714902488969361E-2</c:v>
                  </c:pt>
                  <c:pt idx="16">
                    <c:v>0.12834105530697115</c:v>
                  </c:pt>
                  <c:pt idx="17">
                    <c:v>0.10328141068066292</c:v>
                  </c:pt>
                  <c:pt idx="18">
                    <c:v>8.940294698001211E-2</c:v>
                  </c:pt>
                  <c:pt idx="19">
                    <c:v>0.10146081014880902</c:v>
                  </c:pt>
                  <c:pt idx="20">
                    <c:v>0.10165178897318194</c:v>
                  </c:pt>
                </c:numCache>
              </c:numRef>
            </c:plus>
            <c:minus>
              <c:numRef>
                <c:f>'pooled normalised values'!$B$76:$V$76</c:f>
                <c:numCache>
                  <c:formatCode>General</c:formatCode>
                  <c:ptCount val="21"/>
                  <c:pt idx="0">
                    <c:v>1.1466546250547672E-2</c:v>
                  </c:pt>
                  <c:pt idx="1">
                    <c:v>1.9005995944252466E-2</c:v>
                  </c:pt>
                  <c:pt idx="2">
                    <c:v>3.259949217174677E-2</c:v>
                  </c:pt>
                  <c:pt idx="3">
                    <c:v>7.0592726759400481E-2</c:v>
                  </c:pt>
                  <c:pt idx="4">
                    <c:v>0.11125785623507692</c:v>
                  </c:pt>
                  <c:pt idx="5">
                    <c:v>8.1473050532198762E-2</c:v>
                  </c:pt>
                  <c:pt idx="6">
                    <c:v>0.1060062274049843</c:v>
                  </c:pt>
                  <c:pt idx="7">
                    <c:v>1.0823224529362832E-2</c:v>
                  </c:pt>
                  <c:pt idx="8">
                    <c:v>1.3916992299659602E-2</c:v>
                  </c:pt>
                  <c:pt idx="9">
                    <c:v>1.7672216158932223E-2</c:v>
                  </c:pt>
                  <c:pt idx="10">
                    <c:v>1.1833195281924589E-2</c:v>
                  </c:pt>
                  <c:pt idx="11">
                    <c:v>1.015928534385485E-2</c:v>
                  </c:pt>
                  <c:pt idx="13">
                    <c:v>7.6618254641187683E-2</c:v>
                  </c:pt>
                  <c:pt idx="14">
                    <c:v>0.11281886422769129</c:v>
                  </c:pt>
                  <c:pt idx="15">
                    <c:v>1.3714902488969361E-2</c:v>
                  </c:pt>
                  <c:pt idx="16">
                    <c:v>0.12834105530697115</c:v>
                  </c:pt>
                  <c:pt idx="17">
                    <c:v>0.10328141068066292</c:v>
                  </c:pt>
                  <c:pt idx="18">
                    <c:v>8.940294698001211E-2</c:v>
                  </c:pt>
                  <c:pt idx="19">
                    <c:v>0.10146081014880902</c:v>
                  </c:pt>
                  <c:pt idx="20">
                    <c:v>0.10165178897318194</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SAC-0.01mg/L</c:v>
                </c:pt>
                <c:pt idx="8">
                  <c:v>SAC-0.1mg/L</c:v>
                </c:pt>
                <c:pt idx="9">
                  <c:v>SAC-1mg/L</c:v>
                </c:pt>
                <c:pt idx="10">
                  <c:v>SAC-10mg/L</c:v>
                </c:pt>
                <c:pt idx="11">
                  <c:v>SAC-100mg/L</c:v>
                </c:pt>
                <c:pt idx="13">
                  <c:v>Testo -30µg/L</c:v>
                </c:pt>
                <c:pt idx="14">
                  <c:v>Testo 30µg/L + EE2 -64ng/L</c:v>
                </c:pt>
                <c:pt idx="15">
                  <c:v>Testo 30µg/L + FAD-10mg/L</c:v>
                </c:pt>
                <c:pt idx="16">
                  <c:v>SAC-0,01mg/L + Testostérone</c:v>
                </c:pt>
                <c:pt idx="17">
                  <c:v>SAC-0,1mg/L + Testostérone</c:v>
                </c:pt>
                <c:pt idx="18">
                  <c:v>SAC-1mg/L + Testostérone</c:v>
                </c:pt>
                <c:pt idx="19">
                  <c:v>SAC-10mg/L + Testostérone</c:v>
                </c:pt>
                <c:pt idx="20">
                  <c:v>SAC-100mg/L + Testostérone</c:v>
                </c:pt>
              </c:strCache>
            </c:strRef>
          </c:cat>
          <c:val>
            <c:numRef>
              <c:f>'pooled normalised values'!$B$75:$V$75</c:f>
              <c:numCache>
                <c:formatCode>0.0000</c:formatCode>
                <c:ptCount val="21"/>
                <c:pt idx="0">
                  <c:v>0.10038748006553394</c:v>
                </c:pt>
                <c:pt idx="1">
                  <c:v>0.14482434819950377</c:v>
                </c:pt>
                <c:pt idx="2">
                  <c:v>0.14329291465071942</c:v>
                </c:pt>
                <c:pt idx="3">
                  <c:v>0.33519771546365895</c:v>
                </c:pt>
                <c:pt idx="4">
                  <c:v>0.99299282299267888</c:v>
                </c:pt>
                <c:pt idx="5">
                  <c:v>1.5058957174186063</c:v>
                </c:pt>
                <c:pt idx="6">
                  <c:v>2.3895889157248815</c:v>
                </c:pt>
                <c:pt idx="7">
                  <c:v>0.10384234786077719</c:v>
                </c:pt>
                <c:pt idx="8">
                  <c:v>8.2108322783733756E-2</c:v>
                </c:pt>
                <c:pt idx="9">
                  <c:v>0.10463332817704488</c:v>
                </c:pt>
                <c:pt idx="10">
                  <c:v>9.4336439735582769E-2</c:v>
                </c:pt>
                <c:pt idx="11">
                  <c:v>0.1033998110563345</c:v>
                </c:pt>
                <c:pt idx="13">
                  <c:v>1</c:v>
                </c:pt>
                <c:pt idx="14">
                  <c:v>1.8210194807272808</c:v>
                </c:pt>
                <c:pt idx="15">
                  <c:v>9.0738879492618094E-2</c:v>
                </c:pt>
                <c:pt idx="16">
                  <c:v>0.94522073918666605</c:v>
                </c:pt>
                <c:pt idx="17">
                  <c:v>0.90513805226085564</c:v>
                </c:pt>
                <c:pt idx="18">
                  <c:v>0.84054587281875859</c:v>
                </c:pt>
                <c:pt idx="19">
                  <c:v>0.80964071454861941</c:v>
                </c:pt>
                <c:pt idx="20">
                  <c:v>0.66221444955801878</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SAC-0,01mg/L : 0%</c:v>
                  </c:pt>
                  <c:pt idx="1">
                    <c:v>SAC-0,1mg/L : 0%</c:v>
                  </c:pt>
                  <c:pt idx="2">
                    <c:v>SAC-1mg/L : 0%</c:v>
                  </c:pt>
                  <c:pt idx="3">
                    <c:v>SAC-10mg/L : 0%</c:v>
                  </c:pt>
                  <c:pt idx="4">
                    <c:v>SAC-100mg/L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SAC-0,01mg/L : 0%</c:v>
                  </c:pt>
                  <c:pt idx="1">
                    <c:v>SAC-0,1mg/L : 0%</c:v>
                  </c:pt>
                  <c:pt idx="2">
                    <c:v>SAC-1mg/L : 0%</c:v>
                  </c:pt>
                  <c:pt idx="3">
                    <c:v>SAC-10mg/L : 0%</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SAC-0,01mg/L : 0%</c:v>
                  </c:pt>
                  <c:pt idx="1">
                    <c:v>SAC-0,1mg/L : 0%</c:v>
                  </c:pt>
                  <c:pt idx="2">
                    <c:v>SAC-1mg/L : 0%</c:v>
                  </c:pt>
                  <c:pt idx="3">
                    <c:v>SAC-10mg/L : 0%</c:v>
                  </c:pt>
                  <c:pt idx="4">
                    <c:v>SAC-100mg/L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SAC-0,01mg/L : 0%</c:v>
                  </c:pt>
                  <c:pt idx="1">
                    <c:v>SAC-0,1mg/L : 0%</c:v>
                  </c:pt>
                  <c:pt idx="2">
                    <c:v>SAC-1mg/L : 0%</c:v>
                  </c:pt>
                  <c:pt idx="3">
                    <c:v>SAC-10mg/L : 0%</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40B3F1A-FE34-4292-8A3E-849D84F7AA7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972166F-A8DD-4812-98A8-05615887B3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399FABF2-D891-4D54-ABF6-14690F601E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7B0AD914-CB0E-44A8-9289-BA3CCB4426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54C1A062-0AC3-405E-A788-366F042B84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5842423A-AF02-4CCF-A5AA-4BCF13F5E5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469437D4-3840-4170-9518-CA0DD1F850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421D85D-259C-45FD-A7E0-8F25B6C7BA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BB63738B-E1B0-4984-B120-EB757724BF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832EA577-2ADC-428D-A79E-719CB0DB58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E98300B9-425D-4872-8FEC-59170E25BF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33D28CE2-9485-4879-A536-FFE0318B42B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12332E15-3047-4544-BF50-928BED2219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63631956-7C33-4CA9-8C76-1B803382D6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1.3916992299659602E-2</c:v>
                  </c:pt>
                  <c:pt idx="2">
                    <c:v>1.7672216158932223E-2</c:v>
                  </c:pt>
                  <c:pt idx="3">
                    <c:v>1.1833195281924589E-2</c:v>
                  </c:pt>
                  <c:pt idx="4">
                    <c:v>1.015928534385485E-2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1.3916992299659602E-2</c:v>
                  </c:pt>
                  <c:pt idx="2">
                    <c:v>1.7672216158932223E-2</c:v>
                  </c:pt>
                  <c:pt idx="3">
                    <c:v>1.1833195281924589E-2</c:v>
                  </c:pt>
                  <c:pt idx="4">
                    <c:v>1.015928534385485E-2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8.2108322783733756E-2</c:v>
                </c:pt>
                <c:pt idx="2">
                  <c:v>0.10463332817704488</c:v>
                </c:pt>
                <c:pt idx="3">
                  <c:v>9.4336439735582769E-2</c:v>
                </c:pt>
                <c:pt idx="4">
                  <c:v>0.1033998110563345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0.10038748006553394</c:v>
                </c:pt>
                <c:pt idx="1">
                  <c:v>0.10038748006553394</c:v>
                </c:pt>
                <c:pt idx="2">
                  <c:v>0.10038748006553394</c:v>
                </c:pt>
                <c:pt idx="3">
                  <c:v>0.10038748006553394</c:v>
                </c:pt>
                <c:pt idx="4">
                  <c:v>0.10038748006553394</c:v>
                </c:pt>
                <c:pt idx="5">
                  <c:v>0.10038748006553394</c:v>
                </c:pt>
                <c:pt idx="6">
                  <c:v>0.10038748006553394</c:v>
                </c:pt>
                <c:pt idx="7">
                  <c:v>0.10038748006553394</c:v>
                </c:pt>
                <c:pt idx="8">
                  <c:v>0.10038748006553394</c:v>
                </c:pt>
                <c:pt idx="9">
                  <c:v>0.10038748006553394</c:v>
                </c:pt>
                <c:pt idx="10">
                  <c:v>0.10038748006553394</c:v>
                </c:pt>
                <c:pt idx="11">
                  <c:v>0.10038748006553394</c:v>
                </c:pt>
                <c:pt idx="12">
                  <c:v>0.10038748006553394</c:v>
                </c:pt>
                <c:pt idx="13">
                  <c:v>0.10038748006553394</c:v>
                </c:pt>
                <c:pt idx="14">
                  <c:v>0.10038748006553394</c:v>
                </c:pt>
                <c:pt idx="15">
                  <c:v>0.10038748006553394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9.0738879492618094E-2</c:v>
                </c:pt>
                <c:pt idx="1">
                  <c:v>9.0738879492618094E-2</c:v>
                </c:pt>
                <c:pt idx="2">
                  <c:v>9.0738879492618094E-2</c:v>
                </c:pt>
                <c:pt idx="3">
                  <c:v>9.0738879492618094E-2</c:v>
                </c:pt>
                <c:pt idx="4">
                  <c:v>9.0738879492618094E-2</c:v>
                </c:pt>
                <c:pt idx="5">
                  <c:v>9.0738879492618094E-2</c:v>
                </c:pt>
                <c:pt idx="6">
                  <c:v>9.0738879492618094E-2</c:v>
                </c:pt>
                <c:pt idx="7">
                  <c:v>9.0738879492618094E-2</c:v>
                </c:pt>
                <c:pt idx="8">
                  <c:v>9.0738879492618094E-2</c:v>
                </c:pt>
                <c:pt idx="9">
                  <c:v>9.0738879492618094E-2</c:v>
                </c:pt>
                <c:pt idx="10">
                  <c:v>9.0738879492618094E-2</c:v>
                </c:pt>
                <c:pt idx="11">
                  <c:v>9.0738879492618094E-2</c:v>
                </c:pt>
                <c:pt idx="12">
                  <c:v>9.0738879492618094E-2</c:v>
                </c:pt>
                <c:pt idx="13">
                  <c:v>9.0738879492618094E-2</c:v>
                </c:pt>
                <c:pt idx="14">
                  <c:v>9.0738879492618094E-2</c:v>
                </c:pt>
                <c:pt idx="15">
                  <c:v>9.0738879492618094E-2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1.7302806012346628</c:v>
                </c:pt>
                <c:pt idx="1">
                  <c:v>1.7302806012346628</c:v>
                </c:pt>
                <c:pt idx="2">
                  <c:v>1.7302806012346628</c:v>
                </c:pt>
                <c:pt idx="3">
                  <c:v>1.7302806012346628</c:v>
                </c:pt>
                <c:pt idx="4">
                  <c:v>1.7302806012346628</c:v>
                </c:pt>
                <c:pt idx="5">
                  <c:v>1.7302806012346628</c:v>
                </c:pt>
                <c:pt idx="6">
                  <c:v>1.7302806012346628</c:v>
                </c:pt>
                <c:pt idx="7">
                  <c:v>1.7302806012346628</c:v>
                </c:pt>
                <c:pt idx="8">
                  <c:v>1.7302806012346628</c:v>
                </c:pt>
                <c:pt idx="9">
                  <c:v>1.7302806012346628</c:v>
                </c:pt>
                <c:pt idx="10">
                  <c:v>1.7302806012346628</c:v>
                </c:pt>
                <c:pt idx="11">
                  <c:v>1.7302806012346628</c:v>
                </c:pt>
                <c:pt idx="12">
                  <c:v>1.7302806012346628</c:v>
                </c:pt>
                <c:pt idx="13">
                  <c:v>1.7302806012346628</c:v>
                </c:pt>
                <c:pt idx="14">
                  <c:v>1.7302806012346628</c:v>
                </c:pt>
                <c:pt idx="15">
                  <c:v>1.7302806012346628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0.76971939876533724</c:v>
                </c:pt>
                <c:pt idx="1">
                  <c:v>0.76971939876533724</c:v>
                </c:pt>
                <c:pt idx="2">
                  <c:v>0.76971939876533724</c:v>
                </c:pt>
                <c:pt idx="3">
                  <c:v>0.76971939876533724</c:v>
                </c:pt>
                <c:pt idx="4">
                  <c:v>0.76971939876533724</c:v>
                </c:pt>
                <c:pt idx="5">
                  <c:v>0.76971939876533724</c:v>
                </c:pt>
                <c:pt idx="6">
                  <c:v>0.76971939876533724</c:v>
                </c:pt>
                <c:pt idx="7">
                  <c:v>0.76971939876533724</c:v>
                </c:pt>
                <c:pt idx="8">
                  <c:v>0.76971939876533724</c:v>
                </c:pt>
                <c:pt idx="9">
                  <c:v>0.76971939876533724</c:v>
                </c:pt>
                <c:pt idx="10">
                  <c:v>0.76971939876533724</c:v>
                </c:pt>
                <c:pt idx="11">
                  <c:v>0.76971939876533724</c:v>
                </c:pt>
                <c:pt idx="12">
                  <c:v>0.76971939876533724</c:v>
                </c:pt>
                <c:pt idx="13">
                  <c:v>0.76971939876533724</c:v>
                </c:pt>
                <c:pt idx="14">
                  <c:v>0.76971939876533724</c:v>
                </c:pt>
                <c:pt idx="15">
                  <c:v>0.76971939876533724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29A1796-4BD8-434E-9167-F870CB7E61F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61CB5B92-822D-4616-BEC7-291121A6C3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BE82884-61C4-4D05-8A02-A4B3089A7A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18186221-FB44-4DA0-B274-846D190606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7D5BBF78-6C4C-4F8C-AFC3-7879DF011F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C7ADA570-3F6B-4BB5-9BB0-AA79BAE2D1E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C513CE44-854C-45DC-8171-F264E22AEF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95521029-470C-42CB-9AB3-0B11D217D5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F653B561-855B-4BE0-A312-865E78DD43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525FF6CE-46F7-400E-9B82-D569DCB9D3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D2DA91F6-AA34-43D6-85CD-7C1ED80810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28A56B7A-6F5F-44D1-93E6-CB1E6D2DC6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D42C9F1C-2211-47CF-84CD-EA48A0FD7B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3AD61076-A60F-4228-8A36-D7B09C5C0F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0.12834105530697115</c:v>
                  </c:pt>
                  <c:pt idx="2">
                    <c:v>0.10328141068066292</c:v>
                  </c:pt>
                  <c:pt idx="3">
                    <c:v>8.940294698001211E-2</c:v>
                  </c:pt>
                  <c:pt idx="4">
                    <c:v>0.10146081014880902</c:v>
                  </c:pt>
                  <c:pt idx="5">
                    <c:v>0.10165178897318194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0.12834105530697115</c:v>
                  </c:pt>
                  <c:pt idx="2">
                    <c:v>0.10328141068066292</c:v>
                  </c:pt>
                  <c:pt idx="3">
                    <c:v>8.940294698001211E-2</c:v>
                  </c:pt>
                  <c:pt idx="4">
                    <c:v>0.10146081014880902</c:v>
                  </c:pt>
                  <c:pt idx="5">
                    <c:v>0.10165178897318194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0.94522073918666605</c:v>
                </c:pt>
                <c:pt idx="2">
                  <c:v>0.90513805226085564</c:v>
                </c:pt>
                <c:pt idx="3">
                  <c:v>0.84054587281875859</c:v>
                </c:pt>
                <c:pt idx="4">
                  <c:v>0.80964071454861941</c:v>
                </c:pt>
                <c:pt idx="5">
                  <c:v>0.66221444955801878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235FB006-D9F3-4EF9-B0ED-FE0BBB448E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7DA83103-7466-46CD-86A7-DA51822D02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70EA7FC8-035A-42E5-8B8C-2C2792388F8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60FE97CD-0BD4-4170-AD3E-93912CBFB3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D6849C15-26EF-4766-9E8A-2DC662810A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FDD4DD9B-53DD-42A3-9E7C-A03FC3BC0A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43D2B7AE-D562-452F-890F-54E7FFE0BF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84D01C2B-795A-4303-8ED0-3EC893CD5B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96CEAF9-3DC8-416A-8E78-F58C7CB62D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0081E5B-B472-4FA6-A976-B09CB1B940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77899819-5E32-4CFE-8860-691E625143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B0674551-CB14-4065-8830-6688BA4A72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A96F7480-2B3B-4F02-AA66-DDB1C23CBE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F93D2BD3-2C8F-415F-9EC9-C88ADBD6EB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1.3916992299659602E-2</c:v>
                  </c:pt>
                  <c:pt idx="2">
                    <c:v>1.7672216158932223E-2</c:v>
                  </c:pt>
                  <c:pt idx="3">
                    <c:v>1.1833195281924589E-2</c:v>
                  </c:pt>
                  <c:pt idx="4">
                    <c:v>1.015928534385485E-2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1.3916992299659602E-2</c:v>
                  </c:pt>
                  <c:pt idx="2">
                    <c:v>1.7672216158932223E-2</c:v>
                  </c:pt>
                  <c:pt idx="3">
                    <c:v>1.1833195281924589E-2</c:v>
                  </c:pt>
                  <c:pt idx="4">
                    <c:v>1.015928534385485E-2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SAC-0.1mg/L</c:v>
                </c:pt>
                <c:pt idx="2">
                  <c:v>SAC-1mg/L</c:v>
                </c:pt>
                <c:pt idx="3">
                  <c:v>SAC-10mg/L</c:v>
                </c:pt>
                <c:pt idx="4">
                  <c:v>SAC-100mg/L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8.2108322783733756E-2</c:v>
                </c:pt>
                <c:pt idx="2">
                  <c:v>0.10463332817704488</c:v>
                </c:pt>
                <c:pt idx="3">
                  <c:v>9.4336439735582769E-2</c:v>
                </c:pt>
                <c:pt idx="4">
                  <c:v>0.1033998110563345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0.10038748006553394</c:v>
                </c:pt>
                <c:pt idx="1">
                  <c:v>0.10038748006553394</c:v>
                </c:pt>
                <c:pt idx="2">
                  <c:v>0.10038748006553394</c:v>
                </c:pt>
                <c:pt idx="3">
                  <c:v>0.10038748006553394</c:v>
                </c:pt>
                <c:pt idx="4">
                  <c:v>0.10038748006553394</c:v>
                </c:pt>
                <c:pt idx="5">
                  <c:v>0.10038748006553394</c:v>
                </c:pt>
                <c:pt idx="6">
                  <c:v>0.10038748006553394</c:v>
                </c:pt>
                <c:pt idx="7">
                  <c:v>0.10038748006553394</c:v>
                </c:pt>
                <c:pt idx="8">
                  <c:v>0.10038748006553394</c:v>
                </c:pt>
                <c:pt idx="9">
                  <c:v>0.10038748006553394</c:v>
                </c:pt>
                <c:pt idx="10">
                  <c:v>0.10038748006553394</c:v>
                </c:pt>
                <c:pt idx="11">
                  <c:v>0.10038748006553394</c:v>
                </c:pt>
                <c:pt idx="12">
                  <c:v>0.10038748006553394</c:v>
                </c:pt>
                <c:pt idx="13">
                  <c:v>0.10038748006553394</c:v>
                </c:pt>
                <c:pt idx="14">
                  <c:v>0.10038748006553394</c:v>
                </c:pt>
                <c:pt idx="15">
                  <c:v>0.10038748006553394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9.0738879492618094E-2</c:v>
                </c:pt>
                <c:pt idx="1">
                  <c:v>9.0738879492618094E-2</c:v>
                </c:pt>
                <c:pt idx="2">
                  <c:v>9.0738879492618094E-2</c:v>
                </c:pt>
                <c:pt idx="3">
                  <c:v>9.0738879492618094E-2</c:v>
                </c:pt>
                <c:pt idx="4">
                  <c:v>9.0738879492618094E-2</c:v>
                </c:pt>
                <c:pt idx="5">
                  <c:v>9.0738879492618094E-2</c:v>
                </c:pt>
                <c:pt idx="6">
                  <c:v>9.0738879492618094E-2</c:v>
                </c:pt>
                <c:pt idx="7">
                  <c:v>9.0738879492618094E-2</c:v>
                </c:pt>
                <c:pt idx="8">
                  <c:v>9.0738879492618094E-2</c:v>
                </c:pt>
                <c:pt idx="9">
                  <c:v>9.0738879492618094E-2</c:v>
                </c:pt>
                <c:pt idx="10">
                  <c:v>9.0738879492618094E-2</c:v>
                </c:pt>
                <c:pt idx="11">
                  <c:v>9.0738879492618094E-2</c:v>
                </c:pt>
                <c:pt idx="12">
                  <c:v>9.0738879492618094E-2</c:v>
                </c:pt>
                <c:pt idx="13">
                  <c:v>9.0738879492618094E-2</c:v>
                </c:pt>
                <c:pt idx="14">
                  <c:v>9.0738879492618094E-2</c:v>
                </c:pt>
                <c:pt idx="15">
                  <c:v>9.0738879492618094E-2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1.7302806012346628</c:v>
                </c:pt>
                <c:pt idx="1">
                  <c:v>1.7302806012346628</c:v>
                </c:pt>
                <c:pt idx="2">
                  <c:v>1.7302806012346628</c:v>
                </c:pt>
                <c:pt idx="3">
                  <c:v>1.7302806012346628</c:v>
                </c:pt>
                <c:pt idx="4">
                  <c:v>1.7302806012346628</c:v>
                </c:pt>
                <c:pt idx="5">
                  <c:v>1.7302806012346628</c:v>
                </c:pt>
                <c:pt idx="6">
                  <c:v>1.7302806012346628</c:v>
                </c:pt>
                <c:pt idx="7">
                  <c:v>1.7302806012346628</c:v>
                </c:pt>
                <c:pt idx="8">
                  <c:v>1.7302806012346628</c:v>
                </c:pt>
                <c:pt idx="9">
                  <c:v>1.7302806012346628</c:v>
                </c:pt>
                <c:pt idx="10">
                  <c:v>1.7302806012346628</c:v>
                </c:pt>
                <c:pt idx="11">
                  <c:v>1.7302806012346628</c:v>
                </c:pt>
                <c:pt idx="12">
                  <c:v>1.7302806012346628</c:v>
                </c:pt>
                <c:pt idx="13">
                  <c:v>1.7302806012346628</c:v>
                </c:pt>
                <c:pt idx="14">
                  <c:v>1.7302806012346628</c:v>
                </c:pt>
                <c:pt idx="15">
                  <c:v>1.7302806012346628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0.76971939876533724</c:v>
                </c:pt>
                <c:pt idx="1">
                  <c:v>0.76971939876533724</c:v>
                </c:pt>
                <c:pt idx="2">
                  <c:v>0.76971939876533724</c:v>
                </c:pt>
                <c:pt idx="3">
                  <c:v>0.76971939876533724</c:v>
                </c:pt>
                <c:pt idx="4">
                  <c:v>0.76971939876533724</c:v>
                </c:pt>
                <c:pt idx="5">
                  <c:v>0.76971939876533724</c:v>
                </c:pt>
                <c:pt idx="6">
                  <c:v>0.76971939876533724</c:v>
                </c:pt>
                <c:pt idx="7">
                  <c:v>0.76971939876533724</c:v>
                </c:pt>
                <c:pt idx="8">
                  <c:v>0.76971939876533724</c:v>
                </c:pt>
                <c:pt idx="9">
                  <c:v>0.76971939876533724</c:v>
                </c:pt>
                <c:pt idx="10">
                  <c:v>0.76971939876533724</c:v>
                </c:pt>
                <c:pt idx="11">
                  <c:v>0.76971939876533724</c:v>
                </c:pt>
                <c:pt idx="12">
                  <c:v>0.76971939876533724</c:v>
                </c:pt>
                <c:pt idx="13">
                  <c:v>0.76971939876533724</c:v>
                </c:pt>
                <c:pt idx="14">
                  <c:v>0.76971939876533724</c:v>
                </c:pt>
                <c:pt idx="15">
                  <c:v>0.76971939876533724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32DF56A7-4EE4-4E15-80B0-2EA2E67952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B443EDF1-8D85-4956-8BFA-515A3412BF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94AA48EB-F042-4C32-8F11-2A838EA4A5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B26C7D17-8F50-4F49-8652-9838E3D040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2BAEA251-9045-44A8-AAE2-93629677AF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0C0DEF3E-1095-4843-899D-C17C3F1E39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3AFF9F4D-482A-4B6E-A07C-28C02FA79E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2B729DCD-5B58-4E86-93D3-3A80CDB882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2A5CFC52-A3C3-4842-98F9-1C5E5B8845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DB9E9B71-B8CA-4215-9FCA-7B92677A4F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DA8CD131-9D0C-4ED2-8514-5E6360BE2E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CE8C269E-54F5-4AAA-9A79-DE0B67A1D0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62EBB993-3470-4B6D-9BDF-152BE42BBF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96F3CBA7-D1A0-4470-A78E-24EF540DCC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0.12834105530697115</c:v>
                  </c:pt>
                  <c:pt idx="2">
                    <c:v>0.10328141068066292</c:v>
                  </c:pt>
                  <c:pt idx="3">
                    <c:v>8.940294698001211E-2</c:v>
                  </c:pt>
                  <c:pt idx="4">
                    <c:v>0.10146081014880902</c:v>
                  </c:pt>
                  <c:pt idx="5">
                    <c:v>0.10165178897318194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0.12834105530697115</c:v>
                  </c:pt>
                  <c:pt idx="2">
                    <c:v>0.10328141068066292</c:v>
                  </c:pt>
                  <c:pt idx="3">
                    <c:v>8.940294698001211E-2</c:v>
                  </c:pt>
                  <c:pt idx="4">
                    <c:v>0.10146081014880902</c:v>
                  </c:pt>
                  <c:pt idx="5">
                    <c:v>0.10165178897318194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0.94522073918666605</c:v>
                </c:pt>
                <c:pt idx="2">
                  <c:v>0.90513805226085564</c:v>
                </c:pt>
                <c:pt idx="3">
                  <c:v>0.84054587281875859</c:v>
                </c:pt>
                <c:pt idx="4">
                  <c:v>0.80964071454861941</c:v>
                </c:pt>
                <c:pt idx="5">
                  <c:v>0.66221444955801878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SAC-0,01mg/L + Testostérone</c:v>
                </c:pt>
                <c:pt idx="2">
                  <c:v>SAC-0,1mg/L + Testostérone</c:v>
                </c:pt>
                <c:pt idx="3">
                  <c:v>SAC-1mg/L + Testostérone</c:v>
                </c:pt>
                <c:pt idx="4">
                  <c:v>SAC-10mg/L + Testostérone</c:v>
                </c:pt>
                <c:pt idx="5">
                  <c:v>SAC-100mg/L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04546713-BD91-41BD-BD1E-240ED1E9AD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94622F8A-B5F5-49E6-9FC3-A387FD4935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1.3916992299659602E-2</c:v>
                  </c:pt>
                </c:numCache>
              </c:numRef>
            </c:plus>
            <c:minus>
              <c:numRef>
                <c:f>'Graph format rapport CHG 1éch'!$E$4:$G$4</c:f>
                <c:numCache>
                  <c:formatCode>General</c:formatCode>
                  <c:ptCount val="3"/>
                  <c:pt idx="1">
                    <c:v>1.3916992299659602E-2</c:v>
                  </c:pt>
                </c:numCache>
              </c:numRef>
            </c:minus>
          </c:errBars>
          <c:cat>
            <c:strRef>
              <c:f>'Graph format rapport CHG 1éch'!$E$2:$G$2</c:f>
              <c:strCache>
                <c:ptCount val="2"/>
                <c:pt idx="1">
                  <c:v>SAC-0.1mg/L</c:v>
                </c:pt>
              </c:strCache>
            </c:strRef>
          </c:cat>
          <c:val>
            <c:numRef>
              <c:f>'Graph format rapport CHG 1éch'!$E$3:$G$3</c:f>
              <c:numCache>
                <c:formatCode>General</c:formatCode>
                <c:ptCount val="3"/>
                <c:pt idx="1">
                  <c:v>8.2108322783733756E-2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0.10038748006553394</c:v>
                </c:pt>
                <c:pt idx="1">
                  <c:v>0.10038748006553394</c:v>
                </c:pt>
                <c:pt idx="2">
                  <c:v>0.10038748006553394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SAC-0,01mg/L + Testostérone</c:v>
                </c:pt>
              </c:strCache>
            </c:strRef>
          </c:cat>
          <c:val>
            <c:numRef>
              <c:f>'Graph format rapport CHG 1éch'!$H$8:$J$8</c:f>
              <c:numCache>
                <c:formatCode>General</c:formatCode>
                <c:ptCount val="3"/>
                <c:pt idx="0">
                  <c:v>9.0738879492618094E-2</c:v>
                </c:pt>
                <c:pt idx="1">
                  <c:v>9.0738879492618094E-2</c:v>
                </c:pt>
                <c:pt idx="2">
                  <c:v>9.0738879492618094E-2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SAC-0,01mg/L + Testostérone</c:v>
                </c:pt>
              </c:strCache>
            </c:strRef>
          </c:cat>
          <c:val>
            <c:numRef>
              <c:f>'Graph format rapport CHG 1éch'!$H$9:$J$9</c:f>
              <c:numCache>
                <c:formatCode>General</c:formatCode>
                <c:ptCount val="3"/>
                <c:pt idx="0">
                  <c:v>1.7302806012346628</c:v>
                </c:pt>
                <c:pt idx="1">
                  <c:v>1.7302806012346628</c:v>
                </c:pt>
                <c:pt idx="2">
                  <c:v>1.7302806012346628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SAC-0,01mg/L + Testostérone</c:v>
                </c:pt>
              </c:strCache>
            </c:strRef>
          </c:cat>
          <c:val>
            <c:numRef>
              <c:f>'Graph format rapport CHG 1éch'!$H$10:$J$10</c:f>
              <c:numCache>
                <c:formatCode>General</c:formatCode>
                <c:ptCount val="3"/>
                <c:pt idx="0">
                  <c:v>0.76971939876533724</c:v>
                </c:pt>
                <c:pt idx="1">
                  <c:v>0.76971939876533724</c:v>
                </c:pt>
                <c:pt idx="2">
                  <c:v>0.76971939876533724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57002DE-5F56-4E79-9EFE-2061271535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449F441-1475-438B-AF32-5CECF049F7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0.12834105530697115</c:v>
                  </c:pt>
                </c:numCache>
              </c:numRef>
            </c:plus>
            <c:minus>
              <c:numRef>
                <c:f>'Graph format rapport CHG 1éch'!$H$4:$J$4</c:f>
                <c:numCache>
                  <c:formatCode>General</c:formatCode>
                  <c:ptCount val="3"/>
                  <c:pt idx="1">
                    <c:v>0.12834105530697115</c:v>
                  </c:pt>
                </c:numCache>
              </c:numRef>
            </c:minus>
          </c:errBars>
          <c:cat>
            <c:strRef>
              <c:f>'Graph format rapport CHG 1éch'!$H$2:$J$2</c:f>
              <c:strCache>
                <c:ptCount val="2"/>
                <c:pt idx="1">
                  <c:v>SAC-0,01mg/L + Testostérone</c:v>
                </c:pt>
              </c:strCache>
            </c:strRef>
          </c:cat>
          <c:val>
            <c:numRef>
              <c:f>'Graph format rapport CHG 1éch'!$H$3:$J$3</c:f>
              <c:numCache>
                <c:formatCode>General</c:formatCode>
                <c:ptCount val="3"/>
                <c:pt idx="1">
                  <c:v>0.94522073918666605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12E8E05-17A0-494E-ADC9-5F11EC23F6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EA41DC4E-BAB6-4F82-AB31-982CFEE77C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1.3916992299659602E-2</c:v>
                  </c:pt>
                </c:numCache>
              </c:numRef>
            </c:plus>
            <c:minus>
              <c:numRef>
                <c:f>'Graph format rapport CHG 1éch'!$E$4:$G$4</c:f>
                <c:numCache>
                  <c:formatCode>General</c:formatCode>
                  <c:ptCount val="3"/>
                  <c:pt idx="1">
                    <c:v>1.3916992299659602E-2</c:v>
                  </c:pt>
                </c:numCache>
              </c:numRef>
            </c:minus>
          </c:errBars>
          <c:cat>
            <c:strRef>
              <c:f>'Graph format rapport CHG 1éch'!$E$2:$G$2</c:f>
              <c:strCache>
                <c:ptCount val="2"/>
                <c:pt idx="1">
                  <c:v>SAC-0.1mg/L</c:v>
                </c:pt>
              </c:strCache>
            </c:strRef>
          </c:cat>
          <c:val>
            <c:numRef>
              <c:f>'Graph format rapport CHG 1éch'!$E$3:$G$3</c:f>
              <c:numCache>
                <c:formatCode>General</c:formatCode>
                <c:ptCount val="3"/>
                <c:pt idx="1">
                  <c:v>8.2108322783733756E-2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0.10038748006553394</c:v>
                </c:pt>
                <c:pt idx="1">
                  <c:v>0.10038748006553394</c:v>
                </c:pt>
                <c:pt idx="2">
                  <c:v>0.10038748006553394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SAC-0,01mg/L + Testostérone</c:v>
                </c:pt>
              </c:strCache>
            </c:strRef>
          </c:cat>
          <c:val>
            <c:numRef>
              <c:f>'Graph format rapport CHG 1éch'!$H$8:$J$8</c:f>
              <c:numCache>
                <c:formatCode>General</c:formatCode>
                <c:ptCount val="3"/>
                <c:pt idx="0">
                  <c:v>9.0738879492618094E-2</c:v>
                </c:pt>
                <c:pt idx="1">
                  <c:v>9.0738879492618094E-2</c:v>
                </c:pt>
                <c:pt idx="2">
                  <c:v>9.0738879492618094E-2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SAC-0,01mg/L + Testostérone</c:v>
                </c:pt>
              </c:strCache>
            </c:strRef>
          </c:cat>
          <c:val>
            <c:numRef>
              <c:f>'Graph format rapport CHG 1éch'!$H$9:$J$9</c:f>
              <c:numCache>
                <c:formatCode>General</c:formatCode>
                <c:ptCount val="3"/>
                <c:pt idx="0">
                  <c:v>1.7302806012346628</c:v>
                </c:pt>
                <c:pt idx="1">
                  <c:v>1.7302806012346628</c:v>
                </c:pt>
                <c:pt idx="2">
                  <c:v>1.7302806012346628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SAC-0,01mg/L + Testostérone</c:v>
                </c:pt>
              </c:strCache>
            </c:strRef>
          </c:cat>
          <c:val>
            <c:numRef>
              <c:f>'Graph format rapport CHG 1éch'!$H$10:$J$10</c:f>
              <c:numCache>
                <c:formatCode>General</c:formatCode>
                <c:ptCount val="3"/>
                <c:pt idx="0">
                  <c:v>0.76971939876533724</c:v>
                </c:pt>
                <c:pt idx="1">
                  <c:v>0.76971939876533724</c:v>
                </c:pt>
                <c:pt idx="2">
                  <c:v>0.76971939876533724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E54C8C2A-E5DD-4A8B-BB01-DE42FC62CD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E5B73552-3F71-406B-B035-778D608B46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0.12834105530697115</c:v>
                  </c:pt>
                </c:numCache>
              </c:numRef>
            </c:plus>
            <c:minus>
              <c:numRef>
                <c:f>'Graph format rapport CHG 1éch'!$H$4:$J$4</c:f>
                <c:numCache>
                  <c:formatCode>General</c:formatCode>
                  <c:ptCount val="3"/>
                  <c:pt idx="1">
                    <c:v>0.12834105530697115</c:v>
                  </c:pt>
                </c:numCache>
              </c:numRef>
            </c:minus>
          </c:errBars>
          <c:cat>
            <c:strRef>
              <c:f>'Graph format rapport CHG 1éch'!$H$2:$J$2</c:f>
              <c:strCache>
                <c:ptCount val="2"/>
                <c:pt idx="1">
                  <c:v>SAC-0,01mg/L + Testostérone</c:v>
                </c:pt>
              </c:strCache>
            </c:strRef>
          </c:cat>
          <c:val>
            <c:numRef>
              <c:f>'Graph format rapport CHG 1éch'!$H$3:$J$3</c:f>
              <c:numCache>
                <c:formatCode>General</c:formatCode>
                <c:ptCount val="3"/>
                <c:pt idx="1">
                  <c:v>0.94522073918666605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53543287038"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42"/>
    </cacheField>
    <cacheField name=" " numFmtId="0">
      <sharedItems containsBlank="1" count="45">
        <s v=" "/>
        <m/>
        <s v=" SD mean fluo "/>
        <s v=" 14.2068 "/>
        <s v=" 4.1747 "/>
        <s v=" 3.6317 "/>
        <s v=" 3.8989 "/>
        <s v=" 7.7027 "/>
        <s v=" 2.9939 "/>
        <s v=" 11.4445 "/>
        <s v=" 7.8271 "/>
        <s v=" 2.3188 "/>
        <s v=" 11.013 "/>
        <s v=" 4.0711 "/>
        <s v=" 9.3238 "/>
        <s v=" 5.7916 "/>
        <s v=" 7.9989 "/>
        <s v=" 5.8192 "/>
        <s v=" 3.4135 "/>
        <s v=" 3.3003 "/>
        <s v=" 4.9099 "/>
        <s v=" 3.8194 "/>
        <s v=" 8.5183 "/>
        <s v=" 12.4072 "/>
        <s v=" 9.8373 " u="1"/>
        <s v=" 4.3254 " u="1"/>
        <s v=" 13.2229 " u="1"/>
        <s v=" 12.6426 " u="1"/>
        <s v=" 3.6832 " u="1"/>
        <s v=" 2.53 " u="1"/>
        <s v=" 10.5978 " u="1"/>
        <s v=" 2.7482 " u="1"/>
        <s v=" 3.3232 " u="1"/>
        <s v=" 3.5366 " u="1"/>
        <s v=" 10.8343 " u="1"/>
        <s v=" 5.8019 " u="1"/>
        <s v=" 10.0395 " u="1"/>
        <s v=" 4.981 " u="1"/>
        <s v=" 11.5766 " u="1"/>
        <s v=" 8.0859 " u="1"/>
        <s v=" 3.7472 " u="1"/>
        <s v=" 3.2173 " u="1"/>
        <s v=" 11.1287 " u="1"/>
        <s v=" 3.9927 " u="1"/>
        <s v=" 15.4064 " u="1"/>
      </sharedItems>
    </cacheField>
    <cacheField name=" total fluorescence" numFmtId="0">
      <sharedItems containsBlank="1" containsMixedTypes="1" containsNumber="1" containsInteger="1" minValue="0" maxValue="5180944"/>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53543634262"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1"/>
    </cacheField>
    <cacheField name=" " numFmtId="0">
      <sharedItems containsBlank="1" count="45">
        <s v=" "/>
        <m/>
        <s v=" SD mean fluo "/>
        <s v=" 7.8914 "/>
        <s v=" 4.3915 "/>
        <s v=" 2.3291 "/>
        <s v=" 5.7611 "/>
        <s v=" 11.7533 "/>
        <s v=" 4.146 "/>
        <s v=" 4.4246 "/>
        <s v=" 4.462 "/>
        <s v=" 3.874 "/>
        <s v=" 2.8049 "/>
        <s v=" 3.8689 "/>
        <s v=" 6.7674 "/>
        <s v=" 7.3741 "/>
        <s v=" 3.9343 "/>
        <s v=" 3.2329 "/>
        <s v=" 4.2466 "/>
        <s v=" 2.6287 "/>
        <s v=" 1.7964 "/>
        <s v=" 2.2012 "/>
        <s v=" 3.8988 "/>
        <s v=" 16.346 "/>
        <s v=" 7.3552 " u="1"/>
        <s v=" 11.1335 " u="1"/>
        <s v=" 4.6858 " u="1"/>
        <s v=" 14.0282 " u="1"/>
        <s v=" 3.7881 " u="1"/>
        <s v=" 7.5914 " u="1"/>
        <s v=" 4.1161 " u="1"/>
        <s v=" 5.21 " u="1"/>
        <s v=" 3.5834 " u="1"/>
        <s v=" 7.9672 " u="1"/>
        <s v=" 2.8291 " u="1"/>
        <s v=" 13.8633 " u="1"/>
        <s v=" 15.9342 " u="1"/>
        <s v=" 8.0883 " u="1"/>
        <s v=" 13.7913 " u="1"/>
        <s v=" 12.0859 " u="1"/>
        <s v=" 3.506 " u="1"/>
        <s v=" 4.0759 " u="1"/>
        <s v=" 18.0199 " u="1"/>
        <s v=" 11.2114 " u="1"/>
        <s v=" 4.0077 " u="1"/>
      </sharedItems>
    </cacheField>
    <cacheField name=" total fluorescence" numFmtId="0">
      <sharedItems containsBlank="1" containsMixedTypes="1" containsNumber="1" containsInteger="1" minValue="0" maxValue="6700357"/>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5354375"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0"/>
    </cacheField>
    <cacheField name=" " numFmtId="0">
      <sharedItems containsBlank="1" count="45">
        <s v=" "/>
        <m/>
        <s v=" SD mean fluo "/>
        <s v=" 13.1971 "/>
        <s v=" 6.0636 "/>
        <s v=" 4.8004 "/>
        <s v=" 15.7769 "/>
        <s v=" 15.7368 "/>
        <s v=" 13.863 "/>
        <s v=" 10.9426 "/>
        <s v=" 1.6867 "/>
        <s v=" 4.6043 "/>
        <s v=" 14.9929 "/>
        <s v=" 2.2937 "/>
        <s v=" 14.4023 "/>
        <s v=" 13.3015 "/>
        <s v=" 15.4473 "/>
        <s v=" 4.8519 "/>
        <s v=" 3.466 "/>
        <s v=" 3.0241 "/>
        <s v=" 5.5773 "/>
        <s v=" 5.0552 "/>
        <s v=" 3.5342 "/>
        <s v=" 11.3813 "/>
        <s v=" 16.1241 " u="1"/>
        <s v=" 3.7926 " u="1"/>
        <s v=" 3.7601 " u="1"/>
        <s v=" 3.4436 " u="1"/>
        <s v=" 4.7693 " u="1"/>
        <s v=" 4.0338 " u="1"/>
        <s v=" 5.1424 " u="1"/>
        <s v=" 4.1715 " u="1"/>
        <s v=" 8.8315 " u="1"/>
        <s v=" 10.6545 " u="1"/>
        <s v=" 6.0853 " u="1"/>
        <s v=" 5.4589 " u="1"/>
        <s v=" 8.7464 " u="1"/>
        <s v=" 5.7513 " u="1"/>
        <s v=" 4.8141 " u="1"/>
        <s v=" 13.8638 " u="1"/>
        <s v=" 8.4902 " u="1"/>
        <s v=" 2.5852 " u="1"/>
        <s v=" 3.5196 " u="1"/>
        <s v=" 9.1309 " u="1"/>
        <s v=" 8.6965 " u="1"/>
      </sharedItems>
    </cacheField>
    <cacheField name=" total fluorescence" numFmtId="0">
      <sharedItems containsBlank="1" containsMixedTypes="1" containsNumber="1" containsInteger="1" minValue="0" maxValue="5785391"/>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53543981485" createdVersion="6" refreshedVersion="7" minRefreshableVersion="3" recordCount="52" xr:uid="{8DEF666A-6C7D-4C16-AD6D-82242760D5D9}">
  <cacheSource type="worksheet">
    <worksheetSource name="liste_groupe"/>
  </cacheSource>
  <cacheFields count="6">
    <cacheField name="Nom sur le graphique" numFmtId="0">
      <sharedItems containsBlank="1" count="34">
        <s v="Témoin solvant"/>
        <s v="EE2-22,5ng/L"/>
        <s v="EE2-33,8ng/L"/>
        <s v="EE2-50,6ng/L"/>
        <s v="EE2-76ng/L"/>
        <s v="EE2-114ng/L"/>
        <s v="EE2-170,9ng/L"/>
        <s v="EE2-488ng/L"/>
        <s v="SAC-0.01mg/L"/>
        <s v="SAC-0.1mg/L"/>
        <s v="SAC-1mg/L"/>
        <s v="SAC-10mg/L"/>
        <s v="SAC-100mg/L"/>
        <s v=" "/>
        <s v="Testo -30µg/L"/>
        <s v="Testo 30µg/L + EE2 -64ng/L"/>
        <s v="Testo 30µg/L + FAD-10mg/L"/>
        <s v="SAC-0,01mg/L + Testostérone"/>
        <s v="SAC-0,1mg/L + Testostérone"/>
        <s v="SAC-1mg/L + Testostérone"/>
        <s v="SAC-10mg/L + Testostérone"/>
        <s v="SAC-100mg/L + Testostérone"/>
        <s v="0-00 + Testostérone"/>
        <m u="1"/>
        <s v="AN-2.9mg/L" u="1"/>
        <s v="AN-1,45mg/L + Testostérone" u="1"/>
        <s v="AN-1.45mg/L" u="1"/>
        <s v="AN-0,18mg/L + Testostérone" u="1"/>
        <s v="AN-0,36mg/L + Testostérone" u="1"/>
        <s v="AN-0,73mg/L + Testostérone" u="1"/>
        <s v="AN-0.36mg/L" u="1"/>
        <s v="AN-0.73mg/L" u="1"/>
        <s v="AN-0.18mg/L" u="1"/>
        <s v="AN-2,9mg/L + Testostérone" u="1"/>
      </sharedItems>
    </cacheField>
    <cacheField name="Code WF" numFmtId="0">
      <sharedItems containsBlank="1" containsMixedTypes="1" containsNumber="1" containsInteger="1" minValue="0" maxValue="0" count="4">
        <s v="Témoin"/>
        <s v="Chemical"/>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Saccharin\Saccharin/20201201_Cefas_Test8_Run1/Plate 1/@1/A10_01- exclu.tif"/>
    <m/>
    <m/>
    <x v="1"/>
    <m/>
    <m/>
    <m/>
  </r>
  <r>
    <x v="1"/>
    <x v="1"/>
    <s v="C:\Users\andre\Desktop\REACTIV CEFAS\Saccharin\Saccharin/20201201_Cefas_Test8_Run1/Plate 1/@1/A10_02- exclu.tif"/>
    <m/>
    <m/>
    <x v="1"/>
    <m/>
    <m/>
    <m/>
  </r>
  <r>
    <x v="1"/>
    <x v="1"/>
    <s v="C:\Users\andre\Desktop\REACTIV CEFAS\Saccharin\Saccharin/20201201_Cefas_Test8_Run1/Plate 1/@1/A10_03- exclu.tif"/>
    <m/>
    <m/>
    <x v="1"/>
    <m/>
    <m/>
    <m/>
  </r>
  <r>
    <x v="1"/>
    <x v="2"/>
    <s v="C:\Users\andre\Desktop\REACTIV CEFAS\Saccharin\Saccharin/20201201_Cefas_Test8_Run1/Plate 1/@1/B10_01- exclu.tif"/>
    <m/>
    <m/>
    <x v="1"/>
    <m/>
    <m/>
    <m/>
  </r>
  <r>
    <x v="1"/>
    <x v="2"/>
    <s v="C:\Users\andre\Desktop\REACTIV CEFAS\Saccharin\Saccharin/20201201_Cefas_Test8_Run1/Plate 1/@1/B10_02- exclu.tif"/>
    <m/>
    <m/>
    <x v="1"/>
    <m/>
    <m/>
    <m/>
  </r>
  <r>
    <x v="1"/>
    <x v="2"/>
    <s v="C:\Users\andre\Desktop\REACTIV CEFAS\Saccharin\Saccharin/20201201_Cefas_Test8_Run1/Plate 1/@1/B10_03.tif "/>
    <s v=" 7267.6446 "/>
    <s v=" 37.8036 "/>
    <x v="0"/>
    <n v="274743"/>
    <m/>
    <m/>
  </r>
  <r>
    <x v="1"/>
    <x v="3"/>
    <s v="C:\Users\andre\Desktop\REACTIV CEFAS\Saccharin\Saccharin/20201201_Cefas_Test8_Run1/Plate 1/@1/C10_01.tif "/>
    <s v=" 6986.456 "/>
    <s v=" 39.4241 "/>
    <x v="0"/>
    <n v="275435"/>
    <m/>
    <m/>
  </r>
  <r>
    <x v="1"/>
    <x v="3"/>
    <s v="C:\Users\andre\Desktop\REACTIV CEFAS\Saccharin\Saccharin/20201201_Cefas_Test8_Run1/Plate 1/@1/C10_02.tif "/>
    <s v=" 6186.1499 "/>
    <s v=" 39.8147 "/>
    <x v="0"/>
    <n v="246300"/>
    <m/>
    <m/>
  </r>
  <r>
    <x v="1"/>
    <x v="3"/>
    <s v="C:\Users\andre\Desktop\REACTIV CEFAS\Saccharin\Saccharin/20201201_Cefas_Test8_Run1/Plate 1/@1/C10_03.tif "/>
    <s v=" 5991.4808 "/>
    <s v=" 37.9639 "/>
    <x v="0"/>
    <n v="227460"/>
    <m/>
    <m/>
  </r>
  <r>
    <x v="1"/>
    <x v="4"/>
    <s v="C:\Users\andre\Desktop\REACTIV CEFAS\Saccharin\Saccharin/20201201_Cefas_Test8_Run1/Plate 1/@1/D10_01.tif "/>
    <s v=" 3655.4522 "/>
    <s v=" 34.5503 "/>
    <x v="0"/>
    <n v="126297"/>
    <m/>
    <m/>
  </r>
  <r>
    <x v="1"/>
    <x v="4"/>
    <s v="C:\Users\andre\Desktop\REACTIV CEFAS\Saccharin\Saccharin/20201201_Cefas_Test8_Run1/Plate 1/@1/D10_02.tif "/>
    <s v=" 7592.093 "/>
    <s v=" 32.9202 "/>
    <x v="0"/>
    <n v="249933"/>
    <m/>
    <m/>
  </r>
  <r>
    <x v="1"/>
    <x v="4"/>
    <s v="C:\Users\andre\Desktop\REACTIV CEFAS\Saccharin\Saccharin/20201201_Cefas_Test8_Run1/Plate 1/@1/D10_03.tif "/>
    <s v=" 1838.541 "/>
    <s v=" 33.2235 "/>
    <x v="0"/>
    <n v="61083"/>
    <m/>
    <m/>
  </r>
  <r>
    <x v="1"/>
    <x v="5"/>
    <s v="C:\Users\andre\Desktop\REACTIV CEFAS\Saccharin\Saccharin/20201201_Cefas_Test8_Run1/Plate 1/@1/E10_01.tif "/>
    <s v=" 1752.0215 "/>
    <s v=" 37.358 "/>
    <x v="0"/>
    <n v="65452"/>
    <m/>
    <m/>
  </r>
  <r>
    <x v="1"/>
    <x v="5"/>
    <s v="C:\Users\andre\Desktop\REACTIV CEFAS\Saccharin\Saccharin/20201201_Cefas_Test8_Run1/Plate 1/@1/E10_02.tif "/>
    <s v=" 194.6691 "/>
    <s v=" 31.4444 "/>
    <x v="0"/>
    <n v="6121"/>
    <m/>
    <m/>
  </r>
  <r>
    <x v="1"/>
    <x v="5"/>
    <s v="C:\Users\andre\Desktop\REACTIV CEFAS\Saccharin\Saccharin/20201201_Cefas_Test8_Run1/Plate 1/@1/E10_03.tif "/>
    <n v="0"/>
    <n v="0"/>
    <x v="0"/>
    <n v="0"/>
    <m/>
    <m/>
  </r>
  <r>
    <x v="1"/>
    <x v="6"/>
    <s v="C:\Users\andre\Desktop\REACTIV CEFAS\Saccharin\Saccharin/20201201_Cefas_Test8_Run1/Plate 1/@1/F10_01.tif "/>
    <s v=" 4412.4985 "/>
    <s v=" 35.7255 "/>
    <x v="0"/>
    <n v="157639"/>
    <m/>
    <m/>
  </r>
  <r>
    <x v="1"/>
    <x v="6"/>
    <s v="C:\Users\andre\Desktop\REACTIV CEFAS\Saccharin\Saccharin/20201201_Cefas_Test8_Run1/Plate 1/@1/F10_02.tif "/>
    <s v=" 800.3061 "/>
    <s v=" 32.2703 "/>
    <x v="0"/>
    <n v="25826"/>
    <m/>
    <m/>
  </r>
  <r>
    <x v="1"/>
    <x v="6"/>
    <s v="C:\Users\andre\Desktop\REACTIV CEFAS\Saccharin\Saccharin/20201201_Cefas_Test8_Run1/Plate 1/@1/F10_03.tif "/>
    <n v="0"/>
    <n v="0"/>
    <x v="0"/>
    <n v="0"/>
    <m/>
    <m/>
  </r>
  <r>
    <x v="1"/>
    <x v="7"/>
    <s v="C:\Users\andre\Desktop\REACTIV CEFAS\Saccharin\Saccharin/20201201_Cefas_Test8_Run1/Plate 1/@1/G10_01.tif "/>
    <n v="0"/>
    <n v="0"/>
    <x v="0"/>
    <n v="0"/>
    <m/>
    <m/>
  </r>
  <r>
    <x v="1"/>
    <x v="7"/>
    <s v="C:\Users\andre\Desktop\REACTIV CEFAS\Saccharin\Saccharin/20201201_Cefas_Test8_Run1/Plate 1/@1/G10_02.tif "/>
    <s v=" 21.6299 "/>
    <n v="31"/>
    <x v="0"/>
    <n v="671"/>
    <m/>
    <m/>
  </r>
  <r>
    <x v="1"/>
    <x v="7"/>
    <s v="C:\Users\andre\Desktop\REACTIV CEFAS\Saccharin\Saccharin/20201201_Cefas_Test8_Run1/Plate 1/@1/G10_03.tif "/>
    <s v=" 21.6299 "/>
    <n v="30"/>
    <x v="0"/>
    <n v="649"/>
    <m/>
    <m/>
  </r>
  <r>
    <x v="1"/>
    <x v="8"/>
    <s v="C:\Users\andre\Desktop\REACTIV CEFAS\Saccharin\Saccharin/20201201_Cefas_Test8_Run1/Plate 1/@1/H10_01.tif "/>
    <s v=" 562.3773 "/>
    <s v=" 31.4231 "/>
    <x v="0"/>
    <n v="17672"/>
    <m/>
    <m/>
  </r>
  <r>
    <x v="1"/>
    <x v="8"/>
    <s v="C:\Users\andre\Desktop\REACTIV CEFAS\Saccharin\Saccharin/20201201_Cefas_Test8_Run1/Plate 1/@1/H10_02.tif "/>
    <s v=" 6467.3385 "/>
    <s v=" 37.4582 "/>
    <x v="0"/>
    <n v="242255"/>
    <m/>
    <m/>
  </r>
  <r>
    <x v="1"/>
    <x v="8"/>
    <s v="C:\Users\andre\Desktop\REACTIV CEFAS\Saccharin\Saccharin/20201201_Cefas_Test8_Run1/Plate 1/@1/H10_03.tif "/>
    <s v=" 7786.7621 "/>
    <s v=" 39.6639 "/>
    <x v="0"/>
    <n v="308853"/>
    <m/>
    <m/>
  </r>
  <r>
    <x v="0"/>
    <x v="0"/>
    <s v=" "/>
    <m/>
    <m/>
    <x v="1"/>
    <m/>
    <m/>
    <m/>
  </r>
  <r>
    <x v="0"/>
    <x v="0"/>
    <s v="group "/>
    <s v=" "/>
    <s v=" mean of mean fluo "/>
    <x v="2"/>
    <s v=" mean of total fluo "/>
    <s v=" SD total fluo "/>
    <m/>
  </r>
  <r>
    <x v="1"/>
    <x v="9"/>
    <s v="C:\Users\andre\Desktop\REACTIV CEFAS\Saccharin\Saccharin/20201201_Cefas_Test8_Run1/Plate 1/@1/ "/>
    <s v=" "/>
    <s v=" 29.8795 "/>
    <x v="3"/>
    <s v=" 140170.792 "/>
    <s v=" 147850.89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Saccharin\Saccharin/20201201_Cefas_Test8_Run1/Plate 1/@13/A8_01.tif "/>
    <s v=" 24312.0016 "/>
    <s v=" 35.6423 "/>
    <x v="0"/>
    <n v="866537"/>
    <m/>
    <m/>
  </r>
  <r>
    <x v="2"/>
    <x v="1"/>
    <s v="C:\Users\andre\Desktop\REACTIV CEFAS\Saccharin\Saccharin/20201201_Cefas_Test8_Run1/Plate 1/@13/A8_02.tif "/>
    <s v=" 15140.9262 "/>
    <s v=" 35.39 "/>
    <x v="0"/>
    <n v="535837"/>
    <m/>
    <m/>
  </r>
  <r>
    <x v="2"/>
    <x v="1"/>
    <s v="C:\Users\andre\Desktop\REACTIV CEFAS\Saccharin\Saccharin/20201201_Cefas_Test8_Run1/Plate 1/@13/A8_03.tif "/>
    <s v=" 21911.0833 "/>
    <s v=" 35.157 "/>
    <x v="0"/>
    <n v="770327"/>
    <m/>
    <m/>
  </r>
  <r>
    <x v="2"/>
    <x v="2"/>
    <s v="C:\Users\andre\Desktop\REACTIV CEFAS\Saccharin\Saccharin/20201201_Cefas_Test8_Run1/Plate 1/@13/B8_01.tif "/>
    <s v=" 47239.6899 "/>
    <s v=" 36.8214 "/>
    <x v="0"/>
    <n v="1739433"/>
    <m/>
    <m/>
  </r>
  <r>
    <x v="2"/>
    <x v="2"/>
    <s v="C:\Users\andre\Desktop\REACTIV CEFAS\Saccharin\Saccharin/20201201_Cefas_Test8_Run1/Plate 1/@13/B8_02.tif "/>
    <s v=" 60217.6266 "/>
    <s v=" 38.5862 "/>
    <x v="0"/>
    <n v="2323570"/>
    <m/>
    <m/>
  </r>
  <r>
    <x v="2"/>
    <x v="2"/>
    <s v="C:\Users\andre\Desktop\REACTIV CEFAS\Saccharin\Saccharin/20201201_Cefas_Test8_Run1/Plate 1/@13/B8_03.tif "/>
    <s v=" 51046.5513 "/>
    <s v=" 37.1699 "/>
    <x v="0"/>
    <n v="1897396"/>
    <m/>
    <m/>
  </r>
  <r>
    <x v="2"/>
    <x v="3"/>
    <s v="C:\Users\andre\Desktop\REACTIV CEFAS\Saccharin\Saccharin/20201201_Cefas_Test8_Run1/Plate 1/@13/C8_01.tif "/>
    <s v=" 69756.4102 "/>
    <s v=" 42.9181 "/>
    <x v="0"/>
    <n v="2993815"/>
    <m/>
    <m/>
  </r>
  <r>
    <x v="2"/>
    <x v="3"/>
    <s v="C:\Users\andre\Desktop\REACTIV CEFAS\Saccharin\Saccharin/20201201_Cefas_Test8_Run1/Plate 1/@13/C8_02.tif "/>
    <s v=" 74644.7664 "/>
    <s v=" 47.8621 "/>
    <x v="0"/>
    <n v="3572653"/>
    <m/>
    <m/>
  </r>
  <r>
    <x v="2"/>
    <x v="3"/>
    <s v="C:\Users\andre\Desktop\REACTIV CEFAS\Saccharin\Saccharin/20201201_Cefas_Test8_Run1/Plate 1/@13/C8_03.tif "/>
    <s v=" 74298.6881 "/>
    <s v=" 47.5345 "/>
    <x v="0"/>
    <n v="3531751"/>
    <m/>
    <m/>
  </r>
  <r>
    <x v="2"/>
    <x v="4"/>
    <s v="C:\Users\andre\Desktop\REACTIV CEFAS\Saccharin\Saccharin/20201201_Cefas_Test8_Run1/Plate 1/@13/D8_01.tif "/>
    <s v=" 50895.1421 "/>
    <s v=" 39.4717 "/>
    <x v="0"/>
    <n v="2008920"/>
    <m/>
    <m/>
  </r>
  <r>
    <x v="2"/>
    <x v="4"/>
    <s v="C:\Users\andre\Desktop\REACTIV CEFAS\Saccharin\Saccharin/20201201_Cefas_Test8_Run1/Plate 1/@13/D8_02.tif "/>
    <s v=" 42459.4832 "/>
    <s v=" 36.0683 "/>
    <x v="0"/>
    <n v="1531440"/>
    <m/>
    <m/>
  </r>
  <r>
    <x v="2"/>
    <x v="4"/>
    <s v="C:\Users\andre\Desktop\REACTIV CEFAS\Saccharin\Saccharin/20201201_Cefas_Test8_Run1/Plate 1/@13/D8_03.tif "/>
    <s v=" 41507.7678 "/>
    <s v=" 37.468 "/>
    <x v="0"/>
    <n v="1555211"/>
    <m/>
    <m/>
  </r>
  <r>
    <x v="2"/>
    <x v="5"/>
    <s v="C:\Users\andre\Desktop\REACTIV CEFAS\Saccharin\Saccharin/20201201_Cefas_Test8_Run1/Plate 1/@13/E8_01.tif "/>
    <s v=" 8132.8404 "/>
    <s v=" 33.8218 "/>
    <x v="0"/>
    <n v="275067"/>
    <m/>
    <m/>
  </r>
  <r>
    <x v="2"/>
    <x v="5"/>
    <s v="C:\Users\andre\Desktop\REACTIV CEFAS\Saccharin\Saccharin/20201201_Cefas_Test8_Run1/Plate 1/@13/E8_02.tif "/>
    <s v=" 5472.3633 "/>
    <s v=" 32.8735 "/>
    <x v="0"/>
    <n v="179896"/>
    <m/>
    <m/>
  </r>
  <r>
    <x v="2"/>
    <x v="5"/>
    <s v="C:\Users\andre\Desktop\REACTIV CEFAS\Saccharin\Saccharin/20201201_Cefas_Test8_Run1/Plate 1/@13/E8_03.tif "/>
    <s v=" 3828.4913 "/>
    <s v=" 32.1808 "/>
    <x v="0"/>
    <n v="123204"/>
    <m/>
    <m/>
  </r>
  <r>
    <x v="2"/>
    <x v="6"/>
    <s v="C:\Users\andre\Desktop\REACTIV CEFAS\Saccharin\Saccharin/20201201_Cefas_Test8_Run1/Plate 1/@13/F8_01.tif "/>
    <s v=" 37571.127 "/>
    <s v=" 39.4865 "/>
    <x v="0"/>
    <n v="1483551"/>
    <m/>
    <m/>
  </r>
  <r>
    <x v="2"/>
    <x v="6"/>
    <s v="C:\Users\andre\Desktop\REACTIV CEFAS\Saccharin\Saccharin/20201201_Cefas_Test8_Run1/Plate 1/@13/F8_02.tif "/>
    <s v=" 29503.1763 "/>
    <s v=" 38.5249 "/>
    <x v="0"/>
    <n v="1136608"/>
    <m/>
    <m/>
  </r>
  <r>
    <x v="2"/>
    <x v="6"/>
    <s v="C:\Users\andre\Desktop\REACTIV CEFAS\Saccharin\Saccharin/20201201_Cefas_Test8_Run1/Plate 1/@13/F8_03.tif "/>
    <s v=" 38003.7249 "/>
    <s v=" 39.7063 "/>
    <x v="0"/>
    <n v="1508988"/>
    <m/>
    <m/>
  </r>
  <r>
    <x v="2"/>
    <x v="7"/>
    <s v="C:\Users\andre\Desktop\REACTIV CEFAS\Saccharin\Saccharin/20201201_Cefas_Test8_Run1/Plate 1/@13/G8_01.tif "/>
    <s v=" 51630.5585 "/>
    <s v=" 36.4001 "/>
    <x v="0"/>
    <n v="1879357"/>
    <m/>
    <m/>
  </r>
  <r>
    <x v="2"/>
    <x v="7"/>
    <s v="C:\Users\andre\Desktop\REACTIV CEFAS\Saccharin\Saccharin/20201201_Cefas_Test8_Run1/Plate 1/@13/G8_02.tif "/>
    <s v=" 42632.5223 "/>
    <s v=" 36.1187 "/>
    <x v="0"/>
    <n v="1539832"/>
    <m/>
    <m/>
  </r>
  <r>
    <x v="2"/>
    <x v="7"/>
    <s v="C:\Users\andre\Desktop\REACTIV CEFAS\Saccharin\Saccharin/20201201_Cefas_Test8_Run1/Plate 1/@13/G8_03.tif "/>
    <s v=" 47499.2486 "/>
    <s v=" 36.51 "/>
    <x v="0"/>
    <n v="1734198"/>
    <m/>
    <m/>
  </r>
  <r>
    <x v="2"/>
    <x v="8"/>
    <s v="C:\Users\andre\Desktop\REACTIV CEFAS\Saccharin\Saccharin/20201201_Cefas_Test8_Run1/Plate 1/@13/H8_01- exclu.tif"/>
    <m/>
    <m/>
    <x v="1"/>
    <m/>
    <m/>
    <m/>
  </r>
  <r>
    <x v="2"/>
    <x v="8"/>
    <s v="C:\Users\andre\Desktop\REACTIV CEFAS\Saccharin\Saccharin/20201201_Cefas_Test8_Run1/Plate 1/@13/H8_02- exclu.tif"/>
    <m/>
    <m/>
    <x v="1"/>
    <m/>
    <m/>
    <m/>
  </r>
  <r>
    <x v="2"/>
    <x v="8"/>
    <s v="C:\Users\andre\Desktop\REACTIV CEFAS\Saccharin\Saccharin/20201201_Cefas_Test8_Run1/Plate 1/@13/H8_03- exclu.tif"/>
    <m/>
    <m/>
    <x v="1"/>
    <m/>
    <m/>
    <m/>
  </r>
  <r>
    <x v="0"/>
    <x v="0"/>
    <s v=" "/>
    <m/>
    <m/>
    <x v="1"/>
    <m/>
    <m/>
    <m/>
  </r>
  <r>
    <x v="0"/>
    <x v="0"/>
    <s v="group "/>
    <s v=" "/>
    <s v=" mean of mean fluo "/>
    <x v="2"/>
    <s v=" mean of total fluo "/>
    <s v=" SD total fluo "/>
    <m/>
  </r>
  <r>
    <x v="2"/>
    <x v="9"/>
    <s v="C:\Users\andre\Desktop\REACTIV CEFAS\Saccharin\Saccharin/20201201_Cefas_Test8_Run1/Plate 1/@13/ "/>
    <s v=" "/>
    <s v=" 37.2545 "/>
    <x v="4"/>
    <s v=" 1401409.88 "/>
    <s v=" 1029844.4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Saccharin\Saccharin/20201201_Cefas_Test8_Run1/Plate 1/@14/A9_01.tif "/>
    <s v=" 53620.5088 "/>
    <s v=" 45.5264 "/>
    <x v="0"/>
    <n v="2441150"/>
    <m/>
    <m/>
  </r>
  <r>
    <x v="3"/>
    <x v="1"/>
    <s v="C:\Users\andre\Desktop\REACTIV CEFAS\Saccharin\Saccharin/20201201_Cefas_Test8_Run1/Plate 1/@14/A9_02.tif "/>
    <s v=" 56345.8755 "/>
    <s v=" 47.2418 "/>
    <x v="0"/>
    <n v="2661883"/>
    <m/>
    <m/>
  </r>
  <r>
    <x v="3"/>
    <x v="1"/>
    <s v="C:\Users\andre\Desktop\REACTIV CEFAS\Saccharin\Saccharin/20201201_Cefas_Test8_Run1/Plate 1/@14/A9_03.tif "/>
    <s v=" 63224.182 "/>
    <s v=" 48.338 "/>
    <x v="0"/>
    <n v="3056131"/>
    <m/>
    <m/>
  </r>
  <r>
    <x v="3"/>
    <x v="2"/>
    <s v="C:\Users\andre\Desktop\REACTIV CEFAS\Saccharin\Saccharin/20201201_Cefas_Test8_Run1/Plate 1/@14/B9_01.tif "/>
    <s v=" 57838.3382 "/>
    <s v=" 40.2427 "/>
    <x v="0"/>
    <n v="2327571"/>
    <m/>
    <m/>
  </r>
  <r>
    <x v="3"/>
    <x v="2"/>
    <s v="C:\Users\andre\Desktop\REACTIV CEFAS\Saccharin\Saccharin/20201201_Cefas_Test8_Run1/Plate 1/@14/B9_02.tif "/>
    <s v=" 55350.9004 "/>
    <s v=" 41.4412 "/>
    <x v="0"/>
    <n v="2293807"/>
    <m/>
    <m/>
  </r>
  <r>
    <x v="3"/>
    <x v="2"/>
    <s v="C:\Users\andre\Desktop\REACTIV CEFAS\Saccharin\Saccharin/20201201_Cefas_Test8_Run1/Plate 1/@14/B9_03.tif "/>
    <s v=" 56735.2136 "/>
    <s v=" 40.9344 "/>
    <x v="0"/>
    <n v="2322423"/>
    <m/>
    <m/>
  </r>
  <r>
    <x v="3"/>
    <x v="3"/>
    <s v="C:\Users\andre\Desktop\REACTIV CEFAS\Saccharin\Saccharin/20201201_Cefas_Test8_Run1/Plate 1/@14/C9_01.tif "/>
    <s v=" 61126.0822 "/>
    <s v=" 45.4306 "/>
    <x v="0"/>
    <n v="2776997"/>
    <m/>
    <m/>
  </r>
  <r>
    <x v="3"/>
    <x v="3"/>
    <s v="C:\Users\andre\Desktop\REACTIV CEFAS\Saccharin\Saccharin/20201201_Cefas_Test8_Run1/Plate 1/@14/C9_02.tif "/>
    <s v=" 57232.7012 "/>
    <s v=" 44.8141 "/>
    <x v="0"/>
    <n v="2564830"/>
    <m/>
    <m/>
  </r>
  <r>
    <x v="3"/>
    <x v="3"/>
    <s v="C:\Users\andre\Desktop\REACTIV CEFAS\Saccharin\Saccharin/20201201_Cefas_Test8_Run1/Plate 1/@14/C9_03.tif "/>
    <s v=" 55199.4911 "/>
    <s v=" 42.2092 "/>
    <x v="0"/>
    <n v="2329929"/>
    <m/>
    <m/>
  </r>
  <r>
    <x v="3"/>
    <x v="4"/>
    <s v="C:\Users\andre\Desktop\REACTIV CEFAS\Saccharin\Saccharin/20201201_Cefas_Test8_Run1/Plate 1/@14/D9_01.tif "/>
    <s v=" 65408.8014 "/>
    <s v=" 44.8185 "/>
    <x v="0"/>
    <n v="2931521"/>
    <m/>
    <m/>
  </r>
  <r>
    <x v="3"/>
    <x v="4"/>
    <s v="C:\Users\andre\Desktop\REACTIV CEFAS\Saccharin\Saccharin/20201201_Cefas_Test8_Run1/Plate 1/@14/D9_02.tif "/>
    <s v=" 54853.4128 "/>
    <s v=" 42.1928 "/>
    <x v="0"/>
    <n v="2314420"/>
    <m/>
    <m/>
  </r>
  <r>
    <x v="3"/>
    <x v="4"/>
    <s v="C:\Users\andre\Desktop\REACTIV CEFAS\Saccharin\Saccharin/20201201_Cefas_Test8_Run1/Plate 1/@14/D9_03.tif "/>
    <s v=" 59720.1391 "/>
    <s v=" 44.2912 "/>
    <x v="0"/>
    <n v="2645077"/>
    <m/>
    <m/>
  </r>
  <r>
    <x v="3"/>
    <x v="5"/>
    <s v="C:\Users\andre\Desktop\REACTIV CEFAS\Saccharin\Saccharin/20201201_Cefas_Test8_Run1/Plate 1/@14/E9_01.tif "/>
    <s v=" 51500.7791 "/>
    <s v=" 46.0302 "/>
    <x v="0"/>
    <n v="2370593"/>
    <m/>
    <m/>
  </r>
  <r>
    <x v="3"/>
    <x v="5"/>
    <s v="C:\Users\andre\Desktop\REACTIV CEFAS\Saccharin\Saccharin/20201201_Cefas_Test8_Run1/Plate 1/@14/E9_02- exclu.tif"/>
    <m/>
    <m/>
    <x v="1"/>
    <m/>
    <m/>
    <m/>
  </r>
  <r>
    <x v="3"/>
    <x v="5"/>
    <s v="C:\Users\andre\Desktop\REACTIV CEFAS\Saccharin\Saccharin/20201201_Cefas_Test8_Run1/Plate 1/@14/E9_03.tif "/>
    <s v=" 43995.2057 "/>
    <s v=" 45.826 "/>
    <x v="0"/>
    <n v="2016122"/>
    <m/>
    <m/>
  </r>
  <r>
    <x v="3"/>
    <x v="6"/>
    <s v="C:\Users\andre\Desktop\REACTIV CEFAS\Saccharin\Saccharin/20201201_Cefas_Test8_Run1/Plate 1/@14/F9_01.tif "/>
    <s v=" 36987.1198 "/>
    <s v=" 42.5357 "/>
    <x v="0"/>
    <n v="1573272"/>
    <m/>
    <m/>
  </r>
  <r>
    <x v="3"/>
    <x v="6"/>
    <s v="C:\Users\andre\Desktop\REACTIV CEFAS\Saccharin\Saccharin/20201201_Cefas_Test8_Run1/Plate 1/@14/F9_02.tif "/>
    <s v=" 32012.2441 "/>
    <s v=" 43.7878 "/>
    <x v="0"/>
    <n v="1401747"/>
    <m/>
    <m/>
  </r>
  <r>
    <x v="3"/>
    <x v="6"/>
    <s v="C:\Users\andre\Desktop\REACTIV CEFAS\Saccharin\Saccharin/20201201_Cefas_Test8_Run1/Plate 1/@14/F9_03.tif "/>
    <s v=" 30108.8133 "/>
    <s v=" 42.1803 "/>
    <x v="0"/>
    <n v="1269999"/>
    <m/>
    <m/>
  </r>
  <r>
    <x v="3"/>
    <x v="7"/>
    <s v="C:\Users\andre\Desktop\REACTIV CEFAS\Saccharin\Saccharin/20201201_Cefas_Test8_Run1/Plate 1/@14/G9_01.tif "/>
    <s v=" 5818.4417 "/>
    <s v=" 37.8885 "/>
    <x v="0"/>
    <n v="220452"/>
    <m/>
    <m/>
  </r>
  <r>
    <x v="3"/>
    <x v="7"/>
    <s v="C:\Users\andre\Desktop\REACTIV CEFAS\Saccharin\Saccharin/20201201_Cefas_Test8_Run1/Plate 1/@14/G9_02.tif "/>
    <s v=" 10274.1999 "/>
    <s v=" 43.7263 "/>
    <x v="0"/>
    <n v="449253"/>
    <m/>
    <m/>
  </r>
  <r>
    <x v="3"/>
    <x v="7"/>
    <s v="C:\Users\andre\Desktop\REACTIV CEFAS\Saccharin\Saccharin/20201201_Cefas_Test8_Run1/Plate 1/@14/G9_03.tif "/>
    <s v=" 6488.9684 "/>
    <s v=" 40.9467 "/>
    <x v="0"/>
    <n v="265702"/>
    <m/>
    <m/>
  </r>
  <r>
    <x v="3"/>
    <x v="8"/>
    <s v="C:\Users\andre\Desktop\REACTIV CEFAS\Saccharin\Saccharin/20201201_Cefas_Test8_Run1/Plate 1/@14/H9_01.tif "/>
    <s v=" 31147.0483 "/>
    <s v=" 35.1354 "/>
    <x v="0"/>
    <n v="1094365"/>
    <m/>
    <m/>
  </r>
  <r>
    <x v="3"/>
    <x v="8"/>
    <s v="C:\Users\andre\Desktop\REACTIV CEFAS\Saccharin\Saccharin/20201201_Cefas_Test8_Run1/Plate 1/@14/H9_02.tif "/>
    <s v=" 35062.0592 "/>
    <s v=" 36.2918 "/>
    <x v="0"/>
    <n v="1272465"/>
    <m/>
    <m/>
  </r>
  <r>
    <x v="3"/>
    <x v="8"/>
    <s v="C:\Users\andre\Desktop\REACTIV CEFAS\Saccharin\Saccharin/20201201_Cefas_Test8_Run1/Plate 1/@14/H9_03.tif "/>
    <s v=" 36143.5539 "/>
    <s v=" 35.2328 "/>
    <x v="0"/>
    <n v="1273438"/>
    <m/>
    <m/>
  </r>
  <r>
    <x v="0"/>
    <x v="0"/>
    <s v=" "/>
    <m/>
    <m/>
    <x v="1"/>
    <m/>
    <m/>
    <m/>
  </r>
  <r>
    <x v="0"/>
    <x v="0"/>
    <s v="group "/>
    <s v=" "/>
    <s v=" mean of mean fluo "/>
    <x v="2"/>
    <s v=" mean of total fluo "/>
    <s v=" SD total fluo "/>
    <m/>
  </r>
  <r>
    <x v="3"/>
    <x v="9"/>
    <s v="C:\Users\andre\Desktop\REACTIV CEFAS\Saccharin\Saccharin/20201201_Cefas_Test8_Run1/Plate 1/@14/ "/>
    <s v=" "/>
    <s v=" 42.6169 "/>
    <x v="5"/>
    <s v=" 1901017.12 "/>
    <s v=" 832858.493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Saccharin\Saccharin/20201201_Cefas_Test8_Run1/Plate 1/@15/A11_01.tif "/>
    <s v=" 79403.3432 "/>
    <s v=" 51.1351 "/>
    <x v="0"/>
    <n v="4060299"/>
    <m/>
    <m/>
  </r>
  <r>
    <x v="4"/>
    <x v="1"/>
    <s v="C:\Users\andre\Desktop\REACTIV CEFAS\Saccharin\Saccharin/20201201_Cefas_Test8_Run1/Plate 1/@15/A11_02.tif "/>
    <s v=" 73498.3819 "/>
    <s v=" 49.7969 "/>
    <x v="0"/>
    <n v="3659994"/>
    <m/>
    <m/>
  </r>
  <r>
    <x v="4"/>
    <x v="1"/>
    <s v="C:\Users\andre\Desktop\REACTIV CEFAS\Saccharin\Saccharin/20201201_Cefas_Test8_Run1/Plate 1/@15/A11_03.tif "/>
    <s v=" 75055.7344 "/>
    <s v=" 53.9562 "/>
    <x v="0"/>
    <n v="4049722"/>
    <m/>
    <m/>
  </r>
  <r>
    <x v="4"/>
    <x v="2"/>
    <s v="C:\Users\andre\Desktop\REACTIV CEFAS\Saccharin\Saccharin/20201201_Cefas_Test8_Run1/Plate 1/@15/B11_01.tif "/>
    <s v=" 72957.6346 "/>
    <s v=" 51.3694 "/>
    <x v="0"/>
    <n v="3747790"/>
    <m/>
    <m/>
  </r>
  <r>
    <x v="4"/>
    <x v="2"/>
    <s v="C:\Users\andre\Desktop\REACTIV CEFAS\Saccharin\Saccharin/20201201_Cefas_Test8_Run1/Plate 1/@15/B11_02.tif "/>
    <s v=" 79057.2649 "/>
    <s v=" 51.3666 "/>
    <x v="0"/>
    <n v="4060905"/>
    <m/>
    <m/>
  </r>
  <r>
    <x v="4"/>
    <x v="2"/>
    <s v="C:\Users\andre\Desktop\REACTIV CEFAS\Saccharin\Saccharin/20201201_Cefas_Test8_Run1/Plate 1/@15/B11_03.tif "/>
    <s v=" 75380.1828 "/>
    <s v=" 52.1392 "/>
    <x v="0"/>
    <n v="3930260"/>
    <m/>
    <m/>
  </r>
  <r>
    <x v="4"/>
    <x v="3"/>
    <s v="C:\Users\andre\Desktop\REACTIV CEFAS\Saccharin\Saccharin/20201201_Cefas_Test8_Run1/Plate 1/@15/C11_01.tif "/>
    <s v=" 87730.8526 "/>
    <s v=" 49.747 "/>
    <x v="0"/>
    <n v="4364350"/>
    <m/>
    <m/>
  </r>
  <r>
    <x v="4"/>
    <x v="3"/>
    <s v="C:\Users\andre\Desktop\REACTIV CEFAS\Saccharin\Saccharin/20201201_Cefas_Test8_Run1/Plate 1/@15/C11_02.tif "/>
    <s v=" 85849.0518 "/>
    <s v=" 48.5006 "/>
    <x v="0"/>
    <n v="4163733"/>
    <m/>
    <m/>
  </r>
  <r>
    <x v="4"/>
    <x v="3"/>
    <s v="C:\Users\andre\Desktop\REACTIV CEFAS\Saccharin\Saccharin/20201201_Cefas_Test8_Run1/Plate 1/@15/C11_03.tif "/>
    <s v=" 93484.4046 "/>
    <s v=" 52.6617 "/>
    <x v="0"/>
    <n v="4923051"/>
    <m/>
    <m/>
  </r>
  <r>
    <x v="4"/>
    <x v="4"/>
    <s v="C:\Users\andre\Desktop\REACTIV CEFAS\Saccharin\Saccharin/20201201_Cefas_Test8_Run1/Plate 1/@15/D11_01- exclu.tif"/>
    <m/>
    <m/>
    <x v="1"/>
    <m/>
    <m/>
    <m/>
  </r>
  <r>
    <x v="4"/>
    <x v="4"/>
    <s v="C:\Users\andre\Desktop\REACTIV CEFAS\Saccharin\Saccharin/20201201_Cefas_Test8_Run1/Plate 1/@15/D11_02.tif "/>
    <s v=" 53123.0212 "/>
    <s v=" 43.9951 "/>
    <x v="0"/>
    <n v="2337153"/>
    <m/>
    <m/>
  </r>
  <r>
    <x v="4"/>
    <x v="4"/>
    <s v="C:\Users\andre\Desktop\REACTIV CEFAS\Saccharin\Saccharin/20201201_Cefas_Test8_Run1/Plate 1/@15/D11_03.tif "/>
    <s v=" 50332.7648 "/>
    <s v=" 41.1771 "/>
    <x v="0"/>
    <n v="2072555"/>
    <m/>
    <m/>
  </r>
  <r>
    <x v="4"/>
    <x v="5"/>
    <s v="C:\Users\andre\Desktop\REACTIV CEFAS\Saccharin\Saccharin/20201201_Cefas_Test8_Run1/Plate 1/@15/E11_01.tif "/>
    <s v=" 86043.7208 "/>
    <s v=" 57.5178 "/>
    <x v="0"/>
    <n v="4949050"/>
    <m/>
    <m/>
  </r>
  <r>
    <x v="4"/>
    <x v="5"/>
    <s v="C:\Users\andre\Desktop\REACTIV CEFAS\Saccharin\Saccharin/20201201_Cefas_Test8_Run1/Plate 1/@15/E11_02.tif "/>
    <s v=" 80117.1297 "/>
    <s v=" 53.5359 "/>
    <x v="0"/>
    <n v="4289143"/>
    <m/>
    <m/>
  </r>
  <r>
    <x v="4"/>
    <x v="5"/>
    <s v="C:\Users\andre\Desktop\REACTIV CEFAS\Saccharin\Saccharin/20201201_Cefas_Test8_Run1/Plate 1/@15/E11_03.tif "/>
    <s v=" 83102.0552 "/>
    <s v=" 58.6065 "/>
    <x v="0"/>
    <n v="4870317"/>
    <m/>
    <m/>
  </r>
  <r>
    <x v="4"/>
    <x v="6"/>
    <s v="C:\Users\andre\Desktop\REACTIV CEFAS\Saccharin\Saccharin/20201201_Cefas_Test8_Run1/Plate 1/@15/F11_01.tif "/>
    <s v=" 66706.595 "/>
    <s v=" 47.4056 "/>
    <x v="0"/>
    <n v="3162269"/>
    <m/>
    <m/>
  </r>
  <r>
    <x v="4"/>
    <x v="6"/>
    <s v="C:\Users\andre\Desktop\REACTIV CEFAS\Saccharin\Saccharin/20201201_Cefas_Test8_Run1/Plate 1/@15/F11_02.tif "/>
    <s v=" 66230.7374 "/>
    <s v=" 50.87 "/>
    <x v="0"/>
    <n v="3369159"/>
    <m/>
    <m/>
  </r>
  <r>
    <x v="4"/>
    <x v="6"/>
    <s v="C:\Users\andre\Desktop\REACTIV CEFAS\Saccharin\Saccharin/20201201_Cefas_Test8_Run1/Plate 1/@15/F11_03- exclu.tif"/>
    <m/>
    <m/>
    <x v="1"/>
    <m/>
    <m/>
    <m/>
  </r>
  <r>
    <x v="4"/>
    <x v="7"/>
    <s v="C:\Users\andre\Desktop\REACTIV CEFAS\Saccharin\Saccharin/20201201_Cefas_Test8_Run1/Plate 1/@15/G11_01.tif "/>
    <s v=" 94219.821 "/>
    <s v=" 52.9431 "/>
    <x v="0"/>
    <n v="4988286"/>
    <m/>
    <m/>
  </r>
  <r>
    <x v="4"/>
    <x v="7"/>
    <s v="C:\Users\andre\Desktop\REACTIV CEFAS\Saccharin\Saccharin/20201201_Cefas_Test8_Run1/Plate 1/@15/G11_02.tif "/>
    <s v=" 85978.8311 "/>
    <s v=" 50.8503 "/>
    <x v="0"/>
    <n v="4372051"/>
    <m/>
    <m/>
  </r>
  <r>
    <x v="4"/>
    <x v="7"/>
    <s v="C:\Users\andre\Desktop\REACTIV CEFAS\Saccharin\Saccharin/20201201_Cefas_Test8_Run1/Plate 1/@15/G11_03.tif "/>
    <s v=" 92186.6109 "/>
    <s v=" 54.7189 "/>
    <x v="0"/>
    <n v="5044351"/>
    <m/>
    <m/>
  </r>
  <r>
    <x v="4"/>
    <x v="8"/>
    <s v="C:\Users\andre\Desktop\REACTIV CEFAS\Saccharin\Saccharin/20201201_Cefas_Test8_Run1/Plate 1/@15/H11_01.tif "/>
    <s v=" 44773.8819 "/>
    <s v=" 51.8604 "/>
    <x v="0"/>
    <n v="2321991"/>
    <m/>
    <m/>
  </r>
  <r>
    <x v="4"/>
    <x v="8"/>
    <s v="C:\Users\andre\Desktop\REACTIV CEFAS\Saccharin\Saccharin/20201201_Cefas_Test8_Run1/Plate 1/@15/H11_02.tif "/>
    <s v=" 51608.9286 "/>
    <s v=" 49.6551 "/>
    <x v="0"/>
    <n v="2562645"/>
    <m/>
    <m/>
  </r>
  <r>
    <x v="4"/>
    <x v="8"/>
    <s v="C:\Users\andre\Desktop\REACTIV CEFAS\Saccharin\Saccharin/20201201_Cefas_Test8_Run1/Plate 1/@15/H11_03.tif "/>
    <s v=" 50376.0246 "/>
    <s v=" 48.0854 "/>
    <x v="0"/>
    <n v="2422354"/>
    <m/>
    <m/>
  </r>
  <r>
    <x v="0"/>
    <x v="0"/>
    <s v=" "/>
    <m/>
    <m/>
    <x v="1"/>
    <m/>
    <m/>
    <m/>
  </r>
  <r>
    <x v="0"/>
    <x v="0"/>
    <s v="group "/>
    <s v=" "/>
    <s v=" mean of mean fluo "/>
    <x v="2"/>
    <s v=" mean of total fluo "/>
    <s v=" SD total fluo "/>
    <m/>
  </r>
  <r>
    <x v="4"/>
    <x v="9"/>
    <s v="C:\Users\andre\Desktop\REACTIV CEFAS\Saccharin\Saccharin/20201201_Cefas_Test8_Run1/Plate 1/@15/ "/>
    <s v=" "/>
    <s v=" 50.8315 "/>
    <x v="6"/>
    <s v=" 3690184.42 "/>
    <s v=" 1018859.5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Saccharin\Saccharin/20201201_Cefas_Test8_Run1/Plate 1/@16/A12_01.tif "/>
    <s v=" 4217.8295 "/>
    <s v=" 35.1538 "/>
    <x v="0"/>
    <n v="148273"/>
    <m/>
    <m/>
  </r>
  <r>
    <x v="5"/>
    <x v="1"/>
    <s v="C:\Users\andre\Desktop\REACTIV CEFAS\Saccharin\Saccharin/20201201_Cefas_Test8_Run1/Plate 1/@16/A12_02.tif "/>
    <s v=" 757.0463 "/>
    <s v=" 31.5143 "/>
    <x v="0"/>
    <n v="23858"/>
    <m/>
    <m/>
  </r>
  <r>
    <x v="5"/>
    <x v="1"/>
    <s v="C:\Users\andre\Desktop\REACTIV CEFAS\Saccharin\Saccharin/20201201_Cefas_Test8_Run1/Plate 1/@16/A12_03.tif "/>
    <s v=" 216.2989 "/>
    <n v="32"/>
    <x v="0"/>
    <n v="6922"/>
    <m/>
    <m/>
  </r>
  <r>
    <x v="5"/>
    <x v="2"/>
    <s v="C:\Users\andre\Desktop\REACTIV CEFAS\Saccharin\Saccharin/20201201_Cefas_Test8_Run1/Plate 1/@16/B12_01.tif "/>
    <s v=" 2227.8791 "/>
    <s v=" 32.8641 "/>
    <x v="0"/>
    <n v="73217"/>
    <m/>
    <m/>
  </r>
  <r>
    <x v="5"/>
    <x v="2"/>
    <s v="C:\Users\andre\Desktop\REACTIV CEFAS\Saccharin\Saccharin/20201201_Cefas_Test8_Run1/Plate 1/@16/B12_02.tif "/>
    <s v=" 2898.4059 "/>
    <s v=" 36.1642 "/>
    <x v="0"/>
    <n v="104818"/>
    <m/>
    <m/>
  </r>
  <r>
    <x v="5"/>
    <x v="2"/>
    <s v="C:\Users\andre\Desktop\REACTIV CEFAS\Saccharin\Saccharin/20201201_Cefas_Test8_Run1/Plate 1/@16/B12_03.tif "/>
    <s v=" 3028.1852 "/>
    <s v=" 34.8214 "/>
    <x v="0"/>
    <n v="105446"/>
    <m/>
    <m/>
  </r>
  <r>
    <x v="5"/>
    <x v="3"/>
    <s v="C:\Users\andre\Desktop\REACTIV CEFAS\Saccharin\Saccharin/20201201_Cefas_Test8_Run1/Plate 1/@16/C12_01.tif "/>
    <s v=" 2920.0358 "/>
    <s v=" 33.7111 "/>
    <x v="0"/>
    <n v="98438"/>
    <m/>
    <m/>
  </r>
  <r>
    <x v="5"/>
    <x v="3"/>
    <s v="C:\Users\andre\Desktop\REACTIV CEFAS\Saccharin\Saccharin/20201201_Cefas_Test8_Run1/Plate 1/@16/C12_02- exclu.tif"/>
    <m/>
    <m/>
    <x v="1"/>
    <m/>
    <m/>
    <m/>
  </r>
  <r>
    <x v="5"/>
    <x v="3"/>
    <s v="C:\Users\andre\Desktop\REACTIV CEFAS\Saccharin\Saccharin/20201201_Cefas_Test8_Run1/Plate 1/@16/C12_03.tif "/>
    <s v=" 648.8968 "/>
    <s v=" 30.8333 "/>
    <x v="0"/>
    <n v="20008"/>
    <m/>
    <m/>
  </r>
  <r>
    <x v="5"/>
    <x v="4"/>
    <s v="C:\Users\andre\Desktop\REACTIV CEFAS\Saccharin\Saccharin/20201201_Cefas_Test8_Run1/Plate 1/@16/D12_01.tif "/>
    <s v=" 8630.328 "/>
    <s v=" 38.4511 "/>
    <x v="0"/>
    <n v="331846"/>
    <m/>
    <m/>
  </r>
  <r>
    <x v="5"/>
    <x v="4"/>
    <s v="C:\Users\andre\Desktop\REACTIV CEFAS\Saccharin\Saccharin/20201201_Cefas_Test8_Run1/Plate 1/@16/D12_02.tif "/>
    <s v=" 2725.3667 "/>
    <s v=" 33.7222 "/>
    <x v="0"/>
    <n v="91905"/>
    <m/>
    <m/>
  </r>
  <r>
    <x v="5"/>
    <x v="4"/>
    <s v="C:\Users\andre\Desktop\REACTIV CEFAS\Saccharin\Saccharin/20201201_Cefas_Test8_Run1/Plate 1/@16/D12_03.tif "/>
    <s v=" 3417.5234 "/>
    <s v=" 33.0253 "/>
    <x v="0"/>
    <n v="112865"/>
    <m/>
    <m/>
  </r>
  <r>
    <x v="5"/>
    <x v="5"/>
    <s v="C:\Users\andre\Desktop\REACTIV CEFAS\Saccharin\Saccharin/20201201_Cefas_Test8_Run1/Plate 1/@16/E12_01.tif "/>
    <s v=" 4347.6088 "/>
    <s v=" 35.1244 "/>
    <x v="0"/>
    <n v="152707"/>
    <m/>
    <m/>
  </r>
  <r>
    <x v="5"/>
    <x v="5"/>
    <s v="C:\Users\andre\Desktop\REACTIV CEFAS\Saccharin\Saccharin/20201201_Cefas_Test8_Run1/Plate 1/@16/E12_02- exclu.tif"/>
    <m/>
    <m/>
    <x v="1"/>
    <m/>
    <m/>
    <m/>
  </r>
  <r>
    <x v="5"/>
    <x v="5"/>
    <s v="C:\Users\andre\Desktop\REACTIV CEFAS\Saccharin\Saccharin/20201201_Cefas_Test8_Run1/Plate 1/@16/E12_03- exclu.tif"/>
    <m/>
    <m/>
    <x v="1"/>
    <m/>
    <m/>
    <m/>
  </r>
  <r>
    <x v="5"/>
    <x v="6"/>
    <s v="C:\Users\andre\Desktop\REACTIV CEFAS\Saccharin\Saccharin/20201201_Cefas_Test8_Run1/Plate 1/@16/F12_01.tif "/>
    <s v=" 10555.3886 "/>
    <s v=" 39.2766 "/>
    <x v="0"/>
    <n v="414580"/>
    <m/>
    <m/>
  </r>
  <r>
    <x v="5"/>
    <x v="6"/>
    <s v="C:\Users\andre\Desktop\REACTIV CEFAS\Saccharin\Saccharin/20201201_Cefas_Test8_Run1/Plate 1/@16/F12_02.tif "/>
    <s v=" 5840.0715 "/>
    <s v=" 37.4815 "/>
    <x v="0"/>
    <n v="218895"/>
    <m/>
    <m/>
  </r>
  <r>
    <x v="5"/>
    <x v="6"/>
    <s v="C:\Users\andre\Desktop\REACTIV CEFAS\Saccharin\Saccharin/20201201_Cefas_Test8_Run1/Plate 1/@16/F12_03.tif "/>
    <s v=" 4650.4273 "/>
    <s v=" 35.6186 "/>
    <x v="0"/>
    <n v="165642"/>
    <m/>
    <m/>
  </r>
  <r>
    <x v="5"/>
    <x v="7"/>
    <s v="C:\Users\andre\Desktop\REACTIV CEFAS\Saccharin\Saccharin/20201201_Cefas_Test8_Run1/Plate 1/@16/G12_01.tif "/>
    <s v=" 1795.2813 "/>
    <s v=" 31.0843 "/>
    <x v="0"/>
    <n v="55805"/>
    <m/>
    <m/>
  </r>
  <r>
    <x v="5"/>
    <x v="7"/>
    <s v="C:\Users\andre\Desktop\REACTIV CEFAS\Saccharin\Saccharin/20201201_Cefas_Test8_Run1/Plate 1/@16/G12_02.tif "/>
    <s v=" 951.7154 "/>
    <s v=" 32.6818 "/>
    <x v="0"/>
    <n v="31104"/>
    <m/>
    <m/>
  </r>
  <r>
    <x v="5"/>
    <x v="7"/>
    <s v="C:\Users\andre\Desktop\REACTIV CEFAS\Saccharin\Saccharin/20201201_Cefas_Test8_Run1/Plate 1/@16/G12_03.tif "/>
    <s v=" 3439.1532 "/>
    <s v=" 36.6164 "/>
    <x v="0"/>
    <n v="125929"/>
    <m/>
    <m/>
  </r>
  <r>
    <x v="5"/>
    <x v="8"/>
    <s v="C:\Users\andre\Desktop\REACTIV CEFAS\Saccharin\Saccharin/20201201_Cefas_Test8_Run1/Plate 1/@16/H12_01.tif "/>
    <s v=" 4390.8686 "/>
    <s v=" 35.1823 "/>
    <x v="0"/>
    <n v="154481"/>
    <m/>
    <m/>
  </r>
  <r>
    <x v="5"/>
    <x v="8"/>
    <s v="C:\Users\andre\Desktop\REACTIV CEFAS\Saccharin\Saccharin/20201201_Cefas_Test8_Run1/Plate 1/@16/H12_02.tif "/>
    <s v=" 2768.6265 "/>
    <s v=" 34.4375 "/>
    <x v="0"/>
    <n v="95345"/>
    <m/>
    <m/>
  </r>
  <r>
    <x v="5"/>
    <x v="8"/>
    <s v="C:\Users\andre\Desktop\REACTIV CEFAS\Saccharin\Saccharin/20201201_Cefas_Test8_Run1/Plate 1/@16/H12_03.tif "/>
    <s v=" 4369.2387 "/>
    <s v=" 37.3515 "/>
    <x v="0"/>
    <n v="163198"/>
    <m/>
    <m/>
  </r>
  <r>
    <x v="0"/>
    <x v="0"/>
    <s v=" "/>
    <m/>
    <m/>
    <x v="1"/>
    <m/>
    <m/>
    <m/>
  </r>
  <r>
    <x v="0"/>
    <x v="0"/>
    <s v="group "/>
    <s v=" "/>
    <s v=" mean of mean fluo "/>
    <x v="2"/>
    <s v=" mean of total fluo "/>
    <s v=" SD total fluo "/>
    <m/>
  </r>
  <r>
    <x v="5"/>
    <x v="9"/>
    <s v="C:\Users\andre\Desktop\REACTIV CEFAS\Saccharin\Saccharin/20201201_Cefas_Test8_Run1/Plate 1/@16/ "/>
    <s v=" "/>
    <s v=" 33.6831 "/>
    <x v="7"/>
    <s v=" 137755.5 "/>
    <s v=" 108930.994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Saccharin\Saccharin/20201201_Cefas_Test8_Run1/Plate 1/@2/A2_01.tif "/>
    <s v=" 2314.3987 "/>
    <s v=" 36.0935 "/>
    <x v="0"/>
    <n v="83535"/>
    <m/>
    <m/>
  </r>
  <r>
    <x v="6"/>
    <x v="1"/>
    <s v="C:\Users\andre\Desktop\REACTIV CEFAS\Saccharin\Saccharin/20201201_Cefas_Test8_Run1/Plate 1/@2/A2_02.tif "/>
    <s v=" 3222.8543 "/>
    <s v=" 35.3826 "/>
    <x v="0"/>
    <n v="114033"/>
    <m/>
    <m/>
  </r>
  <r>
    <x v="6"/>
    <x v="1"/>
    <s v="C:\Users\andre\Desktop\REACTIV CEFAS\Saccharin\Saccharin/20201201_Cefas_Test8_Run1/Plate 1/@2/A2_03.tif "/>
    <s v=" 2422.5482 "/>
    <s v=" 35.5625 "/>
    <x v="0"/>
    <n v="86152"/>
    <m/>
    <m/>
  </r>
  <r>
    <x v="6"/>
    <x v="2"/>
    <s v="C:\Users\andre\Desktop\REACTIV CEFAS\Saccharin\Saccharin/20201201_Cefas_Test8_Run1/Plate 1/@2/B2_01.tif "/>
    <s v=" 6445.7086 "/>
    <s v=" 37.4262 "/>
    <x v="0"/>
    <n v="241238"/>
    <m/>
    <m/>
  </r>
  <r>
    <x v="6"/>
    <x v="2"/>
    <s v="C:\Users\andre\Desktop\REACTIV CEFAS\Saccharin\Saccharin/20201201_Cefas_Test8_Run1/Plate 1/@2/B2_02.tif "/>
    <s v=" 5018.1356 "/>
    <s v=" 35.8621 "/>
    <x v="0"/>
    <n v="179961"/>
    <m/>
    <m/>
  </r>
  <r>
    <x v="6"/>
    <x v="2"/>
    <s v="C:\Users\andre\Desktop\REACTIV CEFAS\Saccharin\Saccharin/20201201_Cefas_Test8_Run1/Plate 1/@2/B2_03.tif "/>
    <s v=" 6251.0395 "/>
    <s v=" 37.4187 "/>
    <x v="0"/>
    <n v="233906"/>
    <m/>
    <m/>
  </r>
  <r>
    <x v="6"/>
    <x v="3"/>
    <s v="C:\Users\andre\Desktop\REACTIV CEFAS\Saccharin\Saccharin/20201201_Cefas_Test8_Run1/Plate 1/@2/C2_01.tif "/>
    <s v=" 302.8185 "/>
    <s v=" 31.2857 "/>
    <x v="0"/>
    <n v="9474"/>
    <m/>
    <m/>
  </r>
  <r>
    <x v="6"/>
    <x v="3"/>
    <s v="C:\Users\andre\Desktop\REACTIV CEFAS\Saccharin\Saccharin/20201201_Cefas_Test8_Run1/Plate 1/@2/C2_02.tif "/>
    <s v=" 4174.5697 "/>
    <s v=" 37.2124 "/>
    <x v="0"/>
    <n v="155346"/>
    <m/>
    <m/>
  </r>
  <r>
    <x v="6"/>
    <x v="3"/>
    <s v="C:\Users\andre\Desktop\REACTIV CEFAS\Saccharin\Saccharin/20201201_Cefas_Test8_Run1/Plate 1/@2/C2_03.tif "/>
    <s v=" 6121.2602 "/>
    <s v=" 40.8198 "/>
    <x v="0"/>
    <n v="249869"/>
    <m/>
    <m/>
  </r>
  <r>
    <x v="6"/>
    <x v="4"/>
    <s v="C:\Users\andre\Desktop\REACTIV CEFAS\Saccharin\Saccharin/20201201_Cefas_Test8_Run1/Plate 1/@2/D2_01.tif "/>
    <s v=" 4261.0892 "/>
    <s v=" 33.0558 "/>
    <x v="0"/>
    <n v="140854"/>
    <m/>
    <m/>
  </r>
  <r>
    <x v="6"/>
    <x v="4"/>
    <s v="C:\Users\andre\Desktop\REACTIV CEFAS\Saccharin\Saccharin/20201201_Cefas_Test8_Run1/Plate 1/@2/D2_02.tif "/>
    <s v=" 4499.0181 "/>
    <s v=" 37.6875 "/>
    <x v="0"/>
    <n v="169557"/>
    <m/>
    <m/>
  </r>
  <r>
    <x v="6"/>
    <x v="4"/>
    <s v="C:\Users\andre\Desktop\REACTIV CEFAS\Saccharin\Saccharin/20201201_Cefas_Test8_Run1/Plate 1/@2/D2_03.tif "/>
    <s v=" 5147.9149 "/>
    <s v=" 39.7647 "/>
    <x v="0"/>
    <n v="204705"/>
    <m/>
    <m/>
  </r>
  <r>
    <x v="6"/>
    <x v="5"/>
    <s v="C:\Users\andre\Desktop\REACTIV CEFAS\Saccharin\Saccharin/20201201_Cefas_Test8_Run1/Plate 1/@2/E2_01.tif "/>
    <s v=" 6510.5983 "/>
    <s v=" 38.6279 "/>
    <x v="0"/>
    <n v="251491"/>
    <m/>
    <m/>
  </r>
  <r>
    <x v="6"/>
    <x v="5"/>
    <s v="C:\Users\andre\Desktop\REACTIV CEFAS\Saccharin\Saccharin/20201201_Cefas_Test8_Run1/Plate 1/@2/E2_02.tif "/>
    <s v=" 6078.0004 "/>
    <s v=" 41.8221 "/>
    <x v="0"/>
    <n v="254195"/>
    <m/>
    <m/>
  </r>
  <r>
    <x v="6"/>
    <x v="5"/>
    <s v="C:\Users\andre\Desktop\REACTIV CEFAS\Saccharin\Saccharin/20201201_Cefas_Test8_Run1/Plate 1/@2/E2_03.tif "/>
    <s v=" 6964.8261 "/>
    <s v=" 39.5031 "/>
    <x v="0"/>
    <n v="275132"/>
    <m/>
    <m/>
  </r>
  <r>
    <x v="6"/>
    <x v="6"/>
    <s v="C:\Users\andre\Desktop\REACTIV CEFAS\Saccharin\Saccharin/20201201_Cefas_Test8_Run1/Plate 1/@2/F2_01.tif "/>
    <s v=" 3309.3739 "/>
    <s v=" 37.719 "/>
    <x v="0"/>
    <n v="124826"/>
    <m/>
    <m/>
  </r>
  <r>
    <x v="6"/>
    <x v="6"/>
    <s v="C:\Users\andre\Desktop\REACTIV CEFAS\Saccharin\Saccharin/20201201_Cefas_Test8_Run1/Plate 1/@2/F2_02.tif "/>
    <s v=" 5320.9541 "/>
    <s v=" 41.9553 "/>
    <x v="0"/>
    <n v="223242"/>
    <m/>
    <m/>
  </r>
  <r>
    <x v="6"/>
    <x v="6"/>
    <s v="C:\Users\andre\Desktop\REACTIV CEFAS\Saccharin\Saccharin/20201201_Cefas_Test8_Run1/Plate 1/@2/F2_03.tif "/>
    <s v=" 7419.0539 "/>
    <s v=" 40.0671 "/>
    <x v="0"/>
    <n v="297260"/>
    <m/>
    <m/>
  </r>
  <r>
    <x v="6"/>
    <x v="7"/>
    <s v="C:\Users\andre\Desktop\REACTIV CEFAS\Saccharin\Saccharin/20201201_Cefas_Test8_Run1/Plate 1/@2/G2_01.tif "/>
    <s v=" 129.7794 "/>
    <s v=" 30.8333 "/>
    <x v="0"/>
    <n v="4002"/>
    <m/>
    <m/>
  </r>
  <r>
    <x v="6"/>
    <x v="7"/>
    <s v="C:\Users\andre\Desktop\REACTIV CEFAS\Saccharin\Saccharin/20201201_Cefas_Test8_Run1/Plate 1/@2/G2_02.tif "/>
    <s v=" 2768.6265 "/>
    <s v=" 35.3672 "/>
    <x v="0"/>
    <n v="97919"/>
    <m/>
    <m/>
  </r>
  <r>
    <x v="6"/>
    <x v="7"/>
    <s v="C:\Users\andre\Desktop\REACTIV CEFAS\Saccharin\Saccharin/20201201_Cefas_Test8_Run1/Plate 1/@2/G2_03.tif "/>
    <s v=" 3871.7511 "/>
    <s v=" 39.9777 "/>
    <x v="0"/>
    <n v="154784"/>
    <m/>
    <m/>
  </r>
  <r>
    <x v="6"/>
    <x v="8"/>
    <s v="C:\Users\andre\Desktop\REACTIV CEFAS\Saccharin\Saccharin/20201201_Cefas_Test8_Run1/Plate 1/@2/H2_01.tif "/>
    <s v=" 6402.4488 "/>
    <s v=" 34.5304 "/>
    <x v="0"/>
    <n v="221079"/>
    <m/>
    <m/>
  </r>
  <r>
    <x v="6"/>
    <x v="8"/>
    <s v="C:\Users\andre\Desktop\REACTIV CEFAS\Saccharin\Saccharin/20201201_Cefas_Test8_Run1/Plate 1/@2/H2_02.tif "/>
    <s v=" 4542.2779 "/>
    <s v=" 36.9857 "/>
    <x v="0"/>
    <n v="167999"/>
    <m/>
    <m/>
  </r>
  <r>
    <x v="6"/>
    <x v="8"/>
    <s v="C:\Users\andre\Desktop\REACTIV CEFAS\Saccharin\Saccharin/20201201_Cefas_Test8_Run1/Plate 1/@2/H2_03.tif "/>
    <s v=" 5493.9932 "/>
    <s v=" 39.7598 "/>
    <x v="0"/>
    <n v="218440"/>
    <m/>
    <m/>
  </r>
  <r>
    <x v="0"/>
    <x v="0"/>
    <s v=" "/>
    <m/>
    <m/>
    <x v="1"/>
    <m/>
    <m/>
    <m/>
  </r>
  <r>
    <x v="0"/>
    <x v="0"/>
    <s v="group "/>
    <s v=" "/>
    <s v=" mean of mean fluo "/>
    <x v="2"/>
    <s v=" mean of total fluo "/>
    <s v=" SD total fluo "/>
    <m/>
  </r>
  <r>
    <x v="6"/>
    <x v="9"/>
    <s v="C:\Users\andre\Desktop\REACTIV CEFAS\Saccharin\Saccharin/20201201_Cefas_Test8_Run1/Plate 1/@2/ "/>
    <s v=" "/>
    <s v=" 37.28 "/>
    <x v="8"/>
    <s v=" 173291.625 "/>
    <s v=" 79358.4007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Saccharin\Saccharin/20201201_Cefas_Test8_Run1/Plate 1/@3/A3_01.tif "/>
    <s v=" 6315.9292 "/>
    <s v=" 41.9555 "/>
    <x v="0"/>
    <n v="264988"/>
    <m/>
    <m/>
  </r>
  <r>
    <x v="7"/>
    <x v="1"/>
    <s v="C:\Users\andre\Desktop\REACTIV CEFAS\Saccharin\Saccharin/20201201_Cefas_Test8_Run1/Plate 1/@3/A3_02.tif "/>
    <s v=" 6835.0467 "/>
    <s v=" 43.3703 "/>
    <x v="0"/>
    <n v="296438"/>
    <m/>
    <m/>
  </r>
  <r>
    <x v="7"/>
    <x v="1"/>
    <s v="C:\Users\andre\Desktop\REACTIV CEFAS\Saccharin\Saccharin/20201201_Cefas_Test8_Run1/Plate 1/@3/A3_03.tif "/>
    <n v="0"/>
    <n v="0"/>
    <x v="0"/>
    <n v="0"/>
    <m/>
    <m/>
  </r>
  <r>
    <x v="7"/>
    <x v="2"/>
    <s v="C:\Users\andre\Desktop\REACTIV CEFAS\Saccharin\Saccharin/20201201_Cefas_Test8_Run1/Plate 1/@3/B3_01.tif "/>
    <s v=" 40556.0524 "/>
    <s v=" 36.832 "/>
    <x v="0"/>
    <n v="1493761"/>
    <m/>
    <m/>
  </r>
  <r>
    <x v="7"/>
    <x v="2"/>
    <s v="C:\Users\andre\Desktop\REACTIV CEFAS\Saccharin\Saccharin/20201201_Cefas_Test8_Run1/Plate 1/@3/B3_02.tif "/>
    <s v=" 33461.447 "/>
    <s v=" 34.9315 "/>
    <x v="0"/>
    <n v="1168858"/>
    <m/>
    <m/>
  </r>
  <r>
    <x v="7"/>
    <x v="2"/>
    <s v="C:\Users\andre\Desktop\REACTIV CEFAS\Saccharin\Saccharin/20201201_Cefas_Test8_Run1/Plate 1/@3/B3_03.tif "/>
    <s v=" 38479.5825 "/>
    <s v=" 35.6521 "/>
    <x v="0"/>
    <n v="1371876"/>
    <m/>
    <m/>
  </r>
  <r>
    <x v="7"/>
    <x v="3"/>
    <s v="C:\Users\andre\Desktop\REACTIV CEFAS\Saccharin\Saccharin/20201201_Cefas_Test8_Run1/Plate 1/@3/C3_01.tif "/>
    <s v=" 2855.1461 "/>
    <s v=" 35.1515 "/>
    <x v="0"/>
    <n v="100363"/>
    <m/>
    <m/>
  </r>
  <r>
    <x v="7"/>
    <x v="3"/>
    <s v="C:\Users\andre\Desktop\REACTIV CEFAS\Saccharin\Saccharin/20201201_Cefas_Test8_Run1/Plate 1/@3/C3_02.tif "/>
    <s v=" 2465.808 "/>
    <s v=" 34.6491 "/>
    <x v="0"/>
    <n v="85438"/>
    <m/>
    <m/>
  </r>
  <r>
    <x v="7"/>
    <x v="3"/>
    <s v="C:\Users\andre\Desktop\REACTIV CEFAS\Saccharin\Saccharin/20201201_Cefas_Test8_Run1/Plate 1/@3/C3_03.tif "/>
    <s v=" 1578.9823 "/>
    <s v=" 32.0959 "/>
    <x v="0"/>
    <n v="50679"/>
    <m/>
    <m/>
  </r>
  <r>
    <x v="7"/>
    <x v="4"/>
    <s v="C:\Users\andre\Desktop\REACTIV CEFAS\Saccharin\Saccharin/20201201_Cefas_Test8_Run1/Plate 1/@3/D3_01.tif "/>
    <s v=" 5515.6231 "/>
    <s v=" 40.0784 "/>
    <x v="0"/>
    <n v="221058"/>
    <m/>
    <m/>
  </r>
  <r>
    <x v="7"/>
    <x v="4"/>
    <s v="C:\Users\andre\Desktop\REACTIV CEFAS\Saccharin\Saccharin/20201201_Cefas_Test8_Run1/Plate 1/@3/D3_02.tif "/>
    <s v=" 6078.0004 "/>
    <s v=" 36.121 "/>
    <x v="0"/>
    <n v="219543"/>
    <m/>
    <m/>
  </r>
  <r>
    <x v="7"/>
    <x v="4"/>
    <s v="C:\Users\andre\Desktop\REACTIV CEFAS\Saccharin\Saccharin/20201201_Cefas_Test8_Run1/Plate 1/@3/D3_03.tif "/>
    <s v=" 3741.9718 "/>
    <s v=" 36.0173 "/>
    <x v="0"/>
    <n v="134776"/>
    <m/>
    <m/>
  </r>
  <r>
    <x v="7"/>
    <x v="5"/>
    <s v="C:\Users\andre\Desktop\REACTIV CEFAS\Saccharin\Saccharin/20201201_Cefas_Test8_Run1/Plate 1/@3/E3_01.tif "/>
    <n v="0"/>
    <n v="0"/>
    <x v="0"/>
    <n v="0"/>
    <m/>
    <m/>
  </r>
  <r>
    <x v="7"/>
    <x v="5"/>
    <s v="C:\Users\andre\Desktop\REACTIV CEFAS\Saccharin\Saccharin/20201201_Cefas_Test8_Run1/Plate 1/@3/E3_02.tif "/>
    <s v=" 1925.0606 "/>
    <s v=" 33.0899 "/>
    <x v="0"/>
    <n v="63700"/>
    <m/>
    <m/>
  </r>
  <r>
    <x v="7"/>
    <x v="5"/>
    <s v="C:\Users\andre\Desktop\REACTIV CEFAS\Saccharin\Saccharin/20201201_Cefas_Test8_Run1/Plate 1/@3/E3_03.tif "/>
    <s v=" 2941.6657 "/>
    <s v=" 36.4559 "/>
    <x v="0"/>
    <n v="107241"/>
    <m/>
    <m/>
  </r>
  <r>
    <x v="7"/>
    <x v="6"/>
    <s v="C:\Users\andre\Desktop\REACTIV CEFAS\Saccharin\Saccharin/20201201_Cefas_Test8_Run1/Plate 1/@3/F3_01- exclu.tif"/>
    <m/>
    <m/>
    <x v="1"/>
    <m/>
    <m/>
    <m/>
  </r>
  <r>
    <x v="7"/>
    <x v="6"/>
    <s v="C:\Users\andre\Desktop\REACTIV CEFAS\Saccharin\Saccharin/20201201_Cefas_Test8_Run1/Plate 1/@3/F3_02- exclu.tif"/>
    <m/>
    <m/>
    <x v="1"/>
    <m/>
    <m/>
    <m/>
  </r>
  <r>
    <x v="7"/>
    <x v="6"/>
    <s v="C:\Users\andre\Desktop\REACTIV CEFAS\Saccharin\Saccharin/20201201_Cefas_Test8_Run1/Plate 1/@3/F3_03- exclu.tif"/>
    <m/>
    <m/>
    <x v="1"/>
    <m/>
    <m/>
    <m/>
  </r>
  <r>
    <x v="7"/>
    <x v="7"/>
    <s v="C:\Users\andre\Desktop\REACTIV CEFAS\Saccharin\Saccharin/20201201_Cefas_Test8_Run1/Plate 1/@3/G3_01- exclu.tif"/>
    <m/>
    <m/>
    <x v="1"/>
    <m/>
    <m/>
    <m/>
  </r>
  <r>
    <x v="7"/>
    <x v="7"/>
    <s v="C:\Users\andre\Desktop\REACTIV CEFAS\Saccharin\Saccharin/20201201_Cefas_Test8_Run1/Plate 1/@3/G3_02.tif "/>
    <s v=" 4023.1604 "/>
    <s v=" 35.9194 "/>
    <x v="0"/>
    <n v="144509"/>
    <m/>
    <m/>
  </r>
  <r>
    <x v="7"/>
    <x v="7"/>
    <s v="C:\Users\andre\Desktop\REACTIV CEFAS\Saccharin\Saccharin/20201201_Cefas_Test8_Run1/Plate 1/@3/G3_03- exclu.tif"/>
    <m/>
    <m/>
    <x v="1"/>
    <m/>
    <m/>
    <m/>
  </r>
  <r>
    <x v="7"/>
    <x v="8"/>
    <s v="C:\Users\andre\Desktop\REACTIV CEFAS\Saccharin\Saccharin/20201201_Cefas_Test8_Run1/Plate 1/@3/H3_01.tif "/>
    <s v=" 2119.7297 "/>
    <s v=" 31.5204 "/>
    <x v="0"/>
    <n v="66815"/>
    <m/>
    <m/>
  </r>
  <r>
    <x v="7"/>
    <x v="8"/>
    <s v="C:\Users\andre\Desktop\REACTIV CEFAS\Saccharin\Saccharin/20201201_Cefas_Test8_Run1/Plate 1/@3/H3_02.tif "/>
    <s v=" 908.4556 "/>
    <s v=" 31.3571 "/>
    <x v="0"/>
    <n v="28487"/>
    <m/>
    <m/>
  </r>
  <r>
    <x v="7"/>
    <x v="8"/>
    <s v="C:\Users\andre\Desktop\REACTIV CEFAS\Saccharin\Saccharin/20201201_Cefas_Test8_Run1/Plate 1/@3/H3_03.tif "/>
    <s v=" 2638.8471 "/>
    <s v=" 33.4098 "/>
    <x v="0"/>
    <n v="88163"/>
    <m/>
    <m/>
  </r>
  <r>
    <x v="0"/>
    <x v="0"/>
    <s v=" "/>
    <m/>
    <m/>
    <x v="1"/>
    <m/>
    <m/>
    <m/>
  </r>
  <r>
    <x v="0"/>
    <x v="0"/>
    <s v="group "/>
    <s v=" "/>
    <s v=" mean of mean fluo "/>
    <x v="2"/>
    <s v=" mean of total fluo "/>
    <s v=" SD total fluo "/>
    <m/>
  </r>
  <r>
    <x v="7"/>
    <x v="9"/>
    <s v="C:\Users\andre\Desktop\REACTIV CEFAS\Saccharin\Saccharin/20201201_Cefas_Test8_Run1/Plate 1/@3/ "/>
    <s v=" "/>
    <s v=" 34.0583 "/>
    <x v="9"/>
    <s v=" 338262.75 "/>
    <s v=" 433708.039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Saccharin\Saccharin/20201201_Cefas_Test8_Run1/Plate 1/@4/A4_01.tif "/>
    <s v=" 8305.8795 "/>
    <s v=" 38.7161 "/>
    <x v="0"/>
    <n v="321572"/>
    <m/>
    <m/>
  </r>
  <r>
    <x v="8"/>
    <x v="1"/>
    <s v="C:\Users\andre\Desktop\REACTIV CEFAS\Saccharin\Saccharin/20201201_Cefas_Test8_Run1/Plate 1/@4/A4_02- exclu.tif"/>
    <m/>
    <m/>
    <x v="1"/>
    <m/>
    <m/>
    <m/>
  </r>
  <r>
    <x v="8"/>
    <x v="1"/>
    <s v="C:\Users\andre\Desktop\REACTIV CEFAS\Saccharin\Saccharin/20201201_Cefas_Test8_Run1/Plate 1/@4/A4_03.tif "/>
    <s v=" 6618.7478 "/>
    <s v=" 36.0948 "/>
    <x v="0"/>
    <n v="238902"/>
    <m/>
    <m/>
  </r>
  <r>
    <x v="8"/>
    <x v="2"/>
    <s v="C:\Users\andre\Desktop\REACTIV CEFAS\Saccharin\Saccharin/20201201_Cefas_Test8_Run1/Plate 1/@4/B4_01.tif "/>
    <s v=" 6921.5663 "/>
    <s v=" 37.4438 "/>
    <x v="0"/>
    <n v="259169"/>
    <m/>
    <m/>
  </r>
  <r>
    <x v="8"/>
    <x v="2"/>
    <s v="C:\Users\andre\Desktop\REACTIV CEFAS\Saccharin\Saccharin/20201201_Cefas_Test8_Run1/Plate 1/@4/B4_02.tif "/>
    <s v=" 13864.7625 "/>
    <s v=" 42.6786 "/>
    <x v="0"/>
    <n v="591729"/>
    <m/>
    <m/>
  </r>
  <r>
    <x v="8"/>
    <x v="2"/>
    <s v="C:\Users\andre\Desktop\REACTIV CEFAS\Saccharin\Saccharin/20201201_Cefas_Test8_Run1/Plate 1/@4/B4_03.tif "/>
    <s v=" 8954.7764 "/>
    <s v=" 42.8237 "/>
    <x v="0"/>
    <n v="383476"/>
    <m/>
    <m/>
  </r>
  <r>
    <x v="8"/>
    <x v="3"/>
    <s v="C:\Users\andre\Desktop\REACTIV CEFAS\Saccharin\Saccharin/20201201_Cefas_Test8_Run1/Plate 1/@4/C4_01.tif "/>
    <s v=" 21997.6028 "/>
    <s v=" 32.8387 "/>
    <x v="0"/>
    <n v="722374"/>
    <m/>
    <m/>
  </r>
  <r>
    <x v="8"/>
    <x v="3"/>
    <s v="C:\Users\andre\Desktop\REACTIV CEFAS\Saccharin\Saccharin/20201201_Cefas_Test8_Run1/Plate 1/@4/C4_02.tif "/>
    <s v=" 29957.4041 "/>
    <s v=" 33.7292 "/>
    <x v="0"/>
    <n v="1010441"/>
    <m/>
    <m/>
  </r>
  <r>
    <x v="8"/>
    <x v="3"/>
    <s v="C:\Users\andre\Desktop\REACTIV CEFAS\Saccharin\Saccharin/20201201_Cefas_Test8_Run1/Plate 1/@4/C4_03.tif "/>
    <s v=" 37138.5291 "/>
    <s v=" 35.2935 "/>
    <x v="0"/>
    <n v="1310750"/>
    <m/>
    <m/>
  </r>
  <r>
    <x v="8"/>
    <x v="4"/>
    <s v="C:\Users\andre\Desktop\REACTIV CEFAS\Saccharin\Saccharin/20201201_Cefas_Test8_Run1/Plate 1/@4/D4_01.tif "/>
    <s v=" 18493.5599 "/>
    <s v=" 34.1825 "/>
    <x v="0"/>
    <n v="632155"/>
    <m/>
    <m/>
  </r>
  <r>
    <x v="8"/>
    <x v="4"/>
    <s v="C:\Users\andre\Desktop\REACTIV CEFAS\Saccharin\Saccharin/20201201_Cefas_Test8_Run1/Plate 1/@4/D4_02.tif "/>
    <s v=" 24722.9696 "/>
    <s v=" 33.7804 "/>
    <x v="0"/>
    <n v="835152"/>
    <m/>
    <m/>
  </r>
  <r>
    <x v="8"/>
    <x v="4"/>
    <s v="C:\Users\andre\Desktop\REACTIV CEFAS\Saccharin\Saccharin/20201201_Cefas_Test8_Run1/Plate 1/@4/D4_03.tif "/>
    <s v=" 19293.866 "/>
    <s v=" 32.3004 "/>
    <x v="0"/>
    <n v="623201"/>
    <m/>
    <m/>
  </r>
  <r>
    <x v="8"/>
    <x v="5"/>
    <s v="C:\Users\andre\Desktop\REACTIV CEFAS\Saccharin\Saccharin/20201201_Cefas_Test8_Run1/Plate 1/@4/E4_01.tif "/>
    <s v=" 27145.5178 "/>
    <s v=" 36.4135 "/>
    <x v="0"/>
    <n v="988465"/>
    <m/>
    <m/>
  </r>
  <r>
    <x v="8"/>
    <x v="5"/>
    <s v="C:\Users\andre\Desktop\REACTIV CEFAS\Saccharin\Saccharin/20201201_Cefas_Test8_Run1/Plate 1/@4/E4_02.tif "/>
    <s v=" 23446.8058 "/>
    <s v=" 35.8616 "/>
    <x v="0"/>
    <n v="840841"/>
    <m/>
    <m/>
  </r>
  <r>
    <x v="8"/>
    <x v="5"/>
    <s v="C:\Users\andre\Desktop\REACTIV CEFAS\Saccharin\Saccharin/20201201_Cefas_Test8_Run1/Plate 1/@4/E4_03.tif "/>
    <s v=" 16157.5313 "/>
    <s v=" 35.2383 "/>
    <x v="0"/>
    <n v="569364"/>
    <m/>
    <m/>
  </r>
  <r>
    <x v="8"/>
    <x v="6"/>
    <s v="C:\Users\andre\Desktop\REACTIV CEFAS\Saccharin\Saccharin/20201201_Cefas_Test8_Run1/Plate 1/@4/F4_01.tif "/>
    <s v=" 3006.5554 "/>
    <s v=" 31.7626 "/>
    <x v="0"/>
    <n v="95496"/>
    <m/>
    <m/>
  </r>
  <r>
    <x v="8"/>
    <x v="6"/>
    <s v="C:\Users\andre\Desktop\REACTIV CEFAS\Saccharin\Saccharin/20201201_Cefas_Test8_Run1/Plate 1/@4/F4_02.tif "/>
    <s v=" 7419.0539 "/>
    <s v=" 32.2624 "/>
    <x v="0"/>
    <n v="239356"/>
    <m/>
    <m/>
  </r>
  <r>
    <x v="8"/>
    <x v="6"/>
    <s v="C:\Users\andre\Desktop\REACTIV CEFAS\Saccharin\Saccharin/20201201_Cefas_Test8_Run1/Plate 1/@4/F4_03.tif "/>
    <s v=" 4758.5768 "/>
    <s v=" 32.4364 "/>
    <x v="0"/>
    <n v="154351"/>
    <m/>
    <m/>
  </r>
  <r>
    <x v="8"/>
    <x v="7"/>
    <s v="C:\Users\andre\Desktop\REACTIV CEFAS\Saccharin\Saccharin/20201201_Cefas_Test8_Run1/Plate 1/@4/G4_01.tif "/>
    <s v=" 24095.7026 "/>
    <s v=" 33.991 "/>
    <x v="0"/>
    <n v="819038"/>
    <m/>
    <m/>
  </r>
  <r>
    <x v="8"/>
    <x v="7"/>
    <s v="C:\Users\andre\Desktop\REACTIV CEFAS\Saccharin\Saccharin/20201201_Cefas_Test8_Run1/Plate 1/@4/G4_02.tif "/>
    <s v=" 35624.4365 "/>
    <s v=" 37.7747 "/>
    <x v="0"/>
    <n v="1345704"/>
    <m/>
    <m/>
  </r>
  <r>
    <x v="8"/>
    <x v="7"/>
    <s v="C:\Users\andre\Desktop\REACTIV CEFAS\Saccharin\Saccharin/20201201_Cefas_Test8_Run1/Plate 1/@4/G4_03.tif "/>
    <s v=" 23143.9873 "/>
    <s v=" 35.3486 "/>
    <x v="0"/>
    <n v="818108"/>
    <m/>
    <m/>
  </r>
  <r>
    <x v="8"/>
    <x v="8"/>
    <s v="C:\Users\andre\Desktop\REACTIV CEFAS\Saccharin\Saccharin/20201201_Cefas_Test8_Run1/Plate 1/@4/H4_01.tif "/>
    <s v=" 778.6762 "/>
    <s v=" 31.0833 "/>
    <x v="0"/>
    <n v="24204"/>
    <m/>
    <m/>
  </r>
  <r>
    <x v="8"/>
    <x v="8"/>
    <s v="C:\Users\andre\Desktop\REACTIV CEFAS\Saccharin\Saccharin/20201201_Cefas_Test8_Run1/Plate 1/@4/H4_02- exclu.tif"/>
    <m/>
    <m/>
    <x v="1"/>
    <m/>
    <m/>
    <m/>
  </r>
  <r>
    <x v="8"/>
    <x v="8"/>
    <s v="C:\Users\andre\Desktop\REACTIV CEFAS\Saccharin\Saccharin/20201201_Cefas_Test8_Run1/Plate 1/@4/H4_03.tif "/>
    <s v=" 4023.1604 "/>
    <s v=" 31.1613 "/>
    <x v="0"/>
    <n v="125367"/>
    <m/>
    <m/>
  </r>
  <r>
    <x v="0"/>
    <x v="0"/>
    <s v=" "/>
    <m/>
    <m/>
    <x v="1"/>
    <m/>
    <m/>
    <m/>
  </r>
  <r>
    <x v="0"/>
    <x v="0"/>
    <s v="group "/>
    <s v=" "/>
    <s v=" mean of mean fluo "/>
    <x v="2"/>
    <s v=" mean of total fluo "/>
    <s v=" SD total fluo "/>
    <m/>
  </r>
  <r>
    <x v="8"/>
    <x v="9"/>
    <s v="C:\Users\andre\Desktop\REACTIV CEFAS\Saccharin\Saccharin/20201201_Cefas_Test8_Run1/Plate 1/@4/ "/>
    <s v=" "/>
    <s v=" 33.5251 "/>
    <x v="10"/>
    <s v=" 544727.375 "/>
    <s v=" 397328.388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Saccharin\Saccharin/20201201_Cefas_Test8_Run1/Plate 1/@5/A5_01.tif "/>
    <s v=" 23079.0976 "/>
    <s v=" 36.5492 "/>
    <x v="0"/>
    <n v="843523"/>
    <m/>
    <m/>
  </r>
  <r>
    <x v="9"/>
    <x v="1"/>
    <s v="C:\Users\andre\Desktop\REACTIV CEFAS\Saccharin\Saccharin/20201201_Cefas_Test8_Run1/Plate 1/@5/A5_02- exclu.tif"/>
    <m/>
    <m/>
    <x v="1"/>
    <m/>
    <m/>
    <m/>
  </r>
  <r>
    <x v="9"/>
    <x v="1"/>
    <s v="C:\Users\andre\Desktop\REACTIV CEFAS\Saccharin\Saccharin/20201201_Cefas_Test8_Run1/Plate 1/@5/A5_03.tif "/>
    <s v=" 23554.9553 "/>
    <s v=" 36.6538 "/>
    <x v="0"/>
    <n v="863379"/>
    <m/>
    <m/>
  </r>
  <r>
    <x v="9"/>
    <x v="2"/>
    <s v="C:\Users\andre\Desktop\REACTIV CEFAS\Saccharin\Saccharin/20201201_Cefas_Test8_Run1/Plate 1/@5/B5_01.tif "/>
    <s v=" 53555.6191 "/>
    <s v=" 38.2645 "/>
    <x v="0"/>
    <n v="2049281"/>
    <m/>
    <m/>
  </r>
  <r>
    <x v="9"/>
    <x v="2"/>
    <s v="C:\Users\andre\Desktop\REACTIV CEFAS\Saccharin\Saccharin/20201201_Cefas_Test8_Run1/Plate 1/@5/B5_02.tif "/>
    <s v=" 53490.7294 "/>
    <s v=" 37.4905 "/>
    <x v="0"/>
    <n v="2005394"/>
    <m/>
    <m/>
  </r>
  <r>
    <x v="9"/>
    <x v="2"/>
    <s v="C:\Users\andre\Desktop\REACTIV CEFAS\Saccharin\Saccharin/20201201_Cefas_Test8_Run1/Plate 1/@5/B5_03.tif "/>
    <s v=" 67982.7588 "/>
    <s v=" 40.2074 "/>
    <x v="0"/>
    <n v="2733413"/>
    <m/>
    <m/>
  </r>
  <r>
    <x v="9"/>
    <x v="3"/>
    <s v="C:\Users\andre\Desktop\REACTIV CEFAS\Saccharin\Saccharin/20201201_Cefas_Test8_Run1/Plate 1/@5/C5_01.tif "/>
    <s v=" 28508.2011 "/>
    <s v=" 37.717 "/>
    <x v="0"/>
    <n v="1075244"/>
    <m/>
    <m/>
  </r>
  <r>
    <x v="9"/>
    <x v="3"/>
    <s v="C:\Users\andre\Desktop\REACTIV CEFAS\Saccharin\Saccharin/20201201_Cefas_Test8_Run1/Plate 1/@5/C5_02.tif "/>
    <s v=" 19812.9835 "/>
    <s v=" 37.6299 "/>
    <x v="0"/>
    <n v="745561"/>
    <m/>
    <m/>
  </r>
  <r>
    <x v="9"/>
    <x v="3"/>
    <s v="C:\Users\andre\Desktop\REACTIV CEFAS\Saccharin\Saccharin/20201201_Cefas_Test8_Run1/Plate 1/@5/C5_03.tif "/>
    <s v=" 28767.7599 "/>
    <s v=" 40.9383 "/>
    <x v="0"/>
    <n v="1177705"/>
    <m/>
    <m/>
  </r>
  <r>
    <x v="9"/>
    <x v="4"/>
    <s v="C:\Users\andre\Desktop\REACTIV CEFAS\Saccharin\Saccharin/20201201_Cefas_Test8_Run1/Plate 1/@5/D5_01.tif "/>
    <s v=" 83988.8808 "/>
    <s v=" 43.6902 "/>
    <x v="0"/>
    <n v="3669490"/>
    <m/>
    <m/>
  </r>
  <r>
    <x v="9"/>
    <x v="4"/>
    <s v="C:\Users\andre\Desktop\REACTIV CEFAS\Saccharin\Saccharin/20201201_Cefas_Test8_Run1/Plate 1/@5/D5_02.tif "/>
    <s v=" 80246.9091 "/>
    <s v=" 42.4073 "/>
    <x v="0"/>
    <n v="3403053"/>
    <m/>
    <m/>
  </r>
  <r>
    <x v="9"/>
    <x v="4"/>
    <s v="C:\Users\andre\Desktop\REACTIV CEFAS\Saccharin\Saccharin/20201201_Cefas_Test8_Run1/Plate 1/@5/D5_03.tif "/>
    <s v=" 79122.1546 "/>
    <s v=" 43.193 "/>
    <x v="0"/>
    <n v="3417523"/>
    <m/>
    <m/>
  </r>
  <r>
    <x v="9"/>
    <x v="5"/>
    <s v="C:\Users\andre\Desktop\REACTIV CEFAS\Saccharin\Saccharin/20201201_Cefas_Test8_Run1/Plate 1/@5/E5_01.tif "/>
    <s v=" 43951.9459 "/>
    <s v=" 34.4405 "/>
    <x v="0"/>
    <n v="1513725"/>
    <m/>
    <m/>
  </r>
  <r>
    <x v="9"/>
    <x v="5"/>
    <s v="C:\Users\andre\Desktop\REACTIV CEFAS\Saccharin\Saccharin/20201201_Cefas_Test8_Run1/Plate 1/@5/E5_02- exclu.tif"/>
    <m/>
    <m/>
    <x v="1"/>
    <m/>
    <m/>
    <m/>
  </r>
  <r>
    <x v="9"/>
    <x v="5"/>
    <s v="C:\Users\andre\Desktop\REACTIV CEFAS\Saccharin\Saccharin/20201201_Cefas_Test8_Run1/Plate 1/@5/E5_03- exclu.tif"/>
    <m/>
    <m/>
    <x v="1"/>
    <m/>
    <m/>
    <m/>
  </r>
  <r>
    <x v="9"/>
    <x v="6"/>
    <s v="C:\Users\andre\Desktop\REACTIV CEFAS\Saccharin\Saccharin/20201201_Cefas_Test8_Run1/Plate 1/@5/F5_01.tif "/>
    <s v=" 50051.5762 "/>
    <s v=" 39.0372 "/>
    <x v="0"/>
    <n v="1953872"/>
    <m/>
    <m/>
  </r>
  <r>
    <x v="9"/>
    <x v="6"/>
    <s v="C:\Users\andre\Desktop\REACTIV CEFAS\Saccharin\Saccharin/20201201_Cefas_Test8_Run1/Plate 1/@5/F5_02.tif "/>
    <s v=" 44665.7324 "/>
    <s v=" 41.247 "/>
    <x v="0"/>
    <n v="1842326"/>
    <m/>
    <m/>
  </r>
  <r>
    <x v="9"/>
    <x v="6"/>
    <s v="C:\Users\andre\Desktop\REACTIV CEFAS\Saccharin\Saccharin/20201201_Cefas_Test8_Run1/Plate 1/@5/F5_03.tif "/>
    <s v=" 55545.5694 "/>
    <s v=" 41.4202 "/>
    <x v="0"/>
    <n v="2300707"/>
    <m/>
    <m/>
  </r>
  <r>
    <x v="9"/>
    <x v="7"/>
    <s v="C:\Users\andre\Desktop\REACTIV CEFAS\Saccharin\Saccharin/20201201_Cefas_Test8_Run1/Plate 1/@5/G5_01.tif "/>
    <s v=" 64651.755 "/>
    <s v=" 40.6591 "/>
    <x v="0"/>
    <n v="2628681"/>
    <m/>
    <m/>
  </r>
  <r>
    <x v="9"/>
    <x v="7"/>
    <s v="C:\Users\andre\Desktop\REACTIV CEFAS\Saccharin\Saccharin/20201201_Cefas_Test8_Run1/Plate 1/@5/G5_02.tif "/>
    <s v=" 54291.0355 "/>
    <s v=" 36.7112 "/>
    <x v="0"/>
    <n v="1993087"/>
    <m/>
    <m/>
  </r>
  <r>
    <x v="9"/>
    <x v="7"/>
    <s v="C:\Users\andre\Desktop\REACTIV CEFAS\Saccharin\Saccharin/20201201_Cefas_Test8_Run1/Plate 1/@5/G5_03.tif "/>
    <s v=" 61169.342 "/>
    <s v=" 40.8586 "/>
    <x v="0"/>
    <n v="2499291"/>
    <m/>
    <m/>
  </r>
  <r>
    <x v="9"/>
    <x v="8"/>
    <s v="C:\Users\andre\Desktop\REACTIV CEFAS\Saccharin\Saccharin/20201201_Cefas_Test8_Run1/Plate 1/@5/H5_01.tif "/>
    <s v=" 66014.4384 "/>
    <s v=" 40.7126 "/>
    <x v="0"/>
    <n v="2687623"/>
    <m/>
    <m/>
  </r>
  <r>
    <x v="9"/>
    <x v="8"/>
    <s v="C:\Users\andre\Desktop\REACTIV CEFAS\Saccharin\Saccharin/20201201_Cefas_Test8_Run1/Plate 1/@5/H5_02.tif "/>
    <s v=" 71616.5811 "/>
    <s v=" 41.396 "/>
    <x v="0"/>
    <n v="2964637"/>
    <m/>
    <m/>
  </r>
  <r>
    <x v="9"/>
    <x v="8"/>
    <s v="C:\Users\andre\Desktop\REACTIV CEFAS\Saccharin\Saccharin/20201201_Cefas_Test8_Run1/Plate 1/@5/H5_03.tif "/>
    <s v=" 58400.7155 "/>
    <s v=" 41.1056 "/>
    <x v="0"/>
    <n v="2400594"/>
    <m/>
    <m/>
  </r>
  <r>
    <x v="0"/>
    <x v="0"/>
    <s v=" "/>
    <m/>
    <m/>
    <x v="1"/>
    <m/>
    <m/>
    <m/>
  </r>
  <r>
    <x v="0"/>
    <x v="0"/>
    <s v="group "/>
    <s v=" "/>
    <s v=" mean of mean fluo "/>
    <x v="2"/>
    <s v=" mean of total fluo "/>
    <s v=" SD total fluo "/>
    <m/>
  </r>
  <r>
    <x v="9"/>
    <x v="9"/>
    <s v="C:\Users\andre\Desktop\REACTIV CEFAS\Saccharin\Saccharin/20201201_Cefas_Test8_Run1/Plate 1/@5/ "/>
    <s v=" "/>
    <s v=" 39.5958 "/>
    <x v="11"/>
    <s v=" 2007622.04 "/>
    <s v=" 883631.368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Saccharin\Saccharin/20201201_Cefas_Test8_Run1/Plate 1/@6/A6_01.tif "/>
    <s v=" 57254.3311 "/>
    <s v=" 41.0363 "/>
    <x v="0"/>
    <n v="2349504"/>
    <m/>
    <m/>
  </r>
  <r>
    <x v="10"/>
    <x v="1"/>
    <s v="C:\Users\andre\Desktop\REACTIV CEFAS\Saccharin\Saccharin/20201201_Cefas_Test8_Run1/Plate 1/@6/A6_02- exclu.tif"/>
    <m/>
    <m/>
    <x v="1"/>
    <m/>
    <m/>
    <m/>
  </r>
  <r>
    <x v="10"/>
    <x v="1"/>
    <s v="C:\Users\andre\Desktop\REACTIV CEFAS\Saccharin\Saccharin/20201201_Cefas_Test8_Run1/Plate 1/@6/A6_03.tif "/>
    <s v=" 46980.1311 "/>
    <s v=" 40.6285 "/>
    <x v="0"/>
    <n v="1908730"/>
    <m/>
    <m/>
  </r>
  <r>
    <x v="10"/>
    <x v="2"/>
    <s v="C:\Users\andre\Desktop\REACTIV CEFAS\Saccharin\Saccharin/20201201_Cefas_Test8_Run1/Plate 1/@6/B6_01.tif "/>
    <s v=" 56454.025 "/>
    <s v=" 44.2326 "/>
    <x v="0"/>
    <n v="2497106"/>
    <m/>
    <m/>
  </r>
  <r>
    <x v="10"/>
    <x v="2"/>
    <s v="C:\Users\andre\Desktop\REACTIV CEFAS\Saccharin\Saccharin/20201201_Cefas_Test8_Run1/Plate 1/@6/B6_02.tif "/>
    <s v=" 50376.0246 "/>
    <s v=" 41.2941 "/>
    <x v="0"/>
    <n v="2080233"/>
    <m/>
    <m/>
  </r>
  <r>
    <x v="10"/>
    <x v="2"/>
    <s v="C:\Users\andre\Desktop\REACTIV CEFAS\Saccharin\Saccharin/20201201_Cefas_Test8_Run1/Plate 1/@6/B6_03.tif "/>
    <s v=" 64997.8334 "/>
    <s v=" 41.6912 "/>
    <x v="0"/>
    <n v="2709836"/>
    <m/>
    <m/>
  </r>
  <r>
    <x v="10"/>
    <x v="3"/>
    <s v="C:\Users\andre\Desktop\REACTIV CEFAS\Saccharin\Saccharin/20201201_Cefas_Test8_Run1/Plate 1/@6/C6_01.tif "/>
    <s v=" 69172.403 "/>
    <s v=" 52.2861 "/>
    <x v="0"/>
    <n v="3616756"/>
    <m/>
    <m/>
  </r>
  <r>
    <x v="10"/>
    <x v="3"/>
    <s v="C:\Users\andre\Desktop\REACTIV CEFAS\Saccharin\Saccharin/20201201_Cefas_Test8_Run1/Plate 1/@6/C6_02.tif "/>
    <s v=" 63245.8119 "/>
    <s v=" 53.6837 "/>
    <x v="0"/>
    <n v="3395266"/>
    <m/>
    <m/>
  </r>
  <r>
    <x v="10"/>
    <x v="3"/>
    <s v="C:\Users\andre\Desktop\REACTIV CEFAS\Saccharin\Saccharin/20201201_Cefas_Test8_Run1/Plate 1/@6/C6_03.tif "/>
    <s v=" 65105.9828 "/>
    <s v=" 50.813 "/>
    <x v="0"/>
    <n v="3308227"/>
    <m/>
    <m/>
  </r>
  <r>
    <x v="10"/>
    <x v="4"/>
    <s v="C:\Users\andre\Desktop\REACTIV CEFAS\Saccharin\Saccharin/20201201_Cefas_Test8_Run1/Plate 1/@6/D6_01.tif "/>
    <s v=" 77716.2114 "/>
    <s v=" 51.5853 "/>
    <x v="0"/>
    <n v="4009014"/>
    <m/>
    <m/>
  </r>
  <r>
    <x v="10"/>
    <x v="4"/>
    <s v="C:\Users\andre\Desktop\REACTIV CEFAS\Saccharin\Saccharin/20201201_Cefas_Test8_Run1/Plate 1/@6/D6_02.tif "/>
    <s v=" 77045.6847 "/>
    <s v=" 46.3857 "/>
    <x v="0"/>
    <n v="3573821"/>
    <m/>
    <m/>
  </r>
  <r>
    <x v="10"/>
    <x v="4"/>
    <s v="C:\Users\andre\Desktop\REACTIV CEFAS\Saccharin\Saccharin/20201201_Cefas_Test8_Run1/Plate 1/@6/D6_03.tif "/>
    <s v=" 60109.4772 "/>
    <s v=" 51.6463 "/>
    <x v="0"/>
    <n v="3104431"/>
    <m/>
    <m/>
  </r>
  <r>
    <x v="10"/>
    <x v="5"/>
    <s v="C:\Users\andre\Desktop\REACTIV CEFAS\Saccharin\Saccharin/20201201_Cefas_Test8_Run1/Plate 1/@6/E6_01.tif "/>
    <s v=" 55696.9787 "/>
    <s v=" 45.8804 "/>
    <x v="0"/>
    <n v="2555399"/>
    <m/>
    <m/>
  </r>
  <r>
    <x v="10"/>
    <x v="5"/>
    <s v="C:\Users\andre\Desktop\REACTIV CEFAS\Saccharin\Saccharin/20201201_Cefas_Test8_Run1/Plate 1/@6/E6_02.tif "/>
    <s v=" 52949.9821 "/>
    <s v=" 49.7177 "/>
    <x v="0"/>
    <n v="2632553"/>
    <m/>
    <m/>
  </r>
  <r>
    <x v="10"/>
    <x v="5"/>
    <s v="C:\Users\andre\Desktop\REACTIV CEFAS\Saccharin\Saccharin/20201201_Cefas_Test8_Run1/Plate 1/@6/E6_03.tif "/>
    <s v=" 64543.6056 "/>
    <s v=" 46.8271 "/>
    <x v="0"/>
    <n v="3022388"/>
    <m/>
    <m/>
  </r>
  <r>
    <x v="10"/>
    <x v="6"/>
    <s v="C:\Users\andre\Desktop\REACTIV CEFAS\Saccharin\Saccharin/20201201_Cefas_Test8_Run1/Plate 1/@6/F6_01.tif "/>
    <s v=" 84745.9272 "/>
    <s v=" 46.7483 "/>
    <x v="0"/>
    <n v="3961732"/>
    <m/>
    <m/>
  </r>
  <r>
    <x v="10"/>
    <x v="6"/>
    <s v="C:\Users\andre\Desktop\REACTIV CEFAS\Saccharin\Saccharin/20201201_Cefas_Test8_Run1/Plate 1/@6/F6_02.tif "/>
    <s v=" 86822.397 "/>
    <s v=" 49.0252 "/>
    <x v="0"/>
    <n v="4256482"/>
    <m/>
    <m/>
  </r>
  <r>
    <x v="10"/>
    <x v="6"/>
    <s v="C:\Users\andre\Desktop\REACTIV CEFAS\Saccharin\Saccharin/20201201_Cefas_Test8_Run1/Plate 1/@6/F6_03.tif "/>
    <s v=" 87536.1836 "/>
    <s v=" 46.8411 "/>
    <x v="0"/>
    <n v="4100293"/>
    <m/>
    <m/>
  </r>
  <r>
    <x v="10"/>
    <x v="7"/>
    <s v="C:\Users\andre\Desktop\REACTIV CEFAS\Saccharin\Saccharin/20201201_Cefas_Test8_Run1/Plate 1/@6/G6_01.tif "/>
    <s v=" 69064.2535 "/>
    <s v=" 46.5205 "/>
    <x v="0"/>
    <n v="3212905"/>
    <m/>
    <m/>
  </r>
  <r>
    <x v="10"/>
    <x v="7"/>
    <s v="C:\Users\andre\Desktop\REACTIV CEFAS\Saccharin\Saccharin/20201201_Cefas_Test8_Run1/Plate 1/@6/G6_02.tif "/>
    <s v=" 76418.4177 "/>
    <s v=" 50.7305 "/>
    <x v="0"/>
    <n v="3876748"/>
    <m/>
    <m/>
  </r>
  <r>
    <x v="10"/>
    <x v="7"/>
    <s v="C:\Users\andre\Desktop\REACTIV CEFAS\Saccharin\Saccharin/20201201_Cefas_Test8_Run1/Plate 1/@6/G6_03.tif "/>
    <s v=" 79835.9411 "/>
    <s v=" 51.8309 "/>
    <x v="0"/>
    <n v="4137972"/>
    <m/>
    <m/>
  </r>
  <r>
    <x v="10"/>
    <x v="8"/>
    <s v="C:\Users\andre\Desktop\REACTIV CEFAS\Saccharin\Saccharin/20201201_Cefas_Test8_Run1/Plate 1/@6/H6_01- exclu.tif"/>
    <m/>
    <m/>
    <x v="1"/>
    <m/>
    <m/>
    <m/>
  </r>
  <r>
    <x v="10"/>
    <x v="8"/>
    <s v="C:\Users\andre\Desktop\REACTIV CEFAS\Saccharin\Saccharin/20201201_Cefas_Test8_Run1/Plate 1/@6/H6_02- exclu.tif"/>
    <m/>
    <m/>
    <x v="1"/>
    <m/>
    <m/>
    <m/>
  </r>
  <r>
    <x v="10"/>
    <x v="8"/>
    <s v="C:\Users\andre\Desktop\REACTIV CEFAS\Saccharin\Saccharin/20201201_Cefas_Test8_Run1/Plate 1/@6/H6_03- exclu.tif"/>
    <m/>
    <m/>
    <x v="1"/>
    <m/>
    <m/>
    <m/>
  </r>
  <r>
    <x v="0"/>
    <x v="0"/>
    <s v=" "/>
    <m/>
    <m/>
    <x v="1"/>
    <m/>
    <m/>
    <m/>
  </r>
  <r>
    <x v="0"/>
    <x v="0"/>
    <s v="group "/>
    <s v=" "/>
    <s v=" mean of mean fluo "/>
    <x v="2"/>
    <s v=" mean of total fluo "/>
    <s v=" SD total fluo "/>
    <m/>
  </r>
  <r>
    <x v="10"/>
    <x v="9"/>
    <s v="C:\Users\andre\Desktop\REACTIV CEFAS\Saccharin\Saccharin/20201201_Cefas_Test8_Run1/Plate 1/@6/ "/>
    <s v=" "/>
    <s v=" 44.1984 "/>
    <x v="12"/>
    <s v=" 2787551.75 "/>
    <s v=" 1268150.55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Saccharin\Saccharin/20201201_Cefas_Test8_Run1/Plate 1/@7/A7_01.tif "/>
    <s v=" 89893.8421 "/>
    <s v=" 50.4981 "/>
    <x v="0"/>
    <n v="4539466"/>
    <m/>
    <m/>
  </r>
  <r>
    <x v="11"/>
    <x v="1"/>
    <s v="C:\Users\andre\Desktop\REACTIV CEFAS\Saccharin\Saccharin/20201201_Cefas_Test8_Run1/Plate 1/@7/A7_02.tif "/>
    <s v=" 91472.8244 "/>
    <s v=" 51.5784 "/>
    <x v="0"/>
    <n v="4718021"/>
    <m/>
    <m/>
  </r>
  <r>
    <x v="11"/>
    <x v="1"/>
    <s v="C:\Users\andre\Desktop\REACTIV CEFAS\Saccharin\Saccharin/20201201_Cefas_Test8_Run1/Plate 1/@7/A7_03.tif "/>
    <s v=" 59568.7298 "/>
    <s v=" 54.6801 "/>
    <x v="0"/>
    <n v="3257224"/>
    <m/>
    <m/>
  </r>
  <r>
    <x v="11"/>
    <x v="2"/>
    <s v="C:\Users\andre\Desktop\REACTIV CEFAS\Saccharin\Saccharin/20201201_Cefas_Test8_Run1/Plate 1/@7/B7_01.tif "/>
    <s v=" 66641.7054 "/>
    <s v=" 49.9818 "/>
    <x v="0"/>
    <n v="3330874"/>
    <m/>
    <m/>
  </r>
  <r>
    <x v="11"/>
    <x v="2"/>
    <s v="C:\Users\andre\Desktop\REACTIV CEFAS\Saccharin\Saccharin/20201201_Cefas_Test8_Run1/Plate 1/@7/B7_02.tif "/>
    <s v=" 65798.1395 "/>
    <s v=" 50.9471 "/>
    <x v="0"/>
    <n v="3352223"/>
    <m/>
    <m/>
  </r>
  <r>
    <x v="11"/>
    <x v="2"/>
    <s v="C:\Users\andre\Desktop\REACTIV CEFAS\Saccharin\Saccharin/20201201_Cefas_Test8_Run1/Plate 1/@7/B7_03.tif "/>
    <s v=" 70578.3462 "/>
    <s v=" 54.19 "/>
    <x v="0"/>
    <n v="3824641"/>
    <m/>
    <m/>
  </r>
  <r>
    <x v="11"/>
    <x v="3"/>
    <s v="C:\Users\andre\Desktop\REACTIV CEFAS\Saccharin\Saccharin/20201201_Cefas_Test8_Run1/Plate 1/@7/C7_01.tif "/>
    <s v=" 68977.734 "/>
    <s v=" 53.8272 "/>
    <x v="0"/>
    <n v="3712880"/>
    <m/>
    <m/>
  </r>
  <r>
    <x v="11"/>
    <x v="3"/>
    <s v="C:\Users\andre\Desktop\REACTIV CEFAS\Saccharin\Saccharin/20201201_Cefas_Test8_Run1/Plate 1/@7/C7_02- exclu.tif"/>
    <m/>
    <m/>
    <x v="1"/>
    <m/>
    <m/>
    <m/>
  </r>
  <r>
    <x v="11"/>
    <x v="3"/>
    <s v="C:\Users\andre\Desktop\REACTIV CEFAS\Saccharin\Saccharin/20201201_Cefas_Test8_Run1/Plate 1/@7/C7_03.tif "/>
    <s v=" 71941.0295 "/>
    <s v=" 56.5658 "/>
    <x v="0"/>
    <n v="4069405"/>
    <m/>
    <m/>
  </r>
  <r>
    <x v="11"/>
    <x v="4"/>
    <s v="C:\Users\andre\Desktop\REACTIV CEFAS\Saccharin\Saccharin/20201201_Cefas_Test8_Run1/Plate 1/@7/D7_01.tif "/>
    <s v=" 71551.6914 "/>
    <s v=" 50.8458 "/>
    <x v="0"/>
    <n v="3638105"/>
    <m/>
    <m/>
  </r>
  <r>
    <x v="11"/>
    <x v="4"/>
    <s v="C:\Users\andre\Desktop\REACTIV CEFAS\Saccharin\Saccharin/20201201_Cefas_Test8_Run1/Plate 1/@7/D7_02.tif "/>
    <s v=" 72265.478 "/>
    <s v=" 52.8578 "/>
    <x v="0"/>
    <n v="3819796"/>
    <m/>
    <m/>
  </r>
  <r>
    <x v="11"/>
    <x v="4"/>
    <s v="C:\Users\andre\Desktop\REACTIV CEFAS\Saccharin\Saccharin/20201201_Cefas_Test8_Run1/Plate 1/@7/D7_03.tif "/>
    <s v=" 69691.5205 "/>
    <s v=" 54.7616 "/>
    <x v="0"/>
    <n v="3816422"/>
    <m/>
    <m/>
  </r>
  <r>
    <x v="11"/>
    <x v="5"/>
    <s v="C:\Users\andre\Desktop\REACTIV CEFAS\Saccharin\Saccharin/20201201_Cefas_Test8_Run1/Plate 1/@7/E7_01.tif "/>
    <s v=" 80766.0265 "/>
    <s v=" 60.7469 "/>
    <x v="0"/>
    <n v="4906287"/>
    <m/>
    <m/>
  </r>
  <r>
    <x v="11"/>
    <x v="5"/>
    <s v="C:\Users\andre\Desktop\REACTIV CEFAS\Saccharin\Saccharin/20201201_Cefas_Test8_Run1/Plate 1/@7/E7_02.tif "/>
    <s v=" 80852.5461 "/>
    <s v=" 63.0516 "/>
    <x v="0"/>
    <n v="5097885"/>
    <m/>
    <m/>
  </r>
  <r>
    <x v="11"/>
    <x v="5"/>
    <s v="C:\Users\andre\Desktop\REACTIV CEFAS\Saccharin\Saccharin/20201201_Cefas_Test8_Run1/Plate 1/@7/E7_03.tif "/>
    <s v=" 79684.5318 "/>
    <s v=" 61.256 "/>
    <x v="0"/>
    <n v="4881153"/>
    <m/>
    <m/>
  </r>
  <r>
    <x v="11"/>
    <x v="6"/>
    <s v="C:\Users\andre\Desktop\REACTIV CEFAS\Saccharin\Saccharin/20201201_Cefas_Test8_Run1/Plate 1/@7/F7_01.tif "/>
    <s v=" 88185.0804 "/>
    <s v=" 58.7508 "/>
    <x v="0"/>
    <n v="5180944"/>
    <m/>
    <m/>
  </r>
  <r>
    <x v="11"/>
    <x v="6"/>
    <s v="C:\Users\andre\Desktop\REACTIV CEFAS\Saccharin\Saccharin/20201201_Cefas_Test8_Run1/Plate 1/@7/F7_02.tif "/>
    <s v=" 81804.2615 "/>
    <s v=" 58.4109 "/>
    <x v="0"/>
    <n v="4778260"/>
    <m/>
    <m/>
  </r>
  <r>
    <x v="11"/>
    <x v="6"/>
    <s v="C:\Users\andre\Desktop\REACTIV CEFAS\Saccharin\Saccharin/20201201_Cefas_Test8_Run1/Plate 1/@7/F7_03.tif "/>
    <s v=" 85221.7848 "/>
    <s v=" 56.2566 "/>
    <x v="0"/>
    <n v="4794288"/>
    <m/>
    <m/>
  </r>
  <r>
    <x v="11"/>
    <x v="7"/>
    <s v="C:\Users\andre\Desktop\REACTIV CEFAS\Saccharin\Saccharin/20201201_Cefas_Test8_Run1/Plate 1/@7/G7_01.tif "/>
    <s v=" 71876.1399 "/>
    <s v=" 54.0674 "/>
    <x v="0"/>
    <n v="3886157"/>
    <m/>
    <m/>
  </r>
  <r>
    <x v="11"/>
    <x v="7"/>
    <s v="C:\Users\andre\Desktop\REACTIV CEFAS\Saccharin\Saccharin/20201201_Cefas_Test8_Run1/Plate 1/@7/G7_02.tif "/>
    <s v=" 77088.9445 "/>
    <s v=" 56.8123 "/>
    <x v="0"/>
    <n v="4379599"/>
    <m/>
    <m/>
  </r>
  <r>
    <x v="11"/>
    <x v="7"/>
    <s v="C:\Users\andre\Desktop\REACTIV CEFAS\Saccharin\Saccharin/20201201_Cefas_Test8_Run1/Plate 1/@7/G7_03.tif "/>
    <s v=" 75509.9621 "/>
    <s v=" 54.4658 "/>
    <x v="0"/>
    <n v="4112708"/>
    <m/>
    <m/>
  </r>
  <r>
    <x v="11"/>
    <x v="8"/>
    <s v="C:\Users\andre\Desktop\REACTIV CEFAS\Saccharin\Saccharin/20201201_Cefas_Test8_Run1/Plate 1/@7/H7_01.tif "/>
    <s v=" 40534.4225 "/>
    <s v=" 47.3991 "/>
    <x v="0"/>
    <n v="1921297"/>
    <m/>
    <m/>
  </r>
  <r>
    <x v="11"/>
    <x v="8"/>
    <s v="C:\Users\andre\Desktop\REACTIV CEFAS\Saccharin\Saccharin/20201201_Cefas_Test8_Run1/Plate 1/@7/H7_02.tif "/>
    <s v=" 40620.9421 "/>
    <s v=" 47.7077 "/>
    <x v="0"/>
    <n v="1937930"/>
    <m/>
    <m/>
  </r>
  <r>
    <x v="11"/>
    <x v="8"/>
    <s v="C:\Users\andre\Desktop\REACTIV CEFAS\Saccharin\Saccharin/20201201_Cefas_Test8_Run1/Plate 1/@7/H7_03.tif "/>
    <s v=" 44882.0314 "/>
    <s v=" 52.1137 "/>
    <x v="0"/>
    <n v="2338970"/>
    <m/>
    <m/>
  </r>
  <r>
    <x v="0"/>
    <x v="0"/>
    <s v=" "/>
    <m/>
    <m/>
    <x v="1"/>
    <m/>
    <m/>
    <m/>
  </r>
  <r>
    <x v="0"/>
    <x v="0"/>
    <s v="group "/>
    <s v=" "/>
    <s v=" mean of mean fluo "/>
    <x v="2"/>
    <s v=" mean of total fluo "/>
    <s v=" SD total fluo "/>
    <m/>
  </r>
  <r>
    <x v="11"/>
    <x v="9"/>
    <s v="C:\Users\andre\Desktop\REACTIV CEFAS\Saccharin\Saccharin/20201201_Cefas_Test8_Run1/Plate 1/@7/ "/>
    <s v=" "/>
    <s v=" 54.3885 "/>
    <x v="13"/>
    <s v=" 3901850.92 "/>
    <s v=" 924744.452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Saccharin\Saccharin/20201201_Cefas_Test8_Run1/Plate 3/@10/A4_01.tif "/>
    <s v=" 194.6691 "/>
    <s v=" 31.4444 "/>
    <x v="0"/>
    <n v="6121"/>
    <m/>
    <m/>
  </r>
  <r>
    <x v="12"/>
    <x v="1"/>
    <s v="C:\Users\andre\Desktop\REACTIV CEFAS\Saccharin\Saccharin/20201201_Cefas_Test8_Run1/Plate 3/@10/A4_02.tif "/>
    <s v=" 4455.7583 "/>
    <s v=" 34.2524 "/>
    <x v="0"/>
    <n v="152621"/>
    <m/>
    <m/>
  </r>
  <r>
    <x v="12"/>
    <x v="1"/>
    <s v="C:\Users\andre\Desktop\REACTIV CEFAS\Saccharin\Saccharin/20201201_Cefas_Test8_Run1/Plate 3/@10/A4_03.tif "/>
    <s v=" 6943.1962 "/>
    <s v=" 38.5234 "/>
    <x v="0"/>
    <n v="267475"/>
    <m/>
    <m/>
  </r>
  <r>
    <x v="12"/>
    <x v="2"/>
    <s v="C:\Users\andre\Desktop\REACTIV CEFAS\Saccharin\Saccharin/20201201_Cefas_Test8_Run1/Plate 3/@10/B4_01.tif "/>
    <s v=" 6402.4488 "/>
    <s v=" 37.6554 "/>
    <x v="0"/>
    <n v="241087"/>
    <m/>
    <m/>
  </r>
  <r>
    <x v="12"/>
    <x v="2"/>
    <s v="C:\Users\andre\Desktop\REACTIV CEFAS\Saccharin\Saccharin/20201201_Cefas_Test8_Run1/Plate 3/@10/B4_02.tif "/>
    <s v=" 1925.0606 "/>
    <s v=" 32.7303 "/>
    <x v="0"/>
    <n v="63008"/>
    <m/>
    <m/>
  </r>
  <r>
    <x v="12"/>
    <x v="2"/>
    <s v="C:\Users\andre\Desktop\REACTIV CEFAS\Saccharin\Saccharin/20201201_Cefas_Test8_Run1/Plate 3/@10/B4_03.tif "/>
    <s v=" 4736.9469 "/>
    <s v=" 34.653 "/>
    <x v="0"/>
    <n v="164149"/>
    <m/>
    <m/>
  </r>
  <r>
    <x v="12"/>
    <x v="3"/>
    <s v="C:\Users\andre\Desktop\REACTIV CEFAS\Saccharin\Saccharin/20201201_Cefas_Test8_Run1/Plate 3/@10/C4_01.tif "/>
    <s v=" 6662.0075 "/>
    <s v=" 40.6299 "/>
    <x v="0"/>
    <n v="270677"/>
    <m/>
    <m/>
  </r>
  <r>
    <x v="12"/>
    <x v="3"/>
    <s v="C:\Users\andre\Desktop\REACTIV CEFAS\Saccharin\Saccharin/20201201_Cefas_Test8_Run1/Plate 3/@10/C4_02.tif "/>
    <s v=" 7354.1642 "/>
    <s v=" 38.7765 "/>
    <x v="0"/>
    <n v="285169"/>
    <m/>
    <m/>
  </r>
  <r>
    <x v="12"/>
    <x v="3"/>
    <s v="C:\Users\andre\Desktop\REACTIV CEFAS\Saccharin\Saccharin/20201201_Cefas_Test8_Run1/Plate 3/@10/C4_03- exclu.tif"/>
    <m/>
    <m/>
    <x v="1"/>
    <m/>
    <m/>
    <m/>
  </r>
  <r>
    <x v="12"/>
    <x v="4"/>
    <s v="C:\Users\andre\Desktop\REACTIV CEFAS\Saccharin\Saccharin/20201201_Cefas_Test8_Run1/Plate 3/@10/D4_01.tif "/>
    <s v=" 7527.2033 "/>
    <s v=" 35.6149 "/>
    <x v="0"/>
    <n v="268081"/>
    <m/>
    <m/>
  </r>
  <r>
    <x v="12"/>
    <x v="4"/>
    <s v="C:\Users\andre\Desktop\REACTIV CEFAS\Saccharin\Saccharin/20201201_Cefas_Test8_Run1/Plate 3/@10/D4_02.tif "/>
    <s v=" 7008.0859 "/>
    <s v=" 35.3735 "/>
    <x v="0"/>
    <n v="247900"/>
    <m/>
    <m/>
  </r>
  <r>
    <x v="12"/>
    <x v="4"/>
    <s v="C:\Users\andre\Desktop\REACTIV CEFAS\Saccharin\Saccharin/20201201_Cefas_Test8_Run1/Plate 3/@10/D4_03.tif "/>
    <s v=" 5472.3633 "/>
    <s v=" 33.8103 "/>
    <x v="0"/>
    <n v="185022"/>
    <m/>
    <m/>
  </r>
  <r>
    <x v="12"/>
    <x v="5"/>
    <s v="C:\Users\andre\Desktop\REACTIV CEFAS\Saccharin\Saccharin/20201201_Cefas_Test8_Run1/Plate 3/@10/E4_01.tif "/>
    <s v=" 1860.1709 "/>
    <s v=" 33.8488 "/>
    <x v="0"/>
    <n v="62965"/>
    <m/>
    <m/>
  </r>
  <r>
    <x v="12"/>
    <x v="5"/>
    <s v="C:\Users\andre\Desktop\REACTIV CEFAS\Saccharin\Saccharin/20201201_Cefas_Test8_Run1/Plate 3/@10/E4_02.tif "/>
    <s v=" 2638.8471 "/>
    <s v=" 32.8607 "/>
    <x v="0"/>
    <n v="86714"/>
    <m/>
    <m/>
  </r>
  <r>
    <x v="12"/>
    <x v="5"/>
    <s v="C:\Users\andre\Desktop\REACTIV CEFAS\Saccharin\Saccharin/20201201_Cefas_Test8_Run1/Plate 3/@10/E4_03.tif "/>
    <s v=" 1687.1318 "/>
    <s v=" 33.2692 "/>
    <x v="0"/>
    <n v="56130"/>
    <m/>
    <m/>
  </r>
  <r>
    <x v="12"/>
    <x v="6"/>
    <s v="C:\Users\andre\Desktop\REACTIV CEFAS\Saccharin\Saccharin/20201201_Cefas_Test8_Run1/Plate 3/@10/F4_01.tif "/>
    <s v=" 12177.6307 "/>
    <s v=" 40.8224 "/>
    <x v="0"/>
    <n v="497120"/>
    <m/>
    <m/>
  </r>
  <r>
    <x v="12"/>
    <x v="6"/>
    <s v="C:\Users\andre\Desktop\REACTIV CEFAS\Saccharin\Saccharin/20201201_Cefas_Test8_Run1/Plate 3/@10/F4_02.tif "/>
    <s v=" 13994.5418 "/>
    <s v=" 48.5039 "/>
    <x v="0"/>
    <n v="678789"/>
    <m/>
    <m/>
  </r>
  <r>
    <x v="12"/>
    <x v="6"/>
    <s v="C:\Users\andre\Desktop\REACTIV CEFAS\Saccharin\Saccharin/20201201_Cefas_Test8_Run1/Plate 3/@10/F4_03.tif "/>
    <s v=" 15443.7448 "/>
    <s v=" 48.6345 "/>
    <x v="0"/>
    <n v="751098"/>
    <m/>
    <m/>
  </r>
  <r>
    <x v="12"/>
    <x v="7"/>
    <s v="C:\Users\andre\Desktop\REACTIV CEFAS\Saccharin\Saccharin/20201201_Cefas_Test8_Run1/Plate 3/@10/G4_01- exclu.tif"/>
    <m/>
    <m/>
    <x v="1"/>
    <m/>
    <m/>
    <m/>
  </r>
  <r>
    <x v="12"/>
    <x v="7"/>
    <s v="C:\Users\andre\Desktop\REACTIV CEFAS\Saccharin\Saccharin/20201201_Cefas_Test8_Run1/Plate 3/@10/G4_02- exclu.tif"/>
    <m/>
    <m/>
    <x v="1"/>
    <m/>
    <m/>
    <m/>
  </r>
  <r>
    <x v="12"/>
    <x v="7"/>
    <s v="C:\Users\andre\Desktop\REACTIV CEFAS\Saccharin\Saccharin/20201201_Cefas_Test8_Run1/Plate 3/@10/G4_03- exclu.tif"/>
    <m/>
    <m/>
    <x v="1"/>
    <m/>
    <m/>
    <m/>
  </r>
  <r>
    <x v="12"/>
    <x v="8"/>
    <s v="C:\Users\andre\Desktop\REACTIV CEFAS\Saccharin\Saccharin/20201201_Cefas_Test8_Run1/Plate 3/@10/H4_01.tif "/>
    <s v=" 21.6299 "/>
    <n v="30"/>
    <x v="0"/>
    <n v="649"/>
    <m/>
    <m/>
  </r>
  <r>
    <x v="12"/>
    <x v="8"/>
    <s v="C:\Users\andre\Desktop\REACTIV CEFAS\Saccharin\Saccharin/20201201_Cefas_Test8_Run1/Plate 3/@10/H4_02.tif "/>
    <s v=" 1687.1318 "/>
    <s v=" 34.0769 "/>
    <x v="0"/>
    <n v="57492"/>
    <m/>
    <m/>
  </r>
  <r>
    <x v="12"/>
    <x v="8"/>
    <s v="C:\Users\andre\Desktop\REACTIV CEFAS\Saccharin\Saccharin/20201201_Cefas_Test8_Run1/Plate 3/@10/H4_03.tif "/>
    <s v=" 1038.2349 "/>
    <s v=" 33.9792 "/>
    <x v="0"/>
    <n v="35278"/>
    <m/>
    <m/>
  </r>
  <r>
    <x v="0"/>
    <x v="0"/>
    <s v=" "/>
    <m/>
    <m/>
    <x v="1"/>
    <m/>
    <m/>
    <m/>
  </r>
  <r>
    <x v="0"/>
    <x v="0"/>
    <s v="group "/>
    <s v=" "/>
    <s v=" mean of mean fluo "/>
    <x v="2"/>
    <s v=" mean of total fluo "/>
    <s v=" SD total fluo "/>
    <m/>
  </r>
  <r>
    <x v="12"/>
    <x v="9"/>
    <s v="C:\Users\andre\Desktop\REACTIV CEFAS\Saccharin\Saccharin/20201201_Cefas_Test8_Run1/Plate 3/@10/ "/>
    <s v=" "/>
    <s v=" 35.933 "/>
    <x v="14"/>
    <s v=" 245557.875 "/>
    <s v=" 220778.602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Saccharin\Saccharin/20201201_Cefas_Test8_Run1/Plate 3/@11/A5_01.tif "/>
    <s v=" 8998.0362 "/>
    <s v=" 35.7043 "/>
    <x v="0"/>
    <n v="321269"/>
    <m/>
    <m/>
  </r>
  <r>
    <x v="13"/>
    <x v="1"/>
    <s v="C:\Users\andre\Desktop\REACTIV CEFAS\Saccharin\Saccharin/20201201_Cefas_Test8_Run1/Plate 3/@11/A5_02.tif "/>
    <s v=" 1643.872 "/>
    <s v=" 31.7368 "/>
    <x v="0"/>
    <n v="52171"/>
    <m/>
    <m/>
  </r>
  <r>
    <x v="13"/>
    <x v="1"/>
    <s v="C:\Users\andre\Desktop\REACTIV CEFAS\Saccharin\Saccharin/20201201_Cefas_Test8_Run1/Plate 3/@11/A5_03.tif "/>
    <s v=" 21.6299 "/>
    <n v="32"/>
    <x v="0"/>
    <n v="692"/>
    <m/>
    <m/>
  </r>
  <r>
    <x v="13"/>
    <x v="2"/>
    <s v="C:\Users\andre\Desktop\REACTIV CEFAS\Saccharin\Saccharin/20201201_Cefas_Test8_Run1/Plate 3/@11/B5_01.tif "/>
    <s v=" 6121.2602 "/>
    <s v=" 35.2438 "/>
    <x v="0"/>
    <n v="215737"/>
    <m/>
    <m/>
  </r>
  <r>
    <x v="13"/>
    <x v="2"/>
    <s v="C:\Users\andre\Desktop\REACTIV CEFAS\Saccharin\Saccharin/20201201_Cefas_Test8_Run1/Plate 3/@11/B5_02.tif "/>
    <s v=" 2833.5162 "/>
    <s v=" 34.6336 "/>
    <x v="0"/>
    <n v="98135"/>
    <m/>
    <m/>
  </r>
  <r>
    <x v="13"/>
    <x v="2"/>
    <s v="C:\Users\andre\Desktop\REACTIV CEFAS\Saccharin\Saccharin/20201201_Cefas_Test8_Run1/Plate 3/@11/B5_03.tif "/>
    <s v=" 7938.1713 "/>
    <s v=" 37.1744 "/>
    <x v="0"/>
    <n v="295097"/>
    <m/>
    <m/>
  </r>
  <r>
    <x v="13"/>
    <x v="3"/>
    <s v="C:\Users\andre\Desktop\REACTIV CEFAS\Saccharin\Saccharin/20201201_Cefas_Test8_Run1/Plate 3/@11/C5_01.tif "/>
    <s v=" 8998.0362 "/>
    <s v=" 42.3678 "/>
    <x v="0"/>
    <n v="381227"/>
    <m/>
    <m/>
  </r>
  <r>
    <x v="13"/>
    <x v="3"/>
    <s v="C:\Users\andre\Desktop\REACTIV CEFAS\Saccharin\Saccharin/20201201_Cefas_Test8_Run1/Plate 3/@11/C5_02.tif "/>
    <s v=" 9776.7124 "/>
    <s v=" 39.281 "/>
    <x v="0"/>
    <n v="384039"/>
    <m/>
    <m/>
  </r>
  <r>
    <x v="13"/>
    <x v="3"/>
    <s v="C:\Users\andre\Desktop\REACTIV CEFAS\Saccharin\Saccharin/20201201_Cefas_Test8_Run1/Plate 3/@11/C5_03.tif "/>
    <s v=" 8349.1393 "/>
    <s v=" 38.6192 "/>
    <x v="0"/>
    <n v="322437"/>
    <m/>
    <m/>
  </r>
  <r>
    <x v="13"/>
    <x v="4"/>
    <s v="C:\Users\andre\Desktop\REACTIV CEFAS\Saccharin\Saccharin/20201201_Cefas_Test8_Run1/Plate 3/@11/D5_01.tif "/>
    <s v=" 108.1495 "/>
    <s v=" 32.6 "/>
    <x v="0"/>
    <n v="3526"/>
    <m/>
    <m/>
  </r>
  <r>
    <x v="13"/>
    <x v="4"/>
    <s v="C:\Users\andre\Desktop\REACTIV CEFAS\Saccharin\Saccharin/20201201_Cefas_Test8_Run1/Plate 3/@11/D5_02.tif "/>
    <s v=" 43.2598 "/>
    <n v="31"/>
    <x v="0"/>
    <n v="1341"/>
    <m/>
    <m/>
  </r>
  <r>
    <x v="13"/>
    <x v="4"/>
    <s v="C:\Users\andre\Desktop\REACTIV CEFAS\Saccharin\Saccharin/20201201_Cefas_Test8_Run1/Plate 3/@11/D5_03.tif "/>
    <s v=" 173.0392 "/>
    <s v=" 31.125 "/>
    <x v="0"/>
    <n v="5386"/>
    <m/>
    <m/>
  </r>
  <r>
    <x v="13"/>
    <x v="5"/>
    <s v="C:\Users\andre\Desktop\REACTIV CEFAS\Saccharin\Saccharin/20201201_Cefas_Test8_Run1/Plate 3/@11/E5_01.tif "/>
    <s v=" 10944.7267 "/>
    <s v=" 41.4387 "/>
    <x v="0"/>
    <n v="453536"/>
    <m/>
    <m/>
  </r>
  <r>
    <x v="13"/>
    <x v="5"/>
    <s v="C:\Users\andre\Desktop\REACTIV CEFAS\Saccharin\Saccharin/20201201_Cefas_Test8_Run1/Plate 3/@11/E5_02.tif "/>
    <s v=" 7267.6446 "/>
    <n v="42"/>
    <x v="0"/>
    <n v="305241"/>
    <m/>
    <m/>
  </r>
  <r>
    <x v="13"/>
    <x v="5"/>
    <s v="C:\Users\andre\Desktop\REACTIV CEFAS\Saccharin\Saccharin/20201201_Cefas_Test8_Run1/Plate 3/@11/E5_03.tif "/>
    <s v=" 3633.8223 "/>
    <s v=" 38.0119 "/>
    <x v="0"/>
    <n v="138129"/>
    <m/>
    <m/>
  </r>
  <r>
    <x v="13"/>
    <x v="6"/>
    <s v="C:\Users\andre\Desktop\REACTIV CEFAS\Saccharin\Saccharin/20201201_Cefas_Test8_Run1/Plate 3/@11/F5_01.tif "/>
    <s v=" 5710.2922 "/>
    <s v=" 34.572 "/>
    <x v="0"/>
    <n v="197416"/>
    <m/>
    <m/>
  </r>
  <r>
    <x v="13"/>
    <x v="6"/>
    <s v="C:\Users\andre\Desktop\REACTIV CEFAS\Saccharin\Saccharin/20201201_Cefas_Test8_Run1/Plate 3/@11/F5_02.tif "/>
    <s v=" 3936.6408 "/>
    <s v=" 37.2912 "/>
    <x v="0"/>
    <n v="146802"/>
    <m/>
    <m/>
  </r>
  <r>
    <x v="13"/>
    <x v="6"/>
    <s v="C:\Users\andre\Desktop\REACTIV CEFAS\Saccharin\Saccharin/20201201_Cefas_Test8_Run1/Plate 3/@11/F5_03.tif "/>
    <s v=" 5753.552 "/>
    <s v=" 35.312 "/>
    <x v="0"/>
    <n v="203170"/>
    <m/>
    <m/>
  </r>
  <r>
    <x v="13"/>
    <x v="7"/>
    <s v="C:\Users\andre\Desktop\REACTIV CEFAS\Saccharin\Saccharin/20201201_Cefas_Test8_Run1/Plate 3/@11/G5_01- exclu.tif"/>
    <m/>
    <m/>
    <x v="1"/>
    <m/>
    <m/>
    <m/>
  </r>
  <r>
    <x v="13"/>
    <x v="7"/>
    <s v="C:\Users\andre\Desktop\REACTIV CEFAS\Saccharin\Saccharin/20201201_Cefas_Test8_Run1/Plate 3/@11/G5_02- exclu.tif"/>
    <m/>
    <m/>
    <x v="1"/>
    <m/>
    <m/>
    <m/>
  </r>
  <r>
    <x v="13"/>
    <x v="7"/>
    <s v="C:\Users\andre\Desktop\REACTIV CEFAS\Saccharin\Saccharin/20201201_Cefas_Test8_Run1/Plate 3/@11/G5_03- exclu.tif"/>
    <m/>
    <m/>
    <x v="1"/>
    <m/>
    <m/>
    <m/>
  </r>
  <r>
    <x v="13"/>
    <x v="8"/>
    <s v="C:\Users\andre\Desktop\REACTIV CEFAS\Saccharin\Saccharin/20201201_Cefas_Test8_Run1/Plate 3/@11/H5_01.tif "/>
    <s v=" 1600.6122 "/>
    <s v=" 32.1081 "/>
    <x v="0"/>
    <n v="51393"/>
    <m/>
    <m/>
  </r>
  <r>
    <x v="13"/>
    <x v="8"/>
    <s v="C:\Users\andre\Desktop\REACTIV CEFAS\Saccharin\Saccharin/20201201_Cefas_Test8_Run1/Plate 3/@11/H5_02.tif "/>
    <s v=" 4023.1604 "/>
    <s v=" 33.1183 "/>
    <x v="0"/>
    <n v="133240"/>
    <m/>
    <m/>
  </r>
  <r>
    <x v="13"/>
    <x v="8"/>
    <s v="C:\Users\andre\Desktop\REACTIV CEFAS\Saccharin\Saccharin/20201201_Cefas_Test8_Run1/Plate 3/@11/H5_03.tif "/>
    <s v=" 4044.7903 "/>
    <s v=" 35.8128 "/>
    <x v="0"/>
    <n v="144855"/>
    <m/>
    <m/>
  </r>
  <r>
    <x v="0"/>
    <x v="0"/>
    <s v=" "/>
    <m/>
    <m/>
    <x v="1"/>
    <m/>
    <m/>
    <m/>
  </r>
  <r>
    <x v="0"/>
    <x v="0"/>
    <s v="group "/>
    <s v=" "/>
    <s v=" mean of mean fluo "/>
    <x v="2"/>
    <s v=" mean of total fluo "/>
    <s v=" SD total fluo "/>
    <m/>
  </r>
  <r>
    <x v="13"/>
    <x v="9"/>
    <s v="C:\Users\andre\Desktop\REACTIV CEFAS\Saccharin\Saccharin/20201201_Cefas_Test8_Run1/Plate 3/@11/ "/>
    <s v=" "/>
    <s v=" 37.5041 "/>
    <x v="15"/>
    <s v=" 255225.667 "/>
    <s v=" 237639.629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Saccharin\Saccharin/20201201_Cefas_Test8_Run1/Plate 3/@12/A6_01.tif "/>
    <s v=" 7505.5734 "/>
    <s v=" 36.6254 "/>
    <x v="0"/>
    <n v="274894"/>
    <m/>
    <m/>
  </r>
  <r>
    <x v="14"/>
    <x v="1"/>
    <s v="C:\Users\andre\Desktop\REACTIV CEFAS\Saccharin\Saccharin/20201201_Cefas_Test8_Run1/Plate 3/@12/A6_02.tif "/>
    <s v=" 4953.2459 "/>
    <s v=" 36.4279 "/>
    <x v="0"/>
    <n v="180437"/>
    <m/>
    <m/>
  </r>
  <r>
    <x v="14"/>
    <x v="1"/>
    <s v="C:\Users\andre\Desktop\REACTIV CEFAS\Saccharin\Saccharin/20201201_Cefas_Test8_Run1/Plate 3/@12/A6_03.tif "/>
    <s v=" 9041.296 "/>
    <s v=" 37.0096 "/>
    <x v="0"/>
    <n v="334614"/>
    <m/>
    <m/>
  </r>
  <r>
    <x v="14"/>
    <x v="2"/>
    <s v="C:\Users\andre\Desktop\REACTIV CEFAS\Saccharin\Saccharin/20201201_Cefas_Test8_Run1/Plate 3/@12/B6_01.tif "/>
    <s v=" 8435.6589 "/>
    <s v=" 40.9385 "/>
    <x v="0"/>
    <n v="345343"/>
    <m/>
    <m/>
  </r>
  <r>
    <x v="14"/>
    <x v="2"/>
    <s v="C:\Users\andre\Desktop\REACTIV CEFAS\Saccharin\Saccharin/20201201_Cefas_Test8_Run1/Plate 3/@12/B6_02.tif "/>
    <s v=" 4866.7263 "/>
    <s v=" 39.2622 "/>
    <x v="0"/>
    <n v="191078"/>
    <m/>
    <m/>
  </r>
  <r>
    <x v="14"/>
    <x v="2"/>
    <s v="C:\Users\andre\Desktop\REACTIV CEFAS\Saccharin\Saccharin/20201201_Cefas_Test8_Run1/Plate 3/@12/B6_03.tif "/>
    <s v=" 7072.9755 "/>
    <s v=" 36.4648 "/>
    <x v="0"/>
    <n v="257915"/>
    <m/>
    <m/>
  </r>
  <r>
    <x v="14"/>
    <x v="3"/>
    <s v="C:\Users\andre\Desktop\REACTIV CEFAS\Saccharin\Saccharin/20201201_Cefas_Test8_Run1/Plate 3/@12/C6_01.tif "/>
    <s v=" 6705.2673 "/>
    <s v=" 37.6968 "/>
    <x v="0"/>
    <n v="252767"/>
    <m/>
    <m/>
  </r>
  <r>
    <x v="14"/>
    <x v="3"/>
    <s v="C:\Users\andre\Desktop\REACTIV CEFAS\Saccharin\Saccharin/20201201_Cefas_Test8_Run1/Plate 3/@12/C6_02.tif "/>
    <s v=" 173.0392 "/>
    <s v=" 31.375 "/>
    <x v="0"/>
    <n v="5429"/>
    <m/>
    <m/>
  </r>
  <r>
    <x v="14"/>
    <x v="3"/>
    <s v="C:\Users\andre\Desktop\REACTIV CEFAS\Saccharin\Saccharin/20201201_Cefas_Test8_Run1/Plate 3/@12/C6_03.tif "/>
    <s v=" 21.6299 "/>
    <n v="30"/>
    <x v="0"/>
    <n v="649"/>
    <m/>
    <m/>
  </r>
  <r>
    <x v="14"/>
    <x v="4"/>
    <s v="C:\Users\andre\Desktop\REACTIV CEFAS\Saccharin\Saccharin/20201201_Cefas_Test8_Run1/Plate 3/@12/D6_01.tif "/>
    <s v=" 6791.7869 "/>
    <s v=" 36.3822 "/>
    <x v="0"/>
    <n v="247100"/>
    <m/>
    <m/>
  </r>
  <r>
    <x v="14"/>
    <x v="4"/>
    <s v="C:\Users\andre\Desktop\REACTIV CEFAS\Saccharin\Saccharin/20201201_Cefas_Test8_Run1/Plate 3/@12/D6_02.tif "/>
    <s v=" 1968.3204 "/>
    <s v=" 35.1648 "/>
    <x v="0"/>
    <n v="69216"/>
    <m/>
    <m/>
  </r>
  <r>
    <x v="14"/>
    <x v="4"/>
    <s v="C:\Users\andre\Desktop\REACTIV CEFAS\Saccharin\Saccharin/20201201_Cefas_Test8_Run1/Plate 3/@12/D6_03.tif "/>
    <s v=" 3698.712 "/>
    <s v=" 34.3509 "/>
    <x v="0"/>
    <n v="127054"/>
    <m/>
    <m/>
  </r>
  <r>
    <x v="14"/>
    <x v="5"/>
    <s v="C:\Users\andre\Desktop\REACTIV CEFAS\Saccharin\Saccharin/20201201_Cefas_Test8_Run1/Plate 3/@12/E6_01.tif "/>
    <s v=" 1103.1246 "/>
    <s v=" 34.0392 "/>
    <x v="0"/>
    <n v="37549"/>
    <m/>
    <m/>
  </r>
  <r>
    <x v="14"/>
    <x v="5"/>
    <s v="C:\Users\andre\Desktop\REACTIV CEFAS\Saccharin\Saccharin/20201201_Cefas_Test8_Run1/Plate 3/@12/E6_02.tif "/>
    <s v=" 1946.6905 "/>
    <s v=" 35.0667 "/>
    <x v="0"/>
    <n v="68264"/>
    <m/>
    <m/>
  </r>
  <r>
    <x v="14"/>
    <x v="5"/>
    <s v="C:\Users\andre\Desktop\REACTIV CEFAS\Saccharin\Saccharin/20201201_Cefas_Test8_Run1/Plate 3/@12/E6_03.tif "/>
    <s v=" 5493.9932 "/>
    <s v=" 41.6339 "/>
    <x v="0"/>
    <n v="228736"/>
    <m/>
    <m/>
  </r>
  <r>
    <x v="14"/>
    <x v="6"/>
    <s v="C:\Users\andre\Desktop\REACTIV CEFAS\Saccharin\Saccharin/20201201_Cefas_Test8_Run1/Plate 3/@12/F6_01.tif "/>
    <s v=" 5385.8438 "/>
    <s v=" 35.2972 "/>
    <x v="0"/>
    <n v="190105"/>
    <m/>
    <m/>
  </r>
  <r>
    <x v="14"/>
    <x v="6"/>
    <s v="C:\Users\andre\Desktop\REACTIV CEFAS\Saccharin\Saccharin/20201201_Cefas_Test8_Run1/Plate 3/@12/F6_02.tif "/>
    <s v=" 4607.1676 "/>
    <s v=" 36.1315 "/>
    <x v="0"/>
    <n v="166464"/>
    <m/>
    <m/>
  </r>
  <r>
    <x v="14"/>
    <x v="6"/>
    <s v="C:\Users\andre\Desktop\REACTIV CEFAS\Saccharin\Saccharin/20201201_Cefas_Test8_Run1/Plate 3/@12/F6_03.tif "/>
    <s v=" 4563.9078 "/>
    <s v=" 35.109 "/>
    <x v="0"/>
    <n v="160234"/>
    <m/>
    <m/>
  </r>
  <r>
    <x v="14"/>
    <x v="7"/>
    <s v="C:\Users\andre\Desktop\REACTIV CEFAS\Saccharin\Saccharin/20201201_Cefas_Test8_Run1/Plate 3/@12/G6_01.tif "/>
    <s v=" 7527.2033 "/>
    <s v=" 43.4253 "/>
    <x v="0"/>
    <n v="326871"/>
    <m/>
    <m/>
  </r>
  <r>
    <x v="14"/>
    <x v="7"/>
    <s v="C:\Users\andre\Desktop\REACTIV CEFAS\Saccharin\Saccharin/20201201_Cefas_Test8_Run1/Plate 3/@12/G6_02.tif "/>
    <s v=" 7008.0859 "/>
    <s v=" 37.6265 "/>
    <x v="0"/>
    <n v="263690"/>
    <m/>
    <m/>
  </r>
  <r>
    <x v="14"/>
    <x v="7"/>
    <s v="C:\Users\andre\Desktop\REACTIV CEFAS\Saccharin\Saccharin/20201201_Cefas_Test8_Run1/Plate 3/@12/G6_03.tif "/>
    <s v=" 3568.9326 "/>
    <s v=" 36.2121 "/>
    <x v="0"/>
    <n v="129239"/>
    <m/>
    <m/>
  </r>
  <r>
    <x v="14"/>
    <x v="8"/>
    <s v="C:\Users\andre\Desktop\REACTIV CEFAS\Saccharin\Saccharin/20201201_Cefas_Test8_Run1/Plate 3/@12/H6_01.tif "/>
    <s v=" 4131.3099 "/>
    <s v=" 37.6545 "/>
    <x v="0"/>
    <n v="155562"/>
    <m/>
    <m/>
  </r>
  <r>
    <x v="14"/>
    <x v="8"/>
    <s v="C:\Users\andre\Desktop\REACTIV CEFAS\Saccharin\Saccharin/20201201_Cefas_Test8_Run1/Plate 3/@12/H6_02.tif "/>
    <s v=" 4001.5305 "/>
    <s v=" 36.3459 "/>
    <x v="0"/>
    <n v="145439"/>
    <m/>
    <m/>
  </r>
  <r>
    <x v="14"/>
    <x v="8"/>
    <s v="C:\Users\andre\Desktop\REACTIV CEFAS\Saccharin\Saccharin/20201201_Cefas_Test8_Run1/Plate 3/@12/H6_03.tif "/>
    <n v="0"/>
    <n v="0"/>
    <x v="0"/>
    <n v="0"/>
    <m/>
    <m/>
  </r>
  <r>
    <x v="0"/>
    <x v="0"/>
    <s v=" "/>
    <m/>
    <m/>
    <x v="1"/>
    <m/>
    <m/>
    <m/>
  </r>
  <r>
    <x v="0"/>
    <x v="0"/>
    <s v="group "/>
    <s v=" "/>
    <s v=" mean of mean fluo "/>
    <x v="2"/>
    <s v=" mean of total fluo "/>
    <s v=" SD total fluo "/>
    <m/>
  </r>
  <r>
    <x v="14"/>
    <x v="9"/>
    <s v="C:\Users\andre\Desktop\REACTIV CEFAS\Saccharin\Saccharin/20201201_Cefas_Test8_Run1/Plate 3/@12/ "/>
    <s v=" "/>
    <s v=" 35.01 "/>
    <x v="16"/>
    <s v=" 173277.042 "/>
    <s v=" 105097.288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Saccharin\Saccharin/20201201_Cefas_Test8_Run1/Plate 3/@17/A8_01.tif "/>
    <s v=" 70708.1255 "/>
    <s v=" 45.5335 "/>
    <x v="0"/>
    <n v="3219588"/>
    <m/>
    <m/>
  </r>
  <r>
    <x v="15"/>
    <x v="1"/>
    <s v="C:\Users\andre\Desktop\REACTIV CEFAS\Saccharin\Saccharin/20201201_Cefas_Test8_Run1/Plate 3/@17/A8_02.tif "/>
    <s v=" 78732.8164 "/>
    <s v=" 49.2695 "/>
    <x v="0"/>
    <n v="3879127"/>
    <m/>
    <m/>
  </r>
  <r>
    <x v="15"/>
    <x v="1"/>
    <s v="C:\Users\andre\Desktop\REACTIV CEFAS\Saccharin\Saccharin/20201201_Cefas_Test8_Run1/Plate 3/@17/A8_03.tif "/>
    <s v=" 85589.493 "/>
    <s v=" 49.3161 "/>
    <x v="0"/>
    <n v="4220944"/>
    <m/>
    <m/>
  </r>
  <r>
    <x v="15"/>
    <x v="2"/>
    <s v="C:\Users\andre\Desktop\REACTIV CEFAS\Saccharin\Saccharin/20201201_Cefas_Test8_Run1/Plate 3/@17/B8_01.tif "/>
    <s v=" 76245.3786 "/>
    <s v=" 46.2346 "/>
    <x v="0"/>
    <n v="3525175"/>
    <m/>
    <m/>
  </r>
  <r>
    <x v="15"/>
    <x v="2"/>
    <s v="C:\Users\andre\Desktop\REACTIV CEFAS\Saccharin\Saccharin/20201201_Cefas_Test8_Run1/Plate 3/@17/B8_02.tif "/>
    <s v=" 71248.8729 "/>
    <s v=" 48.976 "/>
    <x v="0"/>
    <n v="3489486"/>
    <m/>
    <m/>
  </r>
  <r>
    <x v="15"/>
    <x v="2"/>
    <s v="C:\Users\andre\Desktop\REACTIV CEFAS\Saccharin\Saccharin/20201201_Cefas_Test8_Run1/Plate 3/@17/B8_03.tif "/>
    <s v=" 74990.8447 "/>
    <s v=" 48.4707 "/>
    <x v="0"/>
    <n v="3634861"/>
    <m/>
    <m/>
  </r>
  <r>
    <x v="15"/>
    <x v="3"/>
    <s v="C:\Users\andre\Desktop\REACTIV CEFAS\Saccharin\Saccharin/20201201_Cefas_Test8_Run1/Plate 3/@17/C8_01.tif "/>
    <s v=" 45487.6684 "/>
    <s v=" 40.9011 "/>
    <x v="0"/>
    <n v="1860495"/>
    <m/>
    <m/>
  </r>
  <r>
    <x v="15"/>
    <x v="3"/>
    <s v="C:\Users\andre\Desktop\REACTIV CEFAS\Saccharin\Saccharin/20201201_Cefas_Test8_Run1/Plate 3/@17/C8_02.tif "/>
    <s v=" 36359.8529 "/>
    <s v=" 39.182 "/>
    <x v="0"/>
    <n v="1424653"/>
    <m/>
    <m/>
  </r>
  <r>
    <x v="15"/>
    <x v="3"/>
    <s v="C:\Users\andre\Desktop\REACTIV CEFAS\Saccharin\Saccharin/20201201_Cefas_Test8_Run1/Plate 3/@17/C8_03.tif "/>
    <s v=" 41204.9493 "/>
    <s v=" 40.3176 "/>
    <x v="0"/>
    <n v="1661284"/>
    <m/>
    <m/>
  </r>
  <r>
    <x v="15"/>
    <x v="4"/>
    <s v="C:\Users\andre\Desktop\REACTIV CEFAS\Saccharin\Saccharin/20201201_Cefas_Test8_Run1/Plate 3/@17/D8_01.tif "/>
    <s v=" 24960.8984 "/>
    <s v=" 36.5303 "/>
    <x v="0"/>
    <n v="911830"/>
    <m/>
    <m/>
  </r>
  <r>
    <x v="15"/>
    <x v="4"/>
    <s v="C:\Users\andre\Desktop\REACTIV CEFAS\Saccharin\Saccharin/20201201_Cefas_Test8_Run1/Plate 3/@17/D8_02.tif "/>
    <s v=" 24182.2222 "/>
    <s v=" 35.2442 "/>
    <x v="0"/>
    <n v="852283"/>
    <m/>
    <m/>
  </r>
  <r>
    <x v="15"/>
    <x v="4"/>
    <s v="C:\Users\andre\Desktop\REACTIV CEFAS\Saccharin\Saccharin/20201201_Cefas_Test8_Run1/Plate 3/@17/D8_03.tif "/>
    <s v=" 23987.5531 "/>
    <s v=" 35.5915 "/>
    <x v="0"/>
    <n v="853754"/>
    <m/>
    <m/>
  </r>
  <r>
    <x v="15"/>
    <x v="5"/>
    <s v="C:\Users\andre\Desktop\REACTIV CEFAS\Saccharin\Saccharin/20201201_Cefas_Test8_Run1/Plate 3/@17/E8_01.tif "/>
    <s v=" 56324.2456 "/>
    <s v=" 46.0561 "/>
    <x v="0"/>
    <n v="2594073"/>
    <m/>
    <m/>
  </r>
  <r>
    <x v="15"/>
    <x v="5"/>
    <s v="C:\Users\andre\Desktop\REACTIV CEFAS\Saccharin\Saccharin/20201201_Cefas_Test8_Run1/Plate 3/@17/E8_02.tif "/>
    <s v=" 57297.5909 "/>
    <s v=" 46.0185 "/>
    <x v="0"/>
    <n v="2636749"/>
    <m/>
    <m/>
  </r>
  <r>
    <x v="15"/>
    <x v="5"/>
    <s v="C:\Users\andre\Desktop\REACTIV CEFAS\Saccharin\Saccharin/20201201_Cefas_Test8_Run1/Plate 3/@17/E8_03.tif "/>
    <s v=" 63743.2995 "/>
    <s v=" 46.814 "/>
    <x v="0"/>
    <n v="2984082"/>
    <m/>
    <m/>
  </r>
  <r>
    <x v="15"/>
    <x v="6"/>
    <s v="C:\Users\andre\Desktop\REACTIV CEFAS\Saccharin\Saccharin/20201201_Cefas_Test8_Run1/Plate 3/@17/F8_01.tif "/>
    <s v=" 3201.2244 "/>
    <s v=" 32.3919 "/>
    <x v="0"/>
    <n v="103694"/>
    <m/>
    <m/>
  </r>
  <r>
    <x v="15"/>
    <x v="6"/>
    <s v="C:\Users\andre\Desktop\REACTIV CEFAS\Saccharin\Saccharin/20201201_Cefas_Test8_Run1/Plate 3/@17/F8_02.tif "/>
    <s v=" 3049.8151 "/>
    <s v=" 32.6028 "/>
    <x v="0"/>
    <n v="99433"/>
    <m/>
    <m/>
  </r>
  <r>
    <x v="15"/>
    <x v="6"/>
    <s v="C:\Users\andre\Desktop\REACTIV CEFAS\Saccharin\Saccharin/20201201_Cefas_Test8_Run1/Plate 3/@17/F8_03.tif "/>
    <s v=" 8911.5166 "/>
    <s v=" 34.2597 "/>
    <x v="0"/>
    <n v="305306"/>
    <m/>
    <m/>
  </r>
  <r>
    <x v="15"/>
    <x v="7"/>
    <s v="C:\Users\andre\Desktop\REACTIV CEFAS\Saccharin\Saccharin/20201201_Cefas_Test8_Run1/Plate 3/@17/G8_01.tif "/>
    <s v=" 12372.2997 "/>
    <s v=" 35.715 "/>
    <x v="0"/>
    <n v="441877"/>
    <m/>
    <m/>
  </r>
  <r>
    <x v="15"/>
    <x v="7"/>
    <s v="C:\Users\andre\Desktop\REACTIV CEFAS\Saccharin\Saccharin/20201201_Cefas_Test8_Run1/Plate 3/@17/G8_02.tif "/>
    <s v=" 9884.8618 "/>
    <s v=" 35.2976 "/>
    <x v="0"/>
    <n v="348912"/>
    <m/>
    <m/>
  </r>
  <r>
    <x v="15"/>
    <x v="7"/>
    <s v="C:\Users\andre\Desktop\REACTIV CEFAS\Saccharin\Saccharin/20201201_Cefas_Test8_Run1/Plate 3/@17/G8_03.tif "/>
    <s v=" 19596.6845 "/>
    <s v=" 35.8289 "/>
    <x v="0"/>
    <n v="702128"/>
    <m/>
    <m/>
  </r>
  <r>
    <x v="15"/>
    <x v="8"/>
    <s v="C:\Users\andre\Desktop\REACTIV CEFAS\Saccharin\Saccharin/20201201_Cefas_Test8_Run1/Plate 3/@17/H8_01.tif "/>
    <s v=" 66749.8548 "/>
    <s v=" 45.708 "/>
    <x v="0"/>
    <n v="3051005"/>
    <m/>
    <m/>
  </r>
  <r>
    <x v="15"/>
    <x v="8"/>
    <s v="C:\Users\andre\Desktop\REACTIV CEFAS\Saccharin\Saccharin/20201201_Cefas_Test8_Run1/Plate 3/@17/H8_02.tif "/>
    <s v=" 63981.2283 "/>
    <s v=" 42.8654 "/>
    <x v="0"/>
    <n v="2742584"/>
    <m/>
    <m/>
  </r>
  <r>
    <x v="15"/>
    <x v="8"/>
    <s v="C:\Users\andre\Desktop\REACTIV CEFAS\Saccharin\Saccharin/20201201_Cefas_Test8_Run1/Plate 3/@17/H8_03.tif "/>
    <s v=" 65235.7622 "/>
    <s v=" 42.7066 "/>
    <x v="0"/>
    <n v="2785995"/>
    <m/>
    <m/>
  </r>
  <r>
    <x v="0"/>
    <x v="0"/>
    <s v=" "/>
    <m/>
    <m/>
    <x v="1"/>
    <m/>
    <m/>
    <m/>
  </r>
  <r>
    <x v="0"/>
    <x v="0"/>
    <s v="group "/>
    <s v=" "/>
    <s v=" mean of mean fluo "/>
    <x v="2"/>
    <s v=" mean of total fluo "/>
    <s v=" SD total fluo "/>
    <m/>
  </r>
  <r>
    <x v="15"/>
    <x v="9"/>
    <s v="C:\Users\andre\Desktop\REACTIV CEFAS\Saccharin\Saccharin/20201201_Cefas_Test8_Run1/Plate 3/@17/ "/>
    <s v=" "/>
    <s v=" 41.3263 "/>
    <x v="17"/>
    <s v=" 2013721.58 "/>
    <s v=" 1357164.51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Saccharin\Saccharin/20201201_Cefas_Test8_Run1/Plate 3/@18/A9_01.tif "/>
    <s v=" 60671.8544 "/>
    <s v=" 41.1287 "/>
    <x v="0"/>
    <n v="2495354"/>
    <m/>
    <m/>
  </r>
  <r>
    <x v="16"/>
    <x v="1"/>
    <s v="C:\Users\andre\Desktop\REACTIV CEFAS\Saccharin\Saccharin/20201201_Cefas_Test8_Run1/Plate 3/@18/A9_02.tif "/>
    <s v=" 62856.4738 "/>
    <s v=" 41.8586 "/>
    <x v="0"/>
    <n v="2631082"/>
    <m/>
    <m/>
  </r>
  <r>
    <x v="16"/>
    <x v="1"/>
    <s v="C:\Users\andre\Desktop\REACTIV CEFAS\Saccharin\Saccharin/20201201_Cefas_Test8_Run1/Plate 3/@18/A9_03.tif "/>
    <s v=" 64305.6767 "/>
    <s v=" 40.2378 "/>
    <x v="0"/>
    <n v="2587519"/>
    <m/>
    <m/>
  </r>
  <r>
    <x v="16"/>
    <x v="2"/>
    <s v="C:\Users\andre\Desktop\REACTIV CEFAS\Saccharin\Saccharin/20201201_Cefas_Test8_Run1/Plate 3/@18/B9_01.tif "/>
    <s v=" 40231.604 "/>
    <s v=" 36.7812 "/>
    <x v="0"/>
    <n v="1479766"/>
    <m/>
    <m/>
  </r>
  <r>
    <x v="16"/>
    <x v="2"/>
    <s v="C:\Users\andre\Desktop\REACTIV CEFAS\Saccharin\Saccharin/20201201_Cefas_Test8_Run1/Plate 3/@18/B9_02.tif "/>
    <s v=" 46439.3838 "/>
    <s v=" 38.5957 "/>
    <x v="0"/>
    <n v="1792361"/>
    <m/>
    <m/>
  </r>
  <r>
    <x v="16"/>
    <x v="2"/>
    <s v="C:\Users\andre\Desktop\REACTIV CEFAS\Saccharin\Saccharin/20201201_Cefas_Test8_Run1/Plate 3/@18/B9_03.tif "/>
    <s v=" 39928.7855 "/>
    <s v=" 36.8093 "/>
    <x v="0"/>
    <n v="1469751"/>
    <m/>
    <m/>
  </r>
  <r>
    <x v="16"/>
    <x v="3"/>
    <s v="C:\Users\andre\Desktop\REACTIV CEFAS\Saccharin\Saccharin/20201201_Cefas_Test8_Run1/Plate 3/@18/C9_01.tif "/>
    <s v=" 9149.4454 "/>
    <s v=" 32.7872 "/>
    <x v="0"/>
    <n v="299985"/>
    <m/>
    <m/>
  </r>
  <r>
    <x v="16"/>
    <x v="3"/>
    <s v="C:\Users\andre\Desktop\REACTIV CEFAS\Saccharin\Saccharin/20201201_Cefas_Test8_Run1/Plate 3/@18/C9_02.tif "/>
    <s v=" 8067.9507 "/>
    <s v=" 32.1984 "/>
    <x v="0"/>
    <n v="259775"/>
    <m/>
    <m/>
  </r>
  <r>
    <x v="16"/>
    <x v="3"/>
    <s v="C:\Users\andre\Desktop\REACTIV CEFAS\Saccharin\Saccharin/20201201_Cefas_Test8_Run1/Plate 3/@18/C9_03.tif "/>
    <s v=" 19423.6454 "/>
    <s v=" 33.9143 "/>
    <x v="0"/>
    <n v="658738"/>
    <m/>
    <m/>
  </r>
  <r>
    <x v="16"/>
    <x v="4"/>
    <s v="C:\Users\andre\Desktop\REACTIV CEFAS\Saccharin\Saccharin/20201201_Cefas_Test8_Run1/Plate 3/@18/D9_01.tif "/>
    <s v=" 28335.162 "/>
    <s v=" 36.2023 "/>
    <x v="0"/>
    <n v="1025798"/>
    <m/>
    <m/>
  </r>
  <r>
    <x v="16"/>
    <x v="4"/>
    <s v="C:\Users\andre\Desktop\REACTIV CEFAS\Saccharin\Saccharin/20201201_Cefas_Test8_Run1/Plate 3/@18/D9_02.tif "/>
    <s v=" 23187.247 "/>
    <s v=" 35.6614 "/>
    <x v="0"/>
    <n v="826889"/>
    <m/>
    <m/>
  </r>
  <r>
    <x v="16"/>
    <x v="4"/>
    <s v="C:\Users\andre\Desktop\REACTIV CEFAS\Saccharin\Saccharin/20201201_Cefas_Test8_Run1/Plate 3/@18/D9_03.tif "/>
    <s v=" 20872.8483 "/>
    <s v=" 35.1668 "/>
    <x v="0"/>
    <n v="734032"/>
    <m/>
    <m/>
  </r>
  <r>
    <x v="16"/>
    <x v="5"/>
    <s v="C:\Users\andre\Desktop\REACTIV CEFAS\Saccharin\Saccharin/20201201_Cefas_Test8_Run1/Plate 3/@18/E9_01.tif "/>
    <s v=" 18969.4176 "/>
    <s v=" 35.5017 "/>
    <x v="0"/>
    <n v="673447"/>
    <m/>
    <m/>
  </r>
  <r>
    <x v="16"/>
    <x v="5"/>
    <s v="C:\Users\andre\Desktop\REACTIV CEFAS\Saccharin\Saccharin/20201201_Cefas_Test8_Run1/Plate 3/@18/E9_02.tif "/>
    <s v=" 17455.325 "/>
    <s v=" 35.7187 "/>
    <x v="0"/>
    <n v="623482"/>
    <m/>
    <m/>
  </r>
  <r>
    <x v="16"/>
    <x v="5"/>
    <s v="C:\Users\andre\Desktop\REACTIV CEFAS\Saccharin\Saccharin/20201201_Cefas_Test8_Run1/Plate 3/@18/E9_03.tif "/>
    <s v=" 14578.549 "/>
    <s v=" 35.2849 "/>
    <x v="0"/>
    <n v="514402"/>
    <m/>
    <m/>
  </r>
  <r>
    <x v="16"/>
    <x v="6"/>
    <s v="C:\Users\andre\Desktop\REACTIV CEFAS\Saccharin\Saccharin/20201201_Cefas_Test8_Run1/Plate 3/@18/F9_01.tif "/>
    <s v=" 67831.3496 "/>
    <s v=" 40.287 "/>
    <x v="0"/>
    <n v="2732721"/>
    <m/>
    <m/>
  </r>
  <r>
    <x v="16"/>
    <x v="6"/>
    <s v="C:\Users\andre\Desktop\REACTIV CEFAS\Saccharin\Saccharin/20201201_Cefas_Test8_Run1/Plate 3/@18/F9_02.tif "/>
    <s v=" 60542.0751 "/>
    <s v=" 42.5916 "/>
    <x v="0"/>
    <n v="2578586"/>
    <m/>
    <m/>
  </r>
  <r>
    <x v="16"/>
    <x v="6"/>
    <s v="C:\Users\andre\Desktop\REACTIV CEFAS\Saccharin\Saccharin/20201201_Cefas_Test8_Run1/Plate 3/@18/F9_03.tif "/>
    <s v=" 52582.2738 "/>
    <s v=" 44.2431 "/>
    <x v="0"/>
    <n v="2326403"/>
    <m/>
    <m/>
  </r>
  <r>
    <x v="16"/>
    <x v="7"/>
    <s v="C:\Users\andre\Desktop\REACTIV CEFAS\Saccharin\Saccharin/20201201_Cefas_Test8_Run1/Plate 3/@18/G9_01.tif "/>
    <s v=" 26474.991 "/>
    <s v=" 35.8023 "/>
    <x v="0"/>
    <n v="947865"/>
    <m/>
    <m/>
  </r>
  <r>
    <x v="16"/>
    <x v="7"/>
    <s v="C:\Users\andre\Desktop\REACTIV CEFAS\Saccharin\Saccharin/20201201_Cefas_Test8_Run1/Plate 3/@18/G9_02.tif "/>
    <s v=" 30130.4432 "/>
    <s v=" 35.3869 "/>
    <x v="0"/>
    <n v="1066224"/>
    <m/>
    <m/>
  </r>
  <r>
    <x v="16"/>
    <x v="7"/>
    <s v="C:\Users\andre\Desktop\REACTIV CEFAS\Saccharin\Saccharin/20201201_Cefas_Test8_Run1/Plate 3/@18/G9_03.tif "/>
    <s v=" 33634.4861 "/>
    <s v=" 35.573 "/>
    <x v="0"/>
    <n v="1196479"/>
    <m/>
    <m/>
  </r>
  <r>
    <x v="16"/>
    <x v="8"/>
    <s v="C:\Users\andre\Desktop\REACTIV CEFAS\Saccharin\Saccharin/20201201_Cefas_Test8_Run1/Plate 3/@18/H9_01.tif "/>
    <s v=" 2617.2173 "/>
    <s v=" 32.7521 "/>
    <x v="0"/>
    <n v="85719"/>
    <m/>
    <m/>
  </r>
  <r>
    <x v="16"/>
    <x v="8"/>
    <s v="C:\Users\andre\Desktop\REACTIV CEFAS\Saccharin\Saccharin/20201201_Cefas_Test8_Run1/Plate 3/@18/H9_02.tif "/>
    <s v=" 5429.1036 "/>
    <s v=" 33.0837 "/>
    <x v="0"/>
    <n v="179615"/>
    <m/>
    <m/>
  </r>
  <r>
    <x v="16"/>
    <x v="8"/>
    <s v="C:\Users\andre\Desktop\REACTIV CEFAS\Saccharin\Saccharin/20201201_Cefas_Test8_Run1/Plate 3/@18/H9_03.tif "/>
    <s v=" 4088.0501 "/>
    <s v=" 32.5397 "/>
    <x v="0"/>
    <n v="133024"/>
    <m/>
    <m/>
  </r>
  <r>
    <x v="0"/>
    <x v="0"/>
    <s v=" "/>
    <m/>
    <m/>
    <x v="1"/>
    <m/>
    <m/>
    <m/>
  </r>
  <r>
    <x v="0"/>
    <x v="0"/>
    <s v="group "/>
    <s v=" "/>
    <s v=" mean of mean fluo "/>
    <x v="2"/>
    <s v=" mean of total fluo "/>
    <s v=" SD total fluo "/>
    <m/>
  </r>
  <r>
    <x v="16"/>
    <x v="9"/>
    <s v="C:\Users\andre\Desktop\REACTIV CEFAS\Saccharin\Saccharin/20201201_Cefas_Test8_Run1/Plate 3/@18/ "/>
    <s v=" "/>
    <s v=" 36.6711 "/>
    <x v="18"/>
    <s v=" 1221625.71 "/>
    <s v=" 899673.033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Saccharin\Saccharin/20201201_Cefas_Test8_Run1/Plate 3/@19/A10_01.tif "/>
    <s v=" 37765.796 "/>
    <s v=" 45.6546 "/>
    <x v="0"/>
    <n v="1724184"/>
    <m/>
    <m/>
  </r>
  <r>
    <x v="17"/>
    <x v="1"/>
    <s v="C:\Users\andre\Desktop\REACTIV CEFAS\Saccharin\Saccharin/20201201_Cefas_Test8_Run1/Plate 3/@19/A10_02.tif "/>
    <s v=" 27816.0445 "/>
    <s v=" 37.703 "/>
    <x v="0"/>
    <n v="1048747"/>
    <m/>
    <m/>
  </r>
  <r>
    <x v="17"/>
    <x v="1"/>
    <s v="C:\Users\andre\Desktop\REACTIV CEFAS\Saccharin\Saccharin/20201201_Cefas_Test8_Run1/Plate 3/@19/A10_03.tif "/>
    <s v=" 54831.7829 "/>
    <s v=" 45.0438 "/>
    <x v="0"/>
    <n v="2469831"/>
    <m/>
    <m/>
  </r>
  <r>
    <x v="17"/>
    <x v="2"/>
    <s v="C:\Users\andre\Desktop\REACTIV CEFAS\Saccharin\Saccharin/20201201_Cefas_Test8_Run1/Plate 3/@19/B10_01- exclu.tif"/>
    <m/>
    <m/>
    <x v="1"/>
    <m/>
    <m/>
    <m/>
  </r>
  <r>
    <x v="17"/>
    <x v="2"/>
    <s v="C:\Users\andre\Desktop\REACTIV CEFAS\Saccharin\Saccharin/20201201_Cefas_Test8_Run1/Plate 3/@19/B10_02- exclu.tif"/>
    <m/>
    <m/>
    <x v="1"/>
    <m/>
    <m/>
    <m/>
  </r>
  <r>
    <x v="17"/>
    <x v="2"/>
    <s v="C:\Users\andre\Desktop\REACTIV CEFAS\Saccharin\Saccharin/20201201_Cefas_Test8_Run1/Plate 3/@19/B10_03.tif "/>
    <s v=" 29654.5855 "/>
    <s v=" 41.8665 "/>
    <x v="0"/>
    <n v="1241534"/>
    <m/>
    <m/>
  </r>
  <r>
    <x v="17"/>
    <x v="3"/>
    <s v="C:\Users\andre\Desktop\REACTIV CEFAS\Saccharin\Saccharin/20201201_Cefas_Test8_Run1/Plate 3/@19/C10_01.tif "/>
    <s v=" 19899.5031 "/>
    <s v=" 37.9054 "/>
    <x v="0"/>
    <n v="754299"/>
    <m/>
    <m/>
  </r>
  <r>
    <x v="17"/>
    <x v="3"/>
    <s v="C:\Users\andre\Desktop\REACTIV CEFAS\Saccharin\Saccharin/20201201_Cefas_Test8_Run1/Plate 3/@19/C10_02.tif "/>
    <s v=" 27772.7847 "/>
    <s v=" 38.7741 "/>
    <x v="0"/>
    <n v="1076866"/>
    <m/>
    <m/>
  </r>
  <r>
    <x v="17"/>
    <x v="3"/>
    <s v="C:\Users\andre\Desktop\REACTIV CEFAS\Saccharin\Saccharin/20201201_Cefas_Test8_Run1/Plate 3/@19/C10_03.tif "/>
    <s v=" 25177.1973 "/>
    <s v=" 37.6727 "/>
    <x v="0"/>
    <n v="948493"/>
    <m/>
    <m/>
  </r>
  <r>
    <x v="17"/>
    <x v="4"/>
    <s v="C:\Users\andre\Desktop\REACTIV CEFAS\Saccharin\Saccharin/20201201_Cefas_Test8_Run1/Plate 3/@19/D10_01.tif "/>
    <s v=" 47953.4764 "/>
    <s v=" 42.6116 "/>
    <x v="0"/>
    <n v="2043376"/>
    <m/>
    <m/>
  </r>
  <r>
    <x v="17"/>
    <x v="4"/>
    <s v="C:\Users\andre\Desktop\REACTIV CEFAS\Saccharin\Saccharin/20201201_Cefas_Test8_Run1/Plate 3/@19/D10_02.tif "/>
    <s v=" 42546.0027 "/>
    <s v=" 43.5425 "/>
    <x v="0"/>
    <n v="1852557"/>
    <m/>
    <m/>
  </r>
  <r>
    <x v="17"/>
    <x v="4"/>
    <s v="C:\Users\andre\Desktop\REACTIV CEFAS\Saccharin\Saccharin/20201201_Cefas_Test8_Run1/Plate 3/@19/D10_03.tif "/>
    <s v=" 43021.8604 "/>
    <s v=" 45.7547 "/>
    <x v="0"/>
    <n v="1968450"/>
    <m/>
    <m/>
  </r>
  <r>
    <x v="17"/>
    <x v="5"/>
    <s v="C:\Users\andre\Desktop\REACTIV CEFAS\Saccharin\Saccharin/20201201_Cefas_Test8_Run1/Plate 3/@19/E10_01.tif "/>
    <s v=" 50873.5122 "/>
    <s v=" 42.2326 "/>
    <x v="0"/>
    <n v="2148519"/>
    <m/>
    <m/>
  </r>
  <r>
    <x v="17"/>
    <x v="5"/>
    <s v="C:\Users\andre\Desktop\REACTIV CEFAS\Saccharin\Saccharin/20201201_Cefas_Test8_Run1/Plate 3/@19/E10_02.tif "/>
    <s v=" 45639.0777 "/>
    <s v=" 39.2166 "/>
    <x v="0"/>
    <n v="1789809"/>
    <m/>
    <m/>
  </r>
  <r>
    <x v="17"/>
    <x v="5"/>
    <s v="C:\Users\andre\Desktop\REACTIV CEFAS\Saccharin\Saccharin/20201201_Cefas_Test8_Run1/Plate 3/@19/E10_03.tif "/>
    <s v=" 49143.1206 "/>
    <s v=" 40.4551 "/>
    <x v="0"/>
    <n v="1988090"/>
    <m/>
    <m/>
  </r>
  <r>
    <x v="17"/>
    <x v="6"/>
    <s v="C:\Users\andre\Desktop\REACTIV CEFAS\Saccharin\Saccharin/20201201_Cefas_Test8_Run1/Plate 3/@19/F10_01.tif "/>
    <s v=" 50765.3627 "/>
    <s v=" 49.262 "/>
    <x v="0"/>
    <n v="2500805"/>
    <m/>
    <m/>
  </r>
  <r>
    <x v="17"/>
    <x v="6"/>
    <s v="C:\Users\andre\Desktop\REACTIV CEFAS\Saccharin\Saccharin/20201201_Cefas_Test8_Run1/Plate 3/@19/F10_02.tif "/>
    <s v=" 46742.2023 "/>
    <s v=" 46.6145 "/>
    <x v="0"/>
    <n v="2178866"/>
    <m/>
    <m/>
  </r>
  <r>
    <x v="17"/>
    <x v="6"/>
    <s v="C:\Users\andre\Desktop\REACTIV CEFAS\Saccharin\Saccharin/20201201_Cefas_Test8_Run1/Plate 3/@19/F10_03.tif "/>
    <s v=" 59568.7298 "/>
    <s v=" 48.6028 "/>
    <x v="0"/>
    <n v="2895205"/>
    <m/>
    <m/>
  </r>
  <r>
    <x v="17"/>
    <x v="7"/>
    <s v="C:\Users\andre\Desktop\REACTIV CEFAS\Saccharin\Saccharin/20201201_Cefas_Test8_Run1/Plate 3/@19/G10_01.tif "/>
    <s v=" 62575.2852 "/>
    <s v=" 45.5005 "/>
    <x v="0"/>
    <n v="2847208"/>
    <m/>
    <m/>
  </r>
  <r>
    <x v="17"/>
    <x v="7"/>
    <s v="C:\Users\andre\Desktop\REACTIV CEFAS\Saccharin\Saccharin/20201201_Cefas_Test8_Run1/Plate 3/@19/G10_02.tif "/>
    <s v=" 57773.4486 "/>
    <s v=" 42.3669 "/>
    <x v="0"/>
    <n v="2447682"/>
    <m/>
    <m/>
  </r>
  <r>
    <x v="17"/>
    <x v="7"/>
    <s v="C:\Users\andre\Desktop\REACTIV CEFAS\Saccharin\Saccharin/20201201_Cefas_Test8_Run1/Plate 3/@19/G10_03.tif "/>
    <s v=" 53187.9109 "/>
    <s v=" 40.9744 "/>
    <x v="0"/>
    <n v="2179342"/>
    <m/>
    <m/>
  </r>
  <r>
    <x v="17"/>
    <x v="8"/>
    <s v="C:\Users\andre\Desktop\REACTIV CEFAS\Saccharin\Saccharin/20201201_Cefas_Test8_Run1/Plate 3/@19/H10_01.tif "/>
    <s v=" 59611.9896 "/>
    <s v=" 42.0758 "/>
    <x v="0"/>
    <n v="2508224"/>
    <m/>
    <m/>
  </r>
  <r>
    <x v="17"/>
    <x v="8"/>
    <s v="C:\Users\andre\Desktop\REACTIV CEFAS\Saccharin\Saccharin/20201201_Cefas_Test8_Run1/Plate 3/@19/H10_02.tif "/>
    <s v=" 62272.4666 "/>
    <s v=" 42.3098 "/>
    <x v="0"/>
    <n v="2634737"/>
    <m/>
    <m/>
  </r>
  <r>
    <x v="17"/>
    <x v="8"/>
    <s v="C:\Users\andre\Desktop\REACTIV CEFAS\Saccharin\Saccharin/20201201_Cefas_Test8_Run1/Plate 3/@19/H10_03.tif "/>
    <s v=" 61861.4986 "/>
    <s v=" 42.1895 "/>
    <x v="0"/>
    <n v="2609906"/>
    <m/>
    <m/>
  </r>
  <r>
    <x v="0"/>
    <x v="0"/>
    <s v=" "/>
    <m/>
    <m/>
    <x v="1"/>
    <m/>
    <m/>
    <m/>
  </r>
  <r>
    <x v="0"/>
    <x v="0"/>
    <s v="group "/>
    <s v=" "/>
    <s v=" mean of mean fluo "/>
    <x v="2"/>
    <s v=" mean of total fluo "/>
    <s v=" SD total fluo "/>
    <m/>
  </r>
  <r>
    <x v="17"/>
    <x v="9"/>
    <s v="C:\Users\andre\Desktop\REACTIV CEFAS\Saccharin\Saccharin/20201201_Cefas_Test8_Run1/Plate 3/@19/ "/>
    <s v=" "/>
    <s v=" 42.8862 "/>
    <x v="19"/>
    <s v=" 1948670.5 "/>
    <s v=" 624752.064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Saccharin\Saccharin/20201201_Cefas_Test8_Run1/Plate 3/@20/A11_01- exclu.tif"/>
    <m/>
    <m/>
    <x v="1"/>
    <m/>
    <m/>
    <m/>
  </r>
  <r>
    <x v="18"/>
    <x v="1"/>
    <s v="C:\Users\andre\Desktop\REACTIV CEFAS\Saccharin\Saccharin/20201201_Cefas_Test8_Run1/Plate 3/@20/A11_02- exclu.tif"/>
    <m/>
    <m/>
    <x v="1"/>
    <m/>
    <m/>
    <m/>
  </r>
  <r>
    <x v="18"/>
    <x v="1"/>
    <s v="C:\Users\andre\Desktop\REACTIV CEFAS\Saccharin\Saccharin/20201201_Cefas_Test8_Run1/Plate 3/@20/A11_03- exclu.tif"/>
    <m/>
    <m/>
    <x v="1"/>
    <m/>
    <m/>
    <m/>
  </r>
  <r>
    <x v="18"/>
    <x v="2"/>
    <s v="C:\Users\andre\Desktop\REACTIV CEFAS\Saccharin\Saccharin/20201201_Cefas_Test8_Run1/Plate 3/@20/B11_01.tif "/>
    <s v=" 55156.2313 "/>
    <s v=" 48.6604 "/>
    <x v="0"/>
    <n v="2683924"/>
    <m/>
    <m/>
  </r>
  <r>
    <x v="18"/>
    <x v="2"/>
    <s v="C:\Users\andre\Desktop\REACTIV CEFAS\Saccharin\Saccharin/20201201_Cefas_Test8_Run1/Plate 3/@20/B11_02.tif "/>
    <s v=" 53404.2098 "/>
    <s v=" 48.8967 "/>
    <x v="0"/>
    <n v="2611291"/>
    <m/>
    <m/>
  </r>
  <r>
    <x v="18"/>
    <x v="2"/>
    <s v="C:\Users\andre\Desktop\REACTIV CEFAS\Saccharin\Saccharin/20201201_Cefas_Test8_Run1/Plate 3/@20/B11_03.tif "/>
    <s v=" 49164.7505 "/>
    <s v=" 48.9076 "/>
    <x v="0"/>
    <n v="2404530"/>
    <m/>
    <m/>
  </r>
  <r>
    <x v="18"/>
    <x v="3"/>
    <s v="C:\Users\andre\Desktop\REACTIV CEFAS\Saccharin\Saccharin/20201201_Cefas_Test8_Run1/Plate 3/@20/C11_01.tif "/>
    <s v=" 46807.092 "/>
    <s v=" 42.3064 "/>
    <x v="0"/>
    <n v="1980238"/>
    <m/>
    <m/>
  </r>
  <r>
    <x v="18"/>
    <x v="3"/>
    <s v="C:\Users\andre\Desktop\REACTIV CEFAS\Saccharin\Saccharin/20201201_Cefas_Test8_Run1/Plate 3/@20/C11_02.tif "/>
    <s v=" 41334.7286 "/>
    <s v=" 39.6949 "/>
    <x v="0"/>
    <n v="1640779"/>
    <m/>
    <m/>
  </r>
  <r>
    <x v="18"/>
    <x v="3"/>
    <s v="C:\Users\andre\Desktop\REACTIV CEFAS\Saccharin\Saccharin/20201201_Cefas_Test8_Run1/Plate 3/@20/C11_03.tif "/>
    <s v=" 46893.6116 "/>
    <s v=" 42.3916 "/>
    <x v="0"/>
    <n v="1987895"/>
    <m/>
    <m/>
  </r>
  <r>
    <x v="18"/>
    <x v="4"/>
    <s v="C:\Users\andre\Desktop\REACTIV CEFAS\Saccharin\Saccharin/20201201_Cefas_Test8_Run1/Plate 3/@20/D11_01.tif "/>
    <s v=" 40967.0204 "/>
    <s v=" 36.8105 "/>
    <x v="0"/>
    <n v="1508015"/>
    <m/>
    <m/>
  </r>
  <r>
    <x v="18"/>
    <x v="4"/>
    <s v="C:\Users\andre\Desktop\REACTIV CEFAS\Saccharin\Saccharin/20201201_Cefas_Test8_Run1/Plate 3/@20/D11_02.tif "/>
    <s v=" 33396.5573 "/>
    <s v=" 35.4974 "/>
    <x v="0"/>
    <n v="1185491"/>
    <m/>
    <m/>
  </r>
  <r>
    <x v="18"/>
    <x v="4"/>
    <s v="C:\Users\andre\Desktop\REACTIV CEFAS\Saccharin\Saccharin/20201201_Cefas_Test8_Run1/Plate 3/@20/D11_03.tif "/>
    <s v=" 35840.7354 "/>
    <s v=" 34.9342 "/>
    <x v="0"/>
    <n v="1252068"/>
    <m/>
    <m/>
  </r>
  <r>
    <x v="18"/>
    <x v="5"/>
    <s v="C:\Users\andre\Desktop\REACTIV CEFAS\Saccharin\Saccharin/20201201_Cefas_Test8_Run1/Plate 3/@20/E11_01.tif "/>
    <s v=" 64608.4953 "/>
    <s v=" 38.6816 "/>
    <x v="0"/>
    <n v="2499161"/>
    <m/>
    <m/>
  </r>
  <r>
    <x v="18"/>
    <x v="5"/>
    <s v="C:\Users\andre\Desktop\REACTIV CEFAS\Saccharin\Saccharin/20201201_Cefas_Test8_Run1/Plate 3/@20/E11_02.tif "/>
    <s v=" 66057.6982 "/>
    <s v=" 47.0714 "/>
    <x v="0"/>
    <n v="3109427"/>
    <m/>
    <m/>
  </r>
  <r>
    <x v="18"/>
    <x v="5"/>
    <s v="C:\Users\andre\Desktop\REACTIV CEFAS\Saccharin\Saccharin/20201201_Cefas_Test8_Run1/Plate 3/@20/E11_03.tif "/>
    <s v=" 66836.3744 "/>
    <s v=" 45.5673 "/>
    <x v="0"/>
    <n v="3045554"/>
    <m/>
    <m/>
  </r>
  <r>
    <x v="18"/>
    <x v="6"/>
    <s v="C:\Users\andre\Desktop\REACTIV CEFAS\Saccharin\Saccharin/20201201_Cefas_Test8_Run1/Plate 3/@20/F11_01.tif "/>
    <s v=" 31839.2049 "/>
    <s v=" 36.2833 "/>
    <x v="0"/>
    <n v="1155231"/>
    <m/>
    <m/>
  </r>
  <r>
    <x v="18"/>
    <x v="6"/>
    <s v="C:\Users\andre\Desktop\REACTIV CEFAS\Saccharin\Saccharin/20201201_Cefas_Test8_Run1/Plate 3/@20/F11_02.tif "/>
    <s v=" 29503.1763 "/>
    <s v=" 36.6349 "/>
    <x v="0"/>
    <n v="1080846"/>
    <m/>
    <m/>
  </r>
  <r>
    <x v="18"/>
    <x v="6"/>
    <s v="C:\Users\andre\Desktop\REACTIV CEFAS\Saccharin\Saccharin/20201201_Cefas_Test8_Run1/Plate 3/@20/F11_03.tif "/>
    <s v=" 17541.8445 "/>
    <s v=" 34.0875 "/>
    <x v="0"/>
    <n v="597958"/>
    <m/>
    <m/>
  </r>
  <r>
    <x v="18"/>
    <x v="7"/>
    <s v="C:\Users\andre\Desktop\REACTIV CEFAS\Saccharin\Saccharin/20201201_Cefas_Test8_Run1/Plate 3/@20/G11_01.tif "/>
    <s v=" 67290.6022 "/>
    <s v=" 41.7085 "/>
    <x v="0"/>
    <n v="2806587"/>
    <m/>
    <m/>
  </r>
  <r>
    <x v="18"/>
    <x v="7"/>
    <s v="C:\Users\andre\Desktop\REACTIV CEFAS\Saccharin\Saccharin/20201201_Cefas_Test8_Run1/Plate 3/@20/G11_02.tif "/>
    <s v=" 60174.3669 "/>
    <s v=" 38.2426 "/>
    <x v="0"/>
    <n v="2301226"/>
    <m/>
    <m/>
  </r>
  <r>
    <x v="18"/>
    <x v="7"/>
    <s v="C:\Users\andre\Desktop\REACTIV CEFAS\Saccharin\Saccharin/20201201_Cefas_Test8_Run1/Plate 3/@20/G11_03.tif "/>
    <s v=" 57470.63 "/>
    <s v=" 37.4577 "/>
    <x v="0"/>
    <n v="2152715"/>
    <m/>
    <m/>
  </r>
  <r>
    <x v="18"/>
    <x v="8"/>
    <s v="C:\Users\andre\Desktop\REACTIV CEFAS\Saccharin\Saccharin/20201201_Cefas_Test8_Run1/Plate 3/@20/H11_01.tif "/>
    <s v=" 6488.9684 "/>
    <s v=" 35.5233 "/>
    <x v="0"/>
    <n v="230510"/>
    <m/>
    <m/>
  </r>
  <r>
    <x v="18"/>
    <x v="8"/>
    <s v="C:\Users\andre\Desktop\REACTIV CEFAS\Saccharin\Saccharin/20201201_Cefas_Test8_Run1/Plate 3/@20/H11_02.tif "/>
    <s v=" 6359.189 "/>
    <s v=" 36.4966 "/>
    <x v="0"/>
    <n v="232089"/>
    <m/>
    <m/>
  </r>
  <r>
    <x v="18"/>
    <x v="8"/>
    <s v="C:\Users\andre\Desktop\REACTIV CEFAS\Saccharin\Saccharin/20201201_Cefas_Test8_Run1/Plate 3/@20/H11_03.tif "/>
    <s v=" 3741.9718 "/>
    <s v=" 35.0405 "/>
    <x v="0"/>
    <n v="131120"/>
    <m/>
    <m/>
  </r>
  <r>
    <x v="0"/>
    <x v="0"/>
    <s v=" "/>
    <m/>
    <m/>
    <x v="1"/>
    <m/>
    <m/>
    <m/>
  </r>
  <r>
    <x v="0"/>
    <x v="0"/>
    <s v="group "/>
    <s v=" "/>
    <s v=" mean of mean fluo "/>
    <x v="2"/>
    <s v=" mean of total fluo "/>
    <s v=" SD total fluo "/>
    <m/>
  </r>
  <r>
    <x v="18"/>
    <x v="9"/>
    <s v="C:\Users\andre\Desktop\REACTIV CEFAS\Saccharin\Saccharin/20201201_Cefas_Test8_Run1/Plate 3/@20/ "/>
    <s v=" "/>
    <s v=" 39.5527 "/>
    <x v="20"/>
    <n v="1576301"/>
    <s v=" 988614.7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Saccharin\Saccharin/20201201_Cefas_Test8_Run1/Plate 3/@21/A12_01.tif "/>
    <s v=" 40491.1627 "/>
    <s v=" 37.3584 "/>
    <x v="0"/>
    <n v="1512687"/>
    <m/>
    <m/>
  </r>
  <r>
    <x v="19"/>
    <x v="1"/>
    <s v="C:\Users\andre\Desktop\REACTIV CEFAS\Saccharin\Saccharin/20201201_Cefas_Test8_Run1/Plate 3/@21/A12_02.tif "/>
    <s v=" 36078.6642 "/>
    <s v=" 37.0408 "/>
    <x v="0"/>
    <n v="1336381"/>
    <m/>
    <m/>
  </r>
  <r>
    <x v="19"/>
    <x v="1"/>
    <s v="C:\Users\andre\Desktop\REACTIV CEFAS\Saccharin\Saccharin/20201201_Cefas_Test8_Run1/Plate 3/@21/A12_03.tif "/>
    <s v=" 42135.0347 "/>
    <s v=" 37.9492 "/>
    <x v="0"/>
    <n v="1598990"/>
    <m/>
    <m/>
  </r>
  <r>
    <x v="19"/>
    <x v="2"/>
    <s v="C:\Users\andre\Desktop\REACTIV CEFAS\Saccharin\Saccharin/20201201_Cefas_Test8_Run1/Plate 3/@21/B12_01.tif "/>
    <s v=" 65019.4633 "/>
    <s v=" 42.6101 "/>
    <x v="0"/>
    <n v="2770487"/>
    <m/>
    <m/>
  </r>
  <r>
    <x v="19"/>
    <x v="2"/>
    <s v="C:\Users\andre\Desktop\REACTIV CEFAS\Saccharin\Saccharin/20201201_Cefas_Test8_Run1/Plate 3/@21/B12_02.tif "/>
    <s v=" 72287.1078 "/>
    <s v=" 42.7457 "/>
    <x v="0"/>
    <n v="3089960"/>
    <m/>
    <m/>
  </r>
  <r>
    <x v="19"/>
    <x v="2"/>
    <s v="C:\Users\andre\Desktop\REACTIV CEFAS\Saccharin\Saccharin/20201201_Cefas_Test8_Run1/Plate 3/@21/B12_03.tif "/>
    <s v=" 69951.0792 "/>
    <s v=" 41.6957 "/>
    <x v="0"/>
    <n v="2916662"/>
    <m/>
    <m/>
  </r>
  <r>
    <x v="19"/>
    <x v="3"/>
    <s v="C:\Users\andre\Desktop\REACTIV CEFAS\Saccharin\Saccharin/20201201_Cefas_Test8_Run1/Plate 3/@21/C12_01.tif "/>
    <s v=" 13172.6058 "/>
    <s v=" 35.6831 "/>
    <x v="0"/>
    <n v="470039"/>
    <m/>
    <m/>
  </r>
  <r>
    <x v="19"/>
    <x v="3"/>
    <s v="C:\Users\andre\Desktop\REACTIV CEFAS\Saccharin\Saccharin/20201201_Cefas_Test8_Run1/Plate 3/@21/C12_02.tif "/>
    <s v=" 16655.0189 "/>
    <s v=" 37.8143 "/>
    <x v="0"/>
    <n v="629798"/>
    <m/>
    <m/>
  </r>
  <r>
    <x v="19"/>
    <x v="3"/>
    <s v="C:\Users\andre\Desktop\REACTIV CEFAS\Saccharin\Saccharin/20201201_Cefas_Test8_Run1/Plate 3/@21/C12_03.tif "/>
    <s v=" 24398.5211 "/>
    <s v=" 38.4796 "/>
    <x v="0"/>
    <n v="938846"/>
    <m/>
    <m/>
  </r>
  <r>
    <x v="19"/>
    <x v="4"/>
    <s v="C:\Users\andre\Desktop\REACTIV CEFAS\Saccharin\Saccharin/20201201_Cefas_Test8_Run1/Plate 3/@21/D12_01.tif "/>
    <s v=" 1860.1709 "/>
    <s v=" 31.8023 "/>
    <x v="0"/>
    <n v="59158"/>
    <m/>
    <m/>
  </r>
  <r>
    <x v="19"/>
    <x v="4"/>
    <s v="C:\Users\andre\Desktop\REACTIV CEFAS\Saccharin\Saccharin/20201201_Cefas_Test8_Run1/Plate 3/@21/D12_02.tif "/>
    <s v=" 11312.4349 "/>
    <s v=" 33.4532 "/>
    <x v="0"/>
    <n v="378437"/>
    <m/>
    <m/>
  </r>
  <r>
    <x v="19"/>
    <x v="4"/>
    <s v="C:\Users\andre\Desktop\REACTIV CEFAS\Saccharin\Saccharin/20201201_Cefas_Test8_Run1/Plate 3/@21/D12_03.tif "/>
    <s v=" 16200.7911 "/>
    <s v=" 34.4406 "/>
    <x v="0"/>
    <n v="557965"/>
    <m/>
    <m/>
  </r>
  <r>
    <x v="19"/>
    <x v="5"/>
    <s v="C:\Users\andre\Desktop\REACTIV CEFAS\Saccharin\Saccharin/20201201_Cefas_Test8_Run1/Plate 3/@21/E12_01.tif "/>
    <s v=" 32942.3295 "/>
    <s v=" 37.9192 "/>
    <x v="0"/>
    <n v="1249148"/>
    <m/>
    <m/>
  </r>
  <r>
    <x v="19"/>
    <x v="5"/>
    <s v="C:\Users\andre\Desktop\REACTIV CEFAS\Saccharin\Saccharin/20201201_Cefas_Test8_Run1/Plate 3/@21/E12_02.tif "/>
    <s v=" 22884.4285 "/>
    <s v=" 37.4773 "/>
    <x v="0"/>
    <n v="857647"/>
    <m/>
    <m/>
  </r>
  <r>
    <x v="19"/>
    <x v="5"/>
    <s v="C:\Users\andre\Desktop\REACTIV CEFAS\Saccharin\Saccharin/20201201_Cefas_Test8_Run1/Plate 3/@21/E12_03.tif "/>
    <s v=" 35689.3261 "/>
    <s v=" 39.1897 "/>
    <x v="0"/>
    <n v="1398654"/>
    <m/>
    <m/>
  </r>
  <r>
    <x v="19"/>
    <x v="6"/>
    <s v="C:\Users\andre\Desktop\REACTIV CEFAS\Saccharin\Saccharin/20201201_Cefas_Test8_Run1/Plate 3/@21/F12_01.tif "/>
    <s v=" 41810.5863 "/>
    <s v=" 42.5142 "/>
    <x v="0"/>
    <n v="1777545"/>
    <m/>
    <m/>
  </r>
  <r>
    <x v="19"/>
    <x v="6"/>
    <s v="C:\Users\andre\Desktop\REACTIV CEFAS\Saccharin\Saccharin/20201201_Cefas_Test8_Run1/Plate 3/@21/F12_02.tif "/>
    <s v=" 38998.7 "/>
    <s v=" 42.6467 "/>
    <x v="0"/>
    <n v="1663166"/>
    <m/>
    <m/>
  </r>
  <r>
    <x v="19"/>
    <x v="6"/>
    <s v="C:\Users\andre\Desktop\REACTIV CEFAS\Saccharin\Saccharin/20201201_Cefas_Test8_Run1/Plate 3/@21/F12_03.tif "/>
    <s v=" 44579.2128 "/>
    <s v=" 40.8035 "/>
    <x v="0"/>
    <n v="1818988"/>
    <m/>
    <m/>
  </r>
  <r>
    <x v="19"/>
    <x v="7"/>
    <s v="C:\Users\andre\Desktop\REACTIV CEFAS\Saccharin\Saccharin/20201201_Cefas_Test8_Run1/Plate 3/@21/G12_01.tif "/>
    <s v=" 48948.4515 "/>
    <s v=" 42.4308 "/>
    <x v="0"/>
    <n v="2076924"/>
    <m/>
    <m/>
  </r>
  <r>
    <x v="19"/>
    <x v="7"/>
    <s v="C:\Users\andre\Desktop\REACTIV CEFAS\Saccharin\Saccharin/20201201_Cefas_Test8_Run1/Plate 3/@21/G12_02.tif "/>
    <s v=" 52863.4625 "/>
    <s v=" 41.3662 "/>
    <x v="0"/>
    <n v="2186761"/>
    <m/>
    <m/>
  </r>
  <r>
    <x v="19"/>
    <x v="7"/>
    <s v="C:\Users\andre\Desktop\REACTIV CEFAS\Saccharin\Saccharin/20201201_Cefas_Test8_Run1/Plate 3/@21/G12_03.tif "/>
    <s v=" 58725.1639 "/>
    <s v=" 40.8077 "/>
    <x v="0"/>
    <n v="2396441"/>
    <m/>
    <m/>
  </r>
  <r>
    <x v="19"/>
    <x v="8"/>
    <s v="C:\Users\andre\Desktop\REACTIV CEFAS\Saccharin\Saccharin/20201201_Cefas_Test8_Run1/Plate 3/@21/H12_01.tif "/>
    <s v=" 56886.6229 "/>
    <s v=" 46.1156 "/>
    <x v="0"/>
    <n v="2623360"/>
    <m/>
    <m/>
  </r>
  <r>
    <x v="19"/>
    <x v="8"/>
    <s v="C:\Users\andre\Desktop\REACTIV CEFAS\Saccharin\Saccharin/20201201_Cefas_Test8_Run1/Plate 3/@21/H12_02.tif "/>
    <s v=" 61472.1605 "/>
    <s v=" 44.988 "/>
    <x v="0"/>
    <n v="2765512"/>
    <m/>
    <m/>
  </r>
  <r>
    <x v="19"/>
    <x v="8"/>
    <s v="C:\Users\andre\Desktop\REACTIV CEFAS\Saccharin\Saccharin/20201201_Cefas_Test8_Run1/Plate 3/@21/H12_03.tif "/>
    <s v=" 63116.0325 "/>
    <s v=" 46.1169 "/>
    <x v="0"/>
    <n v="2910713"/>
    <m/>
    <m/>
  </r>
  <r>
    <x v="0"/>
    <x v="0"/>
    <s v=" "/>
    <m/>
    <m/>
    <x v="1"/>
    <m/>
    <m/>
    <m/>
  </r>
  <r>
    <x v="0"/>
    <x v="0"/>
    <s v="group "/>
    <s v=" "/>
    <s v=" mean of mean fluo "/>
    <x v="2"/>
    <s v=" mean of total fluo "/>
    <s v=" SD total fluo "/>
    <m/>
  </r>
  <r>
    <x v="19"/>
    <x v="9"/>
    <s v="C:\Users\andre\Desktop\REACTIV CEFAS\Saccharin\Saccharin/20201201_Cefas_Test8_Run1/Plate 3/@21/ "/>
    <s v=" "/>
    <s v=" 39.727 "/>
    <x v="21"/>
    <s v=" 1666011.21 "/>
    <s v=" 909647.423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Saccharin\Saccharin/20201201_Cefas_Test8_Run1/Plate 3/@8/A2_01.tif "/>
    <s v=" 5277.6943 "/>
    <s v=" 34.5451 "/>
    <x v="0"/>
    <n v="182318"/>
    <m/>
    <m/>
  </r>
  <r>
    <x v="20"/>
    <x v="1"/>
    <s v="C:\Users\andre\Desktop\REACTIV CEFAS\Saccharin\Saccharin/20201201_Cefas_Test8_Run1/Plate 3/@8/A2_02.tif "/>
    <n v="0"/>
    <n v="0"/>
    <x v="0"/>
    <n v="0"/>
    <m/>
    <m/>
  </r>
  <r>
    <x v="20"/>
    <x v="1"/>
    <s v="C:\Users\andre\Desktop\REACTIV CEFAS\Saccharin\Saccharin/20201201_Cefas_Test8_Run1/Plate 3/@8/A2_03.tif "/>
    <s v=" 3071.445 "/>
    <s v=" 32.4014 "/>
    <x v="0"/>
    <n v="99519"/>
    <m/>
    <m/>
  </r>
  <r>
    <x v="20"/>
    <x v="2"/>
    <s v="C:\Users\andre\Desktop\REACTIV CEFAS\Saccharin\Saccharin/20201201_Cefas_Test8_Run1/Plate 3/@8/B2_01.tif "/>
    <s v=" 627.2669 "/>
    <s v=" 31.7931 "/>
    <x v="0"/>
    <n v="19943"/>
    <m/>
    <m/>
  </r>
  <r>
    <x v="20"/>
    <x v="2"/>
    <s v="C:\Users\andre\Desktop\REACTIV CEFAS\Saccharin\Saccharin/20201201_Cefas_Test8_Run1/Plate 3/@8/B2_02.tif "/>
    <s v=" 4672.0572 "/>
    <s v=" 34.7454 "/>
    <x v="0"/>
    <n v="162332"/>
    <m/>
    <m/>
  </r>
  <r>
    <x v="20"/>
    <x v="2"/>
    <s v="C:\Users\andre\Desktop\REACTIV CEFAS\Saccharin\Saccharin/20201201_Cefas_Test8_Run1/Plate 3/@8/B2_03.tif "/>
    <s v=" 8067.9507 "/>
    <s v=" 36.9035 "/>
    <x v="0"/>
    <n v="297735"/>
    <m/>
    <m/>
  </r>
  <r>
    <x v="20"/>
    <x v="3"/>
    <s v="C:\Users\andre\Desktop\REACTIV CEFAS\Saccharin\Saccharin/20201201_Cefas_Test8_Run1/Plate 3/@8/C2_01.tif "/>
    <s v=" 8219.36 "/>
    <s v=" 35.4763 "/>
    <x v="0"/>
    <n v="291593"/>
    <m/>
    <m/>
  </r>
  <r>
    <x v="20"/>
    <x v="3"/>
    <s v="C:\Users\andre\Desktop\REACTIV CEFAS\Saccharin\Saccharin/20201201_Cefas_Test8_Run1/Plate 3/@8/C2_02.tif "/>
    <s v=" 10014.6412 "/>
    <s v=" 34.9374 "/>
    <x v="0"/>
    <n v="349885"/>
    <m/>
    <m/>
  </r>
  <r>
    <x v="20"/>
    <x v="3"/>
    <s v="C:\Users\andre\Desktop\REACTIV CEFAS\Saccharin\Saccharin/20201201_Cefas_Test8_Run1/Plate 3/@8/C2_03.tif "/>
    <s v=" 3677.0821 "/>
    <s v=" 32.6941 "/>
    <x v="0"/>
    <n v="120219"/>
    <m/>
    <m/>
  </r>
  <r>
    <x v="20"/>
    <x v="4"/>
    <s v="C:\Users\andre\Desktop\REACTIV CEFAS\Saccharin\Saccharin/20201201_Cefas_Test8_Run1/Plate 3/@8/D2_01.tif "/>
    <s v=" 4174.5697 "/>
    <s v=" 40.171 "/>
    <x v="0"/>
    <n v="167697"/>
    <m/>
    <m/>
  </r>
  <r>
    <x v="20"/>
    <x v="4"/>
    <s v="C:\Users\andre\Desktop\REACTIV CEFAS\Saccharin\Saccharin/20201201_Cefas_Test8_Run1/Plate 3/@8/D2_02.tif "/>
    <s v=" 5818.4417 "/>
    <s v=" 40.3048 "/>
    <x v="0"/>
    <n v="234511"/>
    <m/>
    <m/>
  </r>
  <r>
    <x v="20"/>
    <x v="4"/>
    <s v="C:\Users\andre\Desktop\REACTIV CEFAS\Saccharin\Saccharin/20201201_Cefas_Test8_Run1/Plate 3/@8/D2_03.tif "/>
    <s v=" 7159.4951 "/>
    <s v=" 43.9033 "/>
    <x v="0"/>
    <n v="314326"/>
    <m/>
    <m/>
  </r>
  <r>
    <x v="20"/>
    <x v="5"/>
    <s v="C:\Users\andre\Desktop\REACTIV CEFAS\Saccharin\Saccharin/20201201_Cefas_Test8_Run1/Plate 3/@8/E2_01.tif "/>
    <s v=" 4953.2459 "/>
    <s v=" 36.3057 "/>
    <x v="0"/>
    <n v="179831"/>
    <m/>
    <m/>
  </r>
  <r>
    <x v="20"/>
    <x v="5"/>
    <s v="C:\Users\andre\Desktop\REACTIV CEFAS\Saccharin\Saccharin/20201201_Cefas_Test8_Run1/Plate 3/@8/E2_02.tif "/>
    <s v=" 5558.8829 "/>
    <s v=" 34.9883 "/>
    <x v="0"/>
    <n v="194496"/>
    <m/>
    <m/>
  </r>
  <r>
    <x v="20"/>
    <x v="5"/>
    <s v="C:\Users\andre\Desktop\REACTIV CEFAS\Saccharin\Saccharin/20201201_Cefas_Test8_Run1/Plate 3/@8/E2_03.tif "/>
    <s v=" 4131.3099 "/>
    <s v=" 34.2408 "/>
    <x v="0"/>
    <n v="141460"/>
    <m/>
    <m/>
  </r>
  <r>
    <x v="20"/>
    <x v="6"/>
    <s v="C:\Users\andre\Desktop\REACTIV CEFAS\Saccharin\Saccharin/20201201_Cefas_Test8_Run1/Plate 3/@8/F2_01.tif "/>
    <s v=" 4261.0892 "/>
    <s v=" 39.4112 "/>
    <x v="0"/>
    <n v="167935"/>
    <m/>
    <m/>
  </r>
  <r>
    <x v="20"/>
    <x v="6"/>
    <s v="C:\Users\andre\Desktop\REACTIV CEFAS\Saccharin\Saccharin/20201201_Cefas_Test8_Run1/Plate 3/@8/F2_02.tif "/>
    <s v=" 9149.4454 "/>
    <s v=" 46.7801 "/>
    <x v="0"/>
    <n v="428012"/>
    <m/>
    <m/>
  </r>
  <r>
    <x v="20"/>
    <x v="6"/>
    <s v="C:\Users\andre\Desktop\REACTIV CEFAS\Saccharin\Saccharin/20201201_Cefas_Test8_Run1/Plate 3/@8/F2_03.tif "/>
    <s v=" 4780.2067 "/>
    <s v=" 37.7285 "/>
    <x v="0"/>
    <n v="180350"/>
    <m/>
    <m/>
  </r>
  <r>
    <x v="20"/>
    <x v="7"/>
    <s v="C:\Users\andre\Desktop\REACTIV CEFAS\Saccharin\Saccharin/20201201_Cefas_Test8_Run1/Plate 3/@8/G2_01.tif "/>
    <s v=" 7008.0859 "/>
    <s v=" 40.4599 "/>
    <x v="0"/>
    <n v="283546"/>
    <m/>
    <m/>
  </r>
  <r>
    <x v="20"/>
    <x v="7"/>
    <s v="C:\Users\andre\Desktop\REACTIV CEFAS\Saccharin\Saccharin/20201201_Cefas_Test8_Run1/Plate 3/@8/G2_02.tif "/>
    <s v=" 6142.8901 "/>
    <s v=" 40.9437 "/>
    <x v="0"/>
    <n v="251512"/>
    <m/>
    <m/>
  </r>
  <r>
    <x v="20"/>
    <x v="7"/>
    <s v="C:\Users\andre\Desktop\REACTIV CEFAS\Saccharin\Saccharin/20201201_Cefas_Test8_Run1/Plate 3/@8/G2_03.tif "/>
    <s v=" 5277.6943 "/>
    <s v=" 38.5779 "/>
    <x v="0"/>
    <n v="203602"/>
    <m/>
    <m/>
  </r>
  <r>
    <x v="20"/>
    <x v="8"/>
    <s v="C:\Users\andre\Desktop\REACTIV CEFAS\Saccharin\Saccharin/20201201_Cefas_Test8_Run1/Plate 3/@8/H2_01.tif "/>
    <s v=" 4542.2779 "/>
    <s v=" 37.019 "/>
    <x v="0"/>
    <n v="168151"/>
    <m/>
    <m/>
  </r>
  <r>
    <x v="20"/>
    <x v="8"/>
    <s v="C:\Users\andre\Desktop\REACTIV CEFAS\Saccharin\Saccharin/20201201_Cefas_Test8_Run1/Plate 3/@8/H2_02.tif "/>
    <s v=" 5623.7726 "/>
    <s v=" 40.8654 "/>
    <x v="0"/>
    <n v="229818"/>
    <m/>
    <m/>
  </r>
  <r>
    <x v="20"/>
    <x v="8"/>
    <s v="C:\Users\andre\Desktop\REACTIV CEFAS\Saccharin\Saccharin/20201201_Cefas_Test8_Run1/Plate 3/@8/H2_03.tif "/>
    <s v=" 821.936 "/>
    <s v=" 31.7105 "/>
    <x v="0"/>
    <n v="26064"/>
    <m/>
    <m/>
  </r>
  <r>
    <x v="0"/>
    <x v="0"/>
    <s v=" "/>
    <m/>
    <m/>
    <x v="1"/>
    <m/>
    <m/>
    <m/>
  </r>
  <r>
    <x v="0"/>
    <x v="0"/>
    <s v="group "/>
    <s v=" "/>
    <s v=" mean of mean fluo "/>
    <x v="2"/>
    <s v=" mean of total fluo "/>
    <s v=" SD total fluo "/>
    <m/>
  </r>
  <r>
    <x v="20"/>
    <x v="9"/>
    <s v="C:\Users\andre\Desktop\REACTIV CEFAS\Saccharin\Saccharin/20201201_Cefas_Test8_Run1/Plate 3/@8/ "/>
    <s v=" "/>
    <s v=" 35.7044 "/>
    <x v="22"/>
    <s v=" 195618.958 "/>
    <s v=" 103195.903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Saccharin\Saccharin/20201201_Cefas_Test8_Run1/Plate 3/@9/A3_01.tif "/>
    <s v=" 2682.1069 "/>
    <s v=" 34.5726 "/>
    <x v="0"/>
    <n v="92727"/>
    <m/>
    <m/>
  </r>
  <r>
    <x v="21"/>
    <x v="1"/>
    <s v="C:\Users\andre\Desktop\REACTIV CEFAS\Saccharin\Saccharin/20201201_Cefas_Test8_Run1/Plate 3/@9/A3_02.tif "/>
    <s v=" 4304.349 "/>
    <s v=" 36.1055 "/>
    <x v="0"/>
    <n v="155411"/>
    <m/>
    <m/>
  </r>
  <r>
    <x v="21"/>
    <x v="1"/>
    <s v="C:\Users\andre\Desktop\REACTIV CEFAS\Saccharin\Saccharin/20201201_Cefas_Test8_Run1/Plate 3/@9/A3_03.tif "/>
    <s v=" 2054.84 "/>
    <s v=" 32.3263 "/>
    <x v="0"/>
    <n v="66425"/>
    <m/>
    <m/>
  </r>
  <r>
    <x v="21"/>
    <x v="2"/>
    <s v="C:\Users\andre\Desktop\REACTIV CEFAS\Saccharin\Saccharin/20201201_Cefas_Test8_Run1/Plate 3/@9/B3_01.tif "/>
    <s v=" 3633.8223 "/>
    <s v=" 35.4107 "/>
    <x v="0"/>
    <n v="128676"/>
    <m/>
    <m/>
  </r>
  <r>
    <x v="21"/>
    <x v="2"/>
    <s v="C:\Users\andre\Desktop\REACTIV CEFAS\Saccharin\Saccharin/20201201_Cefas_Test8_Run1/Plate 3/@9/B3_02.tif "/>
    <s v=" 1968.3204 "/>
    <s v=" 34.2637 "/>
    <x v="0"/>
    <n v="67442"/>
    <m/>
    <m/>
  </r>
  <r>
    <x v="21"/>
    <x v="2"/>
    <s v="C:\Users\andre\Desktop\REACTIV CEFAS\Saccharin\Saccharin/20201201_Cefas_Test8_Run1/Plate 3/@9/B3_03.tif "/>
    <s v=" 1622.2421 "/>
    <s v=" 33.3067 "/>
    <x v="0"/>
    <n v="54031"/>
    <m/>
    <m/>
  </r>
  <r>
    <x v="21"/>
    <x v="3"/>
    <s v="C:\Users\andre\Desktop\REACTIV CEFAS\Saccharin\Saccharin/20201201_Cefas_Test8_Run1/Plate 3/@9/C3_01- exclu.tif"/>
    <m/>
    <m/>
    <x v="1"/>
    <m/>
    <m/>
    <m/>
  </r>
  <r>
    <x v="21"/>
    <x v="3"/>
    <s v="C:\Users\andre\Desktop\REACTIV CEFAS\Saccharin\Saccharin/20201201_Cefas_Test8_Run1/Plate 3/@9/C3_02- exclu.tif"/>
    <m/>
    <m/>
    <x v="1"/>
    <m/>
    <m/>
    <m/>
  </r>
  <r>
    <x v="21"/>
    <x v="3"/>
    <s v="C:\Users\andre\Desktop\REACTIV CEFAS\Saccharin\Saccharin/20201201_Cefas_Test8_Run1/Plate 3/@9/C3_03- exclu.tif"/>
    <m/>
    <m/>
    <x v="1"/>
    <m/>
    <m/>
    <m/>
  </r>
  <r>
    <x v="21"/>
    <x v="4"/>
    <s v="C:\Users\andre\Desktop\REACTIV CEFAS\Saccharin\Saccharin/20201201_Cefas_Test8_Run1/Plate 3/@9/D3_01.tif "/>
    <s v=" 4412.4985 "/>
    <s v=" 37.7157 "/>
    <x v="0"/>
    <n v="166420"/>
    <m/>
    <m/>
  </r>
  <r>
    <x v="21"/>
    <x v="4"/>
    <s v="C:\Users\andre\Desktop\REACTIV CEFAS\Saccharin\Saccharin/20201201_Cefas_Test8_Run1/Plate 3/@9/D3_02.tif "/>
    <s v=" 3179.5945 "/>
    <s v=" 35.0612 "/>
    <x v="0"/>
    <n v="111480"/>
    <m/>
    <m/>
  </r>
  <r>
    <x v="21"/>
    <x v="4"/>
    <s v="C:\Users\andre\Desktop\REACTIV CEFAS\Saccharin\Saccharin/20201201_Cefas_Test8_Run1/Plate 3/@9/D3_03.tif "/>
    <s v=" 3460.7831 "/>
    <s v=" 35.6063 "/>
    <x v="0"/>
    <n v="123226"/>
    <m/>
    <m/>
  </r>
  <r>
    <x v="21"/>
    <x v="5"/>
    <s v="C:\Users\andre\Desktop\REACTIV CEFAS\Saccharin\Saccharin/20201201_Cefas_Test8_Run1/Plate 3/@9/E3_01.tif "/>
    <s v=" 2141.3596 "/>
    <s v=" 36.2424 "/>
    <x v="0"/>
    <n v="77608"/>
    <m/>
    <m/>
  </r>
  <r>
    <x v="21"/>
    <x v="5"/>
    <s v="C:\Users\andre\Desktop\REACTIV CEFAS\Saccharin\Saccharin/20201201_Cefas_Test8_Run1/Plate 3/@9/E3_02.tif "/>
    <s v=" 324.4484 "/>
    <s v=" 32.3333 "/>
    <x v="0"/>
    <n v="10490"/>
    <m/>
    <m/>
  </r>
  <r>
    <x v="21"/>
    <x v="5"/>
    <s v="C:\Users\andre\Desktop\REACTIV CEFAS\Saccharin\Saccharin/20201201_Cefas_Test8_Run1/Plate 3/@9/E3_03.tif "/>
    <s v=" 2033.2101 "/>
    <s v=" 35.734 "/>
    <x v="0"/>
    <n v="72655"/>
    <m/>
    <m/>
  </r>
  <r>
    <x v="21"/>
    <x v="6"/>
    <s v="C:\Users\andre\Desktop\REACTIV CEFAS\Saccharin\Saccharin/20201201_Cefas_Test8_Run1/Plate 3/@9/F3_01- exclu.tif"/>
    <m/>
    <m/>
    <x v="1"/>
    <m/>
    <m/>
    <m/>
  </r>
  <r>
    <x v="21"/>
    <x v="6"/>
    <s v="C:\Users\andre\Desktop\REACTIV CEFAS\Saccharin\Saccharin/20201201_Cefas_Test8_Run1/Plate 3/@9/F3_02- exclu.tif"/>
    <m/>
    <m/>
    <x v="1"/>
    <m/>
    <m/>
    <m/>
  </r>
  <r>
    <x v="21"/>
    <x v="6"/>
    <s v="C:\Users\andre\Desktop\REACTIV CEFAS\Saccharin\Saccharin/20201201_Cefas_Test8_Run1/Plate 3/@9/F3_03- exclu.tif"/>
    <m/>
    <m/>
    <x v="1"/>
    <m/>
    <m/>
    <m/>
  </r>
  <r>
    <x v="21"/>
    <x v="7"/>
    <s v="C:\Users\andre\Desktop\REACTIV CEFAS\Saccharin\Saccharin/20201201_Cefas_Test8_Run1/Plate 3/@9/G3_01.tif "/>
    <n v="0"/>
    <n v="0"/>
    <x v="0"/>
    <n v="0"/>
    <m/>
    <m/>
  </r>
  <r>
    <x v="21"/>
    <x v="7"/>
    <s v="C:\Users\andre\Desktop\REACTIV CEFAS\Saccharin\Saccharin/20201201_Cefas_Test8_Run1/Plate 3/@9/G3_02.tif "/>
    <s v=" 2963.2956 "/>
    <s v=" 37.0219 "/>
    <x v="0"/>
    <n v="109707"/>
    <m/>
    <m/>
  </r>
  <r>
    <x v="21"/>
    <x v="7"/>
    <s v="C:\Users\andre\Desktop\REACTIV CEFAS\Saccharin\Saccharin/20201201_Cefas_Test8_Run1/Plate 3/@9/G3_03.tif "/>
    <s v=" 4174.5697 "/>
    <s v=" 37.5855 "/>
    <x v="0"/>
    <n v="156903"/>
    <m/>
    <m/>
  </r>
  <r>
    <x v="21"/>
    <x v="8"/>
    <s v="C:\Users\andre\Desktop\REACTIV CEFAS\Saccharin\Saccharin/20201201_Cefas_Test8_Run1/Plate 3/@9/H3_01.tif "/>
    <s v=" 7008.0859 "/>
    <s v=" 32.9969 "/>
    <x v="0"/>
    <n v="231245"/>
    <m/>
    <m/>
  </r>
  <r>
    <x v="21"/>
    <x v="8"/>
    <s v="C:\Users\andre\Desktop\REACTIV CEFAS\Saccharin\Saccharin/20201201_Cefas_Test8_Run1/Plate 3/@9/H3_02.tif "/>
    <s v=" 11507.1039 "/>
    <s v=" 38.203 "/>
    <x v="0"/>
    <n v="439606"/>
    <m/>
    <m/>
  </r>
  <r>
    <x v="21"/>
    <x v="8"/>
    <s v="C:\Users\andre\Desktop\REACTIV CEFAS\Saccharin\Saccharin/20201201_Cefas_Test8_Run1/Plate 3/@9/H3_03- exclu.tif"/>
    <m/>
    <m/>
    <x v="1"/>
    <m/>
    <m/>
    <m/>
  </r>
  <r>
    <x v="0"/>
    <x v="0"/>
    <s v=" "/>
    <m/>
    <m/>
    <x v="1"/>
    <m/>
    <m/>
    <m/>
  </r>
  <r>
    <x v="0"/>
    <x v="0"/>
    <s v="group "/>
    <s v=" "/>
    <s v=" mean of mean fluo "/>
    <x v="2"/>
    <s v=" mean of total fluo "/>
    <s v=" SD total fluo "/>
    <m/>
  </r>
  <r>
    <x v="21"/>
    <x v="9"/>
    <s v="C:\Users\andre\Desktop\REACTIV CEFAS\Saccharin\Saccharin/20201201_Cefas_Test8_Run1/Plate 3/@9/ "/>
    <s v=" "/>
    <s v=" 35.4755 "/>
    <x v="23"/>
    <s v=" 257483.042 "/>
    <s v=" 273882.196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Saccharin\Saccharin/20201217_Cefas_Test10_Run1/Plate 1/@1/A10_01.tif "/>
    <s v=" 9625.3031 "/>
    <s v=" 39.5348 "/>
    <x v="0"/>
    <n v="380535"/>
    <m/>
    <m/>
  </r>
  <r>
    <x v="1"/>
    <x v="1"/>
    <s v="C:\Users\andre\Desktop\REACTIV CEFAS\Saccharin\Saccharin/20201217_Cefas_Test10_Run1/Plate 1/@1/A10_02- exclu.tif"/>
    <m/>
    <m/>
    <x v="1"/>
    <m/>
    <m/>
    <m/>
  </r>
  <r>
    <x v="1"/>
    <x v="1"/>
    <s v="C:\Users\andre\Desktop\REACTIV CEFAS\Saccharin\Saccharin/20201217_Cefas_Test10_Run1/Plate 1/@1/A10_03.tif "/>
    <s v=" 2682.1069 "/>
    <s v=" 37.2823 "/>
    <x v="0"/>
    <n v="99995"/>
    <m/>
    <m/>
  </r>
  <r>
    <x v="1"/>
    <x v="1"/>
    <s v="C:\Users\andre\Desktop\REACTIV CEFAS\Saccharin\Saccharin/20201217_Cefas_Test10_Run1/Plate 1/@1/A10_04.tif "/>
    <s v=" 9365.7444 "/>
    <s v=" 37.3048 "/>
    <x v="0"/>
    <n v="349388"/>
    <m/>
    <m/>
  </r>
  <r>
    <x v="1"/>
    <x v="2"/>
    <s v="C:\Users\andre\Desktop\REACTIV CEFAS\Saccharin\Saccharin/20201217_Cefas_Test10_Run1/Plate 1/@1/B10_01.tif "/>
    <s v=" 5385.8438 "/>
    <s v=" 34.9157 "/>
    <x v="0"/>
    <n v="188050"/>
    <m/>
    <m/>
  </r>
  <r>
    <x v="1"/>
    <x v="2"/>
    <s v="C:\Users\andre\Desktop\REACTIV CEFAS\Saccharin\Saccharin/20201217_Cefas_Test10_Run1/Plate 1/@1/B10_02.tif "/>
    <s v=" 4585.5377 "/>
    <s v=" 34.0377 "/>
    <x v="0"/>
    <n v="156081"/>
    <m/>
    <m/>
  </r>
  <r>
    <x v="1"/>
    <x v="2"/>
    <s v="C:\Users\andre\Desktop\REACTIV CEFAS\Saccharin\Saccharin/20201217_Cefas_Test10_Run1/Plate 1/@1/B10_03.tif "/>
    <s v=" 5234.4345 "/>
    <s v=" 36.0537 "/>
    <x v="0"/>
    <n v="188721"/>
    <m/>
    <m/>
  </r>
  <r>
    <x v="1"/>
    <x v="2"/>
    <s v="C:\Users\andre\Desktop\REACTIV CEFAS\Saccharin\Saccharin/20201217_Cefas_Test10_Run1/Plate 1/@1/B10_04.tif "/>
    <s v=" 1752.0215 "/>
    <s v=" 34.1605 "/>
    <x v="0"/>
    <n v="59850"/>
    <m/>
    <m/>
  </r>
  <r>
    <x v="1"/>
    <x v="3"/>
    <s v="C:\Users\andre\Desktop\REACTIV CEFAS\Saccharin\Saccharin/20201217_Cefas_Test10_Run1/Plate 1/@1/C10_01.tif "/>
    <s v=" 108.1495 "/>
    <s v=" 30.2 "/>
    <x v="0"/>
    <n v="3266"/>
    <m/>
    <m/>
  </r>
  <r>
    <x v="1"/>
    <x v="3"/>
    <s v="C:\Users\andre\Desktop\REACTIV CEFAS\Saccharin\Saccharin/20201217_Cefas_Test10_Run1/Plate 1/@1/C10_02.tif "/>
    <s v=" 8500.5486 "/>
    <s v=" 45.5267 "/>
    <x v="0"/>
    <n v="387002"/>
    <m/>
    <m/>
  </r>
  <r>
    <x v="1"/>
    <x v="3"/>
    <s v="C:\Users\andre\Desktop\REACTIV CEFAS\Saccharin\Saccharin/20201217_Cefas_Test10_Run1/Plate 1/@1/C10_03.tif "/>
    <s v=" 151.4093 "/>
    <s v=" 30.7143 "/>
    <x v="0"/>
    <n v="4650"/>
    <m/>
    <m/>
  </r>
  <r>
    <x v="1"/>
    <x v="3"/>
    <s v="C:\Users\andre\Desktop\REACTIV CEFAS\Saccharin\Saccharin/20201217_Cefas_Test10_Run1/Plate 1/@1/C10_04.tif "/>
    <s v=" 21.6299 "/>
    <n v="30"/>
    <x v="0"/>
    <n v="649"/>
    <m/>
    <m/>
  </r>
  <r>
    <x v="1"/>
    <x v="4"/>
    <s v="C:\Users\andre\Desktop\REACTIV CEFAS\Saccharin\Saccharin/20201217_Cefas_Test10_Run1/Plate 1/@1/D10_01.tif "/>
    <s v=" 10490.4989 "/>
    <s v=" 36.7835 "/>
    <x v="0"/>
    <n v="385877"/>
    <m/>
    <m/>
  </r>
  <r>
    <x v="1"/>
    <x v="4"/>
    <s v="C:\Users\andre\Desktop\REACTIV CEFAS\Saccharin\Saccharin/20201217_Cefas_Test10_Run1/Plate 1/@1/D10_02.tif "/>
    <s v=" 7743.5023 "/>
    <s v=" 38.7709 "/>
    <x v="0"/>
    <n v="300223"/>
    <m/>
    <m/>
  </r>
  <r>
    <x v="1"/>
    <x v="4"/>
    <s v="C:\Users\andre\Desktop\REACTIV CEFAS\Saccharin\Saccharin/20201217_Cefas_Test10_Run1/Plate 1/@1/D10_03.tif "/>
    <s v=" 10901.4669 "/>
    <s v=" 39.9901 "/>
    <x v="0"/>
    <n v="435951"/>
    <m/>
    <m/>
  </r>
  <r>
    <x v="1"/>
    <x v="4"/>
    <s v="C:\Users\andre\Desktop\REACTIV CEFAS\Saccharin\Saccharin/20201217_Cefas_Test10_Run1/Plate 1/@1/D10_04.tif "/>
    <s v=" 6835.0467 "/>
    <s v=" 38.5854 "/>
    <x v="0"/>
    <n v="263733"/>
    <m/>
    <m/>
  </r>
  <r>
    <x v="1"/>
    <x v="5"/>
    <s v="C:\Users\andre\Desktop\REACTIV CEFAS\Saccharin\Saccharin/20201217_Cefas_Test10_Run1/Plate 1/@1/E10_01.tif "/>
    <s v=" 6294.2993 "/>
    <s v=" 43.4192 "/>
    <x v="0"/>
    <n v="273294"/>
    <m/>
    <m/>
  </r>
  <r>
    <x v="1"/>
    <x v="5"/>
    <s v="C:\Users\andre\Desktop\REACTIV CEFAS\Saccharin\Saccharin/20201217_Cefas_Test10_Run1/Plate 1/@1/E10_02.tif "/>
    <s v=" 6575.488 "/>
    <s v=" 45.7599 "/>
    <x v="0"/>
    <n v="300893"/>
    <m/>
    <m/>
  </r>
  <r>
    <x v="1"/>
    <x v="5"/>
    <s v="C:\Users\andre\Desktop\REACTIV CEFAS\Saccharin\Saccharin/20201217_Cefas_Test10_Run1/Plate 1/@1/E10_03.tif "/>
    <s v=" 5450.7334 "/>
    <s v=" 39.4246 "/>
    <x v="0"/>
    <n v="214893"/>
    <m/>
    <m/>
  </r>
  <r>
    <x v="1"/>
    <x v="5"/>
    <s v="C:\Users\andre\Desktop\REACTIV CEFAS\Saccharin\Saccharin/20201217_Cefas_Test10_Run1/Plate 1/@1/E10_04.tif "/>
    <s v=" 6337.5591 "/>
    <s v=" 42.3379 "/>
    <x v="0"/>
    <n v="268319"/>
    <m/>
    <m/>
  </r>
  <r>
    <x v="1"/>
    <x v="6"/>
    <s v="C:\Users\andre\Desktop\REACTIV CEFAS\Saccharin\Saccharin/20201217_Cefas_Test10_Run1/Plate 1/@1/F10_01.tif "/>
    <s v=" 6359.189 "/>
    <s v=" 38.2789 "/>
    <x v="0"/>
    <n v="243423"/>
    <m/>
    <m/>
  </r>
  <r>
    <x v="1"/>
    <x v="6"/>
    <s v="C:\Users\andre\Desktop\REACTIV CEFAS\Saccharin\Saccharin/20201217_Cefas_Test10_Run1/Plate 1/@1/F10_02.tif "/>
    <s v=" 9646.933 "/>
    <s v=" 44.0022 "/>
    <x v="0"/>
    <n v="424487"/>
    <m/>
    <m/>
  </r>
  <r>
    <x v="1"/>
    <x v="6"/>
    <s v="C:\Users\andre\Desktop\REACTIV CEFAS\Saccharin\Saccharin/20201217_Cefas_Test10_Run1/Plate 1/@1/F10_03.tif "/>
    <s v=" 8803.3671 "/>
    <s v=" 41.0885 "/>
    <x v="0"/>
    <n v="361717"/>
    <m/>
    <m/>
  </r>
  <r>
    <x v="1"/>
    <x v="6"/>
    <s v="C:\Users\andre\Desktop\REACTIV CEFAS\Saccharin\Saccharin/20201217_Cefas_Test10_Run1/Plate 1/@1/F10_04.tif "/>
    <s v=" 6380.8189 "/>
    <s v=" 37.7763 "/>
    <x v="0"/>
    <n v="241044"/>
    <m/>
    <m/>
  </r>
  <r>
    <x v="1"/>
    <x v="7"/>
    <s v="C:\Users\andre\Desktop\REACTIV CEFAS\Saccharin\Saccharin/20201217_Cefas_Test10_Run1/Plate 1/@1/G10_01.tif "/>
    <s v=" 8284.2496 "/>
    <s v=" 39.9765 "/>
    <x v="0"/>
    <n v="331175"/>
    <m/>
    <m/>
  </r>
  <r>
    <x v="1"/>
    <x v="7"/>
    <s v="C:\Users\andre\Desktop\REACTIV CEFAS\Saccharin\Saccharin/20201217_Cefas_Test10_Run1/Plate 1/@1/G10_02.tif "/>
    <s v=" 5904.9612 "/>
    <s v=" 37.5788 "/>
    <x v="0"/>
    <n v="221901"/>
    <m/>
    <m/>
  </r>
  <r>
    <x v="1"/>
    <x v="7"/>
    <s v="C:\Users\andre\Desktop\REACTIV CEFAS\Saccharin\Saccharin/20201217_Cefas_Test10_Run1/Plate 1/@1/G10_03.tif "/>
    <s v=" 4412.4985 "/>
    <s v=" 37.8284 "/>
    <x v="0"/>
    <n v="166918"/>
    <m/>
    <m/>
  </r>
  <r>
    <x v="1"/>
    <x v="7"/>
    <s v="C:\Users\andre\Desktop\REACTIV CEFAS\Saccharin\Saccharin/20201217_Cefas_Test10_Run1/Plate 1/@1/G10_04.tif "/>
    <s v=" 11334.0648 "/>
    <s v=" 41.7004 "/>
    <x v="0"/>
    <n v="472635"/>
    <m/>
    <m/>
  </r>
  <r>
    <x v="1"/>
    <x v="8"/>
    <s v="C:\Users\andre\Desktop\REACTIV CEFAS\Saccharin\Saccharin/20201217_Cefas_Test10_Run1/Plate 1/@1/H10_01.tif "/>
    <s v=" 6078.0004 "/>
    <s v=" 36.2598 "/>
    <x v="0"/>
    <n v="220387"/>
    <m/>
    <m/>
  </r>
  <r>
    <x v="1"/>
    <x v="8"/>
    <s v="C:\Users\andre\Desktop\REACTIV CEFAS\Saccharin\Saccharin/20201217_Cefas_Test10_Run1/Plate 1/@1/H10_02.tif "/>
    <s v=" 173.0392 "/>
    <s v=" 30.375 "/>
    <x v="0"/>
    <n v="5256"/>
    <m/>
    <m/>
  </r>
  <r>
    <x v="1"/>
    <x v="8"/>
    <s v="C:\Users\andre\Desktop\REACTIV CEFAS\Saccharin\Saccharin/20201217_Cefas_Test10_Run1/Plate 1/@1/H10_03.tif "/>
    <s v=" 5515.6231 "/>
    <s v=" 40.1843 "/>
    <x v="0"/>
    <n v="221642"/>
    <m/>
    <m/>
  </r>
  <r>
    <x v="1"/>
    <x v="8"/>
    <s v="C:\Users\andre\Desktop\REACTIV CEFAS\Saccharin\Saccharin/20201217_Cefas_Test10_Run1/Plate 1/@1/H10_04.tif "/>
    <s v=" 7419.0539 "/>
    <s v=" 39.1603 "/>
    <x v="0"/>
    <n v="290533"/>
    <m/>
    <m/>
  </r>
  <r>
    <x v="0"/>
    <x v="0"/>
    <s v=" "/>
    <m/>
    <m/>
    <x v="1"/>
    <m/>
    <m/>
    <m/>
  </r>
  <r>
    <x v="0"/>
    <x v="0"/>
    <s v="group "/>
    <s v=" "/>
    <s v=" mean of mean fluo "/>
    <x v="2"/>
    <s v=" mean of total fluo "/>
    <s v=" SD total fluo "/>
    <m/>
  </r>
  <r>
    <x v="1"/>
    <x v="9"/>
    <s v="C:\Users\andre\Desktop\REACTIV CEFAS\Saccharin\Saccharin/20201217_Cefas_Test10_Run1/Plate 1/@1/ "/>
    <s v=" "/>
    <s v=" 36.8441 "/>
    <x v="3"/>
    <s v=" 233202.75 "/>
    <s v=" 137729.76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Saccharin\Saccharin/20201217_Cefas_Test10_Run1/Plate 1/@13/A8_01.tif "/>
    <s v=" 7830.0219 "/>
    <s v=" 41.1685 "/>
    <x v="0"/>
    <n v="322350"/>
    <m/>
    <m/>
  </r>
  <r>
    <x v="2"/>
    <x v="1"/>
    <s v="C:\Users\andre\Desktop\REACTIV CEFAS\Saccharin\Saccharin/20201217_Cefas_Test10_Run1/Plate 1/@13/A8_02.tif "/>
    <s v=" 2725.3667 "/>
    <s v=" 33.6587 "/>
    <x v="0"/>
    <n v="91732"/>
    <m/>
    <m/>
  </r>
  <r>
    <x v="2"/>
    <x v="1"/>
    <s v="C:\Users\andre\Desktop\REACTIV CEFAS\Saccharin\Saccharin/20201217_Cefas_Test10_Run1/Plate 1/@13/A8_03.tif "/>
    <s v=" 7613.7229 "/>
    <s v=" 40.0199 "/>
    <x v="0"/>
    <n v="304700"/>
    <m/>
    <m/>
  </r>
  <r>
    <x v="2"/>
    <x v="1"/>
    <s v="C:\Users\andre\Desktop\REACTIV CEFAS\Saccharin\Saccharin/20201217_Cefas_Test10_Run1/Plate 1/@13/A8_04.tif "/>
    <s v=" 5039.7654 "/>
    <s v=" 35.4292 "/>
    <x v="0"/>
    <n v="178555"/>
    <m/>
    <m/>
  </r>
  <r>
    <x v="2"/>
    <x v="2"/>
    <s v="C:\Users\andre\Desktop\REACTIV CEFAS\Saccharin\Saccharin/20201217_Cefas_Test10_Run1/Plate 1/@13/B8_01.tif "/>
    <s v=" 42913.7109 "/>
    <s v=" 37.5146 "/>
    <x v="0"/>
    <n v="1609891"/>
    <m/>
    <m/>
  </r>
  <r>
    <x v="2"/>
    <x v="2"/>
    <s v="C:\Users\andre\Desktop\REACTIV CEFAS\Saccharin\Saccharin/20201217_Cefas_Test10_Run1/Plate 1/@13/B8_02.tif "/>
    <s v=" 59785.0288 "/>
    <s v=" 40.9801 "/>
    <x v="0"/>
    <n v="2449997"/>
    <m/>
    <m/>
  </r>
  <r>
    <x v="2"/>
    <x v="2"/>
    <s v="C:\Users\andre\Desktop\REACTIV CEFAS\Saccharin\Saccharin/20201217_Cefas_Test10_Run1/Plate 1/@13/B8_03.tif "/>
    <s v=" 56951.5126 "/>
    <s v=" 38.8982 "/>
    <x v="0"/>
    <n v="2215312"/>
    <m/>
    <m/>
  </r>
  <r>
    <x v="2"/>
    <x v="2"/>
    <s v="C:\Users\andre\Desktop\REACTIV CEFAS\Saccharin\Saccharin/20201217_Cefas_Test10_Run1/Plate 1/@13/B8_04.tif "/>
    <s v=" 77716.2114 "/>
    <s v=" 41.9385 "/>
    <x v="0"/>
    <n v="3259301"/>
    <m/>
    <m/>
  </r>
  <r>
    <x v="2"/>
    <x v="3"/>
    <s v="C:\Users\andre\Desktop\REACTIV CEFAS\Saccharin\Saccharin/20201217_Cefas_Test10_Run1/Plate 1/@13/C8_01.tif "/>
    <s v=" 45098.3303 "/>
    <s v=" 39.1856 "/>
    <x v="0"/>
    <n v="1767206"/>
    <m/>
    <m/>
  </r>
  <r>
    <x v="2"/>
    <x v="3"/>
    <s v="C:\Users\andre\Desktop\REACTIV CEFAS\Saccharin\Saccharin/20201217_Cefas_Test10_Run1/Plate 1/@13/C8_02.tif "/>
    <s v=" 47109.9105 "/>
    <s v=" 38.1253 "/>
    <x v="0"/>
    <n v="1796082"/>
    <m/>
    <m/>
  </r>
  <r>
    <x v="2"/>
    <x v="3"/>
    <s v="C:\Users\andre\Desktop\REACTIV CEFAS\Saccharin\Saccharin/20201217_Cefas_Test10_Run1/Plate 1/@13/C8_03.tif "/>
    <s v=" 47953.4764 "/>
    <s v=" 37.4899 "/>
    <x v="0"/>
    <n v="1797769"/>
    <m/>
    <m/>
  </r>
  <r>
    <x v="2"/>
    <x v="3"/>
    <s v="C:\Users\andre\Desktop\REACTIV CEFAS\Saccharin\Saccharin/20201217_Cefas_Test10_Run1/Plate 1/@13/C8_04.tif "/>
    <s v=" 47672.2878 "/>
    <s v=" 38.9088 "/>
    <x v="0"/>
    <n v="1854872"/>
    <m/>
    <m/>
  </r>
  <r>
    <x v="2"/>
    <x v="4"/>
    <s v="C:\Users\andre\Desktop\REACTIV CEFAS\Saccharin\Saccharin/20201217_Cefas_Test10_Run1/Plate 1/@13/D8_01.tif "/>
    <s v=" 54723.6334 "/>
    <s v=" 45.0051 "/>
    <x v="0"/>
    <n v="2462845"/>
    <m/>
    <m/>
  </r>
  <r>
    <x v="2"/>
    <x v="4"/>
    <s v="C:\Users\andre\Desktop\REACTIV CEFAS\Saccharin\Saccharin/20201217_Cefas_Test10_Run1/Plate 1/@13/D8_02- exclu.tif"/>
    <m/>
    <m/>
    <x v="1"/>
    <m/>
    <m/>
    <m/>
  </r>
  <r>
    <x v="2"/>
    <x v="4"/>
    <s v="C:\Users\andre\Desktop\REACTIV CEFAS\Saccharin\Saccharin/20201217_Cefas_Test10_Run1/Plate 1/@13/D8_03.tif "/>
    <s v=" 54399.185 "/>
    <s v=" 45.8537 "/>
    <x v="0"/>
    <n v="2494403"/>
    <m/>
    <m/>
  </r>
  <r>
    <x v="2"/>
    <x v="4"/>
    <s v="C:\Users\andre\Desktop\REACTIV CEFAS\Saccharin\Saccharin/20201217_Cefas_Test10_Run1/Plate 1/@13/D8_04.tif "/>
    <s v=" 51176.3307 "/>
    <s v=" 46.9484 "/>
    <x v="0"/>
    <n v="2402649"/>
    <m/>
    <m/>
  </r>
  <r>
    <x v="2"/>
    <x v="5"/>
    <s v="C:\Users\andre\Desktop\REACTIV CEFAS\Saccharin\Saccharin/20201217_Cefas_Test10_Run1/Plate 1/@13/E8_01.tif "/>
    <s v=" 18601.7094 "/>
    <s v=" 35.343 "/>
    <x v="0"/>
    <n v="657441"/>
    <m/>
    <m/>
  </r>
  <r>
    <x v="2"/>
    <x v="5"/>
    <s v="C:\Users\andre\Desktop\REACTIV CEFAS\Saccharin\Saccharin/20201217_Cefas_Test10_Run1/Plate 1/@13/E8_02- exclu.tif"/>
    <m/>
    <m/>
    <x v="1"/>
    <m/>
    <m/>
    <m/>
  </r>
  <r>
    <x v="2"/>
    <x v="5"/>
    <s v="C:\Users\andre\Desktop\REACTIV CEFAS\Saccharin\Saccharin/20201217_Cefas_Test10_Run1/Plate 1/@13/E8_03.tif "/>
    <s v=" 23490.0656 "/>
    <s v=" 36.0617 "/>
    <x v="0"/>
    <n v="847092"/>
    <m/>
    <m/>
  </r>
  <r>
    <x v="2"/>
    <x v="5"/>
    <s v="C:\Users\andre\Desktop\REACTIV CEFAS\Saccharin\Saccharin/20201217_Cefas_Test10_Run1/Plate 1/@13/E8_04.tif "/>
    <s v=" 11571.9936 "/>
    <s v=" 35.3196 "/>
    <x v="0"/>
    <n v="408718"/>
    <m/>
    <m/>
  </r>
  <r>
    <x v="2"/>
    <x v="6"/>
    <s v="C:\Users\andre\Desktop\REACTIV CEFAS\Saccharin\Saccharin/20201217_Cefas_Test10_Run1/Plate 1/@13/F8_01- exclu.tif"/>
    <m/>
    <m/>
    <x v="1"/>
    <m/>
    <m/>
    <m/>
  </r>
  <r>
    <x v="2"/>
    <x v="6"/>
    <s v="C:\Users\andre\Desktop\REACTIV CEFAS\Saccharin\Saccharin/20201217_Cefas_Test10_Run1/Plate 1/@13/F8_02.tif "/>
    <s v=" 74320.3179 "/>
    <s v=" 42.2884 "/>
    <x v="0"/>
    <n v="3142889"/>
    <m/>
    <m/>
  </r>
  <r>
    <x v="2"/>
    <x v="6"/>
    <s v="C:\Users\andre\Desktop\REACTIV CEFAS\Saccharin\Saccharin/20201217_Cefas_Test10_Run1/Plate 1/@13/F8_03.tif "/>
    <s v=" 80333.4287 "/>
    <s v=" 44.6117 "/>
    <x v="0"/>
    <n v="3583814"/>
    <m/>
    <m/>
  </r>
  <r>
    <x v="2"/>
    <x v="6"/>
    <s v="C:\Users\andre\Desktop\REACTIV CEFAS\Saccharin\Saccharin/20201217_Cefas_Test10_Run1/Plate 1/@13/F8_04.tif "/>
    <s v=" 78365.1082 "/>
    <s v=" 43.4041 "/>
    <x v="0"/>
    <n v="3401366"/>
    <m/>
    <m/>
  </r>
  <r>
    <x v="2"/>
    <x v="7"/>
    <s v="C:\Users\andre\Desktop\REACTIV CEFAS\Saccharin\Saccharin/20201217_Cefas_Test10_Run1/Plate 1/@13/G8_01.tif "/>
    <s v=" 61450.5306 "/>
    <s v=" 39.6586 "/>
    <x v="0"/>
    <n v="2437040"/>
    <m/>
    <m/>
  </r>
  <r>
    <x v="2"/>
    <x v="7"/>
    <s v="C:\Users\andre\Desktop\REACTIV CEFAS\Saccharin\Saccharin/20201217_Cefas_Test10_Run1/Plate 1/@13/G8_02.tif "/>
    <s v=" 58487.2351 "/>
    <s v=" 39.0074 "/>
    <x v="0"/>
    <n v="2281435"/>
    <m/>
    <m/>
  </r>
  <r>
    <x v="2"/>
    <x v="7"/>
    <s v="C:\Users\andre\Desktop\REACTIV CEFAS\Saccharin\Saccharin/20201217_Cefas_Test10_Run1/Plate 1/@13/G8_03.tif "/>
    <s v=" 64089.3778 "/>
    <s v=" 38.9423 "/>
    <x v="0"/>
    <n v="2495787"/>
    <m/>
    <m/>
  </r>
  <r>
    <x v="2"/>
    <x v="7"/>
    <s v="C:\Users\andre\Desktop\REACTIV CEFAS\Saccharin\Saccharin/20201217_Cefas_Test10_Run1/Plate 1/@13/G8_04.tif "/>
    <s v=" 45530.9282 "/>
    <s v=" 36.439 "/>
    <x v="0"/>
    <n v="1659099"/>
    <m/>
    <m/>
  </r>
  <r>
    <x v="2"/>
    <x v="8"/>
    <s v="C:\Users\andre\Desktop\REACTIV CEFAS\Saccharin\Saccharin/20201217_Cefas_Test10_Run1/Plate 1/@13/H8_01.tif "/>
    <s v=" 76915.9053 "/>
    <s v=" 47.7663 "/>
    <x v="0"/>
    <n v="3673989"/>
    <m/>
    <m/>
  </r>
  <r>
    <x v="2"/>
    <x v="8"/>
    <s v="C:\Users\andre\Desktop\REACTIV CEFAS\Saccharin\Saccharin/20201217_Cefas_Test10_Run1/Plate 1/@13/H8_02- exclu.tif"/>
    <m/>
    <m/>
    <x v="1"/>
    <m/>
    <m/>
    <m/>
  </r>
  <r>
    <x v="2"/>
    <x v="8"/>
    <s v="C:\Users\andre\Desktop\REACTIV CEFAS\Saccharin\Saccharin/20201217_Cefas_Test10_Run1/Plate 1/@13/H8_03- exclu.tif"/>
    <m/>
    <m/>
    <x v="1"/>
    <m/>
    <m/>
    <m/>
  </r>
  <r>
    <x v="2"/>
    <x v="8"/>
    <s v="C:\Users\andre\Desktop\REACTIV CEFAS\Saccharin\Saccharin/20201217_Cefas_Test10_Run1/Plate 1/@13/H8_04.tif "/>
    <s v=" 92338.0202 "/>
    <s v=" 44.0412 "/>
    <x v="0"/>
    <n v="4066680"/>
    <m/>
    <m/>
  </r>
  <r>
    <x v="0"/>
    <x v="0"/>
    <s v=" "/>
    <m/>
    <m/>
    <x v="1"/>
    <m/>
    <m/>
    <m/>
  </r>
  <r>
    <x v="0"/>
    <x v="0"/>
    <s v="group "/>
    <s v=" "/>
    <s v=" mean of mean fluo "/>
    <x v="2"/>
    <s v=" mean of total fluo "/>
    <s v=" SD total fluo "/>
    <m/>
  </r>
  <r>
    <x v="2"/>
    <x v="9"/>
    <s v="C:\Users\andre\Desktop\REACTIV CEFAS\Saccharin\Saccharin/20201217_Cefas_Test10_Run1/Plate 1/@13/ "/>
    <s v=" "/>
    <s v=" 40.4529 "/>
    <x v="4"/>
    <s v=" 2082927.84 "/>
    <s v=" 1204866.54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Saccharin\Saccharin/20201217_Cefas_Test10_Run1/Plate 1/@14/A9_01.tif "/>
    <s v=" 22473.4605 "/>
    <s v=" 35.6959 "/>
    <x v="0"/>
    <n v="802210"/>
    <m/>
    <m/>
  </r>
  <r>
    <x v="3"/>
    <x v="1"/>
    <s v="C:\Users\andre\Desktop\REACTIV CEFAS\Saccharin\Saccharin/20201217_Cefas_Test10_Run1/Plate 1/@14/A9_02.tif "/>
    <s v=" 18709.8589 "/>
    <s v=" 33.6335 "/>
    <x v="0"/>
    <n v="629279"/>
    <m/>
    <m/>
  </r>
  <r>
    <x v="3"/>
    <x v="1"/>
    <s v="C:\Users\andre\Desktop\REACTIV CEFAS\Saccharin\Saccharin/20201217_Cefas_Test10_Run1/Plate 1/@14/A9_03.tif "/>
    <s v=" 17758.1435 "/>
    <s v=" 34.4056 "/>
    <x v="0"/>
    <n v="610980"/>
    <m/>
    <m/>
  </r>
  <r>
    <x v="3"/>
    <x v="1"/>
    <s v="C:\Users\andre\Desktop\REACTIV CEFAS\Saccharin\Saccharin/20201217_Cefas_Test10_Run1/Plate 1/@14/A9_04.tif "/>
    <s v=" 21565.0049 "/>
    <s v=" 34.5356 "/>
    <x v="0"/>
    <n v="744761"/>
    <m/>
    <m/>
  </r>
  <r>
    <x v="3"/>
    <x v="2"/>
    <s v="C:\Users\andre\Desktop\REACTIV CEFAS\Saccharin\Saccharin/20201217_Cefas_Test10_Run1/Plate 1/@14/B9_01.tif "/>
    <s v=" 6467.3385 "/>
    <s v=" 37.2241 "/>
    <x v="0"/>
    <n v="240741"/>
    <m/>
    <m/>
  </r>
  <r>
    <x v="3"/>
    <x v="2"/>
    <s v="C:\Users\andre\Desktop\REACTIV CEFAS\Saccharin\Saccharin/20201217_Cefas_Test10_Run1/Plate 1/@14/B9_02.tif "/>
    <s v=" 5667.0324 "/>
    <s v=" 38.2786 "/>
    <x v="0"/>
    <n v="216926"/>
    <m/>
    <m/>
  </r>
  <r>
    <x v="3"/>
    <x v="2"/>
    <s v="C:\Users\andre\Desktop\REACTIV CEFAS\Saccharin\Saccharin/20201217_Cefas_Test10_Run1/Plate 1/@14/B9_03.tif "/>
    <s v=" 7894.9115 "/>
    <s v=" 35.3726 "/>
    <x v="0"/>
    <n v="279264"/>
    <m/>
    <m/>
  </r>
  <r>
    <x v="3"/>
    <x v="2"/>
    <s v="C:\Users\andre\Desktop\REACTIV CEFAS\Saccharin\Saccharin/20201217_Cefas_Test10_Run1/Plate 1/@14/B9_04.tif "/>
    <s v=" 24182.2222 "/>
    <s v=" 34.5385 "/>
    <x v="0"/>
    <n v="835217"/>
    <m/>
    <m/>
  </r>
  <r>
    <x v="3"/>
    <x v="3"/>
    <s v="C:\Users\andre\Desktop\REACTIV CEFAS\Saccharin\Saccharin/20201217_Cefas_Test10_Run1/Plate 1/@14/C9_01.tif "/>
    <s v=" 62229.2068 "/>
    <s v=" 39.4692 "/>
    <x v="0"/>
    <n v="2456139"/>
    <m/>
    <m/>
  </r>
  <r>
    <x v="3"/>
    <x v="3"/>
    <s v="C:\Users\andre\Desktop\REACTIV CEFAS\Saccharin\Saccharin/20201217_Cefas_Test10_Run1/Plate 1/@14/C9_02.tif "/>
    <s v=" 54593.854 "/>
    <s v=" 38.3494 "/>
    <x v="0"/>
    <n v="2093644"/>
    <m/>
    <m/>
  </r>
  <r>
    <x v="3"/>
    <x v="3"/>
    <s v="C:\Users\andre\Desktop\REACTIV CEFAS\Saccharin\Saccharin/20201217_Cefas_Test10_Run1/Plate 1/@14/C9_03.tif "/>
    <s v=" 67182.4527 "/>
    <s v=" 40.925 "/>
    <x v="0"/>
    <n v="2749441"/>
    <m/>
    <m/>
  </r>
  <r>
    <x v="3"/>
    <x v="3"/>
    <s v="C:\Users\andre\Desktop\REACTIV CEFAS\Saccharin\Saccharin/20201217_Cefas_Test10_Run1/Plate 1/@14/C9_04- exclu.tif"/>
    <m/>
    <m/>
    <x v="1"/>
    <m/>
    <m/>
    <m/>
  </r>
  <r>
    <x v="3"/>
    <x v="4"/>
    <s v="C:\Users\andre\Desktop\REACTIV CEFAS\Saccharin\Saccharin/20201217_Cefas_Test10_Run1/Plate 1/@14/D9_01.tif "/>
    <s v=" 39928.7855 "/>
    <s v=" 36.0271 "/>
    <x v="0"/>
    <n v="1438518"/>
    <m/>
    <m/>
  </r>
  <r>
    <x v="3"/>
    <x v="4"/>
    <s v="C:\Users\andre\Desktop\REACTIV CEFAS\Saccharin\Saccharin/20201217_Cefas_Test10_Run1/Plate 1/@14/D9_02- exclu.tif"/>
    <m/>
    <m/>
    <x v="1"/>
    <m/>
    <m/>
    <m/>
  </r>
  <r>
    <x v="3"/>
    <x v="4"/>
    <s v="C:\Users\andre\Desktop\REACTIV CEFAS\Saccharin\Saccharin/20201217_Cefas_Test10_Run1/Plate 1/@14/D9_03.tif "/>
    <s v=" 28767.7599 "/>
    <s v=" 34.6647 "/>
    <x v="0"/>
    <n v="997225"/>
    <m/>
    <m/>
  </r>
  <r>
    <x v="3"/>
    <x v="4"/>
    <s v="C:\Users\andre\Desktop\REACTIV CEFAS\Saccharin\Saccharin/20201217_Cefas_Test10_Run1/Plate 1/@14/D9_04.tif "/>
    <s v=" 26150.5426 "/>
    <s v=" 33.9024 "/>
    <x v="0"/>
    <n v="886566"/>
    <m/>
    <m/>
  </r>
  <r>
    <x v="3"/>
    <x v="5"/>
    <s v="C:\Users\andre\Desktop\REACTIV CEFAS\Saccharin\Saccharin/20201217_Cefas_Test10_Run1/Plate 1/@14/E9_01.tif "/>
    <s v=" 53620.5088 "/>
    <s v=" 39.5934 "/>
    <x v="0"/>
    <n v="2123017"/>
    <m/>
    <m/>
  </r>
  <r>
    <x v="3"/>
    <x v="5"/>
    <s v="C:\Users\andre\Desktop\REACTIV CEFAS\Saccharin\Saccharin/20201217_Cefas_Test10_Run1/Plate 1/@14/E9_02.tif "/>
    <s v=" 53014.8717 "/>
    <s v=" 40.4264 "/>
    <x v="0"/>
    <n v="2143198"/>
    <m/>
    <m/>
  </r>
  <r>
    <x v="3"/>
    <x v="5"/>
    <s v="C:\Users\andre\Desktop\REACTIV CEFAS\Saccharin\Saccharin/20201217_Cefas_Test10_Run1/Plate 1/@14/E9_03.tif "/>
    <s v=" 50484.1741 "/>
    <s v=" 38.91 "/>
    <x v="0"/>
    <n v="1964341"/>
    <m/>
    <m/>
  </r>
  <r>
    <x v="3"/>
    <x v="5"/>
    <s v="C:\Users\andre\Desktop\REACTIV CEFAS\Saccharin\Saccharin/20201217_Cefas_Test10_Run1/Plate 1/@14/E9_04.tif "/>
    <s v=" 52820.2027 "/>
    <s v=" 39.959 "/>
    <x v="0"/>
    <n v="2110645"/>
    <m/>
    <m/>
  </r>
  <r>
    <x v="3"/>
    <x v="6"/>
    <s v="C:\Users\andre\Desktop\REACTIV CEFAS\Saccharin\Saccharin/20201217_Cefas_Test10_Run1/Plate 1/@14/F9_01.tif "/>
    <s v=" 48970.0814 "/>
    <s v=" 36.8313 "/>
    <x v="0"/>
    <n v="1803630"/>
    <m/>
    <m/>
  </r>
  <r>
    <x v="3"/>
    <x v="6"/>
    <s v="C:\Users\andre\Desktop\REACTIV CEFAS\Saccharin\Saccharin/20201217_Cefas_Test10_Run1/Plate 1/@14/F9_02.tif "/>
    <s v=" 51327.74 "/>
    <s v=" 37.5727 "/>
    <x v="0"/>
    <n v="1928521"/>
    <m/>
    <m/>
  </r>
  <r>
    <x v="3"/>
    <x v="6"/>
    <s v="C:\Users\andre\Desktop\REACTIV CEFAS\Saccharin\Saccharin/20201217_Cefas_Test10_Run1/Plate 1/@14/F9_03.tif "/>
    <s v=" 53901.6974 "/>
    <s v=" 39.3006 "/>
    <x v="0"/>
    <n v="2118367"/>
    <m/>
    <m/>
  </r>
  <r>
    <x v="3"/>
    <x v="6"/>
    <s v="C:\Users\andre\Desktop\REACTIV CEFAS\Saccharin\Saccharin/20201217_Cefas_Test10_Run1/Plate 1/@14/F9_04.tif "/>
    <s v=" 59179.3917 "/>
    <s v=" 39.7971 "/>
    <x v="0"/>
    <n v="2355171"/>
    <m/>
    <m/>
  </r>
  <r>
    <x v="3"/>
    <x v="7"/>
    <s v="C:\Users\andre\Desktop\REACTIV CEFAS\Saccharin\Saccharin/20201217_Cefas_Test10_Run1/Plate 1/@14/G9_01.tif "/>
    <s v=" 62077.7976 "/>
    <s v=" 39.5491 "/>
    <x v="0"/>
    <n v="2455123"/>
    <m/>
    <m/>
  </r>
  <r>
    <x v="3"/>
    <x v="7"/>
    <s v="C:\Users\andre\Desktop\REACTIV CEFAS\Saccharin\Saccharin/20201217_Cefas_Test10_Run1/Plate 1/@14/G9_02.tif "/>
    <s v=" 63159.2923 "/>
    <s v=" 39.5216 "/>
    <x v="0"/>
    <n v="2496155"/>
    <m/>
    <m/>
  </r>
  <r>
    <x v="3"/>
    <x v="7"/>
    <s v="C:\Users\andre\Desktop\REACTIV CEFAS\Saccharin\Saccharin/20201217_Cefas_Test10_Run1/Plate 1/@14/G9_03.tif "/>
    <s v=" 61645.1997 "/>
    <s v=" 40.4291 "/>
    <x v="0"/>
    <n v="2492261"/>
    <m/>
    <m/>
  </r>
  <r>
    <x v="3"/>
    <x v="7"/>
    <s v="C:\Users\andre\Desktop\REACTIV CEFAS\Saccharin\Saccharin/20201217_Cefas_Test10_Run1/Plate 1/@14/G9_04.tif "/>
    <s v=" 69215.6628 "/>
    <s v=" 39.4338 "/>
    <x v="0"/>
    <n v="2729433"/>
    <m/>
    <m/>
  </r>
  <r>
    <x v="3"/>
    <x v="8"/>
    <s v="C:\Users\andre\Desktop\REACTIV CEFAS\Saccharin\Saccharin/20201217_Cefas_Test10_Run1/Plate 1/@14/H9_01.tif "/>
    <s v=" 54139.6263 "/>
    <s v=" 40.0967 "/>
    <x v="0"/>
    <n v="2170819"/>
    <m/>
    <m/>
  </r>
  <r>
    <x v="3"/>
    <x v="8"/>
    <s v="C:\Users\andre\Desktop\REACTIV CEFAS\Saccharin\Saccharin/20201217_Cefas_Test10_Run1/Plate 1/@14/H9_02.tif "/>
    <s v=" 57189.4414 "/>
    <s v=" 40.2761 "/>
    <x v="0"/>
    <n v="2303367"/>
    <m/>
    <m/>
  </r>
  <r>
    <x v="3"/>
    <x v="8"/>
    <s v="C:\Users\andre\Desktop\REACTIV CEFAS\Saccharin\Saccharin/20201217_Cefas_Test10_Run1/Plate 1/@14/H9_03.tif "/>
    <s v=" 58811.6835 "/>
    <s v=" 41.2711 "/>
    <x v="0"/>
    <n v="2427220"/>
    <m/>
    <m/>
  </r>
  <r>
    <x v="3"/>
    <x v="8"/>
    <s v="C:\Users\andre\Desktop\REACTIV CEFAS\Saccharin\Saccharin/20201217_Cefas_Test10_Run1/Plate 1/@14/H9_04.tif "/>
    <s v=" 55242.7509 "/>
    <s v=" 40.0121 "/>
    <x v="0"/>
    <n v="2210381"/>
    <m/>
    <m/>
  </r>
  <r>
    <x v="0"/>
    <x v="0"/>
    <s v=" "/>
    <m/>
    <m/>
    <x v="1"/>
    <m/>
    <m/>
    <m/>
  </r>
  <r>
    <x v="0"/>
    <x v="0"/>
    <s v="group "/>
    <s v=" "/>
    <s v=" mean of mean fluo "/>
    <x v="2"/>
    <s v=" mean of total fluo "/>
    <s v=" SD total fluo "/>
    <m/>
  </r>
  <r>
    <x v="3"/>
    <x v="9"/>
    <s v="C:\Users\andre\Desktop\REACTIV CEFAS\Saccharin\Saccharin/20201217_Cefas_Test10_Run1/Plate 1/@14/ "/>
    <s v=" "/>
    <s v=" 38.015 "/>
    <x v="5"/>
    <s v=" 1675605.78 "/>
    <s v=" 808265.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Saccharin\Saccharin/20201217_Cefas_Test10_Run1/Plate 1/@15/A11_01.tif "/>
    <s v=" 45206.4798 "/>
    <s v=" 49.2211 "/>
    <x v="0"/>
    <n v="2225111"/>
    <m/>
    <m/>
  </r>
  <r>
    <x v="4"/>
    <x v="1"/>
    <s v="C:\Users\andre\Desktop\REACTIV CEFAS\Saccharin\Saccharin/20201217_Cefas_Test10_Run1/Plate 1/@15/A11_02.tif "/>
    <s v=" 48797.0423 "/>
    <s v=" 46.6418 "/>
    <x v="0"/>
    <n v="2275984"/>
    <m/>
    <m/>
  </r>
  <r>
    <x v="4"/>
    <x v="1"/>
    <s v="C:\Users\andre\Desktop\REACTIV CEFAS\Saccharin\Saccharin/20201217_Cefas_Test10_Run1/Plate 1/@15/A11_03.tif "/>
    <s v=" 43389.5686 "/>
    <s v=" 44.7168 "/>
    <x v="0"/>
    <n v="1940245"/>
    <m/>
    <m/>
  </r>
  <r>
    <x v="4"/>
    <x v="1"/>
    <s v="C:\Users\andre\Desktop\REACTIV CEFAS\Saccharin\Saccharin/20201217_Cefas_Test10_Run1/Plate 1/@15/A11_04- exclu.tif"/>
    <m/>
    <m/>
    <x v="1"/>
    <m/>
    <m/>
    <m/>
  </r>
  <r>
    <x v="4"/>
    <x v="2"/>
    <s v="C:\Users\andre\Desktop\REACTIV CEFAS\Saccharin\Saccharin/20201217_Cefas_Test10_Run1/Plate 1/@15/B11_01.tif "/>
    <s v=" 70708.1255 "/>
    <s v=" 49.3197 "/>
    <x v="0"/>
    <n v="3487301"/>
    <m/>
    <m/>
  </r>
  <r>
    <x v="4"/>
    <x v="2"/>
    <s v="C:\Users\andre\Desktop\REACTIV CEFAS\Saccharin\Saccharin/20201217_Cefas_Test10_Run1/Plate 1/@15/B11_02.tif "/>
    <s v=" 69453.5917 "/>
    <s v=" 46.3282 "/>
    <x v="0"/>
    <n v="3217663"/>
    <m/>
    <m/>
  </r>
  <r>
    <x v="4"/>
    <x v="2"/>
    <s v="C:\Users\andre\Desktop\REACTIV CEFAS\Saccharin\Saccharin/20201217_Cefas_Test10_Run1/Plate 1/@15/B11_03.tif "/>
    <s v=" 70297.1575 "/>
    <s v=" 48.4434 "/>
    <x v="0"/>
    <n v="3405432"/>
    <m/>
    <m/>
  </r>
  <r>
    <x v="4"/>
    <x v="2"/>
    <s v="C:\Users\andre\Desktop\REACTIV CEFAS\Saccharin\Saccharin/20201217_Cefas_Test10_Run1/Plate 1/@15/B11_04.tif "/>
    <s v=" 95906.9528 "/>
    <s v=" 39.7869 "/>
    <x v="0"/>
    <n v="3815838"/>
    <m/>
    <m/>
  </r>
  <r>
    <x v="4"/>
    <x v="3"/>
    <s v="C:\Users\andre\Desktop\REACTIV CEFAS\Saccharin\Saccharin/20201217_Cefas_Test10_Run1/Plate 1/@15/C11_01.tif "/>
    <s v=" 72308.7377 "/>
    <s v=" 48.9758 "/>
    <x v="0"/>
    <n v="3541376"/>
    <m/>
    <m/>
  </r>
  <r>
    <x v="4"/>
    <x v="3"/>
    <s v="C:\Users\andre\Desktop\REACTIV CEFAS\Saccharin\Saccharin/20201217_Cefas_Test10_Run1/Plate 1/@15/C11_02.tif "/>
    <s v=" 64067.7479 "/>
    <s v=" 48.3707 "/>
    <x v="0"/>
    <n v="3099002"/>
    <m/>
    <m/>
  </r>
  <r>
    <x v="4"/>
    <x v="3"/>
    <s v="C:\Users\andre\Desktop\REACTIV CEFAS\Saccharin\Saccharin/20201217_Cefas_Test10_Run1/Plate 1/@15/C11_03.tif "/>
    <s v=" 69258.9226 "/>
    <s v=" 47.9216 "/>
    <x v="0"/>
    <n v="3318999"/>
    <m/>
    <m/>
  </r>
  <r>
    <x v="4"/>
    <x v="3"/>
    <s v="C:\Users\andre\Desktop\REACTIV CEFAS\Saccharin\Saccharin/20201217_Cefas_Test10_Run1/Plate 1/@15/C11_04.tif "/>
    <s v=" 68393.7268 "/>
    <s v=" 48.7321 "/>
    <x v="0"/>
    <n v="3332972"/>
    <m/>
    <m/>
  </r>
  <r>
    <x v="4"/>
    <x v="4"/>
    <s v="C:\Users\andre\Desktop\REACTIV CEFAS\Saccharin\Saccharin/20201217_Cefas_Test10_Run1/Plate 1/@15/D11_01.tif "/>
    <s v=" 66209.1075 "/>
    <s v=" 52.179 "/>
    <x v="0"/>
    <n v="3454727"/>
    <m/>
    <m/>
  </r>
  <r>
    <x v="4"/>
    <x v="4"/>
    <s v="C:\Users\andre\Desktop\REACTIV CEFAS\Saccharin\Saccharin/20201217_Cefas_Test10_Run1/Plate 1/@15/D11_02.tif "/>
    <s v=" 50311.1349 "/>
    <s v=" 52.2623 "/>
    <x v="0"/>
    <n v="2629373"/>
    <m/>
    <m/>
  </r>
  <r>
    <x v="4"/>
    <x v="4"/>
    <s v="C:\Users\andre\Desktop\REACTIV CEFAS\Saccharin\Saccharin/20201217_Cefas_Test10_Run1/Plate 1/@15/D11_03.tif "/>
    <s v=" 59417.3205 "/>
    <s v=" 51.8056 "/>
    <x v="0"/>
    <n v="3078150"/>
    <m/>
    <m/>
  </r>
  <r>
    <x v="4"/>
    <x v="4"/>
    <s v="C:\Users\andre\Desktop\REACTIV CEFAS\Saccharin\Saccharin/20201217_Cefas_Test10_Run1/Plate 1/@15/D11_04.tif "/>
    <s v=" 86541.2084 "/>
    <s v=" 53.2239 "/>
    <x v="0"/>
    <n v="4606064"/>
    <m/>
    <m/>
  </r>
  <r>
    <x v="4"/>
    <x v="5"/>
    <s v="C:\Users\andre\Desktop\REACTIV CEFAS\Saccharin\Saccharin/20201217_Cefas_Test10_Run1/Plate 1/@15/E11_01.tif "/>
    <s v=" 91299.7852 "/>
    <s v=" 53.0301 "/>
    <x v="0"/>
    <n v="4841636"/>
    <m/>
    <m/>
  </r>
  <r>
    <x v="4"/>
    <x v="5"/>
    <s v="C:\Users\andre\Desktop\REACTIV CEFAS\Saccharin\Saccharin/20201217_Cefas_Test10_Run1/Plate 1/@15/E11_02- exclu.tif"/>
    <m/>
    <m/>
    <x v="1"/>
    <m/>
    <m/>
    <m/>
  </r>
  <r>
    <x v="4"/>
    <x v="5"/>
    <s v="C:\Users\andre\Desktop\REACTIV CEFAS\Saccharin\Saccharin/20201217_Cefas_Test10_Run1/Plate 1/@15/E11_03.tif "/>
    <s v=" 92554.3191 "/>
    <s v=" 51.8941 "/>
    <x v="0"/>
    <n v="4803026"/>
    <m/>
    <m/>
  </r>
  <r>
    <x v="4"/>
    <x v="5"/>
    <s v="C:\Users\andre\Desktop\REACTIV CEFAS\Saccharin\Saccharin/20201217_Cefas_Test10_Run1/Plate 1/@15/E11_04- exclu.tif"/>
    <m/>
    <m/>
    <x v="1"/>
    <m/>
    <m/>
    <m/>
  </r>
  <r>
    <x v="4"/>
    <x v="6"/>
    <s v="C:\Users\andre\Desktop\REACTIV CEFAS\Saccharin\Saccharin/20201217_Cefas_Test10_Run1/Plate 1/@15/F11_01.tif "/>
    <s v=" 60022.9576 "/>
    <s v=" 49.2076 "/>
    <x v="0"/>
    <n v="2953584"/>
    <m/>
    <m/>
  </r>
  <r>
    <x v="4"/>
    <x v="6"/>
    <s v="C:\Users\andre\Desktop\REACTIV CEFAS\Saccharin\Saccharin/20201217_Cefas_Test10_Run1/Plate 1/@15/F11_02.tif "/>
    <s v=" 71919.3996 "/>
    <s v=" 51.0247 "/>
    <x v="0"/>
    <n v="3669663"/>
    <m/>
    <m/>
  </r>
  <r>
    <x v="4"/>
    <x v="6"/>
    <s v="C:\Users\andre\Desktop\REACTIV CEFAS\Saccharin\Saccharin/20201217_Cefas_Test10_Run1/Plate 1/@15/F11_03.tif "/>
    <s v=" 64586.8654 "/>
    <s v=" 48.4588 "/>
    <x v="0"/>
    <n v="3129802"/>
    <m/>
    <m/>
  </r>
  <r>
    <x v="4"/>
    <x v="6"/>
    <s v="C:\Users\andre\Desktop\REACTIV CEFAS\Saccharin\Saccharin/20201217_Cefas_Test10_Run1/Plate 1/@15/F11_04.tif "/>
    <s v=" 68372.0969 "/>
    <s v=" 51.745 "/>
    <x v="0"/>
    <n v="3537915"/>
    <m/>
    <m/>
  </r>
  <r>
    <x v="4"/>
    <x v="7"/>
    <s v="C:\Users\andre\Desktop\REACTIV CEFAS\Saccharin\Saccharin/20201217_Cefas_Test10_Run1/Plate 1/@15/G11_01- exclu.tif"/>
    <m/>
    <m/>
    <x v="1"/>
    <m/>
    <m/>
    <m/>
  </r>
  <r>
    <x v="4"/>
    <x v="7"/>
    <s v="C:\Users\andre\Desktop\REACTIV CEFAS\Saccharin\Saccharin/20201217_Cefas_Test10_Run1/Plate 1/@15/G11_02- exclu.tif"/>
    <m/>
    <m/>
    <x v="1"/>
    <m/>
    <m/>
    <m/>
  </r>
  <r>
    <x v="4"/>
    <x v="7"/>
    <s v="C:\Users\andre\Desktop\REACTIV CEFAS\Saccharin\Saccharin/20201217_Cefas_Test10_Run1/Plate 1/@15/G11_03- exclu.tif"/>
    <m/>
    <m/>
    <x v="1"/>
    <m/>
    <m/>
    <m/>
  </r>
  <r>
    <x v="4"/>
    <x v="7"/>
    <s v="C:\Users\andre\Desktop\REACTIV CEFAS\Saccharin\Saccharin/20201217_Cefas_Test10_Run1/Plate 1/@15/G11_04.tif "/>
    <s v=" 59179.3917 "/>
    <s v=" 43.6184 "/>
    <x v="0"/>
    <n v="2581312"/>
    <m/>
    <m/>
  </r>
  <r>
    <x v="4"/>
    <x v="8"/>
    <s v="C:\Users\andre\Desktop\REACTIV CEFAS\Saccharin\Saccharin/20201217_Cefas_Test10_Run1/Plate 1/@15/H11_01.tif "/>
    <s v=" 89180.0556 "/>
    <s v=" 52.1426 "/>
    <x v="0"/>
    <n v="4650081"/>
    <m/>
    <m/>
  </r>
  <r>
    <x v="4"/>
    <x v="8"/>
    <s v="C:\Users\andre\Desktop\REACTIV CEFAS\Saccharin\Saccharin/20201217_Cefas_Test10_Run1/Plate 1/@15/H11_02.tif "/>
    <s v=" 85113.6354 "/>
    <s v=" 48.4943 "/>
    <x v="0"/>
    <n v="4127525"/>
    <m/>
    <m/>
  </r>
  <r>
    <x v="4"/>
    <x v="8"/>
    <s v="C:\Users\andre\Desktop\REACTIV CEFAS\Saccharin\Saccharin/20201217_Cefas_Test10_Run1/Plate 1/@15/H11_03.tif "/>
    <s v=" 83037.1655 "/>
    <s v=" 46.8755 "/>
    <x v="0"/>
    <n v="3892408"/>
    <m/>
    <m/>
  </r>
  <r>
    <x v="4"/>
    <x v="8"/>
    <s v="C:\Users\andre\Desktop\REACTIV CEFAS\Saccharin\Saccharin/20201217_Cefas_Test10_Run1/Plate 1/@15/H11_04.tif "/>
    <s v=" 91407.9347 "/>
    <s v=" 48.4941 "/>
    <x v="0"/>
    <n v="4432744"/>
    <m/>
    <m/>
  </r>
  <r>
    <x v="0"/>
    <x v="0"/>
    <s v=" "/>
    <m/>
    <m/>
    <x v="1"/>
    <m/>
    <m/>
    <m/>
  </r>
  <r>
    <x v="0"/>
    <x v="0"/>
    <s v="group "/>
    <s v=" "/>
    <s v=" mean of mean fluo "/>
    <x v="2"/>
    <s v=" mean of total fluo "/>
    <s v=" SD total fluo "/>
    <m/>
  </r>
  <r>
    <x v="4"/>
    <x v="9"/>
    <s v="C:\Users\andre\Desktop\REACTIV CEFAS\Saccharin\Saccharin/20201217_Cefas_Test10_Run1/Plate 1/@15/ "/>
    <s v=" "/>
    <s v=" 47.5085 "/>
    <x v="6"/>
    <s v=" 3113422.53 "/>
    <s v=" 1237403.3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Saccharin\Saccharin/20201217_Cefas_Test10_Run1/Plate 1/@16/A12_01.tif "/>
    <s v=" 2552.3276 "/>
    <s v=" 34.2288 "/>
    <x v="0"/>
    <n v="87363"/>
    <m/>
    <m/>
  </r>
  <r>
    <x v="5"/>
    <x v="1"/>
    <s v="C:\Users\andre\Desktop\REACTIV CEFAS\Saccharin\Saccharin/20201217_Cefas_Test10_Run1/Plate 1/@16/A12_02.tif "/>
    <s v=" 3979.9006 "/>
    <s v=" 35.3533 "/>
    <x v="0"/>
    <n v="140702"/>
    <m/>
    <m/>
  </r>
  <r>
    <x v="5"/>
    <x v="1"/>
    <s v="C:\Users\andre\Desktop\REACTIV CEFAS\Saccharin\Saccharin/20201217_Cefas_Test10_Run1/Plate 1/@16/A12_03.tif "/>
    <s v=" 1557.3524 "/>
    <s v=" 34.5556 "/>
    <x v="0"/>
    <n v="53815"/>
    <m/>
    <m/>
  </r>
  <r>
    <x v="5"/>
    <x v="1"/>
    <s v="C:\Users\andre\Desktop\REACTIV CEFAS\Saccharin\Saccharin/20201217_Cefas_Test10_Run1/Plate 1/@16/A12_04.tif "/>
    <s v=" 6272.6694 "/>
    <s v=" 39.6655 "/>
    <x v="0"/>
    <n v="248809"/>
    <m/>
    <m/>
  </r>
  <r>
    <x v="5"/>
    <x v="2"/>
    <s v="C:\Users\andre\Desktop\REACTIV CEFAS\Saccharin\Saccharin/20201217_Cefas_Test10_Run1/Plate 1/@16/B12_01.tif "/>
    <s v=" 7419.0539 "/>
    <s v=" 35.7668 "/>
    <x v="0"/>
    <n v="265356"/>
    <m/>
    <m/>
  </r>
  <r>
    <x v="5"/>
    <x v="2"/>
    <s v="C:\Users\andre\Desktop\REACTIV CEFAS\Saccharin\Saccharin/20201217_Cefas_Test10_Run1/Plate 1/@16/B12_02.tif "/>
    <s v=" 10339.0896 "/>
    <s v=" 40.0188 "/>
    <x v="0"/>
    <n v="413758"/>
    <m/>
    <m/>
  </r>
  <r>
    <x v="5"/>
    <x v="2"/>
    <s v="C:\Users\andre\Desktop\REACTIV CEFAS\Saccharin\Saccharin/20201217_Cefas_Test10_Run1/Plate 1/@16/B12_03.tif "/>
    <s v=" 8998.0362 "/>
    <s v=" 39.0601 "/>
    <x v="0"/>
    <n v="351464"/>
    <m/>
    <m/>
  </r>
  <r>
    <x v="5"/>
    <x v="2"/>
    <s v="C:\Users\andre\Desktop\REACTIV CEFAS\Saccharin\Saccharin/20201217_Cefas_Test10_Run1/Plate 1/@16/B12_04.tif "/>
    <s v=" 3006.5554 "/>
    <s v=" 35.5755 "/>
    <x v="0"/>
    <n v="106960"/>
    <m/>
    <m/>
  </r>
  <r>
    <x v="5"/>
    <x v="3"/>
    <s v="C:\Users\andre\Desktop\REACTIV CEFAS\Saccharin\Saccharin/20201217_Cefas_Test10_Run1/Plate 1/@16/C12_01.tif "/>
    <s v=" 6229.4097 "/>
    <s v=" 34.7743 "/>
    <x v="0"/>
    <n v="216623"/>
    <m/>
    <m/>
  </r>
  <r>
    <x v="5"/>
    <x v="3"/>
    <s v="C:\Users\andre\Desktop\REACTIV CEFAS\Saccharin\Saccharin/20201217_Cefas_Test10_Run1/Plate 1/@16/C12_02.tif "/>
    <s v=" 8673.5877 "/>
    <s v=" 36.5187 "/>
    <x v="0"/>
    <n v="316748"/>
    <m/>
    <m/>
  </r>
  <r>
    <x v="5"/>
    <x v="3"/>
    <s v="C:\Users\andre\Desktop\REACTIV CEFAS\Saccharin\Saccharin/20201217_Cefas_Test10_Run1/Plate 1/@16/C12_03.tif "/>
    <s v=" 4088.0501 "/>
    <s v=" 34.9841 "/>
    <x v="0"/>
    <n v="143017"/>
    <m/>
    <m/>
  </r>
  <r>
    <x v="5"/>
    <x v="3"/>
    <s v="C:\Users\andre\Desktop\REACTIV CEFAS\Saccharin\Saccharin/20201217_Cefas_Test10_Run1/Plate 1/@16/C12_04.tif "/>
    <s v=" 43.2598 "/>
    <n v="30"/>
    <x v="0"/>
    <n v="1298"/>
    <m/>
    <m/>
  </r>
  <r>
    <x v="5"/>
    <x v="4"/>
    <s v="C:\Users\andre\Desktop\REACTIV CEFAS\Saccharin\Saccharin/20201217_Cefas_Test10_Run1/Plate 1/@16/D12_01- exclu.tif"/>
    <m/>
    <m/>
    <x v="1"/>
    <m/>
    <m/>
    <m/>
  </r>
  <r>
    <x v="5"/>
    <x v="4"/>
    <s v="C:\Users\andre\Desktop\REACTIV CEFAS\Saccharin\Saccharin/20201217_Cefas_Test10_Run1/Plate 1/@16/D12_02- exclu.tif"/>
    <m/>
    <m/>
    <x v="1"/>
    <m/>
    <m/>
    <m/>
  </r>
  <r>
    <x v="5"/>
    <x v="4"/>
    <s v="C:\Users\andre\Desktop\REACTIV CEFAS\Saccharin\Saccharin/20201217_Cefas_Test10_Run1/Plate 1/@16/D12_03.tif "/>
    <s v=" 8370.7692 "/>
    <s v=" 38.3798 "/>
    <x v="0"/>
    <n v="321269"/>
    <m/>
    <m/>
  </r>
  <r>
    <x v="5"/>
    <x v="4"/>
    <s v="C:\Users\andre\Desktop\REACTIV CEFAS\Saccharin\Saccharin/20201217_Cefas_Test10_Run1/Plate 1/@16/D12_04.tif "/>
    <s v=" 4542.2779 "/>
    <s v=" 33.8952 "/>
    <x v="0"/>
    <n v="153962"/>
    <m/>
    <m/>
  </r>
  <r>
    <x v="5"/>
    <x v="5"/>
    <s v="C:\Users\andre\Desktop\REACTIV CEFAS\Saccharin\Saccharin/20201217_Cefas_Test10_Run1/Plate 1/@16/E12_01- exclu.tif"/>
    <m/>
    <m/>
    <x v="1"/>
    <m/>
    <m/>
    <m/>
  </r>
  <r>
    <x v="5"/>
    <x v="5"/>
    <s v="C:\Users\andre\Desktop\REACTIV CEFAS\Saccharin\Saccharin/20201217_Cefas_Test10_Run1/Plate 1/@16/E12_02.tif "/>
    <s v=" 10728.4277 "/>
    <s v=" 44.9577 "/>
    <x v="0"/>
    <n v="482325"/>
    <m/>
    <m/>
  </r>
  <r>
    <x v="5"/>
    <x v="5"/>
    <s v="C:\Users\andre\Desktop\REACTIV CEFAS\Saccharin\Saccharin/20201217_Cefas_Test10_Run1/Plate 1/@16/E12_03.tif "/>
    <s v=" 7505.5734 "/>
    <s v=" 46.0403 "/>
    <x v="0"/>
    <n v="345559"/>
    <m/>
    <m/>
  </r>
  <r>
    <x v="5"/>
    <x v="5"/>
    <s v="C:\Users\andre\Desktop\REACTIV CEFAS\Saccharin\Saccharin/20201217_Cefas_Test10_Run1/Plate 1/@16/E12_04- exclu.tif"/>
    <m/>
    <m/>
    <x v="1"/>
    <m/>
    <m/>
    <m/>
  </r>
  <r>
    <x v="5"/>
    <x v="6"/>
    <s v="C:\Users\andre\Desktop\REACTIV CEFAS\Saccharin\Saccharin/20201217_Cefas_Test10_Run1/Plate 1/@16/F12_01.tif "/>
    <s v=" 15292.3355 "/>
    <s v=" 42.4059 "/>
    <x v="0"/>
    <n v="648486"/>
    <m/>
    <m/>
  </r>
  <r>
    <x v="5"/>
    <x v="6"/>
    <s v="C:\Users\andre\Desktop\REACTIV CEFAS\Saccharin\Saccharin/20201217_Cefas_Test10_Run1/Plate 1/@16/F12_02.tif "/>
    <s v=" 13129.346 "/>
    <s v=" 42.2768 "/>
    <x v="0"/>
    <n v="555066"/>
    <m/>
    <m/>
  </r>
  <r>
    <x v="5"/>
    <x v="6"/>
    <s v="C:\Users\andre\Desktop\REACTIV CEFAS\Saccharin\Saccharin/20201217_Cefas_Test10_Run1/Plate 1/@16/F12_03.tif "/>
    <s v=" 12026.2214 "/>
    <s v=" 40.4856 "/>
    <x v="0"/>
    <n v="486889"/>
    <m/>
    <m/>
  </r>
  <r>
    <x v="5"/>
    <x v="6"/>
    <s v="C:\Users\andre\Desktop\REACTIV CEFAS\Saccharin\Saccharin/20201217_Cefas_Test10_Run1/Plate 1/@16/F12_04.tif "/>
    <s v=" 10122.7907 "/>
    <s v=" 42.0214 "/>
    <x v="0"/>
    <n v="425374"/>
    <m/>
    <m/>
  </r>
  <r>
    <x v="5"/>
    <x v="7"/>
    <s v="C:\Users\andre\Desktop\REACTIV CEFAS\Saccharin\Saccharin/20201217_Cefas_Test10_Run1/Plate 1/@16/G12_01- exclu.tif"/>
    <m/>
    <m/>
    <x v="1"/>
    <m/>
    <m/>
    <m/>
  </r>
  <r>
    <x v="5"/>
    <x v="7"/>
    <s v="C:\Users\andre\Desktop\REACTIV CEFAS\Saccharin\Saccharin/20201217_Cefas_Test10_Run1/Plate 1/@16/G12_02.tif "/>
    <s v=" 7224.3848 "/>
    <s v=" 37.6916 "/>
    <x v="0"/>
    <n v="272299"/>
    <m/>
    <m/>
  </r>
  <r>
    <x v="5"/>
    <x v="7"/>
    <s v="C:\Users\andre\Desktop\REACTIV CEFAS\Saccharin\Saccharin/20201217_Cefas_Test10_Run1/Plate 1/@16/G12_03.tif "/>
    <s v=" 4001.5305 "/>
    <s v=" 32.7027 "/>
    <x v="0"/>
    <n v="130861"/>
    <m/>
    <m/>
  </r>
  <r>
    <x v="5"/>
    <x v="7"/>
    <s v="C:\Users\andre\Desktop\REACTIV CEFAS\Saccharin\Saccharin/20201217_Cefas_Test10_Run1/Plate 1/@16/G12_04.tif "/>
    <s v=" 7592.093 "/>
    <s v=" 36.5071 "/>
    <x v="0"/>
    <n v="277165"/>
    <m/>
    <m/>
  </r>
  <r>
    <x v="5"/>
    <x v="8"/>
    <s v="C:\Users\andre\Desktop\REACTIV CEFAS\Saccharin\Saccharin/20201217_Cefas_Test10_Run1/Plate 1/@16/H12_01.tif "/>
    <s v=" 5926.5911 "/>
    <s v=" 42.5292 "/>
    <x v="0"/>
    <n v="252053"/>
    <m/>
    <m/>
  </r>
  <r>
    <x v="5"/>
    <x v="8"/>
    <s v="C:\Users\andre\Desktop\REACTIV CEFAS\Saccharin\Saccharin/20201217_Cefas_Test10_Run1/Plate 1/@16/H12_02.tif "/>
    <s v=" 2271.1389 "/>
    <s v=" 35.3524 "/>
    <x v="0"/>
    <n v="80290"/>
    <m/>
    <m/>
  </r>
  <r>
    <x v="5"/>
    <x v="8"/>
    <s v="C:\Users\andre\Desktop\REACTIV CEFAS\Saccharin\Saccharin/20201217_Cefas_Test10_Run1/Plate 1/@16/H12_03.tif "/>
    <s v=" 194.6691 "/>
    <s v=" 31.2222 "/>
    <x v="0"/>
    <n v="6078"/>
    <m/>
    <m/>
  </r>
  <r>
    <x v="5"/>
    <x v="8"/>
    <s v="C:\Users\andre\Desktop\REACTIV CEFAS\Saccharin\Saccharin/20201217_Cefas_Test10_Run1/Plate 1/@16/H12_04.tif "/>
    <s v=" 4455.7583 "/>
    <s v=" 37.8495 "/>
    <x v="0"/>
    <n v="168648"/>
    <m/>
    <m/>
  </r>
  <r>
    <x v="0"/>
    <x v="0"/>
    <s v=" "/>
    <m/>
    <m/>
    <x v="1"/>
    <m/>
    <m/>
    <m/>
  </r>
  <r>
    <x v="0"/>
    <x v="0"/>
    <s v="group "/>
    <s v=" "/>
    <s v=" mean of mean fluo "/>
    <x v="2"/>
    <s v=" mean of total fluo "/>
    <s v=" SD total fluo "/>
    <m/>
  </r>
  <r>
    <x v="5"/>
    <x v="9"/>
    <s v="C:\Users\andre\Desktop\REACTIV CEFAS\Saccharin\Saccharin/20201217_Cefas_Test10_Run1/Plate 1/@16/ "/>
    <s v=" "/>
    <s v=" 33.9067 "/>
    <x v="7"/>
    <s v=" 228294.062 "/>
    <s v=" 177529.22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Saccharin\Saccharin/20201217_Cefas_Test10_Run1/Plate 1/@2/A2_01.tif "/>
    <s v=" 11009.6164 "/>
    <s v=" 40.3929 "/>
    <x v="0"/>
    <n v="444711"/>
    <m/>
    <m/>
  </r>
  <r>
    <x v="6"/>
    <x v="1"/>
    <s v="C:\Users\andre\Desktop\REACTIV CEFAS\Saccharin\Saccharin/20201217_Cefas_Test10_Run1/Plate 1/@2/A2_02.tif "/>
    <s v=" 11680.1431 "/>
    <s v=" 37.0463 "/>
    <x v="0"/>
    <n v="432706"/>
    <m/>
    <m/>
  </r>
  <r>
    <x v="6"/>
    <x v="1"/>
    <s v="C:\Users\andre\Desktop\REACTIV CEFAS\Saccharin\Saccharin/20201217_Cefas_Test10_Run1/Plate 1/@2/A2_03.tif "/>
    <s v=" 11788.2926 "/>
    <s v=" 38.6367 "/>
    <x v="0"/>
    <n v="455461"/>
    <m/>
    <m/>
  </r>
  <r>
    <x v="6"/>
    <x v="1"/>
    <s v="C:\Users\andre\Desktop\REACTIV CEFAS\Saccharin\Saccharin/20201217_Cefas_Test10_Run1/Plate 1/@2/A2_04.tif "/>
    <s v=" 1903.4307 "/>
    <s v=" 32.5455 "/>
    <x v="0"/>
    <n v="61948"/>
    <m/>
    <m/>
  </r>
  <r>
    <x v="6"/>
    <x v="2"/>
    <s v="C:\Users\andre\Desktop\REACTIV CEFAS\Saccharin\Saccharin/20201217_Cefas_Test10_Run1/Plate 1/@2/B2_01.tif "/>
    <s v=" 2054.84 "/>
    <s v=" 34.8737 "/>
    <x v="0"/>
    <n v="71660"/>
    <m/>
    <m/>
  </r>
  <r>
    <x v="6"/>
    <x v="2"/>
    <s v="C:\Users\andre\Desktop\REACTIV CEFAS\Saccharin\Saccharin/20201217_Cefas_Test10_Run1/Plate 1/@2/B2_02.tif "/>
    <s v=" 10057.901 "/>
    <s v=" 37.0387 "/>
    <x v="0"/>
    <n v="372532"/>
    <m/>
    <m/>
  </r>
  <r>
    <x v="6"/>
    <x v="2"/>
    <s v="C:\Users\andre\Desktop\REACTIV CEFAS\Saccharin\Saccharin/20201217_Cefas_Test10_Run1/Plate 1/@2/B2_03.tif "/>
    <s v=" 6445.7086 "/>
    <s v=" 36.1611 "/>
    <x v="0"/>
    <n v="233084"/>
    <m/>
    <m/>
  </r>
  <r>
    <x v="6"/>
    <x v="2"/>
    <s v="C:\Users\andre\Desktop\REACTIV CEFAS\Saccharin\Saccharin/20201217_Cefas_Test10_Run1/Plate 1/@2/B2_04.tif "/>
    <s v=" 7029.7158 "/>
    <s v=" 38.0369 "/>
    <x v="0"/>
    <n v="267389"/>
    <m/>
    <m/>
  </r>
  <r>
    <x v="6"/>
    <x v="3"/>
    <s v="C:\Users\andre\Desktop\REACTIV CEFAS\Saccharin\Saccharin/20201217_Cefas_Test10_Run1/Plate 1/@2/C2_01.tif "/>
    <s v=" 16308.9406 "/>
    <s v=" 33.6446 "/>
    <x v="0"/>
    <n v="548707"/>
    <m/>
    <m/>
  </r>
  <r>
    <x v="6"/>
    <x v="3"/>
    <s v="C:\Users\andre\Desktop\REACTIV CEFAS\Saccharin\Saccharin/20201217_Cefas_Test10_Run1/Plate 1/@2/C2_02- exclu.tif"/>
    <m/>
    <m/>
    <x v="1"/>
    <m/>
    <m/>
    <m/>
  </r>
  <r>
    <x v="6"/>
    <x v="3"/>
    <s v="C:\Users\andre\Desktop\REACTIV CEFAS\Saccharin\Saccharin/20201217_Cefas_Test10_Run1/Plate 1/@2/C2_03.tif "/>
    <s v=" 14729.9582 "/>
    <s v=" 33.0455 "/>
    <x v="0"/>
    <n v="486759"/>
    <m/>
    <m/>
  </r>
  <r>
    <x v="6"/>
    <x v="3"/>
    <s v="C:\Users\andre\Desktop\REACTIV CEFAS\Saccharin\Saccharin/20201217_Cefas_Test10_Run1/Plate 1/@2/C2_04.tif "/>
    <s v=" 13648.4635 "/>
    <s v=" 32.7258 "/>
    <x v="0"/>
    <n v="446657"/>
    <m/>
    <m/>
  </r>
  <r>
    <x v="6"/>
    <x v="4"/>
    <s v="C:\Users\andre\Desktop\REACTIV CEFAS\Saccharin\Saccharin/20201217_Cefas_Test10_Run1/Plate 1/@2/D2_01.tif "/>
    <s v=" 9127.8155 "/>
    <s v=" 32.7322 "/>
    <x v="0"/>
    <n v="298774"/>
    <m/>
    <m/>
  </r>
  <r>
    <x v="6"/>
    <x v="4"/>
    <s v="C:\Users\andre\Desktop\REACTIV CEFAS\Saccharin\Saccharin/20201217_Cefas_Test10_Run1/Plate 1/@2/D2_02.tif "/>
    <s v=" 14665.0686 "/>
    <s v=" 33.9867 "/>
    <x v="0"/>
    <n v="498418"/>
    <m/>
    <m/>
  </r>
  <r>
    <x v="6"/>
    <x v="4"/>
    <s v="C:\Users\andre\Desktop\REACTIV CEFAS\Saccharin\Saccharin/20201217_Cefas_Test10_Run1/Plate 1/@2/D2_03.tif "/>
    <s v=" 19380.3856 "/>
    <s v=" 35.9509 "/>
    <x v="0"/>
    <n v="696742"/>
    <m/>
    <m/>
  </r>
  <r>
    <x v="6"/>
    <x v="4"/>
    <s v="C:\Users\andre\Desktop\REACTIV CEFAS\Saccharin\Saccharin/20201217_Cefas_Test10_Run1/Plate 1/@2/D2_04.tif "/>
    <s v=" 9949.7515 "/>
    <s v=" 33.213 "/>
    <x v="0"/>
    <n v="330462"/>
    <m/>
    <m/>
  </r>
  <r>
    <x v="6"/>
    <x v="5"/>
    <s v="C:\Users\andre\Desktop\REACTIV CEFAS\Saccharin\Saccharin/20201217_Cefas_Test10_Run1/Plate 1/@2/E2_01.tif "/>
    <s v=" 5212.8046 "/>
    <s v=" 39.1203 "/>
    <x v="0"/>
    <n v="203927"/>
    <m/>
    <m/>
  </r>
  <r>
    <x v="6"/>
    <x v="5"/>
    <s v="C:\Users\andre\Desktop\REACTIV CEFAS\Saccharin\Saccharin/20201217_Cefas_Test10_Run1/Plate 1/@2/E2_02.tif "/>
    <s v=" 8089.5806 "/>
    <s v=" 39.9465 "/>
    <x v="0"/>
    <n v="323151"/>
    <m/>
    <m/>
  </r>
  <r>
    <x v="6"/>
    <x v="5"/>
    <s v="C:\Users\andre\Desktop\REACTIV CEFAS\Saccharin\Saccharin/20201217_Cefas_Test10_Run1/Plate 1/@2/E2_03.tif "/>
    <s v=" 4866.7263 "/>
    <s v=" 37.5956 "/>
    <x v="0"/>
    <n v="182967"/>
    <m/>
    <m/>
  </r>
  <r>
    <x v="6"/>
    <x v="5"/>
    <s v="C:\Users\andre\Desktop\REACTIV CEFAS\Saccharin\Saccharin/20201217_Cefas_Test10_Run1/Plate 1/@2/E2_04- exclu.tif"/>
    <m/>
    <m/>
    <x v="1"/>
    <m/>
    <m/>
    <m/>
  </r>
  <r>
    <x v="6"/>
    <x v="6"/>
    <s v="C:\Users\andre\Desktop\REACTIV CEFAS\Saccharin\Saccharin/20201217_Cefas_Test10_Run1/Plate 1/@2/F2_01.tif "/>
    <s v=" 24030.8129 "/>
    <s v=" 33.6427 "/>
    <x v="0"/>
    <n v="808461"/>
    <m/>
    <m/>
  </r>
  <r>
    <x v="6"/>
    <x v="6"/>
    <s v="C:\Users\andre\Desktop\REACTIV CEFAS\Saccharin\Saccharin/20201217_Cefas_Test10_Run1/Plate 1/@2/F2_02.tif "/>
    <s v=" 32142.0234 "/>
    <s v=" 35.8291 "/>
    <x v="0"/>
    <n v="1151619"/>
    <m/>
    <m/>
  </r>
  <r>
    <x v="6"/>
    <x v="6"/>
    <s v="C:\Users\andre\Desktop\REACTIV CEFAS\Saccharin\Saccharin/20201217_Cefas_Test10_Run1/Plate 1/@2/F2_03.tif "/>
    <s v=" 24485.0407 "/>
    <s v=" 35.0168 "/>
    <x v="0"/>
    <n v="857387"/>
    <m/>
    <m/>
  </r>
  <r>
    <x v="6"/>
    <x v="6"/>
    <s v="C:\Users\andre\Desktop\REACTIV CEFAS\Saccharin\Saccharin/20201217_Cefas_Test10_Run1/Plate 1/@2/F2_04.tif "/>
    <s v=" 18212.3713 "/>
    <s v=" 32.0178 "/>
    <x v="0"/>
    <n v="583120"/>
    <m/>
    <m/>
  </r>
  <r>
    <x v="6"/>
    <x v="7"/>
    <s v="C:\Users\andre\Desktop\REACTIV CEFAS\Saccharin\Saccharin/20201217_Cefas_Test10_Run1/Plate 1/@2/G2_01.tif "/>
    <s v=" 6510.5983 "/>
    <s v=" 42.2492 "/>
    <x v="0"/>
    <n v="275067"/>
    <m/>
    <m/>
  </r>
  <r>
    <x v="6"/>
    <x v="7"/>
    <s v="C:\Users\andre\Desktop\REACTIV CEFAS\Saccharin\Saccharin/20201217_Cefas_Test10_Run1/Plate 1/@2/G2_02.tif "/>
    <s v=" 8003.061 "/>
    <s v=" 40.2811 "/>
    <x v="0"/>
    <n v="322372"/>
    <m/>
    <m/>
  </r>
  <r>
    <x v="6"/>
    <x v="7"/>
    <s v="C:\Users\andre\Desktop\REACTIV CEFAS\Saccharin\Saccharin/20201217_Cefas_Test10_Run1/Plate 1/@2/G2_03.tif "/>
    <s v=" 2984.9255 "/>
    <s v=" 36.7681 "/>
    <x v="0"/>
    <n v="109750"/>
    <m/>
    <m/>
  </r>
  <r>
    <x v="6"/>
    <x v="7"/>
    <s v="C:\Users\andre\Desktop\REACTIV CEFAS\Saccharin\Saccharin/20201217_Cefas_Test10_Run1/Plate 1/@2/G2_04.tif "/>
    <s v=" 13432.1646 "/>
    <s v=" 36.7214 "/>
    <x v="0"/>
    <n v="493248"/>
    <m/>
    <m/>
  </r>
  <r>
    <x v="6"/>
    <x v="8"/>
    <s v="C:\Users\andre\Desktop\REACTIV CEFAS\Saccharin\Saccharin/20201217_Cefas_Test10_Run1/Plate 1/@2/H2_01.tif "/>
    <s v=" 9755.0825 "/>
    <s v=" 42.133 "/>
    <x v="0"/>
    <n v="411011"/>
    <m/>
    <m/>
  </r>
  <r>
    <x v="6"/>
    <x v="8"/>
    <s v="C:\Users\andre\Desktop\REACTIV CEFAS\Saccharin\Saccharin/20201217_Cefas_Test10_Run1/Plate 1/@2/H2_02.tif "/>
    <s v=" 9344.1145 "/>
    <s v=" 44.7176 "/>
    <x v="0"/>
    <n v="417846"/>
    <m/>
    <m/>
  </r>
  <r>
    <x v="6"/>
    <x v="8"/>
    <s v="C:\Users\andre\Desktop\REACTIV CEFAS\Saccharin\Saccharin/20201217_Cefas_Test10_Run1/Plate 1/@2/H2_03- exclu.tif"/>
    <m/>
    <m/>
    <x v="1"/>
    <m/>
    <m/>
    <m/>
  </r>
  <r>
    <x v="6"/>
    <x v="8"/>
    <s v="C:\Users\andre\Desktop\REACTIV CEFAS\Saccharin\Saccharin/20201217_Cefas_Test10_Run1/Plate 1/@2/H2_04- exclu.tif"/>
    <m/>
    <m/>
    <x v="1"/>
    <m/>
    <m/>
    <m/>
  </r>
  <r>
    <x v="0"/>
    <x v="0"/>
    <s v=" "/>
    <m/>
    <m/>
    <x v="1"/>
    <m/>
    <m/>
    <m/>
  </r>
  <r>
    <x v="0"/>
    <x v="0"/>
    <s v="group "/>
    <s v=" "/>
    <s v=" mean of mean fluo "/>
    <x v="2"/>
    <s v=" mean of total fluo "/>
    <s v=" SD total fluo "/>
    <m/>
  </r>
  <r>
    <x v="6"/>
    <x v="9"/>
    <s v="C:\Users\andre\Desktop\REACTIV CEFAS\Saccharin\Saccharin/20201217_Cefas_Test10_Run1/Plate 1/@2/ "/>
    <s v=" "/>
    <s v=" 36.7614 "/>
    <x v="8"/>
    <s v=" 417511.719 "/>
    <s v=" 261468.01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Saccharin\Saccharin/20201217_Cefas_Test10_Run1/Plate 1/@3/A3_01.tif "/>
    <s v=" 15205.8159 "/>
    <s v=" 34.4381 "/>
    <x v="0"/>
    <n v="523660"/>
    <m/>
    <m/>
  </r>
  <r>
    <x v="7"/>
    <x v="1"/>
    <s v="C:\Users\andre\Desktop\REACTIV CEFAS\Saccharin\Saccharin/20201217_Cefas_Test10_Run1/Plate 1/@3/A3_02.tif "/>
    <s v=" 9127.8155 "/>
    <s v=" 34.9479 "/>
    <x v="0"/>
    <n v="318998"/>
    <m/>
    <m/>
  </r>
  <r>
    <x v="7"/>
    <x v="1"/>
    <s v="C:\Users\andre\Desktop\REACTIV CEFAS\Saccharin\Saccharin/20201217_Cefas_Test10_Run1/Plate 1/@3/A3_03.tif "/>
    <s v=" 16590.1292 "/>
    <s v=" 35.5111 "/>
    <x v="0"/>
    <n v="589133"/>
    <m/>
    <m/>
  </r>
  <r>
    <x v="7"/>
    <x v="1"/>
    <s v="C:\Users\andre\Desktop\REACTIV CEFAS\Saccharin\Saccharin/20201217_Cefas_Test10_Run1/Plate 1/@3/A3_04.tif "/>
    <s v=" 13756.613 "/>
    <s v=" 33.1855 "/>
    <x v="0"/>
    <n v="456521"/>
    <m/>
    <m/>
  </r>
  <r>
    <x v="7"/>
    <x v="2"/>
    <s v="C:\Users\andre\Desktop\REACTIV CEFAS\Saccharin\Saccharin/20201217_Cefas_Test10_Run1/Plate 1/@3/B3_01.tif "/>
    <s v=" 10230.9402 "/>
    <s v=" 37.1036 "/>
    <x v="0"/>
    <n v="379605"/>
    <m/>
    <m/>
  </r>
  <r>
    <x v="7"/>
    <x v="2"/>
    <s v="C:\Users\andre\Desktop\REACTIV CEFAS\Saccharin\Saccharin/20201217_Cefas_Test10_Run1/Plate 1/@3/B3_02.tif "/>
    <s v=" 10641.9082 "/>
    <s v=" 37.6829 "/>
    <x v="0"/>
    <n v="401018"/>
    <m/>
    <m/>
  </r>
  <r>
    <x v="7"/>
    <x v="2"/>
    <s v="C:\Users\andre\Desktop\REACTIV CEFAS\Saccharin\Saccharin/20201217_Cefas_Test10_Run1/Plate 1/@3/B3_03.tif "/>
    <s v=" 13540.314 "/>
    <s v=" 37.6182 "/>
    <x v="0"/>
    <n v="509362"/>
    <m/>
    <m/>
  </r>
  <r>
    <x v="7"/>
    <x v="2"/>
    <s v="C:\Users\andre\Desktop\REACTIV CEFAS\Saccharin\Saccharin/20201217_Cefas_Test10_Run1/Plate 1/@3/B3_04.tif "/>
    <s v=" 12848.1574 "/>
    <s v=" 35.7374 "/>
    <x v="0"/>
    <n v="459159"/>
    <m/>
    <m/>
  </r>
  <r>
    <x v="7"/>
    <x v="3"/>
    <s v="C:\Users\andre\Desktop\REACTIV CEFAS\Saccharin\Saccharin/20201217_Cefas_Test10_Run1/Plate 1/@3/C3_01.tif "/>
    <s v=" 108.1495 "/>
    <s v=" 30.6 "/>
    <x v="0"/>
    <n v="3309"/>
    <m/>
    <m/>
  </r>
  <r>
    <x v="7"/>
    <x v="3"/>
    <s v="C:\Users\andre\Desktop\REACTIV CEFAS\Saccharin\Saccharin/20201217_Cefas_Test10_Run1/Plate 1/@3/C3_02.tif "/>
    <s v=" 8630.328 "/>
    <s v=" 45.203 "/>
    <x v="0"/>
    <n v="390117"/>
    <m/>
    <m/>
  </r>
  <r>
    <x v="7"/>
    <x v="3"/>
    <s v="C:\Users\andre\Desktop\REACTIV CEFAS\Saccharin\Saccharin/20201217_Cefas_Test10_Run1/Plate 1/@3/C3_03- exclu.tif"/>
    <m/>
    <m/>
    <x v="1"/>
    <m/>
    <m/>
    <m/>
  </r>
  <r>
    <x v="7"/>
    <x v="3"/>
    <s v="C:\Users\andre\Desktop\REACTIV CEFAS\Saccharin\Saccharin/20201217_Cefas_Test10_Run1/Plate 1/@3/C3_04- exclu.tif"/>
    <m/>
    <m/>
    <x v="1"/>
    <m/>
    <m/>
    <m/>
  </r>
  <r>
    <x v="7"/>
    <x v="4"/>
    <s v="C:\Users\andre\Desktop\REACTIV CEFAS\Saccharin\Saccharin/20201217_Cefas_Test10_Run1/Plate 1/@3/D3_01.tif "/>
    <s v=" 5710.2922 "/>
    <s v=" 41.6477 "/>
    <x v="0"/>
    <n v="237821"/>
    <m/>
    <m/>
  </r>
  <r>
    <x v="7"/>
    <x v="4"/>
    <s v="C:\Users\andre\Desktop\REACTIV CEFAS\Saccharin\Saccharin/20201217_Cefas_Test10_Run1/Plate 1/@3/D3_02.tif "/>
    <s v=" 6575.488 "/>
    <s v=" 39.8882 "/>
    <x v="0"/>
    <n v="262284"/>
    <m/>
    <m/>
  </r>
  <r>
    <x v="7"/>
    <x v="4"/>
    <s v="C:\Users\andre\Desktop\REACTIV CEFAS\Saccharin\Saccharin/20201217_Cefas_Test10_Run1/Plate 1/@3/D3_03.tif "/>
    <s v=" 389.3381 "/>
    <s v=" 31.4444 "/>
    <x v="0"/>
    <n v="12243"/>
    <m/>
    <m/>
  </r>
  <r>
    <x v="7"/>
    <x v="4"/>
    <s v="C:\Users\andre\Desktop\REACTIV CEFAS\Saccharin\Saccharin/20201217_Cefas_Test10_Run1/Plate 1/@3/D3_04.tif "/>
    <s v=" 5104.6551 "/>
    <s v=" 43.661 "/>
    <x v="0"/>
    <n v="222874"/>
    <m/>
    <m/>
  </r>
  <r>
    <x v="7"/>
    <x v="5"/>
    <s v="C:\Users\andre\Desktop\REACTIV CEFAS\Saccharin\Saccharin/20201217_Cefas_Test10_Run1/Plate 1/@3/E3_01.tif "/>
    <s v=" 8219.36 "/>
    <s v=" 40.3105 "/>
    <x v="0"/>
    <n v="331327"/>
    <m/>
    <m/>
  </r>
  <r>
    <x v="7"/>
    <x v="5"/>
    <s v="C:\Users\andre\Desktop\REACTIV CEFAS\Saccharin\Saccharin/20201217_Cefas_Test10_Run1/Plate 1/@3/E3_02.tif "/>
    <s v=" 8522.1785 "/>
    <s v=" 40.9239 "/>
    <x v="0"/>
    <n v="348760"/>
    <m/>
    <m/>
  </r>
  <r>
    <x v="7"/>
    <x v="5"/>
    <s v="C:\Users\andre\Desktop\REACTIV CEFAS\Saccharin\Saccharin/20201217_Cefas_Test10_Run1/Plate 1/@3/E3_03.tif "/>
    <s v=" 12761.6378 "/>
    <s v=" 39.2373 "/>
    <x v="0"/>
    <n v="500732"/>
    <m/>
    <m/>
  </r>
  <r>
    <x v="7"/>
    <x v="5"/>
    <s v="C:\Users\andre\Desktop\REACTIV CEFAS\Saccharin\Saccharin/20201217_Cefas_Test10_Run1/Plate 1/@3/E3_04.tif "/>
    <s v=" 9019.6661 "/>
    <s v=" 41.6835 "/>
    <x v="0"/>
    <n v="375971"/>
    <m/>
    <m/>
  </r>
  <r>
    <x v="7"/>
    <x v="6"/>
    <s v="C:\Users\andre\Desktop\REACTIV CEFAS\Saccharin\Saccharin/20201217_Cefas_Test10_Run1/Plate 1/@3/F3_01.tif "/>
    <s v=" 12199.2606 "/>
    <s v=" 40.2979 "/>
    <x v="0"/>
    <n v="491604"/>
    <m/>
    <m/>
  </r>
  <r>
    <x v="7"/>
    <x v="6"/>
    <s v="C:\Users\andre\Desktop\REACTIV CEFAS\Saccharin\Saccharin/20201217_Cefas_Test10_Run1/Plate 1/@3/F3_02.tif "/>
    <s v=" 8392.3991 "/>
    <s v=" 39.0515 "/>
    <x v="0"/>
    <n v="327736"/>
    <m/>
    <m/>
  </r>
  <r>
    <x v="7"/>
    <x v="6"/>
    <s v="C:\Users\andre\Desktop\REACTIV CEFAS\Saccharin\Saccharin/20201217_Cefas_Test10_Run1/Plate 1/@3/F3_03.tif "/>
    <s v=" 9733.4526 "/>
    <s v=" 40.6933 "/>
    <x v="0"/>
    <n v="396087"/>
    <m/>
    <m/>
  </r>
  <r>
    <x v="7"/>
    <x v="6"/>
    <s v="C:\Users\andre\Desktop\REACTIV CEFAS\Saccharin\Saccharin/20201217_Cefas_Test10_Run1/Plate 1/@3/F3_04.tif "/>
    <s v=" 4823.4665 "/>
    <s v=" 40.4619 "/>
    <x v="0"/>
    <n v="195167"/>
    <m/>
    <m/>
  </r>
  <r>
    <x v="7"/>
    <x v="7"/>
    <s v="C:\Users\andre\Desktop\REACTIV CEFAS\Saccharin\Saccharin/20201217_Cefas_Test10_Run1/Plate 1/@3/G3_01.tif "/>
    <s v=" 1016.605 "/>
    <s v=" 33.1277 "/>
    <x v="0"/>
    <n v="33678"/>
    <m/>
    <m/>
  </r>
  <r>
    <x v="7"/>
    <x v="7"/>
    <s v="C:\Users\andre\Desktop\REACTIV CEFAS\Saccharin\Saccharin/20201217_Cefas_Test10_Run1/Plate 1/@3/G3_02.tif "/>
    <s v=" 389.3381 "/>
    <n v="31"/>
    <x v="0"/>
    <n v="12069"/>
    <m/>
    <m/>
  </r>
  <r>
    <x v="7"/>
    <x v="7"/>
    <s v="C:\Users\andre\Desktop\REACTIV CEFAS\Saccharin\Saccharin/20201217_Cefas_Test10_Run1/Plate 1/@3/G3_03.tif "/>
    <s v=" 21.6299 "/>
    <n v="30"/>
    <x v="0"/>
    <n v="649"/>
    <m/>
    <m/>
  </r>
  <r>
    <x v="7"/>
    <x v="7"/>
    <s v="C:\Users\andre\Desktop\REACTIV CEFAS\Saccharin\Saccharin/20201217_Cefas_Test10_Run1/Plate 1/@3/G3_04.tif "/>
    <s v=" 8998.0362 "/>
    <s v=" 43.5216 "/>
    <x v="0"/>
    <n v="391609"/>
    <m/>
    <m/>
  </r>
  <r>
    <x v="7"/>
    <x v="8"/>
    <s v="C:\Users\andre\Desktop\REACTIV CEFAS\Saccharin\Saccharin/20201217_Cefas_Test10_Run1/Plate 1/@3/H3_01.tif "/>
    <s v=" 9149.4454 "/>
    <s v=" 38.8605 "/>
    <x v="0"/>
    <n v="355552"/>
    <m/>
    <m/>
  </r>
  <r>
    <x v="7"/>
    <x v="8"/>
    <s v="C:\Users\andre\Desktop\REACTIV CEFAS\Saccharin\Saccharin/20201217_Cefas_Test10_Run1/Plate 1/@3/H3_02.tif "/>
    <s v=" 10533.7587 "/>
    <s v=" 39.2238 "/>
    <x v="0"/>
    <n v="413174"/>
    <m/>
    <m/>
  </r>
  <r>
    <x v="7"/>
    <x v="8"/>
    <s v="C:\Users\andre\Desktop\REACTIV CEFAS\Saccharin\Saccharin/20201217_Cefas_Test10_Run1/Plate 1/@3/H3_03.tif "/>
    <s v=" 13150.9759 "/>
    <s v=" 39.2105 "/>
    <x v="0"/>
    <n v="515657"/>
    <m/>
    <m/>
  </r>
  <r>
    <x v="7"/>
    <x v="8"/>
    <s v="C:\Users\andre\Desktop\REACTIV CEFAS\Saccharin\Saccharin/20201217_Cefas_Test10_Run1/Plate 1/@3/H3_04.tif "/>
    <s v=" 519.1175 "/>
    <s v=" 30.625 "/>
    <x v="0"/>
    <n v="15898"/>
    <m/>
    <m/>
  </r>
  <r>
    <x v="0"/>
    <x v="0"/>
    <s v=" "/>
    <m/>
    <m/>
    <x v="1"/>
    <m/>
    <m/>
    <m/>
  </r>
  <r>
    <x v="0"/>
    <x v="0"/>
    <s v="group "/>
    <s v=" "/>
    <s v=" mean of mean fluo "/>
    <x v="2"/>
    <s v=" mean of total fluo "/>
    <s v=" SD total fluo "/>
    <m/>
  </r>
  <r>
    <x v="7"/>
    <x v="9"/>
    <s v="C:\Users\andre\Desktop\REACTIV CEFAS\Saccharin\Saccharin/20201217_Cefas_Test10_Run1/Plate 1/@3/ "/>
    <s v=" "/>
    <s v=" 37.1492 "/>
    <x v="9"/>
    <s v=" 299284.719 "/>
    <s v=" 185200.074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Saccharin\Saccharin/20201217_Cefas_Test10_Run1/Plate 1/@4/A4_01- exclu.tif"/>
    <m/>
    <m/>
    <x v="1"/>
    <m/>
    <m/>
    <m/>
  </r>
  <r>
    <x v="8"/>
    <x v="1"/>
    <s v="C:\Users\andre\Desktop\REACTIV CEFAS\Saccharin\Saccharin/20201217_Cefas_Test10_Run1/Plate 1/@4/A4_02- exclu.tif"/>
    <m/>
    <m/>
    <x v="1"/>
    <m/>
    <m/>
    <m/>
  </r>
  <r>
    <x v="8"/>
    <x v="1"/>
    <s v="C:\Users\andre\Desktop\REACTIV CEFAS\Saccharin\Saccharin/20201217_Cefas_Test10_Run1/Plate 1/@4/A4_03- exclu.tif"/>
    <m/>
    <m/>
    <x v="1"/>
    <m/>
    <m/>
    <m/>
  </r>
  <r>
    <x v="8"/>
    <x v="1"/>
    <s v="C:\Users\andre\Desktop\REACTIV CEFAS\Saccharin\Saccharin/20201217_Cefas_Test10_Run1/Plate 1/@4/A4_04.tif "/>
    <s v=" 17455.325 "/>
    <s v=" 35.4015 "/>
    <x v="0"/>
    <n v="617944"/>
    <m/>
    <m/>
  </r>
  <r>
    <x v="8"/>
    <x v="2"/>
    <s v="C:\Users\andre\Desktop\REACTIV CEFAS\Saccharin\Saccharin/20201217_Cefas_Test10_Run1/Plate 1/@4/B4_01.tif "/>
    <s v=" 17260.6559 "/>
    <s v=" 33.6992 "/>
    <x v="0"/>
    <n v="581671"/>
    <m/>
    <m/>
  </r>
  <r>
    <x v="8"/>
    <x v="2"/>
    <s v="C:\Users\andre\Desktop\REACTIV CEFAS\Saccharin\Saccharin/20201217_Cefas_Test10_Run1/Plate 1/@4/B4_02- exclu.tif"/>
    <m/>
    <m/>
    <x v="1"/>
    <m/>
    <m/>
    <m/>
  </r>
  <r>
    <x v="8"/>
    <x v="2"/>
    <s v="C:\Users\andre\Desktop\REACTIV CEFAS\Saccharin\Saccharin/20201217_Cefas_Test10_Run1/Plate 1/@4/B4_03.tif "/>
    <s v=" 18904.5279 "/>
    <s v=" 33.5915 "/>
    <x v="0"/>
    <n v="635032"/>
    <m/>
    <m/>
  </r>
  <r>
    <x v="8"/>
    <x v="2"/>
    <s v="C:\Users\andre\Desktop\REACTIV CEFAS\Saccharin\Saccharin/20201217_Cefas_Test10_Run1/Plate 1/@4/B4_04.tif "/>
    <s v=" 24571.5603 "/>
    <s v=" 33.8477 "/>
    <x v="0"/>
    <n v="831691"/>
    <m/>
    <m/>
  </r>
  <r>
    <x v="8"/>
    <x v="3"/>
    <s v="C:\Users\andre\Desktop\REACTIV CEFAS\Saccharin\Saccharin/20201217_Cefas_Test10_Run1/Plate 1/@4/C4_01.tif "/>
    <s v=" 70946.0544 "/>
    <s v=" 46.3034 "/>
    <x v="0"/>
    <n v="3285040"/>
    <m/>
    <m/>
  </r>
  <r>
    <x v="8"/>
    <x v="3"/>
    <s v="C:\Users\andre\Desktop\REACTIV CEFAS\Saccharin\Saccharin/20201217_Cefas_Test10_Run1/Plate 1/@4/C4_02.tif "/>
    <s v=" 65798.1395 "/>
    <s v=" 43.4517 "/>
    <x v="0"/>
    <n v="2859039"/>
    <m/>
    <m/>
  </r>
  <r>
    <x v="8"/>
    <x v="3"/>
    <s v="C:\Users\andre\Desktop\REACTIV CEFAS\Saccharin\Saccharin/20201217_Cefas_Test10_Run1/Plate 1/@4/C4_03.tif "/>
    <s v=" 65473.691 "/>
    <s v=" 45.5035 "/>
    <x v="0"/>
    <n v="2979280"/>
    <m/>
    <m/>
  </r>
  <r>
    <x v="8"/>
    <x v="3"/>
    <s v="C:\Users\andre\Desktop\REACTIV CEFAS\Saccharin\Saccharin/20201217_Cefas_Test10_Run1/Plate 1/@4/C4_04- exclu.tif"/>
    <m/>
    <m/>
    <x v="1"/>
    <m/>
    <m/>
    <m/>
  </r>
  <r>
    <x v="8"/>
    <x v="4"/>
    <s v="C:\Users\andre\Desktop\REACTIV CEFAS\Saccharin\Saccharin/20201217_Cefas_Test10_Run1/Plate 1/@4/D4_01.tif "/>
    <s v=" 18644.9692 "/>
    <s v=" 33.1137 "/>
    <x v="0"/>
    <n v="617404"/>
    <m/>
    <m/>
  </r>
  <r>
    <x v="8"/>
    <x v="4"/>
    <s v="C:\Users\andre\Desktop\REACTIV CEFAS\Saccharin\Saccharin/20201217_Cefas_Test10_Run1/Plate 1/@4/D4_02.tif "/>
    <s v=" 30498.1514 "/>
    <s v=" 37.0674 "/>
    <x v="0"/>
    <n v="1130486"/>
    <m/>
    <m/>
  </r>
  <r>
    <x v="8"/>
    <x v="4"/>
    <s v="C:\Users\andre\Desktop\REACTIV CEFAS\Saccharin\Saccharin/20201217_Cefas_Test10_Run1/Plate 1/@4/D4_03.tif "/>
    <s v=" 32682.7708 "/>
    <s v=" 36.4064 "/>
    <x v="0"/>
    <n v="1189861"/>
    <m/>
    <m/>
  </r>
  <r>
    <x v="8"/>
    <x v="4"/>
    <s v="C:\Users\andre\Desktop\REACTIV CEFAS\Saccharin\Saccharin/20201217_Cefas_Test10_Run1/Plate 1/@4/D4_04.tif "/>
    <s v=" 39777.3762 "/>
    <s v=" 36.6476 "/>
    <x v="0"/>
    <n v="1457747"/>
    <m/>
    <m/>
  </r>
  <r>
    <x v="8"/>
    <x v="5"/>
    <s v="C:\Users\andre\Desktop\REACTIV CEFAS\Saccharin\Saccharin/20201217_Cefas_Test10_Run1/Plate 1/@4/E4_01.tif "/>
    <s v=" 17239.026 "/>
    <s v=" 33.1857 "/>
    <x v="0"/>
    <n v="572089"/>
    <m/>
    <m/>
  </r>
  <r>
    <x v="8"/>
    <x v="5"/>
    <s v="C:\Users\andre\Desktop\REACTIV CEFAS\Saccharin\Saccharin/20201217_Cefas_Test10_Run1/Plate 1/@4/E4_02.tif "/>
    <s v=" 29546.4361 "/>
    <s v=" 33.8675 "/>
    <x v="0"/>
    <n v="1000664"/>
    <m/>
    <m/>
  </r>
  <r>
    <x v="8"/>
    <x v="5"/>
    <s v="C:\Users\andre\Desktop\REACTIV CEFAS\Saccharin\Saccharin/20201217_Cefas_Test10_Run1/Plate 1/@4/E4_03.tif "/>
    <s v=" 38847.2908 "/>
    <s v=" 33.4532 "/>
    <x v="0"/>
    <n v="1299567"/>
    <m/>
    <m/>
  </r>
  <r>
    <x v="8"/>
    <x v="5"/>
    <s v="C:\Users\andre\Desktop\REACTIV CEFAS\Saccharin\Saccharin/20201217_Cefas_Test10_Run1/Plate 1/@4/E4_04.tif "/>
    <s v=" 36251.7034 "/>
    <s v=" 34.8455 "/>
    <x v="0"/>
    <n v="1263207"/>
    <m/>
    <m/>
  </r>
  <r>
    <x v="8"/>
    <x v="6"/>
    <s v="C:\Users\andre\Desktop\REACTIV CEFAS\Saccharin\Saccharin/20201217_Cefas_Test10_Run1/Plate 1/@4/F4_01.tif "/>
    <s v=" 302.8185 "/>
    <s v=" 31.3571 "/>
    <x v="0"/>
    <n v="9496"/>
    <m/>
    <m/>
  </r>
  <r>
    <x v="8"/>
    <x v="6"/>
    <s v="C:\Users\andre\Desktop\REACTIV CEFAS\Saccharin\Saccharin/20201217_Cefas_Test10_Run1/Plate 1/@4/F4_02- exclu.tif"/>
    <m/>
    <m/>
    <x v="1"/>
    <m/>
    <m/>
    <m/>
  </r>
  <r>
    <x v="8"/>
    <x v="6"/>
    <s v="C:\Users\andre\Desktop\REACTIV CEFAS\Saccharin\Saccharin/20201217_Cefas_Test10_Run1/Plate 1/@4/F4_03.tif "/>
    <s v=" 4542.2779 "/>
    <s v=" 39.9857 "/>
    <x v="0"/>
    <n v="181626"/>
    <m/>
    <m/>
  </r>
  <r>
    <x v="8"/>
    <x v="6"/>
    <s v="C:\Users\andre\Desktop\REACTIV CEFAS\Saccharin\Saccharin/20201217_Cefas_Test10_Run1/Plate 1/@4/F4_04- exclu.tif"/>
    <m/>
    <m/>
    <x v="1"/>
    <m/>
    <m/>
    <m/>
  </r>
  <r>
    <x v="8"/>
    <x v="7"/>
    <s v="C:\Users\andre\Desktop\REACTIV CEFAS\Saccharin\Saccharin/20201217_Cefas_Test10_Run1/Plate 1/@4/G4_01.tif "/>
    <s v=" 1773.6514 "/>
    <s v=" 34.3293 "/>
    <x v="0"/>
    <n v="60888"/>
    <m/>
    <m/>
  </r>
  <r>
    <x v="8"/>
    <x v="7"/>
    <s v="C:\Users\andre\Desktop\REACTIV CEFAS\Saccharin\Saccharin/20201217_Cefas_Test10_Run1/Plate 1/@4/G4_02.tif "/>
    <s v=" 3828.4913 "/>
    <s v=" 36.9209 "/>
    <x v="0"/>
    <n v="141351"/>
    <m/>
    <m/>
  </r>
  <r>
    <x v="8"/>
    <x v="7"/>
    <s v="C:\Users\andre\Desktop\REACTIV CEFAS\Saccharin\Saccharin/20201217_Cefas_Test10_Run1/Plate 1/@4/G4_03.tif "/>
    <s v=" 7246.0147 "/>
    <s v=" 38.9582 "/>
    <x v="0"/>
    <n v="282292"/>
    <m/>
    <m/>
  </r>
  <r>
    <x v="8"/>
    <x v="7"/>
    <s v="C:\Users\andre\Desktop\REACTIV CEFAS\Saccharin\Saccharin/20201217_Cefas_Test10_Run1/Plate 1/@4/G4_04.tif "/>
    <s v=" 12329.0399 "/>
    <s v=" 36.7965 "/>
    <x v="0"/>
    <n v="453665"/>
    <m/>
    <m/>
  </r>
  <r>
    <x v="8"/>
    <x v="8"/>
    <s v="C:\Users\andre\Desktop\REACTIV CEFAS\Saccharin\Saccharin/20201217_Cefas_Test10_Run1/Plate 1/@4/H4_01.tif "/>
    <s v=" 1535.7225 "/>
    <s v=" 31.831 "/>
    <x v="0"/>
    <n v="48884"/>
    <m/>
    <m/>
  </r>
  <r>
    <x v="8"/>
    <x v="8"/>
    <s v="C:\Users\andre\Desktop\REACTIV CEFAS\Saccharin\Saccharin/20201217_Cefas_Test10_Run1/Plate 1/@4/H4_02.tif "/>
    <s v=" 4499.0181 "/>
    <s v=" 31.726 "/>
    <x v="0"/>
    <n v="142736"/>
    <m/>
    <m/>
  </r>
  <r>
    <x v="8"/>
    <x v="8"/>
    <s v="C:\Users\andre\Desktop\REACTIV CEFAS\Saccharin\Saccharin/20201217_Cefas_Test10_Run1/Plate 1/@4/H4_03.tif "/>
    <s v=" 14556.9191 "/>
    <s v=" 35.2006 "/>
    <x v="0"/>
    <n v="512412"/>
    <m/>
    <m/>
  </r>
  <r>
    <x v="8"/>
    <x v="8"/>
    <s v="C:\Users\andre\Desktop\REACTIV CEFAS\Saccharin\Saccharin/20201217_Cefas_Test10_Run1/Plate 1/@4/H4_04.tif "/>
    <s v=" 9755.0825 "/>
    <s v=" 33.6253 "/>
    <x v="0"/>
    <n v="328017"/>
    <m/>
    <m/>
  </r>
  <r>
    <x v="0"/>
    <x v="0"/>
    <s v=" "/>
    <m/>
    <m/>
    <x v="1"/>
    <m/>
    <m/>
    <m/>
  </r>
  <r>
    <x v="0"/>
    <x v="0"/>
    <s v="group "/>
    <s v=" "/>
    <s v=" mean of mean fluo "/>
    <x v="2"/>
    <s v=" mean of total fluo "/>
    <s v=" SD total fluo "/>
    <m/>
  </r>
  <r>
    <x v="8"/>
    <x v="9"/>
    <s v="C:\Users\andre\Desktop\REACTIV CEFAS\Saccharin\Saccharin/20201217_Cefas_Test10_Run1/Plate 1/@4/ "/>
    <s v=" "/>
    <s v=" 36.9123 "/>
    <x v="10"/>
    <s v=" 948028.094 "/>
    <s v=" 921359.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Saccharin\Saccharin/20201217_Cefas_Test10_Run1/Plate 1/@5/A5_01.tif "/>
    <s v=" 45141.5901 "/>
    <s v=" 39.3876 "/>
    <x v="0"/>
    <n v="1778021"/>
    <m/>
    <m/>
  </r>
  <r>
    <x v="9"/>
    <x v="1"/>
    <s v="C:\Users\andre\Desktop\REACTIV CEFAS\Saccharin\Saccharin/20201217_Cefas_Test10_Run1/Plate 1/@5/A5_02.tif "/>
    <s v=" 58963.0928 "/>
    <s v=" 41.3683 "/>
    <x v="0"/>
    <n v="2439203"/>
    <m/>
    <m/>
  </r>
  <r>
    <x v="9"/>
    <x v="1"/>
    <s v="C:\Users\andre\Desktop\REACTIV CEFAS\Saccharin\Saccharin/20201217_Cefas_Test10_Run1/Plate 1/@5/A5_03- exclu.tif"/>
    <m/>
    <m/>
    <x v="1"/>
    <m/>
    <m/>
    <m/>
  </r>
  <r>
    <x v="9"/>
    <x v="1"/>
    <s v="C:\Users\andre\Desktop\REACTIV CEFAS\Saccharin\Saccharin/20201217_Cefas_Test10_Run1/Plate 1/@5/A5_04.tif "/>
    <s v=" 40880.5008 "/>
    <s v=" 38.0127 "/>
    <x v="0"/>
    <n v="1553978"/>
    <m/>
    <m/>
  </r>
  <r>
    <x v="9"/>
    <x v="2"/>
    <s v="C:\Users\andre\Desktop\REACTIV CEFAS\Saccharin\Saccharin/20201217_Cefas_Test10_Run1/Plate 1/@5/B5_01.tif "/>
    <s v=" 67377.1218 "/>
    <s v=" 42.8263 "/>
    <x v="0"/>
    <n v="2885514"/>
    <m/>
    <m/>
  </r>
  <r>
    <x v="9"/>
    <x v="2"/>
    <s v="C:\Users\andre\Desktop\REACTIV CEFAS\Saccharin\Saccharin/20201217_Cefas_Test10_Run1/Plate 1/@5/B5_02.tif "/>
    <s v=" 57708.5589 "/>
    <s v=" 44.096 "/>
    <x v="0"/>
    <n v="2544714"/>
    <m/>
    <m/>
  </r>
  <r>
    <x v="9"/>
    <x v="2"/>
    <s v="C:\Users\andre\Desktop\REACTIV CEFAS\Saccharin\Saccharin/20201217_Cefas_Test10_Run1/Plate 1/@5/B5_03.tif "/>
    <s v=" 61731.7193 "/>
    <s v=" 40.6997 "/>
    <x v="0"/>
    <n v="2512464"/>
    <m/>
    <m/>
  </r>
  <r>
    <x v="9"/>
    <x v="2"/>
    <s v="C:\Users\andre\Desktop\REACTIV CEFAS\Saccharin\Saccharin/20201217_Cefas_Test10_Run1/Plate 1/@5/B5_04.tif "/>
    <s v=" 62315.7264 "/>
    <s v=" 41.1236 "/>
    <x v="0"/>
    <n v="2562645"/>
    <m/>
    <m/>
  </r>
  <r>
    <x v="9"/>
    <x v="3"/>
    <s v="C:\Users\andre\Desktop\REACTIV CEFAS\Saccharin\Saccharin/20201217_Cefas_Test10_Run1/Plate 1/@5/C5_01.tif "/>
    <s v=" 76115.5992 "/>
    <s v=" 38.7548 "/>
    <x v="0"/>
    <n v="2949842"/>
    <m/>
    <m/>
  </r>
  <r>
    <x v="9"/>
    <x v="3"/>
    <s v="C:\Users\andre\Desktop\REACTIV CEFAS\Saccharin\Saccharin/20201217_Cefas_Test10_Run1/Plate 1/@5/C5_02- exclu.tif"/>
    <m/>
    <m/>
    <x v="1"/>
    <m/>
    <m/>
    <m/>
  </r>
  <r>
    <x v="9"/>
    <x v="3"/>
    <s v="C:\Users\andre\Desktop\REACTIV CEFAS\Saccharin\Saccharin/20201217_Cefas_Test10_Run1/Plate 1/@5/C5_03- exclu.tif"/>
    <m/>
    <m/>
    <x v="1"/>
    <m/>
    <m/>
    <m/>
  </r>
  <r>
    <x v="9"/>
    <x v="3"/>
    <s v="C:\Users\andre\Desktop\REACTIV CEFAS\Saccharin\Saccharin/20201217_Cefas_Test10_Run1/Plate 1/@5/C5_04.tif "/>
    <s v=" 73044.1542 "/>
    <s v=" 45.2896 "/>
    <x v="0"/>
    <n v="3308141"/>
    <m/>
    <m/>
  </r>
  <r>
    <x v="9"/>
    <x v="4"/>
    <s v="C:\Users\andre\Desktop\REACTIV CEFAS\Saccharin\Saccharin/20201217_Cefas_Test10_Run1/Plate 1/@5/D5_01.tif "/>
    <s v=" 63743.2995 "/>
    <s v=" 43.2514 "/>
    <x v="0"/>
    <n v="2756990"/>
    <m/>
    <m/>
  </r>
  <r>
    <x v="9"/>
    <x v="4"/>
    <s v="C:\Users\andre\Desktop\REACTIV CEFAS\Saccharin\Saccharin/20201217_Cefas_Test10_Run1/Plate 1/@5/D5_02.tif "/>
    <s v=" 52495.7543 "/>
    <s v=" 42.2921 "/>
    <x v="0"/>
    <n v="2220157"/>
    <m/>
    <m/>
  </r>
  <r>
    <x v="9"/>
    <x v="4"/>
    <s v="C:\Users\andre\Desktop\REACTIV CEFAS\Saccharin\Saccharin/20201217_Cefas_Test10_Run1/Plate 1/@5/D5_03.tif "/>
    <s v=" 59374.0608 "/>
    <s v=" 43.3701 "/>
    <x v="0"/>
    <n v="2575061"/>
    <m/>
    <m/>
  </r>
  <r>
    <x v="9"/>
    <x v="4"/>
    <s v="C:\Users\andre\Desktop\REACTIV CEFAS\Saccharin\Saccharin/20201217_Cefas_Test10_Run1/Plate 1/@5/D5_04.tif "/>
    <s v=" 49489.1989 "/>
    <s v=" 43.7076 "/>
    <x v="0"/>
    <n v="2163054"/>
    <m/>
    <m/>
  </r>
  <r>
    <x v="9"/>
    <x v="5"/>
    <s v="C:\Users\andre\Desktop\REACTIV CEFAS\Saccharin\Saccharin/20201217_Cefas_Test10_Run1/Plate 1/@5/E5_01.tif "/>
    <s v=" 58011.3774 "/>
    <s v=" 40.2946 "/>
    <x v="0"/>
    <n v="2337543"/>
    <m/>
    <m/>
  </r>
  <r>
    <x v="9"/>
    <x v="5"/>
    <s v="C:\Users\andre\Desktop\REACTIV CEFAS\Saccharin\Saccharin/20201217_Cefas_Test10_Run1/Plate 1/@5/E5_02.tif "/>
    <s v=" 63245.8119 "/>
    <s v=" 39.9979 "/>
    <x v="0"/>
    <n v="2529703"/>
    <m/>
    <m/>
  </r>
  <r>
    <x v="9"/>
    <x v="5"/>
    <s v="C:\Users\andre\Desktop\REACTIV CEFAS\Saccharin\Saccharin/20201217_Cefas_Test10_Run1/Plate 1/@5/E5_03- exclu.tif"/>
    <m/>
    <m/>
    <x v="1"/>
    <m/>
    <m/>
    <m/>
  </r>
  <r>
    <x v="9"/>
    <x v="5"/>
    <s v="C:\Users\andre\Desktop\REACTIV CEFAS\Saccharin\Saccharin/20201217_Cefas_Test10_Run1/Plate 1/@5/E5_04.tif "/>
    <s v=" 41594.2874 "/>
    <s v=" 35.3521 "/>
    <x v="0"/>
    <n v="1470443"/>
    <m/>
    <m/>
  </r>
  <r>
    <x v="9"/>
    <x v="6"/>
    <s v="C:\Users\andre\Desktop\REACTIV CEFAS\Saccharin\Saccharin/20201217_Cefas_Test10_Run1/Plate 1/@5/F5_01.tif "/>
    <s v=" 83534.6531 "/>
    <s v=" 44.3915 "/>
    <x v="0"/>
    <n v="3708229"/>
    <m/>
    <m/>
  </r>
  <r>
    <x v="9"/>
    <x v="6"/>
    <s v="C:\Users\andre\Desktop\REACTIV CEFAS\Saccharin\Saccharin/20201217_Cefas_Test10_Run1/Plate 1/@5/F5_02.tif "/>
    <s v=" 77932.5103 "/>
    <s v=" 42.7386 "/>
    <x v="0"/>
    <n v="3330723"/>
    <m/>
    <m/>
  </r>
  <r>
    <x v="9"/>
    <x v="6"/>
    <s v="C:\Users\andre\Desktop\REACTIV CEFAS\Saccharin\Saccharin/20201217_Cefas_Test10_Run1/Plate 1/@5/F5_03.tif "/>
    <s v=" 79771.0514 "/>
    <s v=" 44.5911 "/>
    <x v="0"/>
    <n v="3557079"/>
    <m/>
    <m/>
  </r>
  <r>
    <x v="9"/>
    <x v="6"/>
    <s v="C:\Users\andre\Desktop\REACTIV CEFAS\Saccharin\Saccharin/20201217_Cefas_Test10_Run1/Plate 1/@5/F5_04.tif "/>
    <s v=" 88033.6711 "/>
    <s v=" 44.9727 "/>
    <x v="0"/>
    <n v="3959114"/>
    <m/>
    <m/>
  </r>
  <r>
    <x v="9"/>
    <x v="7"/>
    <s v="C:\Users\andre\Desktop\REACTIV CEFAS\Saccharin\Saccharin/20201217_Cefas_Test10_Run1/Plate 1/@5/G5_01.tif "/>
    <s v=" 13497.0542 "/>
    <s v=" 33.8766 "/>
    <x v="0"/>
    <n v="457234"/>
    <m/>
    <m/>
  </r>
  <r>
    <x v="9"/>
    <x v="7"/>
    <s v="C:\Users\andre\Desktop\REACTIV CEFAS\Saccharin\Saccharin/20201217_Cefas_Test10_Run1/Plate 1/@5/G5_02.tif "/>
    <s v=" 37073.6394 "/>
    <s v=" 36.0963 "/>
    <x v="0"/>
    <n v="1338220"/>
    <m/>
    <m/>
  </r>
  <r>
    <x v="9"/>
    <x v="7"/>
    <s v="C:\Users\andre\Desktop\REACTIV CEFAS\Saccharin\Saccharin/20201217_Cefas_Test10_Run1/Plate 1/@5/G5_03.tif "/>
    <s v=" 34867.3901 "/>
    <s v=" 36.9082 "/>
    <x v="0"/>
    <n v="1286892"/>
    <m/>
    <m/>
  </r>
  <r>
    <x v="9"/>
    <x v="7"/>
    <s v="C:\Users\andre\Desktop\REACTIV CEFAS\Saccharin\Saccharin/20201217_Cefas_Test10_Run1/Plate 1/@5/G5_04.tif "/>
    <s v=" 9582.0433 "/>
    <s v=" 33.6591 "/>
    <x v="0"/>
    <n v="322523"/>
    <m/>
    <m/>
  </r>
  <r>
    <x v="9"/>
    <x v="8"/>
    <s v="C:\Users\andre\Desktop\REACTIV CEFAS\Saccharin\Saccharin/20201217_Cefas_Test10_Run1/Plate 1/@5/H5_01.tif "/>
    <s v=" 973.3453 "/>
    <s v=" 31.3556 "/>
    <x v="0"/>
    <n v="30520"/>
    <m/>
    <m/>
  </r>
  <r>
    <x v="9"/>
    <x v="8"/>
    <s v="C:\Users\andre\Desktop\REACTIV CEFAS\Saccharin\Saccharin/20201217_Cefas_Test10_Run1/Plate 1/@5/H5_02- exclu.tif"/>
    <m/>
    <m/>
    <x v="1"/>
    <m/>
    <m/>
    <m/>
  </r>
  <r>
    <x v="9"/>
    <x v="8"/>
    <s v="C:\Users\andre\Desktop\REACTIV CEFAS\Saccharin\Saccharin/20201217_Cefas_Test10_Run1/Plate 1/@5/H5_03- exclu.tif"/>
    <m/>
    <m/>
    <x v="1"/>
    <m/>
    <m/>
    <m/>
  </r>
  <r>
    <x v="9"/>
    <x v="8"/>
    <s v="C:\Users\andre\Desktop\REACTIV CEFAS\Saccharin\Saccharin/20201217_Cefas_Test10_Run1/Plate 1/@5/H5_04- exclu.tif"/>
    <m/>
    <m/>
    <x v="1"/>
    <m/>
    <m/>
    <m/>
  </r>
  <r>
    <x v="0"/>
    <x v="0"/>
    <s v=" "/>
    <m/>
    <m/>
    <x v="1"/>
    <m/>
    <m/>
    <m/>
  </r>
  <r>
    <x v="0"/>
    <x v="0"/>
    <s v="group "/>
    <s v=" "/>
    <s v=" mean of mean fluo "/>
    <x v="2"/>
    <s v=" mean of total fluo "/>
    <s v=" SD total fluo "/>
    <m/>
  </r>
  <r>
    <x v="9"/>
    <x v="9"/>
    <s v="C:\Users\andre\Desktop\REACTIV CEFAS\Saccharin\Saccharin/20201217_Cefas_Test10_Run1/Plate 1/@5/ "/>
    <s v=" "/>
    <s v=" 41.1186 "/>
    <x v="11"/>
    <s v=" 2178940.12 "/>
    <s v=" 1120797.4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Saccharin\Saccharin/20201217_Cefas_Test10_Run1/Plate 1/@6/A6_01.tif "/>
    <s v=" 56518.9147 "/>
    <s v=" 43.1871 "/>
    <x v="0"/>
    <n v="2440890"/>
    <m/>
    <m/>
  </r>
  <r>
    <x v="10"/>
    <x v="1"/>
    <s v="C:\Users\andre\Desktop\REACTIV CEFAS\Saccharin\Saccharin/20201217_Cefas_Test10_Run1/Plate 1/@6/A6_02.tif "/>
    <s v=" 62769.9542 "/>
    <s v=" 46.0152 "/>
    <x v="0"/>
    <n v="2888370"/>
    <m/>
    <m/>
  </r>
  <r>
    <x v="10"/>
    <x v="1"/>
    <s v="C:\Users\andre\Desktop\REACTIV CEFAS\Saccharin\Saccharin/20201217_Cefas_Test10_Run1/Plate 1/@6/A6_03.tif "/>
    <s v=" 63808.1892 "/>
    <s v=" 47.2071 "/>
    <x v="0"/>
    <n v="3012201"/>
    <m/>
    <m/>
  </r>
  <r>
    <x v="10"/>
    <x v="1"/>
    <s v="C:\Users\andre\Desktop\REACTIV CEFAS\Saccharin\Saccharin/20201217_Cefas_Test10_Run1/Plate 1/@6/A6_04.tif "/>
    <s v=" 64911.3138 "/>
    <s v=" 45.5811 "/>
    <x v="0"/>
    <n v="2958732"/>
    <m/>
    <m/>
  </r>
  <r>
    <x v="10"/>
    <x v="2"/>
    <s v="C:\Users\andre\Desktop\REACTIV CEFAS\Saccharin\Saccharin/20201217_Cefas_Test10_Run1/Plate 1/@6/B6_01.tif "/>
    <s v=" 53555.6191 "/>
    <s v=" 46.3974 "/>
    <x v="0"/>
    <n v="2484842"/>
    <m/>
    <m/>
  </r>
  <r>
    <x v="10"/>
    <x v="2"/>
    <s v="C:\Users\andre\Desktop\REACTIV CEFAS\Saccharin\Saccharin/20201217_Cefas_Test10_Run1/Plate 1/@6/B6_02.tif "/>
    <s v=" 53923.3273 "/>
    <s v=" 45.7148 "/>
    <x v="0"/>
    <n v="2465094"/>
    <m/>
    <m/>
  </r>
  <r>
    <x v="10"/>
    <x v="2"/>
    <s v="C:\Users\andre\Desktop\REACTIV CEFAS\Saccharin\Saccharin/20201217_Cefas_Test10_Run1/Plate 1/@6/B6_03.tif "/>
    <s v=" 55069.7117 "/>
    <s v=" 47.9666 "/>
    <x v="0"/>
    <n v="2641508"/>
    <m/>
    <m/>
  </r>
  <r>
    <x v="10"/>
    <x v="2"/>
    <s v="C:\Users\andre\Desktop\REACTIV CEFAS\Saccharin\Saccharin/20201217_Cefas_Test10_Run1/Plate 1/@6/B6_04.tif "/>
    <s v=" 57665.2991 "/>
    <s v=" 47.323 "/>
    <x v="0"/>
    <n v="2728892"/>
    <m/>
    <m/>
  </r>
  <r>
    <x v="10"/>
    <x v="3"/>
    <s v="C:\Users\andre\Desktop\REACTIV CEFAS\Saccharin\Saccharin/20201217_Cefas_Test10_Run1/Plate 1/@6/C6_01- exclu.tif"/>
    <m/>
    <m/>
    <x v="1"/>
    <m/>
    <m/>
    <m/>
  </r>
  <r>
    <x v="10"/>
    <x v="3"/>
    <s v="C:\Users\andre\Desktop\REACTIV CEFAS\Saccharin\Saccharin/20201217_Cefas_Test10_Run1/Plate 1/@6/C6_02- exclu.tif"/>
    <m/>
    <m/>
    <x v="1"/>
    <m/>
    <m/>
    <m/>
  </r>
  <r>
    <x v="10"/>
    <x v="3"/>
    <s v="C:\Users\andre\Desktop\REACTIV CEFAS\Saccharin\Saccharin/20201217_Cefas_Test10_Run1/Plate 1/@6/C6_03.tif "/>
    <s v=" 73000.8944 "/>
    <s v=" 43.1292 "/>
    <x v="0"/>
    <n v="3148469"/>
    <m/>
    <m/>
  </r>
  <r>
    <x v="10"/>
    <x v="3"/>
    <s v="C:\Users\andre\Desktop\REACTIV CEFAS\Saccharin\Saccharin/20201217_Cefas_Test10_Run1/Plate 1/@6/C6_04.tif "/>
    <s v=" 82539.6779 "/>
    <s v=" 41.5629 "/>
    <x v="0"/>
    <n v="3430588"/>
    <m/>
    <m/>
  </r>
  <r>
    <x v="10"/>
    <x v="4"/>
    <s v="C:\Users\andre\Desktop\REACTIV CEFAS\Saccharin\Saccharin/20201217_Cefas_Test10_Run1/Plate 1/@6/D6_01.tif "/>
    <s v=" 63202.5521 "/>
    <s v=" 47.8409 "/>
    <x v="0"/>
    <n v="3023665"/>
    <m/>
    <m/>
  </r>
  <r>
    <x v="10"/>
    <x v="4"/>
    <s v="C:\Users\andre\Desktop\REACTIV CEFAS\Saccharin\Saccharin/20201217_Cefas_Test10_Run1/Plate 1/@6/D6_02.tif "/>
    <s v=" 62034.5378 "/>
    <s v=" 46.6974 "/>
    <x v="0"/>
    <n v="2896849"/>
    <m/>
    <m/>
  </r>
  <r>
    <x v="10"/>
    <x v="4"/>
    <s v="C:\Users\andre\Desktop\REACTIV CEFAS\Saccharin\Saccharin/20201217_Cefas_Test10_Run1/Plate 1/@6/D6_03.tif "/>
    <s v=" 65495.3209 "/>
    <s v=" 47.0337 "/>
    <x v="0"/>
    <n v="3080486"/>
    <m/>
    <m/>
  </r>
  <r>
    <x v="10"/>
    <x v="4"/>
    <s v="C:\Users\andre\Desktop\REACTIV CEFAS\Saccharin\Saccharin/20201217_Cefas_Test10_Run1/Plate 1/@6/D6_04.tif "/>
    <s v=" 64219.1572 "/>
    <s v=" 46.7686 "/>
    <x v="0"/>
    <n v="3003441"/>
    <m/>
    <m/>
  </r>
  <r>
    <x v="10"/>
    <x v="5"/>
    <s v="C:\Users\andre\Desktop\REACTIV CEFAS\Saccharin\Saccharin/20201217_Cefas_Test10_Run1/Plate 1/@6/E6_01.tif "/>
    <s v=" 50938.4019 "/>
    <s v=" 43.0047 "/>
    <x v="0"/>
    <n v="2190589"/>
    <m/>
    <m/>
  </r>
  <r>
    <x v="10"/>
    <x v="5"/>
    <s v="C:\Users\andre\Desktop\REACTIV CEFAS\Saccharin\Saccharin/20201217_Cefas_Test10_Run1/Plate 1/@6/E6_02.tif "/>
    <s v=" 57859.9681 "/>
    <s v=" 44.5607 "/>
    <x v="0"/>
    <n v="2578283"/>
    <m/>
    <m/>
  </r>
  <r>
    <x v="10"/>
    <x v="5"/>
    <s v="C:\Users\andre\Desktop\REACTIV CEFAS\Saccharin\Saccharin/20201217_Cefas_Test10_Run1/Plate 1/@6/E6_03.tif "/>
    <s v=" 48213.0351 "/>
    <s v=" 44.4154 "/>
    <x v="0"/>
    <n v="2141403"/>
    <m/>
    <m/>
  </r>
  <r>
    <x v="10"/>
    <x v="5"/>
    <s v="C:\Users\andre\Desktop\REACTIV CEFAS\Saccharin\Saccharin/20201217_Cefas_Test10_Run1/Plate 1/@6/E6_04.tif "/>
    <s v=" 56605.4342 "/>
    <s v=" 43.3481 "/>
    <x v="0"/>
    <n v="2453739"/>
    <m/>
    <m/>
  </r>
  <r>
    <x v="10"/>
    <x v="6"/>
    <s v="C:\Users\andre\Desktop\REACTIV CEFAS\Saccharin\Saccharin/20201217_Cefas_Test10_Run1/Plate 1/@6/F6_01.tif "/>
    <s v=" 78451.6278 "/>
    <s v=" 45.0543 "/>
    <x v="0"/>
    <n v="3534584"/>
    <m/>
    <m/>
  </r>
  <r>
    <x v="10"/>
    <x v="6"/>
    <s v="C:\Users\andre\Desktop\REACTIV CEFAS\Saccharin\Saccharin/20201217_Cefas_Test10_Run1/Plate 1/@6/F6_02.tif "/>
    <s v=" 70080.8586 "/>
    <s v=" 45.7179 "/>
    <x v="0"/>
    <n v="3203950"/>
    <m/>
    <m/>
  </r>
  <r>
    <x v="10"/>
    <x v="6"/>
    <s v="C:\Users\andre\Desktop\REACTIV CEFAS\Saccharin\Saccharin/20201217_Cefas_Test10_Run1/Plate 1/@6/F6_03.tif "/>
    <s v=" 79078.8948 "/>
    <s v=" 43.8072 "/>
    <x v="0"/>
    <n v="3464222"/>
    <m/>
    <m/>
  </r>
  <r>
    <x v="10"/>
    <x v="6"/>
    <s v="C:\Users\andre\Desktop\REACTIV CEFAS\Saccharin\Saccharin/20201217_Cefas_Test10_Run1/Plate 1/@6/F6_04.tif "/>
    <s v=" 82345.0089 "/>
    <s v=" 48.0029 "/>
    <x v="0"/>
    <n v="3952798"/>
    <m/>
    <m/>
  </r>
  <r>
    <x v="10"/>
    <x v="7"/>
    <s v="C:\Users\andre\Desktop\REACTIV CEFAS\Saccharin\Saccharin/20201217_Cefas_Test10_Run1/Plate 1/@6/G6_01.tif "/>
    <s v=" 66165.8477 "/>
    <s v=" 38.8173 "/>
    <x v="0"/>
    <n v="2568377"/>
    <m/>
    <m/>
  </r>
  <r>
    <x v="10"/>
    <x v="7"/>
    <s v="C:\Users\andre\Desktop\REACTIV CEFAS\Saccharin\Saccharin/20201217_Cefas_Test10_Run1/Plate 1/@6/G6_02.tif "/>
    <s v=" 70426.9369 "/>
    <s v=" 40.8707 "/>
    <x v="0"/>
    <n v="2878398"/>
    <m/>
    <m/>
  </r>
  <r>
    <x v="10"/>
    <x v="7"/>
    <s v="C:\Users\andre\Desktop\REACTIV CEFAS\Saccharin\Saccharin/20201217_Cefas_Test10_Run1/Plate 1/@6/G6_03.tif "/>
    <s v=" 70578.3462 "/>
    <s v=" 40.2626 "/>
    <x v="0"/>
    <n v="2841671"/>
    <m/>
    <m/>
  </r>
  <r>
    <x v="10"/>
    <x v="7"/>
    <s v="C:\Users\andre\Desktop\REACTIV CEFAS\Saccharin\Saccharin/20201217_Cefas_Test10_Run1/Plate 1/@6/G6_04.tif "/>
    <s v=" 75315.2931 "/>
    <s v=" 43.5063 "/>
    <x v="0"/>
    <n v="3276691"/>
    <m/>
    <m/>
  </r>
  <r>
    <x v="10"/>
    <x v="8"/>
    <s v="C:\Users\andre\Desktop\REACTIV CEFAS\Saccharin\Saccharin/20201217_Cefas_Test10_Run1/Plate 1/@6/H6_01.tif "/>
    <s v=" 58422.3454 "/>
    <s v=" 46.3776 "/>
    <x v="0"/>
    <n v="2709490"/>
    <m/>
    <m/>
  </r>
  <r>
    <x v="10"/>
    <x v="8"/>
    <s v="C:\Users\andre\Desktop\REACTIV CEFAS\Saccharin\Saccharin/20201217_Cefas_Test10_Run1/Plate 1/@6/H6_02.tif "/>
    <s v=" 57124.5517 "/>
    <s v=" 49.4317 "/>
    <x v="0"/>
    <n v="2823761"/>
    <m/>
    <m/>
  </r>
  <r>
    <x v="10"/>
    <x v="8"/>
    <s v="C:\Users\andre\Desktop\REACTIV CEFAS\Saccharin\Saccharin/20201217_Cefas_Test10_Run1/Plate 1/@6/H6_03.tif "/>
    <s v=" 52928.3522 "/>
    <s v=" 45.4103 "/>
    <x v="0"/>
    <n v="2403492"/>
    <m/>
    <m/>
  </r>
  <r>
    <x v="10"/>
    <x v="8"/>
    <s v="C:\Users\andre\Desktop\REACTIV CEFAS\Saccharin\Saccharin/20201217_Cefas_Test10_Run1/Plate 1/@6/H6_04.tif "/>
    <s v=" 58660.2742 "/>
    <s v=" 44.1221 "/>
    <x v="0"/>
    <n v="2588212"/>
    <m/>
    <m/>
  </r>
  <r>
    <x v="0"/>
    <x v="0"/>
    <s v=" "/>
    <m/>
    <m/>
    <x v="1"/>
    <m/>
    <m/>
    <m/>
  </r>
  <r>
    <x v="0"/>
    <x v="0"/>
    <s v="group "/>
    <s v=" "/>
    <s v=" mean of mean fluo "/>
    <x v="2"/>
    <s v=" mean of total fluo "/>
    <s v=" SD total fluo "/>
    <m/>
  </r>
  <r>
    <x v="10"/>
    <x v="9"/>
    <s v="C:\Users\andre\Desktop\REACTIV CEFAS\Saccharin\Saccharin/20201217_Cefas_Test10_Run1/Plate 1/@6/ "/>
    <s v=" "/>
    <s v=" 45.0437 "/>
    <x v="12"/>
    <s v=" 2838848.66 "/>
    <s v=" 410328.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Saccharin\Saccharin/20201217_Cefas_Test10_Run1/Plate 1/@7/A7_01.tif "/>
    <s v=" 102309.402 "/>
    <s v=" 58.3159 "/>
    <x v="0"/>
    <n v="5966260"/>
    <m/>
    <m/>
  </r>
  <r>
    <x v="11"/>
    <x v="1"/>
    <s v="C:\Users\andre\Desktop\REACTIV CEFAS\Saccharin\Saccharin/20201217_Cefas_Test10_Run1/Plate 1/@7/A7_02- exclu.tif"/>
    <m/>
    <m/>
    <x v="1"/>
    <m/>
    <m/>
    <m/>
  </r>
  <r>
    <x v="11"/>
    <x v="1"/>
    <s v="C:\Users\andre\Desktop\REACTIV CEFAS\Saccharin\Saccharin/20201217_Cefas_Test10_Run1/Plate 1/@7/A7_03- exclu.tif"/>
    <m/>
    <m/>
    <x v="1"/>
    <m/>
    <m/>
    <m/>
  </r>
  <r>
    <x v="11"/>
    <x v="1"/>
    <s v="C:\Users\andre\Desktop\REACTIV CEFAS\Saccharin\Saccharin/20201217_Cefas_Test10_Run1/Plate 1/@7/A7_04- exclu.tif"/>
    <m/>
    <m/>
    <x v="1"/>
    <m/>
    <m/>
    <m/>
  </r>
  <r>
    <x v="11"/>
    <x v="2"/>
    <s v="C:\Users\andre\Desktop\REACTIV CEFAS\Saccharin\Saccharin/20201217_Cefas_Test10_Run1/Plate 1/@7/B7_01.tif "/>
    <s v=" 91472.8244 "/>
    <s v=" 58.458 "/>
    <x v="0"/>
    <n v="5347321"/>
    <m/>
    <m/>
  </r>
  <r>
    <x v="11"/>
    <x v="2"/>
    <s v="C:\Users\andre\Desktop\REACTIV CEFAS\Saccharin\Saccharin/20201217_Cefas_Test10_Run1/Plate 1/@7/B7_02.tif "/>
    <s v=" 81955.6707 "/>
    <s v=" 61.5864 "/>
    <x v="0"/>
    <n v="5047358"/>
    <m/>
    <m/>
  </r>
  <r>
    <x v="11"/>
    <x v="2"/>
    <s v="C:\Users\andre\Desktop\REACTIV CEFAS\Saccharin\Saccharin/20201217_Cefas_Test10_Run1/Plate 1/@7/B7_03.tif "/>
    <s v=" 69648.2607 "/>
    <s v=" 67.6575 "/>
    <x v="0"/>
    <n v="4712224"/>
    <m/>
    <m/>
  </r>
  <r>
    <x v="11"/>
    <x v="2"/>
    <s v="C:\Users\andre\Desktop\REACTIV CEFAS\Saccharin\Saccharin/20201217_Cefas_Test10_Run1/Plate 1/@7/B7_04.tif "/>
    <s v=" 87774.1124 "/>
    <s v=" 64.1402 "/>
    <x v="0"/>
    <n v="5629851"/>
    <m/>
    <m/>
  </r>
  <r>
    <x v="11"/>
    <x v="3"/>
    <s v="C:\Users\andre\Desktop\REACTIV CEFAS\Saccharin\Saccharin/20201217_Cefas_Test10_Run1/Plate 1/@7/C7_01- exclu.tif"/>
    <m/>
    <m/>
    <x v="1"/>
    <m/>
    <m/>
    <m/>
  </r>
  <r>
    <x v="11"/>
    <x v="3"/>
    <s v="C:\Users\andre\Desktop\REACTIV CEFAS\Saccharin\Saccharin/20201217_Cefas_Test10_Run1/Plate 1/@7/C7_02- exclu.tif"/>
    <m/>
    <m/>
    <x v="1"/>
    <m/>
    <m/>
    <m/>
  </r>
  <r>
    <x v="11"/>
    <x v="3"/>
    <s v="C:\Users\andre\Desktop\REACTIV CEFAS\Saccharin\Saccharin/20201217_Cefas_Test10_Run1/Plate 1/@7/C7_03.tif "/>
    <s v=" 81047.2152 "/>
    <s v=" 58.731 "/>
    <x v="0"/>
    <n v="4759983"/>
    <m/>
    <m/>
  </r>
  <r>
    <x v="11"/>
    <x v="3"/>
    <s v="C:\Users\andre\Desktop\REACTIV CEFAS\Saccharin\Saccharin/20201217_Cefas_Test10_Run1/Plate 1/@7/C7_04.tif "/>
    <s v=" 79446.603 "/>
    <s v=" 58.6973 "/>
    <x v="0"/>
    <n v="4663297"/>
    <m/>
    <m/>
  </r>
  <r>
    <x v="11"/>
    <x v="4"/>
    <s v="C:\Users\andre\Desktop\REACTIV CEFAS\Saccharin\Saccharin/20201217_Cefas_Test10_Run1/Plate 1/@7/D7_01.tif "/>
    <s v=" 82864.1263 "/>
    <s v=" 57.3566 "/>
    <x v="0"/>
    <n v="4752802"/>
    <m/>
    <m/>
  </r>
  <r>
    <x v="11"/>
    <x v="4"/>
    <s v="C:\Users\andre\Desktop\REACTIV CEFAS\Saccharin\Saccharin/20201217_Cefas_Test10_Run1/Plate 1/@7/D7_02.tif "/>
    <s v=" 83339.984 "/>
    <s v=" 51.605 "/>
    <x v="0"/>
    <n v="4300758"/>
    <m/>
    <m/>
  </r>
  <r>
    <x v="11"/>
    <x v="4"/>
    <s v="C:\Users\andre\Desktop\REACTIV CEFAS\Saccharin\Saccharin/20201217_Cefas_Test10_Run1/Plate 1/@7/D7_03.tif "/>
    <s v=" 79468.2329 "/>
    <s v=" 54.6339 "/>
    <x v="0"/>
    <n v="4341661"/>
    <m/>
    <m/>
  </r>
  <r>
    <x v="11"/>
    <x v="4"/>
    <s v="C:\Users\andre\Desktop\REACTIV CEFAS\Saccharin\Saccharin/20201217_Cefas_Test10_Run1/Plate 1/@7/D7_04.tif "/>
    <s v=" 80787.6564 "/>
    <s v=" 50.7609 "/>
    <x v="0"/>
    <n v="4100855"/>
    <m/>
    <m/>
  </r>
  <r>
    <x v="11"/>
    <x v="5"/>
    <s v="C:\Users\andre\Desktop\REACTIV CEFAS\Saccharin\Saccharin/20201217_Cefas_Test10_Run1/Plate 1/@7/E7_01.tif "/>
    <s v=" 83729.3221 "/>
    <s v=" 53.6329 "/>
    <x v="0"/>
    <n v="4490647"/>
    <m/>
    <m/>
  </r>
  <r>
    <x v="11"/>
    <x v="5"/>
    <s v="C:\Users\andre\Desktop\REACTIV CEFAS\Saccharin\Saccharin/20201217_Cefas_Test10_Run1/Plate 1/@7/E7_02.tif "/>
    <s v=" 81717.7419 "/>
    <s v=" 53.5005 "/>
    <x v="0"/>
    <n v="4371942"/>
    <m/>
    <m/>
  </r>
  <r>
    <x v="11"/>
    <x v="5"/>
    <s v="C:\Users\andre\Desktop\REACTIV CEFAS\Saccharin\Saccharin/20201217_Cefas_Test10_Run1/Plate 1/@7/E7_03.tif "/>
    <s v=" 86714.2476 "/>
    <s v=" 57.0304 "/>
    <x v="0"/>
    <n v="4945351"/>
    <m/>
    <m/>
  </r>
  <r>
    <x v="11"/>
    <x v="5"/>
    <s v="C:\Users\andre\Desktop\REACTIV CEFAS\Saccharin\Saccharin/20201217_Cefas_Test10_Run1/Plate 1/@7/E7_04.tif "/>
    <s v=" 84097.0303 "/>
    <s v=" 56.6847 "/>
    <x v="0"/>
    <n v="4767012"/>
    <m/>
    <m/>
  </r>
  <r>
    <x v="11"/>
    <x v="6"/>
    <s v="C:\Users\andre\Desktop\REACTIV CEFAS\Saccharin\Saccharin/20201217_Cefas_Test10_Run1/Plate 1/@7/F7_01.tif "/>
    <s v=" 108755.11 "/>
    <s v=" 59.1337 "/>
    <x v="0"/>
    <n v="6431087"/>
    <m/>
    <m/>
  </r>
  <r>
    <x v="11"/>
    <x v="6"/>
    <s v="C:\Users\andre\Desktop\REACTIV CEFAS\Saccharin\Saccharin/20201217_Cefas_Test10_Run1/Plate 1/@7/F7_02.tif "/>
    <s v=" 106289.302 "/>
    <s v=" 61.6764 "/>
    <x v="0"/>
    <n v="6555545"/>
    <m/>
    <m/>
  </r>
  <r>
    <x v="11"/>
    <x v="6"/>
    <s v="C:\Users\andre\Desktop\REACTIV CEFAS\Saccharin\Saccharin/20201217_Cefas_Test10_Run1/Plate 1/@7/F7_03.tif "/>
    <s v=" 110680.171 "/>
    <s v=" 58.6074 "/>
    <x v="0"/>
    <n v="6486676"/>
    <m/>
    <m/>
  </r>
  <r>
    <x v="11"/>
    <x v="6"/>
    <s v="C:\Users\andre\Desktop\REACTIV CEFAS\Saccharin\Saccharin/20201217_Cefas_Test10_Run1/Plate 1/@7/F7_04.tif "/>
    <s v=" 111026.249 "/>
    <s v=" 60.3493 "/>
    <x v="0"/>
    <n v="6700357"/>
    <m/>
    <m/>
  </r>
  <r>
    <x v="11"/>
    <x v="7"/>
    <s v="C:\Users\andre\Desktop\REACTIV CEFAS\Saccharin\Saccharin/20201217_Cefas_Test10_Run1/Plate 1/@7/G7_01.tif "/>
    <s v=" 85113.6354 "/>
    <s v=" 54.8851 "/>
    <x v="0"/>
    <n v="4671473"/>
    <m/>
    <m/>
  </r>
  <r>
    <x v="11"/>
    <x v="7"/>
    <s v="C:\Users\andre\Desktop\REACTIV CEFAS\Saccharin\Saccharin/20201217_Cefas_Test10_Run1/Plate 1/@7/G7_02.tif "/>
    <s v=" 85005.4859 "/>
    <s v=" 55.3196 "/>
    <x v="0"/>
    <n v="4702469"/>
    <m/>
    <m/>
  </r>
  <r>
    <x v="11"/>
    <x v="7"/>
    <s v="C:\Users\andre\Desktop\REACTIV CEFAS\Saccharin\Saccharin/20201217_Cefas_Test10_Run1/Plate 1/@7/G7_03.tif "/>
    <s v=" 83621.1726 "/>
    <s v=" 54.2794 "/>
    <x v="0"/>
    <n v="4538904"/>
    <m/>
    <m/>
  </r>
  <r>
    <x v="11"/>
    <x v="7"/>
    <s v="C:\Users\andre\Desktop\REACTIV CEFAS\Saccharin\Saccharin/20201217_Cefas_Test10_Run1/Plate 1/@7/G7_04.tif "/>
    <s v=" 86908.9166 "/>
    <s v=" 50.506 "/>
    <x v="0"/>
    <n v="4389419"/>
    <m/>
    <m/>
  </r>
  <r>
    <x v="11"/>
    <x v="8"/>
    <s v="C:\Users\andre\Desktop\REACTIV CEFAS\Saccharin\Saccharin/20201217_Cefas_Test10_Run1/Plate 1/@7/H7_01.tif "/>
    <s v=" 101206.277 "/>
    <s v=" 61.2533 "/>
    <x v="0"/>
    <n v="6199214"/>
    <m/>
    <m/>
  </r>
  <r>
    <x v="11"/>
    <x v="8"/>
    <s v="C:\Users\andre\Desktop\REACTIV CEFAS\Saccharin\Saccharin/20201217_Cefas_Test10_Run1/Plate 1/@7/H7_02.tif "/>
    <s v=" 101509.095 "/>
    <s v=" 58.3718 "/>
    <x v="0"/>
    <n v="5925272"/>
    <m/>
    <m/>
  </r>
  <r>
    <x v="11"/>
    <x v="8"/>
    <s v="C:\Users\andre\Desktop\REACTIV CEFAS\Saccharin\Saccharin/20201217_Cefas_Test10_Run1/Plate 1/@7/H7_03.tif "/>
    <s v=" 95149.9065 "/>
    <s v=" 56.1796 "/>
    <x v="0"/>
    <n v="5345482"/>
    <m/>
    <m/>
  </r>
  <r>
    <x v="11"/>
    <x v="8"/>
    <s v="C:\Users\andre\Desktop\REACTIV CEFAS\Saccharin\Saccharin/20201217_Cefas_Test10_Run1/Plate 1/@7/H7_04.tif "/>
    <s v=" 106873.309 "/>
    <s v=" 59.8116 "/>
    <x v="0"/>
    <n v="6392261"/>
    <m/>
    <m/>
  </r>
  <r>
    <x v="0"/>
    <x v="0"/>
    <s v=" "/>
    <m/>
    <m/>
    <x v="1"/>
    <m/>
    <m/>
    <m/>
  </r>
  <r>
    <x v="0"/>
    <x v="0"/>
    <s v="group "/>
    <s v=" "/>
    <s v=" mean of mean fluo "/>
    <x v="2"/>
    <s v=" mean of total fluo "/>
    <s v=" SD total fluo "/>
    <m/>
  </r>
  <r>
    <x v="11"/>
    <x v="9"/>
    <s v="C:\Users\andre\Desktop\REACTIV CEFAS\Saccharin\Saccharin/20201217_Cefas_Test10_Run1/Plate 1/@7/ "/>
    <s v=" "/>
    <s v=" 57.2091 "/>
    <x v="13"/>
    <s v=" 5095755.12 "/>
    <s v=" 1021359.18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Saccharin\Saccharin/20201217_Cefas_Test10_Run1/Plate 3/@10/A4_01.tif "/>
    <s v=" 2227.8791 "/>
    <s v=" 34.5049 "/>
    <x v="0"/>
    <n v="76873"/>
    <m/>
    <m/>
  </r>
  <r>
    <x v="12"/>
    <x v="1"/>
    <s v="C:\Users\andre\Desktop\REACTIV CEFAS\Saccharin\Saccharin/20201217_Cefas_Test10_Run1/Plate 3/@10/A4_02.tif "/>
    <s v=" 3179.5945 "/>
    <s v=" 34.1905 "/>
    <x v="0"/>
    <n v="108712"/>
    <m/>
    <m/>
  </r>
  <r>
    <x v="12"/>
    <x v="1"/>
    <s v="C:\Users\andre\Desktop\REACTIV CEFAS\Saccharin\Saccharin/20201217_Cefas_Test10_Run1/Plate 3/@10/A4_03.tif "/>
    <s v=" 2400.9183 "/>
    <s v=" 35.6126 "/>
    <x v="0"/>
    <n v="85503"/>
    <m/>
    <m/>
  </r>
  <r>
    <x v="12"/>
    <x v="1"/>
    <s v="C:\Users\andre\Desktop\REACTIV CEFAS\Saccharin\Saccharin/20201217_Cefas_Test10_Run1/Plate 3/@10/A4_04.tif "/>
    <s v=" 5320.9541 "/>
    <s v=" 38.3252 "/>
    <x v="0"/>
    <n v="203927"/>
    <m/>
    <m/>
  </r>
  <r>
    <x v="12"/>
    <x v="2"/>
    <s v="C:\Users\andre\Desktop\REACTIV CEFAS\Saccharin\Saccharin/20201217_Cefas_Test10_Run1/Plate 3/@10/B4_01.tif "/>
    <s v=" 605.637 "/>
    <s v=" 32.2857 "/>
    <x v="0"/>
    <n v="19553"/>
    <m/>
    <m/>
  </r>
  <r>
    <x v="12"/>
    <x v="2"/>
    <s v="C:\Users\andre\Desktop\REACTIV CEFAS\Saccharin\Saccharin/20201217_Cefas_Test10_Run1/Plate 3/@10/B4_02.tif "/>
    <s v=" 1535.7225 "/>
    <s v=" 33.2958 "/>
    <x v="0"/>
    <n v="51133"/>
    <m/>
    <m/>
  </r>
  <r>
    <x v="12"/>
    <x v="2"/>
    <s v="C:\Users\andre\Desktop\REACTIV CEFAS\Saccharin\Saccharin/20201217_Cefas_Test10_Run1/Plate 3/@10/B4_03.tif "/>
    <s v=" 713.7865 "/>
    <s v=" 32.1515 "/>
    <x v="0"/>
    <n v="22949"/>
    <m/>
    <m/>
  </r>
  <r>
    <x v="12"/>
    <x v="2"/>
    <s v="C:\Users\andre\Desktop\REACTIV CEFAS\Saccharin\Saccharin/20201217_Cefas_Test10_Run1/Plate 3/@10/B4_04.tif "/>
    <s v=" 843.5659 "/>
    <s v=" 32.5385 "/>
    <x v="0"/>
    <n v="27448"/>
    <m/>
    <m/>
  </r>
  <r>
    <x v="12"/>
    <x v="3"/>
    <s v="C:\Users\andre\Desktop\REACTIV CEFAS\Saccharin\Saccharin/20201217_Cefas_Test10_Run1/Plate 3/@10/C4_01.tif "/>
    <s v=" 4066.4202 "/>
    <s v=" 37.5372 "/>
    <x v="0"/>
    <n v="152642"/>
    <m/>
    <m/>
  </r>
  <r>
    <x v="12"/>
    <x v="3"/>
    <s v="C:\Users\andre\Desktop\REACTIV CEFAS\Saccharin\Saccharin/20201217_Cefas_Test10_Run1/Plate 3/@10/C4_02.tif "/>
    <s v=" 1514.0926 "/>
    <s v=" 35.1 "/>
    <x v="0"/>
    <n v="53145"/>
    <m/>
    <m/>
  </r>
  <r>
    <x v="12"/>
    <x v="3"/>
    <s v="C:\Users\andre\Desktop\REACTIV CEFAS\Saccharin\Saccharin/20201217_Cefas_Test10_Run1/Plate 3/@10/C4_03.tif "/>
    <s v=" 886.8257 "/>
    <s v=" 32.8537 "/>
    <x v="0"/>
    <n v="29135"/>
    <m/>
    <m/>
  </r>
  <r>
    <x v="12"/>
    <x v="3"/>
    <s v="C:\Users\andre\Desktop\REACTIV CEFAS\Saccharin\Saccharin/20201217_Cefas_Test10_Run1/Plate 3/@10/C4_04.tif "/>
    <s v=" 5623.7726 "/>
    <s v=" 36.8462 "/>
    <x v="0"/>
    <n v="207214"/>
    <m/>
    <m/>
  </r>
  <r>
    <x v="12"/>
    <x v="4"/>
    <s v="C:\Users\andre\Desktop\REACTIV CEFAS\Saccharin\Saccharin/20201217_Cefas_Test10_Run1/Plate 3/@10/D4_01- exclu.tif"/>
    <m/>
    <m/>
    <x v="1"/>
    <m/>
    <m/>
    <m/>
  </r>
  <r>
    <x v="12"/>
    <x v="4"/>
    <s v="C:\Users\andre\Desktop\REACTIV CEFAS\Saccharin\Saccharin/20201217_Cefas_Test10_Run1/Plate 3/@10/D4_02.tif "/>
    <s v=" 6835.0467 "/>
    <s v=" 37.6614 "/>
    <x v="0"/>
    <n v="257417"/>
    <m/>
    <m/>
  </r>
  <r>
    <x v="12"/>
    <x v="4"/>
    <s v="C:\Users\andre\Desktop\REACTIV CEFAS\Saccharin\Saccharin/20201217_Cefas_Test10_Run1/Plate 3/@10/D4_03.tif "/>
    <s v=" 865.1958 "/>
    <s v=" 37.2 "/>
    <x v="0"/>
    <n v="32185"/>
    <m/>
    <m/>
  </r>
  <r>
    <x v="12"/>
    <x v="4"/>
    <s v="C:\Users\andre\Desktop\REACTIV CEFAS\Saccharin\Saccharin/20201217_Cefas_Test10_Run1/Plate 3/@10/D4_04.tif "/>
    <s v=" 6424.0787 "/>
    <s v=" 36.7306 "/>
    <x v="0"/>
    <n v="235961"/>
    <m/>
    <m/>
  </r>
  <r>
    <x v="12"/>
    <x v="5"/>
    <s v="C:\Users\andre\Desktop\REACTIV CEFAS\Saccharin\Saccharin/20201217_Cefas_Test10_Run1/Plate 3/@10/E4_01.tif "/>
    <s v=" 3806.8615 "/>
    <s v=" 32.8352 "/>
    <x v="0"/>
    <n v="124999"/>
    <m/>
    <m/>
  </r>
  <r>
    <x v="12"/>
    <x v="5"/>
    <s v="C:\Users\andre\Desktop\REACTIV CEFAS\Saccharin\Saccharin/20201217_Cefas_Test10_Run1/Plate 3/@10/E4_02.tif "/>
    <s v=" 4542.2779 "/>
    <s v=" 34.7524 "/>
    <x v="0"/>
    <n v="157855"/>
    <m/>
    <m/>
  </r>
  <r>
    <x v="12"/>
    <x v="5"/>
    <s v="C:\Users\andre\Desktop\REACTIV CEFAS\Saccharin\Saccharin/20201217_Cefas_Test10_Run1/Plate 3/@10/E4_03.tif "/>
    <s v=" 6748.5271 "/>
    <s v=" 37.4872 "/>
    <x v="0"/>
    <n v="252983"/>
    <m/>
    <m/>
  </r>
  <r>
    <x v="12"/>
    <x v="5"/>
    <s v="C:\Users\andre\Desktop\REACTIV CEFAS\Saccharin\Saccharin/20201217_Cefas_Test10_Run1/Plate 3/@10/E4_04.tif "/>
    <s v=" 5753.552 "/>
    <s v=" 36.2444 "/>
    <x v="0"/>
    <n v="208534"/>
    <m/>
    <m/>
  </r>
  <r>
    <x v="12"/>
    <x v="6"/>
    <s v="C:\Users\andre\Desktop\REACTIV CEFAS\Saccharin\Saccharin/20201217_Cefas_Test10_Run1/Plate 3/@10/F4_01.tif "/>
    <s v=" 3439.1532 "/>
    <s v=" 38.2767 "/>
    <x v="0"/>
    <n v="131640"/>
    <m/>
    <m/>
  </r>
  <r>
    <x v="12"/>
    <x v="6"/>
    <s v="C:\Users\andre\Desktop\REACTIV CEFAS\Saccharin\Saccharin/20201217_Cefas_Test10_Run1/Plate 3/@10/F4_02.tif "/>
    <s v=" 7224.3848 "/>
    <s v=" 39.2395 "/>
    <x v="0"/>
    <n v="283481"/>
    <m/>
    <m/>
  </r>
  <r>
    <x v="12"/>
    <x v="6"/>
    <s v="C:\Users\andre\Desktop\REACTIV CEFAS\Saccharin\Saccharin/20201217_Cefas_Test10_Run1/Plate 3/@10/F4_03.tif "/>
    <s v=" 5472.3633 "/>
    <s v=" 39.6364 "/>
    <x v="0"/>
    <n v="216905"/>
    <m/>
    <m/>
  </r>
  <r>
    <x v="12"/>
    <x v="6"/>
    <s v="C:\Users\andre\Desktop\REACTIV CEFAS\Saccharin\Saccharin/20201217_Cefas_Test10_Run1/Plate 3/@10/F4_04- exclu.tif"/>
    <m/>
    <m/>
    <x v="1"/>
    <m/>
    <m/>
    <m/>
  </r>
  <r>
    <x v="12"/>
    <x v="7"/>
    <s v="C:\Users\andre\Desktop\REACTIV CEFAS\Saccharin\Saccharin/20201217_Cefas_Test10_Run1/Plate 3/@10/G4_01.tif "/>
    <s v=" 5861.7014 "/>
    <s v=" 36.1033 "/>
    <x v="0"/>
    <n v="211627"/>
    <m/>
    <m/>
  </r>
  <r>
    <x v="12"/>
    <x v="7"/>
    <s v="C:\Users\andre\Desktop\REACTIV CEFAS\Saccharin\Saccharin/20201217_Cefas_Test10_Run1/Plate 3/@10/G4_02.tif "/>
    <s v=" 6315.9292 "/>
    <s v=" 36.4486 "/>
    <x v="0"/>
    <n v="230207"/>
    <m/>
    <m/>
  </r>
  <r>
    <x v="12"/>
    <x v="7"/>
    <s v="C:\Users\andre\Desktop\REACTIV CEFAS\Saccharin\Saccharin/20201217_Cefas_Test10_Run1/Plate 3/@10/G4_03.tif "/>
    <s v=" 5364.2139 "/>
    <s v=" 36.1734 "/>
    <x v="0"/>
    <n v="194042"/>
    <m/>
    <m/>
  </r>
  <r>
    <x v="12"/>
    <x v="7"/>
    <s v="C:\Users\andre\Desktop\REACTIV CEFAS\Saccharin\Saccharin/20201217_Cefas_Test10_Run1/Plate 3/@10/G4_04.tif "/>
    <s v=" 64.8897 "/>
    <n v="30"/>
    <x v="0"/>
    <n v="1947"/>
    <m/>
    <m/>
  </r>
  <r>
    <x v="12"/>
    <x v="8"/>
    <s v="C:\Users\andre\Desktop\REACTIV CEFAS\Saccharin\Saccharin/20201217_Cefas_Test10_Run1/Plate 3/@10/H4_01.tif "/>
    <s v=" 5558.8829 "/>
    <s v=" 38.7198 "/>
    <x v="0"/>
    <n v="215239"/>
    <m/>
    <m/>
  </r>
  <r>
    <x v="12"/>
    <x v="8"/>
    <s v="C:\Users\andre\Desktop\REACTIV CEFAS\Saccharin\Saccharin/20201217_Cefas_Test10_Run1/Plate 3/@10/H4_02.tif "/>
    <n v="0"/>
    <n v="0"/>
    <x v="0"/>
    <n v="0"/>
    <m/>
    <m/>
  </r>
  <r>
    <x v="12"/>
    <x v="8"/>
    <s v="C:\Users\andre\Desktop\REACTIV CEFAS\Saccharin\Saccharin/20201217_Cefas_Test10_Run1/Plate 3/@10/H4_03.tif "/>
    <s v=" 5926.5911 "/>
    <s v=" 38.7518 "/>
    <x v="0"/>
    <n v="229666"/>
    <m/>
    <m/>
  </r>
  <r>
    <x v="12"/>
    <x v="8"/>
    <s v="C:\Users\andre\Desktop\REACTIV CEFAS\Saccharin\Saccharin/20201217_Cefas_Test10_Run1/Plate 3/@10/H4_04.tif "/>
    <s v=" 5558.8829 "/>
    <s v=" 35.7198 "/>
    <x v="0"/>
    <n v="198562"/>
    <m/>
    <m/>
  </r>
  <r>
    <x v="0"/>
    <x v="0"/>
    <s v=" "/>
    <m/>
    <m/>
    <x v="1"/>
    <m/>
    <m/>
    <m/>
  </r>
  <r>
    <x v="0"/>
    <x v="0"/>
    <s v="group "/>
    <s v=" "/>
    <s v=" mean of mean fluo "/>
    <x v="2"/>
    <s v=" mean of total fluo "/>
    <s v=" SD total fluo "/>
    <m/>
  </r>
  <r>
    <x v="12"/>
    <x v="9"/>
    <s v="C:\Users\andre\Desktop\REACTIV CEFAS\Saccharin\Saccharin/20201217_Cefas_Test10_Run1/Plate 3/@10/ "/>
    <s v=" "/>
    <s v=" 34.5854 "/>
    <x v="14"/>
    <s v=" 138987.594 "/>
    <s v=" 91100.6019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Saccharin\Saccharin/20201217_Cefas_Test10_Run1/Plate 3/@11/A5_01.tif "/>
    <n v="0"/>
    <n v="0"/>
    <x v="0"/>
    <n v="0"/>
    <m/>
    <m/>
  </r>
  <r>
    <x v="13"/>
    <x v="1"/>
    <s v="C:\Users\andre\Desktop\REACTIV CEFAS\Saccharin\Saccharin/20201217_Cefas_Test10_Run1/Plate 3/@11/A5_02.tif "/>
    <s v=" 21.6299 "/>
    <n v="30"/>
    <x v="0"/>
    <n v="649"/>
    <m/>
    <m/>
  </r>
  <r>
    <x v="13"/>
    <x v="1"/>
    <s v="C:\Users\andre\Desktop\REACTIV CEFAS\Saccharin\Saccharin/20201217_Cefas_Test10_Run1/Plate 3/@11/A5_03.tif "/>
    <s v=" 21.6299 "/>
    <n v="30"/>
    <x v="0"/>
    <n v="649"/>
    <m/>
    <m/>
  </r>
  <r>
    <x v="13"/>
    <x v="1"/>
    <s v="C:\Users\andre\Desktop\REACTIV CEFAS\Saccharin\Saccharin/20201217_Cefas_Test10_Run1/Plate 3/@11/A5_04.tif "/>
    <s v=" 43.2598 "/>
    <n v="31"/>
    <x v="0"/>
    <n v="1341"/>
    <m/>
    <m/>
  </r>
  <r>
    <x v="13"/>
    <x v="2"/>
    <s v="C:\Users\andre\Desktop\REACTIV CEFAS\Saccharin\Saccharin/20201217_Cefas_Test10_Run1/Plate 3/@11/B5_01.tif "/>
    <s v=" 389.3381 "/>
    <s v=" 34.2778 "/>
    <x v="0"/>
    <n v="13346"/>
    <m/>
    <m/>
  </r>
  <r>
    <x v="13"/>
    <x v="2"/>
    <s v="C:\Users\andre\Desktop\REACTIV CEFAS\Saccharin\Saccharin/20201217_Cefas_Test10_Run1/Plate 3/@11/B5_02.tif "/>
    <s v=" 6315.9292 "/>
    <s v=" 37.6164 "/>
    <x v="0"/>
    <n v="237583"/>
    <m/>
    <m/>
  </r>
  <r>
    <x v="13"/>
    <x v="2"/>
    <s v="C:\Users\andre\Desktop\REACTIV CEFAS\Saccharin\Saccharin/20201217_Cefas_Test10_Run1/Plate 3/@11/B5_03.tif "/>
    <s v=" 6186.1499 "/>
    <s v=" 38.1329 "/>
    <x v="0"/>
    <n v="235896"/>
    <m/>
    <m/>
  </r>
  <r>
    <x v="13"/>
    <x v="2"/>
    <s v="C:\Users\andre\Desktop\REACTIV CEFAS\Saccharin\Saccharin/20201217_Cefas_Test10_Run1/Plate 3/@11/B5_04.tif "/>
    <s v=" 7808.392 "/>
    <s v=" 38.6094 "/>
    <x v="0"/>
    <n v="301477"/>
    <m/>
    <m/>
  </r>
  <r>
    <x v="13"/>
    <x v="3"/>
    <s v="C:\Users\andre\Desktop\REACTIV CEFAS\Saccharin\Saccharin/20201217_Cefas_Test10_Run1/Plate 3/@11/C5_01.tif "/>
    <s v=" 3547.3027 "/>
    <s v=" 35.378 "/>
    <x v="0"/>
    <n v="125497"/>
    <m/>
    <m/>
  </r>
  <r>
    <x v="13"/>
    <x v="3"/>
    <s v="C:\Users\andre\Desktop\REACTIV CEFAS\Saccharin\Saccharin/20201217_Cefas_Test10_Run1/Plate 3/@11/C5_02.tif "/>
    <s v=" 6553.8581 "/>
    <s v=" 39.1188 "/>
    <x v="0"/>
    <n v="256379"/>
    <m/>
    <m/>
  </r>
  <r>
    <x v="13"/>
    <x v="3"/>
    <s v="C:\Users\andre\Desktop\REACTIV CEFAS\Saccharin\Saccharin/20201217_Cefas_Test10_Run1/Plate 3/@11/C5_03.tif "/>
    <s v=" 5385.8438 "/>
    <s v=" 38.4859 "/>
    <x v="0"/>
    <n v="207279"/>
    <m/>
    <m/>
  </r>
  <r>
    <x v="13"/>
    <x v="3"/>
    <s v="C:\Users\andre\Desktop\REACTIV CEFAS\Saccharin\Saccharin/20201217_Cefas_Test10_Run1/Plate 3/@11/C5_04- exclu.tif"/>
    <m/>
    <m/>
    <x v="1"/>
    <m/>
    <m/>
    <m/>
  </r>
  <r>
    <x v="13"/>
    <x v="4"/>
    <s v="C:\Users\andre\Desktop\REACTIV CEFAS\Saccharin\Saccharin/20201217_Cefas_Test10_Run1/Plate 3/@11/D5_01.tif "/>
    <s v=" 3417.5234 "/>
    <s v=" 35.981 "/>
    <x v="0"/>
    <n v="122966"/>
    <m/>
    <m/>
  </r>
  <r>
    <x v="13"/>
    <x v="4"/>
    <s v="C:\Users\andre\Desktop\REACTIV CEFAS\Saccharin\Saccharin/20201217_Cefas_Test10_Run1/Plate 3/@11/D5_02.tif "/>
    <s v=" 1168.0143 "/>
    <s v=" 32.1296 "/>
    <x v="0"/>
    <n v="37528"/>
    <m/>
    <m/>
  </r>
  <r>
    <x v="13"/>
    <x v="4"/>
    <s v="C:\Users\andre\Desktop\REACTIV CEFAS\Saccharin\Saccharin/20201217_Cefas_Test10_Run1/Plate 3/@11/D5_03.tif "/>
    <s v=" 1816.9111 "/>
    <s v=" 32.631 "/>
    <x v="0"/>
    <n v="59288"/>
    <m/>
    <m/>
  </r>
  <r>
    <x v="13"/>
    <x v="4"/>
    <s v="C:\Users\andre\Desktop\REACTIV CEFAS\Saccharin\Saccharin/20201217_Cefas_Test10_Run1/Plate 3/@11/D5_04.tif "/>
    <s v=" 2292.7688 "/>
    <s v=" 34.8396 "/>
    <x v="0"/>
    <n v="79879"/>
    <m/>
    <m/>
  </r>
  <r>
    <x v="13"/>
    <x v="5"/>
    <s v="C:\Users\andre\Desktop\REACTIV CEFAS\Saccharin\Saccharin/20201217_Cefas_Test10_Run1/Plate 3/@11/E5_01.tif "/>
    <s v=" 908.4556 "/>
    <s v=" 32.6905 "/>
    <x v="0"/>
    <n v="29698"/>
    <m/>
    <m/>
  </r>
  <r>
    <x v="13"/>
    <x v="5"/>
    <s v="C:\Users\andre\Desktop\REACTIV CEFAS\Saccharin\Saccharin/20201217_Cefas_Test10_Run1/Plate 3/@11/E5_02.tif "/>
    <s v=" 6078.0004 "/>
    <s v=" 40.5445 "/>
    <x v="0"/>
    <n v="246429"/>
    <m/>
    <m/>
  </r>
  <r>
    <x v="13"/>
    <x v="5"/>
    <s v="C:\Users\andre\Desktop\REACTIV CEFAS\Saccharin\Saccharin/20201217_Cefas_Test10_Run1/Plate 3/@11/E5_03.tif "/>
    <s v=" 3850.1212 "/>
    <s v=" 39.4382 "/>
    <x v="0"/>
    <n v="151842"/>
    <m/>
    <m/>
  </r>
  <r>
    <x v="13"/>
    <x v="5"/>
    <s v="C:\Users\andre\Desktop\REACTIV CEFAS\Saccharin\Saccharin/20201217_Cefas_Test10_Run1/Plate 3/@11/E5_04.tif "/>
    <s v=" 13453.7945 "/>
    <s v=" 44.8006 "/>
    <x v="0"/>
    <n v="602739"/>
    <m/>
    <m/>
  </r>
  <r>
    <x v="13"/>
    <x v="6"/>
    <s v="C:\Users\andre\Desktop\REACTIV CEFAS\Saccharin\Saccharin/20201217_Cefas_Test10_Run1/Plate 3/@11/F5_01.tif "/>
    <s v=" 6662.0075 "/>
    <s v=" 33.224 "/>
    <x v="0"/>
    <n v="221339"/>
    <m/>
    <m/>
  </r>
  <r>
    <x v="13"/>
    <x v="6"/>
    <s v="C:\Users\andre\Desktop\REACTIV CEFAS\Saccharin\Saccharin/20201217_Cefas_Test10_Run1/Plate 3/@11/F5_02.tif "/>
    <s v=" 12220.8905 "/>
    <s v=" 34.9133 "/>
    <x v="0"/>
    <n v="426671"/>
    <m/>
    <m/>
  </r>
  <r>
    <x v="13"/>
    <x v="6"/>
    <s v="C:\Users\andre\Desktop\REACTIV CEFAS\Saccharin\Saccharin/20201217_Cefas_Test10_Run1/Plate 3/@11/F5_03.tif "/>
    <s v=" 5104.6551 "/>
    <s v=" 34.5847 "/>
    <x v="0"/>
    <n v="176543"/>
    <m/>
    <m/>
  </r>
  <r>
    <x v="13"/>
    <x v="6"/>
    <s v="C:\Users\andre\Desktop\REACTIV CEFAS\Saccharin\Saccharin/20201217_Cefas_Test10_Run1/Plate 3/@11/F5_04.tif "/>
    <s v=" 259.5587 "/>
    <s v=" 32.0833 "/>
    <x v="0"/>
    <n v="8328"/>
    <m/>
    <m/>
  </r>
  <r>
    <x v="13"/>
    <x v="7"/>
    <s v="C:\Users\andre\Desktop\REACTIV CEFAS\Saccharin\Saccharin/20201217_Cefas_Test10_Run1/Plate 3/@11/G5_01.tif "/>
    <s v=" 4628.7975 "/>
    <s v=" 37.028 "/>
    <x v="0"/>
    <n v="171395"/>
    <m/>
    <m/>
  </r>
  <r>
    <x v="13"/>
    <x v="7"/>
    <s v="C:\Users\andre\Desktop\REACTIV CEFAS\Saccharin\Saccharin/20201217_Cefas_Test10_Run1/Plate 3/@11/G5_02.tif "/>
    <s v=" 5212.8046 "/>
    <s v=" 39.9129 "/>
    <x v="0"/>
    <n v="208058"/>
    <m/>
    <m/>
  </r>
  <r>
    <x v="13"/>
    <x v="7"/>
    <s v="C:\Users\andre\Desktop\REACTIV CEFAS\Saccharin\Saccharin/20201217_Cefas_Test10_Run1/Plate 3/@11/G5_03.tif "/>
    <s v=" 1168.0143 "/>
    <s v=" 30.9815 "/>
    <x v="0"/>
    <n v="36187"/>
    <m/>
    <m/>
  </r>
  <r>
    <x v="13"/>
    <x v="7"/>
    <s v="C:\Users\andre\Desktop\REACTIV CEFAS\Saccharin\Saccharin/20201217_Cefas_Test10_Run1/Plate 3/@11/G5_04.tif "/>
    <s v=" 7397.424 "/>
    <s v=" 42.7485 "/>
    <x v="0"/>
    <n v="316229"/>
    <m/>
    <m/>
  </r>
  <r>
    <x v="13"/>
    <x v="8"/>
    <s v="C:\Users\andre\Desktop\REACTIV CEFAS\Saccharin\Saccharin/20201217_Cefas_Test10_Run1/Plate 3/@11/H5_01.tif "/>
    <s v=" 5256.0644 "/>
    <s v=" 36.214 "/>
    <x v="0"/>
    <n v="190343"/>
    <m/>
    <m/>
  </r>
  <r>
    <x v="13"/>
    <x v="8"/>
    <s v="C:\Users\andre\Desktop\REACTIV CEFAS\Saccharin\Saccharin/20201217_Cefas_Test10_Run1/Plate 3/@11/H5_02.tif "/>
    <s v=" 9841.6021 "/>
    <s v=" 38.8835 "/>
    <x v="0"/>
    <n v="382676"/>
    <m/>
    <m/>
  </r>
  <r>
    <x v="13"/>
    <x v="8"/>
    <s v="C:\Users\andre\Desktop\REACTIV CEFAS\Saccharin\Saccharin/20201217_Cefas_Test10_Run1/Plate 3/@11/H5_03.tif "/>
    <s v=" 9300.8547 "/>
    <s v=" 38.6209 "/>
    <x v="0"/>
    <n v="359208"/>
    <m/>
    <m/>
  </r>
  <r>
    <x v="13"/>
    <x v="8"/>
    <s v="C:\Users\andre\Desktop\REACTIV CEFAS\Saccharin\Saccharin/20201217_Cefas_Test10_Run1/Plate 3/@11/H5_04.tif "/>
    <s v=" 4780.2067 "/>
    <s v=" 39.1538 "/>
    <x v="0"/>
    <n v="187163"/>
    <m/>
    <m/>
  </r>
  <r>
    <x v="0"/>
    <x v="0"/>
    <s v=" "/>
    <m/>
    <m/>
    <x v="1"/>
    <m/>
    <m/>
    <m/>
  </r>
  <r>
    <x v="0"/>
    <x v="0"/>
    <s v="group "/>
    <s v=" "/>
    <s v=" mean of mean fluo "/>
    <x v="2"/>
    <s v=" mean of total fluo "/>
    <s v=" SD total fluo "/>
    <m/>
  </r>
  <r>
    <x v="13"/>
    <x v="9"/>
    <s v="C:\Users\andre\Desktop\REACTIV CEFAS\Saccharin\Saccharin/20201217_Cefas_Test10_Run1/Plate 3/@11/ "/>
    <s v=" "/>
    <s v=" 34.8947 "/>
    <x v="15"/>
    <s v=" 169088.344 "/>
    <s v=" 147049.247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Saccharin\Saccharin/20201217_Cefas_Test10_Run1/Plate 3/@12/A6_01.tif "/>
    <s v=" 10144.4206 "/>
    <s v=" 40.5949 "/>
    <x v="0"/>
    <n v="411812"/>
    <m/>
    <m/>
  </r>
  <r>
    <x v="14"/>
    <x v="1"/>
    <s v="C:\Users\andre\Desktop\REACTIV CEFAS\Saccharin\Saccharin/20201217_Cefas_Test10_Run1/Plate 3/@12/A6_02.tif "/>
    <s v=" 129.7794 "/>
    <s v=" 31.5 "/>
    <x v="0"/>
    <n v="4088"/>
    <m/>
    <m/>
  </r>
  <r>
    <x v="14"/>
    <x v="1"/>
    <s v="C:\Users\andre\Desktop\REACTIV CEFAS\Saccharin\Saccharin/20201217_Cefas_Test10_Run1/Plate 3/@12/A6_03.tif "/>
    <s v=" 9300.8547 "/>
    <s v=" 42.3837 "/>
    <x v="0"/>
    <n v="394205"/>
    <m/>
    <m/>
  </r>
  <r>
    <x v="14"/>
    <x v="1"/>
    <s v="C:\Users\andre\Desktop\REACTIV CEFAS\Saccharin\Saccharin/20201217_Cefas_Test10_Run1/Plate 3/@12/A6_04.tif "/>
    <s v=" 108.1495 "/>
    <s v=" 33.4 "/>
    <x v="0"/>
    <n v="3612"/>
    <m/>
    <m/>
  </r>
  <r>
    <x v="14"/>
    <x v="2"/>
    <s v="C:\Users\andre\Desktop\REACTIV CEFAS\Saccharin\Saccharin/20201217_Cefas_Test10_Run1/Plate 3/@12/B6_01.tif "/>
    <s v=" 5234.4345 "/>
    <s v=" 37.1116 "/>
    <x v="0"/>
    <n v="194258"/>
    <m/>
    <m/>
  </r>
  <r>
    <x v="14"/>
    <x v="2"/>
    <s v="C:\Users\andre\Desktop\REACTIV CEFAS\Saccharin\Saccharin/20201217_Cefas_Test10_Run1/Plate 3/@12/B6_02.tif "/>
    <s v=" 3677.0821 "/>
    <s v=" 34.0941 "/>
    <x v="0"/>
    <n v="125367"/>
    <m/>
    <m/>
  </r>
  <r>
    <x v="14"/>
    <x v="2"/>
    <s v="C:\Users\andre\Desktop\REACTIV CEFAS\Saccharin\Saccharin/20201217_Cefas_Test10_Run1/Plate 3/@12/B6_03.tif "/>
    <s v=" 7310.9044 "/>
    <s v=" 37.2781 "/>
    <x v="0"/>
    <n v="272537"/>
    <m/>
    <m/>
  </r>
  <r>
    <x v="14"/>
    <x v="2"/>
    <s v="C:\Users\andre\Desktop\REACTIV CEFAS\Saccharin\Saccharin/20201217_Cefas_Test10_Run1/Plate 3/@12/B6_04.tif "/>
    <s v=" 5169.5448 "/>
    <s v=" 37.5021 "/>
    <x v="0"/>
    <n v="193869"/>
    <m/>
    <m/>
  </r>
  <r>
    <x v="14"/>
    <x v="3"/>
    <s v="C:\Users\andre\Desktop\REACTIV CEFAS\Saccharin\Saccharin/20201217_Cefas_Test10_Run1/Plate 3/@12/C6_01.tif "/>
    <s v=" 6402.4488 "/>
    <s v=" 36.375 "/>
    <x v="0"/>
    <n v="232889"/>
    <m/>
    <m/>
  </r>
  <r>
    <x v="14"/>
    <x v="3"/>
    <s v="C:\Users\andre\Desktop\REACTIV CEFAS\Saccharin\Saccharin/20201217_Cefas_Test10_Run1/Plate 3/@12/C6_02.tif "/>
    <s v=" 2141.3596 "/>
    <s v=" 34.4343 "/>
    <x v="0"/>
    <n v="73736"/>
    <m/>
    <m/>
  </r>
  <r>
    <x v="14"/>
    <x v="3"/>
    <s v="C:\Users\andre\Desktop\REACTIV CEFAS\Saccharin\Saccharin/20201217_Cefas_Test10_Run1/Plate 3/@12/C6_03.tif "/>
    <s v=" 5558.8829 "/>
    <s v=" 36.9533 "/>
    <x v="0"/>
    <n v="205419"/>
    <m/>
    <m/>
  </r>
  <r>
    <x v="14"/>
    <x v="3"/>
    <s v="C:\Users\andre\Desktop\REACTIV CEFAS\Saccharin\Saccharin/20201217_Cefas_Test10_Run1/Plate 3/@12/C6_04.tif "/>
    <s v=" 3806.8615 "/>
    <s v=" 37.3409 "/>
    <x v="0"/>
    <n v="142152"/>
    <m/>
    <m/>
  </r>
  <r>
    <x v="14"/>
    <x v="4"/>
    <s v="C:\Users\andre\Desktop\REACTIV CEFAS\Saccharin\Saccharin/20201217_Cefas_Test10_Run1/Plate 3/@12/D6_01.tif "/>
    <s v=" 2379.2884 "/>
    <s v=" 37.6364 "/>
    <x v="0"/>
    <n v="89548"/>
    <m/>
    <m/>
  </r>
  <r>
    <x v="14"/>
    <x v="4"/>
    <s v="C:\Users\andre\Desktop\REACTIV CEFAS\Saccharin\Saccharin/20201217_Cefas_Test10_Run1/Plate 3/@12/D6_02.tif "/>
    <s v=" 8219.36 "/>
    <s v=" 41.4105 "/>
    <x v="0"/>
    <n v="340368"/>
    <m/>
    <m/>
  </r>
  <r>
    <x v="14"/>
    <x v="4"/>
    <s v="C:\Users\andre\Desktop\REACTIV CEFAS\Saccharin\Saccharin/20201217_Cefas_Test10_Run1/Plate 3/@12/D6_03.tif "/>
    <s v=" 6402.4488 "/>
    <s v=" 43.5811 "/>
    <x v="0"/>
    <n v="279026"/>
    <m/>
    <m/>
  </r>
  <r>
    <x v="14"/>
    <x v="4"/>
    <s v="C:\Users\andre\Desktop\REACTIV CEFAS\Saccharin\Saccharin/20201217_Cefas_Test10_Run1/Plate 3/@12/D6_04.tif "/>
    <s v=" 12242.5204 "/>
    <s v=" 45.023 "/>
    <x v="0"/>
    <n v="551195"/>
    <m/>
    <m/>
  </r>
  <r>
    <x v="14"/>
    <x v="5"/>
    <s v="C:\Users\andre\Desktop\REACTIV CEFAS\Saccharin\Saccharin/20201217_Cefas_Test10_Run1/Plate 3/@12/E6_01.tif "/>
    <s v=" 4672.0572 "/>
    <s v=" 39.2083 "/>
    <x v="0"/>
    <n v="183184"/>
    <m/>
    <m/>
  </r>
  <r>
    <x v="14"/>
    <x v="5"/>
    <s v="C:\Users\andre\Desktop\REACTIV CEFAS\Saccharin\Saccharin/20201217_Cefas_Test10_Run1/Plate 3/@12/E6_02.tif "/>
    <s v=" 4434.1284 "/>
    <s v=" 41.7756 "/>
    <x v="0"/>
    <n v="185238"/>
    <m/>
    <m/>
  </r>
  <r>
    <x v="14"/>
    <x v="5"/>
    <s v="C:\Users\andre\Desktop\REACTIV CEFAS\Saccharin\Saccharin/20201217_Cefas_Test10_Run1/Plate 3/@12/E6_03.tif "/>
    <s v=" 4715.317 "/>
    <s v=" 40.6009 "/>
    <x v="0"/>
    <n v="191446"/>
    <m/>
    <m/>
  </r>
  <r>
    <x v="14"/>
    <x v="5"/>
    <s v="C:\Users\andre\Desktop\REACTIV CEFAS\Saccharin\Saccharin/20201217_Cefas_Test10_Run1/Plate 3/@12/E6_04.tif "/>
    <s v=" 930.0855 "/>
    <s v=" 30.9535 "/>
    <x v="0"/>
    <n v="28789"/>
    <m/>
    <m/>
  </r>
  <r>
    <x v="14"/>
    <x v="6"/>
    <s v="C:\Users\andre\Desktop\REACTIV CEFAS\Saccharin\Saccharin/20201217_Cefas_Test10_Run1/Plate 3/@12/F6_01.tif "/>
    <s v=" 4585.5377 "/>
    <s v=" 35.2736 "/>
    <x v="0"/>
    <n v="161748"/>
    <m/>
    <m/>
  </r>
  <r>
    <x v="14"/>
    <x v="6"/>
    <s v="C:\Users\andre\Desktop\REACTIV CEFAS\Saccharin\Saccharin/20201217_Cefas_Test10_Run1/Plate 3/@12/F6_02.tif "/>
    <s v=" 2638.8471 "/>
    <s v=" 34.5984 "/>
    <x v="0"/>
    <n v="91300"/>
    <m/>
    <m/>
  </r>
  <r>
    <x v="14"/>
    <x v="6"/>
    <s v="C:\Users\andre\Desktop\REACTIV CEFAS\Saccharin\Saccharin/20201217_Cefas_Test10_Run1/Plate 3/@12/F6_03.tif "/>
    <s v=" 1795.2813 "/>
    <s v=" 32.012 "/>
    <x v="0"/>
    <n v="57471"/>
    <m/>
    <m/>
  </r>
  <r>
    <x v="14"/>
    <x v="6"/>
    <s v="C:\Users\andre\Desktop\REACTIV CEFAS\Saccharin\Saccharin/20201217_Cefas_Test10_Run1/Plate 3/@12/F6_04.tif "/>
    <s v=" 3244.4842 "/>
    <s v=" 37.4867 "/>
    <x v="0"/>
    <n v="121625"/>
    <m/>
    <m/>
  </r>
  <r>
    <x v="14"/>
    <x v="7"/>
    <s v="C:\Users\andre\Desktop\REACTIV CEFAS\Saccharin\Saccharin/20201217_Cefas_Test10_Run1/Plate 3/@12/G6_01.tif "/>
    <s v=" 1643.872 "/>
    <s v=" 33.4474 "/>
    <x v="0"/>
    <n v="54983"/>
    <m/>
    <m/>
  </r>
  <r>
    <x v="14"/>
    <x v="7"/>
    <s v="C:\Users\andre\Desktop\REACTIV CEFAS\Saccharin\Saccharin/20201217_Cefas_Test10_Run1/Plate 3/@12/G6_02.tif "/>
    <s v=" 2617.2173 "/>
    <s v=" 34.5785 "/>
    <x v="0"/>
    <n v="90499"/>
    <m/>
    <m/>
  </r>
  <r>
    <x v="14"/>
    <x v="7"/>
    <s v="C:\Users\andre\Desktop\REACTIV CEFAS\Saccharin\Saccharin/20201217_Cefas_Test10_Run1/Plate 3/@12/G6_03.tif "/>
    <s v=" 562.3773 "/>
    <s v=" 31.7692 "/>
    <x v="0"/>
    <n v="17866"/>
    <m/>
    <m/>
  </r>
  <r>
    <x v="14"/>
    <x v="7"/>
    <s v="C:\Users\andre\Desktop\REACTIV CEFAS\Saccharin\Saccharin/20201217_Cefas_Test10_Run1/Plate 3/@12/G6_04.tif "/>
    <s v=" 2249.509 "/>
    <s v=" 33.7308 "/>
    <x v="0"/>
    <n v="75878"/>
    <m/>
    <m/>
  </r>
  <r>
    <x v="14"/>
    <x v="8"/>
    <s v="C:\Users\andre\Desktop\REACTIV CEFAS\Saccharin\Saccharin/20201217_Cefas_Test10_Run1/Plate 3/@12/H6_01.tif "/>
    <s v=" 9711.8227 "/>
    <s v=" 42.6526 "/>
    <x v="0"/>
    <n v="414234"/>
    <m/>
    <m/>
  </r>
  <r>
    <x v="14"/>
    <x v="8"/>
    <s v="C:\Users\andre\Desktop\REACTIV CEFAS\Saccharin\Saccharin/20201217_Cefas_Test10_Run1/Plate 3/@12/H6_02.tif "/>
    <s v=" 6618.7478 "/>
    <s v=" 40.8203 "/>
    <x v="0"/>
    <n v="270179"/>
    <m/>
    <m/>
  </r>
  <r>
    <x v="14"/>
    <x v="8"/>
    <s v="C:\Users\andre\Desktop\REACTIV CEFAS\Saccharin\Saccharin/20201217_Cefas_Test10_Run1/Plate 3/@12/H6_03.tif "/>
    <s v=" 6748.5271 "/>
    <s v=" 42.0994 "/>
    <x v="0"/>
    <n v="284109"/>
    <m/>
    <m/>
  </r>
  <r>
    <x v="14"/>
    <x v="8"/>
    <s v="C:\Users\andre\Desktop\REACTIV CEFAS\Saccharin\Saccharin/20201217_Cefas_Test10_Run1/Plate 3/@12/H6_04.tif "/>
    <s v=" 5667.0324 "/>
    <s v=" 41.2519 "/>
    <x v="0"/>
    <n v="233776"/>
    <m/>
    <m/>
  </r>
  <r>
    <x v="0"/>
    <x v="0"/>
    <s v=" "/>
    <m/>
    <m/>
    <x v="1"/>
    <m/>
    <m/>
    <m/>
  </r>
  <r>
    <x v="0"/>
    <x v="0"/>
    <s v="group "/>
    <s v=" "/>
    <s v=" mean of mean fluo "/>
    <x v="2"/>
    <s v=" mean of total fluo "/>
    <s v=" SD total fluo "/>
    <m/>
  </r>
  <r>
    <x v="14"/>
    <x v="9"/>
    <s v="C:\Users\andre\Desktop\REACTIV CEFAS\Saccharin\Saccharin/20201217_Cefas_Test10_Run1/Plate 3/@12/ "/>
    <s v=" "/>
    <s v=" 37.4649 "/>
    <x v="16"/>
    <s v=" 186762.688 "/>
    <s v=" 134040.15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Saccharin\Saccharin/20201217_Cefas_Test10_Run1/Plate 3/@17/A8_01.tif "/>
    <s v=" 63245.8119 "/>
    <s v=" 41.5243 "/>
    <x v="0"/>
    <n v="2626237"/>
    <m/>
    <m/>
  </r>
  <r>
    <x v="15"/>
    <x v="1"/>
    <s v="C:\Users\andre\Desktop\REACTIV CEFAS\Saccharin\Saccharin/20201217_Cefas_Test10_Run1/Plate 3/@17/A8_02.tif "/>
    <s v=" 63224.182 "/>
    <s v=" 44.6237 "/>
    <x v="0"/>
    <n v="2821295"/>
    <m/>
    <m/>
  </r>
  <r>
    <x v="15"/>
    <x v="1"/>
    <s v="C:\Users\andre\Desktop\REACTIV CEFAS\Saccharin\Saccharin/20201217_Cefas_Test10_Run1/Plate 3/@17/A8_03.tif "/>
    <s v=" 57470.63 "/>
    <s v=" 44.3304 "/>
    <x v="0"/>
    <n v="2547699"/>
    <m/>
    <m/>
  </r>
  <r>
    <x v="15"/>
    <x v="1"/>
    <s v="C:\Users\andre\Desktop\REACTIV CEFAS\Saccharin\Saccharin/20201217_Cefas_Test10_Run1/Plate 3/@17/A8_04.tif "/>
    <s v=" 54637.1138 "/>
    <s v=" 43.3179 "/>
    <x v="0"/>
    <n v="2366765"/>
    <m/>
    <m/>
  </r>
  <r>
    <x v="15"/>
    <x v="2"/>
    <s v="C:\Users\andre\Desktop\REACTIV CEFAS\Saccharin\Saccharin/20201217_Cefas_Test10_Run1/Plate 3/@17/B8_01.tif "/>
    <s v=" 61580.31 "/>
    <s v=" 40.8662 "/>
    <x v="0"/>
    <n v="2516552"/>
    <m/>
    <m/>
  </r>
  <r>
    <x v="15"/>
    <x v="2"/>
    <s v="C:\Users\andre\Desktop\REACTIV CEFAS\Saccharin\Saccharin/20201217_Cefas_Test10_Run1/Plate 3/@17/B8_02.tif "/>
    <s v=" 63937.9685 "/>
    <s v=" 42.8498 "/>
    <x v="0"/>
    <n v="2739729"/>
    <m/>
    <m/>
  </r>
  <r>
    <x v="15"/>
    <x v="2"/>
    <s v="C:\Users\andre\Desktop\REACTIV CEFAS\Saccharin\Saccharin/20201217_Cefas_Test10_Run1/Plate 3/@17/B8_03.tif "/>
    <s v=" 62294.0965 "/>
    <s v=" 40.2247 "/>
    <x v="0"/>
    <n v="2505758"/>
    <m/>
    <m/>
  </r>
  <r>
    <x v="15"/>
    <x v="2"/>
    <s v="C:\Users\andre\Desktop\REACTIV CEFAS\Saccharin\Saccharin/20201217_Cefas_Test10_Run1/Plate 3/@17/B8_04.tif "/>
    <s v=" 71962.6594 "/>
    <s v=" 41.5624 "/>
    <x v="0"/>
    <n v="2990939"/>
    <m/>
    <m/>
  </r>
  <r>
    <x v="15"/>
    <x v="3"/>
    <s v="C:\Users\andre\Desktop\REACTIV CEFAS\Saccharin\Saccharin/20201217_Cefas_Test10_Run1/Plate 3/@17/C8_01.tif "/>
    <s v=" 58270.9361 "/>
    <s v=" 37.8267 "/>
    <x v="0"/>
    <n v="2204194"/>
    <m/>
    <m/>
  </r>
  <r>
    <x v="15"/>
    <x v="3"/>
    <s v="C:\Users\andre\Desktop\REACTIV CEFAS\Saccharin\Saccharin/20201217_Cefas_Test10_Run1/Plate 3/@17/C8_02.tif "/>
    <s v=" 66403.7765 "/>
    <s v=" 40.9866 "/>
    <x v="0"/>
    <n v="2721668"/>
    <m/>
    <m/>
  </r>
  <r>
    <x v="15"/>
    <x v="3"/>
    <s v="C:\Users\andre\Desktop\REACTIV CEFAS\Saccharin\Saccharin/20201217_Cefas_Test10_Run1/Plate 3/@17/C8_03.tif "/>
    <s v=" 63829.819 "/>
    <s v=" 40.5269 "/>
    <x v="0"/>
    <n v="2586827"/>
    <m/>
    <m/>
  </r>
  <r>
    <x v="15"/>
    <x v="3"/>
    <s v="C:\Users\andre\Desktop\REACTIV CEFAS\Saccharin\Saccharin/20201217_Cefas_Test10_Run1/Plate 3/@17/C8_04.tif "/>
    <s v=" 63440.4809 "/>
    <s v=" 37.6458 "/>
    <x v="0"/>
    <n v="2388265"/>
    <m/>
    <m/>
  </r>
  <r>
    <x v="15"/>
    <x v="4"/>
    <s v="C:\Users\andre\Desktop\REACTIV CEFAS\Saccharin\Saccharin/20201217_Cefas_Test10_Run1/Plate 3/@17/D8_01.tif "/>
    <s v=" 64024.4881 "/>
    <s v=" 43.0544 "/>
    <x v="0"/>
    <n v="2756535"/>
    <m/>
    <m/>
  </r>
  <r>
    <x v="15"/>
    <x v="4"/>
    <s v="C:\Users\andre\Desktop\REACTIV CEFAS\Saccharin\Saccharin/20201217_Cefas_Test10_Run1/Plate 3/@17/D8_02- exclu.tif"/>
    <m/>
    <m/>
    <x v="1"/>
    <m/>
    <m/>
    <m/>
  </r>
  <r>
    <x v="15"/>
    <x v="4"/>
    <s v="C:\Users\andre\Desktop\REACTIV CEFAS\Saccharin\Saccharin/20201217_Cefas_Test10_Run1/Plate 3/@17/D8_03.tif "/>
    <s v=" 58292.566 "/>
    <s v=" 42.9955 "/>
    <x v="0"/>
    <n v="2506321"/>
    <m/>
    <m/>
  </r>
  <r>
    <x v="15"/>
    <x v="4"/>
    <s v="C:\Users\andre\Desktop\REACTIV CEFAS\Saccharin\Saccharin/20201217_Cefas_Test10_Run1/Plate 3/@17/D8_04.tif "/>
    <s v=" 56843.3631 "/>
    <s v=" 41.6568 "/>
    <x v="0"/>
    <n v="2367911"/>
    <m/>
    <m/>
  </r>
  <r>
    <x v="15"/>
    <x v="5"/>
    <s v="C:\Users\andre\Desktop\REACTIV CEFAS\Saccharin\Saccharin/20201217_Cefas_Test10_Run1/Plate 3/@17/E8_01.tif "/>
    <s v=" 37571.127 "/>
    <s v=" 35.3143 "/>
    <x v="0"/>
    <n v="1326799"/>
    <m/>
    <m/>
  </r>
  <r>
    <x v="15"/>
    <x v="5"/>
    <s v="C:\Users\andre\Desktop\REACTIV CEFAS\Saccharin\Saccharin/20201217_Cefas_Test10_Run1/Plate 3/@17/E8_02.tif "/>
    <s v=" 50851.8823 "/>
    <s v=" 38.1748 "/>
    <x v="0"/>
    <n v="1941261"/>
    <m/>
    <m/>
  </r>
  <r>
    <x v="15"/>
    <x v="5"/>
    <s v="C:\Users\andre\Desktop\REACTIV CEFAS\Saccharin\Saccharin/20201217_Cefas_Test10_Run1/Plate 3/@17/E8_03.tif "/>
    <s v=" 44449.4335 "/>
    <s v=" 36.3762 "/>
    <x v="0"/>
    <n v="1616900"/>
    <m/>
    <m/>
  </r>
  <r>
    <x v="15"/>
    <x v="5"/>
    <s v="C:\Users\andre\Desktop\REACTIV CEFAS\Saccharin\Saccharin/20201217_Cefas_Test10_Run1/Plate 3/@17/E8_04.tif "/>
    <s v=" 43649.1274 "/>
    <s v=" 36.5619 "/>
    <x v="0"/>
    <n v="1595897"/>
    <m/>
    <m/>
  </r>
  <r>
    <x v="15"/>
    <x v="6"/>
    <s v="C:\Users\andre\Desktop\REACTIV CEFAS\Saccharin\Saccharin/20201217_Cefas_Test10_Run1/Plate 3/@17/F8_01.tif "/>
    <s v=" 44730.6221 "/>
    <s v=" 41.3269 "/>
    <x v="0"/>
    <n v="1848577"/>
    <m/>
    <m/>
  </r>
  <r>
    <x v="15"/>
    <x v="6"/>
    <s v="C:\Users\andre\Desktop\REACTIV CEFAS\Saccharin\Saccharin/20201217_Cefas_Test10_Run1/Plate 3/@17/F8_02.tif "/>
    <s v=" 41486.1379 "/>
    <s v=" 39.9202 "/>
    <x v="0"/>
    <n v="1656136"/>
    <m/>
    <m/>
  </r>
  <r>
    <x v="15"/>
    <x v="6"/>
    <s v="C:\Users\andre\Desktop\REACTIV CEFAS\Saccharin\Saccharin/20201217_Cefas_Test10_Run1/Plate 3/@17/F8_03.tif "/>
    <s v=" 44168.2448 "/>
    <s v=" 40.9662 "/>
    <x v="0"/>
    <n v="1809406"/>
    <m/>
    <m/>
  </r>
  <r>
    <x v="15"/>
    <x v="6"/>
    <s v="C:\Users\andre\Desktop\REACTIV CEFAS\Saccharin\Saccharin/20201217_Cefas_Test10_Run1/Plate 3/@17/F8_04.tif "/>
    <s v=" 44600.8427 "/>
    <s v=" 41.0112 "/>
    <x v="0"/>
    <n v="1829132"/>
    <m/>
    <m/>
  </r>
  <r>
    <x v="15"/>
    <x v="7"/>
    <s v="C:\Users\andre\Desktop\REACTIV CEFAS\Saccharin\Saccharin/20201217_Cefas_Test10_Run1/Plate 3/@17/G8_01.tif "/>
    <s v=" 28702.8702 "/>
    <s v=" 34.8892 "/>
    <x v="0"/>
    <n v="1001421"/>
    <m/>
    <m/>
  </r>
  <r>
    <x v="15"/>
    <x v="7"/>
    <s v="C:\Users\andre\Desktop\REACTIV CEFAS\Saccharin\Saccharin/20201217_Cefas_Test10_Run1/Plate 3/@17/G8_02.tif "/>
    <s v=" 15746.5633 "/>
    <s v=" 33.0618 "/>
    <x v="0"/>
    <n v="520610"/>
    <m/>
    <m/>
  </r>
  <r>
    <x v="15"/>
    <x v="7"/>
    <s v="C:\Users\andre\Desktop\REACTIV CEFAS\Saccharin\Saccharin/20201217_Cefas_Test10_Run1/Plate 3/@17/G8_03.tif "/>
    <s v=" 27945.8239 "/>
    <s v=" 34.8746 "/>
    <x v="0"/>
    <n v="974600"/>
    <m/>
    <m/>
  </r>
  <r>
    <x v="15"/>
    <x v="7"/>
    <s v="C:\Users\andre\Desktop\REACTIV CEFAS\Saccharin\Saccharin/20201217_Cefas_Test10_Run1/Plate 3/@17/G8_04.tif "/>
    <s v=" 27989.0836 "/>
    <s v=" 35.2396 "/>
    <x v="0"/>
    <n v="986323"/>
    <m/>
    <m/>
  </r>
  <r>
    <x v="15"/>
    <x v="8"/>
    <s v="C:\Users\andre\Desktop\REACTIV CEFAS\Saccharin\Saccharin/20201217_Cefas_Test10_Run1/Plate 3/@17/H8_01- exclu.tif"/>
    <m/>
    <m/>
    <x v="1"/>
    <m/>
    <m/>
    <m/>
  </r>
  <r>
    <x v="15"/>
    <x v="8"/>
    <s v="C:\Users\andre\Desktop\REACTIV CEFAS\Saccharin\Saccharin/20201217_Cefas_Test10_Run1/Plate 3/@17/H8_02- exclu.tif"/>
    <m/>
    <m/>
    <x v="1"/>
    <m/>
    <m/>
    <m/>
  </r>
  <r>
    <x v="15"/>
    <x v="8"/>
    <s v="C:\Users\andre\Desktop\REACTIV CEFAS\Saccharin\Saccharin/20201217_Cefas_Test10_Run1/Plate 3/@17/H8_03- exclu.tif"/>
    <m/>
    <m/>
    <x v="1"/>
    <m/>
    <m/>
    <m/>
  </r>
  <r>
    <x v="15"/>
    <x v="8"/>
    <s v="C:\Users\andre\Desktop\REACTIV CEFAS\Saccharin\Saccharin/20201217_Cefas_Test10_Run1/Plate 3/@17/H8_04- exclu.tif"/>
    <m/>
    <m/>
    <x v="1"/>
    <m/>
    <m/>
    <m/>
  </r>
  <r>
    <x v="0"/>
    <x v="0"/>
    <s v=" "/>
    <m/>
    <m/>
    <x v="1"/>
    <m/>
    <m/>
    <m/>
  </r>
  <r>
    <x v="0"/>
    <x v="0"/>
    <s v="group "/>
    <s v=" "/>
    <s v=" mean of mean fluo "/>
    <x v="2"/>
    <s v=" mean of total fluo "/>
    <s v=" SD total fluo "/>
    <m/>
  </r>
  <r>
    <x v="15"/>
    <x v="9"/>
    <s v="C:\Users\andre\Desktop\REACTIV CEFAS\Saccharin\Saccharin/20201217_Cefas_Test10_Run1/Plate 3/@17/ "/>
    <s v=" "/>
    <s v=" 40.1304 "/>
    <x v="17"/>
    <s v=" 2098770.97 "/>
    <s v=" 640117.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Saccharin\Saccharin/20201217_Cefas_Test10_Run1/Plate 3/@18/A9_01.tif "/>
    <s v=" 59828.2885 "/>
    <s v=" 39.3181 "/>
    <x v="0"/>
    <n v="2352338"/>
    <m/>
    <m/>
  </r>
  <r>
    <x v="16"/>
    <x v="1"/>
    <s v="C:\Users\andre\Desktop\REACTIV CEFAS\Saccharin\Saccharin/20201217_Cefas_Test10_Run1/Plate 3/@18/A9_02.tif "/>
    <s v=" 76137.2291 "/>
    <s v=" 42.7295 "/>
    <x v="0"/>
    <n v="3253309"/>
    <m/>
    <m/>
  </r>
  <r>
    <x v="16"/>
    <x v="1"/>
    <s v="C:\Users\andre\Desktop\REACTIV CEFAS\Saccharin\Saccharin/20201217_Cefas_Test10_Run1/Plate 3/@18/A9_03.tif "/>
    <s v=" 63051.1428 "/>
    <s v=" 40.4748 "/>
    <x v="0"/>
    <n v="2551981"/>
    <m/>
    <m/>
  </r>
  <r>
    <x v="16"/>
    <x v="1"/>
    <s v="C:\Users\andre\Desktop\REACTIV CEFAS\Saccharin\Saccharin/20201217_Cefas_Test10_Run1/Plate 3/@18/A9_04- exclu.tif"/>
    <m/>
    <m/>
    <x v="1"/>
    <m/>
    <m/>
    <m/>
  </r>
  <r>
    <x v="16"/>
    <x v="2"/>
    <s v="C:\Users\andre\Desktop\REACTIV CEFAS\Saccharin\Saccharin/20201217_Cefas_Test10_Run1/Plate 3/@18/B9_01.tif "/>
    <s v=" 15400.485 "/>
    <s v=" 33.9888 "/>
    <x v="0"/>
    <n v="523443"/>
    <m/>
    <m/>
  </r>
  <r>
    <x v="16"/>
    <x v="2"/>
    <s v="C:\Users\andre\Desktop\REACTIV CEFAS\Saccharin\Saccharin/20201217_Cefas_Test10_Run1/Plate 3/@18/B9_02.tif "/>
    <s v=" 26258.6921 "/>
    <s v=" 36.7479 "/>
    <x v="0"/>
    <n v="964953"/>
    <m/>
    <m/>
  </r>
  <r>
    <x v="16"/>
    <x v="2"/>
    <s v="C:\Users\andre\Desktop\REACTIV CEFAS\Saccharin\Saccharin/20201217_Cefas_Test10_Run1/Plate 3/@18/B9_03.tif "/>
    <s v=" 24333.6315 "/>
    <s v=" 36.3218 "/>
    <x v="0"/>
    <n v="883841"/>
    <m/>
    <m/>
  </r>
  <r>
    <x v="16"/>
    <x v="2"/>
    <s v="C:\Users\andre\Desktop\REACTIV CEFAS\Saccharin\Saccharin/20201217_Cefas_Test10_Run1/Plate 3/@18/B9_04- exclu.tif"/>
    <m/>
    <m/>
    <x v="1"/>
    <m/>
    <m/>
    <m/>
  </r>
  <r>
    <x v="16"/>
    <x v="3"/>
    <s v="C:\Users\andre\Desktop\REACTIV CEFAS\Saccharin\Saccharin/20201217_Cefas_Test10_Run1/Plate 3/@18/C9_01.tif "/>
    <s v=" 73260.4531 "/>
    <s v=" 40.4071 "/>
    <x v="0"/>
    <n v="2960246"/>
    <m/>
    <m/>
  </r>
  <r>
    <x v="16"/>
    <x v="3"/>
    <s v="C:\Users\andre\Desktop\REACTIV CEFAS\Saccharin\Saccharin/20201217_Cefas_Test10_Run1/Plate 3/@18/C9_02.tif "/>
    <s v=" 80484.8379 "/>
    <s v=" 44.2153 "/>
    <x v="0"/>
    <n v="3558658"/>
    <m/>
    <m/>
  </r>
  <r>
    <x v="16"/>
    <x v="3"/>
    <s v="C:\Users\andre\Desktop\REACTIV CEFAS\Saccharin\Saccharin/20201217_Cefas_Test10_Run1/Plate 3/@18/C9_03.tif "/>
    <s v=" 77651.3217 "/>
    <s v=" 43.2836 "/>
    <x v="0"/>
    <n v="3361026"/>
    <m/>
    <m/>
  </r>
  <r>
    <x v="16"/>
    <x v="3"/>
    <s v="C:\Users\andre\Desktop\REACTIV CEFAS\Saccharin\Saccharin/20201217_Cefas_Test10_Run1/Plate 3/@18/C9_04.tif "/>
    <s v=" 76050.7095 "/>
    <s v=" 43.8461 "/>
    <x v="0"/>
    <n v="3334529"/>
    <m/>
    <m/>
  </r>
  <r>
    <x v="16"/>
    <x v="4"/>
    <s v="C:\Users\andre\Desktop\REACTIV CEFAS\Saccharin\Saccharin/20201217_Cefas_Test10_Run1/Plate 3/@18/D9_01.tif "/>
    <s v=" 79468.2329 "/>
    <s v=" 42.4189 "/>
    <x v="0"/>
    <n v="3370954"/>
    <m/>
    <m/>
  </r>
  <r>
    <x v="16"/>
    <x v="4"/>
    <s v="C:\Users\andre\Desktop\REACTIV CEFAS\Saccharin\Saccharin/20201217_Cefas_Test10_Run1/Plate 3/@18/D9_02.tif "/>
    <s v=" 70383.6771 "/>
    <s v=" 40.0922 "/>
    <x v="0"/>
    <n v="2821836"/>
    <m/>
    <m/>
  </r>
  <r>
    <x v="16"/>
    <x v="4"/>
    <s v="C:\Users\andre\Desktop\REACTIV CEFAS\Saccharin\Saccharin/20201217_Cefas_Test10_Run1/Plate 3/@18/D9_03.tif "/>
    <s v=" 66187.4776 "/>
    <s v=" 41.2105 "/>
    <x v="0"/>
    <n v="2727616"/>
    <m/>
    <m/>
  </r>
  <r>
    <x v="16"/>
    <x v="4"/>
    <s v="C:\Users\andre\Desktop\REACTIV CEFAS\Saccharin\Saccharin/20201217_Cefas_Test10_Run1/Plate 3/@18/D9_04.tif "/>
    <s v=" 67009.4136 "/>
    <s v=" 39.3683 "/>
    <x v="0"/>
    <n v="2638047"/>
    <m/>
    <m/>
  </r>
  <r>
    <x v="16"/>
    <x v="5"/>
    <s v="C:\Users\andre\Desktop\REACTIV CEFAS\Saccharin\Saccharin/20201217_Cefas_Test10_Run1/Plate 3/@18/E9_01.tif "/>
    <s v=" 52733.6831 "/>
    <s v=" 37.8244 "/>
    <x v="0"/>
    <n v="1994622"/>
    <m/>
    <m/>
  </r>
  <r>
    <x v="16"/>
    <x v="5"/>
    <s v="C:\Users\andre\Desktop\REACTIV CEFAS\Saccharin\Saccharin/20201217_Cefas_Test10_Run1/Plate 3/@18/E9_02.tif "/>
    <s v=" 52733.6831 "/>
    <s v=" 37.7248 "/>
    <x v="0"/>
    <n v="1989366"/>
    <m/>
    <m/>
  </r>
  <r>
    <x v="16"/>
    <x v="5"/>
    <s v="C:\Users\andre\Desktop\REACTIV CEFAS\Saccharin\Saccharin/20201217_Cefas_Test10_Run1/Plate 3/@18/E9_03.tif "/>
    <s v=" 49337.7896 "/>
    <s v=" 39.1859 "/>
    <x v="0"/>
    <n v="1933345"/>
    <m/>
    <m/>
  </r>
  <r>
    <x v="16"/>
    <x v="5"/>
    <s v="C:\Users\andre\Desktop\REACTIV CEFAS\Saccharin\Saccharin/20201217_Cefas_Test10_Run1/Plate 3/@18/E9_04.tif "/>
    <s v=" 51500.7791 "/>
    <s v=" 42.2205 "/>
    <x v="0"/>
    <n v="2174388"/>
    <m/>
    <m/>
  </r>
  <r>
    <x v="16"/>
    <x v="6"/>
    <s v="C:\Users\andre\Desktop\REACTIV CEFAS\Saccharin\Saccharin/20201217_Cefas_Test10_Run1/Plate 3/@18/F9_01- exclu.tif"/>
    <m/>
    <m/>
    <x v="1"/>
    <m/>
    <m/>
    <m/>
  </r>
  <r>
    <x v="16"/>
    <x v="6"/>
    <s v="C:\Users\andre\Desktop\REACTIV CEFAS\Saccharin\Saccharin/20201217_Cefas_Test10_Run1/Plate 3/@18/F9_02.tif "/>
    <s v=" 47780.4372 "/>
    <s v=" 36.4151 "/>
    <x v="0"/>
    <n v="1739930"/>
    <m/>
    <m/>
  </r>
  <r>
    <x v="16"/>
    <x v="6"/>
    <s v="C:\Users\andre\Desktop\REACTIV CEFAS\Saccharin\Saccharin/20201217_Cefas_Test10_Run1/Plate 3/@18/F9_03- exclu.tif"/>
    <m/>
    <m/>
    <x v="1"/>
    <m/>
    <m/>
    <m/>
  </r>
  <r>
    <x v="16"/>
    <x v="6"/>
    <s v="C:\Users\andre\Desktop\REACTIV CEFAS\Saccharin\Saccharin/20201217_Cefas_Test10_Run1/Plate 3/@18/F9_04.tif "/>
    <s v=" 34953.9097 "/>
    <s v=" 35.315 "/>
    <x v="0"/>
    <n v="1234396"/>
    <m/>
    <m/>
  </r>
  <r>
    <x v="16"/>
    <x v="7"/>
    <s v="C:\Users\andre\Desktop\REACTIV CEFAS\Saccharin\Saccharin/20201217_Cefas_Test10_Run1/Plate 3/@18/G9_01.tif "/>
    <s v=" 39366.4082 "/>
    <s v=" 46.9357 "/>
    <x v="0"/>
    <n v="1847690"/>
    <m/>
    <m/>
  </r>
  <r>
    <x v="16"/>
    <x v="7"/>
    <s v="C:\Users\andre\Desktop\REACTIV CEFAS\Saccharin\Saccharin/20201217_Cefas_Test10_Run1/Plate 3/@18/G9_02.tif "/>
    <s v=" 58725.1639 "/>
    <s v=" 44.6317 "/>
    <x v="0"/>
    <n v="2621002"/>
    <m/>
    <m/>
  </r>
  <r>
    <x v="16"/>
    <x v="7"/>
    <s v="C:\Users\andre\Desktop\REACTIV CEFAS\Saccharin\Saccharin/20201217_Cefas_Test10_Run1/Plate 3/@18/G9_03- exclu.tif"/>
    <m/>
    <m/>
    <x v="1"/>
    <m/>
    <m/>
    <m/>
  </r>
  <r>
    <x v="16"/>
    <x v="7"/>
    <s v="C:\Users\andre\Desktop\REACTIV CEFAS\Saccharin\Saccharin/20201217_Cefas_Test10_Run1/Plate 3/@18/G9_04- exclu.tif"/>
    <m/>
    <m/>
    <x v="1"/>
    <m/>
    <m/>
    <m/>
  </r>
  <r>
    <x v="16"/>
    <x v="8"/>
    <s v="C:\Users\andre\Desktop\REACTIV CEFAS\Saccharin\Saccharin/20201217_Cefas_Test10_Run1/Plate 3/@18/H9_01.tif "/>
    <s v=" 63873.0788 "/>
    <s v=" 38.1818 "/>
    <x v="0"/>
    <n v="2438792"/>
    <m/>
    <m/>
  </r>
  <r>
    <x v="16"/>
    <x v="8"/>
    <s v="C:\Users\andre\Desktop\REACTIV CEFAS\Saccharin\Saccharin/20201217_Cefas_Test10_Run1/Plate 3/@18/H9_02.tif "/>
    <s v=" 57427.3702 "/>
    <s v=" 38.4599 "/>
    <x v="0"/>
    <n v="2208650"/>
    <m/>
    <m/>
  </r>
  <r>
    <x v="16"/>
    <x v="8"/>
    <s v="C:\Users\andre\Desktop\REACTIV CEFAS\Saccharin\Saccharin/20201217_Cefas_Test10_Run1/Plate 3/@18/H9_03.tif "/>
    <s v=" 62596.9151 "/>
    <s v=" 37.6603 "/>
    <x v="0"/>
    <n v="2357421"/>
    <m/>
    <m/>
  </r>
  <r>
    <x v="16"/>
    <x v="8"/>
    <s v="C:\Users\andre\Desktop\REACTIV CEFAS\Saccharin\Saccharin/20201217_Cefas_Test10_Run1/Plate 3/@18/H9_04.tif "/>
    <s v=" 67268.9723 "/>
    <s v=" 35.7347 "/>
    <x v="0"/>
    <n v="2403838"/>
    <m/>
    <m/>
  </r>
  <r>
    <x v="0"/>
    <x v="0"/>
    <s v=" "/>
    <m/>
    <m/>
    <x v="1"/>
    <m/>
    <m/>
    <m/>
  </r>
  <r>
    <x v="0"/>
    <x v="0"/>
    <s v="group "/>
    <s v=" "/>
    <s v=" mean of mean fluo "/>
    <x v="2"/>
    <s v=" mean of total fluo "/>
    <s v=" SD total fluo "/>
    <m/>
  </r>
  <r>
    <x v="16"/>
    <x v="9"/>
    <s v="C:\Users\andre\Desktop\REACTIV CEFAS\Saccharin\Saccharin/20201217_Cefas_Test10_Run1/Plate 3/@18/ "/>
    <s v=" "/>
    <s v=" 39.5826 "/>
    <x v="18"/>
    <s v=" 2161256.25 "/>
    <s v=" 891293.256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Saccharin\Saccharin/20201217_Cefas_Test10_Run1/Plate 3/@19/A10_01.tif "/>
    <s v=" 48991.7113 "/>
    <s v=" 39.555 "/>
    <x v="0"/>
    <n v="1937866"/>
    <m/>
    <m/>
  </r>
  <r>
    <x v="17"/>
    <x v="1"/>
    <s v="C:\Users\andre\Desktop\REACTIV CEFAS\Saccharin\Saccharin/20201217_Cefas_Test10_Run1/Plate 3/@19/A10_02.tif "/>
    <s v=" 43973.5758 "/>
    <s v=" 40.1058 "/>
    <x v="0"/>
    <n v="1763593"/>
    <m/>
    <m/>
  </r>
  <r>
    <x v="17"/>
    <x v="1"/>
    <s v="C:\Users\andre\Desktop\REACTIV CEFAS\Saccharin\Saccharin/20201217_Cefas_Test10_Run1/Plate 3/@19/A10_03- exclu.tif"/>
    <m/>
    <m/>
    <x v="1"/>
    <m/>
    <m/>
    <m/>
  </r>
  <r>
    <x v="17"/>
    <x v="1"/>
    <s v="C:\Users\andre\Desktop\REACTIV CEFAS\Saccharin\Saccharin/20201217_Cefas_Test10_Run1/Plate 3/@19/A10_04.tif "/>
    <s v=" 67571.7908 "/>
    <s v=" 38.2871 "/>
    <x v="0"/>
    <n v="2587130"/>
    <m/>
    <m/>
  </r>
  <r>
    <x v="17"/>
    <x v="2"/>
    <s v="C:\Users\andre\Desktop\REACTIV CEFAS\Saccharin\Saccharin/20201217_Cefas_Test10_Run1/Plate 3/@19/B10_01.tif "/>
    <s v=" 44644.1025 "/>
    <s v=" 37.3004 "/>
    <x v="0"/>
    <n v="1665242"/>
    <m/>
    <m/>
  </r>
  <r>
    <x v="17"/>
    <x v="2"/>
    <s v="C:\Users\andre\Desktop\REACTIV CEFAS\Saccharin\Saccharin/20201217_Cefas_Test10_Run1/Plate 3/@19/B10_02.tif "/>
    <s v=" 44168.2448 "/>
    <s v=" 37.1077 "/>
    <x v="0"/>
    <n v="1638984"/>
    <m/>
    <m/>
  </r>
  <r>
    <x v="17"/>
    <x v="2"/>
    <s v="C:\Users\andre\Desktop\REACTIV CEFAS\Saccharin\Saccharin/20201217_Cefas_Test10_Run1/Plate 3/@19/B10_03.tif "/>
    <s v=" 41031.9101 "/>
    <s v=" 35.0353 "/>
    <x v="0"/>
    <n v="1437566"/>
    <m/>
    <m/>
  </r>
  <r>
    <x v="17"/>
    <x v="2"/>
    <s v="C:\Users\andre\Desktop\REACTIV CEFAS\Saccharin\Saccharin/20201217_Cefas_Test10_Run1/Plate 3/@19/B10_04.tif "/>
    <s v=" 39690.8566 "/>
    <s v=" 35.2305 "/>
    <x v="0"/>
    <n v="1398329"/>
    <m/>
    <m/>
  </r>
  <r>
    <x v="17"/>
    <x v="3"/>
    <s v="C:\Users\andre\Desktop\REACTIV CEFAS\Saccharin\Saccharin/20201217_Cefas_Test10_Run1/Plate 3/@19/C10_01.tif "/>
    <s v=" 49143.1206 "/>
    <s v=" 38.7069 "/>
    <x v="0"/>
    <n v="1902176"/>
    <m/>
    <m/>
  </r>
  <r>
    <x v="17"/>
    <x v="3"/>
    <s v="C:\Users\andre\Desktop\REACTIV CEFAS\Saccharin\Saccharin/20201217_Cefas_Test10_Run1/Plate 3/@19/C10_02.tif "/>
    <s v=" 46439.3838 "/>
    <s v=" 37.4043 "/>
    <x v="0"/>
    <n v="1737032"/>
    <m/>
    <m/>
  </r>
  <r>
    <x v="17"/>
    <x v="3"/>
    <s v="C:\Users\andre\Desktop\REACTIV CEFAS\Saccharin\Saccharin/20201217_Cefas_Test10_Run1/Plate 3/@19/C10_03.tif "/>
    <s v=" 40318.1236 "/>
    <s v=" 36.86 "/>
    <x v="0"/>
    <n v="1486125"/>
    <m/>
    <m/>
  </r>
  <r>
    <x v="17"/>
    <x v="3"/>
    <s v="C:\Users\andre\Desktop\REACTIV CEFAS\Saccharin\Saccharin/20201217_Cefas_Test10_Run1/Plate 3/@19/C10_04.tif "/>
    <s v=" 46828.7219 "/>
    <s v=" 38.5321 "/>
    <x v="0"/>
    <n v="1804409"/>
    <m/>
    <m/>
  </r>
  <r>
    <x v="17"/>
    <x v="4"/>
    <s v="C:\Users\andre\Desktop\REACTIV CEFAS\Saccharin\Saccharin/20201217_Cefas_Test10_Run1/Plate 3/@19/D10_01.tif "/>
    <s v=" 36900.6002 "/>
    <s v=" 37.6331 "/>
    <x v="0"/>
    <n v="1388682"/>
    <m/>
    <m/>
  </r>
  <r>
    <x v="17"/>
    <x v="4"/>
    <s v="C:\Users\andre\Desktop\REACTIV CEFAS\Saccharin\Saccharin/20201217_Cefas_Test10_Run1/Plate 3/@19/D10_02.tif "/>
    <s v=" 33007.2192 "/>
    <s v=" 35.7202 "/>
    <x v="0"/>
    <n v="1179024"/>
    <m/>
    <m/>
  </r>
  <r>
    <x v="17"/>
    <x v="4"/>
    <s v="C:\Users\andre\Desktop\REACTIV CEFAS\Saccharin\Saccharin/20201217_Cefas_Test10_Run1/Plate 3/@19/D10_03.tif "/>
    <s v=" 47802.0671 "/>
    <s v=" 37.7385 "/>
    <x v="0"/>
    <n v="1803976"/>
    <m/>
    <m/>
  </r>
  <r>
    <x v="17"/>
    <x v="4"/>
    <s v="C:\Users\andre\Desktop\REACTIV CEFAS\Saccharin\Saccharin/20201217_Cefas_Test10_Run1/Plate 3/@19/D10_04.tif "/>
    <s v=" 41572.6575 "/>
    <s v=" 38.0843 "/>
    <x v="0"/>
    <n v="1583265"/>
    <m/>
    <m/>
  </r>
  <r>
    <x v="17"/>
    <x v="5"/>
    <s v="C:\Users\andre\Desktop\REACTIV CEFAS\Saccharin\Saccharin/20201217_Cefas_Test10_Run1/Plate 3/@19/E10_01.tif "/>
    <s v=" 3309.3739 "/>
    <s v=" 35.9804 "/>
    <x v="0"/>
    <n v="119073"/>
    <m/>
    <m/>
  </r>
  <r>
    <x v="17"/>
    <x v="5"/>
    <s v="C:\Users\andre\Desktop\REACTIV CEFAS\Saccharin\Saccharin/20201217_Cefas_Test10_Run1/Plate 3/@19/E10_02.tif "/>
    <s v=" 4044.7903 "/>
    <s v=" 35.6738 "/>
    <x v="0"/>
    <n v="144293"/>
    <m/>
    <m/>
  </r>
  <r>
    <x v="17"/>
    <x v="5"/>
    <s v="C:\Users\andre\Desktop\REACTIV CEFAS\Saccharin\Saccharin/20201217_Cefas_Test10_Run1/Plate 3/@19/E10_03.tif "/>
    <s v=" 2400.9183 "/>
    <s v=" 35.4505 "/>
    <x v="0"/>
    <n v="85114"/>
    <m/>
    <m/>
  </r>
  <r>
    <x v="17"/>
    <x v="5"/>
    <s v="C:\Users\andre\Desktop\REACTIV CEFAS\Saccharin\Saccharin/20201217_Cefas_Test10_Run1/Plate 3/@19/E10_04.tif "/>
    <s v=" 4953.2459 "/>
    <s v=" 38.5022 "/>
    <x v="0"/>
    <n v="190711"/>
    <m/>
    <m/>
  </r>
  <r>
    <x v="17"/>
    <x v="6"/>
    <s v="C:\Users\andre\Desktop\REACTIV CEFAS\Saccharin\Saccharin/20201217_Cefas_Test10_Run1/Plate 3/@19/F10_01.tif "/>
    <s v=" 10252.5701 "/>
    <s v=" 35.3186 "/>
    <x v="0"/>
    <n v="362106"/>
    <m/>
    <m/>
  </r>
  <r>
    <x v="17"/>
    <x v="6"/>
    <s v="C:\Users\andre\Desktop\REACTIV CEFAS\Saccharin\Saccharin/20201217_Cefas_Test10_Run1/Plate 3/@19/F10_02.tif "/>
    <s v=" 5234.4345 "/>
    <s v=" 33.1529 "/>
    <x v="0"/>
    <n v="173537"/>
    <m/>
    <m/>
  </r>
  <r>
    <x v="17"/>
    <x v="6"/>
    <s v="C:\Users\andre\Desktop\REACTIV CEFAS\Saccharin\Saccharin/20201217_Cefas_Test10_Run1/Plate 3/@19/F10_03.tif "/>
    <s v=" 5688.6623 "/>
    <s v=" 33.2662 "/>
    <x v="0"/>
    <n v="189240"/>
    <m/>
    <m/>
  </r>
  <r>
    <x v="17"/>
    <x v="6"/>
    <s v="C:\Users\andre\Desktop\REACTIV CEFAS\Saccharin\Saccharin/20201217_Cefas_Test10_Run1/Plate 3/@19/F10_04.tif "/>
    <s v=" 8111.2105 "/>
    <s v=" 35.1227 "/>
    <x v="0"/>
    <n v="284887"/>
    <m/>
    <m/>
  </r>
  <r>
    <x v="17"/>
    <x v="7"/>
    <s v="C:\Users\andre\Desktop\REACTIV CEFAS\Saccharin\Saccharin/20201217_Cefas_Test10_Run1/Plate 3/@19/G10_01.tif "/>
    <s v=" 47239.6899 "/>
    <s v=" 35.7747 "/>
    <x v="0"/>
    <n v="1689987"/>
    <m/>
    <m/>
  </r>
  <r>
    <x v="17"/>
    <x v="7"/>
    <s v="C:\Users\andre\Desktop\REACTIV CEFAS\Saccharin\Saccharin/20201217_Cefas_Test10_Run1/Plate 3/@19/G10_02.tif "/>
    <s v=" 54399.185 "/>
    <s v=" 37.8374 "/>
    <x v="0"/>
    <n v="2058322"/>
    <m/>
    <m/>
  </r>
  <r>
    <x v="17"/>
    <x v="7"/>
    <s v="C:\Users\andre\Desktop\REACTIV CEFAS\Saccharin\Saccharin/20201217_Cefas_Test10_Run1/Plate 3/@19/G10_03.tif "/>
    <s v=" 42091.7749 "/>
    <s v=" 35.758 "/>
    <x v="0"/>
    <n v="1505116"/>
    <m/>
    <m/>
  </r>
  <r>
    <x v="17"/>
    <x v="7"/>
    <s v="C:\Users\andre\Desktop\REACTIV CEFAS\Saccharin\Saccharin/20201217_Cefas_Test10_Run1/Plate 3/@19/G10_04.tif "/>
    <s v=" 51825.2275 "/>
    <s v=" 35.3669 "/>
    <x v="0"/>
    <n v="1832896"/>
    <m/>
    <m/>
  </r>
  <r>
    <x v="17"/>
    <x v="8"/>
    <s v="C:\Users\andre\Desktop\REACTIV CEFAS\Saccharin\Saccharin/20201217_Cefas_Test10_Run1/Plate 3/@19/H10_01.tif "/>
    <s v=" 67917.8691 "/>
    <s v=" 44.8548 "/>
    <x v="0"/>
    <n v="3046441"/>
    <m/>
    <m/>
  </r>
  <r>
    <x v="17"/>
    <x v="8"/>
    <s v="C:\Users\andre\Desktop\REACTIV CEFAS\Saccharin\Saccharin/20201217_Cefas_Test10_Run1/Plate 3/@19/H10_02.tif "/>
    <s v=" 62207.577 "/>
    <s v=" 40.0862 "/>
    <x v="0"/>
    <n v="2493667"/>
    <m/>
    <m/>
  </r>
  <r>
    <x v="17"/>
    <x v="8"/>
    <s v="C:\Users\andre\Desktop\REACTIV CEFAS\Saccharin\Saccharin/20201217_Cefas_Test10_Run1/Plate 3/@19/H10_03.tif "/>
    <s v=" 66987.7837 "/>
    <s v=" 40.5586 "/>
    <x v="0"/>
    <n v="2716931"/>
    <m/>
    <m/>
  </r>
  <r>
    <x v="17"/>
    <x v="8"/>
    <s v="C:\Users\andre\Desktop\REACTIV CEFAS\Saccharin\Saccharin/20201217_Cefas_Test10_Run1/Plate 3/@19/H10_04.tif "/>
    <s v=" 65149.2426 "/>
    <s v=" 39.6162 "/>
    <x v="0"/>
    <n v="2580966"/>
    <m/>
    <m/>
  </r>
  <r>
    <x v="0"/>
    <x v="0"/>
    <s v=" "/>
    <m/>
    <m/>
    <x v="1"/>
    <m/>
    <m/>
    <m/>
  </r>
  <r>
    <x v="0"/>
    <x v="0"/>
    <s v="group "/>
    <s v=" "/>
    <s v=" mean of mean fluo "/>
    <x v="2"/>
    <s v=" mean of total fluo "/>
    <s v=" SD total fluo "/>
    <m/>
  </r>
  <r>
    <x v="17"/>
    <x v="9"/>
    <s v="C:\Users\andre\Desktop\REACTIV CEFAS\Saccharin\Saccharin/20201217_Cefas_Test10_Run1/Plate 3/@19/ "/>
    <s v=" "/>
    <s v=" 37.4858 "/>
    <x v="19"/>
    <s v=" 1462318.75 "/>
    <s v=" 850776.785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Saccharin\Saccharin/20201217_Cefas_Test10_Run1/Plate 3/@20/A11_01.tif "/>
    <s v=" 42416.2234 "/>
    <s v=" 39.331 "/>
    <x v="0"/>
    <n v="1668271"/>
    <m/>
    <m/>
  </r>
  <r>
    <x v="18"/>
    <x v="1"/>
    <s v="C:\Users\andre\Desktop\REACTIV CEFAS\Saccharin\Saccharin/20201217_Cefas_Test10_Run1/Plate 3/@20/A11_02.tif "/>
    <s v=" 47564.1383 "/>
    <s v=" 37.4065 "/>
    <x v="0"/>
    <n v="1779210"/>
    <m/>
    <m/>
  </r>
  <r>
    <x v="18"/>
    <x v="1"/>
    <s v="C:\Users\andre\Desktop\REACTIV CEFAS\Saccharin\Saccharin/20201217_Cefas_Test10_Run1/Plate 3/@20/A11_03.tif "/>
    <s v=" 52171.3058 "/>
    <s v=" 39.4954 "/>
    <x v="0"/>
    <n v="2060529"/>
    <m/>
    <m/>
  </r>
  <r>
    <x v="18"/>
    <x v="1"/>
    <s v="C:\Users\andre\Desktop\REACTIV CEFAS\Saccharin\Saccharin/20201217_Cefas_Test10_Run1/Plate 3/@20/A11_04.tif "/>
    <s v=" 56280.9858 "/>
    <s v=" 40.618 "/>
    <x v="0"/>
    <n v="2286020"/>
    <m/>
    <m/>
  </r>
  <r>
    <x v="18"/>
    <x v="2"/>
    <s v="C:\Users\andre\Desktop\REACTIV CEFAS\Saccharin\Saccharin/20201217_Cefas_Test10_Run1/Plate 3/@20/B11_01.tif "/>
    <s v=" 26604.7704 "/>
    <s v=" 34.8642 "/>
    <x v="0"/>
    <n v="927555"/>
    <m/>
    <m/>
  </r>
  <r>
    <x v="18"/>
    <x v="2"/>
    <s v="C:\Users\andre\Desktop\REACTIV CEFAS\Saccharin\Saccharin/20201217_Cefas_Test10_Run1/Plate 3/@20/B11_02.tif "/>
    <s v=" 21738.0441 "/>
    <s v=" 34.4995 "/>
    <x v="0"/>
    <n v="749952"/>
    <m/>
    <m/>
  </r>
  <r>
    <x v="18"/>
    <x v="2"/>
    <s v="C:\Users\andre\Desktop\REACTIV CEFAS\Saccharin\Saccharin/20201217_Cefas_Test10_Run1/Plate 3/@20/B11_03.tif "/>
    <s v=" 32639.511 "/>
    <s v=" 36.1584 "/>
    <x v="0"/>
    <n v="1180192"/>
    <m/>
    <m/>
  </r>
  <r>
    <x v="18"/>
    <x v="2"/>
    <s v="C:\Users\andre\Desktop\REACTIV CEFAS\Saccharin\Saccharin/20201217_Cefas_Test10_Run1/Plate 3/@20/B11_04.tif "/>
    <s v=" 24203.8521 "/>
    <s v=" 34.8204 "/>
    <x v="0"/>
    <n v="842787"/>
    <m/>
    <m/>
  </r>
  <r>
    <x v="18"/>
    <x v="3"/>
    <s v="C:\Users\andre\Desktop\REACTIV CEFAS\Saccharin\Saccharin/20201217_Cefas_Test10_Run1/Plate 3/@20/C11_01.tif "/>
    <s v=" 55826.758 "/>
    <s v=" 36.7644 "/>
    <x v="0"/>
    <n v="2052439"/>
    <m/>
    <m/>
  </r>
  <r>
    <x v="18"/>
    <x v="3"/>
    <s v="C:\Users\andre\Desktop\REACTIV CEFAS\Saccharin\Saccharin/20201217_Cefas_Test10_Run1/Plate 3/@20/C11_02.tif "/>
    <s v=" 49164.7505 "/>
    <s v=" 37.6639 "/>
    <x v="0"/>
    <n v="1851735"/>
    <m/>
    <m/>
  </r>
  <r>
    <x v="18"/>
    <x v="3"/>
    <s v="C:\Users\andre\Desktop\REACTIV CEFAS\Saccharin\Saccharin/20201217_Cefas_Test10_Run1/Plate 3/@20/C11_03.tif "/>
    <s v=" 48948.4515 "/>
    <s v=" 38.1392 "/>
    <x v="0"/>
    <n v="1866855"/>
    <m/>
    <m/>
  </r>
  <r>
    <x v="18"/>
    <x v="3"/>
    <s v="C:\Users\andre\Desktop\REACTIV CEFAS\Saccharin\Saccharin/20201217_Cefas_Test10_Run1/Plate 3/@20/C11_04- exclu.tif"/>
    <m/>
    <m/>
    <x v="1"/>
    <m/>
    <m/>
    <m/>
  </r>
  <r>
    <x v="18"/>
    <x v="4"/>
    <s v="C:\Users\andre\Desktop\REACTIV CEFAS\Saccharin\Saccharin/20201217_Cefas_Test10_Run1/Plate 3/@20/D11_01.tif "/>
    <s v=" 19250.6062 "/>
    <s v=" 33.1798 "/>
    <x v="0"/>
    <n v="638731"/>
    <m/>
    <m/>
  </r>
  <r>
    <x v="18"/>
    <x v="4"/>
    <s v="C:\Users\andre\Desktop\REACTIV CEFAS\Saccharin\Saccharin/20201217_Cefas_Test10_Run1/Plate 3/@20/D11_02.tif "/>
    <s v=" 23901.0336 "/>
    <s v=" 34.581 "/>
    <x v="0"/>
    <n v="826522"/>
    <m/>
    <m/>
  </r>
  <r>
    <x v="18"/>
    <x v="4"/>
    <s v="C:\Users\andre\Desktop\REACTIV CEFAS\Saccharin\Saccharin/20201217_Cefas_Test10_Run1/Plate 3/@20/D11_03.tif "/>
    <s v=" 25631.4251 "/>
    <s v=" 35.5401 "/>
    <x v="0"/>
    <n v="910943"/>
    <m/>
    <m/>
  </r>
  <r>
    <x v="18"/>
    <x v="4"/>
    <s v="C:\Users\andre\Desktop\REACTIV CEFAS\Saccharin\Saccharin/20201217_Cefas_Test10_Run1/Plate 3/@20/D11_04.tif "/>
    <s v=" 32747.6605 "/>
    <s v=" 35.5641 "/>
    <x v="0"/>
    <n v="1164640"/>
    <m/>
    <m/>
  </r>
  <r>
    <x v="18"/>
    <x v="5"/>
    <s v="C:\Users\andre\Desktop\REACTIV CEFAS\Saccharin\Saccharin/20201217_Cefas_Test10_Run1/Plate 3/@20/E11_01.tif "/>
    <s v=" 48321.1846 "/>
    <s v=" 37.7359 "/>
    <x v="0"/>
    <n v="1823443"/>
    <m/>
    <m/>
  </r>
  <r>
    <x v="18"/>
    <x v="5"/>
    <s v="C:\Users\andre\Desktop\REACTIV CEFAS\Saccharin\Saccharin/20201217_Cefas_Test10_Run1/Plate 3/@20/E11_02.tif "/>
    <s v=" 45444.4086 "/>
    <s v=" 36.8325 "/>
    <x v="0"/>
    <n v="1673829"/>
    <m/>
    <m/>
  </r>
  <r>
    <x v="18"/>
    <x v="5"/>
    <s v="C:\Users\andre\Desktop\REACTIV CEFAS\Saccharin\Saccharin/20201217_Cefas_Test10_Run1/Plate 3/@20/E11_03.tif "/>
    <s v=" 54810.153 "/>
    <s v=" 39.9021 "/>
    <x v="0"/>
    <n v="2187042"/>
    <m/>
    <m/>
  </r>
  <r>
    <x v="18"/>
    <x v="5"/>
    <s v="C:\Users\andre\Desktop\REACTIV CEFAS\Saccharin\Saccharin/20201217_Cefas_Test10_Run1/Plate 3/@20/E11_04.tif "/>
    <s v=" 46266.3446 "/>
    <s v=" 36.3034 "/>
    <x v="0"/>
    <n v="1679626"/>
    <m/>
    <m/>
  </r>
  <r>
    <x v="18"/>
    <x v="6"/>
    <s v="C:\Users\andre\Desktop\REACTIV CEFAS\Saccharin\Saccharin/20201217_Cefas_Test10_Run1/Plate 3/@20/F11_01.tif "/>
    <s v=" 25090.6778 "/>
    <s v=" 34.4586 "/>
    <x v="0"/>
    <n v="864590"/>
    <m/>
    <m/>
  </r>
  <r>
    <x v="18"/>
    <x v="6"/>
    <s v="C:\Users\andre\Desktop\REACTIV CEFAS\Saccharin\Saccharin/20201217_Cefas_Test10_Run1/Plate 3/@20/F11_02.tif "/>
    <s v=" 28248.6424 "/>
    <s v=" 34.3813 "/>
    <x v="0"/>
    <n v="971226"/>
    <m/>
    <m/>
  </r>
  <r>
    <x v="18"/>
    <x v="6"/>
    <s v="C:\Users\andre\Desktop\REACTIV CEFAS\Saccharin\Saccharin/20201217_Cefas_Test10_Run1/Plate 3/@20/F11_03- exclu.tif"/>
    <m/>
    <m/>
    <x v="1"/>
    <m/>
    <m/>
    <m/>
  </r>
  <r>
    <x v="18"/>
    <x v="6"/>
    <s v="C:\Users\andre\Desktop\REACTIV CEFAS\Saccharin\Saccharin/20201217_Cefas_Test10_Run1/Plate 3/@20/F11_04.tif "/>
    <s v=" 47715.5476 "/>
    <s v=" 35.1596 "/>
    <x v="0"/>
    <n v="1677658"/>
    <m/>
    <m/>
  </r>
  <r>
    <x v="18"/>
    <x v="7"/>
    <s v="C:\Users\andre\Desktop\REACTIV CEFAS\Saccharin\Saccharin/20201217_Cefas_Test10_Run1/Plate 3/@20/G11_01.tif "/>
    <s v=" 8976.4063 "/>
    <s v=" 35.4386 "/>
    <x v="0"/>
    <n v="318111"/>
    <m/>
    <m/>
  </r>
  <r>
    <x v="18"/>
    <x v="7"/>
    <s v="C:\Users\andre\Desktop\REACTIV CEFAS\Saccharin\Saccharin/20201217_Cefas_Test10_Run1/Plate 3/@20/G11_02.tif "/>
    <s v=" 5818.4417 "/>
    <s v=" 36.2528 "/>
    <x v="0"/>
    <n v="210935"/>
    <m/>
    <m/>
  </r>
  <r>
    <x v="18"/>
    <x v="7"/>
    <s v="C:\Users\andre\Desktop\REACTIV CEFAS\Saccharin\Saccharin/20201217_Cefas_Test10_Run1/Plate 3/@20/G11_03.tif "/>
    <s v=" 5558.8829 "/>
    <s v=" 35.6615 "/>
    <x v="0"/>
    <n v="198238"/>
    <m/>
    <m/>
  </r>
  <r>
    <x v="18"/>
    <x v="7"/>
    <s v="C:\Users\andre\Desktop\REACTIV CEFAS\Saccharin\Saccharin/20201217_Cefas_Test10_Run1/Plate 3/@20/G11_04.tif "/>
    <s v=" 7246.0147 "/>
    <s v=" 37.8149 "/>
    <x v="0"/>
    <n v="274008"/>
    <m/>
    <m/>
  </r>
  <r>
    <x v="18"/>
    <x v="8"/>
    <s v="C:\Users\andre\Desktop\REACTIV CEFAS\Saccharin\Saccharin/20201217_Cefas_Test10_Run1/Plate 3/@20/H11_01.tif "/>
    <s v=" 38393.063 "/>
    <s v=" 35.2377 "/>
    <x v="0"/>
    <n v="1352885"/>
    <m/>
    <m/>
  </r>
  <r>
    <x v="18"/>
    <x v="8"/>
    <s v="C:\Users\andre\Desktop\REACTIV CEFAS\Saccharin\Saccharin/20201217_Cefas_Test10_Run1/Plate 3/@20/H11_02.tif "/>
    <s v=" 36641.0415 "/>
    <s v=" 36.1187 "/>
    <x v="0"/>
    <n v="1323425"/>
    <m/>
    <m/>
  </r>
  <r>
    <x v="18"/>
    <x v="8"/>
    <s v="C:\Users\andre\Desktop\REACTIV CEFAS\Saccharin\Saccharin/20201217_Cefas_Test10_Run1/Plate 3/@20/H11_03.tif "/>
    <s v=" 37982.095 "/>
    <s v=" 36.4311 "/>
    <x v="0"/>
    <n v="1383729"/>
    <m/>
    <m/>
  </r>
  <r>
    <x v="18"/>
    <x v="8"/>
    <s v="C:\Users\andre\Desktop\REACTIV CEFAS\Saccharin\Saccharin/20201217_Cefas_Test10_Run1/Plate 3/@20/H11_04.tif "/>
    <s v=" 36835.7106 "/>
    <s v=" 34.916 "/>
    <x v="0"/>
    <n v="1286157"/>
    <m/>
    <m/>
  </r>
  <r>
    <x v="0"/>
    <x v="0"/>
    <s v=" "/>
    <m/>
    <m/>
    <x v="1"/>
    <m/>
    <m/>
    <m/>
  </r>
  <r>
    <x v="0"/>
    <x v="0"/>
    <s v="group "/>
    <s v=" "/>
    <s v=" mean of mean fluo "/>
    <x v="2"/>
    <s v=" mean of total fluo "/>
    <s v=" SD total fluo "/>
    <m/>
  </r>
  <r>
    <x v="18"/>
    <x v="9"/>
    <s v="C:\Users\andre\Desktop\REACTIV CEFAS\Saccharin\Saccharin/20201217_Cefas_Test10_Run1/Plate 3/@20/ "/>
    <s v=" "/>
    <s v=" 36.4633 "/>
    <x v="20"/>
    <s v=" 1273093.09 "/>
    <s v=" 617511.07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Saccharin\Saccharin/20201217_Cefas_Test10_Run1/Plate 3/@21/A12_01.tif "/>
    <s v=" 27210.4074 "/>
    <s v=" 35.368 "/>
    <x v="0"/>
    <n v="962379"/>
    <m/>
    <m/>
  </r>
  <r>
    <x v="19"/>
    <x v="1"/>
    <s v="C:\Users\andre\Desktop\REACTIV CEFAS\Saccharin\Saccharin/20201217_Cefas_Test10_Run1/Plate 3/@21/A12_02.tif "/>
    <s v=" 22559.9801 "/>
    <s v=" 34.7833 "/>
    <x v="0"/>
    <n v="784711"/>
    <m/>
    <m/>
  </r>
  <r>
    <x v="19"/>
    <x v="1"/>
    <s v="C:\Users\andre\Desktop\REACTIV CEFAS\Saccharin\Saccharin/20201217_Cefas_Test10_Run1/Plate 3/@21/A12_03- exclu.tif"/>
    <m/>
    <m/>
    <x v="1"/>
    <m/>
    <m/>
    <m/>
  </r>
  <r>
    <x v="19"/>
    <x v="1"/>
    <s v="C:\Users\andre\Desktop\REACTIV CEFAS\Saccharin\Saccharin/20201217_Cefas_Test10_Run1/Plate 3/@21/A12_04.tif "/>
    <s v=" 29395.0268 "/>
    <s v=" 35.6431 "/>
    <x v="0"/>
    <n v="1047730"/>
    <m/>
    <m/>
  </r>
  <r>
    <x v="19"/>
    <x v="2"/>
    <s v="C:\Users\andre\Desktop\REACTIV CEFAS\Saccharin\Saccharin/20201217_Cefas_Test10_Run1/Plate 3/@21/B12_01.tif "/>
    <s v=" 6575.488 "/>
    <s v=" 38.7368 "/>
    <x v="0"/>
    <n v="254714"/>
    <m/>
    <m/>
  </r>
  <r>
    <x v="19"/>
    <x v="2"/>
    <s v="C:\Users\andre\Desktop\REACTIV CEFAS\Saccharin\Saccharin/20201217_Cefas_Test10_Run1/Plate 3/@21/B12_02.tif "/>
    <s v=" 9928.1216 "/>
    <s v=" 37.2658 "/>
    <x v="0"/>
    <n v="369979"/>
    <m/>
    <m/>
  </r>
  <r>
    <x v="19"/>
    <x v="2"/>
    <s v="C:\Users\andre\Desktop\REACTIV CEFAS\Saccharin\Saccharin/20201217_Cefas_Test10_Run1/Plate 3/@21/B12_03.tif "/>
    <s v=" 6899.9364 "/>
    <s v=" 41.8558 "/>
    <x v="0"/>
    <n v="288802"/>
    <m/>
    <m/>
  </r>
  <r>
    <x v="19"/>
    <x v="2"/>
    <s v="C:\Users\andre\Desktop\REACTIV CEFAS\Saccharin\Saccharin/20201217_Cefas_Test10_Run1/Plate 3/@21/B12_04.tif "/>
    <s v=" 5796.8118 "/>
    <s v=" 40.5784 "/>
    <x v="0"/>
    <n v="235225"/>
    <m/>
    <m/>
  </r>
  <r>
    <x v="19"/>
    <x v="3"/>
    <s v="C:\Users\andre\Desktop\REACTIV CEFAS\Saccharin\Saccharin/20201217_Cefas_Test10_Run1/Plate 3/@21/C12_01.tif "/>
    <s v=" 46439.3838 "/>
    <s v=" 35.9786 "/>
    <x v="0"/>
    <n v="1670823"/>
    <m/>
    <m/>
  </r>
  <r>
    <x v="19"/>
    <x v="3"/>
    <s v="C:\Users\andre\Desktop\REACTIV CEFAS\Saccharin\Saccharin/20201217_Cefas_Test10_Run1/Plate 3/@21/C12_02.tif "/>
    <s v=" 45747.2271 "/>
    <s v=" 37.0369 "/>
    <x v="0"/>
    <n v="1694335"/>
    <m/>
    <m/>
  </r>
  <r>
    <x v="19"/>
    <x v="3"/>
    <s v="C:\Users\andre\Desktop\REACTIV CEFAS\Saccharin\Saccharin/20201217_Cefas_Test10_Run1/Plate 3/@21/C12_03.tif "/>
    <s v=" 53923.3273 "/>
    <s v=" 38.8781 "/>
    <x v="0"/>
    <n v="2096434"/>
    <m/>
    <m/>
  </r>
  <r>
    <x v="19"/>
    <x v="3"/>
    <s v="C:\Users\andre\Desktop\REACTIV CEFAS\Saccharin\Saccharin/20201217_Cefas_Test10_Run1/Plate 3/@21/C12_04.tif "/>
    <s v=" 51522.409 "/>
    <s v=" 39.1146 "/>
    <x v="0"/>
    <n v="2015279"/>
    <m/>
    <m/>
  </r>
  <r>
    <x v="19"/>
    <x v="4"/>
    <s v="C:\Users\andre\Desktop\REACTIV CEFAS\Saccharin\Saccharin/20201217_Cefas_Test10_Run1/Plate 3/@21/D12_01.tif "/>
    <s v=" 56151.2065 "/>
    <s v=" 37.7827 "/>
    <x v="0"/>
    <n v="2121547"/>
    <m/>
    <m/>
  </r>
  <r>
    <x v="19"/>
    <x v="4"/>
    <s v="C:\Users\andre\Desktop\REACTIV CEFAS\Saccharin\Saccharin/20201217_Cefas_Test10_Run1/Plate 3/@21/D12_02.tif "/>
    <s v=" 43281.4192 "/>
    <s v=" 36.3948 "/>
    <x v="0"/>
    <n v="1575219"/>
    <m/>
    <m/>
  </r>
  <r>
    <x v="19"/>
    <x v="4"/>
    <s v="C:\Users\andre\Desktop\REACTIV CEFAS\Saccharin\Saccharin/20201217_Cefas_Test10_Run1/Plate 3/@21/D12_03.tif "/>
    <s v=" 43043.4903 "/>
    <s v=" 35.1975 "/>
    <x v="0"/>
    <n v="1515023"/>
    <m/>
    <m/>
  </r>
  <r>
    <x v="19"/>
    <x v="4"/>
    <s v="C:\Users\andre\Desktop\REACTIV CEFAS\Saccharin\Saccharin/20201217_Cefas_Test10_Run1/Plate 3/@21/D12_04.tif "/>
    <s v=" 57665.2991 "/>
    <s v=" 36.2378 "/>
    <x v="0"/>
    <n v="2089664"/>
    <m/>
    <m/>
  </r>
  <r>
    <x v="19"/>
    <x v="5"/>
    <s v="C:\Users\andre\Desktop\REACTIV CEFAS\Saccharin\Saccharin/20201217_Cefas_Test10_Run1/Plate 3/@21/E12_01.tif "/>
    <s v=" 20137.4319 "/>
    <s v=" 34.4715 "/>
    <x v="0"/>
    <n v="694168"/>
    <m/>
    <m/>
  </r>
  <r>
    <x v="19"/>
    <x v="5"/>
    <s v="C:\Users\andre\Desktop\REACTIV CEFAS\Saccharin\Saccharin/20201217_Cefas_Test10_Run1/Plate 3/@21/E12_02.tif "/>
    <s v=" 20375.3607 "/>
    <s v=" 33.8238 "/>
    <x v="0"/>
    <n v="689172"/>
    <m/>
    <m/>
  </r>
  <r>
    <x v="19"/>
    <x v="5"/>
    <s v="C:\Users\andre\Desktop\REACTIV CEFAS\Saccharin\Saccharin/20201217_Cefas_Test10_Run1/Plate 3/@21/E12_03.tif "/>
    <s v=" 12956.3069 "/>
    <s v=" 34.9466 "/>
    <x v="0"/>
    <n v="452779"/>
    <m/>
    <m/>
  </r>
  <r>
    <x v="19"/>
    <x v="5"/>
    <s v="C:\Users\andre\Desktop\REACTIV CEFAS\Saccharin\Saccharin/20201217_Cefas_Test10_Run1/Plate 3/@21/E12_04.tif "/>
    <s v=" 17996.0723 "/>
    <s v=" 33.9724 "/>
    <x v="0"/>
    <n v="611369"/>
    <m/>
    <m/>
  </r>
  <r>
    <x v="19"/>
    <x v="6"/>
    <s v="C:\Users\andre\Desktop\REACTIV CEFAS\Saccharin\Saccharin/20201217_Cefas_Test10_Run1/Plate 3/@21/F12_01.tif "/>
    <s v=" 8716.8475 "/>
    <s v=" 36.6203 "/>
    <x v="0"/>
    <n v="319214"/>
    <m/>
    <m/>
  </r>
  <r>
    <x v="19"/>
    <x v="6"/>
    <s v="C:\Users\andre\Desktop\REACTIV CEFAS\Saccharin\Saccharin/20201217_Cefas_Test10_Run1/Plate 3/@21/F12_02.tif "/>
    <s v=" 3936.6408 "/>
    <s v=" 36.989 "/>
    <x v="0"/>
    <n v="145612"/>
    <m/>
    <m/>
  </r>
  <r>
    <x v="19"/>
    <x v="6"/>
    <s v="C:\Users\andre\Desktop\REACTIV CEFAS\Saccharin\Saccharin/20201217_Cefas_Test10_Run1/Plate 3/@21/F12_03.tif "/>
    <s v=" 1016.605 "/>
    <s v=" 33.0638 "/>
    <x v="0"/>
    <n v="33613"/>
    <m/>
    <m/>
  </r>
  <r>
    <x v="19"/>
    <x v="6"/>
    <s v="C:\Users\andre\Desktop\REACTIV CEFAS\Saccharin\Saccharin/20201217_Cefas_Test10_Run1/Plate 3/@21/F12_04- exclu.tif"/>
    <m/>
    <m/>
    <x v="1"/>
    <m/>
    <m/>
    <m/>
  </r>
  <r>
    <x v="19"/>
    <x v="7"/>
    <s v="C:\Users\andre\Desktop\REACTIV CEFAS\Saccharin\Saccharin/20201217_Cefas_Test10_Run1/Plate 3/@21/G12_01.tif "/>
    <s v=" 9452.264 "/>
    <s v=" 35.1739 "/>
    <x v="0"/>
    <n v="332473"/>
    <m/>
    <m/>
  </r>
  <r>
    <x v="19"/>
    <x v="7"/>
    <s v="C:\Users\andre\Desktop\REACTIV CEFAS\Saccharin\Saccharin/20201217_Cefas_Test10_Run1/Plate 3/@21/G12_02.tif "/>
    <s v=" 3828.4913 "/>
    <s v=" 31.5254 "/>
    <x v="0"/>
    <n v="120695"/>
    <m/>
    <m/>
  </r>
  <r>
    <x v="19"/>
    <x v="7"/>
    <s v="C:\Users\andre\Desktop\REACTIV CEFAS\Saccharin\Saccharin/20201217_Cefas_Test10_Run1/Plate 3/@21/G12_03.tif "/>
    <s v=" 13367.2749 "/>
    <s v=" 36.4741 "/>
    <x v="0"/>
    <n v="487559"/>
    <m/>
    <m/>
  </r>
  <r>
    <x v="19"/>
    <x v="7"/>
    <s v="C:\Users\andre\Desktop\REACTIV CEFAS\Saccharin\Saccharin/20201217_Cefas_Test10_Run1/Plate 3/@21/G12_04.tif "/>
    <s v=" 11788.2926 "/>
    <s v=" 34.7193 "/>
    <x v="0"/>
    <n v="409281"/>
    <m/>
    <m/>
  </r>
  <r>
    <x v="19"/>
    <x v="8"/>
    <s v="C:\Users\andre\Desktop\REACTIV CEFAS\Saccharin\Saccharin/20201217_Cefas_Test10_Run1/Plate 3/@21/H12_01.tif "/>
    <s v=" 44687.3623 "/>
    <s v=" 34.5058 "/>
    <x v="0"/>
    <n v="1541974"/>
    <m/>
    <m/>
  </r>
  <r>
    <x v="19"/>
    <x v="8"/>
    <s v="C:\Users\andre\Desktop\REACTIV CEFAS\Saccharin\Saccharin/20201217_Cefas_Test10_Run1/Plate 3/@21/H12_02.tif "/>
    <s v=" 53598.8789 "/>
    <s v=" 35.364 "/>
    <x v="0"/>
    <n v="1895471"/>
    <m/>
    <m/>
  </r>
  <r>
    <x v="19"/>
    <x v="8"/>
    <s v="C:\Users\andre\Desktop\REACTIV CEFAS\Saccharin\Saccharin/20201217_Cefas_Test10_Run1/Plate 3/@21/H12_03.tif "/>
    <s v=" 46936.8713 "/>
    <s v=" 35.0097 "/>
    <x v="0"/>
    <n v="1643245"/>
    <m/>
    <m/>
  </r>
  <r>
    <x v="19"/>
    <x v="8"/>
    <s v="C:\Users\andre\Desktop\REACTIV CEFAS\Saccharin\Saccharin/20201217_Cefas_Test10_Run1/Plate 3/@21/H12_04.tif "/>
    <s v=" 44946.921 "/>
    <s v=" 34.2714 "/>
    <x v="0"/>
    <n v="1540395"/>
    <m/>
    <m/>
  </r>
  <r>
    <x v="0"/>
    <x v="0"/>
    <s v=" "/>
    <m/>
    <m/>
    <x v="1"/>
    <m/>
    <m/>
    <m/>
  </r>
  <r>
    <x v="0"/>
    <x v="0"/>
    <s v="group "/>
    <s v=" "/>
    <s v=" mean of mean fluo "/>
    <x v="2"/>
    <s v=" mean of total fluo "/>
    <s v=" SD total fluo "/>
    <m/>
  </r>
  <r>
    <x v="19"/>
    <x v="9"/>
    <s v="C:\Users\andre\Desktop\REACTIV CEFAS\Saccharin\Saccharin/20201217_Cefas_Test10_Run1/Plate 3/@21/ "/>
    <s v=" "/>
    <s v=" 36.0102 "/>
    <x v="21"/>
    <s v=" 981456.531 "/>
    <s v=" 693235.374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Saccharin\Saccharin/20201217_Cefas_Test10_Run1/Plate 3/@8/A2_01.tif "/>
    <s v=" 1211.2741 "/>
    <s v=" 34.6071 "/>
    <x v="0"/>
    <n v="41919"/>
    <m/>
    <m/>
  </r>
  <r>
    <x v="20"/>
    <x v="1"/>
    <s v="C:\Users\andre\Desktop\REACTIV CEFAS\Saccharin\Saccharin/20201217_Cefas_Test10_Run1/Plate 3/@8/A2_02.tif "/>
    <s v=" 10166.0505 "/>
    <s v=" 41.683 "/>
    <x v="0"/>
    <n v="423751"/>
    <m/>
    <m/>
  </r>
  <r>
    <x v="20"/>
    <x v="1"/>
    <s v="C:\Users\andre\Desktop\REACTIV CEFAS\Saccharin\Saccharin/20201217_Cefas_Test10_Run1/Plate 3/@8/A2_03.tif "/>
    <s v=" 10728.4277 "/>
    <s v=" 43.3972 "/>
    <x v="0"/>
    <n v="465583"/>
    <m/>
    <m/>
  </r>
  <r>
    <x v="20"/>
    <x v="1"/>
    <s v="C:\Users\andre\Desktop\REACTIV CEFAS\Saccharin\Saccharin/20201217_Cefas_Test10_Run1/Plate 3/@8/A2_04.tif "/>
    <s v=" 11312.4349 "/>
    <s v=" 41.1396 "/>
    <x v="0"/>
    <n v="465389"/>
    <m/>
    <m/>
  </r>
  <r>
    <x v="20"/>
    <x v="2"/>
    <s v="C:\Users\andre\Desktop\REACTIV CEFAS\Saccharin\Saccharin/20201217_Cefas_Test10_Run1/Plate 3/@8/B2_01.tif "/>
    <s v=" 6878.3065 "/>
    <s v=" 40.1855 "/>
    <x v="0"/>
    <n v="276408"/>
    <m/>
    <m/>
  </r>
  <r>
    <x v="20"/>
    <x v="2"/>
    <s v="C:\Users\andre\Desktop\REACTIV CEFAS\Saccharin\Saccharin/20201217_Cefas_Test10_Run1/Plate 3/@8/B2_02- exclu.tif"/>
    <m/>
    <m/>
    <x v="1"/>
    <m/>
    <m/>
    <m/>
  </r>
  <r>
    <x v="20"/>
    <x v="2"/>
    <s v="C:\Users\andre\Desktop\REACTIV CEFAS\Saccharin\Saccharin/20201217_Cefas_Test10_Run1/Plate 3/@8/B2_03.tif "/>
    <s v=" 367.7082 "/>
    <s v=" 32.1765 "/>
    <x v="0"/>
    <n v="11832"/>
    <m/>
    <m/>
  </r>
  <r>
    <x v="20"/>
    <x v="2"/>
    <s v="C:\Users\andre\Desktop\REACTIV CEFAS\Saccharin\Saccharin/20201217_Cefas_Test10_Run1/Plate 3/@8/B2_04.tif "/>
    <s v=" 2660.477 "/>
    <s v=" 34.2439 "/>
    <x v="0"/>
    <n v="91105"/>
    <m/>
    <m/>
  </r>
  <r>
    <x v="20"/>
    <x v="3"/>
    <s v="C:\Users\andre\Desktop\REACTIV CEFAS\Saccharin\Saccharin/20201217_Cefas_Test10_Run1/Plate 3/@8/C2_01- exclu.tif"/>
    <m/>
    <m/>
    <x v="1"/>
    <m/>
    <m/>
    <m/>
  </r>
  <r>
    <x v="20"/>
    <x v="3"/>
    <s v="C:\Users\andre\Desktop\REACTIV CEFAS\Saccharin\Saccharin/20201217_Cefas_Test10_Run1/Plate 3/@8/C2_02.tif "/>
    <s v=" 3828.4913 "/>
    <s v=" 35.2881 "/>
    <x v="0"/>
    <n v="135100"/>
    <m/>
    <m/>
  </r>
  <r>
    <x v="20"/>
    <x v="3"/>
    <s v="C:\Users\andre\Desktop\REACTIV CEFAS\Saccharin\Saccharin/20201217_Cefas_Test10_Run1/Plate 3/@8/C2_03.tif "/>
    <s v=" 3504.0429 "/>
    <s v=" 37.6296 "/>
    <x v="0"/>
    <n v="131856"/>
    <m/>
    <m/>
  </r>
  <r>
    <x v="20"/>
    <x v="3"/>
    <s v="C:\Users\andre\Desktop\REACTIV CEFAS\Saccharin\Saccharin/20201217_Cefas_Test10_Run1/Plate 3/@8/C2_04.tif "/>
    <s v=" 4693.6871 "/>
    <s v=" 37.8848 "/>
    <x v="0"/>
    <n v="177819"/>
    <m/>
    <m/>
  </r>
  <r>
    <x v="20"/>
    <x v="4"/>
    <s v="C:\Users\andre\Desktop\REACTIV CEFAS\Saccharin\Saccharin/20201217_Cefas_Test10_Run1/Plate 3/@8/D2_01.tif "/>
    <s v=" 12566.9688 "/>
    <s v=" 41.1033 "/>
    <x v="0"/>
    <n v="516544"/>
    <m/>
    <m/>
  </r>
  <r>
    <x v="20"/>
    <x v="4"/>
    <s v="C:\Users\andre\Desktop\REACTIV CEFAS\Saccharin\Saccharin/20201217_Cefas_Test10_Run1/Plate 3/@8/D2_02.tif "/>
    <s v=" 18601.7094 "/>
    <s v=" 44.0628 "/>
    <x v="0"/>
    <n v="819643"/>
    <m/>
    <m/>
  </r>
  <r>
    <x v="20"/>
    <x v="4"/>
    <s v="C:\Users\andre\Desktop\REACTIV CEFAS\Saccharin\Saccharin/20201217_Cefas_Test10_Run1/Plate 3/@8/D2_03.tif "/>
    <s v=" 18753.1186 "/>
    <s v=" 33.3033 "/>
    <x v="0"/>
    <n v="624542"/>
    <m/>
    <m/>
  </r>
  <r>
    <x v="20"/>
    <x v="4"/>
    <s v="C:\Users\andre\Desktop\REACTIV CEFAS\Saccharin\Saccharin/20201217_Cefas_Test10_Run1/Plate 3/@8/D2_04.tif "/>
    <s v=" 1276.1638 "/>
    <s v=" 32.0339 "/>
    <x v="0"/>
    <n v="40881"/>
    <m/>
    <m/>
  </r>
  <r>
    <x v="20"/>
    <x v="5"/>
    <s v="C:\Users\andre\Desktop\REACTIV CEFAS\Saccharin\Saccharin/20201217_Cefas_Test10_Run1/Plate 3/@8/E2_01.tif "/>
    <s v=" 5256.0644 "/>
    <s v=" 33.7613 "/>
    <x v="0"/>
    <n v="177452"/>
    <m/>
    <m/>
  </r>
  <r>
    <x v="20"/>
    <x v="5"/>
    <s v="C:\Users\andre\Desktop\REACTIV CEFAS\Saccharin\Saccharin/20201217_Cefas_Test10_Run1/Plate 3/@8/E2_02.tif "/>
    <s v=" 3590.5625 "/>
    <s v=" 33.994 "/>
    <x v="0"/>
    <n v="122057"/>
    <m/>
    <m/>
  </r>
  <r>
    <x v="20"/>
    <x v="5"/>
    <s v="C:\Users\andre\Desktop\REACTIV CEFAS\Saccharin\Saccharin/20201217_Cefas_Test10_Run1/Plate 3/@8/E2_03.tif "/>
    <s v=" 1319.4236 "/>
    <s v=" 33.377 "/>
    <x v="0"/>
    <n v="44038"/>
    <m/>
    <m/>
  </r>
  <r>
    <x v="20"/>
    <x v="5"/>
    <s v="C:\Users\andre\Desktop\REACTIV CEFAS\Saccharin\Saccharin/20201217_Cefas_Test10_Run1/Plate 3/@8/E2_04.tif "/>
    <s v=" 3568.9326 "/>
    <s v=" 38.8061 "/>
    <x v="0"/>
    <n v="138496"/>
    <m/>
    <m/>
  </r>
  <r>
    <x v="20"/>
    <x v="6"/>
    <s v="C:\Users\andre\Desktop\REACTIV CEFAS\Saccharin\Saccharin/20201217_Cefas_Test10_Run1/Plate 3/@8/F2_01.tif "/>
    <s v=" 324.4484 "/>
    <s v=" 30.2667 "/>
    <x v="0"/>
    <n v="9820"/>
    <m/>
    <m/>
  </r>
  <r>
    <x v="20"/>
    <x v="6"/>
    <s v="C:\Users\andre\Desktop\REACTIV CEFAS\Saccharin\Saccharin/20201217_Cefas_Test10_Run1/Plate 3/@8/F2_02.tif "/>
    <s v=" 4282.7191 "/>
    <s v=" 34.0859 "/>
    <x v="0"/>
    <n v="145980"/>
    <m/>
    <m/>
  </r>
  <r>
    <x v="20"/>
    <x v="6"/>
    <s v="C:\Users\andre\Desktop\REACTIV CEFAS\Saccharin\Saccharin/20201217_Cefas_Test10_Run1/Plate 3/@8/F2_03.tif "/>
    <s v=" 7613.7229 "/>
    <s v=" 38.3466 "/>
    <x v="0"/>
    <n v="291960"/>
    <m/>
    <m/>
  </r>
  <r>
    <x v="20"/>
    <x v="6"/>
    <s v="C:\Users\andre\Desktop\REACTIV CEFAS\Saccharin\Saccharin/20201217_Cefas_Test10_Run1/Plate 3/@8/F2_04.tif "/>
    <s v=" 281.1886 "/>
    <s v=" 32.5385 "/>
    <x v="0"/>
    <n v="9149"/>
    <m/>
    <m/>
  </r>
  <r>
    <x v="20"/>
    <x v="7"/>
    <s v="C:\Users\andre\Desktop\REACTIV CEFAS\Saccharin\Saccharin/20201217_Cefas_Test10_Run1/Plate 3/@8/G2_01.tif "/>
    <s v=" 3049.8151 "/>
    <s v=" 35.3688 "/>
    <x v="0"/>
    <n v="107868"/>
    <m/>
    <m/>
  </r>
  <r>
    <x v="20"/>
    <x v="7"/>
    <s v="C:\Users\andre\Desktop\REACTIV CEFAS\Saccharin\Saccharin/20201217_Cefas_Test10_Run1/Plate 3/@8/G2_02.tif "/>
    <s v=" 324.4484 "/>
    <s v=" 31.6 "/>
    <x v="0"/>
    <n v="10253"/>
    <m/>
    <m/>
  </r>
  <r>
    <x v="20"/>
    <x v="7"/>
    <s v="C:\Users\andre\Desktop\REACTIV CEFAS\Saccharin\Saccharin/20201217_Cefas_Test10_Run1/Plate 3/@8/G2_03.tif "/>
    <s v=" 7246.0147 "/>
    <s v=" 39.5343 "/>
    <x v="0"/>
    <n v="286466"/>
    <m/>
    <m/>
  </r>
  <r>
    <x v="20"/>
    <x v="7"/>
    <s v="C:\Users\andre\Desktop\REACTIV CEFAS\Saccharin\Saccharin/20201217_Cefas_Test10_Run1/Plate 3/@8/G2_04.tif "/>
    <s v=" 367.7082 "/>
    <s v=" 32.3529 "/>
    <x v="0"/>
    <n v="11896"/>
    <m/>
    <m/>
  </r>
  <r>
    <x v="20"/>
    <x v="8"/>
    <s v="C:\Users\andre\Desktop\REACTIV CEFAS\Saccharin\Saccharin/20201217_Cefas_Test10_Run1/Plate 3/@8/H2_01.tif "/>
    <s v=" 9192.7052 "/>
    <s v=" 38.1459 "/>
    <x v="0"/>
    <n v="350664"/>
    <m/>
    <m/>
  </r>
  <r>
    <x v="20"/>
    <x v="8"/>
    <s v="C:\Users\andre\Desktop\REACTIV CEFAS\Saccharin\Saccharin/20201217_Cefas_Test10_Run1/Plate 3/@8/H2_02.tif "/>
    <s v=" 7635.3528 "/>
    <s v=" 37.6091 "/>
    <x v="0"/>
    <n v="287158"/>
    <m/>
    <m/>
  </r>
  <r>
    <x v="20"/>
    <x v="8"/>
    <s v="C:\Users\andre\Desktop\REACTIV CEFAS\Saccharin\Saccharin/20201217_Cefas_Test10_Run1/Plate 3/@8/H2_03.tif "/>
    <s v=" 5926.5911 "/>
    <s v=" 42.5547 "/>
    <x v="0"/>
    <n v="252205"/>
    <m/>
    <m/>
  </r>
  <r>
    <x v="20"/>
    <x v="8"/>
    <s v="C:\Users\andre\Desktop\REACTIV CEFAS\Saccharin\Saccharin/20201217_Cefas_Test10_Run1/Plate 3/@8/H2_04.tif "/>
    <s v=" 108.1495 "/>
    <s v=" 30.6 "/>
    <x v="0"/>
    <n v="3309"/>
    <m/>
    <m/>
  </r>
  <r>
    <x v="0"/>
    <x v="0"/>
    <s v=" "/>
    <m/>
    <m/>
    <x v="1"/>
    <m/>
    <m/>
    <m/>
  </r>
  <r>
    <x v="0"/>
    <x v="0"/>
    <s v="group "/>
    <s v=" "/>
    <s v=" mean of mean fluo "/>
    <x v="2"/>
    <s v=" mean of total fluo "/>
    <s v=" SD total fluo "/>
    <m/>
  </r>
  <r>
    <x v="20"/>
    <x v="9"/>
    <s v="C:\Users\andre\Desktop\REACTIV CEFAS\Saccharin\Saccharin/20201217_Cefas_Test10_Run1/Plate 3/@8/ "/>
    <s v=" "/>
    <s v=" 36.3744 "/>
    <x v="22"/>
    <s v=" 221842.906 "/>
    <s v=" 201415.231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Saccharin\Saccharin/20201217_Cefas_Test10_Run1/Plate 3/@9/A3_01.tif "/>
    <s v=" 8435.6589 "/>
    <s v=" 41.7538 "/>
    <x v="0"/>
    <n v="352221"/>
    <m/>
    <m/>
  </r>
  <r>
    <x v="21"/>
    <x v="1"/>
    <s v="C:\Users\andre\Desktop\REACTIV CEFAS\Saccharin\Saccharin/20201217_Cefas_Test10_Run1/Plate 3/@9/A3_02.tif "/>
    <s v=" 14210.8408 "/>
    <s v=" 50.2542 "/>
    <x v="0"/>
    <n v="714154"/>
    <m/>
    <m/>
  </r>
  <r>
    <x v="21"/>
    <x v="1"/>
    <s v="C:\Users\andre\Desktop\REACTIV CEFAS\Saccharin\Saccharin/20201217_Cefas_Test10_Run1/Plate 3/@9/A3_03.tif "/>
    <s v=" 9863.232 "/>
    <s v=" 44.8026 "/>
    <x v="0"/>
    <n v="441899"/>
    <m/>
    <m/>
  </r>
  <r>
    <x v="21"/>
    <x v="1"/>
    <s v="C:\Users\andre\Desktop\REACTIV CEFAS\Saccharin\Saccharin/20201217_Cefas_Test10_Run1/Plate 3/@9/A3_04.tif "/>
    <s v=" 670.5267 "/>
    <s v=" 33.3226 "/>
    <x v="0"/>
    <n v="22344"/>
    <m/>
    <m/>
  </r>
  <r>
    <x v="21"/>
    <x v="2"/>
    <s v="C:\Users\andre\Desktop\REACTIV CEFAS\Saccharin\Saccharin/20201217_Cefas_Test10_Run1/Plate 3/@9/B3_01.tif "/>
    <s v=" 6186.1499 "/>
    <s v=" 37.0385 "/>
    <x v="0"/>
    <n v="229125"/>
    <m/>
    <m/>
  </r>
  <r>
    <x v="21"/>
    <x v="2"/>
    <s v="C:\Users\andre\Desktop\REACTIV CEFAS\Saccharin\Saccharin/20201217_Cefas_Test10_Run1/Plate 3/@9/B3_02.tif "/>
    <s v=" 5407.4737 "/>
    <s v=" 39.596 "/>
    <x v="0"/>
    <n v="214114"/>
    <m/>
    <m/>
  </r>
  <r>
    <x v="21"/>
    <x v="2"/>
    <s v="C:\Users\andre\Desktop\REACTIV CEFAS\Saccharin\Saccharin/20201217_Cefas_Test10_Run1/Plate 3/@9/B3_03.tif "/>
    <s v=" 6597.1179 "/>
    <s v=" 42.2787 "/>
    <x v="0"/>
    <n v="278917"/>
    <m/>
    <m/>
  </r>
  <r>
    <x v="21"/>
    <x v="2"/>
    <s v="C:\Users\andre\Desktop\REACTIV CEFAS\Saccharin\Saccharin/20201217_Cefas_Test10_Run1/Plate 3/@9/B3_04.tif "/>
    <s v=" 3439.1532 "/>
    <s v=" 39.5472 "/>
    <x v="0"/>
    <n v="136009"/>
    <m/>
    <m/>
  </r>
  <r>
    <x v="21"/>
    <x v="3"/>
    <s v="C:\Users\andre\Desktop\REACTIV CEFAS\Saccharin\Saccharin/20201217_Cefas_Test10_Run1/Plate 3/@9/C3_01- exclu.tif"/>
    <m/>
    <m/>
    <x v="1"/>
    <m/>
    <m/>
    <m/>
  </r>
  <r>
    <x v="21"/>
    <x v="3"/>
    <s v="C:\Users\andre\Desktop\REACTIV CEFAS\Saccharin\Saccharin/20201217_Cefas_Test10_Run1/Plate 3/@9/C3_02- exclu.tif"/>
    <m/>
    <m/>
    <x v="1"/>
    <m/>
    <m/>
    <m/>
  </r>
  <r>
    <x v="21"/>
    <x v="3"/>
    <s v="C:\Users\andre\Desktop\REACTIV CEFAS\Saccharin\Saccharin/20201217_Cefas_Test10_Run1/Plate 3/@9/C3_03- exclu.tif"/>
    <m/>
    <m/>
    <x v="1"/>
    <m/>
    <m/>
    <m/>
  </r>
  <r>
    <x v="21"/>
    <x v="3"/>
    <s v="C:\Users\andre\Desktop\REACTIV CEFAS\Saccharin\Saccharin/20201217_Cefas_Test10_Run1/Plate 3/@9/C3_04.tif "/>
    <s v=" 194.6691 "/>
    <s v=" 32.1111 "/>
    <x v="0"/>
    <n v="6251"/>
    <m/>
    <m/>
  </r>
  <r>
    <x v="21"/>
    <x v="4"/>
    <s v="C:\Users\andre\Desktop\REACTIV CEFAS\Saccharin\Saccharin/20201217_Cefas_Test10_Run1/Plate 3/@9/D3_01- exclu.tif"/>
    <m/>
    <m/>
    <x v="1"/>
    <m/>
    <m/>
    <m/>
  </r>
  <r>
    <x v="21"/>
    <x v="4"/>
    <s v="C:\Users\andre\Desktop\REACTIV CEFAS\Saccharin\Saccharin/20201217_Cefas_Test10_Run1/Plate 3/@9/D3_02- exclu.tif"/>
    <m/>
    <m/>
    <x v="1"/>
    <m/>
    <m/>
    <m/>
  </r>
  <r>
    <x v="21"/>
    <x v="4"/>
    <s v="C:\Users\andre\Desktop\REACTIV CEFAS\Saccharin\Saccharin/20201217_Cefas_Test10_Run1/Plate 3/@9/D3_03- exclu.tif"/>
    <m/>
    <m/>
    <x v="1"/>
    <m/>
    <m/>
    <m/>
  </r>
  <r>
    <x v="21"/>
    <x v="4"/>
    <s v="C:\Users\andre\Desktop\REACTIV CEFAS\Saccharin\Saccharin/20201217_Cefas_Test10_Run1/Plate 3/@9/D3_04- exclu.tif"/>
    <m/>
    <m/>
    <x v="1"/>
    <m/>
    <m/>
    <m/>
  </r>
  <r>
    <x v="21"/>
    <x v="5"/>
    <s v="C:\Users\andre\Desktop\REACTIV CEFAS\Saccharin\Saccharin/20201217_Cefas_Test10_Run1/Plate 3/@9/E3_01.tif "/>
    <s v=" 2660.477 "/>
    <s v=" 34.9756 "/>
    <x v="0"/>
    <n v="93052"/>
    <m/>
    <m/>
  </r>
  <r>
    <x v="21"/>
    <x v="5"/>
    <s v="C:\Users\andre\Desktop\REACTIV CEFAS\Saccharin\Saccharin/20201217_Cefas_Test10_Run1/Plate 3/@9/E3_02- exclu.tif"/>
    <m/>
    <m/>
    <x v="1"/>
    <m/>
    <m/>
    <m/>
  </r>
  <r>
    <x v="21"/>
    <x v="5"/>
    <s v="C:\Users\andre\Desktop\REACTIV CEFAS\Saccharin\Saccharin/20201217_Cefas_Test10_Run1/Plate 3/@9/E3_03.tif "/>
    <s v=" 21.6299 "/>
    <n v="30"/>
    <x v="0"/>
    <n v="649"/>
    <m/>
    <m/>
  </r>
  <r>
    <x v="21"/>
    <x v="5"/>
    <s v="C:\Users\andre\Desktop\REACTIV CEFAS\Saccharin\Saccharin/20201217_Cefas_Test10_Run1/Plate 3/@9/E3_04.tif "/>
    <s v=" 519.1175 "/>
    <s v=" 33.125 "/>
    <x v="0"/>
    <n v="17196"/>
    <m/>
    <m/>
  </r>
  <r>
    <x v="21"/>
    <x v="6"/>
    <s v="C:\Users\andre\Desktop\REACTIV CEFAS\Saccharin\Saccharin/20201217_Cefas_Test10_Run1/Plate 3/@9/F3_01.tif "/>
    <s v=" 4736.9469 "/>
    <s v=" 39.0137 "/>
    <x v="0"/>
    <n v="184806"/>
    <m/>
    <m/>
  </r>
  <r>
    <x v="21"/>
    <x v="6"/>
    <s v="C:\Users\andre\Desktop\REACTIV CEFAS\Saccharin\Saccharin/20201217_Cefas_Test10_Run1/Plate 3/@9/F3_02.tif "/>
    <s v=" 7375.7941 "/>
    <s v=" 44.7155 "/>
    <x v="0"/>
    <n v="329813"/>
    <m/>
    <m/>
  </r>
  <r>
    <x v="21"/>
    <x v="6"/>
    <s v="C:\Users\andre\Desktop\REACTIV CEFAS\Saccharin\Saccharin/20201217_Cefas_Test10_Run1/Plate 3/@9/F3_03.tif "/>
    <s v=" 12177.6307 "/>
    <s v=" 46.3925 "/>
    <x v="0"/>
    <n v="564951"/>
    <m/>
    <m/>
  </r>
  <r>
    <x v="21"/>
    <x v="6"/>
    <s v="C:\Users\andre\Desktop\REACTIV CEFAS\Saccharin\Saccharin/20201217_Cefas_Test10_Run1/Plate 3/@9/F3_04- exclu.tif"/>
    <m/>
    <m/>
    <x v="1"/>
    <m/>
    <m/>
    <m/>
  </r>
  <r>
    <x v="21"/>
    <x v="7"/>
    <s v="C:\Users\andre\Desktop\REACTIV CEFAS\Saccharin\Saccharin/20201217_Cefas_Test10_Run1/Plate 3/@9/G3_01.tif "/>
    <s v=" 2487.4379 "/>
    <s v=" 35.8609 "/>
    <x v="0"/>
    <n v="89202"/>
    <m/>
    <m/>
  </r>
  <r>
    <x v="21"/>
    <x v="7"/>
    <s v="C:\Users\andre\Desktop\REACTIV CEFAS\Saccharin\Saccharin/20201217_Cefas_Test10_Run1/Plate 3/@9/G3_02.tif "/>
    <n v="0"/>
    <n v="0"/>
    <x v="0"/>
    <n v="0"/>
    <m/>
    <m/>
  </r>
  <r>
    <x v="21"/>
    <x v="7"/>
    <s v="C:\Users\andre\Desktop\REACTIV CEFAS\Saccharin\Saccharin/20201217_Cefas_Test10_Run1/Plate 3/@9/G3_03.tif "/>
    <n v="0"/>
    <n v="0"/>
    <x v="0"/>
    <n v="0"/>
    <m/>
    <m/>
  </r>
  <r>
    <x v="21"/>
    <x v="7"/>
    <s v="C:\Users\andre\Desktop\REACTIV CEFAS\Saccharin\Saccharin/20201217_Cefas_Test10_Run1/Plate 3/@9/G3_04.tif "/>
    <s v=" 3460.7831 "/>
    <s v=" 38.425 "/>
    <x v="0"/>
    <n v="132981"/>
    <m/>
    <m/>
  </r>
  <r>
    <x v="21"/>
    <x v="8"/>
    <s v="C:\Users\andre\Desktop\REACTIV CEFAS\Saccharin\Saccharin/20201217_Cefas_Test10_Run1/Plate 3/@9/H3_01.tif "/>
    <s v=" 6207.7798 "/>
    <s v=" 40.0557 "/>
    <x v="0"/>
    <n v="248657"/>
    <m/>
    <m/>
  </r>
  <r>
    <x v="21"/>
    <x v="8"/>
    <s v="C:\Users\andre\Desktop\REACTIV CEFAS\Saccharin\Saccharin/20201217_Cefas_Test10_Run1/Plate 3/@9/H3_02- exclu.tif"/>
    <m/>
    <m/>
    <x v="1"/>
    <m/>
    <m/>
    <m/>
  </r>
  <r>
    <x v="21"/>
    <x v="8"/>
    <s v="C:\Users\andre\Desktop\REACTIV CEFAS\Saccharin\Saccharin/20201217_Cefas_Test10_Run1/Plate 3/@9/H3_03.tif "/>
    <n v="0"/>
    <n v="0"/>
    <x v="0"/>
    <n v="0"/>
    <m/>
    <m/>
  </r>
  <r>
    <x v="21"/>
    <x v="8"/>
    <s v="C:\Users\andre\Desktop\REACTIV CEFAS\Saccharin\Saccharin/20201217_Cefas_Test10_Run1/Plate 3/@9/H3_04- exclu.tif"/>
    <m/>
    <m/>
    <x v="1"/>
    <m/>
    <m/>
    <m/>
  </r>
  <r>
    <x v="0"/>
    <x v="0"/>
    <s v=" "/>
    <m/>
    <m/>
    <x v="1"/>
    <m/>
    <m/>
    <m/>
  </r>
  <r>
    <x v="0"/>
    <x v="0"/>
    <s v="group "/>
    <s v=" "/>
    <s v=" mean of mean fluo "/>
    <x v="2"/>
    <s v=" mean of total fluo "/>
    <s v=" SD total fluo "/>
    <m/>
  </r>
  <r>
    <x v="21"/>
    <x v="9"/>
    <s v="C:\Users\andre\Desktop\REACTIV CEFAS\Saccharin\Saccharin/20201217_Cefas_Test10_Run1/Plate 3/@9/ "/>
    <s v=" "/>
    <s v=" 31.7553 "/>
    <x v="23"/>
    <s v=" 208197.219 "/>
    <s v=" 231310.959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Saccharin\Saccharin/20201203_Cefas_Test8_Run3/Plate 1/@1/A10_01.tif "/>
    <s v=" 1643.872 "/>
    <s v=" 34.1316 "/>
    <x v="0"/>
    <n v="56108"/>
    <m/>
    <m/>
  </r>
  <r>
    <x v="1"/>
    <x v="1"/>
    <s v="C:\Users\andre\Desktop\REACTIV CEFAS\Saccharin\Saccharin/20201203_Cefas_Test8_Run3/Plate 1/@1/A10_02.tif "/>
    <s v=" 6662.0075 "/>
    <s v=" 36.3149 "/>
    <x v="0"/>
    <n v="241930"/>
    <m/>
    <m/>
  </r>
  <r>
    <x v="1"/>
    <x v="1"/>
    <s v="C:\Users\andre\Desktop\REACTIV CEFAS\Saccharin\Saccharin/20201203_Cefas_Test8_Run3/Plate 1/@1/A10_03.tif "/>
    <s v=" 7894.9115 "/>
    <s v=" 39.0521 "/>
    <x v="0"/>
    <n v="308313"/>
    <m/>
    <m/>
  </r>
  <r>
    <x v="1"/>
    <x v="2"/>
    <s v="C:\Users\andre\Desktop\REACTIV CEFAS\Saccharin\Saccharin/20201203_Cefas_Test8_Run3/Plate 1/@1/B10_01.tif "/>
    <s v=" 21.6299 "/>
    <n v="30"/>
    <x v="0"/>
    <n v="649"/>
    <m/>
    <m/>
  </r>
  <r>
    <x v="1"/>
    <x v="2"/>
    <s v="C:\Users\andre\Desktop\REACTIV CEFAS\Saccharin\Saccharin/20201203_Cefas_Test8_Run3/Plate 1/@1/B10_02- exclu.tif"/>
    <m/>
    <m/>
    <x v="1"/>
    <m/>
    <m/>
    <m/>
  </r>
  <r>
    <x v="1"/>
    <x v="2"/>
    <s v="C:\Users\andre\Desktop\REACTIV CEFAS\Saccharin\Saccharin/20201203_Cefas_Test8_Run3/Plate 1/@1/B10_03.tif "/>
    <s v=" 1557.3524 "/>
    <s v=" 32.3472 "/>
    <x v="0"/>
    <n v="50376"/>
    <m/>
    <m/>
  </r>
  <r>
    <x v="1"/>
    <x v="3"/>
    <s v="C:\Users\andre\Desktop\REACTIV CEFAS\Saccharin\Saccharin/20201203_Cefas_Test8_Run3/Plate 1/@1/C10_01.tif "/>
    <s v=" 8608.6981 "/>
    <s v=" 39.2839 "/>
    <x v="0"/>
    <n v="338183"/>
    <m/>
    <m/>
  </r>
  <r>
    <x v="1"/>
    <x v="3"/>
    <s v="C:\Users\andre\Desktop\REACTIV CEFAS\Saccharin\Saccharin/20201203_Cefas_Test8_Run3/Plate 1/@1/C10_02.tif "/>
    <s v=" 2963.2956 "/>
    <s v=" 38.3577 "/>
    <x v="0"/>
    <n v="113665"/>
    <m/>
    <m/>
  </r>
  <r>
    <x v="1"/>
    <x v="3"/>
    <s v="C:\Users\andre\Desktop\REACTIV CEFAS\Saccharin\Saccharin/20201203_Cefas_Test8_Run3/Plate 1/@1/C10_03.tif "/>
    <s v=" 13302.3852 "/>
    <s v=" 39.4276 "/>
    <x v="0"/>
    <n v="524482"/>
    <m/>
    <m/>
  </r>
  <r>
    <x v="1"/>
    <x v="4"/>
    <s v="C:\Users\andre\Desktop\REACTIV CEFAS\Saccharin\Saccharin/20201203_Cefas_Test8_Run3/Plate 1/@1/D10_01- exclu.tif"/>
    <m/>
    <m/>
    <x v="1"/>
    <m/>
    <m/>
    <m/>
  </r>
  <r>
    <x v="1"/>
    <x v="4"/>
    <s v="C:\Users\andre\Desktop\REACTIV CEFAS\Saccharin\Saccharin/20201203_Cefas_Test8_Run3/Plate 1/@1/D10_02.tif "/>
    <s v=" 2703.7368 "/>
    <s v=" 36.56 "/>
    <x v="0"/>
    <n v="98849"/>
    <m/>
    <m/>
  </r>
  <r>
    <x v="1"/>
    <x v="4"/>
    <s v="C:\Users\andre\Desktop\REACTIV CEFAS\Saccharin\Saccharin/20201203_Cefas_Test8_Run3/Plate 1/@1/D10_03.tif "/>
    <s v=" 9084.5557 "/>
    <s v=" 43.5976 "/>
    <x v="0"/>
    <n v="396065"/>
    <m/>
    <m/>
  </r>
  <r>
    <x v="1"/>
    <x v="5"/>
    <s v="C:\Users\andre\Desktop\REACTIV CEFAS\Saccharin\Saccharin/20201203_Cefas_Test8_Run3/Plate 1/@1/E10_01.tif "/>
    <s v=" 5385.8438 "/>
    <s v=" 34.0602 "/>
    <x v="0"/>
    <n v="183443"/>
    <m/>
    <m/>
  </r>
  <r>
    <x v="1"/>
    <x v="5"/>
    <s v="C:\Users\andre\Desktop\REACTIV CEFAS\Saccharin\Saccharin/20201203_Cefas_Test8_Run3/Plate 1/@1/E10_02.tif "/>
    <s v=" 6164.52 "/>
    <s v=" 33.6035 "/>
    <x v="0"/>
    <n v="207150"/>
    <m/>
    <m/>
  </r>
  <r>
    <x v="1"/>
    <x v="5"/>
    <s v="C:\Users\andre\Desktop\REACTIV CEFAS\Saccharin\Saccharin/20201203_Cefas_Test8_Run3/Plate 1/@1/E10_03.tif "/>
    <s v=" 7440.6838 "/>
    <s v=" 33.1134 "/>
    <x v="0"/>
    <n v="246386"/>
    <m/>
    <m/>
  </r>
  <r>
    <x v="1"/>
    <x v="6"/>
    <s v="C:\Users\andre\Desktop\REACTIV CEFAS\Saccharin\Saccharin/20201203_Cefas_Test8_Run3/Plate 1/@1/F10_01.tif "/>
    <s v=" 1989.9503 "/>
    <s v=" 36.4022 "/>
    <x v="0"/>
    <n v="72439"/>
    <m/>
    <m/>
  </r>
  <r>
    <x v="1"/>
    <x v="6"/>
    <s v="C:\Users\andre\Desktop\REACTIV CEFAS\Saccharin\Saccharin/20201203_Cefas_Test8_Run3/Plate 1/@1/F10_02.tif "/>
    <s v=" 2184.6194 "/>
    <s v=" 30.6139 "/>
    <x v="0"/>
    <n v="66880"/>
    <m/>
    <m/>
  </r>
  <r>
    <x v="1"/>
    <x v="6"/>
    <s v="C:\Users\andre\Desktop\REACTIV CEFAS\Saccharin\Saccharin/20201203_Cefas_Test8_Run3/Plate 1/@1/F10_03.tif "/>
    <s v=" 410.968 "/>
    <s v=" 30.8421 "/>
    <x v="0"/>
    <n v="12675"/>
    <m/>
    <m/>
  </r>
  <r>
    <x v="1"/>
    <x v="7"/>
    <s v="C:\Users\andre\Desktop\REACTIV CEFAS\Saccharin\Saccharin/20201203_Cefas_Test8_Run3/Plate 1/@1/G10_01.tif "/>
    <n v="0"/>
    <n v="0"/>
    <x v="0"/>
    <n v="0"/>
    <m/>
    <m/>
  </r>
  <r>
    <x v="1"/>
    <x v="7"/>
    <s v="C:\Users\andre\Desktop\REACTIV CEFAS\Saccharin\Saccharin/20201203_Cefas_Test8_Run3/Plate 1/@1/G10_02.tif "/>
    <s v=" 7072.9755 "/>
    <s v=" 38.8043 "/>
    <x v="0"/>
    <n v="274462"/>
    <m/>
    <m/>
  </r>
  <r>
    <x v="1"/>
    <x v="7"/>
    <s v="C:\Users\andre\Desktop\REACTIV CEFAS\Saccharin\Saccharin/20201203_Cefas_Test8_Run3/Plate 1/@1/G10_03.tif "/>
    <s v=" 7570.4631 "/>
    <s v=" 38.6686 "/>
    <x v="0"/>
    <n v="292739"/>
    <m/>
    <m/>
  </r>
  <r>
    <x v="1"/>
    <x v="8"/>
    <s v="C:\Users\andre\Desktop\REACTIV CEFAS\Saccharin\Saccharin/20201203_Cefas_Test8_Run3/Plate 1/@1/H10_01.tif "/>
    <n v="0"/>
    <n v="0"/>
    <x v="0"/>
    <n v="0"/>
    <m/>
    <m/>
  </r>
  <r>
    <x v="1"/>
    <x v="8"/>
    <s v="C:\Users\andre\Desktop\REACTIV CEFAS\Saccharin\Saccharin/20201203_Cefas_Test8_Run3/Plate 1/@1/H10_02.tif "/>
    <s v=" 10274.1999 "/>
    <s v=" 46.0211 "/>
    <x v="0"/>
    <n v="472829"/>
    <m/>
    <m/>
  </r>
  <r>
    <x v="1"/>
    <x v="8"/>
    <s v="C:\Users\andre\Desktop\REACTIV CEFAS\Saccharin\Saccharin/20201203_Cefas_Test8_Run3/Plate 1/@1/H10_03.tif "/>
    <s v=" 7916.5414 "/>
    <s v=" 47.2568 "/>
    <x v="0"/>
    <n v="374111"/>
    <m/>
    <m/>
  </r>
  <r>
    <x v="0"/>
    <x v="0"/>
    <s v=" "/>
    <m/>
    <m/>
    <x v="1"/>
    <m/>
    <m/>
    <m/>
  </r>
  <r>
    <x v="0"/>
    <x v="0"/>
    <s v="group "/>
    <s v=" "/>
    <s v=" mean of mean fluo "/>
    <x v="2"/>
    <s v=" mean of total fluo "/>
    <s v=" SD total fluo "/>
    <m/>
  </r>
  <r>
    <x v="1"/>
    <x v="9"/>
    <s v="C:\Users\andre\Desktop\REACTIV CEFAS\Saccharin\Saccharin/20201203_Cefas_Test8_Run3/Plate 1/@1/ "/>
    <s v=" "/>
    <s v=" 32.1702 "/>
    <x v="3"/>
    <s v=" 180731.333 "/>
    <s v=" 163665.138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Saccharin\Saccharin/20201203_Cefas_Test8_Run3/Plate 1/@13/A8_01- exclu.tif"/>
    <m/>
    <m/>
    <x v="1"/>
    <m/>
    <m/>
    <m/>
  </r>
  <r>
    <x v="2"/>
    <x v="1"/>
    <s v="C:\Users\andre\Desktop\REACTIV CEFAS\Saccharin\Saccharin/20201203_Cefas_Test8_Run3/Plate 1/@13/A8_02- exclu.tif"/>
    <m/>
    <m/>
    <x v="1"/>
    <m/>
    <m/>
    <m/>
  </r>
  <r>
    <x v="2"/>
    <x v="1"/>
    <s v="C:\Users\andre\Desktop\REACTIV CEFAS\Saccharin\Saccharin/20201203_Cefas_Test8_Run3/Plate 1/@13/A8_03.tif "/>
    <s v=" 15811.453 "/>
    <s v=" 33.1737 "/>
    <x v="0"/>
    <n v="524525"/>
    <m/>
    <m/>
  </r>
  <r>
    <x v="2"/>
    <x v="2"/>
    <s v="C:\Users\andre\Desktop\REACTIV CEFAS\Saccharin\Saccharin/20201203_Cefas_Test8_Run3/Plate 1/@13/B8_01.tif "/>
    <s v=" 72460.147 "/>
    <s v=" 50.7788 "/>
    <x v="0"/>
    <n v="3679440"/>
    <m/>
    <m/>
  </r>
  <r>
    <x v="2"/>
    <x v="2"/>
    <s v="C:\Users\andre\Desktop\REACTIV CEFAS\Saccharin\Saccharin/20201203_Cefas_Test8_Run3/Plate 1/@13/B8_02.tif "/>
    <s v=" 64197.5273 "/>
    <s v=" 48.597 "/>
    <x v="0"/>
    <n v="3119809"/>
    <m/>
    <m/>
  </r>
  <r>
    <x v="2"/>
    <x v="2"/>
    <s v="C:\Users\andre\Desktop\REACTIV CEFAS\Saccharin\Saccharin/20201203_Cefas_Test8_Run3/Plate 1/@13/B8_03.tif "/>
    <s v=" 60909.7833 "/>
    <s v=" 50.8775 "/>
    <x v="0"/>
    <n v="3098937"/>
    <m/>
    <m/>
  </r>
  <r>
    <x v="2"/>
    <x v="3"/>
    <s v="C:\Users\andre\Desktop\REACTIV CEFAS\Saccharin\Saccharin/20201203_Cefas_Test8_Run3/Plate 1/@13/C8_01.tif "/>
    <s v=" 51046.5513 "/>
    <s v=" 47.7466 "/>
    <x v="0"/>
    <n v="2437300"/>
    <m/>
    <m/>
  </r>
  <r>
    <x v="2"/>
    <x v="3"/>
    <s v="C:\Users\andre\Desktop\REACTIV CEFAS\Saccharin\Saccharin/20201203_Cefas_Test8_Run3/Plate 1/@13/C8_02.tif "/>
    <s v=" 68069.2784 "/>
    <s v=" 44.2854 "/>
    <x v="0"/>
    <n v="3014472"/>
    <m/>
    <m/>
  </r>
  <r>
    <x v="2"/>
    <x v="3"/>
    <s v="C:\Users\andre\Desktop\REACTIV CEFAS\Saccharin\Saccharin/20201203_Cefas_Test8_Run3/Plate 1/@13/C8_03.tif "/>
    <s v=" 74341.9478 "/>
    <s v=" 42.7221 "/>
    <x v="0"/>
    <n v="3176047"/>
    <m/>
    <m/>
  </r>
  <r>
    <x v="2"/>
    <x v="4"/>
    <s v="C:\Users\andre\Desktop\REACTIV CEFAS\Saccharin\Saccharin/20201203_Cefas_Test8_Run3/Plate 1/@13/D8_01.tif "/>
    <s v=" 33807.5253 "/>
    <s v=" 37.1843 "/>
    <x v="0"/>
    <n v="1257108"/>
    <m/>
    <m/>
  </r>
  <r>
    <x v="2"/>
    <x v="4"/>
    <s v="C:\Users\andre\Desktop\REACTIV CEFAS\Saccharin\Saccharin/20201203_Cefas_Test8_Run3/Plate 1/@13/D8_02.tif "/>
    <s v=" 30390.002 "/>
    <s v=" 35.5922 "/>
    <x v="0"/>
    <n v="1081646"/>
    <m/>
    <m/>
  </r>
  <r>
    <x v="2"/>
    <x v="4"/>
    <s v="C:\Users\andre\Desktop\REACTIV CEFAS\Saccharin\Saccharin/20201203_Cefas_Test8_Run3/Plate 1/@13/D8_03.tif "/>
    <s v=" 32250.1729 "/>
    <s v=" 35.4299 "/>
    <x v="0"/>
    <n v="1142621"/>
    <m/>
    <m/>
  </r>
  <r>
    <x v="2"/>
    <x v="5"/>
    <s v="C:\Users\andre\Desktop\REACTIV CEFAS\Saccharin\Saccharin/20201203_Cefas_Test8_Run3/Plate 1/@13/E8_01.tif "/>
    <s v=" 57730.1888 "/>
    <s v=" 38.1135 "/>
    <x v="0"/>
    <n v="2200301"/>
    <m/>
    <m/>
  </r>
  <r>
    <x v="2"/>
    <x v="5"/>
    <s v="C:\Users\andre\Desktop\REACTIV CEFAS\Saccharin\Saccharin/20201203_Cefas_Test8_Run3/Plate 1/@13/E8_02.tif "/>
    <s v=" 60455.5555 "/>
    <s v=" 40.771 "/>
    <x v="0"/>
    <n v="2464835"/>
    <m/>
    <m/>
  </r>
  <r>
    <x v="2"/>
    <x v="5"/>
    <s v="C:\Users\andre\Desktop\REACTIV CEFAS\Saccharin\Saccharin/20201203_Cefas_Test8_Run3/Plate 1/@13/E8_03.tif "/>
    <s v=" 58206.0464 "/>
    <s v=" 37.5151 "/>
    <x v="0"/>
    <n v="2183603"/>
    <m/>
    <m/>
  </r>
  <r>
    <x v="2"/>
    <x v="6"/>
    <s v="C:\Users\andre\Desktop\REACTIV CEFAS\Saccharin\Saccharin/20201203_Cefas_Test8_Run3/Plate 1/@13/F8_01.tif "/>
    <s v=" 1341.0535 "/>
    <s v=" 33.4355 "/>
    <x v="0"/>
    <n v="44839"/>
    <m/>
    <m/>
  </r>
  <r>
    <x v="2"/>
    <x v="6"/>
    <s v="C:\Users\andre\Desktop\REACTIV CEFAS\Saccharin\Saccharin/20201203_Cefas_Test8_Run3/Plate 1/@13/F8_02.tif "/>
    <s v=" 1600.6122 "/>
    <s v=" 31.7027 "/>
    <x v="0"/>
    <n v="50744"/>
    <m/>
    <m/>
  </r>
  <r>
    <x v="2"/>
    <x v="6"/>
    <s v="C:\Users\andre\Desktop\REACTIV CEFAS\Saccharin\Saccharin/20201203_Cefas_Test8_Run3/Plate 1/@13/F8_03.tif "/>
    <s v=" 194.6691 "/>
    <s v=" 31.1111 "/>
    <x v="0"/>
    <n v="6056"/>
    <m/>
    <m/>
  </r>
  <r>
    <x v="2"/>
    <x v="7"/>
    <s v="C:\Users\andre\Desktop\REACTIV CEFAS\Saccharin\Saccharin/20201203_Cefas_Test8_Run3/Plate 1/@13/G8_01.tif "/>
    <s v=" 73736.3108 "/>
    <s v=" 41.9607 "/>
    <x v="0"/>
    <n v="3094027"/>
    <m/>
    <m/>
  </r>
  <r>
    <x v="2"/>
    <x v="7"/>
    <s v="C:\Users\andre\Desktop\REACTIV CEFAS\Saccharin\Saccharin/20201203_Cefas_Test8_Run3/Plate 1/@13/G8_02.tif "/>
    <s v=" 75055.7344 "/>
    <s v=" 44.0905 "/>
    <x v="0"/>
    <n v="3309244"/>
    <m/>
    <m/>
  </r>
  <r>
    <x v="2"/>
    <x v="7"/>
    <s v="C:\Users\andre\Desktop\REACTIV CEFAS\Saccharin\Saccharin/20201203_Cefas_Test8_Run3/Plate 1/@13/G8_03.tif "/>
    <s v=" 85438.0838 "/>
    <s v=" 49.0529 "/>
    <x v="0"/>
    <n v="4190987"/>
    <m/>
    <m/>
  </r>
  <r>
    <x v="2"/>
    <x v="8"/>
    <s v="C:\Users\andre\Desktop\REACTIV CEFAS\Saccharin\Saccharin/20201203_Cefas_Test8_Run3/Plate 1/@13/H8_01.tif "/>
    <s v=" 62012.9079 "/>
    <s v=" 41.4077 "/>
    <x v="0"/>
    <n v="2567815"/>
    <m/>
    <m/>
  </r>
  <r>
    <x v="2"/>
    <x v="8"/>
    <s v="C:\Users\andre\Desktop\REACTIV CEFAS\Saccharin\Saccharin/20201203_Cefas_Test8_Run3/Plate 1/@13/H8_02.tif "/>
    <s v=" 47520.8785 "/>
    <s v=" 38.7633 "/>
    <x v="0"/>
    <n v="1842067"/>
    <m/>
    <m/>
  </r>
  <r>
    <x v="2"/>
    <x v="8"/>
    <s v="C:\Users\andre\Desktop\REACTIV CEFAS\Saccharin\Saccharin/20201203_Cefas_Test8_Run3/Plate 1/@13/H8_03.tif "/>
    <s v=" 61277.4915 "/>
    <s v=" 41.15 "/>
    <x v="0"/>
    <n v="2521570"/>
    <m/>
    <m/>
  </r>
  <r>
    <x v="0"/>
    <x v="0"/>
    <s v=" "/>
    <m/>
    <m/>
    <x v="1"/>
    <m/>
    <m/>
    <m/>
  </r>
  <r>
    <x v="0"/>
    <x v="0"/>
    <s v="group "/>
    <s v=" "/>
    <s v=" mean of mean fluo "/>
    <x v="2"/>
    <s v=" mean of total fluo "/>
    <s v=" SD total fluo "/>
    <m/>
  </r>
  <r>
    <x v="2"/>
    <x v="9"/>
    <s v="C:\Users\andre\Desktop\REACTIV CEFAS\Saccharin\Saccharin/20201203_Cefas_Test8_Run3/Plate 1/@13/ "/>
    <s v=" "/>
    <s v=" 40.4829 "/>
    <x v="4"/>
    <s v=" 2004108.08 "/>
    <s v=" 1264555.1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Saccharin\Saccharin/20201203_Cefas_Test8_Run3/Plate 1/@14/A9_01.tif "/>
    <s v=" 48861.932 "/>
    <s v=" 42.1961 "/>
    <x v="0"/>
    <n v="2061783"/>
    <m/>
    <m/>
  </r>
  <r>
    <x v="3"/>
    <x v="1"/>
    <s v="C:\Users\andre\Desktop\REACTIV CEFAS\Saccharin\Saccharin/20201203_Cefas_Test8_Run3/Plate 1/@14/A9_02.tif "/>
    <s v=" 39561.0773 "/>
    <s v=" 41.3554 "/>
    <x v="0"/>
    <n v="1636064"/>
    <m/>
    <m/>
  </r>
  <r>
    <x v="3"/>
    <x v="1"/>
    <s v="C:\Users\andre\Desktop\REACTIV CEFAS\Saccharin\Saccharin/20201203_Cefas_Test8_Run3/Plate 1/@14/A9_03.tif "/>
    <s v=" 42827.1914 "/>
    <s v=" 37.9515 "/>
    <x v="0"/>
    <n v="1625357"/>
    <m/>
    <m/>
  </r>
  <r>
    <x v="3"/>
    <x v="2"/>
    <s v="C:\Users\andre\Desktop\REACTIV CEFAS\Saccharin\Saccharin/20201203_Cefas_Test8_Run3/Plate 1/@14/B9_01.tif "/>
    <s v=" 69691.5205 "/>
    <s v=" 45.2048 "/>
    <x v="0"/>
    <n v="3150394"/>
    <m/>
    <m/>
  </r>
  <r>
    <x v="3"/>
    <x v="2"/>
    <s v="C:\Users\andre\Desktop\REACTIV CEFAS\Saccharin\Saccharin/20201203_Cefas_Test8_Run3/Plate 1/@14/B9_02.tif "/>
    <s v=" 73346.9727 "/>
    <s v=" 43.2365 "/>
    <x v="0"/>
    <n v="3171267"/>
    <m/>
    <m/>
  </r>
  <r>
    <x v="3"/>
    <x v="2"/>
    <s v="C:\Users\andre\Desktop\REACTIV CEFAS\Saccharin\Saccharin/20201203_Cefas_Test8_Run3/Plate 1/@14/B9_03.tif "/>
    <s v=" 75336.923 "/>
    <s v=" 47.4574 "/>
    <x v="0"/>
    <n v="3575292"/>
    <m/>
    <m/>
  </r>
  <r>
    <x v="3"/>
    <x v="3"/>
    <s v="C:\Users\andre\Desktop\REACTIV CEFAS\Saccharin\Saccharin/20201203_Cefas_Test8_Run3/Plate 1/@14/C9_01- exclu.tif"/>
    <m/>
    <m/>
    <x v="1"/>
    <m/>
    <m/>
    <m/>
  </r>
  <r>
    <x v="3"/>
    <x v="3"/>
    <s v="C:\Users\andre\Desktop\REACTIV CEFAS\Saccharin\Saccharin/20201203_Cefas_Test8_Run3/Plate 1/@14/C9_02- exclu.tif"/>
    <m/>
    <m/>
    <x v="1"/>
    <m/>
    <m/>
    <m/>
  </r>
  <r>
    <x v="3"/>
    <x v="3"/>
    <s v="C:\Users\andre\Desktop\REACTIV CEFAS\Saccharin\Saccharin/20201203_Cefas_Test8_Run3/Plate 1/@14/C9_03- exclu.tif"/>
    <m/>
    <m/>
    <x v="1"/>
    <m/>
    <m/>
    <m/>
  </r>
  <r>
    <x v="3"/>
    <x v="4"/>
    <s v="C:\Users\andre\Desktop\REACTIV CEFAS\Saccharin\Saccharin/20201203_Cefas_Test8_Run3/Plate 1/@14/D9_01.tif "/>
    <s v=" 61190.9719 "/>
    <s v=" 38.2683 "/>
    <x v="0"/>
    <n v="2341674"/>
    <m/>
    <m/>
  </r>
  <r>
    <x v="3"/>
    <x v="4"/>
    <s v="C:\Users\andre\Desktop\REACTIV CEFAS\Saccharin\Saccharin/20201203_Cefas_Test8_Run3/Plate 1/@14/D9_02.tif "/>
    <s v=" 50722.1029 "/>
    <s v=" 38.7416 "/>
    <x v="0"/>
    <n v="1965054"/>
    <m/>
    <m/>
  </r>
  <r>
    <x v="3"/>
    <x v="4"/>
    <s v="C:\Users\andre\Desktop\REACTIV CEFAS\Saccharin\Saccharin/20201203_Cefas_Test8_Run3/Plate 1/@14/D9_03.tif "/>
    <s v=" 54247.7757 "/>
    <s v=" 38.8477 "/>
    <x v="0"/>
    <n v="2107401"/>
    <m/>
    <m/>
  </r>
  <r>
    <x v="3"/>
    <x v="5"/>
    <s v="C:\Users\andre\Desktop\REACTIV CEFAS\Saccharin\Saccharin/20201203_Cefas_Test8_Run3/Plate 1/@14/E9_01.tif "/>
    <s v=" 59525.47 "/>
    <s v=" 38.8612 "/>
    <x v="0"/>
    <n v="2313231"/>
    <m/>
    <m/>
  </r>
  <r>
    <x v="3"/>
    <x v="5"/>
    <s v="C:\Users\andre\Desktop\REACTIV CEFAS\Saccharin\Saccharin/20201203_Cefas_Test8_Run3/Plate 1/@14/E9_02.tif "/>
    <s v=" 67139.1929 "/>
    <s v=" 43.2072 "/>
    <x v="0"/>
    <n v="2900893"/>
    <m/>
    <m/>
  </r>
  <r>
    <x v="3"/>
    <x v="5"/>
    <s v="C:\Users\andre\Desktop\REACTIV CEFAS\Saccharin\Saccharin/20201203_Cefas_Test8_Run3/Plate 1/@14/E9_03.tif "/>
    <s v=" 55783.4982 "/>
    <s v=" 39.071 "/>
    <x v="0"/>
    <n v="2179515"/>
    <m/>
    <m/>
  </r>
  <r>
    <x v="3"/>
    <x v="6"/>
    <s v="C:\Users\andre\Desktop\REACTIV CEFAS\Saccharin\Saccharin/20201203_Cefas_Test8_Run3/Plate 1/@14/F9_01.tif "/>
    <s v=" 59958.0679 "/>
    <s v=" 39.825 "/>
    <x v="0"/>
    <n v="2387832"/>
    <m/>
    <m/>
  </r>
  <r>
    <x v="3"/>
    <x v="6"/>
    <s v="C:\Users\andre\Desktop\REACTIV CEFAS\Saccharin\Saccharin/20201203_Cefas_Test8_Run3/Plate 1/@14/F9_02.tif "/>
    <s v=" 54983.1921 "/>
    <s v=" 40.9603 "/>
    <x v="0"/>
    <n v="2252126"/>
    <m/>
    <m/>
  </r>
  <r>
    <x v="3"/>
    <x v="6"/>
    <s v="C:\Users\andre\Desktop\REACTIV CEFAS\Saccharin\Saccharin/20201203_Cefas_Test8_Run3/Plate 1/@14/F9_03.tif "/>
    <s v=" 59633.6195 "/>
    <s v=" 41.1821 "/>
    <x v="0"/>
    <n v="2455837"/>
    <m/>
    <m/>
  </r>
  <r>
    <x v="3"/>
    <x v="7"/>
    <s v="C:\Users\andre\Desktop\REACTIV CEFAS\Saccharin\Saccharin/20201203_Cefas_Test8_Run3/Plate 1/@14/G9_01.tif "/>
    <s v=" 18082.5919 "/>
    <s v=" 32.4318 "/>
    <x v="0"/>
    <n v="586451"/>
    <m/>
    <m/>
  </r>
  <r>
    <x v="3"/>
    <x v="7"/>
    <s v="C:\Users\andre\Desktop\REACTIV CEFAS\Saccharin\Saccharin/20201203_Cefas_Test8_Run3/Plate 1/@14/G9_02.tif "/>
    <s v=" 13518.6841 "/>
    <s v=" 31.9152 "/>
    <x v="0"/>
    <n v="431452"/>
    <m/>
    <m/>
  </r>
  <r>
    <x v="3"/>
    <x v="7"/>
    <s v="C:\Users\andre\Desktop\REACTIV CEFAS\Saccharin\Saccharin/20201203_Cefas_Test8_Run3/Plate 1/@14/G9_03.tif "/>
    <s v=" 19185.7165 "/>
    <s v=" 32.6618 "/>
    <x v="0"/>
    <n v="626640"/>
    <m/>
    <m/>
  </r>
  <r>
    <x v="3"/>
    <x v="8"/>
    <s v="C:\Users\andre\Desktop\REACTIV CEFAS\Saccharin\Saccharin/20201203_Cefas_Test8_Run3/Plate 1/@14/H9_01.tif "/>
    <s v=" 41572.6575 "/>
    <s v=" 42.7503 "/>
    <x v="0"/>
    <n v="1777242"/>
    <m/>
    <m/>
  </r>
  <r>
    <x v="3"/>
    <x v="8"/>
    <s v="C:\Users\andre\Desktop\REACTIV CEFAS\Saccharin\Saccharin/20201203_Cefas_Test8_Run3/Plate 1/@14/H9_02.tif "/>
    <s v=" 42437.8533 "/>
    <s v=" 39.3078 "/>
    <x v="0"/>
    <n v="1668141"/>
    <m/>
    <m/>
  </r>
  <r>
    <x v="3"/>
    <x v="8"/>
    <s v="C:\Users\andre\Desktop\REACTIV CEFAS\Saccharin\Saccharin/20201203_Cefas_Test8_Run3/Plate 1/@14/H9_03- exclu.tif"/>
    <m/>
    <m/>
    <x v="1"/>
    <m/>
    <m/>
    <m/>
  </r>
  <r>
    <x v="0"/>
    <x v="0"/>
    <s v=" "/>
    <m/>
    <m/>
    <x v="1"/>
    <m/>
    <m/>
    <m/>
  </r>
  <r>
    <x v="0"/>
    <x v="0"/>
    <s v="group "/>
    <s v=" "/>
    <s v=" mean of mean fluo "/>
    <x v="2"/>
    <s v=" mean of total fluo "/>
    <s v=" SD total fluo "/>
    <m/>
  </r>
  <r>
    <x v="3"/>
    <x v="9"/>
    <s v="C:\Users\andre\Desktop\REACTIV CEFAS\Saccharin\Saccharin/20201203_Cefas_Test8_Run3/Plate 1/@14/ "/>
    <s v=" "/>
    <s v=" 38.7894 "/>
    <x v="5"/>
    <n v="1809475"/>
    <s v=" 1033538.5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Saccharin\Saccharin/20201203_Cefas_Test8_Run3/Plate 1/@15/A11_01.tif "/>
    <s v=" 73044.1542 "/>
    <s v=" 47.2926 "/>
    <x v="0"/>
    <n v="3454446"/>
    <m/>
    <m/>
  </r>
  <r>
    <x v="4"/>
    <x v="1"/>
    <s v="C:\Users\andre\Desktop\REACTIV CEFAS\Saccharin\Saccharin/20201203_Cefas_Test8_Run3/Plate 1/@15/A11_02.tif "/>
    <s v=" 68090.9083 "/>
    <s v=" 45.0753 "/>
    <x v="0"/>
    <n v="3069217"/>
    <m/>
    <m/>
  </r>
  <r>
    <x v="4"/>
    <x v="1"/>
    <s v="C:\Users\andre\Desktop\REACTIV CEFAS\Saccharin\Saccharin/20201203_Cefas_Test8_Run3/Plate 1/@15/A11_03.tif "/>
    <s v=" 67442.0115 "/>
    <s v=" 47.4885 "/>
    <x v="0"/>
    <n v="3202717"/>
    <m/>
    <m/>
  </r>
  <r>
    <x v="4"/>
    <x v="2"/>
    <s v="C:\Users\andre\Desktop\REACTIV CEFAS\Saccharin\Saccharin/20201203_Cefas_Test8_Run3/Plate 1/@15/B11_01.tif "/>
    <s v=" 73390.2325 "/>
    <s v=" 40.5385 "/>
    <x v="0"/>
    <n v="2975127"/>
    <m/>
    <m/>
  </r>
  <r>
    <x v="4"/>
    <x v="2"/>
    <s v="C:\Users\andre\Desktop\REACTIV CEFAS\Saccharin\Saccharin/20201203_Cefas_Test8_Run3/Plate 1/@15/B11_02.tif "/>
    <s v=" 73952.6097 "/>
    <s v=" 40.4899 "/>
    <x v="0"/>
    <n v="2994334"/>
    <m/>
    <m/>
  </r>
  <r>
    <x v="4"/>
    <x v="2"/>
    <s v="C:\Users\andre\Desktop\REACTIV CEFAS\Saccharin\Saccharin/20201203_Cefas_Test8_Run3/Plate 1/@15/B11_03.tif "/>
    <s v=" 78105.5495 "/>
    <s v=" 45.2088 "/>
    <x v="0"/>
    <n v="3531059"/>
    <m/>
    <m/>
  </r>
  <r>
    <x v="4"/>
    <x v="3"/>
    <s v="C:\Users\andre\Desktop\REACTIV CEFAS\Saccharin\Saccharin/20201203_Cefas_Test8_Run3/Plate 1/@15/C11_01.tif "/>
    <s v=" 67831.3496 "/>
    <s v=" 45.8029 "/>
    <x v="0"/>
    <n v="3106875"/>
    <m/>
    <m/>
  </r>
  <r>
    <x v="4"/>
    <x v="3"/>
    <s v="C:\Users\andre\Desktop\REACTIV CEFAS\Saccharin\Saccharin/20201203_Cefas_Test8_Run3/Plate 1/@15/C11_02.tif "/>
    <s v=" 60433.9256 "/>
    <s v=" 46.8096 "/>
    <x v="0"/>
    <n v="2828887"/>
    <m/>
    <m/>
  </r>
  <r>
    <x v="4"/>
    <x v="3"/>
    <s v="C:\Users\andre\Desktop\REACTIV CEFAS\Saccharin\Saccharin/20201203_Cefas_Test8_Run3/Plate 1/@15/C11_03.tif "/>
    <s v=" 69626.6308 "/>
    <s v=" 45.1066 "/>
    <x v="0"/>
    <n v="3140617"/>
    <m/>
    <m/>
  </r>
  <r>
    <x v="4"/>
    <x v="4"/>
    <s v="C:\Users\andre\Desktop\REACTIV CEFAS\Saccharin\Saccharin/20201203_Cefas_Test8_Run3/Plate 1/@15/D11_01.tif "/>
    <s v=" 54658.7437 "/>
    <s v=" 48.4044 "/>
    <x v="0"/>
    <n v="2645725"/>
    <m/>
    <m/>
  </r>
  <r>
    <x v="4"/>
    <x v="4"/>
    <s v="C:\Users\andre\Desktop\REACTIV CEFAS\Saccharin\Saccharin/20201203_Cefas_Test8_Run3/Plate 1/@15/D11_02.tif "/>
    <s v=" 58249.3062 "/>
    <s v=" 45.8147 "/>
    <x v="0"/>
    <n v="2668675"/>
    <m/>
    <m/>
  </r>
  <r>
    <x v="4"/>
    <x v="4"/>
    <s v="C:\Users\andre\Desktop\REACTIV CEFAS\Saccharin\Saccharin/20201203_Cefas_Test8_Run3/Plate 1/@15/D11_03.tif "/>
    <s v=" 62726.6944 "/>
    <s v=" 48.1848 "/>
    <x v="0"/>
    <n v="3022475"/>
    <m/>
    <m/>
  </r>
  <r>
    <x v="4"/>
    <x v="5"/>
    <s v="C:\Users\andre\Desktop\REACTIV CEFAS\Saccharin\Saccharin/20201203_Cefas_Test8_Run3/Plate 1/@15/E11_01.tif "/>
    <s v=" 70318.7874 "/>
    <s v=" 45.7032 "/>
    <x v="0"/>
    <n v="3213791"/>
    <m/>
    <m/>
  </r>
  <r>
    <x v="4"/>
    <x v="5"/>
    <s v="C:\Users\andre\Desktop\REACTIV CEFAS\Saccharin\Saccharin/20201203_Cefas_Test8_Run3/Plate 1/@15/E11_02.tif "/>
    <s v=" 74385.2076 "/>
    <s v=" 50.8587 "/>
    <x v="0"/>
    <n v="3783133"/>
    <m/>
    <m/>
  </r>
  <r>
    <x v="4"/>
    <x v="5"/>
    <s v="C:\Users\andre\Desktop\REACTIV CEFAS\Saccharin\Saccharin/20201203_Cefas_Test8_Run3/Plate 1/@15/E11_03.tif "/>
    <s v=" 69215.6628 "/>
    <s v=" 46.4684 "/>
    <x v="0"/>
    <n v="3216344"/>
    <m/>
    <m/>
  </r>
  <r>
    <x v="4"/>
    <x v="6"/>
    <s v="C:\Users\andre\Desktop\REACTIV CEFAS\Saccharin\Saccharin/20201203_Cefas_Test8_Run3/Plate 1/@15/F11_01.tif "/>
    <s v=" 95322.9456 "/>
    <s v=" 49.4329 "/>
    <x v="0"/>
    <n v="4712094"/>
    <m/>
    <m/>
  </r>
  <r>
    <x v="4"/>
    <x v="6"/>
    <s v="C:\Users\andre\Desktop\REACTIV CEFAS\Saccharin\Saccharin/20201203_Cefas_Test8_Run3/Plate 1/@15/F11_02.tif "/>
    <s v=" 95604.1343 "/>
    <s v=" 49.8353 "/>
    <x v="0"/>
    <n v="4764460"/>
    <m/>
    <m/>
  </r>
  <r>
    <x v="4"/>
    <x v="6"/>
    <s v="C:\Users\andre\Desktop\REACTIV CEFAS\Saccharin\Saccharin/20201203_Cefas_Test8_Run3/Plate 1/@15/F11_03.tif "/>
    <s v=" 96923.5578 "/>
    <s v=" 47.4084 "/>
    <x v="0"/>
    <n v="4594990"/>
    <m/>
    <m/>
  </r>
  <r>
    <x v="4"/>
    <x v="7"/>
    <s v="C:\Users\andre\Desktop\REACTIV CEFAS\Saccharin\Saccharin/20201203_Cefas_Test8_Run3/Plate 1/@15/G11_01- exclu.tif"/>
    <m/>
    <m/>
    <x v="1"/>
    <m/>
    <m/>
    <m/>
  </r>
  <r>
    <x v="4"/>
    <x v="7"/>
    <s v="C:\Users\andre\Desktop\REACTIV CEFAS\Saccharin\Saccharin/20201203_Cefas_Test8_Run3/Plate 1/@15/G11_02- exclu.tif"/>
    <m/>
    <m/>
    <x v="1"/>
    <m/>
    <m/>
    <m/>
  </r>
  <r>
    <x v="4"/>
    <x v="7"/>
    <s v="C:\Users\andre\Desktop\REACTIV CEFAS\Saccharin\Saccharin/20201203_Cefas_Test8_Run3/Plate 1/@15/G11_03- exclu.tif"/>
    <m/>
    <m/>
    <x v="1"/>
    <m/>
    <m/>
    <m/>
  </r>
  <r>
    <x v="4"/>
    <x v="8"/>
    <s v="C:\Users\andre\Desktop\REACTIV CEFAS\Saccharin\Saccharin/20201203_Cefas_Test8_Run3/Plate 1/@15/H11_01.tif "/>
    <s v=" 35710.956 "/>
    <s v=" 36.2362 "/>
    <x v="0"/>
    <n v="1294030"/>
    <m/>
    <m/>
  </r>
  <r>
    <x v="4"/>
    <x v="8"/>
    <s v="C:\Users\andre\Desktop\REACTIV CEFAS\Saccharin\Saccharin/20201203_Cefas_Test8_Run3/Plate 1/@15/H11_02.tif "/>
    <s v=" 41529.3977 "/>
    <s v=" 36.3109 "/>
    <x v="0"/>
    <n v="1507971"/>
    <m/>
    <m/>
  </r>
  <r>
    <x v="4"/>
    <x v="8"/>
    <s v="C:\Users\andre\Desktop\REACTIV CEFAS\Saccharin\Saccharin/20201203_Cefas_Test8_Run3/Plate 1/@15/H11_03.tif "/>
    <s v=" 27188.7775 "/>
    <s v=" 33.922 "/>
    <x v="0"/>
    <n v="922299"/>
    <m/>
    <m/>
  </r>
  <r>
    <x v="0"/>
    <x v="0"/>
    <s v=" "/>
    <m/>
    <m/>
    <x v="1"/>
    <m/>
    <m/>
    <m/>
  </r>
  <r>
    <x v="0"/>
    <x v="0"/>
    <s v="group "/>
    <s v=" "/>
    <s v=" mean of mean fluo "/>
    <x v="2"/>
    <s v=" mean of total fluo "/>
    <s v=" SD total fluo "/>
    <m/>
  </r>
  <r>
    <x v="4"/>
    <x v="9"/>
    <s v="C:\Users\andre\Desktop\REACTIV CEFAS\Saccharin\Saccharin/20201203_Cefas_Test8_Run3/Plate 1/@15/ "/>
    <s v=" "/>
    <s v=" 39.2664 "/>
    <x v="6"/>
    <s v=" 2693719.42 "/>
    <s v=" 138826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Saccharin\Saccharin/20201203_Cefas_Test8_Run3/Plate 1/@16/A12_01.tif "/>
    <n v="0"/>
    <n v="0"/>
    <x v="0"/>
    <n v="0"/>
    <m/>
    <m/>
  </r>
  <r>
    <x v="5"/>
    <x v="1"/>
    <s v="C:\Users\andre\Desktop\REACTIV CEFAS\Saccharin\Saccharin/20201203_Cefas_Test8_Run3/Plate 1/@16/A12_02.tif "/>
    <s v=" 237.9288 "/>
    <s v=" 31.6364 "/>
    <x v="0"/>
    <n v="7527"/>
    <m/>
    <m/>
  </r>
  <r>
    <x v="5"/>
    <x v="1"/>
    <s v="C:\Users\andre\Desktop\REACTIV CEFAS\Saccharin\Saccharin/20201203_Cefas_Test8_Run3/Plate 1/@16/A12_03.tif "/>
    <s v=" 1254.5339 "/>
    <s v=" 31.7586 "/>
    <x v="0"/>
    <n v="39842"/>
    <m/>
    <m/>
  </r>
  <r>
    <x v="5"/>
    <x v="2"/>
    <s v="C:\Users\andre\Desktop\REACTIV CEFAS\Saccharin\Saccharin/20201203_Cefas_Test8_Run3/Plate 1/@16/B12_01.tif "/>
    <s v=" 4477.3882 "/>
    <s v=" 34.2222 "/>
    <x v="0"/>
    <n v="153226"/>
    <m/>
    <m/>
  </r>
  <r>
    <x v="5"/>
    <x v="2"/>
    <s v="C:\Users\andre\Desktop\REACTIV CEFAS\Saccharin\Saccharin/20201203_Cefas_Test8_Run3/Plate 1/@16/B12_02.tif "/>
    <s v=" 1514.0926 "/>
    <s v=" 32.1857 "/>
    <x v="0"/>
    <n v="48732"/>
    <m/>
    <m/>
  </r>
  <r>
    <x v="5"/>
    <x v="2"/>
    <s v="C:\Users\andre\Desktop\REACTIV CEFAS\Saccharin\Saccharin/20201203_Cefas_Test8_Run3/Plate 1/@16/B12_03.tif "/>
    <s v=" 2357.6585 "/>
    <s v=" 32.1284 "/>
    <x v="0"/>
    <n v="75748"/>
    <m/>
    <m/>
  </r>
  <r>
    <x v="5"/>
    <x v="3"/>
    <s v="C:\Users\andre\Desktop\REACTIV CEFAS\Saccharin\Saccharin/20201203_Cefas_Test8_Run3/Plate 1/@16/C12_01.tif "/>
    <s v=" 6986.456 "/>
    <s v=" 41.7059 "/>
    <x v="0"/>
    <n v="291376"/>
    <m/>
    <m/>
  </r>
  <r>
    <x v="5"/>
    <x v="3"/>
    <s v="C:\Users\andre\Desktop\REACTIV CEFAS\Saccharin\Saccharin/20201203_Cefas_Test8_Run3/Plate 1/@16/C12_02- exclu.tif"/>
    <m/>
    <m/>
    <x v="1"/>
    <m/>
    <m/>
    <m/>
  </r>
  <r>
    <x v="5"/>
    <x v="3"/>
    <s v="C:\Users\andre\Desktop\REACTIV CEFAS\Saccharin\Saccharin/20201203_Cefas_Test8_Run3/Plate 1/@16/C12_03.tif "/>
    <n v="0"/>
    <n v="0"/>
    <x v="0"/>
    <n v="0"/>
    <m/>
    <m/>
  </r>
  <r>
    <x v="5"/>
    <x v="4"/>
    <s v="C:\Users\andre\Desktop\REACTIV CEFAS\Saccharin\Saccharin/20201203_Cefas_Test8_Run3/Plate 1/@16/D12_01.tif "/>
    <n v="0"/>
    <n v="0"/>
    <x v="0"/>
    <n v="0"/>
    <m/>
    <m/>
  </r>
  <r>
    <x v="5"/>
    <x v="4"/>
    <s v="C:\Users\andre\Desktop\REACTIV CEFAS\Saccharin\Saccharin/20201203_Cefas_Test8_Run3/Plate 1/@16/D12_02.tif "/>
    <s v=" 3720.3419 "/>
    <s v=" 37.1628 "/>
    <x v="0"/>
    <n v="138258"/>
    <m/>
    <m/>
  </r>
  <r>
    <x v="5"/>
    <x v="4"/>
    <s v="C:\Users\andre\Desktop\REACTIV CEFAS\Saccharin\Saccharin/20201203_Cefas_Test8_Run3/Plate 1/@16/D12_03.tif "/>
    <s v=" 1189.6442 "/>
    <s v=" 33.1636 "/>
    <x v="0"/>
    <n v="39453"/>
    <m/>
    <m/>
  </r>
  <r>
    <x v="5"/>
    <x v="5"/>
    <s v="C:\Users\andre\Desktop\REACTIV CEFAS\Saccharin\Saccharin/20201203_Cefas_Test8_Run3/Plate 1/@16/E12_01.tif "/>
    <s v=" 3006.5554 "/>
    <s v=" 33.7194 "/>
    <x v="0"/>
    <n v="101379"/>
    <m/>
    <m/>
  </r>
  <r>
    <x v="5"/>
    <x v="5"/>
    <s v="C:\Users\andre\Desktop\REACTIV CEFAS\Saccharin\Saccharin/20201203_Cefas_Test8_Run3/Plate 1/@16/E12_02.tif "/>
    <s v=" 1643.872 "/>
    <s v=" 33.3421 "/>
    <x v="0"/>
    <n v="54810"/>
    <m/>
    <m/>
  </r>
  <r>
    <x v="5"/>
    <x v="5"/>
    <s v="C:\Users\andre\Desktop\REACTIV CEFAS\Saccharin\Saccharin/20201203_Cefas_Test8_Run3/Plate 1/@16/E12_03.tif "/>
    <s v=" 1860.1709 "/>
    <s v=" 31.9535 "/>
    <x v="0"/>
    <n v="59439"/>
    <m/>
    <m/>
  </r>
  <r>
    <x v="5"/>
    <x v="6"/>
    <s v="C:\Users\andre\Desktop\REACTIV CEFAS\Saccharin\Saccharin/20201203_Cefas_Test8_Run3/Plate 1/@16/F12_01.tif "/>
    <s v=" 2682.1069 "/>
    <s v=" 33.9435 "/>
    <x v="0"/>
    <n v="91040"/>
    <m/>
    <m/>
  </r>
  <r>
    <x v="5"/>
    <x v="6"/>
    <s v="C:\Users\andre\Desktop\REACTIV CEFAS\Saccharin\Saccharin/20201203_Cefas_Test8_Run3/Plate 1/@16/F12_02.tif "/>
    <s v=" 432.5979 "/>
    <s v=" 32.6 "/>
    <x v="0"/>
    <n v="14103"/>
    <m/>
    <m/>
  </r>
  <r>
    <x v="5"/>
    <x v="6"/>
    <s v="C:\Users\andre\Desktop\REACTIV CEFAS\Saccharin\Saccharin/20201203_Cefas_Test8_Run3/Plate 1/@16/F12_03.tif "/>
    <s v=" 4304.349 "/>
    <s v=" 35.1508 "/>
    <x v="0"/>
    <n v="151301"/>
    <m/>
    <m/>
  </r>
  <r>
    <x v="5"/>
    <x v="7"/>
    <s v="C:\Users\andre\Desktop\REACTIV CEFAS\Saccharin\Saccharin/20201203_Cefas_Test8_Run3/Plate 1/@16/G12_01.tif "/>
    <s v=" 9625.3031 "/>
    <s v=" 40.5461 "/>
    <x v="0"/>
    <n v="390268"/>
    <m/>
    <m/>
  </r>
  <r>
    <x v="5"/>
    <x v="7"/>
    <s v="C:\Users\andre\Desktop\REACTIV CEFAS\Saccharin\Saccharin/20201203_Cefas_Test8_Run3/Plate 1/@16/G12_02.tif "/>
    <s v=" 9214.3351 "/>
    <s v=" 41.3263 "/>
    <x v="0"/>
    <n v="380794"/>
    <m/>
    <m/>
  </r>
  <r>
    <x v="5"/>
    <x v="7"/>
    <s v="C:\Users\andre\Desktop\REACTIV CEFAS\Saccharin\Saccharin/20201203_Cefas_Test8_Run3/Plate 1/@16/G12_03.tif "/>
    <s v=" 5775.1819 "/>
    <s v=" 39.5243 "/>
    <x v="0"/>
    <n v="228260"/>
    <m/>
    <m/>
  </r>
  <r>
    <x v="5"/>
    <x v="8"/>
    <s v="C:\Users\andre\Desktop\REACTIV CEFAS\Saccharin\Saccharin/20201203_Cefas_Test8_Run3/Plate 1/@16/H12_01- exclu.tif"/>
    <m/>
    <m/>
    <x v="1"/>
    <m/>
    <m/>
    <m/>
  </r>
  <r>
    <x v="5"/>
    <x v="8"/>
    <s v="C:\Users\andre\Desktop\REACTIV CEFAS\Saccharin\Saccharin/20201203_Cefas_Test8_Run3/Plate 1/@16/H12_02- exclu.tif"/>
    <m/>
    <m/>
    <x v="1"/>
    <m/>
    <m/>
    <m/>
  </r>
  <r>
    <x v="5"/>
    <x v="8"/>
    <s v="C:\Users\andre\Desktop\REACTIV CEFAS\Saccharin\Saccharin/20201203_Cefas_Test8_Run3/Plate 1/@16/H12_03- exclu.tif"/>
    <m/>
    <m/>
    <x v="1"/>
    <m/>
    <m/>
    <m/>
  </r>
  <r>
    <x v="0"/>
    <x v="0"/>
    <s v=" "/>
    <m/>
    <m/>
    <x v="1"/>
    <m/>
    <m/>
    <m/>
  </r>
  <r>
    <x v="0"/>
    <x v="0"/>
    <s v="group "/>
    <s v=" "/>
    <s v=" mean of mean fluo "/>
    <x v="2"/>
    <s v=" mean of total fluo "/>
    <s v=" SD total fluo "/>
    <m/>
  </r>
  <r>
    <x v="5"/>
    <x v="9"/>
    <s v="C:\Users\andre\Desktop\REACTIV CEFAS\Saccharin\Saccharin/20201203_Cefas_Test8_Run3/Plate 1/@16/ "/>
    <s v=" "/>
    <s v=" 26.1865 "/>
    <x v="7"/>
    <s v=" 108680.208 "/>
    <s v=" 126908.67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Saccharin\Saccharin/20201203_Cefas_Test8_Run3/Plate 1/@2/A2_01.tif "/>
    <s v=" 8868.2568 "/>
    <s v=" 43.5439 "/>
    <x v="0"/>
    <n v="386159"/>
    <m/>
    <m/>
  </r>
  <r>
    <x v="6"/>
    <x v="1"/>
    <s v="C:\Users\andre\Desktop\REACTIV CEFAS\Saccharin\Saccharin/20201203_Cefas_Test8_Run3/Plate 1/@2/A2_02.tif "/>
    <s v=" 11117.7658 "/>
    <s v=" 49.0953 "/>
    <x v="0"/>
    <n v="545830"/>
    <m/>
    <m/>
  </r>
  <r>
    <x v="6"/>
    <x v="1"/>
    <s v="C:\Users\andre\Desktop\REACTIV CEFAS\Saccharin\Saccharin/20201203_Cefas_Test8_Run3/Plate 1/@2/A2_03- exclu.tif"/>
    <m/>
    <m/>
    <x v="1"/>
    <m/>
    <m/>
    <m/>
  </r>
  <r>
    <x v="6"/>
    <x v="2"/>
    <s v="C:\Users\andre\Desktop\REACTIV CEFAS\Saccharin\Saccharin/20201203_Cefas_Test8_Run3/Plate 1/@2/B2_01.tif "/>
    <s v=" 5753.552 "/>
    <s v=" 39.9098 "/>
    <x v="0"/>
    <n v="229623"/>
    <m/>
    <m/>
  </r>
  <r>
    <x v="6"/>
    <x v="2"/>
    <s v="C:\Users\andre\Desktop\REACTIV CEFAS\Saccharin\Saccharin/20201203_Cefas_Test8_Run3/Plate 1/@2/B2_02- exclu.tif"/>
    <m/>
    <m/>
    <x v="1"/>
    <m/>
    <m/>
    <m/>
  </r>
  <r>
    <x v="6"/>
    <x v="2"/>
    <s v="C:\Users\andre\Desktop\REACTIV CEFAS\Saccharin\Saccharin/20201203_Cefas_Test8_Run3/Plate 1/@2/B2_03- exclu.tif"/>
    <m/>
    <m/>
    <x v="1"/>
    <m/>
    <m/>
    <m/>
  </r>
  <r>
    <x v="6"/>
    <x v="3"/>
    <s v="C:\Users\andre\Desktop\REACTIV CEFAS\Saccharin\Saccharin/20201203_Cefas_Test8_Run3/Plate 1/@2/C2_01.tif "/>
    <n v="0"/>
    <n v="0"/>
    <x v="0"/>
    <n v="0"/>
    <m/>
    <m/>
  </r>
  <r>
    <x v="6"/>
    <x v="3"/>
    <s v="C:\Users\andre\Desktop\REACTIV CEFAS\Saccharin\Saccharin/20201203_Cefas_Test8_Run3/Plate 1/@2/C2_02.tif "/>
    <s v=" 3287.744 "/>
    <s v=" 36.1447 "/>
    <x v="0"/>
    <n v="118835"/>
    <m/>
    <m/>
  </r>
  <r>
    <x v="6"/>
    <x v="3"/>
    <s v="C:\Users\andre\Desktop\REACTIV CEFAS\Saccharin\Saccharin/20201203_Cefas_Test8_Run3/Plate 1/@2/C2_03.tif "/>
    <s v=" 540.7474 "/>
    <s v=" 33.2 "/>
    <x v="0"/>
    <n v="17953"/>
    <m/>
    <m/>
  </r>
  <r>
    <x v="6"/>
    <x v="4"/>
    <s v="C:\Users\andre\Desktop\REACTIV CEFAS\Saccharin\Saccharin/20201203_Cefas_Test8_Run3/Plate 1/@2/D2_01.tif "/>
    <s v=" 11182.6555 "/>
    <s v=" 38.1683 "/>
    <x v="0"/>
    <n v="426823"/>
    <m/>
    <m/>
  </r>
  <r>
    <x v="6"/>
    <x v="4"/>
    <s v="C:\Users\andre\Desktop\REACTIV CEFAS\Saccharin\Saccharin/20201203_Cefas_Test8_Run3/Plate 1/@2/D2_02.tif "/>
    <s v=" 8435.6589 "/>
    <s v=" 36.8846 "/>
    <x v="0"/>
    <n v="311146"/>
    <m/>
    <m/>
  </r>
  <r>
    <x v="6"/>
    <x v="4"/>
    <s v="C:\Users\andre\Desktop\REACTIV CEFAS\Saccharin\Saccharin/20201203_Cefas_Test8_Run3/Plate 1/@2/D2_03.tif "/>
    <s v=" 8522.1785 "/>
    <s v=" 35.9188 "/>
    <x v="0"/>
    <n v="306106"/>
    <m/>
    <m/>
  </r>
  <r>
    <x v="6"/>
    <x v="5"/>
    <s v="C:\Users\andre\Desktop\REACTIV CEFAS\Saccharin\Saccharin/20201203_Cefas_Test8_Run3/Plate 1/@2/E2_01- exclu.tif"/>
    <m/>
    <m/>
    <x v="1"/>
    <m/>
    <m/>
    <m/>
  </r>
  <r>
    <x v="6"/>
    <x v="5"/>
    <s v="C:\Users\andre\Desktop\REACTIV CEFAS\Saccharin\Saccharin/20201203_Cefas_Test8_Run3/Plate 1/@2/E2_02- exclu.tif"/>
    <m/>
    <m/>
    <x v="1"/>
    <m/>
    <m/>
    <m/>
  </r>
  <r>
    <x v="6"/>
    <x v="5"/>
    <s v="C:\Users\andre\Desktop\REACTIV CEFAS\Saccharin\Saccharin/20201203_Cefas_Test8_Run3/Plate 1/@2/E2_03- exclu.tif"/>
    <m/>
    <m/>
    <x v="1"/>
    <m/>
    <m/>
    <m/>
  </r>
  <r>
    <x v="6"/>
    <x v="6"/>
    <s v="C:\Users\andre\Desktop\REACTIV CEFAS\Saccharin\Saccharin/20201203_Cefas_Test8_Run3/Plate 1/@2/F2_01.tif "/>
    <s v=" 3979.9006 "/>
    <s v=" 36.837 "/>
    <x v="0"/>
    <n v="146607"/>
    <m/>
    <m/>
  </r>
  <r>
    <x v="6"/>
    <x v="6"/>
    <s v="C:\Users\andre\Desktop\REACTIV CEFAS\Saccharin\Saccharin/20201203_Cefas_Test8_Run3/Plate 1/@2/F2_02.tif "/>
    <s v=" 5602.1427 "/>
    <s v=" 39.7838 "/>
    <x v="0"/>
    <n v="222874"/>
    <m/>
    <m/>
  </r>
  <r>
    <x v="6"/>
    <x v="6"/>
    <s v="C:\Users\andre\Desktop\REACTIV CEFAS\Saccharin\Saccharin/20201203_Cefas_Test8_Run3/Plate 1/@2/F2_03.tif "/>
    <s v=" 1838.541 "/>
    <s v=" 36.5294 "/>
    <x v="0"/>
    <n v="67161"/>
    <m/>
    <m/>
  </r>
  <r>
    <x v="6"/>
    <x v="7"/>
    <s v="C:\Users\andre\Desktop\REACTIV CEFAS\Saccharin\Saccharin/20201203_Cefas_Test8_Run3/Plate 1/@2/G2_01.tif "/>
    <s v=" 519.1175 "/>
    <s v=" 31.6667 "/>
    <x v="0"/>
    <n v="16439"/>
    <m/>
    <m/>
  </r>
  <r>
    <x v="6"/>
    <x v="7"/>
    <s v="C:\Users\andre\Desktop\REACTIV CEFAS\Saccharin\Saccharin/20201203_Cefas_Test8_Run3/Plate 1/@2/G2_02.tif "/>
    <s v=" 64.8897 "/>
    <s v=" 32.3333 "/>
    <x v="0"/>
    <n v="2098"/>
    <m/>
    <m/>
  </r>
  <r>
    <x v="6"/>
    <x v="7"/>
    <s v="C:\Users\andre\Desktop\REACTIV CEFAS\Saccharin\Saccharin/20201203_Cefas_Test8_Run3/Plate 1/@2/G2_03.tif "/>
    <s v=" 8846.6269 "/>
    <s v=" 38.0782 "/>
    <x v="0"/>
    <n v="336864"/>
    <m/>
    <m/>
  </r>
  <r>
    <x v="6"/>
    <x v="8"/>
    <s v="C:\Users\andre\Desktop\REACTIV CEFAS\Saccharin\Saccharin/20201203_Cefas_Test8_Run3/Plate 1/@2/H2_01.tif "/>
    <s v=" 8673.5877 "/>
    <s v=" 37.8928 "/>
    <x v="0"/>
    <n v="328666"/>
    <m/>
    <m/>
  </r>
  <r>
    <x v="6"/>
    <x v="8"/>
    <s v="C:\Users\andre\Desktop\REACTIV CEFAS\Saccharin\Saccharin/20201203_Cefas_Test8_Run3/Plate 1/@2/H2_02.tif "/>
    <s v=" 3850.1212 "/>
    <s v=" 37.7697 "/>
    <x v="0"/>
    <n v="145418"/>
    <m/>
    <m/>
  </r>
  <r>
    <x v="6"/>
    <x v="8"/>
    <s v="C:\Users\andre\Desktop\REACTIV CEFAS\Saccharin\Saccharin/20201203_Cefas_Test8_Run3/Plate 1/@2/H2_03.tif "/>
    <s v=" 7765.1322 "/>
    <s v=" 38.585 "/>
    <x v="0"/>
    <n v="299617"/>
    <m/>
    <m/>
  </r>
  <r>
    <x v="0"/>
    <x v="0"/>
    <s v=" "/>
    <m/>
    <m/>
    <x v="1"/>
    <m/>
    <m/>
    <m/>
  </r>
  <r>
    <x v="0"/>
    <x v="0"/>
    <s v="group "/>
    <s v=" "/>
    <s v=" mean of mean fluo "/>
    <x v="2"/>
    <s v=" mean of total fluo "/>
    <s v=" SD total fluo "/>
    <m/>
  </r>
  <r>
    <x v="6"/>
    <x v="9"/>
    <s v="C:\Users\andre\Desktop\REACTIV CEFAS\Saccharin\Saccharin/20201203_Cefas_Test8_Run3/Plate 1/@2/ "/>
    <s v=" "/>
    <s v=" 37.7109 "/>
    <x v="8"/>
    <s v=" 332434.333 "/>
    <s v=" 346843.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Saccharin\Saccharin/20201203_Cefas_Test8_Run3/Plate 1/@3/A3_01.tif "/>
    <s v=" 108.1495 "/>
    <s v=" 31.8 "/>
    <x v="0"/>
    <n v="3439"/>
    <m/>
    <m/>
  </r>
  <r>
    <x v="7"/>
    <x v="1"/>
    <s v="C:\Users\andre\Desktop\REACTIV CEFAS\Saccharin\Saccharin/20201203_Cefas_Test8_Run3/Plate 1/@3/A3_02- exclu.tif"/>
    <m/>
    <m/>
    <x v="1"/>
    <m/>
    <m/>
    <m/>
  </r>
  <r>
    <x v="7"/>
    <x v="1"/>
    <s v="C:\Users\andre\Desktop\REACTIV CEFAS\Saccharin\Saccharin/20201203_Cefas_Test8_Run3/Plate 1/@3/A3_03- exclu.tif"/>
    <m/>
    <m/>
    <x v="1"/>
    <m/>
    <m/>
    <m/>
  </r>
  <r>
    <x v="7"/>
    <x v="2"/>
    <s v="C:\Users\andre\Desktop\REACTIV CEFAS\Saccharin\Saccharin/20201203_Cefas_Test8_Run3/Plate 1/@3/B3_01- exclu.tif"/>
    <m/>
    <m/>
    <x v="1"/>
    <m/>
    <m/>
    <m/>
  </r>
  <r>
    <x v="7"/>
    <x v="2"/>
    <s v="C:\Users\andre\Desktop\REACTIV CEFAS\Saccharin\Saccharin/20201203_Cefas_Test8_Run3/Plate 1/@3/B3_02.tif "/>
    <s v=" 2119.7297 "/>
    <s v=" 34.8469 "/>
    <x v="0"/>
    <n v="73866"/>
    <m/>
    <m/>
  </r>
  <r>
    <x v="7"/>
    <x v="2"/>
    <s v="C:\Users\andre\Desktop\REACTIV CEFAS\Saccharin\Saccharin/20201203_Cefas_Test8_Run3/Plate 1/@3/B3_03.tif "/>
    <n v="0"/>
    <n v="0"/>
    <x v="0"/>
    <n v="0"/>
    <m/>
    <m/>
  </r>
  <r>
    <x v="7"/>
    <x v="3"/>
    <s v="C:\Users\andre\Desktop\REACTIV CEFAS\Saccharin\Saccharin/20201203_Cefas_Test8_Run3/Plate 1/@3/C3_01.tif "/>
    <s v=" 3677.0821 "/>
    <s v=" 33.8941 "/>
    <x v="0"/>
    <n v="124631"/>
    <m/>
    <m/>
  </r>
  <r>
    <x v="7"/>
    <x v="3"/>
    <s v="C:\Users\andre\Desktop\REACTIV CEFAS\Saccharin\Saccharin/20201203_Cefas_Test8_Run3/Plate 1/@3/C3_02.tif "/>
    <s v=" 1622.2421 "/>
    <s v=" 32.2133 "/>
    <x v="0"/>
    <n v="52258"/>
    <m/>
    <m/>
  </r>
  <r>
    <x v="7"/>
    <x v="3"/>
    <s v="C:\Users\andre\Desktop\REACTIV CEFAS\Saccharin\Saccharin/20201203_Cefas_Test8_Run3/Plate 1/@3/C3_03.tif "/>
    <s v=" 1535.7225 "/>
    <s v=" 32.2113 "/>
    <x v="0"/>
    <n v="49468"/>
    <m/>
    <m/>
  </r>
  <r>
    <x v="7"/>
    <x v="4"/>
    <s v="C:\Users\andre\Desktop\REACTIV CEFAS\Saccharin\Saccharin/20201203_Cefas_Test8_Run3/Plate 1/@3/D3_01.tif "/>
    <s v=" 6553.8581 "/>
    <s v=" 39.9241 "/>
    <x v="0"/>
    <n v="261657"/>
    <m/>
    <m/>
  </r>
  <r>
    <x v="7"/>
    <x v="4"/>
    <s v="C:\Users\andre\Desktop\REACTIV CEFAS\Saccharin\Saccharin/20201203_Cefas_Test8_Run3/Plate 1/@3/D3_02.tif "/>
    <s v=" 9841.6021 "/>
    <s v=" 45.6527 "/>
    <x v="0"/>
    <n v="449296"/>
    <m/>
    <m/>
  </r>
  <r>
    <x v="7"/>
    <x v="4"/>
    <s v="C:\Users\andre\Desktop\REACTIV CEFAS\Saccharin\Saccharin/20201203_Cefas_Test8_Run3/Plate 1/@3/D3_03.tif "/>
    <s v=" 10663.5381 "/>
    <s v=" 44.1765 "/>
    <x v="0"/>
    <n v="471077"/>
    <m/>
    <m/>
  </r>
  <r>
    <x v="7"/>
    <x v="5"/>
    <s v="C:\Users\andre\Desktop\REACTIV CEFAS\Saccharin\Saccharin/20201203_Cefas_Test8_Run3/Plate 1/@3/E3_01.tif "/>
    <s v=" 5580.5128 "/>
    <s v=" 39.8876 "/>
    <x v="0"/>
    <n v="222593"/>
    <m/>
    <m/>
  </r>
  <r>
    <x v="7"/>
    <x v="5"/>
    <s v="C:\Users\andre\Desktop\REACTIV CEFAS\Saccharin\Saccharin/20201203_Cefas_Test8_Run3/Plate 1/@3/E3_02.tif "/>
    <s v=" 5299.3242 "/>
    <s v=" 40.6531 "/>
    <x v="0"/>
    <n v="215434"/>
    <m/>
    <m/>
  </r>
  <r>
    <x v="7"/>
    <x v="5"/>
    <s v="C:\Users\andre\Desktop\REACTIV CEFAS\Saccharin\Saccharin/20201203_Cefas_Test8_Run3/Plate 1/@3/E3_03.tif "/>
    <n v="0"/>
    <n v="0"/>
    <x v="0"/>
    <n v="0"/>
    <m/>
    <m/>
  </r>
  <r>
    <x v="7"/>
    <x v="6"/>
    <s v="C:\Users\andre\Desktop\REACTIV CEFAS\Saccharin\Saccharin/20201203_Cefas_Test8_Run3/Plate 1/@3/F3_01.tif "/>
    <s v=" 3374.2636 "/>
    <s v=" 37.0256 "/>
    <x v="0"/>
    <n v="124934"/>
    <m/>
    <m/>
  </r>
  <r>
    <x v="7"/>
    <x v="6"/>
    <s v="C:\Users\andre\Desktop\REACTIV CEFAS\Saccharin\Saccharin/20201203_Cefas_Test8_Run3/Plate 1/@3/F3_02.tif "/>
    <s v=" 2119.7297 "/>
    <s v=" 34.8776 "/>
    <x v="0"/>
    <n v="73931"/>
    <m/>
    <m/>
  </r>
  <r>
    <x v="7"/>
    <x v="6"/>
    <s v="C:\Users\andre\Desktop\REACTIV CEFAS\Saccharin\Saccharin/20201203_Cefas_Test8_Run3/Plate 1/@3/F3_03.tif "/>
    <s v=" 3612.1924 "/>
    <s v=" 35.6587 "/>
    <x v="0"/>
    <n v="128806"/>
    <m/>
    <m/>
  </r>
  <r>
    <x v="7"/>
    <x v="7"/>
    <s v="C:\Users\andre\Desktop\REACTIV CEFAS\Saccharin\Saccharin/20201203_Cefas_Test8_Run3/Plate 1/@3/G3_01.tif "/>
    <s v=" 13518.6841 "/>
    <s v=" 32.88 "/>
    <x v="0"/>
    <n v="444494"/>
    <m/>
    <m/>
  </r>
  <r>
    <x v="7"/>
    <x v="7"/>
    <s v="C:\Users\andre\Desktop\REACTIV CEFAS\Saccharin\Saccharin/20201203_Cefas_Test8_Run3/Plate 1/@3/G3_02.tif "/>
    <s v=" 22646.4997 "/>
    <s v=" 33.8023 "/>
    <x v="0"/>
    <n v="765504"/>
    <m/>
    <m/>
  </r>
  <r>
    <x v="7"/>
    <x v="7"/>
    <s v="C:\Users\andre\Desktop\REACTIV CEFAS\Saccharin\Saccharin/20201203_Cefas_Test8_Run3/Plate 1/@3/G3_03.tif "/>
    <s v=" 9084.5557 "/>
    <s v=" 32.4238 "/>
    <x v="0"/>
    <n v="294556"/>
    <m/>
    <m/>
  </r>
  <r>
    <x v="7"/>
    <x v="8"/>
    <s v="C:\Users\andre\Desktop\REACTIV CEFAS\Saccharin\Saccharin/20201203_Cefas_Test8_Run3/Plate 1/@3/H3_01.tif "/>
    <s v=" 7548.8332 "/>
    <s v=" 37.2521 "/>
    <x v="0"/>
    <n v="281210"/>
    <m/>
    <m/>
  </r>
  <r>
    <x v="7"/>
    <x v="8"/>
    <s v="C:\Users\andre\Desktop\REACTIV CEFAS\Saccharin\Saccharin/20201203_Cefas_Test8_Run3/Plate 1/@3/H3_02.tif "/>
    <s v=" 17974.4424 "/>
    <s v=" 35.1023 "/>
    <x v="0"/>
    <n v="630944"/>
    <m/>
    <m/>
  </r>
  <r>
    <x v="7"/>
    <x v="8"/>
    <s v="C:\Users\andre\Desktop\REACTIV CEFAS\Saccharin\Saccharin/20201203_Cefas_Test8_Run3/Plate 1/@3/H3_03.tif "/>
    <s v=" 9582.0433 "/>
    <s v=" 34.7788 "/>
    <x v="0"/>
    <n v="333252"/>
    <m/>
    <m/>
  </r>
  <r>
    <x v="0"/>
    <x v="0"/>
    <s v=" "/>
    <m/>
    <m/>
    <x v="1"/>
    <m/>
    <m/>
    <m/>
  </r>
  <r>
    <x v="0"/>
    <x v="0"/>
    <s v="group "/>
    <s v=" "/>
    <s v=" mean of mean fluo "/>
    <x v="2"/>
    <s v=" mean of total fluo "/>
    <s v=" SD total fluo "/>
    <m/>
  </r>
  <r>
    <x v="7"/>
    <x v="9"/>
    <s v="C:\Users\andre\Desktop\REACTIV CEFAS\Saccharin\Saccharin/20201203_Cefas_Test8_Run3/Plate 1/@3/ "/>
    <s v=" "/>
    <s v=" 33.2496 "/>
    <x v="9"/>
    <s v=" 228032.208 "/>
    <s v=" 214814.989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Saccharin\Saccharin/20201203_Cefas_Test8_Run3/Plate 1/@4/A4_01.tif "/>
    <s v=" 12653.4884 "/>
    <s v=" 34.5641 "/>
    <x v="0"/>
    <n v="437356"/>
    <m/>
    <m/>
  </r>
  <r>
    <x v="8"/>
    <x v="1"/>
    <s v="C:\Users\andre\Desktop\REACTIV CEFAS\Saccharin\Saccharin/20201203_Cefas_Test8_Run3/Plate 1/@4/A4_02.tif "/>
    <s v=" 12610.2286 "/>
    <s v=" 34.1046 "/>
    <x v="0"/>
    <n v="430067"/>
    <m/>
    <m/>
  </r>
  <r>
    <x v="8"/>
    <x v="1"/>
    <s v="C:\Users\andre\Desktop\REACTIV CEFAS\Saccharin\Saccharin/20201203_Cefas_Test8_Run3/Plate 1/@4/A4_03.tif "/>
    <s v=" 19553.4247 "/>
    <s v=" 34.6195 "/>
    <x v="0"/>
    <n v="676929"/>
    <m/>
    <m/>
  </r>
  <r>
    <x v="8"/>
    <x v="2"/>
    <s v="C:\Users\andre\Desktop\REACTIV CEFAS\Saccharin\Saccharin/20201203_Cefas_Test8_Run3/Plate 1/@4/B4_01.tif "/>
    <s v=" 3785.2316 "/>
    <s v=" 33.5886 "/>
    <x v="0"/>
    <n v="127141"/>
    <m/>
    <m/>
  </r>
  <r>
    <x v="8"/>
    <x v="2"/>
    <s v="C:\Users\andre\Desktop\REACTIV CEFAS\Saccharin\Saccharin/20201203_Cefas_Test8_Run3/Plate 1/@4/B4_02.tif "/>
    <s v=" 3352.6337 "/>
    <s v=" 33.2323 "/>
    <x v="0"/>
    <n v="111416"/>
    <m/>
    <m/>
  </r>
  <r>
    <x v="8"/>
    <x v="2"/>
    <s v="C:\Users\andre\Desktop\REACTIV CEFAS\Saccharin\Saccharin/20201203_Cefas_Test8_Run3/Plate 1/@4/B4_03.tif "/>
    <s v=" 11139.3957 "/>
    <s v=" 33.233 "/>
    <x v="0"/>
    <n v="370196"/>
    <m/>
    <m/>
  </r>
  <r>
    <x v="8"/>
    <x v="3"/>
    <s v="C:\Users\andre\Desktop\REACTIV CEFAS\Saccharin\Saccharin/20201203_Cefas_Test8_Run3/Plate 1/@4/C4_01.tif "/>
    <s v=" 11161.0256 "/>
    <s v=" 34.7713 "/>
    <x v="0"/>
    <n v="388084"/>
    <m/>
    <m/>
  </r>
  <r>
    <x v="8"/>
    <x v="3"/>
    <s v="C:\Users\andre\Desktop\REACTIV CEFAS\Saccharin\Saccharin/20201203_Cefas_Test8_Run3/Plate 1/@4/C4_02.tif "/>
    <s v=" 86.5196 "/>
    <s v=" 30.5 "/>
    <x v="0"/>
    <n v="2639"/>
    <m/>
    <m/>
  </r>
  <r>
    <x v="8"/>
    <x v="3"/>
    <s v="C:\Users\andre\Desktop\REACTIV CEFAS\Saccharin\Saccharin/20201203_Cefas_Test8_Run3/Plate 1/@4/C4_03.tif "/>
    <s v=" 11161.0256 "/>
    <s v=" 34.5 "/>
    <x v="0"/>
    <n v="385055"/>
    <m/>
    <m/>
  </r>
  <r>
    <x v="8"/>
    <x v="4"/>
    <s v="C:\Users\andre\Desktop\REACTIV CEFAS\Saccharin\Saccharin/20201203_Cefas_Test8_Run3/Plate 1/@4/D4_01.tif "/>
    <s v=" 5169.5448 "/>
    <s v=" 35.9749 "/>
    <x v="0"/>
    <n v="185974"/>
    <m/>
    <m/>
  </r>
  <r>
    <x v="8"/>
    <x v="4"/>
    <s v="C:\Users\andre\Desktop\REACTIV CEFAS\Saccharin\Saccharin/20201203_Cefas_Test8_Run3/Plate 1/@4/D4_02.tif "/>
    <s v=" 5558.8829 "/>
    <s v=" 33.6459 "/>
    <x v="0"/>
    <n v="187034"/>
    <m/>
    <m/>
  </r>
  <r>
    <x v="8"/>
    <x v="4"/>
    <s v="C:\Users\andre\Desktop\REACTIV CEFAS\Saccharin\Saccharin/20201203_Cefas_Test8_Run3/Plate 1/@4/D4_03.tif "/>
    <s v=" 7116.2353 "/>
    <s v=" 33.2918 "/>
    <x v="0"/>
    <n v="236912"/>
    <m/>
    <m/>
  </r>
  <r>
    <x v="8"/>
    <x v="5"/>
    <s v="C:\Users\andre\Desktop\REACTIV CEFAS\Saccharin\Saccharin/20201203_Cefas_Test8_Run3/Plate 1/@4/E4_01.tif "/>
    <s v=" 8067.9507 "/>
    <s v=" 37.9115 "/>
    <x v="0"/>
    <n v="305868"/>
    <m/>
    <m/>
  </r>
  <r>
    <x v="8"/>
    <x v="5"/>
    <s v="C:\Users\andre\Desktop\REACTIV CEFAS\Saccharin\Saccharin/20201203_Cefas_Test8_Run3/Plate 1/@4/E4_02.tif "/>
    <s v=" 2595.5874 "/>
    <s v=" 33.3417 "/>
    <x v="0"/>
    <n v="86541"/>
    <m/>
    <m/>
  </r>
  <r>
    <x v="8"/>
    <x v="5"/>
    <s v="C:\Users\andre\Desktop\REACTIV CEFAS\Saccharin\Saccharin/20201203_Cefas_Test8_Run3/Plate 1/@4/E4_03.tif "/>
    <s v=" 3698.712 "/>
    <s v=" 33.8655 "/>
    <x v="0"/>
    <n v="125259"/>
    <m/>
    <m/>
  </r>
  <r>
    <x v="8"/>
    <x v="6"/>
    <s v="C:\Users\andre\Desktop\REACTIV CEFAS\Saccharin\Saccharin/20201203_Cefas_Test8_Run3/Plate 1/@4/F4_01.tif "/>
    <s v=" 48948.4515 "/>
    <s v=" 37.0866 "/>
    <x v="0"/>
    <n v="1815332"/>
    <m/>
    <m/>
  </r>
  <r>
    <x v="8"/>
    <x v="6"/>
    <s v="C:\Users\andre\Desktop\REACTIV CEFAS\Saccharin\Saccharin/20201203_Cefas_Test8_Run3/Plate 1/@4/F4_02.tif "/>
    <s v=" 45292.9994 "/>
    <s v=" 36.1662 "/>
    <x v="0"/>
    <n v="1638075"/>
    <m/>
    <m/>
  </r>
  <r>
    <x v="8"/>
    <x v="6"/>
    <s v="C:\Users\andre\Desktop\REACTIV CEFAS\Saccharin\Saccharin/20201203_Cefas_Test8_Run3/Plate 1/@4/F4_03.tif "/>
    <s v=" 48861.932 "/>
    <s v=" 37.1399 "/>
    <x v="0"/>
    <n v="1814727"/>
    <m/>
    <m/>
  </r>
  <r>
    <x v="8"/>
    <x v="7"/>
    <s v="C:\Users\andre\Desktop\REACTIV CEFAS\Saccharin\Saccharin/20201203_Cefas_Test8_Run3/Plate 1/@4/G4_01.tif "/>
    <s v=" 5883.3313 "/>
    <s v=" 34.5625 "/>
    <x v="0"/>
    <n v="203343"/>
    <m/>
    <m/>
  </r>
  <r>
    <x v="8"/>
    <x v="7"/>
    <s v="C:\Users\andre\Desktop\REACTIV CEFAS\Saccharin\Saccharin/20201203_Cefas_Test8_Run3/Plate 1/@4/G4_02.tif "/>
    <s v=" 1470.8328 "/>
    <s v=" 31.4265 "/>
    <x v="0"/>
    <n v="46223"/>
    <m/>
    <m/>
  </r>
  <r>
    <x v="8"/>
    <x v="7"/>
    <s v="C:\Users\andre\Desktop\REACTIV CEFAS\Saccharin\Saccharin/20201203_Cefas_Test8_Run3/Plate 1/@4/G4_03.tif "/>
    <s v=" 5623.7726 "/>
    <s v=" 35.2154 "/>
    <x v="0"/>
    <n v="198043"/>
    <m/>
    <m/>
  </r>
  <r>
    <x v="8"/>
    <x v="8"/>
    <s v="C:\Users\andre\Desktop\REACTIV CEFAS\Saccharin\Saccharin/20201203_Cefas_Test8_Run3/Plate 1/@4/H4_01.tif "/>
    <s v=" 10425.6092 "/>
    <s v=" 33.8527 "/>
    <x v="0"/>
    <n v="352935"/>
    <m/>
    <m/>
  </r>
  <r>
    <x v="8"/>
    <x v="8"/>
    <s v="C:\Users\andre\Desktop\REACTIV CEFAS\Saccharin\Saccharin/20201203_Cefas_Test8_Run3/Plate 1/@4/H4_02.tif "/>
    <s v=" 17217.3961 "/>
    <s v=" 34.7776 "/>
    <x v="0"/>
    <n v="598780"/>
    <m/>
    <m/>
  </r>
  <r>
    <x v="8"/>
    <x v="8"/>
    <s v="C:\Users\andre\Desktop\REACTIV CEFAS\Saccharin\Saccharin/20201203_Cefas_Test8_Run3/Plate 1/@4/H4_03.tif "/>
    <s v=" 10966.3566 "/>
    <s v=" 33.5523 "/>
    <x v="0"/>
    <n v="367946"/>
    <m/>
    <m/>
  </r>
  <r>
    <x v="0"/>
    <x v="0"/>
    <s v=" "/>
    <m/>
    <m/>
    <x v="1"/>
    <m/>
    <m/>
    <m/>
  </r>
  <r>
    <x v="0"/>
    <x v="0"/>
    <s v="group "/>
    <s v=" "/>
    <s v=" mean of mean fluo "/>
    <x v="2"/>
    <s v=" mean of total fluo "/>
    <s v=" SD total fluo "/>
    <m/>
  </r>
  <r>
    <x v="8"/>
    <x v="9"/>
    <s v="C:\Users\andre\Desktop\REACTIV CEFAS\Saccharin\Saccharin/20201203_Cefas_Test8_Run3/Plate 1/@4/ "/>
    <s v=" "/>
    <s v=" 34.3718 "/>
    <x v="10"/>
    <s v=" 462161.458 "/>
    <s v=" 527022.614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Saccharin\Saccharin/20201203_Cefas_Test8_Run3/Plate 1/@5/A5_01.tif "/>
    <s v=" 52192.9357 "/>
    <s v=" 38.5446 "/>
    <x v="0"/>
    <n v="2011753"/>
    <m/>
    <m/>
  </r>
  <r>
    <x v="9"/>
    <x v="1"/>
    <s v="C:\Users\andre\Desktop\REACTIV CEFAS\Saccharin\Saccharin/20201203_Cefas_Test8_Run3/Plate 1/@5/A5_02.tif "/>
    <s v=" 51630.5585 "/>
    <s v=" 40.7248 "/>
    <x v="0"/>
    <n v="2102642"/>
    <m/>
    <m/>
  </r>
  <r>
    <x v="9"/>
    <x v="1"/>
    <s v="C:\Users\andre\Desktop\REACTIV CEFAS\Saccharin\Saccharin/20201203_Cefas_Test8_Run3/Plate 1/@5/A5_03.tif "/>
    <s v=" 53836.8077 "/>
    <s v=" 43.4166 "/>
    <x v="0"/>
    <n v="2337413"/>
    <m/>
    <m/>
  </r>
  <r>
    <x v="9"/>
    <x v="2"/>
    <s v="C:\Users\andre\Desktop\REACTIV CEFAS\Saccharin\Saccharin/20201203_Cefas_Test8_Run3/Plate 1/@5/B5_01.tif "/>
    <s v=" 13410.5347 "/>
    <s v=" 33.5355 "/>
    <x v="0"/>
    <n v="449729"/>
    <m/>
    <m/>
  </r>
  <r>
    <x v="9"/>
    <x v="2"/>
    <s v="C:\Users\andre\Desktop\REACTIV CEFAS\Saccharin\Saccharin/20201203_Cefas_Test8_Run3/Plate 1/@5/B5_02.tif "/>
    <s v=" 11550.3637 "/>
    <s v=" 32.4888 "/>
    <x v="0"/>
    <n v="375257"/>
    <m/>
    <m/>
  </r>
  <r>
    <x v="9"/>
    <x v="2"/>
    <s v="C:\Users\andre\Desktop\REACTIV CEFAS\Saccharin\Saccharin/20201203_Cefas_Test8_Run3/Plate 1/@5/B5_03.tif "/>
    <s v=" 13345.645 "/>
    <s v=" 33.2998 "/>
    <x v="0"/>
    <n v="444408"/>
    <m/>
    <m/>
  </r>
  <r>
    <x v="9"/>
    <x v="3"/>
    <s v="C:\Users\andre\Desktop\REACTIV CEFAS\Saccharin\Saccharin/20201203_Cefas_Test8_Run3/Plate 1/@5/C5_01.tif "/>
    <s v=" 38998.7 "/>
    <s v=" 36.178 "/>
    <x v="0"/>
    <n v="1410896"/>
    <m/>
    <m/>
  </r>
  <r>
    <x v="9"/>
    <x v="3"/>
    <s v="C:\Users\andre\Desktop\REACTIV CEFAS\Saccharin\Saccharin/20201203_Cefas_Test8_Run3/Plate 1/@5/C5_02.tif "/>
    <s v=" 35170.2087 "/>
    <s v=" 35.8659 "/>
    <x v="0"/>
    <n v="1261412"/>
    <m/>
    <m/>
  </r>
  <r>
    <x v="9"/>
    <x v="3"/>
    <s v="C:\Users\andre\Desktop\REACTIV CEFAS\Saccharin\Saccharin/20201203_Cefas_Test8_Run3/Plate 1/@5/C5_03.tif "/>
    <s v=" 43432.8284 "/>
    <s v=" 38.3889 "/>
    <x v="0"/>
    <n v="1667340"/>
    <m/>
    <m/>
  </r>
  <r>
    <x v="9"/>
    <x v="4"/>
    <s v="C:\Users\andre\Desktop\REACTIV CEFAS\Saccharin\Saccharin/20201203_Cefas_Test8_Run3/Plate 1/@5/D5_01.tif "/>
    <s v=" 63656.7799 "/>
    <s v=" 47.6184 "/>
    <x v="0"/>
    <n v="3031235"/>
    <m/>
    <m/>
  </r>
  <r>
    <x v="9"/>
    <x v="4"/>
    <s v="C:\Users\andre\Desktop\REACTIV CEFAS\Saccharin\Saccharin/20201203_Cefas_Test8_Run3/Plate 1/@5/D5_02.tif "/>
    <s v=" 70362.0472 "/>
    <s v=" 46.7608 "/>
    <x v="0"/>
    <n v="3290188"/>
    <m/>
    <m/>
  </r>
  <r>
    <x v="9"/>
    <x v="4"/>
    <s v="C:\Users\andre\Desktop\REACTIV CEFAS\Saccharin\Saccharin/20201203_Cefas_Test8_Run3/Plate 1/@5/D5_03.tif "/>
    <s v=" 70491.8266 "/>
    <s v=" 47.8487 "/>
    <x v="0"/>
    <n v="3372944"/>
    <m/>
    <m/>
  </r>
  <r>
    <x v="9"/>
    <x v="5"/>
    <s v="C:\Users\andre\Desktop\REACTIV CEFAS\Saccharin\Saccharin/20201203_Cefas_Test8_Run3/Plate 1/@5/E5_01.tif "/>
    <s v=" 29827.6247 "/>
    <s v=" 35.5874 "/>
    <x v="0"/>
    <n v="1061487"/>
    <m/>
    <m/>
  </r>
  <r>
    <x v="9"/>
    <x v="5"/>
    <s v="C:\Users\andre\Desktop\REACTIV CEFAS\Saccharin\Saccharin/20201203_Cefas_Test8_Run3/Plate 1/@5/E5_02.tif "/>
    <s v=" 34283.383 "/>
    <s v=" 37.3155 "/>
    <x v="0"/>
    <n v="1279300"/>
    <m/>
    <m/>
  </r>
  <r>
    <x v="9"/>
    <x v="5"/>
    <s v="C:\Users\andre\Desktop\REACTIV CEFAS\Saccharin\Saccharin/20201203_Cefas_Test8_Run3/Plate 1/@5/E5_03.tif "/>
    <s v=" 42351.3337 "/>
    <s v=" 37.1103 "/>
    <x v="0"/>
    <n v="1571671"/>
    <m/>
    <m/>
  </r>
  <r>
    <x v="9"/>
    <x v="6"/>
    <s v="C:\Users\andre\Desktop\REACTIV CEFAS\Saccharin\Saccharin/20201203_Cefas_Test8_Run3/Plate 1/@5/F5_01.tif "/>
    <s v=" 50332.7648 "/>
    <s v=" 42.1723 "/>
    <x v="0"/>
    <n v="2122650"/>
    <m/>
    <m/>
  </r>
  <r>
    <x v="9"/>
    <x v="6"/>
    <s v="C:\Users\andre\Desktop\REACTIV CEFAS\Saccharin\Saccharin/20201203_Cefas_Test8_Run3/Plate 1/@5/F5_02.tif "/>
    <s v=" 45660.7076 "/>
    <s v=" 39.6774 "/>
    <x v="0"/>
    <n v="1811698"/>
    <m/>
    <m/>
  </r>
  <r>
    <x v="9"/>
    <x v="6"/>
    <s v="C:\Users\andre\Desktop\REACTIV CEFAS\Saccharin\Saccharin/20201203_Cefas_Test8_Run3/Plate 1/@5/F5_03.tif "/>
    <s v=" 46114.9353 "/>
    <s v=" 38.6454 "/>
    <x v="0"/>
    <n v="1782130"/>
    <m/>
    <m/>
  </r>
  <r>
    <x v="9"/>
    <x v="7"/>
    <s v="C:\Users\andre\Desktop\REACTIV CEFAS\Saccharin\Saccharin/20201203_Cefas_Test8_Run3/Plate 1/@5/G5_01.tif "/>
    <s v=" 4931.616 "/>
    <s v=" 32.8684 "/>
    <x v="0"/>
    <n v="162094"/>
    <m/>
    <m/>
  </r>
  <r>
    <x v="9"/>
    <x v="7"/>
    <s v="C:\Users\andre\Desktop\REACTIV CEFAS\Saccharin\Saccharin/20201203_Cefas_Test8_Run3/Plate 1/@5/G5_02.tif "/>
    <s v=" 11853.1823 "/>
    <s v=" 33.1113 "/>
    <x v="0"/>
    <n v="392474"/>
    <m/>
    <m/>
  </r>
  <r>
    <x v="9"/>
    <x v="7"/>
    <s v="C:\Users\andre\Desktop\REACTIV CEFAS\Saccharin\Saccharin/20201203_Cefas_Test8_Run3/Plate 1/@5/G5_03.tif "/>
    <s v=" 5277.6943 "/>
    <s v=" 32.9016 "/>
    <x v="0"/>
    <n v="173645"/>
    <m/>
    <m/>
  </r>
  <r>
    <x v="9"/>
    <x v="8"/>
    <s v="C:\Users\andre\Desktop\REACTIV CEFAS\Saccharin\Saccharin/20201203_Cefas_Test8_Run3/Plate 1/@5/H5_01.tif "/>
    <s v=" 32531.3615 "/>
    <s v=" 39.1257 "/>
    <x v="0"/>
    <n v="1272811"/>
    <m/>
    <m/>
  </r>
  <r>
    <x v="9"/>
    <x v="8"/>
    <s v="C:\Users\andre\Desktop\REACTIV CEFAS\Saccharin\Saccharin/20201203_Cefas_Test8_Run3/Plate 1/@5/H5_02.tif "/>
    <s v=" 28075.6032 "/>
    <s v=" 37.3259 "/>
    <x v="0"/>
    <n v="1047947"/>
    <m/>
    <m/>
  </r>
  <r>
    <x v="9"/>
    <x v="8"/>
    <s v="C:\Users\andre\Desktop\REACTIV CEFAS\Saccharin\Saccharin/20201203_Cefas_Test8_Run3/Plate 1/@5/H5_03.tif "/>
    <s v=" 28724.5001 "/>
    <s v=" 38.4413 "/>
    <x v="0"/>
    <n v="1104206"/>
    <m/>
    <m/>
  </r>
  <r>
    <x v="0"/>
    <x v="0"/>
    <s v=" "/>
    <m/>
    <m/>
    <x v="1"/>
    <m/>
    <m/>
    <m/>
  </r>
  <r>
    <x v="0"/>
    <x v="0"/>
    <s v="group "/>
    <s v=" "/>
    <s v=" mean of mean fluo "/>
    <x v="2"/>
    <s v=" mean of total fluo "/>
    <s v=" SD total fluo "/>
    <m/>
  </r>
  <r>
    <x v="9"/>
    <x v="9"/>
    <s v="C:\Users\andre\Desktop\REACTIV CEFAS\Saccharin\Saccharin/20201203_Cefas_Test8_Run3/Plate 1/@5/ "/>
    <s v=" "/>
    <s v=" 38.2897 "/>
    <x v="11"/>
    <s v=" 1480722.08 "/>
    <s v=" 931316.6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Saccharin\Saccharin/20201203_Cefas_Test8_Run3/Plate 1/@6/A6_01- exclu.tif"/>
    <m/>
    <m/>
    <x v="1"/>
    <m/>
    <m/>
    <m/>
  </r>
  <r>
    <x v="10"/>
    <x v="1"/>
    <s v="C:\Users\andre\Desktop\REACTIV CEFAS\Saccharin\Saccharin/20201203_Cefas_Test8_Run3/Plate 1/@6/A6_02- exclu.tif"/>
    <m/>
    <m/>
    <x v="1"/>
    <m/>
    <m/>
    <m/>
  </r>
  <r>
    <x v="10"/>
    <x v="1"/>
    <s v="C:\Users\andre\Desktop\REACTIV CEFAS\Saccharin\Saccharin/20201203_Cefas_Test8_Run3/Plate 1/@6/A6_03- exclu.tif"/>
    <m/>
    <m/>
    <x v="1"/>
    <m/>
    <m/>
    <m/>
  </r>
  <r>
    <x v="10"/>
    <x v="2"/>
    <s v="C:\Users\andre\Desktop\REACTIV CEFAS\Saccharin\Saccharin/20201203_Cefas_Test8_Run3/Plate 1/@6/B6_01.tif "/>
    <s v=" 49921.7968 "/>
    <s v=" 43.8544 "/>
    <x v="0"/>
    <n v="2189291"/>
    <m/>
    <m/>
  </r>
  <r>
    <x v="10"/>
    <x v="2"/>
    <s v="C:\Users\andre\Desktop\REACTIV CEFAS\Saccharin\Saccharin/20201203_Cefas_Test8_Run3/Plate 1/@6/B6_02.tif "/>
    <s v=" 49078.2309 "/>
    <s v=" 44.3795 "/>
    <x v="0"/>
    <n v="2178065"/>
    <m/>
    <m/>
  </r>
  <r>
    <x v="10"/>
    <x v="2"/>
    <s v="C:\Users\andre\Desktop\REACTIV CEFAS\Saccharin\Saccharin/20201203_Cefas_Test8_Run3/Plate 1/@6/B6_03.tif "/>
    <s v=" 48429.3341 "/>
    <s v=" 41.7517 "/>
    <x v="0"/>
    <n v="2022006"/>
    <m/>
    <m/>
  </r>
  <r>
    <x v="10"/>
    <x v="3"/>
    <s v="C:\Users\andre\Desktop\REACTIV CEFAS\Saccharin\Saccharin/20201203_Cefas_Test8_Run3/Plate 1/@6/C6_01.tif "/>
    <s v=" 69085.8834 "/>
    <s v=" 42.5914 "/>
    <x v="0"/>
    <n v="2942466"/>
    <m/>
    <m/>
  </r>
  <r>
    <x v="10"/>
    <x v="3"/>
    <s v="C:\Users\andre\Desktop\REACTIV CEFAS\Saccharin\Saccharin/20201203_Cefas_Test8_Run3/Plate 1/@6/C6_02.tif "/>
    <s v=" 50981.6616 "/>
    <s v=" 41.1039 "/>
    <x v="0"/>
    <n v="2095547"/>
    <m/>
    <m/>
  </r>
  <r>
    <x v="10"/>
    <x v="3"/>
    <s v="C:\Users\andre\Desktop\REACTIV CEFAS\Saccharin\Saccharin/20201203_Cefas_Test8_Run3/Plate 1/@6/C6_03.tif "/>
    <s v=" 63678.4098 "/>
    <s v=" 43.5428 "/>
    <x v="0"/>
    <n v="2772736"/>
    <m/>
    <m/>
  </r>
  <r>
    <x v="10"/>
    <x v="4"/>
    <s v="C:\Users\andre\Desktop\REACTIV CEFAS\Saccharin\Saccharin/20201203_Cefas_Test8_Run3/Plate 1/@6/D6_01.tif "/>
    <s v=" 46698.9425 "/>
    <s v=" 41.1149 "/>
    <x v="0"/>
    <n v="1920021"/>
    <m/>
    <m/>
  </r>
  <r>
    <x v="10"/>
    <x v="4"/>
    <s v="C:\Users\andre\Desktop\REACTIV CEFAS\Saccharin\Saccharin/20201203_Cefas_Test8_Run3/Plate 1/@6/D6_02.tif "/>
    <s v=" 40145.0844 "/>
    <s v=" 39.2247 "/>
    <x v="0"/>
    <n v="1574678"/>
    <m/>
    <m/>
  </r>
  <r>
    <x v="10"/>
    <x v="4"/>
    <s v="C:\Users\andre\Desktop\REACTIV CEFAS\Saccharin\Saccharin/20201203_Cefas_Test8_Run3/Plate 1/@6/D6_03.tif "/>
    <s v=" 40512.7926 "/>
    <s v=" 37.8484 "/>
    <x v="0"/>
    <n v="1533343"/>
    <m/>
    <m/>
  </r>
  <r>
    <x v="10"/>
    <x v="5"/>
    <s v="C:\Users\andre\Desktop\REACTIV CEFAS\Saccharin\Saccharin/20201203_Cefas_Test8_Run3/Plate 1/@6/E6_01.tif "/>
    <s v=" 58443.9753 "/>
    <s v=" 37.9915 "/>
    <x v="0"/>
    <n v="2220374"/>
    <m/>
    <m/>
  </r>
  <r>
    <x v="10"/>
    <x v="5"/>
    <s v="C:\Users\andre\Desktop\REACTIV CEFAS\Saccharin\Saccharin/20201203_Cefas_Test8_Run3/Plate 1/@6/E6_02.tif "/>
    <s v=" 68718.1752 "/>
    <s v=" 40.7044 "/>
    <x v="0"/>
    <n v="2797135"/>
    <m/>
    <m/>
  </r>
  <r>
    <x v="10"/>
    <x v="5"/>
    <s v="C:\Users\andre\Desktop\REACTIV CEFAS\Saccharin\Saccharin/20201203_Cefas_Test8_Run3/Plate 1/@6/E6_03.tif "/>
    <s v=" 69280.5525 "/>
    <s v=" 40.4889 "/>
    <x v="0"/>
    <n v="2805095"/>
    <m/>
    <m/>
  </r>
  <r>
    <x v="10"/>
    <x v="6"/>
    <s v="C:\Users\andre\Desktop\REACTIV CEFAS\Saccharin\Saccharin/20201203_Cefas_Test8_Run3/Plate 1/@6/F6_01.tif "/>
    <s v=" 48039.996 "/>
    <s v=" 40.8685 "/>
    <x v="0"/>
    <n v="1963324"/>
    <m/>
    <m/>
  </r>
  <r>
    <x v="10"/>
    <x v="6"/>
    <s v="C:\Users\andre\Desktop\REACTIV CEFAS\Saccharin\Saccharin/20201203_Cefas_Test8_Run3/Plate 1/@6/F6_02- exclu.tif"/>
    <m/>
    <m/>
    <x v="1"/>
    <m/>
    <m/>
    <m/>
  </r>
  <r>
    <x v="10"/>
    <x v="6"/>
    <s v="C:\Users\andre\Desktop\REACTIV CEFAS\Saccharin\Saccharin/20201203_Cefas_Test8_Run3/Plate 1/@6/F6_03- exclu.tif"/>
    <m/>
    <m/>
    <x v="1"/>
    <m/>
    <m/>
    <m/>
  </r>
  <r>
    <x v="10"/>
    <x v="7"/>
    <s v="C:\Users\andre\Desktop\REACTIV CEFAS\Saccharin\Saccharin/20201203_Cefas_Test8_Run3/Plate 1/@6/G6_01.tif "/>
    <s v=" 53620.5088 "/>
    <s v=" 43.8862 "/>
    <x v="0"/>
    <n v="2353203"/>
    <m/>
    <m/>
  </r>
  <r>
    <x v="10"/>
    <x v="7"/>
    <s v="C:\Users\andre\Desktop\REACTIV CEFAS\Saccharin\Saccharin/20201203_Cefas_Test8_Run3/Plate 1/@6/G6_02.tif "/>
    <s v=" 59287.5412 "/>
    <s v=" 43.9146 "/>
    <x v="0"/>
    <n v="2603590"/>
    <m/>
    <m/>
  </r>
  <r>
    <x v="10"/>
    <x v="7"/>
    <s v="C:\Users\andre\Desktop\REACTIV CEFAS\Saccharin\Saccharin/20201203_Cefas_Test8_Run3/Plate 1/@6/G6_03.tif "/>
    <s v=" 64846.4241 "/>
    <s v=" 45.1618 "/>
    <x v="0"/>
    <n v="2928580"/>
    <m/>
    <m/>
  </r>
  <r>
    <x v="10"/>
    <x v="8"/>
    <s v="C:\Users\andre\Desktop\REACTIV CEFAS\Saccharin\Saccharin/20201203_Cefas_Test8_Run3/Plate 1/@6/H6_01.tif "/>
    <s v=" 68328.8371 "/>
    <s v=" 49.4517 "/>
    <x v="0"/>
    <n v="3378979"/>
    <m/>
    <m/>
  </r>
  <r>
    <x v="10"/>
    <x v="8"/>
    <s v="C:\Users\andre\Desktop\REACTIV CEFAS\Saccharin\Saccharin/20201203_Cefas_Test8_Run3/Plate 1/@6/H6_02.tif "/>
    <s v=" 70708.1255 "/>
    <s v=" 52.1661 "/>
    <x v="0"/>
    <n v="3688568"/>
    <m/>
    <m/>
  </r>
  <r>
    <x v="10"/>
    <x v="8"/>
    <s v="C:\Users\andre\Desktop\REACTIV CEFAS\Saccharin\Saccharin/20201203_Cefas_Test8_Run3/Plate 1/@6/H6_03.tif "/>
    <s v=" 67636.6805 "/>
    <s v=" 50.6936 "/>
    <x v="0"/>
    <n v="3428749"/>
    <m/>
    <m/>
  </r>
  <r>
    <x v="0"/>
    <x v="0"/>
    <s v=" "/>
    <m/>
    <m/>
    <x v="1"/>
    <m/>
    <m/>
    <m/>
  </r>
  <r>
    <x v="0"/>
    <x v="0"/>
    <s v="group "/>
    <s v=" "/>
    <s v=" mean of mean fluo "/>
    <x v="2"/>
    <s v=" mean of total fluo "/>
    <s v=" SD total fluo "/>
    <m/>
  </r>
  <r>
    <x v="10"/>
    <x v="9"/>
    <s v="C:\Users\andre\Desktop\REACTIV CEFAS\Saccharin\Saccharin/20201203_Cefas_Test8_Run3/Plate 1/@6/ "/>
    <s v=" "/>
    <s v=" 36.9639 "/>
    <x v="12"/>
    <s v=" 1990627.17 "/>
    <s v=" 114342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Saccharin\Saccharin/20201203_Cefas_Test8_Run3/Plate 1/@7/A7_01.tif "/>
    <s v=" 69215.6628 "/>
    <s v=" 48.2559 "/>
    <x v="0"/>
    <n v="3340067"/>
    <m/>
    <m/>
  </r>
  <r>
    <x v="11"/>
    <x v="1"/>
    <s v="C:\Users\andre\Desktop\REACTIV CEFAS\Saccharin\Saccharin/20201203_Cefas_Test8_Run3/Plate 1/@7/A7_02.tif "/>
    <s v=" 69778.0401 "/>
    <s v=" 52.4709 "/>
    <x v="0"/>
    <n v="3661314"/>
    <m/>
    <m/>
  </r>
  <r>
    <x v="11"/>
    <x v="1"/>
    <s v="C:\Users\andre\Desktop\REACTIV CEFAS\Saccharin\Saccharin/20201203_Cefas_Test8_Run3/Plate 1/@7/A7_03.tif "/>
    <s v=" 64630.1252 "/>
    <s v=" 51.2784 "/>
    <x v="0"/>
    <n v="3314132"/>
    <m/>
    <m/>
  </r>
  <r>
    <x v="11"/>
    <x v="2"/>
    <s v="C:\Users\andre\Desktop\REACTIV CEFAS\Saccharin\Saccharin/20201203_Cefas_Test8_Run3/Plate 1/@7/B7_01.tif "/>
    <s v=" 63397.2212 "/>
    <s v=" 50.6977 "/>
    <x v="0"/>
    <n v="3214094"/>
    <m/>
    <m/>
  </r>
  <r>
    <x v="11"/>
    <x v="2"/>
    <s v="C:\Users\andre\Desktop\REACTIV CEFAS\Saccharin\Saccharin/20201203_Cefas_Test8_Run3/Plate 1/@7/B7_02.tif "/>
    <s v=" 72676.446 "/>
    <s v=" 53.847 "/>
    <x v="0"/>
    <n v="3913410"/>
    <m/>
    <m/>
  </r>
  <r>
    <x v="11"/>
    <x v="2"/>
    <s v="C:\Users\andre\Desktop\REACTIV CEFAS\Saccharin\Saccharin/20201203_Cefas_Test8_Run3/Plate 1/@7/B7_03.tif "/>
    <s v=" 66641.7054 "/>
    <s v=" 50.2821 "/>
    <x v="0"/>
    <n v="3350882"/>
    <m/>
    <m/>
  </r>
  <r>
    <x v="11"/>
    <x v="3"/>
    <s v="C:\Users\andre\Desktop\REACTIV CEFAS\Saccharin\Saccharin/20201203_Cefas_Test8_Run3/Plate 1/@7/C7_01- exclu.tif"/>
    <m/>
    <m/>
    <x v="1"/>
    <m/>
    <m/>
    <m/>
  </r>
  <r>
    <x v="11"/>
    <x v="3"/>
    <s v="C:\Users\andre\Desktop\REACTIV CEFAS\Saccharin\Saccharin/20201203_Cefas_Test8_Run3/Plate 1/@7/C7_02- exclu.tif"/>
    <m/>
    <m/>
    <x v="1"/>
    <m/>
    <m/>
    <m/>
  </r>
  <r>
    <x v="11"/>
    <x v="3"/>
    <s v="C:\Users\andre\Desktop\REACTIV CEFAS\Saccharin\Saccharin/20201203_Cefas_Test8_Run3/Plate 1/@7/C7_03- exclu.tif"/>
    <m/>
    <m/>
    <x v="1"/>
    <m/>
    <m/>
    <m/>
  </r>
  <r>
    <x v="11"/>
    <x v="4"/>
    <s v="C:\Users\andre\Desktop\REACTIV CEFAS\Saccharin\Saccharin/20201203_Cefas_Test8_Run3/Plate 1/@7/D7_01.tif "/>
    <s v=" 103109.708 "/>
    <s v=" 56.1091 "/>
    <x v="0"/>
    <n v="5785391"/>
    <m/>
    <m/>
  </r>
  <r>
    <x v="11"/>
    <x v="4"/>
    <s v="C:\Users\andre\Desktop\REACTIV CEFAS\Saccharin\Saccharin/20201203_Cefas_Test8_Run3/Plate 1/@7/D7_02.tif "/>
    <s v=" 95258.0559 "/>
    <s v=" 52.2448 "/>
    <x v="0"/>
    <n v="4976736"/>
    <m/>
    <m/>
  </r>
  <r>
    <x v="11"/>
    <x v="4"/>
    <s v="C:\Users\andre\Desktop\REACTIV CEFAS\Saccharin\Saccharin/20201203_Cefas_Test8_Run3/Plate 1/@7/D7_03.tif "/>
    <s v=" 94003.5221 "/>
    <s v=" 54.488 "/>
    <x v="0"/>
    <n v="5122067"/>
    <m/>
    <m/>
  </r>
  <r>
    <x v="11"/>
    <x v="5"/>
    <s v="C:\Users\andre\Desktop\REACTIV CEFAS\Saccharin\Saccharin/20201203_Cefas_Test8_Run3/Plate 1/@7/E7_01.tif "/>
    <s v=" 65452.0611 "/>
    <s v=" 56.2445 "/>
    <x v="0"/>
    <n v="3681322"/>
    <m/>
    <m/>
  </r>
  <r>
    <x v="11"/>
    <x v="5"/>
    <s v="C:\Users\andre\Desktop\REACTIV CEFAS\Saccharin\Saccharin/20201203_Cefas_Test8_Run3/Plate 1/@7/E7_02- exclu.tif"/>
    <m/>
    <m/>
    <x v="1"/>
    <m/>
    <m/>
    <m/>
  </r>
  <r>
    <x v="11"/>
    <x v="5"/>
    <s v="C:\Users\andre\Desktop\REACTIV CEFAS\Saccharin\Saccharin/20201203_Cefas_Test8_Run3/Plate 1/@7/E7_03- exclu.tif"/>
    <m/>
    <m/>
    <x v="1"/>
    <m/>
    <m/>
    <m/>
  </r>
  <r>
    <x v="11"/>
    <x v="6"/>
    <s v="C:\Users\andre\Desktop\REACTIV CEFAS\Saccharin\Saccharin/20201203_Cefas_Test8_Run3/Plate 1/@7/F7_01.tif "/>
    <s v=" 96772.1486 "/>
    <s v=" 53.5255 "/>
    <x v="0"/>
    <n v="5179776"/>
    <m/>
    <m/>
  </r>
  <r>
    <x v="11"/>
    <x v="6"/>
    <s v="C:\Users\andre\Desktop\REACTIV CEFAS\Saccharin\Saccharin/20201203_Cefas_Test8_Run3/Plate 1/@7/F7_02.tif "/>
    <s v=" 91537.7141 "/>
    <s v=" 52.8774 "/>
    <x v="0"/>
    <n v="4840273"/>
    <m/>
    <m/>
  </r>
  <r>
    <x v="11"/>
    <x v="6"/>
    <s v="C:\Users\andre\Desktop\REACTIV CEFAS\Saccharin\Saccharin/20201203_Cefas_Test8_Run3/Plate 1/@7/F7_03.tif "/>
    <s v=" 95733.9136 "/>
    <s v=" 57.8681 "/>
    <x v="0"/>
    <n v="5539935"/>
    <m/>
    <m/>
  </r>
  <r>
    <x v="11"/>
    <x v="7"/>
    <s v="C:\Users\andre\Desktop\REACTIV CEFAS\Saccharin\Saccharin/20201203_Cefas_Test8_Run3/Plate 1/@7/G7_01.tif "/>
    <s v=" 85676.0126 "/>
    <s v=" 51.7251 "/>
    <x v="0"/>
    <n v="4431598"/>
    <m/>
    <m/>
  </r>
  <r>
    <x v="11"/>
    <x v="7"/>
    <s v="C:\Users\andre\Desktop\REACTIV CEFAS\Saccharin\Saccharin/20201203_Cefas_Test8_Run3/Plate 1/@7/G7_02.tif "/>
    <s v=" 83426.5036 "/>
    <s v=" 53.8652 "/>
    <x v="0"/>
    <n v="4493784"/>
    <m/>
    <m/>
  </r>
  <r>
    <x v="11"/>
    <x v="7"/>
    <s v="C:\Users\andre\Desktop\REACTIV CEFAS\Saccharin\Saccharin/20201203_Cefas_Test8_Run3/Plate 1/@7/G7_03.tif "/>
    <s v=" 97507.565 "/>
    <s v=" 53.7695 "/>
    <x v="0"/>
    <n v="5242935"/>
    <m/>
    <m/>
  </r>
  <r>
    <x v="11"/>
    <x v="8"/>
    <s v="C:\Users\andre\Desktop\REACTIV CEFAS\Saccharin\Saccharin/20201203_Cefas_Test8_Run3/Plate 1/@7/H7_01.tif "/>
    <s v=" 85762.5322 "/>
    <s v=" 55.4207 "/>
    <x v="0"/>
    <n v="4753018"/>
    <m/>
    <m/>
  </r>
  <r>
    <x v="11"/>
    <x v="8"/>
    <s v="C:\Users\andre\Desktop\REACTIV CEFAS\Saccharin\Saccharin/20201203_Cefas_Test8_Run3/Plate 1/@7/H7_02.tif "/>
    <s v=" 88531.1587 "/>
    <s v=" 55.0667 "/>
    <x v="0"/>
    <n v="4875119"/>
    <m/>
    <m/>
  </r>
  <r>
    <x v="11"/>
    <x v="8"/>
    <s v="C:\Users\andre\Desktop\REACTIV CEFAS\Saccharin\Saccharin/20201203_Cefas_Test8_Run3/Plate 1/@7/H7_03.tif "/>
    <s v=" 88898.8669 "/>
    <s v=" 55.0056 "/>
    <x v="0"/>
    <n v="4889935"/>
    <m/>
    <m/>
  </r>
  <r>
    <x v="0"/>
    <x v="0"/>
    <s v=" "/>
    <m/>
    <m/>
    <x v="1"/>
    <m/>
    <m/>
    <m/>
  </r>
  <r>
    <x v="0"/>
    <x v="0"/>
    <s v="group "/>
    <s v=" "/>
    <s v=" mean of mean fluo "/>
    <x v="2"/>
    <s v=" mean of total fluo "/>
    <s v=" SD total fluo "/>
    <m/>
  </r>
  <r>
    <x v="11"/>
    <x v="9"/>
    <s v="C:\Users\andre\Desktop\REACTIV CEFAS\Saccharin\Saccharin/20201203_Cefas_Test8_Run3/Plate 1/@7/ "/>
    <s v=" "/>
    <s v=" 53.4539 "/>
    <x v="13"/>
    <s v=" 4187836.92 "/>
    <s v=" 909734.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Saccharin\Saccharin/20201203_Cefas_Test8_Run3/Plate 3/@10/A4_01.tif "/>
    <s v=" 4412.4985 "/>
    <s v=" 33.6912 "/>
    <x v="0"/>
    <n v="148662"/>
    <m/>
    <m/>
  </r>
  <r>
    <x v="12"/>
    <x v="1"/>
    <s v="C:\Users\andre\Desktop\REACTIV CEFAS\Saccharin\Saccharin/20201203_Cefas_Test8_Run3/Plate 3/@10/A4_02.tif "/>
    <s v=" 3698.712 "/>
    <s v=" 33.8246 "/>
    <x v="0"/>
    <n v="125107"/>
    <m/>
    <m/>
  </r>
  <r>
    <x v="12"/>
    <x v="1"/>
    <s v="C:\Users\andre\Desktop\REACTIV CEFAS\Saccharin\Saccharin/20201203_Cefas_Test8_Run3/Plate 3/@10/A4_03.tif "/>
    <s v=" 3979.9006 "/>
    <s v=" 35.875 "/>
    <x v="0"/>
    <n v="142779"/>
    <m/>
    <m/>
  </r>
  <r>
    <x v="12"/>
    <x v="2"/>
    <s v="C:\Users\andre\Desktop\REACTIV CEFAS\Saccharin\Saccharin/20201203_Cefas_Test8_Run3/Plate 3/@10/B4_01.tif "/>
    <s v=" 3157.9646 "/>
    <s v=" 35.1507 "/>
    <x v="0"/>
    <n v="111005"/>
    <m/>
    <m/>
  </r>
  <r>
    <x v="12"/>
    <x v="2"/>
    <s v="C:\Users\andre\Desktop\REACTIV CEFAS\Saccharin\Saccharin/20201203_Cefas_Test8_Run3/Plate 3/@10/B4_02.tif "/>
    <s v=" 10858.2071 "/>
    <s v=" 37.3207 "/>
    <x v="0"/>
    <n v="405236"/>
    <m/>
    <m/>
  </r>
  <r>
    <x v="12"/>
    <x v="2"/>
    <s v="C:\Users\andre\Desktop\REACTIV CEFAS\Saccharin\Saccharin/20201203_Cefas_Test8_Run3/Plate 3/@10/B4_03.tif "/>
    <s v=" 8846.6269 "/>
    <s v=" 36.3056 "/>
    <x v="0"/>
    <n v="321182"/>
    <m/>
    <m/>
  </r>
  <r>
    <x v="12"/>
    <x v="3"/>
    <s v="C:\Users\andre\Desktop\REACTIV CEFAS\Saccharin\Saccharin/20201203_Cefas_Test8_Run3/Plate 3/@10/C4_01.tif "/>
    <s v=" 10382.3494 "/>
    <s v=" 43.2313 "/>
    <x v="0"/>
    <n v="448842"/>
    <m/>
    <m/>
  </r>
  <r>
    <x v="12"/>
    <x v="3"/>
    <s v="C:\Users\andre\Desktop\REACTIV CEFAS\Saccharin\Saccharin/20201203_Cefas_Test8_Run3/Plate 3/@10/C4_02- exclu.tif"/>
    <m/>
    <m/>
    <x v="1"/>
    <m/>
    <m/>
    <m/>
  </r>
  <r>
    <x v="12"/>
    <x v="3"/>
    <s v="C:\Users\andre\Desktop\REACTIV CEFAS\Saccharin\Saccharin/20201203_Cefas_Test8_Run3/Plate 3/@10/C4_03.tif "/>
    <s v=" 9884.8618 "/>
    <s v=" 44.1707 "/>
    <x v="0"/>
    <n v="436621"/>
    <m/>
    <m/>
  </r>
  <r>
    <x v="12"/>
    <x v="4"/>
    <s v="C:\Users\andre\Desktop\REACTIV CEFAS\Saccharin\Saccharin/20201203_Cefas_Test8_Run3/Plate 3/@10/D4_01- exclu.tif"/>
    <m/>
    <m/>
    <x v="1"/>
    <m/>
    <m/>
    <m/>
  </r>
  <r>
    <x v="12"/>
    <x v="4"/>
    <s v="C:\Users\andre\Desktop\REACTIV CEFAS\Saccharin\Saccharin/20201203_Cefas_Test8_Run3/Plate 3/@10/D4_02- exclu.tif"/>
    <m/>
    <m/>
    <x v="1"/>
    <m/>
    <m/>
    <m/>
  </r>
  <r>
    <x v="12"/>
    <x v="4"/>
    <s v="C:\Users\andre\Desktop\REACTIV CEFAS\Saccharin\Saccharin/20201203_Cefas_Test8_Run3/Plate 3/@10/D4_03- exclu.tif"/>
    <m/>
    <m/>
    <x v="1"/>
    <m/>
    <m/>
    <m/>
  </r>
  <r>
    <x v="12"/>
    <x v="5"/>
    <s v="C:\Users\andre\Desktop\REACTIV CEFAS\Saccharin\Saccharin/20201203_Cefas_Test8_Run3/Plate 3/@10/E4_01.tif "/>
    <s v=" 9603.6732 "/>
    <s v=" 42.473 "/>
    <x v="0"/>
    <n v="407897"/>
    <m/>
    <m/>
  </r>
  <r>
    <x v="12"/>
    <x v="5"/>
    <s v="C:\Users\andre\Desktop\REACTIV CEFAS\Saccharin\Saccharin/20201203_Cefas_Test8_Run3/Plate 3/@10/E4_02- exclu.tif"/>
    <m/>
    <m/>
    <x v="1"/>
    <m/>
    <m/>
    <m/>
  </r>
  <r>
    <x v="12"/>
    <x v="5"/>
    <s v="C:\Users\andre\Desktop\REACTIV CEFAS\Saccharin\Saccharin/20201203_Cefas_Test8_Run3/Plate 3/@10/E4_03- exclu.tif"/>
    <m/>
    <m/>
    <x v="1"/>
    <m/>
    <m/>
    <m/>
  </r>
  <r>
    <x v="12"/>
    <x v="6"/>
    <s v="C:\Users\andre\Desktop\REACTIV CEFAS\Saccharin\Saccharin/20201203_Cefas_Test8_Run3/Plate 3/@10/F4_01.tif "/>
    <s v=" 2227.8791 "/>
    <s v=" 33.4369 "/>
    <x v="0"/>
    <n v="74493"/>
    <m/>
    <m/>
  </r>
  <r>
    <x v="12"/>
    <x v="6"/>
    <s v="C:\Users\andre\Desktop\REACTIV CEFAS\Saccharin\Saccharin/20201203_Cefas_Test8_Run3/Plate 3/@10/F4_02.tif "/>
    <s v=" 5212.8046 "/>
    <s v=" 41.0954 "/>
    <x v="0"/>
    <n v="214222"/>
    <m/>
    <m/>
  </r>
  <r>
    <x v="12"/>
    <x v="6"/>
    <s v="C:\Users\andre\Desktop\REACTIV CEFAS\Saccharin\Saccharin/20201203_Cefas_Test8_Run3/Plate 3/@10/F4_03.tif "/>
    <s v=" 4066.4202 "/>
    <s v=" 36.1489 "/>
    <x v="0"/>
    <n v="146997"/>
    <m/>
    <m/>
  </r>
  <r>
    <x v="12"/>
    <x v="7"/>
    <s v="C:\Users\andre\Desktop\REACTIV CEFAS\Saccharin\Saccharin/20201203_Cefas_Test8_Run3/Plate 3/@10/G4_01- exclu.tif"/>
    <m/>
    <m/>
    <x v="1"/>
    <m/>
    <m/>
    <m/>
  </r>
  <r>
    <x v="12"/>
    <x v="7"/>
    <s v="C:\Users\andre\Desktop\REACTIV CEFAS\Saccharin\Saccharin/20201203_Cefas_Test8_Run3/Plate 3/@10/G4_02- exclu.tif"/>
    <m/>
    <m/>
    <x v="1"/>
    <m/>
    <m/>
    <m/>
  </r>
  <r>
    <x v="12"/>
    <x v="7"/>
    <s v="C:\Users\andre\Desktop\REACTIV CEFAS\Saccharin\Saccharin/20201203_Cefas_Test8_Run3/Plate 3/@10/G4_03- exclu.tif"/>
    <m/>
    <m/>
    <x v="1"/>
    <m/>
    <m/>
    <m/>
  </r>
  <r>
    <x v="12"/>
    <x v="8"/>
    <s v="C:\Users\andre\Desktop\REACTIV CEFAS\Saccharin\Saccharin/20201203_Cefas_Test8_Run3/Plate 3/@10/H4_01.tif "/>
    <s v=" 1189.6442 "/>
    <s v=" 31.8182 "/>
    <x v="0"/>
    <n v="37852"/>
    <m/>
    <m/>
  </r>
  <r>
    <x v="12"/>
    <x v="8"/>
    <s v="C:\Users\andre\Desktop\REACTIV CEFAS\Saccharin\Saccharin/20201203_Cefas_Test8_Run3/Plate 3/@10/H4_02.tif "/>
    <s v=" 454.2278 "/>
    <s v=" 32.2381 "/>
    <x v="0"/>
    <n v="14643"/>
    <m/>
    <m/>
  </r>
  <r>
    <x v="12"/>
    <x v="8"/>
    <s v="C:\Users\andre\Desktop\REACTIV CEFAS\Saccharin\Saccharin/20201203_Cefas_Test8_Run3/Plate 3/@10/H4_03.tif "/>
    <s v=" 908.4556 "/>
    <s v=" 34.619 "/>
    <x v="0"/>
    <n v="31450"/>
    <m/>
    <m/>
  </r>
  <r>
    <x v="0"/>
    <x v="0"/>
    <s v=" "/>
    <m/>
    <m/>
    <x v="1"/>
    <m/>
    <m/>
    <m/>
  </r>
  <r>
    <x v="0"/>
    <x v="0"/>
    <s v="group "/>
    <s v=" "/>
    <s v=" mean of mean fluo "/>
    <x v="2"/>
    <s v=" mean of total fluo "/>
    <s v=" SD total fluo "/>
    <m/>
  </r>
  <r>
    <x v="12"/>
    <x v="9"/>
    <s v="C:\Users\andre\Desktop\REACTIV CEFAS\Saccharin\Saccharin/20201203_Cefas_Test8_Run3/Plate 3/@10/ "/>
    <s v=" "/>
    <s v=" 30.4823 "/>
    <x v="14"/>
    <s v=" 195765.833 "/>
    <s v=" 185725.966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Saccharin\Saccharin/20201203_Cefas_Test8_Run3/Plate 3/@11/A5_01.tif "/>
    <s v=" 9841.6021 "/>
    <s v=" 41.9275 "/>
    <x v="0"/>
    <n v="412633"/>
    <m/>
    <m/>
  </r>
  <r>
    <x v="13"/>
    <x v="1"/>
    <s v="C:\Users\andre\Desktop\REACTIV CEFAS\Saccharin\Saccharin/20201203_Cefas_Test8_Run3/Plate 3/@11/A5_02.tif "/>
    <s v=" 3936.6408 "/>
    <s v=" 35.8736 "/>
    <x v="0"/>
    <n v="141222"/>
    <m/>
    <m/>
  </r>
  <r>
    <x v="13"/>
    <x v="1"/>
    <s v="C:\Users\andre\Desktop\REACTIV CEFAS\Saccharin\Saccharin/20201203_Cefas_Test8_Run3/Plate 3/@11/A5_03.tif "/>
    <s v=" 5083.0252 "/>
    <s v=" 38.5787 "/>
    <x v="0"/>
    <n v="196097"/>
    <m/>
    <m/>
  </r>
  <r>
    <x v="13"/>
    <x v="2"/>
    <s v="C:\Users\andre\Desktop\REACTIV CEFAS\Saccharin\Saccharin/20201203_Cefas_Test8_Run3/Plate 3/@11/B5_01.tif "/>
    <s v=" 10252.5701 "/>
    <s v=" 39.7743 "/>
    <x v="0"/>
    <n v="407788"/>
    <m/>
    <m/>
  </r>
  <r>
    <x v="13"/>
    <x v="2"/>
    <s v="C:\Users\andre\Desktop\REACTIV CEFAS\Saccharin\Saccharin/20201203_Cefas_Test8_Run3/Plate 3/@11/B5_02- exclu.tif"/>
    <m/>
    <m/>
    <x v="1"/>
    <m/>
    <m/>
    <m/>
  </r>
  <r>
    <x v="13"/>
    <x v="2"/>
    <s v="C:\Users\andre\Desktop\REACTIV CEFAS\Saccharin\Saccharin/20201203_Cefas_Test8_Run3/Plate 3/@11/B5_03.tif "/>
    <s v=" 3568.9326 "/>
    <s v=" 31.8 "/>
    <x v="0"/>
    <n v="113492"/>
    <m/>
    <m/>
  </r>
  <r>
    <x v="13"/>
    <x v="3"/>
    <s v="C:\Users\andre\Desktop\REACTIV CEFAS\Saccharin\Saccharin/20201203_Cefas_Test8_Run3/Plate 3/@11/C5_01- exclu.tif"/>
    <m/>
    <m/>
    <x v="1"/>
    <m/>
    <m/>
    <m/>
  </r>
  <r>
    <x v="13"/>
    <x v="3"/>
    <s v="C:\Users\andre\Desktop\REACTIV CEFAS\Saccharin\Saccharin/20201203_Cefas_Test8_Run3/Plate 3/@11/C5_02- exclu.tif"/>
    <m/>
    <m/>
    <x v="1"/>
    <m/>
    <m/>
    <m/>
  </r>
  <r>
    <x v="13"/>
    <x v="3"/>
    <s v="C:\Users\andre\Desktop\REACTIV CEFAS\Saccharin\Saccharin/20201203_Cefas_Test8_Run3/Plate 3/@11/C5_03- exclu.tif"/>
    <m/>
    <m/>
    <x v="1"/>
    <m/>
    <m/>
    <m/>
  </r>
  <r>
    <x v="13"/>
    <x v="4"/>
    <s v="C:\Users\andre\Desktop\REACTIV CEFAS\Saccharin\Saccharin/20201203_Cefas_Test8_Run3/Plate 3/@11/D5_01.tif "/>
    <s v=" 1146.3844 "/>
    <s v=" 32.1887 "/>
    <x v="0"/>
    <n v="36901"/>
    <m/>
    <m/>
  </r>
  <r>
    <x v="13"/>
    <x v="4"/>
    <s v="C:\Users\andre\Desktop\REACTIV CEFAS\Saccharin\Saccharin/20201203_Cefas_Test8_Run3/Plate 3/@11/D5_02.tif "/>
    <s v=" 5277.6943 "/>
    <s v=" 39.9385 "/>
    <x v="0"/>
    <n v="210783"/>
    <m/>
    <m/>
  </r>
  <r>
    <x v="13"/>
    <x v="4"/>
    <s v="C:\Users\andre\Desktop\REACTIV CEFAS\Saccharin\Saccharin/20201203_Cefas_Test8_Run3/Plate 3/@11/D5_03.tif "/>
    <s v=" 1384.3133 "/>
    <s v=" 33.5469 "/>
    <x v="0"/>
    <n v="46439"/>
    <m/>
    <m/>
  </r>
  <r>
    <x v="13"/>
    <x v="5"/>
    <s v="C:\Users\andre\Desktop\REACTIV CEFAS\Saccharin\Saccharin/20201203_Cefas_Test8_Run3/Plate 3/@11/E5_01.tif "/>
    <s v=" 6207.7798 "/>
    <s v=" 35.3937 "/>
    <x v="0"/>
    <n v="219716"/>
    <m/>
    <m/>
  </r>
  <r>
    <x v="13"/>
    <x v="5"/>
    <s v="C:\Users\andre\Desktop\REACTIV CEFAS\Saccharin\Saccharin/20201203_Cefas_Test8_Run3/Plate 3/@11/E5_02.tif "/>
    <s v=" 9906.4917 "/>
    <s v=" 44.9061 "/>
    <x v="0"/>
    <n v="444862"/>
    <m/>
    <m/>
  </r>
  <r>
    <x v="13"/>
    <x v="5"/>
    <s v="C:\Users\andre\Desktop\REACTIV CEFAS\Saccharin\Saccharin/20201203_Cefas_Test8_Run3/Plate 3/@11/E5_03.tif "/>
    <s v=" 9041.296 "/>
    <s v=" 38.7033 "/>
    <x v="0"/>
    <n v="349928"/>
    <m/>
    <m/>
  </r>
  <r>
    <x v="13"/>
    <x v="6"/>
    <s v="C:\Users\andre\Desktop\REACTIV CEFAS\Saccharin\Saccharin/20201203_Cefas_Test8_Run3/Plate 3/@11/F5_01.tif "/>
    <s v=" 6835.0467 "/>
    <s v=" 38.8449 "/>
    <x v="0"/>
    <n v="265507"/>
    <m/>
    <m/>
  </r>
  <r>
    <x v="13"/>
    <x v="6"/>
    <s v="C:\Users\andre\Desktop\REACTIV CEFAS\Saccharin\Saccharin/20201203_Cefas_Test8_Run3/Plate 3/@11/F5_02.tif "/>
    <s v=" 3244.4842 "/>
    <s v=" 34.42 "/>
    <x v="0"/>
    <n v="111675"/>
    <m/>
    <m/>
  </r>
  <r>
    <x v="13"/>
    <x v="6"/>
    <s v="C:\Users\andre\Desktop\REACTIV CEFAS\Saccharin\Saccharin/20201203_Cefas_Test8_Run3/Plate 3/@11/F5_03.tif "/>
    <s v=" 2573.9575 "/>
    <s v=" 33.0924 "/>
    <x v="0"/>
    <n v="85179"/>
    <m/>
    <m/>
  </r>
  <r>
    <x v="13"/>
    <x v="7"/>
    <s v="C:\Users\andre\Desktop\REACTIV CEFAS\Saccharin\Saccharin/20201203_Cefas_Test8_Run3/Plate 3/@11/G5_01.tif "/>
    <s v=" 3590.5625 "/>
    <s v=" 35.4639 "/>
    <x v="0"/>
    <n v="127335"/>
    <m/>
    <m/>
  </r>
  <r>
    <x v="13"/>
    <x v="7"/>
    <s v="C:\Users\andre\Desktop\REACTIV CEFAS\Saccharin\Saccharin/20201203_Cefas_Test8_Run3/Plate 3/@11/G5_02.tif "/>
    <s v=" 6748.5271 "/>
    <s v=" 36.3269 "/>
    <x v="0"/>
    <n v="245153"/>
    <m/>
    <m/>
  </r>
  <r>
    <x v="13"/>
    <x v="7"/>
    <s v="C:\Users\andre\Desktop\REACTIV CEFAS\Saccharin\Saccharin/20201203_Cefas_Test8_Run3/Plate 3/@11/G5_03.tif "/>
    <s v=" 1514.0926 "/>
    <s v=" 32.2286 "/>
    <x v="0"/>
    <n v="48797"/>
    <m/>
    <m/>
  </r>
  <r>
    <x v="13"/>
    <x v="8"/>
    <s v="C:\Users\andre\Desktop\REACTIV CEFAS\Saccharin\Saccharin/20201203_Cefas_Test8_Run3/Plate 3/@11/H5_01.tif "/>
    <n v="0"/>
    <n v="0"/>
    <x v="0"/>
    <n v="0"/>
    <m/>
    <m/>
  </r>
  <r>
    <x v="13"/>
    <x v="8"/>
    <s v="C:\Users\andre\Desktop\REACTIV CEFAS\Saccharin\Saccharin/20201203_Cefas_Test8_Run3/Plate 3/@11/H5_02.tif "/>
    <n v="0"/>
    <n v="0"/>
    <x v="0"/>
    <n v="0"/>
    <m/>
    <m/>
  </r>
  <r>
    <x v="13"/>
    <x v="8"/>
    <s v="C:\Users\andre\Desktop\REACTIV CEFAS\Saccharin\Saccharin/20201203_Cefas_Test8_Run3/Plate 3/@11/H5_03.tif "/>
    <n v="0"/>
    <n v="0"/>
    <x v="0"/>
    <n v="0"/>
    <m/>
    <m/>
  </r>
  <r>
    <x v="0"/>
    <x v="0"/>
    <s v=" "/>
    <m/>
    <m/>
    <x v="1"/>
    <m/>
    <m/>
    <m/>
  </r>
  <r>
    <x v="0"/>
    <x v="0"/>
    <s v="group "/>
    <s v=" "/>
    <s v=" mean of mean fluo "/>
    <x v="2"/>
    <s v=" mean of total fluo "/>
    <s v=" SD total fluo "/>
    <m/>
  </r>
  <r>
    <x v="13"/>
    <x v="9"/>
    <s v="C:\Users\andre\Desktop\REACTIV CEFAS\Saccharin\Saccharin/20201203_Cefas_Test8_Run3/Plate 3/@11/ "/>
    <s v=" "/>
    <s v=" 32.7104 "/>
    <x v="15"/>
    <s v=" 211127.542 "/>
    <s v=" 184922.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Saccharin\Saccharin/20201203_Cefas_Test8_Run3/Plate 3/@12/A6_01- exclu.tif"/>
    <m/>
    <m/>
    <x v="1"/>
    <m/>
    <m/>
    <m/>
  </r>
  <r>
    <x v="14"/>
    <x v="1"/>
    <s v="C:\Users\andre\Desktop\REACTIV CEFAS\Saccharin\Saccharin/20201203_Cefas_Test8_Run3/Plate 3/@12/A6_02.tif "/>
    <s v=" 9603.6732 "/>
    <s v=" 37.8243 "/>
    <x v="0"/>
    <n v="363252"/>
    <m/>
    <m/>
  </r>
  <r>
    <x v="14"/>
    <x v="1"/>
    <s v="C:\Users\andre\Desktop\REACTIV CEFAS\Saccharin\Saccharin/20201203_Cefas_Test8_Run3/Plate 3/@12/A6_03- exclu.tif"/>
    <m/>
    <m/>
    <x v="1"/>
    <m/>
    <m/>
    <m/>
  </r>
  <r>
    <x v="14"/>
    <x v="2"/>
    <s v="C:\Users\andre\Desktop\REACTIV CEFAS\Saccharin\Saccharin/20201203_Cefas_Test8_Run3/Plate 3/@12/B6_01.tif "/>
    <n v="0"/>
    <n v="0"/>
    <x v="0"/>
    <n v="0"/>
    <m/>
    <m/>
  </r>
  <r>
    <x v="14"/>
    <x v="2"/>
    <s v="C:\Users\andre\Desktop\REACTIV CEFAS\Saccharin\Saccharin/20201203_Cefas_Test8_Run3/Plate 3/@12/B6_02.tif "/>
    <s v=" 8435.6589 "/>
    <s v=" 38.3128 "/>
    <x v="0"/>
    <n v="323194"/>
    <m/>
    <m/>
  </r>
  <r>
    <x v="14"/>
    <x v="2"/>
    <s v="C:\Users\andre\Desktop\REACTIV CEFAS\Saccharin\Saccharin/20201203_Cefas_Test8_Run3/Plate 3/@12/B6_03- exclu.tif"/>
    <m/>
    <m/>
    <x v="1"/>
    <m/>
    <m/>
    <m/>
  </r>
  <r>
    <x v="14"/>
    <x v="3"/>
    <s v="C:\Users\andre\Desktop\REACTIV CEFAS\Saccharin\Saccharin/20201203_Cefas_Test8_Run3/Plate 3/@12/C6_01.tif "/>
    <s v=" 12826.5275 "/>
    <s v=" 49.6813 "/>
    <x v="0"/>
    <n v="637238"/>
    <m/>
    <m/>
  </r>
  <r>
    <x v="14"/>
    <x v="3"/>
    <s v="C:\Users\andre\Desktop\REACTIV CEFAS\Saccharin\Saccharin/20201203_Cefas_Test8_Run3/Plate 3/@12/C6_02.tif "/>
    <s v=" 540.7474 "/>
    <s v=" 34.32 "/>
    <x v="0"/>
    <n v="18558"/>
    <m/>
    <m/>
  </r>
  <r>
    <x v="14"/>
    <x v="3"/>
    <s v="C:\Users\andre\Desktop\REACTIV CEFAS\Saccharin\Saccharin/20201203_Cefas_Test8_Run3/Plate 3/@12/C6_03.tif "/>
    <s v=" 1384.3133 "/>
    <s v=" 40.2969 "/>
    <x v="0"/>
    <n v="55783"/>
    <m/>
    <m/>
  </r>
  <r>
    <x v="14"/>
    <x v="4"/>
    <s v="C:\Users\andre\Desktop\REACTIV CEFAS\Saccharin\Saccharin/20201203_Cefas_Test8_Run3/Plate 3/@12/D6_01.tif "/>
    <s v=" 3157.9646 "/>
    <s v=" 33.9658 "/>
    <x v="0"/>
    <n v="107263"/>
    <m/>
    <m/>
  </r>
  <r>
    <x v="14"/>
    <x v="4"/>
    <s v="C:\Users\andre\Desktop\REACTIV CEFAS\Saccharin\Saccharin/20201203_Cefas_Test8_Run3/Plate 3/@12/D6_02.tif "/>
    <n v="0"/>
    <n v="0"/>
    <x v="0"/>
    <n v="0"/>
    <m/>
    <m/>
  </r>
  <r>
    <x v="14"/>
    <x v="4"/>
    <s v="C:\Users\andre\Desktop\REACTIV CEFAS\Saccharin\Saccharin/20201203_Cefas_Test8_Run3/Plate 3/@12/D6_03.tif "/>
    <n v="0"/>
    <n v="0"/>
    <x v="0"/>
    <n v="0"/>
    <m/>
    <m/>
  </r>
  <r>
    <x v="14"/>
    <x v="5"/>
    <s v="C:\Users\andre\Desktop\REACTIV CEFAS\Saccharin\Saccharin/20201203_Cefas_Test8_Run3/Plate 3/@12/E6_01.tif "/>
    <s v=" 7894.9115 "/>
    <s v=" 40.0658 "/>
    <x v="0"/>
    <n v="316316"/>
    <m/>
    <m/>
  </r>
  <r>
    <x v="14"/>
    <x v="5"/>
    <s v="C:\Users\andre\Desktop\REACTIV CEFAS\Saccharin\Saccharin/20201203_Cefas_Test8_Run3/Plate 3/@12/E6_02.tif "/>
    <s v=" 10987.9865 "/>
    <s v=" 44.5157 "/>
    <x v="0"/>
    <n v="489138"/>
    <m/>
    <m/>
  </r>
  <r>
    <x v="14"/>
    <x v="5"/>
    <s v="C:\Users\andre\Desktop\REACTIV CEFAS\Saccharin\Saccharin/20201203_Cefas_Test8_Run3/Plate 3/@12/E6_03.tif "/>
    <s v=" 9322.4846 "/>
    <s v=" 43.3828 "/>
    <x v="0"/>
    <n v="404436"/>
    <m/>
    <m/>
  </r>
  <r>
    <x v="14"/>
    <x v="6"/>
    <s v="C:\Users\andre\Desktop\REACTIV CEFAS\Saccharin\Saccharin/20201203_Cefas_Test8_Run3/Plate 3/@12/F6_01.tif "/>
    <s v=" 5018.1356 "/>
    <s v=" 38.2586 "/>
    <x v="0"/>
    <n v="191987"/>
    <m/>
    <m/>
  </r>
  <r>
    <x v="14"/>
    <x v="6"/>
    <s v="C:\Users\andre\Desktop\REACTIV CEFAS\Saccharin\Saccharin/20201203_Cefas_Test8_Run3/Plate 3/@12/F6_02.tif "/>
    <s v=" 6142.8901 "/>
    <s v=" 39.4331 "/>
    <x v="0"/>
    <n v="242233"/>
    <m/>
    <m/>
  </r>
  <r>
    <x v="14"/>
    <x v="6"/>
    <s v="C:\Users\andre\Desktop\REACTIV CEFAS\Saccharin\Saccharin/20201203_Cefas_Test8_Run3/Plate 3/@12/F6_03.tif "/>
    <s v=" 7765.1322 "/>
    <s v=" 44.3733 "/>
    <x v="0"/>
    <n v="344564"/>
    <m/>
    <m/>
  </r>
  <r>
    <x v="14"/>
    <x v="7"/>
    <s v="C:\Users\andre\Desktop\REACTIV CEFAS\Saccharin\Saccharin/20201203_Cefas_Test8_Run3/Plate 3/@12/G6_01.tif "/>
    <s v=" 6359.189 "/>
    <s v=" 38.932 "/>
    <x v="0"/>
    <n v="247576"/>
    <m/>
    <m/>
  </r>
  <r>
    <x v="14"/>
    <x v="7"/>
    <s v="C:\Users\andre\Desktop\REACTIV CEFAS\Saccharin\Saccharin/20201203_Cefas_Test8_Run3/Plate 3/@12/G6_02.tif "/>
    <s v=" 6878.3065 "/>
    <s v=" 41.8176 "/>
    <x v="0"/>
    <n v="287634"/>
    <m/>
    <m/>
  </r>
  <r>
    <x v="14"/>
    <x v="7"/>
    <s v="C:\Users\andre\Desktop\REACTIV CEFAS\Saccharin\Saccharin/20201203_Cefas_Test8_Run3/Plate 3/@12/G6_03.tif "/>
    <s v=" 9473.8938 "/>
    <s v=" 37.5982 "/>
    <x v="0"/>
    <n v="356201"/>
    <m/>
    <m/>
  </r>
  <r>
    <x v="14"/>
    <x v="8"/>
    <s v="C:\Users\andre\Desktop\REACTIV CEFAS\Saccharin\Saccharin/20201203_Cefas_Test8_Run3/Plate 3/@12/H6_01.tif "/>
    <s v=" 2746.9966 "/>
    <s v=" 33.7008 "/>
    <x v="0"/>
    <n v="92576"/>
    <m/>
    <m/>
  </r>
  <r>
    <x v="14"/>
    <x v="8"/>
    <s v="C:\Users\andre\Desktop\REACTIV CEFAS\Saccharin\Saccharin/20201203_Cefas_Test8_Run3/Plate 3/@12/H6_02.tif "/>
    <s v=" 2206.2493 "/>
    <s v=" 34.2941 "/>
    <x v="0"/>
    <n v="75661"/>
    <m/>
    <m/>
  </r>
  <r>
    <x v="14"/>
    <x v="8"/>
    <s v="C:\Users\andre\Desktop\REACTIV CEFAS\Saccharin\Saccharin/20201203_Cefas_Test8_Run3/Plate 3/@12/H6_03.tif "/>
    <s v=" 2660.477 "/>
    <s v=" 34.439 "/>
    <x v="0"/>
    <n v="91624"/>
    <m/>
    <m/>
  </r>
  <r>
    <x v="0"/>
    <x v="0"/>
    <s v=" "/>
    <m/>
    <m/>
    <x v="1"/>
    <m/>
    <m/>
    <m/>
  </r>
  <r>
    <x v="0"/>
    <x v="0"/>
    <s v="group "/>
    <s v=" "/>
    <s v=" mean of mean fluo "/>
    <x v="2"/>
    <s v=" mean of total fluo "/>
    <s v=" SD total fluo "/>
    <m/>
  </r>
  <r>
    <x v="14"/>
    <x v="9"/>
    <s v="C:\Users\andre\Desktop\REACTIV CEFAS\Saccharin\Saccharin/20201203_Cefas_Test8_Run3/Plate 3/@12/ "/>
    <s v=" "/>
    <s v=" 32.7811 "/>
    <x v="16"/>
    <s v=" 228158.333 "/>
    <s v=" 182419.62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Saccharin\Saccharin/20201203_Cefas_Test8_Run3/Plate 3/@17/A8_01.tif "/>
    <s v=" 9041.296 "/>
    <s v=" 33.1699 "/>
    <x v="0"/>
    <n v="299898"/>
    <m/>
    <m/>
  </r>
  <r>
    <x v="15"/>
    <x v="1"/>
    <s v="C:\Users\andre\Desktop\REACTIV CEFAS\Saccharin\Saccharin/20201203_Cefas_Test8_Run3/Plate 3/@17/A8_02.tif "/>
    <s v=" 5450.7334 "/>
    <s v=" 32.3214 "/>
    <x v="0"/>
    <n v="176175"/>
    <m/>
    <m/>
  </r>
  <r>
    <x v="15"/>
    <x v="1"/>
    <s v="C:\Users\andre\Desktop\REACTIV CEFAS\Saccharin\Saccharin/20201203_Cefas_Test8_Run3/Plate 3/@17/A8_03.tif "/>
    <s v=" 6402.4488 "/>
    <s v=" 33.1149 "/>
    <x v="0"/>
    <n v="212016"/>
    <m/>
    <m/>
  </r>
  <r>
    <x v="15"/>
    <x v="2"/>
    <s v="C:\Users\andre\Desktop\REACTIV CEFAS\Saccharin\Saccharin/20201203_Cefas_Test8_Run3/Plate 3/@17/B8_01.tif "/>
    <s v=" 16676.6488 "/>
    <s v=" 34.6278 "/>
    <x v="0"/>
    <n v="577475"/>
    <m/>
    <m/>
  </r>
  <r>
    <x v="15"/>
    <x v="2"/>
    <s v="C:\Users\andre\Desktop\REACTIV CEFAS\Saccharin\Saccharin/20201203_Cefas_Test8_Run3/Plate 3/@17/B8_02.tif "/>
    <s v=" 22754.6491 "/>
    <s v=" 35.2262 "/>
    <x v="0"/>
    <n v="801561"/>
    <m/>
    <m/>
  </r>
  <r>
    <x v="15"/>
    <x v="2"/>
    <s v="C:\Users\andre\Desktop\REACTIV CEFAS\Saccharin\Saccharin/20201203_Cefas_Test8_Run3/Plate 3/@17/B8_03.tif "/>
    <s v=" 24549.9304 "/>
    <s v=" 33.9991 "/>
    <x v="0"/>
    <n v="834676"/>
    <m/>
    <m/>
  </r>
  <r>
    <x v="15"/>
    <x v="3"/>
    <s v="C:\Users\andre\Desktop\REACTIV CEFAS\Saccharin\Saccharin/20201203_Cefas_Test8_Run3/Plate 3/@17/C8_01.tif "/>
    <s v=" 29200.3577 "/>
    <s v=" 35.8896 "/>
    <x v="0"/>
    <n v="1047990"/>
    <m/>
    <m/>
  </r>
  <r>
    <x v="15"/>
    <x v="3"/>
    <s v="C:\Users\andre\Desktop\REACTIV CEFAS\Saccharin\Saccharin/20201203_Cefas_Test8_Run3/Plate 3/@17/C8_02.tif "/>
    <s v=" 40664.2019 "/>
    <s v=" 37.8346 "/>
    <x v="0"/>
    <n v="1538513"/>
    <m/>
    <m/>
  </r>
  <r>
    <x v="15"/>
    <x v="3"/>
    <s v="C:\Users\andre\Desktop\REACTIV CEFAS\Saccharin\Saccharin/20201203_Cefas_Test8_Run3/Plate 3/@17/C8_03.tif "/>
    <s v=" 41399.6183 "/>
    <s v=" 35.5737 "/>
    <x v="0"/>
    <n v="1472736"/>
    <m/>
    <m/>
  </r>
  <r>
    <x v="15"/>
    <x v="4"/>
    <s v="C:\Users\andre\Desktop\REACTIV CEFAS\Saccharin\Saccharin/20201203_Cefas_Test8_Run3/Plate 3/@17/D8_01- exclu.tif"/>
    <m/>
    <m/>
    <x v="1"/>
    <m/>
    <m/>
    <m/>
  </r>
  <r>
    <x v="15"/>
    <x v="4"/>
    <s v="C:\Users\andre\Desktop\REACTIV CEFAS\Saccharin\Saccharin/20201203_Cefas_Test8_Run3/Plate 3/@17/D8_02- exclu.tif"/>
    <m/>
    <m/>
    <x v="1"/>
    <m/>
    <m/>
    <m/>
  </r>
  <r>
    <x v="15"/>
    <x v="4"/>
    <s v="C:\Users\andre\Desktop\REACTIV CEFAS\Saccharin\Saccharin/20201203_Cefas_Test8_Run3/Plate 3/@17/D8_03- exclu.tif"/>
    <m/>
    <m/>
    <x v="1"/>
    <m/>
    <m/>
    <m/>
  </r>
  <r>
    <x v="15"/>
    <x v="5"/>
    <s v="C:\Users\andre\Desktop\REACTIV CEFAS\Saccharin\Saccharin/20201203_Cefas_Test8_Run3/Plate 3/@17/E8_01.tif "/>
    <s v=" 42091.7749 "/>
    <s v=" 43.2215 "/>
    <x v="0"/>
    <n v="1819269"/>
    <m/>
    <m/>
  </r>
  <r>
    <x v="15"/>
    <x v="5"/>
    <s v="C:\Users\andre\Desktop\REACTIV CEFAS\Saccharin\Saccharin/20201203_Cefas_Test8_Run3/Plate 3/@17/E8_02.tif "/>
    <s v=" 44124.985 "/>
    <s v=" 42.0265 "/>
    <x v="0"/>
    <n v="1854417"/>
    <m/>
    <m/>
  </r>
  <r>
    <x v="15"/>
    <x v="5"/>
    <s v="C:\Users\andre\Desktop\REACTIV CEFAS\Saccharin\Saccharin/20201203_Cefas_Test8_Run3/Plate 3/@17/E8_03.tif "/>
    <s v=" 49034.9711 "/>
    <s v=" 41.918 "/>
    <x v="0"/>
    <n v="2055446"/>
    <m/>
    <m/>
  </r>
  <r>
    <x v="15"/>
    <x v="6"/>
    <s v="C:\Users\andre\Desktop\REACTIV CEFAS\Saccharin\Saccharin/20201203_Cefas_Test8_Run3/Plate 3/@17/F8_01.tif "/>
    <s v=" 454.2278 "/>
    <s v=" 30.9048 "/>
    <x v="0"/>
    <n v="14038"/>
    <m/>
    <m/>
  </r>
  <r>
    <x v="15"/>
    <x v="6"/>
    <s v="C:\Users\andre\Desktop\REACTIV CEFAS\Saccharin\Saccharin/20201203_Cefas_Test8_Run3/Plate 3/@17/F8_02.tif "/>
    <s v=" 9603.6732 "/>
    <s v=" 42.2005 "/>
    <x v="0"/>
    <n v="405279"/>
    <m/>
    <m/>
  </r>
  <r>
    <x v="15"/>
    <x v="6"/>
    <s v="C:\Users\andre\Desktop\REACTIV CEFAS\Saccharin\Saccharin/20201203_Cefas_Test8_Run3/Plate 3/@17/F8_03- exclu.tif"/>
    <m/>
    <m/>
    <x v="1"/>
    <m/>
    <m/>
    <m/>
  </r>
  <r>
    <x v="15"/>
    <x v="7"/>
    <s v="C:\Users\andre\Desktop\REACTIV CEFAS\Saccharin\Saccharin/20201203_Cefas_Test8_Run3/Plate 3/@17/G8_01.tif "/>
    <s v=" 52063.1564 "/>
    <s v=" 40.9202 "/>
    <x v="0"/>
    <n v="2130436"/>
    <m/>
    <m/>
  </r>
  <r>
    <x v="15"/>
    <x v="7"/>
    <s v="C:\Users\andre\Desktop\REACTIV CEFAS\Saccharin\Saccharin/20201203_Cefas_Test8_Run3/Plate 3/@17/G8_02.tif "/>
    <s v=" 52365.9749 "/>
    <s v=" 41.8001 "/>
    <x v="0"/>
    <n v="2188902"/>
    <m/>
    <m/>
  </r>
  <r>
    <x v="15"/>
    <x v="7"/>
    <s v="C:\Users\andre\Desktop\REACTIV CEFAS\Saccharin\Saccharin/20201203_Cefas_Test8_Run3/Plate 3/@17/G8_03.tif "/>
    <s v=" 60260.8864 "/>
    <s v=" 44.2696 "/>
    <x v="0"/>
    <n v="2667723"/>
    <m/>
    <m/>
  </r>
  <r>
    <x v="15"/>
    <x v="8"/>
    <s v="C:\Users\andre\Desktop\REACTIV CEFAS\Saccharin\Saccharin/20201203_Cefas_Test8_Run3/Plate 3/@17/H8_01.tif "/>
    <s v=" 31774.3152 "/>
    <s v=" 35.0272 "/>
    <x v="0"/>
    <n v="1112966"/>
    <m/>
    <m/>
  </r>
  <r>
    <x v="15"/>
    <x v="8"/>
    <s v="C:\Users\andre\Desktop\REACTIV CEFAS\Saccharin\Saccharin/20201203_Cefas_Test8_Run3/Plate 3/@17/H8_02.tif "/>
    <s v=" 34456.4221 "/>
    <s v=" 34.2348 "/>
    <x v="0"/>
    <n v="1179608"/>
    <m/>
    <m/>
  </r>
  <r>
    <x v="15"/>
    <x v="8"/>
    <s v="C:\Users\andre\Desktop\REACTIV CEFAS\Saccharin\Saccharin/20201203_Cefas_Test8_Run3/Plate 3/@17/H8_03.tif "/>
    <s v=" 47715.5476 "/>
    <s v=" 36.9864 "/>
    <x v="0"/>
    <n v="1764826"/>
    <m/>
    <m/>
  </r>
  <r>
    <x v="0"/>
    <x v="0"/>
    <s v=" "/>
    <m/>
    <m/>
    <x v="1"/>
    <m/>
    <m/>
    <m/>
  </r>
  <r>
    <x v="0"/>
    <x v="0"/>
    <s v="group "/>
    <s v=" "/>
    <s v=" mean of mean fluo "/>
    <x v="2"/>
    <s v=" mean of total fluo "/>
    <s v=" SD total fluo "/>
    <m/>
  </r>
  <r>
    <x v="15"/>
    <x v="9"/>
    <s v="C:\Users\andre\Desktop\REACTIV CEFAS\Saccharin\Saccharin/20201203_Cefas_Test8_Run3/Plate 3/@17/ "/>
    <s v=" "/>
    <s v=" 38.5854 "/>
    <x v="17"/>
    <s v=" 1136404.88 "/>
    <s v=" 737816.7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Saccharin\Saccharin/20201203_Cefas_Test8_Run3/Plate 3/@18/A9_01.tif "/>
    <s v=" 9279.2248 "/>
    <s v=" 32.6177 "/>
    <x v="0"/>
    <n v="302667"/>
    <m/>
    <m/>
  </r>
  <r>
    <x v="16"/>
    <x v="1"/>
    <s v="C:\Users\andre\Desktop\REACTIV CEFAS\Saccharin\Saccharin/20201203_Cefas_Test8_Run3/Plate 3/@18/A9_02.tif "/>
    <s v=" 9149.4454 "/>
    <s v=" 34.1702 "/>
    <x v="0"/>
    <n v="312638"/>
    <m/>
    <m/>
  </r>
  <r>
    <x v="16"/>
    <x v="1"/>
    <s v="C:\Users\andre\Desktop\REACTIV CEFAS\Saccharin\Saccharin/20201203_Cefas_Test8_Run3/Plate 3/@18/A9_03.tif "/>
    <s v=" 10706.7978 "/>
    <s v=" 34.2465 "/>
    <x v="0"/>
    <n v="366670"/>
    <m/>
    <m/>
  </r>
  <r>
    <x v="16"/>
    <x v="2"/>
    <s v="C:\Users\andre\Desktop\REACTIV CEFAS\Saccharin\Saccharin/20201203_Cefas_Test8_Run3/Plate 3/@18/B9_01.tif "/>
    <s v=" 57167.8115 "/>
    <s v=" 43.762 "/>
    <x v="0"/>
    <n v="2501779"/>
    <m/>
    <m/>
  </r>
  <r>
    <x v="16"/>
    <x v="2"/>
    <s v="C:\Users\andre\Desktop\REACTIV CEFAS\Saccharin\Saccharin/20201203_Cefas_Test8_Run3/Plate 3/@18/B9_02.tif "/>
    <s v=" 63051.1428 "/>
    <s v=" 43.341 "/>
    <x v="0"/>
    <n v="2732699"/>
    <m/>
    <m/>
  </r>
  <r>
    <x v="16"/>
    <x v="2"/>
    <s v="C:\Users\andre\Desktop\REACTIV CEFAS\Saccharin\Saccharin/20201203_Cefas_Test8_Run3/Plate 3/@18/B9_03.tif "/>
    <s v=" 60585.3349 "/>
    <s v=" 42.1285 "/>
    <x v="0"/>
    <n v="2552371"/>
    <m/>
    <m/>
  </r>
  <r>
    <x v="16"/>
    <x v="3"/>
    <s v="C:\Users\andre\Desktop\REACTIV CEFAS\Saccharin\Saccharin/20201203_Cefas_Test8_Run3/Plate 3/@18/C9_01.tif "/>
    <s v=" 48645.633 "/>
    <s v=" 43.7177 "/>
    <x v="0"/>
    <n v="2126673"/>
    <m/>
    <m/>
  </r>
  <r>
    <x v="16"/>
    <x v="3"/>
    <s v="C:\Users\andre\Desktop\REACTIV CEFAS\Saccharin\Saccharin/20201203_Cefas_Test8_Run3/Plate 3/@18/C9_02.tif "/>
    <s v=" 55567.1993 "/>
    <s v=" 45.2118 "/>
    <x v="0"/>
    <n v="2512291"/>
    <m/>
    <m/>
  </r>
  <r>
    <x v="16"/>
    <x v="3"/>
    <s v="C:\Users\andre\Desktop\REACTIV CEFAS\Saccharin\Saccharin/20201203_Cefas_Test8_Run3/Plate 3/@18/C9_03.tif "/>
    <s v=" 48861.932 "/>
    <s v=" 41.8008 "/>
    <x v="0"/>
    <n v="2042468"/>
    <m/>
    <m/>
  </r>
  <r>
    <x v="16"/>
    <x v="4"/>
    <s v="C:\Users\andre\Desktop\REACTIV CEFAS\Saccharin\Saccharin/20201203_Cefas_Test8_Run3/Plate 3/@18/D9_01.tif "/>
    <s v=" 37506.2373 "/>
    <s v=" 38.3362 "/>
    <x v="0"/>
    <n v="1437847"/>
    <m/>
    <m/>
  </r>
  <r>
    <x v="16"/>
    <x v="4"/>
    <s v="C:\Users\andre\Desktop\REACTIV CEFAS\Saccharin\Saccharin/20201203_Cefas_Test8_Run3/Plate 3/@18/D9_02.tif "/>
    <s v=" 38566.1021 "/>
    <s v=" 37.8985 "/>
    <x v="0"/>
    <n v="1461597"/>
    <m/>
    <m/>
  </r>
  <r>
    <x v="16"/>
    <x v="4"/>
    <s v="C:\Users\andre\Desktop\REACTIV CEFAS\Saccharin\Saccharin/20201203_Cefas_Test8_Run3/Plate 3/@18/D9_03.tif "/>
    <s v=" 40988.6503 "/>
    <s v=" 40.2681 "/>
    <x v="0"/>
    <n v="1650534"/>
    <m/>
    <m/>
  </r>
  <r>
    <x v="16"/>
    <x v="5"/>
    <s v="C:\Users\andre\Desktop\REACTIV CEFAS\Saccharin\Saccharin/20201203_Cefas_Test8_Run3/Plate 3/@18/E9_01- exclu.tif"/>
    <m/>
    <m/>
    <x v="1"/>
    <m/>
    <m/>
    <m/>
  </r>
  <r>
    <x v="16"/>
    <x v="5"/>
    <s v="C:\Users\andre\Desktop\REACTIV CEFAS\Saccharin\Saccharin/20201203_Cefas_Test8_Run3/Plate 3/@18/E9_02- exclu.tif"/>
    <m/>
    <m/>
    <x v="1"/>
    <m/>
    <m/>
    <m/>
  </r>
  <r>
    <x v="16"/>
    <x v="5"/>
    <s v="C:\Users\andre\Desktop\REACTIV CEFAS\Saccharin\Saccharin/20201203_Cefas_Test8_Run3/Plate 3/@18/E9_03- exclu.tif"/>
    <m/>
    <m/>
    <x v="1"/>
    <m/>
    <m/>
    <m/>
  </r>
  <r>
    <x v="16"/>
    <x v="6"/>
    <s v="C:\Users\andre\Desktop\REACTIV CEFAS\Saccharin\Saccharin/20201203_Cefas_Test8_Run3/Plate 3/@18/F9_01.tif "/>
    <s v=" 14773.218 "/>
    <s v=" 41.7877 "/>
    <x v="0"/>
    <n v="617339"/>
    <m/>
    <m/>
  </r>
  <r>
    <x v="16"/>
    <x v="6"/>
    <s v="C:\Users\andre\Desktop\REACTIV CEFAS\Saccharin\Saccharin/20201203_Cefas_Test8_Run3/Plate 3/@18/F9_02- exclu.tif"/>
    <m/>
    <m/>
    <x v="1"/>
    <m/>
    <m/>
    <m/>
  </r>
  <r>
    <x v="16"/>
    <x v="6"/>
    <s v="C:\Users\andre\Desktop\REACTIV CEFAS\Saccharin\Saccharin/20201203_Cefas_Test8_Run3/Plate 3/@18/F9_03.tif "/>
    <s v=" 14686.6985 "/>
    <s v=" 36.5449 "/>
    <x v="0"/>
    <n v="536724"/>
    <m/>
    <m/>
  </r>
  <r>
    <x v="16"/>
    <x v="7"/>
    <s v="C:\Users\andre\Desktop\REACTIV CEFAS\Saccharin\Saccharin/20201203_Cefas_Test8_Run3/Plate 3/@18/G9_01.tif "/>
    <s v=" 54658.7437 "/>
    <s v=" 40.9992 "/>
    <x v="0"/>
    <n v="2240965"/>
    <m/>
    <m/>
  </r>
  <r>
    <x v="16"/>
    <x v="7"/>
    <s v="C:\Users\andre\Desktop\REACTIV CEFAS\Saccharin\Saccharin/20201203_Cefas_Test8_Run3/Plate 3/@18/G9_02.tif "/>
    <s v=" 66576.8157 "/>
    <s v=" 41.2596 "/>
    <x v="0"/>
    <n v="2746932"/>
    <m/>
    <m/>
  </r>
  <r>
    <x v="16"/>
    <x v="7"/>
    <s v="C:\Users\andre\Desktop\REACTIV CEFAS\Saccharin\Saccharin/20201203_Cefas_Test8_Run3/Plate 3/@18/G9_03.tif "/>
    <s v=" 61948.0182 "/>
    <s v=" 39.2936 "/>
    <x v="0"/>
    <n v="2434163"/>
    <m/>
    <m/>
  </r>
  <r>
    <x v="16"/>
    <x v="8"/>
    <s v="C:\Users\andre\Desktop\REACTIV CEFAS\Saccharin\Saccharin/20201203_Cefas_Test8_Run3/Plate 3/@18/H9_01.tif "/>
    <s v=" 56886.6229 "/>
    <s v=" 41.9087 "/>
    <x v="0"/>
    <n v="2384047"/>
    <m/>
    <m/>
  </r>
  <r>
    <x v="16"/>
    <x v="8"/>
    <s v="C:\Users\andre\Desktop\REACTIV CEFAS\Saccharin\Saccharin/20201203_Cefas_Test8_Run3/Plate 3/@18/H9_02.tif "/>
    <s v=" 53360.95 "/>
    <s v=" 41.8687 "/>
    <x v="0"/>
    <n v="2234152"/>
    <m/>
    <m/>
  </r>
  <r>
    <x v="16"/>
    <x v="8"/>
    <s v="C:\Users\andre\Desktop\REACTIV CEFAS\Saccharin\Saccharin/20201203_Cefas_Test8_Run3/Plate 3/@18/H9_03.tif "/>
    <s v=" 55221.121 "/>
    <s v=" 41.906 "/>
    <x v="0"/>
    <n v="2314096"/>
    <m/>
    <m/>
  </r>
  <r>
    <x v="0"/>
    <x v="0"/>
    <s v=" "/>
    <m/>
    <m/>
    <x v="1"/>
    <m/>
    <m/>
    <m/>
  </r>
  <r>
    <x v="0"/>
    <x v="0"/>
    <s v="group "/>
    <s v=" "/>
    <s v=" mean of mean fluo "/>
    <x v="2"/>
    <s v=" mean of total fluo "/>
    <s v=" SD total fluo "/>
    <m/>
  </r>
  <r>
    <x v="16"/>
    <x v="9"/>
    <s v="C:\Users\andre\Desktop\REACTIV CEFAS\Saccharin\Saccharin/20201203_Cefas_Test8_Run3/Plate 3/@18/ "/>
    <s v=" "/>
    <s v=" 40.3468 "/>
    <x v="18"/>
    <s v=" 1705639.75 "/>
    <s v=" 832859.549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Saccharin\Saccharin/20201203_Cefas_Test8_Run3/Plate 3/@19/A10_01.tif "/>
    <s v=" 44427.8036 "/>
    <s v=" 37.851 "/>
    <x v="0"/>
    <n v="1681638"/>
    <m/>
    <m/>
  </r>
  <r>
    <x v="17"/>
    <x v="1"/>
    <s v="C:\Users\andre\Desktop\REACTIV CEFAS\Saccharin\Saccharin/20201203_Cefas_Test8_Run3/Plate 3/@19/A10_02.tif "/>
    <s v=" 48818.6722 "/>
    <s v=" 42.2853 "/>
    <x v="0"/>
    <n v="2064314"/>
    <m/>
    <m/>
  </r>
  <r>
    <x v="17"/>
    <x v="1"/>
    <s v="C:\Users\andre\Desktop\REACTIV CEFAS\Saccharin\Saccharin/20201203_Cefas_Test8_Run3/Plate 3/@19/A10_03.tif "/>
    <s v=" 41507.7678 "/>
    <s v=" 38.2574 "/>
    <x v="0"/>
    <n v="1587980"/>
    <m/>
    <m/>
  </r>
  <r>
    <x v="17"/>
    <x v="2"/>
    <s v="C:\Users\andre\Desktop\REACTIV CEFAS\Saccharin\Saccharin/20201203_Cefas_Test8_Run3/Plate 3/@19/B10_01.tif "/>
    <s v=" 14037.8016 "/>
    <s v=" 33.9784 "/>
    <x v="0"/>
    <n v="476982"/>
    <m/>
    <m/>
  </r>
  <r>
    <x v="17"/>
    <x v="2"/>
    <s v="C:\Users\andre\Desktop\REACTIV CEFAS\Saccharin\Saccharin/20201203_Cefas_Test8_Run3/Plate 3/@19/B10_02.tif "/>
    <s v=" 29351.767 "/>
    <s v=" 36.1275 "/>
    <x v="0"/>
    <n v="1060406"/>
    <m/>
    <m/>
  </r>
  <r>
    <x v="17"/>
    <x v="2"/>
    <s v="C:\Users\andre\Desktop\REACTIV CEFAS\Saccharin\Saccharin/20201203_Cefas_Test8_Run3/Plate 3/@19/B10_03.tif "/>
    <s v=" 33396.5573 "/>
    <s v=" 38.7953 "/>
    <x v="0"/>
    <n v="1295631"/>
    <m/>
    <m/>
  </r>
  <r>
    <x v="17"/>
    <x v="3"/>
    <s v="C:\Users\andre\Desktop\REACTIV CEFAS\Saccharin\Saccharin/20201203_Cefas_Test8_Run3/Plate 3/@19/C10_01.tif "/>
    <s v=" 64824.7942 "/>
    <s v=" 41.8265 "/>
    <x v="0"/>
    <n v="2711394"/>
    <m/>
    <m/>
  </r>
  <r>
    <x v="17"/>
    <x v="3"/>
    <s v="C:\Users\andre\Desktop\REACTIV CEFAS\Saccharin\Saccharin/20201203_Cefas_Test8_Run3/Plate 3/@19/C10_02.tif "/>
    <s v=" 61428.9007 "/>
    <s v=" 40.3989 "/>
    <x v="0"/>
    <n v="2481663"/>
    <m/>
    <m/>
  </r>
  <r>
    <x v="17"/>
    <x v="3"/>
    <s v="C:\Users\andre\Desktop\REACTIV CEFAS\Saccharin\Saccharin/20201203_Cefas_Test8_Run3/Plate 3/@19/C10_03.tif "/>
    <s v=" 62791.5841 "/>
    <s v=" 39.6211 "/>
    <x v="0"/>
    <n v="2487870"/>
    <m/>
    <m/>
  </r>
  <r>
    <x v="17"/>
    <x v="4"/>
    <s v="C:\Users\andre\Desktop\REACTIV CEFAS\Saccharin\Saccharin/20201203_Cefas_Test8_Run3/Plate 3/@19/D10_01.tif "/>
    <s v=" 39366.4082 "/>
    <s v=" 38.2324 "/>
    <x v="0"/>
    <n v="1505073"/>
    <m/>
    <m/>
  </r>
  <r>
    <x v="17"/>
    <x v="4"/>
    <s v="C:\Users\andre\Desktop\REACTIV CEFAS\Saccharin\Saccharin/20201203_Cefas_Test8_Run3/Plate 3/@19/D10_02.tif "/>
    <s v=" 41572.6575 "/>
    <s v=" 38.4589 "/>
    <x v="0"/>
    <n v="1598839"/>
    <m/>
    <m/>
  </r>
  <r>
    <x v="17"/>
    <x v="4"/>
    <s v="C:\Users\andre\Desktop\REACTIV CEFAS\Saccharin\Saccharin/20201203_Cefas_Test8_Run3/Plate 3/@19/D10_03.tif "/>
    <s v=" 38393.063 "/>
    <s v=" 37.5149 "/>
    <x v="0"/>
    <n v="1440313"/>
    <m/>
    <m/>
  </r>
  <r>
    <x v="17"/>
    <x v="5"/>
    <s v="C:\Users\andre\Desktop\REACTIV CEFAS\Saccharin\Saccharin/20201203_Cefas_Test8_Run3/Plate 3/@19/E10_01.tif "/>
    <s v=" 4758.5768 "/>
    <s v=" 35.8455 "/>
    <x v="0"/>
    <n v="170573"/>
    <m/>
    <m/>
  </r>
  <r>
    <x v="17"/>
    <x v="5"/>
    <s v="C:\Users\andre\Desktop\REACTIV CEFAS\Saccharin\Saccharin/20201203_Cefas_Test8_Run3/Plate 3/@19/E10_02.tif "/>
    <s v=" 1168.0143 "/>
    <s v=" 33.0185 "/>
    <x v="0"/>
    <n v="38566"/>
    <m/>
    <m/>
  </r>
  <r>
    <x v="17"/>
    <x v="5"/>
    <s v="C:\Users\andre\Desktop\REACTIV CEFAS\Saccharin\Saccharin/20201203_Cefas_Test8_Run3/Plate 3/@19/E10_03.tif "/>
    <s v=" 5731.9221 "/>
    <s v=" 35.5472 "/>
    <x v="0"/>
    <n v="203754"/>
    <m/>
    <m/>
  </r>
  <r>
    <x v="17"/>
    <x v="6"/>
    <s v="C:\Users\andre\Desktop\REACTIV CEFAS\Saccharin\Saccharin/20201203_Cefas_Test8_Run3/Plate 3/@19/F10_01- exclu.tif"/>
    <m/>
    <m/>
    <x v="1"/>
    <m/>
    <m/>
    <m/>
  </r>
  <r>
    <x v="17"/>
    <x v="6"/>
    <s v="C:\Users\andre\Desktop\REACTIV CEFAS\Saccharin\Saccharin/20201203_Cefas_Test8_Run3/Plate 3/@19/F10_02- exclu.tif"/>
    <m/>
    <m/>
    <x v="1"/>
    <m/>
    <m/>
    <m/>
  </r>
  <r>
    <x v="17"/>
    <x v="6"/>
    <s v="C:\Users\andre\Desktop\REACTIV CEFAS\Saccharin\Saccharin/20201203_Cefas_Test8_Run3/Plate 3/@19/F10_03- exclu.tif"/>
    <m/>
    <m/>
    <x v="1"/>
    <m/>
    <m/>
    <m/>
  </r>
  <r>
    <x v="17"/>
    <x v="7"/>
    <s v="C:\Users\andre\Desktop\REACTIV CEFAS\Saccharin\Saccharin/20201203_Cefas_Test8_Run3/Plate 3/@19/G10_01.tif "/>
    <s v=" 30346.7422 "/>
    <s v=" 39.0128 "/>
    <x v="0"/>
    <n v="1183912"/>
    <m/>
    <m/>
  </r>
  <r>
    <x v="17"/>
    <x v="7"/>
    <s v="C:\Users\andre\Desktop\REACTIV CEFAS\Saccharin\Saccharin/20201203_Cefas_Test8_Run3/Plate 3/@19/G10_02.tif "/>
    <s v=" 21002.6277 "/>
    <s v=" 36.5469 "/>
    <x v="0"/>
    <n v="767580"/>
    <m/>
    <m/>
  </r>
  <r>
    <x v="17"/>
    <x v="7"/>
    <s v="C:\Users\andre\Desktop\REACTIV CEFAS\Saccharin\Saccharin/20201203_Cefas_Test8_Run3/Plate 3/@19/G10_03.tif "/>
    <s v=" 33591.2264 "/>
    <s v=" 39.4198 "/>
    <x v="0"/>
    <n v="1324161"/>
    <m/>
    <m/>
  </r>
  <r>
    <x v="17"/>
    <x v="8"/>
    <s v="C:\Users\andre\Desktop\REACTIV CEFAS\Saccharin\Saccharin/20201203_Cefas_Test8_Run3/Plate 3/@19/H10_01.tif "/>
    <s v=" 18039.3321 "/>
    <s v=" 34.0396 "/>
    <x v="0"/>
    <n v="614051"/>
    <m/>
    <m/>
  </r>
  <r>
    <x v="17"/>
    <x v="8"/>
    <s v="C:\Users\andre\Desktop\REACTIV CEFAS\Saccharin\Saccharin/20201203_Cefas_Test8_Run3/Plate 3/@19/H10_02.tif "/>
    <s v=" 32682.7708 "/>
    <s v=" 39.2449 "/>
    <x v="0"/>
    <n v="1282631"/>
    <m/>
    <m/>
  </r>
  <r>
    <x v="17"/>
    <x v="8"/>
    <s v="C:\Users\andre\Desktop\REACTIV CEFAS\Saccharin\Saccharin/20201203_Cefas_Test8_Run3/Plate 3/@19/H10_03.tif "/>
    <s v=" 21867.8235 "/>
    <s v=" 39.5203 "/>
    <x v="0"/>
    <n v="864222"/>
    <m/>
    <m/>
  </r>
  <r>
    <x v="0"/>
    <x v="0"/>
    <s v=" "/>
    <m/>
    <m/>
    <x v="1"/>
    <m/>
    <m/>
    <m/>
  </r>
  <r>
    <x v="0"/>
    <x v="0"/>
    <s v="group "/>
    <s v=" "/>
    <s v=" mean of mean fluo "/>
    <x v="2"/>
    <s v=" mean of total fluo "/>
    <s v=" SD total fluo "/>
    <m/>
  </r>
  <r>
    <x v="17"/>
    <x v="9"/>
    <s v="C:\Users\andre\Desktop\REACTIV CEFAS\Saccharin\Saccharin/20201203_Cefas_Test8_Run3/Plate 3/@19/ "/>
    <s v=" "/>
    <s v=" 38.5668 "/>
    <x v="19"/>
    <s v=" 1444862.54 "/>
    <s v=" 842273.68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Saccharin\Saccharin/20201203_Cefas_Test8_Run3/Plate 3/@20/A11_01- exclu.tif"/>
    <m/>
    <m/>
    <x v="1"/>
    <m/>
    <m/>
    <m/>
  </r>
  <r>
    <x v="18"/>
    <x v="1"/>
    <s v="C:\Users\andre\Desktop\REACTIV CEFAS\Saccharin\Saccharin/20201203_Cefas_Test8_Run3/Plate 3/@20/A11_02- exclu.tif"/>
    <m/>
    <m/>
    <x v="1"/>
    <m/>
    <m/>
    <m/>
  </r>
  <r>
    <x v="18"/>
    <x v="1"/>
    <s v="C:\Users\andre\Desktop\REACTIV CEFAS\Saccharin\Saccharin/20201203_Cefas_Test8_Run3/Plate 3/@20/A11_03.tif "/>
    <s v=" 79879.2009 "/>
    <s v=" 43.8007 "/>
    <x v="0"/>
    <n v="3498765"/>
    <m/>
    <m/>
  </r>
  <r>
    <x v="18"/>
    <x v="2"/>
    <s v="C:\Users\andre\Desktop\REACTIV CEFAS\Saccharin\Saccharin/20201203_Cefas_Test8_Run3/Plate 3/@20/B11_01.tif "/>
    <s v=" 27837.6744 "/>
    <s v=" 35.3955 "/>
    <x v="0"/>
    <n v="985328"/>
    <m/>
    <m/>
  </r>
  <r>
    <x v="18"/>
    <x v="2"/>
    <s v="C:\Users\andre\Desktop\REACTIV CEFAS\Saccharin\Saccharin/20201203_Cefas_Test8_Run3/Plate 3/@20/B11_02.tif "/>
    <s v=" 36878.9703 "/>
    <s v=" 36.7818 "/>
    <x v="0"/>
    <n v="1356476"/>
    <m/>
    <m/>
  </r>
  <r>
    <x v="18"/>
    <x v="2"/>
    <s v="C:\Users\andre\Desktop\REACTIV CEFAS\Saccharin\Saccharin/20201203_Cefas_Test8_Run3/Plate 3/@20/B11_03.tif "/>
    <s v=" 40620.9421 "/>
    <s v=" 38.803 "/>
    <x v="0"/>
    <n v="1576214"/>
    <m/>
    <m/>
  </r>
  <r>
    <x v="18"/>
    <x v="3"/>
    <s v="C:\Users\andre\Desktop\REACTIV CEFAS\Saccharin\Saccharin/20201203_Cefas_Test8_Run3/Plate 3/@20/C11_01- exclu.tif"/>
    <m/>
    <m/>
    <x v="1"/>
    <m/>
    <m/>
    <m/>
  </r>
  <r>
    <x v="18"/>
    <x v="3"/>
    <s v="C:\Users\andre\Desktop\REACTIV CEFAS\Saccharin\Saccharin/20201203_Cefas_Test8_Run3/Plate 3/@20/C11_02.tif "/>
    <s v=" 5840.0715 "/>
    <s v=" 32.1185 "/>
    <x v="0"/>
    <n v="187574"/>
    <m/>
    <m/>
  </r>
  <r>
    <x v="18"/>
    <x v="3"/>
    <s v="C:\Users\andre\Desktop\REACTIV CEFAS\Saccharin\Saccharin/20201203_Cefas_Test8_Run3/Plate 3/@20/C11_03.tif "/>
    <s v=" 15638.4138 "/>
    <s v=" 33.6833 "/>
    <x v="0"/>
    <n v="526753"/>
    <m/>
    <m/>
  </r>
  <r>
    <x v="18"/>
    <x v="4"/>
    <s v="C:\Users\andre\Desktop\REACTIV CEFAS\Saccharin\Saccharin/20201203_Cefas_Test8_Run3/Plate 3/@20/D11_01.tif "/>
    <s v=" 28075.6032 "/>
    <s v=" 34.631 "/>
    <x v="0"/>
    <n v="972285"/>
    <m/>
    <m/>
  </r>
  <r>
    <x v="18"/>
    <x v="4"/>
    <s v="C:\Users\andre\Desktop\REACTIV CEFAS\Saccharin\Saccharin/20201203_Cefas_Test8_Run3/Plate 3/@20/D11_02.tif "/>
    <s v=" 21478.4854 "/>
    <s v=" 33.7472 "/>
    <x v="0"/>
    <n v="724839"/>
    <m/>
    <m/>
  </r>
  <r>
    <x v="18"/>
    <x v="4"/>
    <s v="C:\Users\andre\Desktop\REACTIV CEFAS\Saccharin\Saccharin/20201203_Cefas_Test8_Run3/Plate 3/@20/D11_03.tif "/>
    <s v=" 33353.2975 "/>
    <s v=" 35.4553 "/>
    <x v="0"/>
    <n v="1182550"/>
    <m/>
    <m/>
  </r>
  <r>
    <x v="18"/>
    <x v="5"/>
    <s v="C:\Users\andre\Desktop\REACTIV CEFAS\Saccharin\Saccharin/20201203_Cefas_Test8_Run3/Plate 3/@20/E11_01.tif "/>
    <s v=" 27037.3683 "/>
    <s v=" 34.1312 "/>
    <x v="0"/>
    <n v="922818"/>
    <m/>
    <m/>
  </r>
  <r>
    <x v="18"/>
    <x v="5"/>
    <s v="C:\Users\andre\Desktop\REACTIV CEFAS\Saccharin\Saccharin/20201203_Cefas_Test8_Run3/Plate 3/@20/E11_02.tif "/>
    <s v=" 33958.9346 "/>
    <s v=" 35.1561 "/>
    <x v="0"/>
    <n v="1193862"/>
    <m/>
    <m/>
  </r>
  <r>
    <x v="18"/>
    <x v="5"/>
    <s v="C:\Users\andre\Desktop\REACTIV CEFAS\Saccharin\Saccharin/20201203_Cefas_Test8_Run3/Plate 3/@20/E11_03.tif "/>
    <s v=" 28162.1228 "/>
    <s v=" 35.5845 "/>
    <x v="0"/>
    <n v="1002135"/>
    <m/>
    <m/>
  </r>
  <r>
    <x v="18"/>
    <x v="6"/>
    <s v="C:\Users\andre\Desktop\REACTIV CEFAS\Saccharin\Saccharin/20201203_Cefas_Test8_Run3/Plate 3/@20/F11_01.tif "/>
    <s v=" 57903.2279 "/>
    <s v=" 42.2055 "/>
    <x v="0"/>
    <n v="2443832"/>
    <m/>
    <m/>
  </r>
  <r>
    <x v="18"/>
    <x v="6"/>
    <s v="C:\Users\andre\Desktop\REACTIV CEFAS\Saccharin\Saccharin/20201203_Cefas_Test8_Run3/Plate 3/@20/F11_02.tif "/>
    <s v=" 59525.47 "/>
    <s v=" 42.4836 "/>
    <x v="0"/>
    <n v="2528859"/>
    <m/>
    <m/>
  </r>
  <r>
    <x v="18"/>
    <x v="6"/>
    <s v="C:\Users\andre\Desktop\REACTIV CEFAS\Saccharin\Saccharin/20201203_Cefas_Test8_Run3/Plate 3/@20/F11_03.tif "/>
    <s v=" 59114.502 "/>
    <s v=" 46.9415 "/>
    <x v="0"/>
    <n v="2774921"/>
    <m/>
    <m/>
  </r>
  <r>
    <x v="18"/>
    <x v="7"/>
    <s v="C:\Users\andre\Desktop\REACTIV CEFAS\Saccharin\Saccharin/20201203_Cefas_Test8_Run3/Plate 3/@20/G11_01.tif "/>
    <s v=" 11269.1751 "/>
    <s v=" 45.0154 "/>
    <x v="0"/>
    <n v="507286"/>
    <m/>
    <m/>
  </r>
  <r>
    <x v="18"/>
    <x v="7"/>
    <s v="C:\Users\andre\Desktop\REACTIV CEFAS\Saccharin\Saccharin/20201203_Cefas_Test8_Run3/Plate 3/@20/G11_02.tif "/>
    <s v=" 13475.4244 "/>
    <s v=" 48.3291 "/>
    <x v="0"/>
    <n v="651254"/>
    <m/>
    <m/>
  </r>
  <r>
    <x v="18"/>
    <x v="7"/>
    <s v="C:\Users\andre\Desktop\REACTIV CEFAS\Saccharin\Saccharin/20201203_Cefas_Test8_Run3/Plate 3/@20/G11_03.tif "/>
    <s v=" 497.4876 "/>
    <s v=" 30.8261 "/>
    <x v="0"/>
    <n v="15336"/>
    <m/>
    <m/>
  </r>
  <r>
    <x v="18"/>
    <x v="8"/>
    <s v="C:\Users\andre\Desktop\REACTIV CEFAS\Saccharin\Saccharin/20201203_Cefas_Test8_Run3/Plate 3/@20/H11_01.tif "/>
    <s v=" 66165.8477 "/>
    <s v=" 41.4747 "/>
    <x v="0"/>
    <n v="2744206"/>
    <m/>
    <m/>
  </r>
  <r>
    <x v="18"/>
    <x v="8"/>
    <s v="C:\Users\andre\Desktop\REACTIV CEFAS\Saccharin\Saccharin/20201203_Cefas_Test8_Run3/Plate 3/@20/H11_02.tif "/>
    <s v=" 57795.0784 "/>
    <s v=" 38.2545 "/>
    <x v="0"/>
    <n v="2210921"/>
    <m/>
    <m/>
  </r>
  <r>
    <x v="18"/>
    <x v="8"/>
    <s v="C:\Users\andre\Desktop\REACTIV CEFAS\Saccharin\Saccharin/20201203_Cefas_Test8_Run3/Plate 3/@20/H11_03.tif "/>
    <s v=" 71919.3996 "/>
    <s v=" 40.6914 "/>
    <x v="0"/>
    <n v="2926503"/>
    <m/>
    <m/>
  </r>
  <r>
    <x v="0"/>
    <x v="0"/>
    <s v=" "/>
    <m/>
    <m/>
    <x v="1"/>
    <m/>
    <m/>
    <m/>
  </r>
  <r>
    <x v="0"/>
    <x v="0"/>
    <s v="group "/>
    <s v=" "/>
    <s v=" mean of mean fluo "/>
    <x v="2"/>
    <s v=" mean of total fluo "/>
    <s v=" SD total fluo "/>
    <m/>
  </r>
  <r>
    <x v="18"/>
    <x v="9"/>
    <s v="C:\Users\andre\Desktop\REACTIV CEFAS\Saccharin\Saccharin/20201203_Cefas_Test8_Run3/Plate 3/@20/ "/>
    <s v=" "/>
    <s v=" 38.9153 "/>
    <x v="20"/>
    <s v=" 1533814.58 "/>
    <s v=" 1046356.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Saccharin\Saccharin/20201203_Cefas_Test8_Run3/Plate 3/@21/A12_01- exclu.tif"/>
    <m/>
    <m/>
    <x v="1"/>
    <m/>
    <m/>
    <m/>
  </r>
  <r>
    <x v="19"/>
    <x v="1"/>
    <s v="C:\Users\andre\Desktop\REACTIV CEFAS\Saccharin\Saccharin/20201203_Cefas_Test8_Run3/Plate 3/@21/A12_02- exclu.tif"/>
    <m/>
    <m/>
    <x v="1"/>
    <m/>
    <m/>
    <m/>
  </r>
  <r>
    <x v="19"/>
    <x v="1"/>
    <s v="C:\Users\andre\Desktop\REACTIV CEFAS\Saccharin\Saccharin/20201203_Cefas_Test8_Run3/Plate 3/@21/A12_03- exclu.tif"/>
    <m/>
    <m/>
    <x v="1"/>
    <m/>
    <m/>
    <m/>
  </r>
  <r>
    <x v="19"/>
    <x v="2"/>
    <s v="C:\Users\andre\Desktop\REACTIV CEFAS\Saccharin\Saccharin/20201203_Cefas_Test8_Run3/Plate 3/@21/B12_01.tif "/>
    <s v=" 2076.4699 "/>
    <s v=" 32.8021 "/>
    <x v="0"/>
    <n v="68113"/>
    <m/>
    <m/>
  </r>
  <r>
    <x v="19"/>
    <x v="2"/>
    <s v="C:\Users\andre\Desktop\REACTIV CEFAS\Saccharin\Saccharin/20201203_Cefas_Test8_Run3/Plate 3/@21/B12_02.tif "/>
    <s v=" 6964.8261 "/>
    <s v=" 39.0342 "/>
    <x v="0"/>
    <n v="271866"/>
    <m/>
    <m/>
  </r>
  <r>
    <x v="19"/>
    <x v="2"/>
    <s v="C:\Users\andre\Desktop\REACTIV CEFAS\Saccharin\Saccharin/20201203_Cefas_Test8_Run3/Plate 3/@21/B12_03.tif "/>
    <s v=" 5731.9221 "/>
    <s v=" 38.5925 "/>
    <x v="0"/>
    <n v="221209"/>
    <m/>
    <m/>
  </r>
  <r>
    <x v="19"/>
    <x v="3"/>
    <s v="C:\Users\andre\Desktop\REACTIV CEFAS\Saccharin\Saccharin/20201203_Cefas_Test8_Run3/Plate 3/@21/C12_01.tif "/>
    <s v=" 34434.7922 "/>
    <s v=" 35.9089 "/>
    <x v="0"/>
    <n v="1236516"/>
    <m/>
    <m/>
  </r>
  <r>
    <x v="19"/>
    <x v="3"/>
    <s v="C:\Users\andre\Desktop\REACTIV CEFAS\Saccharin\Saccharin/20201203_Cefas_Test8_Run3/Plate 3/@21/C12_02.tif "/>
    <s v=" 36057.0343 "/>
    <s v=" 38.0642 "/>
    <x v="0"/>
    <n v="1372482"/>
    <m/>
    <m/>
  </r>
  <r>
    <x v="19"/>
    <x v="3"/>
    <s v="C:\Users\andre\Desktop\REACTIV CEFAS\Saccharin\Saccharin/20201203_Cefas_Test8_Run3/Plate 3/@21/C12_03.tif "/>
    <s v=" 38263.2836 "/>
    <s v=" 37.1425 "/>
    <x v="0"/>
    <n v="1421192"/>
    <m/>
    <m/>
  </r>
  <r>
    <x v="19"/>
    <x v="4"/>
    <s v="C:\Users\andre\Desktop\REACTIV CEFAS\Saccharin\Saccharin/20201203_Cefas_Test8_Run3/Plate 3/@21/D12_01.tif "/>
    <s v=" 23273.7666 "/>
    <s v=" 35.2063 "/>
    <x v="0"/>
    <n v="819384"/>
    <m/>
    <m/>
  </r>
  <r>
    <x v="19"/>
    <x v="4"/>
    <s v="C:\Users\andre\Desktop\REACTIV CEFAS\Saccharin\Saccharin/20201203_Cefas_Test8_Run3/Plate 3/@21/D12_02.tif "/>
    <s v=" 15205.8159 "/>
    <s v=" 34.7112 "/>
    <x v="0"/>
    <n v="527813"/>
    <m/>
    <m/>
  </r>
  <r>
    <x v="19"/>
    <x v="4"/>
    <s v="C:\Users\andre\Desktop\REACTIV CEFAS\Saccharin\Saccharin/20201203_Cefas_Test8_Run3/Plate 3/@21/D12_03.tif "/>
    <s v=" 18407.0403 "/>
    <s v=" 35.1974 "/>
    <x v="0"/>
    <n v="647880"/>
    <m/>
    <m/>
  </r>
  <r>
    <x v="19"/>
    <x v="5"/>
    <s v="C:\Users\andre\Desktop\REACTIV CEFAS\Saccharin\Saccharin/20201203_Cefas_Test8_Run3/Plate 3/@21/E12_01.tif "/>
    <s v=" 62532.0254 "/>
    <s v=" 42.0709 "/>
    <x v="0"/>
    <n v="2630779"/>
    <m/>
    <m/>
  </r>
  <r>
    <x v="19"/>
    <x v="5"/>
    <s v="C:\Users\andre\Desktop\REACTIV CEFAS\Saccharin\Saccharin/20201203_Cefas_Test8_Run3/Plate 3/@21/E12_02.tif "/>
    <s v=" 64673.3849 "/>
    <s v=" 42.0659 "/>
    <x v="0"/>
    <n v="2720543"/>
    <m/>
    <m/>
  </r>
  <r>
    <x v="19"/>
    <x v="5"/>
    <s v="C:\Users\andre\Desktop\REACTIV CEFAS\Saccharin\Saccharin/20201203_Cefas_Test8_Run3/Plate 3/@21/E12_03.tif "/>
    <s v=" 57038.0321 "/>
    <s v=" 37.7084 "/>
    <x v="0"/>
    <n v="2150812"/>
    <m/>
    <m/>
  </r>
  <r>
    <x v="19"/>
    <x v="6"/>
    <s v="C:\Users\andre\Desktop\REACTIV CEFAS\Saccharin\Saccharin/20201203_Cefas_Test8_Run3/Plate 3/@21/F12_01.tif "/>
    <s v=" 58227.6763 "/>
    <s v=" 40.3618 "/>
    <x v="0"/>
    <n v="2350175"/>
    <m/>
    <m/>
  </r>
  <r>
    <x v="19"/>
    <x v="6"/>
    <s v="C:\Users\andre\Desktop\REACTIV CEFAS\Saccharin\Saccharin/20201203_Cefas_Test8_Run3/Plate 3/@21/F12_02.tif "/>
    <s v=" 51327.74 "/>
    <s v=" 36.2937 "/>
    <x v="0"/>
    <n v="1862875"/>
    <m/>
    <m/>
  </r>
  <r>
    <x v="19"/>
    <x v="6"/>
    <s v="C:\Users\andre\Desktop\REACTIV CEFAS\Saccharin\Saccharin/20201203_Cefas_Test8_Run3/Plate 3/@21/F12_03.tif "/>
    <s v=" 48753.7825 "/>
    <s v=" 36.2893 "/>
    <x v="0"/>
    <n v="1769239"/>
    <m/>
    <m/>
  </r>
  <r>
    <x v="19"/>
    <x v="7"/>
    <s v="C:\Users\andre\Desktop\REACTIV CEFAS\Saccharin\Saccharin/20201203_Cefas_Test8_Run3/Plate 3/@21/G12_01.tif "/>
    <s v=" 16871.3178 "/>
    <s v=" 34.6846 "/>
    <x v="0"/>
    <n v="585175"/>
    <m/>
    <m/>
  </r>
  <r>
    <x v="19"/>
    <x v="7"/>
    <s v="C:\Users\andre\Desktop\REACTIV CEFAS\Saccharin\Saccharin/20201203_Cefas_Test8_Run3/Plate 3/@21/G12_02.tif "/>
    <s v=" 20029.2824 "/>
    <s v=" 35.5648 "/>
    <x v="0"/>
    <n v="712337"/>
    <m/>
    <m/>
  </r>
  <r>
    <x v="19"/>
    <x v="7"/>
    <s v="C:\Users\andre\Desktop\REACTIV CEFAS\Saccharin\Saccharin/20201203_Cefas_Test8_Run3/Plate 3/@21/G12_03.tif "/>
    <s v=" 14059.4315 "/>
    <s v=" 35.9846 "/>
    <x v="0"/>
    <n v="505923"/>
    <m/>
    <m/>
  </r>
  <r>
    <x v="19"/>
    <x v="8"/>
    <s v="C:\Users\andre\Desktop\REACTIV CEFAS\Saccharin\Saccharin/20201203_Cefas_Test8_Run3/Plate 3/@21/H12_01.tif "/>
    <s v=" 1449.2029 "/>
    <s v=" 31.7015 "/>
    <x v="0"/>
    <n v="45942"/>
    <m/>
    <m/>
  </r>
  <r>
    <x v="19"/>
    <x v="8"/>
    <s v="C:\Users\andre\Desktop\REACTIV CEFAS\Saccharin\Saccharin/20201203_Cefas_Test8_Run3/Plate 3/@21/H12_02.tif "/>
    <s v=" 1557.3524 "/>
    <s v=" 32.6806 "/>
    <x v="0"/>
    <n v="50895"/>
    <m/>
    <m/>
  </r>
  <r>
    <x v="19"/>
    <x v="8"/>
    <s v="C:\Users\andre\Desktop\REACTIV CEFAS\Saccharin\Saccharin/20201203_Cefas_Test8_Run3/Plate 3/@21/H12_03.tif "/>
    <s v=" 3352.6337 "/>
    <s v=" 32.1871 "/>
    <x v="0"/>
    <n v="107912"/>
    <m/>
    <m/>
  </r>
  <r>
    <x v="0"/>
    <x v="0"/>
    <s v=" "/>
    <m/>
    <m/>
    <x v="1"/>
    <m/>
    <m/>
    <m/>
  </r>
  <r>
    <x v="0"/>
    <x v="0"/>
    <s v="group "/>
    <s v=" "/>
    <s v=" mean of mean fluo "/>
    <x v="2"/>
    <s v=" mean of total fluo "/>
    <s v=" SD total fluo "/>
    <m/>
  </r>
  <r>
    <x v="19"/>
    <x v="9"/>
    <s v="C:\Users\andre\Desktop\REACTIV CEFAS\Saccharin\Saccharin/20201203_Cefas_Test8_Run3/Plate 3/@21/ "/>
    <s v=" "/>
    <s v=" 37.9609 "/>
    <x v="21"/>
    <s v=" 1158681.04 "/>
    <s v=" 882901.069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Saccharin\Saccharin/20201203_Cefas_Test8_Run3/Plate 3/@8/A2_01.tif "/>
    <s v=" 64.8897 "/>
    <s v=" 30.3333 "/>
    <x v="0"/>
    <n v="1968"/>
    <m/>
    <m/>
  </r>
  <r>
    <x v="20"/>
    <x v="1"/>
    <s v="C:\Users\andre\Desktop\REACTIV CEFAS\Saccharin\Saccharin/20201203_Cefas_Test8_Run3/Plate 3/@8/A2_02.tif "/>
    <s v=" 9344.1145 "/>
    <s v=" 38.213 "/>
    <x v="0"/>
    <n v="357066"/>
    <m/>
    <m/>
  </r>
  <r>
    <x v="20"/>
    <x v="1"/>
    <s v="C:\Users\andre\Desktop\REACTIV CEFAS\Saccharin\Saccharin/20201203_Cefas_Test8_Run3/Plate 3/@8/A2_03- exclu.tif"/>
    <m/>
    <m/>
    <x v="1"/>
    <m/>
    <m/>
    <m/>
  </r>
  <r>
    <x v="20"/>
    <x v="2"/>
    <s v="C:\Users\andre\Desktop\REACTIV CEFAS\Saccharin\Saccharin/20201203_Cefas_Test8_Run3/Plate 3/@8/B2_01.tif "/>
    <s v=" 4347.6088 "/>
    <s v=" 37.7463 "/>
    <x v="0"/>
    <n v="164106"/>
    <m/>
    <m/>
  </r>
  <r>
    <x v="20"/>
    <x v="2"/>
    <s v="C:\Users\andre\Desktop\REACTIV CEFAS\Saccharin\Saccharin/20201203_Cefas_Test8_Run3/Plate 3/@8/B2_02.tif "/>
    <s v=" 4455.7583 "/>
    <s v=" 37.4951 "/>
    <x v="0"/>
    <n v="167069"/>
    <m/>
    <m/>
  </r>
  <r>
    <x v="20"/>
    <x v="2"/>
    <s v="C:\Users\andre\Desktop\REACTIV CEFAS\Saccharin\Saccharin/20201203_Cefas_Test8_Run3/Plate 3/@8/B2_03.tif "/>
    <s v=" 4412.4985 "/>
    <s v=" 37.1324 "/>
    <x v="0"/>
    <n v="163846"/>
    <m/>
    <m/>
  </r>
  <r>
    <x v="20"/>
    <x v="3"/>
    <s v="C:\Users\andre\Desktop\REACTIV CEFAS\Saccharin\Saccharin/20201203_Cefas_Test8_Run3/Plate 3/@8/C2_01.tif "/>
    <s v=" 4455.7583 "/>
    <s v=" 32.3544 "/>
    <x v="0"/>
    <n v="144163"/>
    <m/>
    <m/>
  </r>
  <r>
    <x v="20"/>
    <x v="3"/>
    <s v="C:\Users\andre\Desktop\REACTIV CEFAS\Saccharin\Saccharin/20201203_Cefas_Test8_Run3/Plate 3/@8/C2_02.tif "/>
    <s v=" 11701.773 "/>
    <s v=" 37.5601 "/>
    <x v="0"/>
    <n v="439519"/>
    <m/>
    <m/>
  </r>
  <r>
    <x v="20"/>
    <x v="3"/>
    <s v="C:\Users\andre\Desktop\REACTIV CEFAS\Saccharin\Saccharin/20201203_Cefas_Test8_Run3/Plate 3/@8/C2_03.tif "/>
    <s v=" 7051.3456 "/>
    <s v=" 37.3926 "/>
    <x v="0"/>
    <n v="263668"/>
    <m/>
    <m/>
  </r>
  <r>
    <x v="20"/>
    <x v="4"/>
    <s v="C:\Users\andre\Desktop\REACTIV CEFAS\Saccharin\Saccharin/20201203_Cefas_Test8_Run3/Plate 3/@8/D2_01.tif "/>
    <s v=" 5234.4345 "/>
    <s v=" 35.5661 "/>
    <x v="0"/>
    <n v="186169"/>
    <m/>
    <m/>
  </r>
  <r>
    <x v="20"/>
    <x v="4"/>
    <s v="C:\Users\andre\Desktop\REACTIV CEFAS\Saccharin\Saccharin/20201203_Cefas_Test8_Run3/Plate 3/@8/D2_02.tif "/>
    <s v=" 4174.5697 "/>
    <s v=" 33.5907 "/>
    <x v="0"/>
    <n v="140227"/>
    <m/>
    <m/>
  </r>
  <r>
    <x v="20"/>
    <x v="4"/>
    <s v="C:\Users\andre\Desktop\REACTIV CEFAS\Saccharin\Saccharin/20201203_Cefas_Test8_Run3/Plate 3/@8/D2_03.tif "/>
    <s v=" 6424.0787 "/>
    <s v=" 39.101 "/>
    <x v="0"/>
    <n v="251188"/>
    <m/>
    <m/>
  </r>
  <r>
    <x v="20"/>
    <x v="5"/>
    <s v="C:\Users\andre\Desktop\REACTIV CEFAS\Saccharin\Saccharin/20201203_Cefas_Test8_Run3/Plate 3/@8/E2_01.tif "/>
    <s v=" 216.2989 "/>
    <s v=" 31.3 "/>
    <x v="0"/>
    <n v="6770"/>
    <m/>
    <m/>
  </r>
  <r>
    <x v="20"/>
    <x v="5"/>
    <s v="C:\Users\andre\Desktop\REACTIV CEFAS\Saccharin\Saccharin/20201203_Cefas_Test8_Run3/Plate 3/@8/E2_02.tif "/>
    <s v=" 4758.5768 "/>
    <s v=" 35.6045 "/>
    <x v="0"/>
    <n v="169427"/>
    <m/>
    <m/>
  </r>
  <r>
    <x v="20"/>
    <x v="5"/>
    <s v="C:\Users\andre\Desktop\REACTIV CEFAS\Saccharin\Saccharin/20201203_Cefas_Test8_Run3/Plate 3/@8/E2_03.tif "/>
    <s v=" 1211.2741 "/>
    <s v=" 32.5714 "/>
    <x v="0"/>
    <n v="39453"/>
    <m/>
    <m/>
  </r>
  <r>
    <x v="20"/>
    <x v="6"/>
    <s v="C:\Users\andre\Desktop\REACTIV CEFAS\Saccharin\Saccharin/20201203_Cefas_Test8_Run3/Plate 3/@8/F2_01- exclu.tif"/>
    <m/>
    <m/>
    <x v="1"/>
    <m/>
    <m/>
    <m/>
  </r>
  <r>
    <x v="20"/>
    <x v="6"/>
    <s v="C:\Users\andre\Desktop\REACTIV CEFAS\Saccharin\Saccharin/20201203_Cefas_Test8_Run3/Plate 3/@8/F2_02.tif "/>
    <s v=" 9235.965 "/>
    <s v=" 46.3021 "/>
    <x v="0"/>
    <n v="427645"/>
    <m/>
    <m/>
  </r>
  <r>
    <x v="20"/>
    <x v="6"/>
    <s v="C:\Users\andre\Desktop\REACTIV CEFAS\Saccharin\Saccharin/20201203_Cefas_Test8_Run3/Plate 3/@8/F2_03.tif "/>
    <s v=" 6337.5591 "/>
    <s v=" 41.2116 "/>
    <x v="0"/>
    <n v="261181"/>
    <m/>
    <m/>
  </r>
  <r>
    <x v="20"/>
    <x v="7"/>
    <s v="C:\Users\andre\Desktop\REACTIV CEFAS\Saccharin\Saccharin/20201203_Cefas_Test8_Run3/Plate 3/@8/G2_01.tif "/>
    <s v=" 4953.2459 "/>
    <s v=" 35.2271 "/>
    <x v="0"/>
    <n v="174488"/>
    <m/>
    <m/>
  </r>
  <r>
    <x v="20"/>
    <x v="7"/>
    <s v="C:\Users\andre\Desktop\REACTIV CEFAS\Saccharin\Saccharin/20201203_Cefas_Test8_Run3/Plate 3/@8/G2_02.tif "/>
    <s v=" 778.6762 "/>
    <s v=" 31.9167 "/>
    <x v="0"/>
    <n v="24853"/>
    <m/>
    <m/>
  </r>
  <r>
    <x v="20"/>
    <x v="7"/>
    <s v="C:\Users\andre\Desktop\REACTIV CEFAS\Saccharin\Saccharin/20201203_Cefas_Test8_Run3/Plate 3/@8/G2_03.tif "/>
    <s v=" 3568.9326 "/>
    <s v=" 34.8303 "/>
    <x v="0"/>
    <n v="124307"/>
    <m/>
    <m/>
  </r>
  <r>
    <x v="20"/>
    <x v="8"/>
    <s v="C:\Users\andre\Desktop\REACTIV CEFAS\Saccharin\Saccharin/20201203_Cefas_Test8_Run3/Plate 3/@8/H2_01.tif "/>
    <s v=" 1903.4307 "/>
    <s v=" 34.1364 "/>
    <x v="0"/>
    <n v="64976"/>
    <m/>
    <m/>
  </r>
  <r>
    <x v="20"/>
    <x v="8"/>
    <s v="C:\Users\andre\Desktop\REACTIV CEFAS\Saccharin\Saccharin/20201203_Cefas_Test8_Run3/Plate 3/@8/H2_02.tif "/>
    <s v=" 4520.648 "/>
    <s v=" 37.89 "/>
    <x v="0"/>
    <n v="171287"/>
    <m/>
    <m/>
  </r>
  <r>
    <x v="20"/>
    <x v="8"/>
    <s v="C:\Users\andre\Desktop\REACTIV CEFAS\Saccharin\Saccharin/20201203_Cefas_Test8_Run3/Plate 3/@8/H2_03.tif "/>
    <s v=" 3028.1852 "/>
    <s v=" 34.2786 "/>
    <x v="0"/>
    <n v="103802"/>
    <m/>
    <m/>
  </r>
  <r>
    <x v="0"/>
    <x v="0"/>
    <s v=" "/>
    <m/>
    <m/>
    <x v="1"/>
    <m/>
    <m/>
    <m/>
  </r>
  <r>
    <x v="0"/>
    <x v="0"/>
    <s v="group "/>
    <s v=" "/>
    <s v=" mean of mean fluo "/>
    <x v="2"/>
    <s v=" mean of total fluo "/>
    <s v=" SD total fluo "/>
    <m/>
  </r>
  <r>
    <x v="20"/>
    <x v="9"/>
    <s v="C:\Users\andre\Desktop\REACTIV CEFAS\Saccharin\Saccharin/20201203_Cefas_Test8_Run3/Plate 3/@8/ "/>
    <s v=" "/>
    <s v=" 35.8751 "/>
    <x v="22"/>
    <s v=" 175605.833 "/>
    <s v=" 125031.924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Saccharin\Saccharin/20201203_Cefas_Test8_Run3/Plate 3/@9/A3_01- exclu.tif"/>
    <m/>
    <m/>
    <x v="1"/>
    <m/>
    <m/>
    <m/>
  </r>
  <r>
    <x v="21"/>
    <x v="1"/>
    <s v="C:\Users\andre\Desktop\REACTIV CEFAS\Saccharin\Saccharin/20201203_Cefas_Test8_Run3/Plate 3/@9/A3_02- exclu.tif"/>
    <m/>
    <m/>
    <x v="1"/>
    <m/>
    <m/>
    <m/>
  </r>
  <r>
    <x v="21"/>
    <x v="1"/>
    <s v="C:\Users\andre\Desktop\REACTIV CEFAS\Saccharin\Saccharin/20201203_Cefas_Test8_Run3/Plate 3/@9/A3_03- exclu.tif"/>
    <m/>
    <m/>
    <x v="1"/>
    <m/>
    <m/>
    <m/>
  </r>
  <r>
    <x v="21"/>
    <x v="2"/>
    <s v="C:\Users\andre\Desktop\REACTIV CEFAS\Saccharin\Saccharin/20201203_Cefas_Test8_Run3/Plate 3/@9/B3_01.tif "/>
    <s v=" 108.1495 "/>
    <s v=" 31.6 "/>
    <x v="0"/>
    <n v="3418"/>
    <m/>
    <m/>
  </r>
  <r>
    <x v="21"/>
    <x v="2"/>
    <s v="C:\Users\andre\Desktop\REACTIV CEFAS\Saccharin\Saccharin/20201203_Cefas_Test8_Run3/Plate 3/@9/B3_02.tif "/>
    <s v=" 216.2989 "/>
    <s v=" 30.5 "/>
    <x v="0"/>
    <n v="6597"/>
    <m/>
    <m/>
  </r>
  <r>
    <x v="21"/>
    <x v="2"/>
    <s v="C:\Users\andre\Desktop\REACTIV CEFAS\Saccharin\Saccharin/20201203_Cefas_Test8_Run3/Plate 3/@9/B3_03.tif "/>
    <s v=" 951.7154 "/>
    <s v=" 32.3182 "/>
    <x v="0"/>
    <n v="30758"/>
    <m/>
    <m/>
  </r>
  <r>
    <x v="21"/>
    <x v="3"/>
    <s v="C:\Users\andre\Desktop\REACTIV CEFAS\Saccharin\Saccharin/20201203_Cefas_Test8_Run3/Plate 3/@9/C3_01.tif "/>
    <s v=" 2184.6194 "/>
    <s v=" 31.505 "/>
    <x v="0"/>
    <n v="68826"/>
    <m/>
    <m/>
  </r>
  <r>
    <x v="21"/>
    <x v="3"/>
    <s v="C:\Users\andre\Desktop\REACTIV CEFAS\Saccharin\Saccharin/20201203_Cefas_Test8_Run3/Plate 3/@9/C3_02.tif "/>
    <s v=" 3633.8223 "/>
    <s v=" 34.125 "/>
    <x v="0"/>
    <n v="124004"/>
    <m/>
    <m/>
  </r>
  <r>
    <x v="21"/>
    <x v="3"/>
    <s v="C:\Users\andre\Desktop\REACTIV CEFAS\Saccharin\Saccharin/20201203_Cefas_Test8_Run3/Plate 3/@9/C3_03.tif "/>
    <s v=" 713.7865 "/>
    <s v=" 31.3333 "/>
    <x v="0"/>
    <n v="22365"/>
    <m/>
    <m/>
  </r>
  <r>
    <x v="21"/>
    <x v="4"/>
    <s v="C:\Users\andre\Desktop\REACTIV CEFAS\Saccharin\Saccharin/20201203_Cefas_Test8_Run3/Plate 3/@9/D3_01.tif "/>
    <s v=" 4347.6088 "/>
    <s v=" 35.801 "/>
    <x v="0"/>
    <n v="155649"/>
    <m/>
    <m/>
  </r>
  <r>
    <x v="21"/>
    <x v="4"/>
    <s v="C:\Users\andre\Desktop\REACTIV CEFAS\Saccharin\Saccharin/20201203_Cefas_Test8_Run3/Plate 3/@9/D3_02.tif "/>
    <s v=" 3504.0429 "/>
    <s v=" 35.5247 "/>
    <x v="0"/>
    <n v="124480"/>
    <m/>
    <m/>
  </r>
  <r>
    <x v="21"/>
    <x v="4"/>
    <s v="C:\Users\andre\Desktop\REACTIV CEFAS\Saccharin\Saccharin/20201203_Cefas_Test8_Run3/Plate 3/@9/D3_03.tif "/>
    <s v=" 7029.7158 "/>
    <s v=" 39.4738 "/>
    <x v="0"/>
    <n v="277490"/>
    <m/>
    <m/>
  </r>
  <r>
    <x v="21"/>
    <x v="5"/>
    <s v="C:\Users\andre\Desktop\REACTIV CEFAS\Saccharin\Saccharin/20201203_Cefas_Test8_Run3/Plate 3/@9/E3_01.tif "/>
    <s v=" 6467.3385 "/>
    <s v=" 36.796 "/>
    <x v="0"/>
    <n v="237972"/>
    <m/>
    <m/>
  </r>
  <r>
    <x v="21"/>
    <x v="5"/>
    <s v="C:\Users\andre\Desktop\REACTIV CEFAS\Saccharin\Saccharin/20201203_Cefas_Test8_Run3/Plate 3/@9/E3_02.tif "/>
    <s v=" 4888.3562 "/>
    <s v=" 37.3407 "/>
    <x v="0"/>
    <n v="182535"/>
    <m/>
    <m/>
  </r>
  <r>
    <x v="21"/>
    <x v="5"/>
    <s v="C:\Users\andre\Desktop\REACTIV CEFAS\Saccharin\Saccharin/20201203_Cefas_Test8_Run3/Plate 3/@9/E3_03.tif "/>
    <s v=" 7721.8724 "/>
    <s v=" 38.4986 "/>
    <x v="0"/>
    <n v="297281"/>
    <m/>
    <m/>
  </r>
  <r>
    <x v="21"/>
    <x v="6"/>
    <s v="C:\Users\andre\Desktop\REACTIV CEFAS\Saccharin\Saccharin/20201203_Cefas_Test8_Run3/Plate 3/@9/F3_01.tif "/>
    <s v=" 9798.3423 "/>
    <s v=" 37.9227 "/>
    <x v="0"/>
    <n v="371580"/>
    <m/>
    <m/>
  </r>
  <r>
    <x v="21"/>
    <x v="6"/>
    <s v="C:\Users\andre\Desktop\REACTIV CEFAS\Saccharin\Saccharin/20201203_Cefas_Test8_Run3/Plate 3/@9/F3_02.tif "/>
    <s v=" 8824.997 "/>
    <s v=" 35.9436 "/>
    <x v="0"/>
    <n v="317202"/>
    <m/>
    <m/>
  </r>
  <r>
    <x v="21"/>
    <x v="6"/>
    <s v="C:\Users\andre\Desktop\REACTIV CEFAS\Saccharin\Saccharin/20201203_Cefas_Test8_Run3/Plate 3/@9/F3_03.tif "/>
    <s v=" 7527.2033 "/>
    <s v=" 34.8305 "/>
    <x v="0"/>
    <n v="262176"/>
    <m/>
    <m/>
  </r>
  <r>
    <x v="21"/>
    <x v="7"/>
    <s v="C:\Users\andre\Desktop\REACTIV CEFAS\Saccharin\Saccharin/20201203_Cefas_Test8_Run3/Plate 3/@9/G3_01.tif "/>
    <s v=" 10836.5772 "/>
    <s v=" 42.6786 "/>
    <x v="0"/>
    <n v="462490"/>
    <m/>
    <m/>
  </r>
  <r>
    <x v="21"/>
    <x v="7"/>
    <s v="C:\Users\andre\Desktop\REACTIV CEFAS\Saccharin\Saccharin/20201203_Cefas_Test8_Run3/Plate 3/@9/G3_02.tif "/>
    <s v=" 21.6299 "/>
    <n v="30"/>
    <x v="0"/>
    <n v="649"/>
    <m/>
    <m/>
  </r>
  <r>
    <x v="21"/>
    <x v="7"/>
    <s v="C:\Users\andre\Desktop\REACTIV CEFAS\Saccharin\Saccharin/20201203_Cefas_Test8_Run3/Plate 3/@9/G3_03.tif "/>
    <s v=" 5515.6231 "/>
    <s v=" 40.3804 "/>
    <x v="0"/>
    <n v="222723"/>
    <m/>
    <m/>
  </r>
  <r>
    <x v="21"/>
    <x v="8"/>
    <s v="C:\Users\andre\Desktop\REACTIV CEFAS\Saccharin\Saccharin/20201203_Cefas_Test8_Run3/Plate 3/@9/H3_01- exclu.tif"/>
    <m/>
    <m/>
    <x v="1"/>
    <m/>
    <m/>
    <m/>
  </r>
  <r>
    <x v="21"/>
    <x v="8"/>
    <s v="C:\Users\andre\Desktop\REACTIV CEFAS\Saccharin\Saccharin/20201203_Cefas_Test8_Run3/Plate 3/@9/H3_02- exclu.tif"/>
    <m/>
    <m/>
    <x v="1"/>
    <m/>
    <m/>
    <m/>
  </r>
  <r>
    <x v="21"/>
    <x v="8"/>
    <s v="C:\Users\andre\Desktop\REACTIV CEFAS\Saccharin\Saccharin/20201203_Cefas_Test8_Run3/Plate 3/@9/H3_03.tif "/>
    <s v=" 2855.1461 "/>
    <s v=" 33.8561 "/>
    <x v="0"/>
    <n v="96664"/>
    <m/>
    <m/>
  </r>
  <r>
    <x v="0"/>
    <x v="0"/>
    <s v=" "/>
    <m/>
    <m/>
    <x v="1"/>
    <m/>
    <m/>
    <m/>
  </r>
  <r>
    <x v="0"/>
    <x v="0"/>
    <s v="group "/>
    <s v=" "/>
    <s v=" mean of mean fluo "/>
    <x v="2"/>
    <s v=" mean of total fluo "/>
    <s v=" SD total fluo "/>
    <m/>
  </r>
  <r>
    <x v="21"/>
    <x v="9"/>
    <s v="C:\Users\andre\Desktop\REACTIV CEFAS\Saccharin\Saccharin/20201203_Cefas_Test8_Run3/Plate 3/@9/ "/>
    <s v=" "/>
    <s v=" 33.3747 "/>
    <x v="23"/>
    <s v=" 181012.417 "/>
    <s v=" 173506.674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01"/>
    <s v="mg/L"/>
    <s v="SAC"/>
    <x v="0"/>
  </r>
  <r>
    <x v="9"/>
    <x v="1"/>
    <n v="0.1"/>
    <s v="mg/L"/>
    <s v="SAC"/>
    <x v="0"/>
  </r>
  <r>
    <x v="10"/>
    <x v="1"/>
    <n v="1"/>
    <s v="mg/L"/>
    <s v="SAC"/>
    <x v="0"/>
  </r>
  <r>
    <x v="11"/>
    <x v="1"/>
    <n v="10"/>
    <s v="mg/L"/>
    <s v="SAC"/>
    <x v="0"/>
  </r>
  <r>
    <x v="12"/>
    <x v="1"/>
    <n v="100"/>
    <s v="mg/L"/>
    <s v="SAC"/>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4"/>
    <x v="0"/>
    <n v="30"/>
    <s v="µg/L"/>
    <s v="Testo "/>
    <x v="0"/>
  </r>
  <r>
    <x v="15"/>
    <x v="0"/>
    <n v="64"/>
    <s v="ng/L"/>
    <s v="Testo 30µg/L + EE2 "/>
    <x v="0"/>
  </r>
  <r>
    <x v="16"/>
    <x v="0"/>
    <n v="10"/>
    <s v="mg/L"/>
    <s v="Testo 30µg/L + FAD"/>
    <x v="0"/>
  </r>
  <r>
    <x v="17"/>
    <x v="1"/>
    <n v="0.01"/>
    <s v="mg/L"/>
    <s v="SAC"/>
    <x v="1"/>
  </r>
  <r>
    <x v="18"/>
    <x v="1"/>
    <n v="0.1"/>
    <s v="mg/L"/>
    <s v="SAC"/>
    <x v="1"/>
  </r>
  <r>
    <x v="19"/>
    <x v="1"/>
    <n v="1"/>
    <s v="mg/L"/>
    <s v="SAC"/>
    <x v="1"/>
  </r>
  <r>
    <x v="20"/>
    <x v="1"/>
    <n v="10"/>
    <s v="mg/L"/>
    <s v="SAC"/>
    <x v="1"/>
  </r>
  <r>
    <x v="21"/>
    <x v="1"/>
    <n v="100"/>
    <s v="mg/L"/>
    <s v="SAC"/>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2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46">
        <item x="1"/>
        <item x="0"/>
        <item x="2"/>
        <item m="1" x="34"/>
        <item m="1" x="25"/>
        <item m="1" x="36"/>
        <item m="1" x="43"/>
        <item m="1" x="42"/>
        <item m="1" x="32"/>
        <item m="1" x="24"/>
        <item m="1" x="29"/>
        <item m="1" x="28"/>
        <item m="1" x="37"/>
        <item m="1" x="33"/>
        <item m="1" x="41"/>
        <item m="1" x="44"/>
        <item m="1" x="31"/>
        <item m="1" x="35"/>
        <item m="1" x="40"/>
        <item m="1" x="38"/>
        <item m="1" x="27"/>
        <item m="1" x="39"/>
        <item m="1" x="26"/>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3"/>
        <item m="1" x="30"/>
        <item m="1" x="38"/>
        <item m="1" x="41"/>
        <item m="1" x="39"/>
        <item m="1" x="28"/>
        <item m="1" x="26"/>
        <item m="1" x="34"/>
        <item m="1" x="25"/>
        <item m="1" x="44"/>
        <item m="1" x="29"/>
        <item m="1" x="37"/>
        <item m="1" x="40"/>
        <item m="1" x="35"/>
        <item m="1" x="32"/>
        <item m="1" x="43"/>
        <item m="1" x="42"/>
        <item m="1" x="31"/>
        <item m="1" x="27"/>
        <item m="1" x="24"/>
        <item m="1" x="36"/>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8"/>
        <item m="1" x="41"/>
        <item m="1" x="28"/>
        <item m="1" x="34"/>
        <item m="1" x="29"/>
        <item m="1" x="32"/>
        <item m="1" x="25"/>
        <item m="1" x="26"/>
        <item m="1" x="27"/>
        <item m="1" x="35"/>
        <item m="1" x="37"/>
        <item m="1" x="33"/>
        <item m="1" x="44"/>
        <item m="1" x="39"/>
        <item m="1" x="24"/>
        <item m="1" x="31"/>
        <item m="1" x="43"/>
        <item m="1" x="40"/>
        <item m="1" x="36"/>
        <item m="1" x="42"/>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2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34">
        <item x="22"/>
        <item x="13"/>
        <item x="1"/>
        <item x="2"/>
        <item x="3"/>
        <item x="4"/>
        <item x="5"/>
        <item x="6"/>
        <item x="7"/>
        <item x="15"/>
        <item x="16"/>
        <item x="14"/>
        <item x="0"/>
        <item m="1" x="32"/>
        <item m="1" x="30"/>
        <item m="1" x="31"/>
        <item m="1" x="26"/>
        <item m="1" x="24"/>
        <item m="1" x="27"/>
        <item m="1" x="28"/>
        <item m="1" x="29"/>
        <item m="1" x="25"/>
        <item m="1" x="33"/>
        <item m="1" x="23"/>
        <item x="8"/>
        <item x="9"/>
        <item x="10"/>
        <item x="11"/>
        <item x="12"/>
        <item x="17"/>
        <item x="18"/>
        <item x="19"/>
        <item x="20"/>
        <item x="21"/>
      </items>
    </pivotField>
    <pivotField axis="axisPage" multipleItemSelectionAllowed="1" showAll="0" defaultSubtotal="0">
      <items count="4">
        <item x="3"/>
        <item x="2"/>
        <item h="1" x="0"/>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2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34">
        <item x="22"/>
        <item x="13"/>
        <item x="1"/>
        <item x="2"/>
        <item x="3"/>
        <item x="4"/>
        <item x="5"/>
        <item x="6"/>
        <item x="7"/>
        <item x="15"/>
        <item x="16"/>
        <item x="14"/>
        <item x="0"/>
        <item m="1" x="32"/>
        <item m="1" x="30"/>
        <item m="1" x="31"/>
        <item m="1" x="26"/>
        <item m="1" x="24"/>
        <item m="1" x="27"/>
        <item m="1" x="28"/>
        <item m="1" x="29"/>
        <item m="1" x="25"/>
        <item m="1" x="33"/>
        <item m="1" x="23"/>
        <item x="8"/>
        <item x="9"/>
        <item x="10"/>
        <item x="11"/>
        <item x="12"/>
        <item x="17"/>
        <item x="18"/>
        <item x="19"/>
        <item x="20"/>
        <item x="21"/>
      </items>
    </pivotField>
    <pivotField axis="axisPage" multipleItemSelectionAllowed="1" showAll="0" defaultSubtotal="0">
      <items count="4">
        <item x="3"/>
        <item h="1" x="0"/>
        <item x="2"/>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28" zoomScale="55" zoomScaleNormal="55" workbookViewId="0">
      <selection activeCell="A15" sqref="A15:E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2976</v>
      </c>
      <c r="B15" s="163" t="s">
        <v>2977</v>
      </c>
      <c r="C15" s="164">
        <v>0.01</v>
      </c>
      <c r="D15" s="165" t="s">
        <v>129</v>
      </c>
      <c r="E15" s="166" t="s">
        <v>2978</v>
      </c>
      <c r="F15" s="111"/>
    </row>
    <row r="16" spans="1:9" s="112" customFormat="1" ht="39" customHeight="1" x14ac:dyDescent="0.35">
      <c r="A16" s="65" t="s">
        <v>2979</v>
      </c>
      <c r="B16" s="40" t="s">
        <v>2977</v>
      </c>
      <c r="C16" s="106">
        <v>0.1</v>
      </c>
      <c r="D16" s="106" t="s">
        <v>129</v>
      </c>
      <c r="E16" s="40" t="s">
        <v>2978</v>
      </c>
      <c r="F16" s="111"/>
    </row>
    <row r="17" spans="1:6" s="112" customFormat="1" ht="39" customHeight="1" x14ac:dyDescent="0.35">
      <c r="A17" s="65" t="s">
        <v>2980</v>
      </c>
      <c r="B17" s="102" t="s">
        <v>2977</v>
      </c>
      <c r="C17" s="106">
        <v>1</v>
      </c>
      <c r="D17" s="106" t="s">
        <v>129</v>
      </c>
      <c r="E17" s="102" t="s">
        <v>2978</v>
      </c>
      <c r="F17" s="111"/>
    </row>
    <row r="18" spans="1:6" s="112" customFormat="1" ht="39" customHeight="1" x14ac:dyDescent="0.35">
      <c r="A18" s="65" t="s">
        <v>2981</v>
      </c>
      <c r="B18" s="40" t="s">
        <v>2977</v>
      </c>
      <c r="C18" s="106">
        <v>10</v>
      </c>
      <c r="D18" s="106" t="s">
        <v>129</v>
      </c>
      <c r="E18" s="40" t="s">
        <v>2978</v>
      </c>
      <c r="F18" s="111"/>
    </row>
    <row r="19" spans="1:6" s="112" customFormat="1" ht="39" customHeight="1" x14ac:dyDescent="0.35">
      <c r="A19" s="65" t="s">
        <v>2982</v>
      </c>
      <c r="B19" s="102" t="s">
        <v>2977</v>
      </c>
      <c r="C19" s="106">
        <v>100</v>
      </c>
      <c r="D19" s="106" t="s">
        <v>129</v>
      </c>
      <c r="E19" s="102" t="s">
        <v>2978</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SAC-0,01mg/L + Testostérone</v>
      </c>
      <c r="B39" s="193" t="str">
        <f>B15</f>
        <v>Chemical</v>
      </c>
      <c r="C39" s="193">
        <f t="shared" ref="C39:E39" si="0">C15</f>
        <v>0.01</v>
      </c>
      <c r="D39" s="193" t="str">
        <f t="shared" si="0"/>
        <v>mg/L</v>
      </c>
      <c r="E39" s="193" t="str">
        <f t="shared" si="0"/>
        <v>SAC</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SAC-0,1mg/L + Testostérone</v>
      </c>
      <c r="B40" s="195" t="str">
        <f t="shared" ref="B40:E40" si="1">B16</f>
        <v>Chemical</v>
      </c>
      <c r="C40" s="195">
        <f t="shared" si="1"/>
        <v>0.1</v>
      </c>
      <c r="D40" s="195" t="str">
        <f t="shared" si="1"/>
        <v>mg/L</v>
      </c>
      <c r="E40" s="195" t="str">
        <f t="shared" si="1"/>
        <v>SAC</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SAC-1mg/L + Testostérone</v>
      </c>
      <c r="B41" s="195" t="str">
        <f t="shared" ref="B41:E41" si="2">B17</f>
        <v>Chemical</v>
      </c>
      <c r="C41" s="195">
        <f t="shared" si="2"/>
        <v>1</v>
      </c>
      <c r="D41" s="195" t="str">
        <f t="shared" si="2"/>
        <v>mg/L</v>
      </c>
      <c r="E41" s="195" t="str">
        <f t="shared" si="2"/>
        <v>SAC</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SAC-10mg/L + Testostérone</v>
      </c>
      <c r="B42" s="195" t="str">
        <f t="shared" ref="B42:E42" si="3">B18</f>
        <v>Chemical</v>
      </c>
      <c r="C42" s="195">
        <f t="shared" si="3"/>
        <v>10</v>
      </c>
      <c r="D42" s="195" t="str">
        <f t="shared" si="3"/>
        <v>mg/L</v>
      </c>
      <c r="E42" s="195" t="str">
        <f t="shared" si="3"/>
        <v>SAC</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SAC-100mg/L + Testostérone</v>
      </c>
      <c r="B43" s="195" t="str">
        <f t="shared" ref="B43:E43" si="4">B19</f>
        <v>Chemical</v>
      </c>
      <c r="C43" s="195">
        <f t="shared" si="4"/>
        <v>100</v>
      </c>
      <c r="D43" s="195" t="str">
        <f t="shared" si="4"/>
        <v>mg/L</v>
      </c>
      <c r="E43" s="195" t="str">
        <f t="shared" si="4"/>
        <v>SAC</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E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173</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175</v>
      </c>
      <c r="K4" s="197" t="s">
        <v>100</v>
      </c>
      <c r="L4" s="3" t="s">
        <v>1630</v>
      </c>
      <c r="M4" s="3" t="s">
        <v>1631</v>
      </c>
      <c r="N4" s="3" t="s">
        <v>1632</v>
      </c>
      <c r="O4" s="3" t="s">
        <v>1633</v>
      </c>
      <c r="P4" s="3" t="s">
        <v>1634</v>
      </c>
      <c r="Q4" s="3" t="s">
        <v>1635</v>
      </c>
      <c r="R4" s="3" t="s">
        <v>1636</v>
      </c>
      <c r="S4" s="3" t="s">
        <v>1637</v>
      </c>
      <c r="T4" s="3" t="s">
        <v>1638</v>
      </c>
      <c r="U4" s="3" t="s">
        <v>1639</v>
      </c>
      <c r="V4" s="3" t="s">
        <v>1640</v>
      </c>
      <c r="W4" s="3" t="s">
        <v>1641</v>
      </c>
      <c r="X4" s="3" t="s">
        <v>1642</v>
      </c>
      <c r="Y4" s="3" t="s">
        <v>1643</v>
      </c>
      <c r="Z4" s="3" t="s">
        <v>1644</v>
      </c>
      <c r="AA4" s="3" t="s">
        <v>1645</v>
      </c>
      <c r="AB4" s="3" t="s">
        <v>1646</v>
      </c>
      <c r="AC4" s="3" t="s">
        <v>1647</v>
      </c>
      <c r="AD4" s="3" t="s">
        <v>1648</v>
      </c>
      <c r="AE4" s="3" t="s">
        <v>1649</v>
      </c>
      <c r="AF4" s="3" t="s">
        <v>1650</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176</v>
      </c>
      <c r="K5" s="146" t="s">
        <v>164</v>
      </c>
      <c r="L5" s="44"/>
      <c r="M5" s="44">
        <v>724233.66666666663</v>
      </c>
      <c r="N5" s="44">
        <v>2719721.3333333335</v>
      </c>
      <c r="O5" s="44">
        <v>3923338.3333333335</v>
      </c>
      <c r="P5" s="44">
        <v>59684.333333333336</v>
      </c>
      <c r="Q5" s="44">
        <v>94573.333333333328</v>
      </c>
      <c r="R5" s="44">
        <v>187142</v>
      </c>
      <c r="S5" s="44">
        <v>280237</v>
      </c>
      <c r="T5" s="44">
        <v>853451</v>
      </c>
      <c r="U5" s="44">
        <v>2129117</v>
      </c>
      <c r="V5" s="44">
        <v>4171570.3333333335</v>
      </c>
      <c r="W5" s="44">
        <v>142072.33333333334</v>
      </c>
      <c r="X5" s="44">
        <v>124710.66666666667</v>
      </c>
      <c r="Y5" s="44">
        <v>263315</v>
      </c>
      <c r="Z5" s="44">
        <v>3773219.6666666665</v>
      </c>
      <c r="AA5" s="44">
        <v>2571318.3333333335</v>
      </c>
      <c r="AB5" s="44">
        <v>1747587.3333333333</v>
      </c>
      <c r="AC5" s="44"/>
      <c r="AD5" s="44">
        <v>1482686</v>
      </c>
      <c r="AE5" s="44">
        <v>93945.666666666672</v>
      </c>
      <c r="AF5" s="44">
        <v>104854.33333333333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177</v>
      </c>
      <c r="K6" s="146" t="s">
        <v>1651</v>
      </c>
      <c r="L6" s="44">
        <v>274743</v>
      </c>
      <c r="M6" s="44">
        <v>1986799.6666666667</v>
      </c>
      <c r="N6" s="44">
        <v>2314600.3333333335</v>
      </c>
      <c r="O6" s="44">
        <v>3912985</v>
      </c>
      <c r="P6" s="44">
        <v>94493.666666666672</v>
      </c>
      <c r="Q6" s="44">
        <v>218368.33333333334</v>
      </c>
      <c r="R6" s="44">
        <v>1344831.6666666667</v>
      </c>
      <c r="S6" s="44">
        <v>411458</v>
      </c>
      <c r="T6" s="44">
        <v>2262696</v>
      </c>
      <c r="U6" s="44">
        <v>2429058.3333333335</v>
      </c>
      <c r="V6" s="44">
        <v>3502579.3333333335</v>
      </c>
      <c r="W6" s="44">
        <v>156081.33333333334</v>
      </c>
      <c r="X6" s="44">
        <v>202989.66666666666</v>
      </c>
      <c r="Y6" s="44">
        <v>264778.66666666669</v>
      </c>
      <c r="Z6" s="44">
        <v>3549840.6666666665</v>
      </c>
      <c r="AA6" s="44">
        <v>1580626</v>
      </c>
      <c r="AB6" s="44">
        <v>1241534</v>
      </c>
      <c r="AC6" s="44">
        <v>2566581.6666666665</v>
      </c>
      <c r="AD6" s="44">
        <v>2925703</v>
      </c>
      <c r="AE6" s="44">
        <v>160003.33333333334</v>
      </c>
      <c r="AF6" s="44">
        <v>83383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178</v>
      </c>
      <c r="K7" s="146" t="s">
        <v>1652</v>
      </c>
      <c r="L7" s="44">
        <v>249731.66666666666</v>
      </c>
      <c r="M7" s="44">
        <v>3366073</v>
      </c>
      <c r="N7" s="44">
        <v>2557252</v>
      </c>
      <c r="O7" s="44">
        <v>4483711.333333333</v>
      </c>
      <c r="P7" s="44">
        <v>59223</v>
      </c>
      <c r="Q7" s="44">
        <v>138229.66666666666</v>
      </c>
      <c r="R7" s="44">
        <v>78826.666666666672</v>
      </c>
      <c r="S7" s="44">
        <v>1014521.6666666666</v>
      </c>
      <c r="T7" s="44">
        <v>999503.33333333337</v>
      </c>
      <c r="U7" s="44">
        <v>3440083</v>
      </c>
      <c r="V7" s="44">
        <v>3891142.5</v>
      </c>
      <c r="W7" s="44">
        <v>277923</v>
      </c>
      <c r="X7" s="44">
        <v>362567.66666666669</v>
      </c>
      <c r="Y7" s="44">
        <v>86281.666666666672</v>
      </c>
      <c r="Z7" s="44">
        <v>1648810.6666666667</v>
      </c>
      <c r="AA7" s="44">
        <v>406166</v>
      </c>
      <c r="AB7" s="44">
        <v>926552.66666666663</v>
      </c>
      <c r="AC7" s="44">
        <v>1869637.3333333333</v>
      </c>
      <c r="AD7" s="44">
        <v>679561</v>
      </c>
      <c r="AE7" s="44">
        <v>253899</v>
      </c>
      <c r="AF7" s="44"/>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179</v>
      </c>
      <c r="D8" s="1" t="s">
        <v>180</v>
      </c>
      <c r="E8" s="1" t="s">
        <v>181</v>
      </c>
      <c r="F8" s="1" t="s">
        <v>112</v>
      </c>
      <c r="G8" s="1">
        <v>274743</v>
      </c>
      <c r="K8" s="146" t="s">
        <v>1653</v>
      </c>
      <c r="L8" s="44">
        <v>145771</v>
      </c>
      <c r="M8" s="44">
        <v>1698523.6666666667</v>
      </c>
      <c r="N8" s="44">
        <v>2630339.3333333335</v>
      </c>
      <c r="O8" s="44">
        <v>2204854</v>
      </c>
      <c r="P8" s="44">
        <v>178872</v>
      </c>
      <c r="Q8" s="44">
        <v>171705.33333333334</v>
      </c>
      <c r="R8" s="44">
        <v>191792.33333333334</v>
      </c>
      <c r="S8" s="44">
        <v>696836</v>
      </c>
      <c r="T8" s="44">
        <v>3496688.6666666665</v>
      </c>
      <c r="U8" s="44">
        <v>3562422</v>
      </c>
      <c r="V8" s="44">
        <v>3758107.6666666665</v>
      </c>
      <c r="W8" s="44">
        <v>233667.66666666666</v>
      </c>
      <c r="X8" s="44">
        <v>3417.6666666666665</v>
      </c>
      <c r="Y8" s="44">
        <v>147790</v>
      </c>
      <c r="Z8" s="44">
        <v>872622.33333333337</v>
      </c>
      <c r="AA8" s="44">
        <v>862239.66666666663</v>
      </c>
      <c r="AB8" s="44">
        <v>1954794.3333333333</v>
      </c>
      <c r="AC8" s="44">
        <v>1315191.3333333333</v>
      </c>
      <c r="AD8" s="44">
        <v>331853.33333333331</v>
      </c>
      <c r="AE8" s="44">
        <v>238844.66666666666</v>
      </c>
      <c r="AF8" s="44">
        <v>133708.66666666666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182</v>
      </c>
      <c r="D9" s="1" t="s">
        <v>183</v>
      </c>
      <c r="E9" s="1" t="s">
        <v>184</v>
      </c>
      <c r="F9" s="1" t="s">
        <v>112</v>
      </c>
      <c r="G9" s="1">
        <v>275435</v>
      </c>
      <c r="K9" s="146" t="s">
        <v>1654</v>
      </c>
      <c r="L9" s="44">
        <v>23857.666666666668</v>
      </c>
      <c r="M9" s="44">
        <v>192722.33333333334</v>
      </c>
      <c r="N9" s="44">
        <v>2193357.5</v>
      </c>
      <c r="O9" s="44">
        <v>4702836.666666667</v>
      </c>
      <c r="P9" s="44">
        <v>152707</v>
      </c>
      <c r="Q9" s="44">
        <v>260272.66666666666</v>
      </c>
      <c r="R9" s="44">
        <v>56980.333333333336</v>
      </c>
      <c r="S9" s="44">
        <v>799556.66666666663</v>
      </c>
      <c r="T9" s="44">
        <v>1513725</v>
      </c>
      <c r="U9" s="44">
        <v>2736780</v>
      </c>
      <c r="V9" s="44">
        <v>4961775</v>
      </c>
      <c r="W9" s="44">
        <v>68603</v>
      </c>
      <c r="X9" s="44">
        <v>298968.66666666669</v>
      </c>
      <c r="Y9" s="44">
        <v>111516.33333333333</v>
      </c>
      <c r="Z9" s="44">
        <v>2738301.3333333335</v>
      </c>
      <c r="AA9" s="44">
        <v>603777</v>
      </c>
      <c r="AB9" s="44">
        <v>1975472.6666666667</v>
      </c>
      <c r="AC9" s="44">
        <v>2884714</v>
      </c>
      <c r="AD9" s="44">
        <v>1168483</v>
      </c>
      <c r="AE9" s="44">
        <v>171929</v>
      </c>
      <c r="AF9" s="44">
        <v>53584.333333333336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185</v>
      </c>
      <c r="D10" s="1" t="s">
        <v>186</v>
      </c>
      <c r="E10" s="1" t="s">
        <v>187</v>
      </c>
      <c r="F10" s="1" t="s">
        <v>112</v>
      </c>
      <c r="G10" s="1">
        <v>246300</v>
      </c>
      <c r="K10" s="146" t="s">
        <v>1655</v>
      </c>
      <c r="L10" s="44">
        <v>61155</v>
      </c>
      <c r="M10" s="44">
        <v>1376382.3333333333</v>
      </c>
      <c r="N10" s="44">
        <v>1415006</v>
      </c>
      <c r="O10" s="44">
        <v>3265714</v>
      </c>
      <c r="P10" s="44">
        <v>266372.33333333331</v>
      </c>
      <c r="Q10" s="44">
        <v>215109.33333333334</v>
      </c>
      <c r="R10" s="44"/>
      <c r="S10" s="44">
        <v>163067.66666666666</v>
      </c>
      <c r="T10" s="44">
        <v>2032301.6666666667</v>
      </c>
      <c r="U10" s="44">
        <v>4106169</v>
      </c>
      <c r="V10" s="44">
        <v>4917830.666666667</v>
      </c>
      <c r="W10" s="44">
        <v>642335.66666666663</v>
      </c>
      <c r="X10" s="44">
        <v>182462.66666666666</v>
      </c>
      <c r="Y10" s="44">
        <v>172267.66666666666</v>
      </c>
      <c r="Z10" s="44">
        <v>169477.66666666666</v>
      </c>
      <c r="AA10" s="44">
        <v>2545903.3333333335</v>
      </c>
      <c r="AB10" s="44">
        <v>2524958.6666666665</v>
      </c>
      <c r="AC10" s="44">
        <v>944678.33333333337</v>
      </c>
      <c r="AD10" s="44">
        <v>1753233</v>
      </c>
      <c r="AE10" s="44">
        <v>258765.66666666666</v>
      </c>
      <c r="AF10" s="44"/>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188</v>
      </c>
      <c r="D11" s="1" t="s">
        <v>189</v>
      </c>
      <c r="E11" s="1" t="s">
        <v>190</v>
      </c>
      <c r="F11" s="1" t="s">
        <v>112</v>
      </c>
      <c r="G11" s="1">
        <v>227460</v>
      </c>
      <c r="K11" s="146" t="s">
        <v>1656</v>
      </c>
      <c r="L11" s="44">
        <v>440</v>
      </c>
      <c r="M11" s="44">
        <v>1717795.6666666667</v>
      </c>
      <c r="N11" s="44">
        <v>311802.33333333331</v>
      </c>
      <c r="O11" s="44">
        <v>4801562.666666667</v>
      </c>
      <c r="P11" s="44">
        <v>70946</v>
      </c>
      <c r="Q11" s="44">
        <v>85568.333333333328</v>
      </c>
      <c r="R11" s="44">
        <v>144509</v>
      </c>
      <c r="S11" s="44">
        <v>994283.33333333337</v>
      </c>
      <c r="T11" s="44">
        <v>2373686.3333333335</v>
      </c>
      <c r="U11" s="44">
        <v>3742541.6666666665</v>
      </c>
      <c r="V11" s="44">
        <v>4126154.6666666665</v>
      </c>
      <c r="W11" s="44"/>
      <c r="X11" s="44"/>
      <c r="Y11" s="44">
        <v>239933.33333333334</v>
      </c>
      <c r="Z11" s="44">
        <v>497639</v>
      </c>
      <c r="AA11" s="44">
        <v>1070189.3333333333</v>
      </c>
      <c r="AB11" s="44">
        <v>2491410.6666666665</v>
      </c>
      <c r="AC11" s="44">
        <v>2420176</v>
      </c>
      <c r="AD11" s="44">
        <v>2220042</v>
      </c>
      <c r="AE11" s="44">
        <v>246220</v>
      </c>
      <c r="AF11" s="44">
        <v>88870</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191</v>
      </c>
      <c r="D12" s="1" t="s">
        <v>192</v>
      </c>
      <c r="E12" s="1" t="s">
        <v>193</v>
      </c>
      <c r="F12" s="1" t="s">
        <v>112</v>
      </c>
      <c r="G12" s="1">
        <v>126297</v>
      </c>
      <c r="K12" s="146" t="s">
        <v>1657</v>
      </c>
      <c r="L12" s="44">
        <v>189593.33333333334</v>
      </c>
      <c r="M12" s="44"/>
      <c r="N12" s="44">
        <v>1213422.6666666667</v>
      </c>
      <c r="O12" s="44">
        <v>2435663.3333333335</v>
      </c>
      <c r="P12" s="44">
        <v>137674.66666666666</v>
      </c>
      <c r="Q12" s="44">
        <v>202506</v>
      </c>
      <c r="R12" s="44">
        <v>61155</v>
      </c>
      <c r="S12" s="44">
        <v>74785.5</v>
      </c>
      <c r="T12" s="44">
        <v>2684284.6666666665</v>
      </c>
      <c r="U12" s="44"/>
      <c r="V12" s="44">
        <v>2066065.6666666667</v>
      </c>
      <c r="W12" s="44">
        <v>31139.666666666668</v>
      </c>
      <c r="X12" s="44">
        <v>109829.33333333333</v>
      </c>
      <c r="Y12" s="44">
        <v>100333.66666666667</v>
      </c>
      <c r="Z12" s="44">
        <v>2859861.3333333335</v>
      </c>
      <c r="AA12" s="44">
        <v>132786</v>
      </c>
      <c r="AB12" s="44">
        <v>2584289</v>
      </c>
      <c r="AC12" s="44">
        <v>197906.33333333334</v>
      </c>
      <c r="AD12" s="44">
        <v>2766528.3333333335</v>
      </c>
      <c r="AE12" s="44">
        <v>141344.33333333334</v>
      </c>
      <c r="AF12" s="44">
        <v>335425.5</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194</v>
      </c>
      <c r="D13" s="1" t="s">
        <v>195</v>
      </c>
      <c r="E13" s="1" t="s">
        <v>196</v>
      </c>
      <c r="F13" s="1" t="s">
        <v>112</v>
      </c>
      <c r="G13" s="1">
        <v>249933</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 s="1" t="s">
        <v>197</v>
      </c>
      <c r="D14" s="1" t="s">
        <v>198</v>
      </c>
      <c r="E14" s="1" t="s">
        <v>199</v>
      </c>
      <c r="F14" s="1" t="s">
        <v>112</v>
      </c>
      <c r="G14" s="1">
        <v>61083</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200</v>
      </c>
      <c r="D15" s="1" t="s">
        <v>201</v>
      </c>
      <c r="E15" s="1" t="s">
        <v>202</v>
      </c>
      <c r="F15" s="1" t="s">
        <v>112</v>
      </c>
      <c r="G15" s="1">
        <v>65452</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203</v>
      </c>
      <c r="D16" s="1" t="s">
        <v>204</v>
      </c>
      <c r="E16" s="1" t="s">
        <v>205</v>
      </c>
      <c r="F16" s="1" t="s">
        <v>112</v>
      </c>
      <c r="G16" s="1">
        <v>6121</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 s="1" t="s">
        <v>206</v>
      </c>
      <c r="D17" s="1">
        <v>0</v>
      </c>
      <c r="E17" s="1">
        <v>0</v>
      </c>
      <c r="F17" s="1" t="s">
        <v>112</v>
      </c>
      <c r="G17" s="1">
        <v>0</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207</v>
      </c>
      <c r="D18" s="1" t="s">
        <v>208</v>
      </c>
      <c r="E18" s="1" t="s">
        <v>209</v>
      </c>
      <c r="F18" s="1" t="s">
        <v>112</v>
      </c>
      <c r="G18" s="1">
        <v>157639</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210</v>
      </c>
      <c r="D19" s="1" t="s">
        <v>211</v>
      </c>
      <c r="E19" s="1" t="s">
        <v>212</v>
      </c>
      <c r="F19" s="1" t="s">
        <v>112</v>
      </c>
      <c r="G19" s="1">
        <v>25826</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 s="1" t="s">
        <v>213</v>
      </c>
      <c r="D20" s="1">
        <v>0</v>
      </c>
      <c r="E20" s="1">
        <v>0</v>
      </c>
      <c r="F20" s="1" t="s">
        <v>112</v>
      </c>
      <c r="G20" s="1">
        <v>0</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214</v>
      </c>
      <c r="D21" s="1">
        <v>0</v>
      </c>
      <c r="E21" s="1">
        <v>0</v>
      </c>
      <c r="F21" s="1" t="s">
        <v>112</v>
      </c>
      <c r="G21" s="1">
        <v>0</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215</v>
      </c>
      <c r="D22" s="1" t="s">
        <v>216</v>
      </c>
      <c r="E22" s="1">
        <v>31</v>
      </c>
      <c r="F22" s="1" t="s">
        <v>112</v>
      </c>
      <c r="G22" s="1">
        <v>671</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 s="1" t="s">
        <v>217</v>
      </c>
      <c r="D23" s="1" t="s">
        <v>216</v>
      </c>
      <c r="E23" s="1">
        <v>30</v>
      </c>
      <c r="F23" s="1" t="s">
        <v>112</v>
      </c>
      <c r="G23" s="1">
        <v>649</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218</v>
      </c>
      <c r="D24" s="1" t="s">
        <v>219</v>
      </c>
      <c r="E24" s="1" t="s">
        <v>220</v>
      </c>
      <c r="F24" s="1" t="s">
        <v>112</v>
      </c>
      <c r="G24" s="1">
        <v>17672</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221</v>
      </c>
      <c r="D25" s="1" t="s">
        <v>222</v>
      </c>
      <c r="E25" s="1" t="s">
        <v>223</v>
      </c>
      <c r="F25" s="1" t="s">
        <v>112</v>
      </c>
      <c r="G25" s="1">
        <v>242255</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6" s="1" t="s">
        <v>224</v>
      </c>
      <c r="D26" s="1" t="s">
        <v>225</v>
      </c>
      <c r="E26" s="1" t="s">
        <v>226</v>
      </c>
      <c r="F26" s="1" t="s">
        <v>112</v>
      </c>
      <c r="G26" s="1">
        <v>308853</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112</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 s="1" t="s">
        <v>227</v>
      </c>
      <c r="D28" s="1" t="s">
        <v>112</v>
      </c>
      <c r="E28" s="1" t="s">
        <v>228</v>
      </c>
      <c r="F28" s="1" t="s">
        <v>229</v>
      </c>
      <c r="G28" s="1" t="s">
        <v>230</v>
      </c>
      <c r="H28" s="1" t="s">
        <v>231</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 s="1" t="s">
        <v>232</v>
      </c>
      <c r="D29" s="1" t="s">
        <v>112</v>
      </c>
      <c r="E29" s="1" t="s">
        <v>233</v>
      </c>
      <c r="F29" s="1" t="s">
        <v>234</v>
      </c>
      <c r="G29" s="1" t="s">
        <v>235</v>
      </c>
      <c r="H29" s="1" t="s">
        <v>236</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112</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173</v>
      </c>
      <c r="D35" s="1" t="s">
        <v>110</v>
      </c>
      <c r="E35" s="1" t="s">
        <v>111</v>
      </c>
      <c r="F35" s="1" t="s">
        <v>112</v>
      </c>
      <c r="G35" s="1" t="s">
        <v>113</v>
      </c>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237</v>
      </c>
      <c r="D36" s="1" t="s">
        <v>238</v>
      </c>
      <c r="E36" s="1" t="s">
        <v>239</v>
      </c>
      <c r="F36" s="1" t="s">
        <v>112</v>
      </c>
      <c r="G36" s="1">
        <v>866537</v>
      </c>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240</v>
      </c>
      <c r="D37" s="1" t="s">
        <v>241</v>
      </c>
      <c r="E37" s="1" t="s">
        <v>242</v>
      </c>
      <c r="F37" s="1" t="s">
        <v>112</v>
      </c>
      <c r="G37" s="1">
        <v>535837</v>
      </c>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 s="1" t="s">
        <v>243</v>
      </c>
      <c r="D38" s="1" t="s">
        <v>244</v>
      </c>
      <c r="E38" s="1" t="s">
        <v>245</v>
      </c>
      <c r="F38" s="1" t="s">
        <v>112</v>
      </c>
      <c r="G38" s="1">
        <v>770327</v>
      </c>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246</v>
      </c>
      <c r="D39" s="1" t="s">
        <v>247</v>
      </c>
      <c r="E39" s="1" t="s">
        <v>248</v>
      </c>
      <c r="F39" s="1" t="s">
        <v>112</v>
      </c>
      <c r="G39" s="1">
        <v>1739433</v>
      </c>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249</v>
      </c>
      <c r="D40" s="1" t="s">
        <v>250</v>
      </c>
      <c r="E40" s="1" t="s">
        <v>251</v>
      </c>
      <c r="F40" s="1" t="s">
        <v>112</v>
      </c>
      <c r="G40" s="1">
        <v>2323570</v>
      </c>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 s="1" t="s">
        <v>252</v>
      </c>
      <c r="D41" s="1" t="s">
        <v>253</v>
      </c>
      <c r="E41" s="1" t="s">
        <v>254</v>
      </c>
      <c r="F41" s="1" t="s">
        <v>112</v>
      </c>
      <c r="G41" s="1">
        <v>1897396</v>
      </c>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255</v>
      </c>
      <c r="D42" s="1" t="s">
        <v>256</v>
      </c>
      <c r="E42" s="1" t="s">
        <v>257</v>
      </c>
      <c r="F42" s="1" t="s">
        <v>112</v>
      </c>
      <c r="G42" s="1">
        <v>2993815</v>
      </c>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258</v>
      </c>
      <c r="D43" s="1" t="s">
        <v>259</v>
      </c>
      <c r="E43" s="1" t="s">
        <v>260</v>
      </c>
      <c r="F43" s="1" t="s">
        <v>112</v>
      </c>
      <c r="G43" s="1">
        <v>3572653</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 s="1" t="s">
        <v>261</v>
      </c>
      <c r="D44" s="1" t="s">
        <v>262</v>
      </c>
      <c r="E44" s="1" t="s">
        <v>263</v>
      </c>
      <c r="F44" s="1" t="s">
        <v>112</v>
      </c>
      <c r="G44" s="1">
        <v>3531751</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264</v>
      </c>
      <c r="D45" s="1" t="s">
        <v>265</v>
      </c>
      <c r="E45" s="1" t="s">
        <v>266</v>
      </c>
      <c r="F45" s="1" t="s">
        <v>112</v>
      </c>
      <c r="G45" s="1">
        <v>2008920</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267</v>
      </c>
      <c r="D46" s="1" t="s">
        <v>268</v>
      </c>
      <c r="E46" s="1" t="s">
        <v>269</v>
      </c>
      <c r="F46" s="1" t="s">
        <v>112</v>
      </c>
      <c r="G46" s="1">
        <v>1531440</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 s="1" t="s">
        <v>270</v>
      </c>
      <c r="D47" s="1" t="s">
        <v>271</v>
      </c>
      <c r="E47" s="1" t="s">
        <v>272</v>
      </c>
      <c r="F47" s="1" t="s">
        <v>112</v>
      </c>
      <c r="G47" s="1">
        <v>1555211</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273</v>
      </c>
      <c r="D48" s="1" t="s">
        <v>274</v>
      </c>
      <c r="E48" s="1" t="s">
        <v>275</v>
      </c>
      <c r="F48" s="1" t="s">
        <v>112</v>
      </c>
      <c r="G48" s="1">
        <v>275067</v>
      </c>
    </row>
    <row r="49" spans="1:8"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276</v>
      </c>
      <c r="D49" s="1" t="s">
        <v>277</v>
      </c>
      <c r="E49" s="1" t="s">
        <v>278</v>
      </c>
      <c r="F49" s="1" t="s">
        <v>112</v>
      </c>
      <c r="G49" s="1">
        <v>179896</v>
      </c>
    </row>
    <row r="50" spans="1:8"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 s="1" t="s">
        <v>279</v>
      </c>
      <c r="D50" s="1" t="s">
        <v>280</v>
      </c>
      <c r="E50" s="1" t="s">
        <v>281</v>
      </c>
      <c r="F50" s="1" t="s">
        <v>112</v>
      </c>
      <c r="G50" s="1">
        <v>123204</v>
      </c>
    </row>
    <row r="51" spans="1:8"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282</v>
      </c>
      <c r="D51" s="1" t="s">
        <v>283</v>
      </c>
      <c r="E51" s="1" t="s">
        <v>284</v>
      </c>
      <c r="F51" s="1" t="s">
        <v>112</v>
      </c>
      <c r="G51" s="1">
        <v>1483551</v>
      </c>
    </row>
    <row r="52" spans="1:8"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285</v>
      </c>
      <c r="D52" s="1" t="s">
        <v>286</v>
      </c>
      <c r="E52" s="1" t="s">
        <v>287</v>
      </c>
      <c r="F52" s="1" t="s">
        <v>112</v>
      </c>
      <c r="G52" s="1">
        <v>1136608</v>
      </c>
    </row>
    <row r="53" spans="1:8"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 s="1" t="s">
        <v>288</v>
      </c>
      <c r="D53" s="1" t="s">
        <v>289</v>
      </c>
      <c r="E53" s="1" t="s">
        <v>290</v>
      </c>
      <c r="F53" s="1" t="s">
        <v>112</v>
      </c>
      <c r="G53" s="1">
        <v>1508988</v>
      </c>
    </row>
    <row r="54" spans="1:8"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291</v>
      </c>
      <c r="D54" s="1" t="s">
        <v>292</v>
      </c>
      <c r="E54" s="1" t="s">
        <v>293</v>
      </c>
      <c r="F54" s="1" t="s">
        <v>112</v>
      </c>
      <c r="G54" s="1">
        <v>1879357</v>
      </c>
    </row>
    <row r="55" spans="1:8"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294</v>
      </c>
      <c r="D55" s="1" t="s">
        <v>295</v>
      </c>
      <c r="E55" s="1" t="s">
        <v>296</v>
      </c>
      <c r="F55" s="1" t="s">
        <v>112</v>
      </c>
      <c r="G55" s="1">
        <v>1539832</v>
      </c>
    </row>
    <row r="56" spans="1:8"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 s="1" t="s">
        <v>297</v>
      </c>
      <c r="D56" s="1" t="s">
        <v>298</v>
      </c>
      <c r="E56" s="1" t="s">
        <v>299</v>
      </c>
      <c r="F56" s="1" t="s">
        <v>112</v>
      </c>
      <c r="G56" s="1">
        <v>1734198</v>
      </c>
    </row>
    <row r="57" spans="1:8"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300</v>
      </c>
    </row>
    <row r="58" spans="1:8"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301</v>
      </c>
    </row>
    <row r="59" spans="1:8"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9" s="1" t="s">
        <v>302</v>
      </c>
    </row>
    <row r="60" spans="1:8"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112</v>
      </c>
    </row>
    <row r="61" spans="1:8"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 s="1" t="s">
        <v>227</v>
      </c>
      <c r="D61" s="1" t="s">
        <v>112</v>
      </c>
      <c r="E61" s="1" t="s">
        <v>228</v>
      </c>
      <c r="F61" s="1" t="s">
        <v>229</v>
      </c>
      <c r="G61" s="1" t="s">
        <v>230</v>
      </c>
      <c r="H61" s="1" t="s">
        <v>231</v>
      </c>
    </row>
    <row r="62" spans="1:8"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 s="1" t="s">
        <v>303</v>
      </c>
      <c r="D62" s="1" t="s">
        <v>112</v>
      </c>
      <c r="E62" s="1" t="s">
        <v>304</v>
      </c>
      <c r="F62" s="1" t="s">
        <v>305</v>
      </c>
      <c r="G62" s="1" t="s">
        <v>306</v>
      </c>
      <c r="H62" s="1" t="s">
        <v>307</v>
      </c>
    </row>
    <row r="63" spans="1:8"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8"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112</v>
      </c>
    </row>
    <row r="68" spans="1:7"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 s="1" t="s">
        <v>173</v>
      </c>
      <c r="D68" s="1" t="s">
        <v>110</v>
      </c>
      <c r="E68" s="1" t="s">
        <v>111</v>
      </c>
      <c r="F68" s="1" t="s">
        <v>112</v>
      </c>
      <c r="G68" s="1" t="s">
        <v>113</v>
      </c>
    </row>
    <row r="69" spans="1:7"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308</v>
      </c>
      <c r="D69" s="1" t="s">
        <v>309</v>
      </c>
      <c r="E69" s="1" t="s">
        <v>310</v>
      </c>
      <c r="F69" s="1" t="s">
        <v>112</v>
      </c>
      <c r="G69" s="1">
        <v>2441150</v>
      </c>
    </row>
    <row r="70" spans="1:7"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311</v>
      </c>
      <c r="D70" s="1" t="s">
        <v>312</v>
      </c>
      <c r="E70" s="1" t="s">
        <v>313</v>
      </c>
      <c r="F70" s="1" t="s">
        <v>112</v>
      </c>
      <c r="G70" s="1">
        <v>2661883</v>
      </c>
    </row>
    <row r="71" spans="1:7"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1" s="1" t="s">
        <v>314</v>
      </c>
      <c r="D71" s="1" t="s">
        <v>315</v>
      </c>
      <c r="E71" s="1" t="s">
        <v>316</v>
      </c>
      <c r="F71" s="1" t="s">
        <v>112</v>
      </c>
      <c r="G71" s="1">
        <v>3056131</v>
      </c>
    </row>
    <row r="72" spans="1:7"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317</v>
      </c>
      <c r="D72" s="1" t="s">
        <v>318</v>
      </c>
      <c r="E72" s="1" t="s">
        <v>319</v>
      </c>
      <c r="F72" s="1" t="s">
        <v>112</v>
      </c>
      <c r="G72" s="1">
        <v>2327571</v>
      </c>
    </row>
    <row r="73" spans="1:7"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320</v>
      </c>
      <c r="D73" s="1" t="s">
        <v>321</v>
      </c>
      <c r="E73" s="1" t="s">
        <v>322</v>
      </c>
      <c r="F73" s="1" t="s">
        <v>112</v>
      </c>
      <c r="G73" s="1">
        <v>2293807</v>
      </c>
    </row>
    <row r="74" spans="1:7"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 s="1" t="s">
        <v>323</v>
      </c>
      <c r="D74" s="1" t="s">
        <v>324</v>
      </c>
      <c r="E74" s="1" t="s">
        <v>325</v>
      </c>
      <c r="F74" s="1" t="s">
        <v>112</v>
      </c>
      <c r="G74" s="1">
        <v>2322423</v>
      </c>
    </row>
    <row r="75" spans="1:7"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326</v>
      </c>
      <c r="D75" s="1" t="s">
        <v>327</v>
      </c>
      <c r="E75" s="1" t="s">
        <v>328</v>
      </c>
      <c r="F75" s="1" t="s">
        <v>112</v>
      </c>
      <c r="G75" s="1">
        <v>2776997</v>
      </c>
    </row>
    <row r="76" spans="1:7"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329</v>
      </c>
      <c r="D76" s="1" t="s">
        <v>330</v>
      </c>
      <c r="E76" s="1" t="s">
        <v>331</v>
      </c>
      <c r="F76" s="1" t="s">
        <v>112</v>
      </c>
      <c r="G76" s="1">
        <v>2564830</v>
      </c>
    </row>
    <row r="77" spans="1:7"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7" s="1" t="s">
        <v>332</v>
      </c>
      <c r="D77" s="1" t="s">
        <v>333</v>
      </c>
      <c r="E77" s="1" t="s">
        <v>334</v>
      </c>
      <c r="F77" s="1" t="s">
        <v>112</v>
      </c>
      <c r="G77" s="1">
        <v>2329929</v>
      </c>
    </row>
    <row r="78" spans="1:7"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335</v>
      </c>
      <c r="D78" s="1" t="s">
        <v>336</v>
      </c>
      <c r="E78" s="1" t="s">
        <v>337</v>
      </c>
      <c r="F78" s="1" t="s">
        <v>112</v>
      </c>
      <c r="G78" s="1">
        <v>2931521</v>
      </c>
    </row>
    <row r="79" spans="1:7"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338</v>
      </c>
      <c r="D79" s="1" t="s">
        <v>339</v>
      </c>
      <c r="E79" s="1" t="s">
        <v>340</v>
      </c>
      <c r="F79" s="1" t="s">
        <v>112</v>
      </c>
      <c r="G79" s="1">
        <v>2314420</v>
      </c>
    </row>
    <row r="80" spans="1:7"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 s="1" t="s">
        <v>341</v>
      </c>
      <c r="D80" s="1" t="s">
        <v>342</v>
      </c>
      <c r="E80" s="1" t="s">
        <v>343</v>
      </c>
      <c r="F80" s="1" t="s">
        <v>112</v>
      </c>
      <c r="G80" s="1">
        <v>2645077</v>
      </c>
    </row>
    <row r="81" spans="1:8"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344</v>
      </c>
      <c r="D81" s="1" t="s">
        <v>345</v>
      </c>
      <c r="E81" s="1" t="s">
        <v>346</v>
      </c>
      <c r="F81" s="1" t="s">
        <v>112</v>
      </c>
      <c r="G81" s="1">
        <v>2370593</v>
      </c>
    </row>
    <row r="82" spans="1:8"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347</v>
      </c>
    </row>
    <row r="83" spans="1:8"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3" s="1" t="s">
        <v>348</v>
      </c>
      <c r="D83" s="1" t="s">
        <v>349</v>
      </c>
      <c r="E83" s="1" t="s">
        <v>350</v>
      </c>
      <c r="F83" s="1" t="s">
        <v>112</v>
      </c>
      <c r="G83" s="1">
        <v>2016122</v>
      </c>
    </row>
    <row r="84" spans="1:8"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351</v>
      </c>
      <c r="D84" s="1" t="s">
        <v>352</v>
      </c>
      <c r="E84" s="1" t="s">
        <v>353</v>
      </c>
      <c r="F84" s="1" t="s">
        <v>112</v>
      </c>
      <c r="G84" s="1">
        <v>1573272</v>
      </c>
    </row>
    <row r="85" spans="1:8"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354</v>
      </c>
      <c r="D85" s="1" t="s">
        <v>355</v>
      </c>
      <c r="E85" s="1" t="s">
        <v>356</v>
      </c>
      <c r="F85" s="1" t="s">
        <v>112</v>
      </c>
      <c r="G85" s="1">
        <v>1401747</v>
      </c>
    </row>
    <row r="86" spans="1:8"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6" s="1" t="s">
        <v>357</v>
      </c>
      <c r="D86" s="1" t="s">
        <v>358</v>
      </c>
      <c r="E86" s="1" t="s">
        <v>359</v>
      </c>
      <c r="F86" s="1" t="s">
        <v>112</v>
      </c>
      <c r="G86" s="1">
        <v>1269999</v>
      </c>
    </row>
    <row r="87" spans="1:8"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360</v>
      </c>
      <c r="D87" s="1" t="s">
        <v>361</v>
      </c>
      <c r="E87" s="1" t="s">
        <v>362</v>
      </c>
      <c r="F87" s="1" t="s">
        <v>112</v>
      </c>
      <c r="G87" s="1">
        <v>220452</v>
      </c>
    </row>
    <row r="88" spans="1:8"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363</v>
      </c>
      <c r="D88" s="1" t="s">
        <v>364</v>
      </c>
      <c r="E88" s="1" t="s">
        <v>365</v>
      </c>
      <c r="F88" s="1" t="s">
        <v>112</v>
      </c>
      <c r="G88" s="1">
        <v>449253</v>
      </c>
    </row>
    <row r="89" spans="1:8"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9" s="1" t="s">
        <v>366</v>
      </c>
      <c r="D89" s="1" t="s">
        <v>367</v>
      </c>
      <c r="E89" s="1" t="s">
        <v>368</v>
      </c>
      <c r="F89" s="1" t="s">
        <v>112</v>
      </c>
      <c r="G89" s="1">
        <v>265702</v>
      </c>
    </row>
    <row r="90" spans="1:8"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369</v>
      </c>
      <c r="D90" s="1" t="s">
        <v>370</v>
      </c>
      <c r="E90" s="1" t="s">
        <v>371</v>
      </c>
      <c r="F90" s="1" t="s">
        <v>112</v>
      </c>
      <c r="G90" s="1">
        <v>1094365</v>
      </c>
    </row>
    <row r="91" spans="1:8"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372</v>
      </c>
      <c r="D91" s="1" t="s">
        <v>373</v>
      </c>
      <c r="E91" s="1" t="s">
        <v>374</v>
      </c>
      <c r="F91" s="1" t="s">
        <v>112</v>
      </c>
      <c r="G91" s="1">
        <v>1272465</v>
      </c>
    </row>
    <row r="92" spans="1:8"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2" s="1" t="s">
        <v>375</v>
      </c>
      <c r="D92" s="1" t="s">
        <v>376</v>
      </c>
      <c r="E92" s="1" t="s">
        <v>377</v>
      </c>
      <c r="F92" s="1" t="s">
        <v>112</v>
      </c>
      <c r="G92" s="1">
        <v>1273438</v>
      </c>
    </row>
    <row r="93" spans="1:8"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112</v>
      </c>
    </row>
    <row r="94" spans="1:8"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4" s="1" t="s">
        <v>227</v>
      </c>
      <c r="D94" s="1" t="s">
        <v>112</v>
      </c>
      <c r="E94" s="1" t="s">
        <v>228</v>
      </c>
      <c r="F94" s="1" t="s">
        <v>229</v>
      </c>
      <c r="G94" s="1" t="s">
        <v>230</v>
      </c>
      <c r="H94" s="1" t="s">
        <v>231</v>
      </c>
    </row>
    <row r="95" spans="1:8"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5" s="1" t="s">
        <v>378</v>
      </c>
      <c r="D95" s="1" t="s">
        <v>112</v>
      </c>
      <c r="E95" s="1" t="s">
        <v>379</v>
      </c>
      <c r="F95" s="1" t="s">
        <v>380</v>
      </c>
      <c r="G95" s="1" t="s">
        <v>381</v>
      </c>
      <c r="H95" s="1" t="s">
        <v>382</v>
      </c>
    </row>
    <row r="96" spans="1:8"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112</v>
      </c>
    </row>
    <row r="101" spans="1:7"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1" s="1" t="s">
        <v>173</v>
      </c>
      <c r="D101" s="1" t="s">
        <v>110</v>
      </c>
      <c r="E101" s="1" t="s">
        <v>111</v>
      </c>
      <c r="F101" s="1" t="s">
        <v>112</v>
      </c>
      <c r="G101" s="1" t="s">
        <v>113</v>
      </c>
    </row>
    <row r="102" spans="1:7"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383</v>
      </c>
      <c r="D102" s="1" t="s">
        <v>384</v>
      </c>
      <c r="E102" s="1" t="s">
        <v>385</v>
      </c>
      <c r="F102" s="1" t="s">
        <v>112</v>
      </c>
      <c r="G102" s="1">
        <v>4060299</v>
      </c>
    </row>
    <row r="103" spans="1:7"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386</v>
      </c>
      <c r="D103" s="1" t="s">
        <v>387</v>
      </c>
      <c r="E103" s="1" t="s">
        <v>388</v>
      </c>
      <c r="F103" s="1" t="s">
        <v>112</v>
      </c>
      <c r="G103" s="1">
        <v>3659994</v>
      </c>
    </row>
    <row r="104" spans="1:7"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4" s="1" t="s">
        <v>389</v>
      </c>
      <c r="D104" s="1" t="s">
        <v>390</v>
      </c>
      <c r="E104" s="1" t="s">
        <v>391</v>
      </c>
      <c r="F104" s="1" t="s">
        <v>112</v>
      </c>
      <c r="G104" s="1">
        <v>4049722</v>
      </c>
    </row>
    <row r="105" spans="1:7"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392</v>
      </c>
      <c r="D105" s="1" t="s">
        <v>393</v>
      </c>
      <c r="E105" s="1" t="s">
        <v>394</v>
      </c>
      <c r="F105" s="1" t="s">
        <v>112</v>
      </c>
      <c r="G105" s="1">
        <v>3747790</v>
      </c>
    </row>
    <row r="106" spans="1:7"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395</v>
      </c>
      <c r="D106" s="1" t="s">
        <v>396</v>
      </c>
      <c r="E106" s="1" t="s">
        <v>397</v>
      </c>
      <c r="F106" s="1" t="s">
        <v>112</v>
      </c>
      <c r="G106" s="1">
        <v>4060905</v>
      </c>
    </row>
    <row r="107" spans="1:7"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7" s="1" t="s">
        <v>398</v>
      </c>
      <c r="D107" s="1" t="s">
        <v>399</v>
      </c>
      <c r="E107" s="1" t="s">
        <v>400</v>
      </c>
      <c r="F107" s="1" t="s">
        <v>112</v>
      </c>
      <c r="G107" s="1">
        <v>3930260</v>
      </c>
    </row>
    <row r="108" spans="1:7"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401</v>
      </c>
      <c r="D108" s="1" t="s">
        <v>402</v>
      </c>
      <c r="E108" s="1" t="s">
        <v>403</v>
      </c>
      <c r="F108" s="1" t="s">
        <v>112</v>
      </c>
      <c r="G108" s="1">
        <v>4364350</v>
      </c>
    </row>
    <row r="109" spans="1:7"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404</v>
      </c>
      <c r="D109" s="1" t="s">
        <v>405</v>
      </c>
      <c r="E109" s="1" t="s">
        <v>406</v>
      </c>
      <c r="F109" s="1" t="s">
        <v>112</v>
      </c>
      <c r="G109" s="1">
        <v>4163733</v>
      </c>
    </row>
    <row r="110" spans="1:7"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0" s="1" t="s">
        <v>407</v>
      </c>
      <c r="D110" s="1" t="s">
        <v>408</v>
      </c>
      <c r="E110" s="1" t="s">
        <v>409</v>
      </c>
      <c r="F110" s="1" t="s">
        <v>112</v>
      </c>
      <c r="G110" s="1">
        <v>4923051</v>
      </c>
    </row>
    <row r="111" spans="1:7"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410</v>
      </c>
    </row>
    <row r="112" spans="1:7"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411</v>
      </c>
      <c r="D112" s="1" t="s">
        <v>412</v>
      </c>
      <c r="E112" s="1" t="s">
        <v>413</v>
      </c>
      <c r="F112" s="1" t="s">
        <v>112</v>
      </c>
      <c r="G112" s="1">
        <v>2337153</v>
      </c>
    </row>
    <row r="113" spans="1:8"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3" s="1" t="s">
        <v>414</v>
      </c>
      <c r="D113" s="1" t="s">
        <v>415</v>
      </c>
      <c r="E113" s="1" t="s">
        <v>416</v>
      </c>
      <c r="F113" s="1" t="s">
        <v>112</v>
      </c>
      <c r="G113" s="1">
        <v>2072555</v>
      </c>
    </row>
    <row r="114" spans="1:8"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417</v>
      </c>
      <c r="D114" s="1" t="s">
        <v>418</v>
      </c>
      <c r="E114" s="1" t="s">
        <v>419</v>
      </c>
      <c r="F114" s="1" t="s">
        <v>112</v>
      </c>
      <c r="G114" s="1">
        <v>4949050</v>
      </c>
    </row>
    <row r="115" spans="1:8"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420</v>
      </c>
      <c r="D115" s="1" t="s">
        <v>421</v>
      </c>
      <c r="E115" s="1" t="s">
        <v>422</v>
      </c>
      <c r="F115" s="1" t="s">
        <v>112</v>
      </c>
      <c r="G115" s="1">
        <v>4289143</v>
      </c>
    </row>
    <row r="116" spans="1:8"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6" s="1" t="s">
        <v>423</v>
      </c>
      <c r="D116" s="1" t="s">
        <v>424</v>
      </c>
      <c r="E116" s="1" t="s">
        <v>425</v>
      </c>
      <c r="F116" s="1" t="s">
        <v>112</v>
      </c>
      <c r="G116" s="1">
        <v>4870317</v>
      </c>
    </row>
    <row r="117" spans="1:8"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426</v>
      </c>
      <c r="D117" s="1" t="s">
        <v>427</v>
      </c>
      <c r="E117" s="1" t="s">
        <v>428</v>
      </c>
      <c r="F117" s="1" t="s">
        <v>112</v>
      </c>
      <c r="G117" s="1">
        <v>3162269</v>
      </c>
    </row>
    <row r="118" spans="1:8"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429</v>
      </c>
      <c r="D118" s="1" t="s">
        <v>430</v>
      </c>
      <c r="E118" s="1" t="s">
        <v>431</v>
      </c>
      <c r="F118" s="1" t="s">
        <v>112</v>
      </c>
      <c r="G118" s="1">
        <v>3369159</v>
      </c>
    </row>
    <row r="119" spans="1:8"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9" s="1" t="s">
        <v>432</v>
      </c>
    </row>
    <row r="120" spans="1:8"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433</v>
      </c>
      <c r="D120" s="1" t="s">
        <v>434</v>
      </c>
      <c r="E120" s="1" t="s">
        <v>435</v>
      </c>
      <c r="F120" s="1" t="s">
        <v>112</v>
      </c>
      <c r="G120" s="1">
        <v>4988286</v>
      </c>
    </row>
    <row r="121" spans="1:8"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436</v>
      </c>
      <c r="D121" s="1" t="s">
        <v>437</v>
      </c>
      <c r="E121" s="1" t="s">
        <v>438</v>
      </c>
      <c r="F121" s="1" t="s">
        <v>112</v>
      </c>
      <c r="G121" s="1">
        <v>4372051</v>
      </c>
    </row>
    <row r="122" spans="1:8"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2" s="1" t="s">
        <v>439</v>
      </c>
      <c r="D122" s="1" t="s">
        <v>440</v>
      </c>
      <c r="E122" s="1" t="s">
        <v>441</v>
      </c>
      <c r="F122" s="1" t="s">
        <v>112</v>
      </c>
      <c r="G122" s="1">
        <v>5044351</v>
      </c>
    </row>
    <row r="123" spans="1:8"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442</v>
      </c>
      <c r="D123" s="1" t="s">
        <v>443</v>
      </c>
      <c r="E123" s="1" t="s">
        <v>444</v>
      </c>
      <c r="F123" s="1" t="s">
        <v>112</v>
      </c>
      <c r="G123" s="1">
        <v>2321991</v>
      </c>
    </row>
    <row r="124" spans="1:8"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445</v>
      </c>
      <c r="D124" s="1" t="s">
        <v>446</v>
      </c>
      <c r="E124" s="1" t="s">
        <v>447</v>
      </c>
      <c r="F124" s="1" t="s">
        <v>112</v>
      </c>
      <c r="G124" s="1">
        <v>2562645</v>
      </c>
    </row>
    <row r="125" spans="1:8" x14ac:dyDescent="0.35">
      <c r="A125" s="1" t="str">
        <f t="shared" si="1"/>
        <v>15</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5" s="1" t="s">
        <v>448</v>
      </c>
      <c r="D125" s="1" t="s">
        <v>449</v>
      </c>
      <c r="E125" s="1" t="s">
        <v>450</v>
      </c>
      <c r="F125" s="1" t="s">
        <v>112</v>
      </c>
      <c r="G125" s="1">
        <v>2422354</v>
      </c>
    </row>
    <row r="126" spans="1:8"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112</v>
      </c>
    </row>
    <row r="127" spans="1:8"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7" s="1" t="s">
        <v>227</v>
      </c>
      <c r="D127" s="1" t="s">
        <v>112</v>
      </c>
      <c r="E127" s="1" t="s">
        <v>228</v>
      </c>
      <c r="F127" s="1" t="s">
        <v>229</v>
      </c>
      <c r="G127" s="1" t="s">
        <v>230</v>
      </c>
      <c r="H127" s="1" t="s">
        <v>231</v>
      </c>
    </row>
    <row r="128" spans="1:8"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8" s="1" t="s">
        <v>451</v>
      </c>
      <c r="D128" s="1" t="s">
        <v>112</v>
      </c>
      <c r="E128" s="1" t="s">
        <v>452</v>
      </c>
      <c r="F128" s="1" t="s">
        <v>453</v>
      </c>
      <c r="G128" s="1" t="s">
        <v>454</v>
      </c>
      <c r="H128" s="1" t="s">
        <v>455</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112</v>
      </c>
    </row>
    <row r="134" spans="1:7"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4" s="1" t="s">
        <v>173</v>
      </c>
      <c r="D134" s="1" t="s">
        <v>110</v>
      </c>
      <c r="E134" s="1" t="s">
        <v>111</v>
      </c>
      <c r="F134" s="1" t="s">
        <v>112</v>
      </c>
      <c r="G134" s="1" t="s">
        <v>113</v>
      </c>
    </row>
    <row r="135" spans="1:7"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456</v>
      </c>
      <c r="D135" s="1" t="s">
        <v>457</v>
      </c>
      <c r="E135" s="1" t="s">
        <v>458</v>
      </c>
      <c r="F135" s="1" t="s">
        <v>112</v>
      </c>
      <c r="G135" s="1">
        <v>148273</v>
      </c>
    </row>
    <row r="136" spans="1:7"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459</v>
      </c>
      <c r="D136" s="1" t="s">
        <v>460</v>
      </c>
      <c r="E136" s="1" t="s">
        <v>461</v>
      </c>
      <c r="F136" s="1" t="s">
        <v>112</v>
      </c>
      <c r="G136" s="1">
        <v>23858</v>
      </c>
    </row>
    <row r="137" spans="1:7"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7" s="1" t="s">
        <v>462</v>
      </c>
      <c r="D137" s="1" t="s">
        <v>463</v>
      </c>
      <c r="E137" s="1">
        <v>32</v>
      </c>
      <c r="F137" s="1" t="s">
        <v>112</v>
      </c>
      <c r="G137" s="1">
        <v>6922</v>
      </c>
    </row>
    <row r="138" spans="1:7"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464</v>
      </c>
      <c r="D138" s="1" t="s">
        <v>465</v>
      </c>
      <c r="E138" s="1" t="s">
        <v>466</v>
      </c>
      <c r="F138" s="1" t="s">
        <v>112</v>
      </c>
      <c r="G138" s="1">
        <v>73217</v>
      </c>
    </row>
    <row r="139" spans="1:7"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467</v>
      </c>
      <c r="D139" s="1" t="s">
        <v>468</v>
      </c>
      <c r="E139" s="1" t="s">
        <v>469</v>
      </c>
      <c r="F139" s="1" t="s">
        <v>112</v>
      </c>
      <c r="G139" s="1">
        <v>104818</v>
      </c>
    </row>
    <row r="140" spans="1:7"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40" s="1" t="s">
        <v>470</v>
      </c>
      <c r="D140" s="1" t="s">
        <v>471</v>
      </c>
      <c r="E140" s="1" t="s">
        <v>472</v>
      </c>
      <c r="F140" s="1" t="s">
        <v>112</v>
      </c>
      <c r="G140" s="1">
        <v>105446</v>
      </c>
    </row>
    <row r="141" spans="1:7"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473</v>
      </c>
      <c r="D141" s="1" t="s">
        <v>474</v>
      </c>
      <c r="E141" s="1" t="s">
        <v>475</v>
      </c>
      <c r="F141" s="1" t="s">
        <v>112</v>
      </c>
      <c r="G141" s="1">
        <v>98438</v>
      </c>
    </row>
    <row r="142" spans="1:7"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476</v>
      </c>
    </row>
    <row r="143" spans="1:7"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3" s="1" t="s">
        <v>477</v>
      </c>
      <c r="D143" s="1" t="s">
        <v>478</v>
      </c>
      <c r="E143" s="1" t="s">
        <v>479</v>
      </c>
      <c r="F143" s="1" t="s">
        <v>112</v>
      </c>
      <c r="G143" s="1">
        <v>20008</v>
      </c>
    </row>
    <row r="144" spans="1:7"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480</v>
      </c>
      <c r="D144" s="1" t="s">
        <v>481</v>
      </c>
      <c r="E144" s="1" t="s">
        <v>482</v>
      </c>
      <c r="F144" s="1" t="s">
        <v>112</v>
      </c>
      <c r="G144" s="1">
        <v>331846</v>
      </c>
    </row>
    <row r="145" spans="1:8"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483</v>
      </c>
      <c r="D145" s="1" t="s">
        <v>484</v>
      </c>
      <c r="E145" s="1" t="s">
        <v>485</v>
      </c>
      <c r="F145" s="1" t="s">
        <v>112</v>
      </c>
      <c r="G145" s="1">
        <v>91905</v>
      </c>
    </row>
    <row r="146" spans="1:8"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6" s="1" t="s">
        <v>486</v>
      </c>
      <c r="D146" s="1" t="s">
        <v>487</v>
      </c>
      <c r="E146" s="1" t="s">
        <v>488</v>
      </c>
      <c r="F146" s="1" t="s">
        <v>112</v>
      </c>
      <c r="G146" s="1">
        <v>112865</v>
      </c>
    </row>
    <row r="147" spans="1:8"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489</v>
      </c>
      <c r="D147" s="1" t="s">
        <v>490</v>
      </c>
      <c r="E147" s="1" t="s">
        <v>491</v>
      </c>
      <c r="F147" s="1" t="s">
        <v>112</v>
      </c>
      <c r="G147" s="1">
        <v>152707</v>
      </c>
    </row>
    <row r="148" spans="1:8"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492</v>
      </c>
    </row>
    <row r="149" spans="1:8"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9" s="1" t="s">
        <v>493</v>
      </c>
    </row>
    <row r="150" spans="1:8"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494</v>
      </c>
      <c r="D150" s="1" t="s">
        <v>495</v>
      </c>
      <c r="E150" s="1" t="s">
        <v>496</v>
      </c>
      <c r="F150" s="1" t="s">
        <v>112</v>
      </c>
      <c r="G150" s="1">
        <v>414580</v>
      </c>
    </row>
    <row r="151" spans="1:8"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497</v>
      </c>
      <c r="D151" s="1" t="s">
        <v>498</v>
      </c>
      <c r="E151" s="1" t="s">
        <v>499</v>
      </c>
      <c r="F151" s="1" t="s">
        <v>112</v>
      </c>
      <c r="G151" s="1">
        <v>218895</v>
      </c>
    </row>
    <row r="152" spans="1:8"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2" s="1" t="s">
        <v>500</v>
      </c>
      <c r="D152" s="1" t="s">
        <v>501</v>
      </c>
      <c r="E152" s="1" t="s">
        <v>502</v>
      </c>
      <c r="F152" s="1" t="s">
        <v>112</v>
      </c>
      <c r="G152" s="1">
        <v>165642</v>
      </c>
    </row>
    <row r="153" spans="1:8"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503</v>
      </c>
      <c r="D153" s="1" t="s">
        <v>504</v>
      </c>
      <c r="E153" s="1" t="s">
        <v>505</v>
      </c>
      <c r="F153" s="1" t="s">
        <v>112</v>
      </c>
      <c r="G153" s="1">
        <v>55805</v>
      </c>
    </row>
    <row r="154" spans="1:8"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506</v>
      </c>
      <c r="D154" s="1" t="s">
        <v>507</v>
      </c>
      <c r="E154" s="1" t="s">
        <v>508</v>
      </c>
      <c r="F154" s="1" t="s">
        <v>112</v>
      </c>
      <c r="G154" s="1">
        <v>31104</v>
      </c>
    </row>
    <row r="155" spans="1:8"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5" s="1" t="s">
        <v>509</v>
      </c>
      <c r="D155" s="1" t="s">
        <v>510</v>
      </c>
      <c r="E155" s="1" t="s">
        <v>511</v>
      </c>
      <c r="F155" s="1" t="s">
        <v>112</v>
      </c>
      <c r="G155" s="1">
        <v>125929</v>
      </c>
    </row>
    <row r="156" spans="1:8"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512</v>
      </c>
      <c r="D156" s="1" t="s">
        <v>513</v>
      </c>
      <c r="E156" s="1" t="s">
        <v>514</v>
      </c>
      <c r="F156" s="1" t="s">
        <v>112</v>
      </c>
      <c r="G156" s="1">
        <v>154481</v>
      </c>
    </row>
    <row r="157" spans="1:8"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515</v>
      </c>
      <c r="D157" s="1" t="s">
        <v>516</v>
      </c>
      <c r="E157" s="1" t="s">
        <v>517</v>
      </c>
      <c r="F157" s="1" t="s">
        <v>112</v>
      </c>
      <c r="G157" s="1">
        <v>95345</v>
      </c>
    </row>
    <row r="158" spans="1:8" x14ac:dyDescent="0.35">
      <c r="A158" s="1" t="str">
        <f t="shared" si="2"/>
        <v>16</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8" s="1" t="s">
        <v>518</v>
      </c>
      <c r="D158" s="1" t="s">
        <v>519</v>
      </c>
      <c r="E158" s="1" t="s">
        <v>520</v>
      </c>
      <c r="F158" s="1" t="s">
        <v>112</v>
      </c>
      <c r="G158" s="1">
        <v>163198</v>
      </c>
    </row>
    <row r="159" spans="1:8"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112</v>
      </c>
    </row>
    <row r="160" spans="1:8"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0" s="1" t="s">
        <v>227</v>
      </c>
      <c r="D160" s="1" t="s">
        <v>112</v>
      </c>
      <c r="E160" s="1" t="s">
        <v>228</v>
      </c>
      <c r="F160" s="1" t="s">
        <v>229</v>
      </c>
      <c r="G160" s="1" t="s">
        <v>230</v>
      </c>
      <c r="H160" s="1" t="s">
        <v>231</v>
      </c>
    </row>
    <row r="161" spans="1:8" x14ac:dyDescent="0.35">
      <c r="A161" s="1" t="str">
        <f t="shared" si="2"/>
        <v>16</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1" s="1" t="s">
        <v>521</v>
      </c>
      <c r="D161" s="1" t="s">
        <v>112</v>
      </c>
      <c r="E161" s="1" t="s">
        <v>522</v>
      </c>
      <c r="F161" s="1" t="s">
        <v>523</v>
      </c>
      <c r="G161" s="1" t="s">
        <v>524</v>
      </c>
      <c r="H161" s="1" t="s">
        <v>525</v>
      </c>
    </row>
    <row r="162" spans="1:8"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8"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8"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8"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8"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112</v>
      </c>
    </row>
    <row r="167" spans="1:8"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7" s="1" t="s">
        <v>173</v>
      </c>
      <c r="D167" s="1" t="s">
        <v>110</v>
      </c>
      <c r="E167" s="1" t="s">
        <v>111</v>
      </c>
      <c r="F167" s="1" t="s">
        <v>112</v>
      </c>
      <c r="G167" s="1" t="s">
        <v>113</v>
      </c>
    </row>
    <row r="168" spans="1:8"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526</v>
      </c>
      <c r="D168" s="1" t="s">
        <v>527</v>
      </c>
      <c r="E168" s="1" t="s">
        <v>528</v>
      </c>
      <c r="F168" s="1" t="s">
        <v>112</v>
      </c>
      <c r="G168" s="1">
        <v>83535</v>
      </c>
    </row>
    <row r="169" spans="1:8"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529</v>
      </c>
      <c r="D169" s="1" t="s">
        <v>530</v>
      </c>
      <c r="E169" s="1" t="s">
        <v>531</v>
      </c>
      <c r="F169" s="1" t="s">
        <v>112</v>
      </c>
      <c r="G169" s="1">
        <v>114033</v>
      </c>
    </row>
    <row r="170" spans="1:8"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532</v>
      </c>
      <c r="D170" s="1" t="s">
        <v>533</v>
      </c>
      <c r="E170" s="1" t="s">
        <v>534</v>
      </c>
      <c r="F170" s="1" t="s">
        <v>112</v>
      </c>
      <c r="G170" s="1">
        <v>86152</v>
      </c>
    </row>
    <row r="171" spans="1:8"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535</v>
      </c>
      <c r="D171" s="1" t="s">
        <v>536</v>
      </c>
      <c r="E171" s="1" t="s">
        <v>537</v>
      </c>
      <c r="F171" s="1" t="s">
        <v>112</v>
      </c>
      <c r="G171" s="1">
        <v>241238</v>
      </c>
    </row>
    <row r="172" spans="1:8"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538</v>
      </c>
      <c r="D172" s="1" t="s">
        <v>539</v>
      </c>
      <c r="E172" s="1" t="s">
        <v>540</v>
      </c>
      <c r="F172" s="1" t="s">
        <v>112</v>
      </c>
      <c r="G172" s="1">
        <v>179961</v>
      </c>
    </row>
    <row r="173" spans="1:8"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541</v>
      </c>
      <c r="D173" s="1" t="s">
        <v>542</v>
      </c>
      <c r="E173" s="1" t="s">
        <v>543</v>
      </c>
      <c r="F173" s="1" t="s">
        <v>112</v>
      </c>
      <c r="G173" s="1">
        <v>233906</v>
      </c>
    </row>
    <row r="174" spans="1:8"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544</v>
      </c>
      <c r="D174" s="1" t="s">
        <v>545</v>
      </c>
      <c r="E174" s="1" t="s">
        <v>546</v>
      </c>
      <c r="F174" s="1" t="s">
        <v>112</v>
      </c>
      <c r="G174" s="1">
        <v>9474</v>
      </c>
    </row>
    <row r="175" spans="1:8"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547</v>
      </c>
      <c r="D175" s="1" t="s">
        <v>548</v>
      </c>
      <c r="E175" s="1" t="s">
        <v>549</v>
      </c>
      <c r="F175" s="1" t="s">
        <v>112</v>
      </c>
      <c r="G175" s="1">
        <v>155346</v>
      </c>
    </row>
    <row r="176" spans="1:8"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550</v>
      </c>
      <c r="D176" s="1" t="s">
        <v>551</v>
      </c>
      <c r="E176" s="1" t="s">
        <v>552</v>
      </c>
      <c r="F176" s="1" t="s">
        <v>112</v>
      </c>
      <c r="G176" s="1">
        <v>249869</v>
      </c>
    </row>
    <row r="177" spans="1:7"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553</v>
      </c>
      <c r="D177" s="1" t="s">
        <v>554</v>
      </c>
      <c r="E177" s="1" t="s">
        <v>555</v>
      </c>
      <c r="F177" s="1" t="s">
        <v>112</v>
      </c>
      <c r="G177" s="1">
        <v>140854</v>
      </c>
    </row>
    <row r="178" spans="1:7"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556</v>
      </c>
      <c r="D178" s="1" t="s">
        <v>557</v>
      </c>
      <c r="E178" s="1" t="s">
        <v>558</v>
      </c>
      <c r="F178" s="1" t="s">
        <v>112</v>
      </c>
      <c r="G178" s="1">
        <v>169557</v>
      </c>
    </row>
    <row r="179" spans="1:7"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559</v>
      </c>
      <c r="D179" s="1" t="s">
        <v>560</v>
      </c>
      <c r="E179" s="1" t="s">
        <v>561</v>
      </c>
      <c r="F179" s="1" t="s">
        <v>112</v>
      </c>
      <c r="G179" s="1">
        <v>204705</v>
      </c>
    </row>
    <row r="180" spans="1:7"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562</v>
      </c>
      <c r="D180" s="1" t="s">
        <v>563</v>
      </c>
      <c r="E180" s="1" t="s">
        <v>564</v>
      </c>
      <c r="F180" s="1" t="s">
        <v>112</v>
      </c>
      <c r="G180" s="1">
        <v>251491</v>
      </c>
    </row>
    <row r="181" spans="1:7"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565</v>
      </c>
      <c r="D181" s="1" t="s">
        <v>566</v>
      </c>
      <c r="E181" s="1" t="s">
        <v>567</v>
      </c>
      <c r="F181" s="1" t="s">
        <v>112</v>
      </c>
      <c r="G181" s="1">
        <v>254195</v>
      </c>
    </row>
    <row r="182" spans="1:7"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2" s="1" t="s">
        <v>568</v>
      </c>
      <c r="D182" s="1" t="s">
        <v>569</v>
      </c>
      <c r="E182" s="1" t="s">
        <v>570</v>
      </c>
      <c r="F182" s="1" t="s">
        <v>112</v>
      </c>
      <c r="G182" s="1">
        <v>275132</v>
      </c>
    </row>
    <row r="183" spans="1:7"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571</v>
      </c>
      <c r="D183" s="1" t="s">
        <v>572</v>
      </c>
      <c r="E183" s="1" t="s">
        <v>573</v>
      </c>
      <c r="F183" s="1" t="s">
        <v>112</v>
      </c>
      <c r="G183" s="1">
        <v>124826</v>
      </c>
    </row>
    <row r="184" spans="1:7"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574</v>
      </c>
      <c r="D184" s="1" t="s">
        <v>575</v>
      </c>
      <c r="E184" s="1" t="s">
        <v>576</v>
      </c>
      <c r="F184" s="1" t="s">
        <v>112</v>
      </c>
      <c r="G184" s="1">
        <v>223242</v>
      </c>
    </row>
    <row r="185" spans="1:7"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5" s="1" t="s">
        <v>577</v>
      </c>
      <c r="D185" s="1" t="s">
        <v>578</v>
      </c>
      <c r="E185" s="1" t="s">
        <v>579</v>
      </c>
      <c r="F185" s="1" t="s">
        <v>112</v>
      </c>
      <c r="G185" s="1">
        <v>297260</v>
      </c>
    </row>
    <row r="186" spans="1:7"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580</v>
      </c>
      <c r="D186" s="1" t="s">
        <v>581</v>
      </c>
      <c r="E186" s="1" t="s">
        <v>479</v>
      </c>
      <c r="F186" s="1" t="s">
        <v>112</v>
      </c>
      <c r="G186" s="1">
        <v>4002</v>
      </c>
    </row>
    <row r="187" spans="1:7"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582</v>
      </c>
      <c r="D187" s="1" t="s">
        <v>516</v>
      </c>
      <c r="E187" s="1" t="s">
        <v>583</v>
      </c>
      <c r="F187" s="1" t="s">
        <v>112</v>
      </c>
      <c r="G187" s="1">
        <v>97919</v>
      </c>
    </row>
    <row r="188" spans="1:7"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8" s="1" t="s">
        <v>584</v>
      </c>
      <c r="D188" s="1" t="s">
        <v>585</v>
      </c>
      <c r="E188" s="1" t="s">
        <v>586</v>
      </c>
      <c r="F188" s="1" t="s">
        <v>112</v>
      </c>
      <c r="G188" s="1">
        <v>154784</v>
      </c>
    </row>
    <row r="189" spans="1:7"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587</v>
      </c>
      <c r="D189" s="1" t="s">
        <v>588</v>
      </c>
      <c r="E189" s="1" t="s">
        <v>589</v>
      </c>
      <c r="F189" s="1" t="s">
        <v>112</v>
      </c>
      <c r="G189" s="1">
        <v>221079</v>
      </c>
    </row>
    <row r="190" spans="1:7"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590</v>
      </c>
      <c r="D190" s="1" t="s">
        <v>591</v>
      </c>
      <c r="E190" s="1" t="s">
        <v>592</v>
      </c>
      <c r="F190" s="1" t="s">
        <v>112</v>
      </c>
      <c r="G190" s="1">
        <v>167999</v>
      </c>
    </row>
    <row r="191" spans="1:7" x14ac:dyDescent="0.35">
      <c r="A191" s="1" t="str">
        <f t="shared" si="2"/>
        <v>2</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1" s="1" t="s">
        <v>593</v>
      </c>
      <c r="D191" s="1" t="s">
        <v>594</v>
      </c>
      <c r="E191" s="1" t="s">
        <v>595</v>
      </c>
      <c r="F191" s="1" t="s">
        <v>112</v>
      </c>
      <c r="G191" s="1">
        <v>218440</v>
      </c>
    </row>
    <row r="192" spans="1:7"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112</v>
      </c>
    </row>
    <row r="193" spans="1:8"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3" s="1" t="s">
        <v>227</v>
      </c>
      <c r="D193" s="1" t="s">
        <v>112</v>
      </c>
      <c r="E193" s="1" t="s">
        <v>228</v>
      </c>
      <c r="F193" s="1" t="s">
        <v>229</v>
      </c>
      <c r="G193" s="1" t="s">
        <v>230</v>
      </c>
      <c r="H193" s="1" t="s">
        <v>231</v>
      </c>
    </row>
    <row r="194" spans="1:8" x14ac:dyDescent="0.35">
      <c r="A194" s="1" t="str">
        <f t="shared" ref="A194:A257" si="3">IFERROR(LEFT(RIGHT(C194,LEN(C194)-SEARCH("@",C194)),SEARCH("/",RIGHT(C194,LEN(C194)-SEARCH("@",C194)-1))),"")</f>
        <v>2</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4" s="1" t="s">
        <v>596</v>
      </c>
      <c r="D194" s="1" t="s">
        <v>112</v>
      </c>
      <c r="E194" s="1" t="s">
        <v>597</v>
      </c>
      <c r="F194" s="1" t="s">
        <v>598</v>
      </c>
      <c r="G194" s="1" t="s">
        <v>599</v>
      </c>
      <c r="H194" s="1" t="s">
        <v>600</v>
      </c>
    </row>
    <row r="195" spans="1:8"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8"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8"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8"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8"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8"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173</v>
      </c>
      <c r="D200" s="1" t="s">
        <v>110</v>
      </c>
      <c r="E200" s="1" t="s">
        <v>111</v>
      </c>
      <c r="F200" s="1" t="s">
        <v>112</v>
      </c>
      <c r="G200" s="1" t="s">
        <v>113</v>
      </c>
    </row>
    <row r="201" spans="1:8"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601</v>
      </c>
      <c r="D201" s="1" t="s">
        <v>602</v>
      </c>
      <c r="E201" s="1" t="s">
        <v>603</v>
      </c>
      <c r="F201" s="1" t="s">
        <v>112</v>
      </c>
      <c r="G201" s="1">
        <v>264988</v>
      </c>
    </row>
    <row r="202" spans="1:8"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604</v>
      </c>
      <c r="D202" s="1" t="s">
        <v>605</v>
      </c>
      <c r="E202" s="1" t="s">
        <v>606</v>
      </c>
      <c r="F202" s="1" t="s">
        <v>112</v>
      </c>
      <c r="G202" s="1">
        <v>296438</v>
      </c>
    </row>
    <row r="203" spans="1:8"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3" s="1" t="s">
        <v>607</v>
      </c>
      <c r="D203" s="1">
        <v>0</v>
      </c>
      <c r="E203" s="1">
        <v>0</v>
      </c>
      <c r="F203" s="1" t="s">
        <v>112</v>
      </c>
      <c r="G203" s="1">
        <v>0</v>
      </c>
    </row>
    <row r="204" spans="1:8"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608</v>
      </c>
      <c r="D204" s="1" t="s">
        <v>609</v>
      </c>
      <c r="E204" s="1" t="s">
        <v>610</v>
      </c>
      <c r="F204" s="1" t="s">
        <v>112</v>
      </c>
      <c r="G204" s="1">
        <v>1493761</v>
      </c>
    </row>
    <row r="205" spans="1:8"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611</v>
      </c>
      <c r="D205" s="1" t="s">
        <v>612</v>
      </c>
      <c r="E205" s="1" t="s">
        <v>613</v>
      </c>
      <c r="F205" s="1" t="s">
        <v>112</v>
      </c>
      <c r="G205" s="1">
        <v>1168858</v>
      </c>
    </row>
    <row r="206" spans="1:8"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6" s="1" t="s">
        <v>614</v>
      </c>
      <c r="D206" s="1" t="s">
        <v>615</v>
      </c>
      <c r="E206" s="1" t="s">
        <v>616</v>
      </c>
      <c r="F206" s="1" t="s">
        <v>112</v>
      </c>
      <c r="G206" s="1">
        <v>1371876</v>
      </c>
    </row>
    <row r="207" spans="1:8"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617</v>
      </c>
      <c r="D207" s="1" t="s">
        <v>618</v>
      </c>
      <c r="E207" s="1" t="s">
        <v>619</v>
      </c>
      <c r="F207" s="1" t="s">
        <v>112</v>
      </c>
      <c r="G207" s="1">
        <v>100363</v>
      </c>
    </row>
    <row r="208" spans="1:8"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620</v>
      </c>
      <c r="D208" s="1" t="s">
        <v>621</v>
      </c>
      <c r="E208" s="1" t="s">
        <v>622</v>
      </c>
      <c r="F208" s="1" t="s">
        <v>112</v>
      </c>
      <c r="G208" s="1">
        <v>85438</v>
      </c>
    </row>
    <row r="209" spans="1:7"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9" s="1" t="s">
        <v>623</v>
      </c>
      <c r="D209" s="1" t="s">
        <v>624</v>
      </c>
      <c r="E209" s="1" t="s">
        <v>625</v>
      </c>
      <c r="F209" s="1" t="s">
        <v>112</v>
      </c>
      <c r="G209" s="1">
        <v>50679</v>
      </c>
    </row>
    <row r="210" spans="1:7"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626</v>
      </c>
      <c r="D210" s="1" t="s">
        <v>627</v>
      </c>
      <c r="E210" s="1" t="s">
        <v>628</v>
      </c>
      <c r="F210" s="1" t="s">
        <v>112</v>
      </c>
      <c r="G210" s="1">
        <v>221058</v>
      </c>
    </row>
    <row r="211" spans="1:7"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629</v>
      </c>
      <c r="D211" s="1" t="s">
        <v>566</v>
      </c>
      <c r="E211" s="1" t="s">
        <v>630</v>
      </c>
      <c r="F211" s="1" t="s">
        <v>112</v>
      </c>
      <c r="G211" s="1">
        <v>219543</v>
      </c>
    </row>
    <row r="212" spans="1:7"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2" s="1" t="s">
        <v>631</v>
      </c>
      <c r="D212" s="1" t="s">
        <v>632</v>
      </c>
      <c r="E212" s="1" t="s">
        <v>633</v>
      </c>
      <c r="F212" s="1" t="s">
        <v>112</v>
      </c>
      <c r="G212" s="1">
        <v>134776</v>
      </c>
    </row>
    <row r="213" spans="1:7"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634</v>
      </c>
      <c r="D213" s="1">
        <v>0</v>
      </c>
      <c r="E213" s="1">
        <v>0</v>
      </c>
      <c r="F213" s="1" t="s">
        <v>112</v>
      </c>
      <c r="G213" s="1">
        <v>0</v>
      </c>
    </row>
    <row r="214" spans="1:7"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635</v>
      </c>
      <c r="D214" s="1" t="s">
        <v>636</v>
      </c>
      <c r="E214" s="1" t="s">
        <v>637</v>
      </c>
      <c r="F214" s="1" t="s">
        <v>112</v>
      </c>
      <c r="G214" s="1">
        <v>63700</v>
      </c>
    </row>
    <row r="215" spans="1:7"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5" s="1" t="s">
        <v>638</v>
      </c>
      <c r="D215" s="1" t="s">
        <v>639</v>
      </c>
      <c r="E215" s="1" t="s">
        <v>640</v>
      </c>
      <c r="F215" s="1" t="s">
        <v>112</v>
      </c>
      <c r="G215" s="1">
        <v>107241</v>
      </c>
    </row>
    <row r="216" spans="1:7"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641</v>
      </c>
    </row>
    <row r="217" spans="1:7"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642</v>
      </c>
    </row>
    <row r="218" spans="1:7"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8" s="1" t="s">
        <v>643</v>
      </c>
    </row>
    <row r="219" spans="1:7"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644</v>
      </c>
    </row>
    <row r="220" spans="1:7"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645</v>
      </c>
      <c r="D220" s="1" t="s">
        <v>646</v>
      </c>
      <c r="E220" s="1" t="s">
        <v>647</v>
      </c>
      <c r="F220" s="1" t="s">
        <v>112</v>
      </c>
      <c r="G220" s="1">
        <v>144509</v>
      </c>
    </row>
    <row r="221" spans="1:7"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1" s="1" t="s">
        <v>648</v>
      </c>
    </row>
    <row r="222" spans="1:7"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649</v>
      </c>
      <c r="D222" s="1" t="s">
        <v>650</v>
      </c>
      <c r="E222" s="1" t="s">
        <v>651</v>
      </c>
      <c r="F222" s="1" t="s">
        <v>112</v>
      </c>
      <c r="G222" s="1">
        <v>66815</v>
      </c>
    </row>
    <row r="223" spans="1:7"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652</v>
      </c>
      <c r="D223" s="1" t="s">
        <v>653</v>
      </c>
      <c r="E223" s="1" t="s">
        <v>654</v>
      </c>
      <c r="F223" s="1" t="s">
        <v>112</v>
      </c>
      <c r="G223" s="1">
        <v>28487</v>
      </c>
    </row>
    <row r="224" spans="1:7" x14ac:dyDescent="0.35">
      <c r="A224" s="1" t="str">
        <f t="shared" si="3"/>
        <v>3</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4" s="1" t="s">
        <v>655</v>
      </c>
      <c r="D224" s="1" t="s">
        <v>656</v>
      </c>
      <c r="E224" s="1" t="s">
        <v>657</v>
      </c>
      <c r="F224" s="1" t="s">
        <v>112</v>
      </c>
      <c r="G224" s="1">
        <v>88163</v>
      </c>
    </row>
    <row r="225" spans="1:8"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112</v>
      </c>
    </row>
    <row r="226" spans="1:8"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6" s="1" t="s">
        <v>227</v>
      </c>
      <c r="D226" s="1" t="s">
        <v>112</v>
      </c>
      <c r="E226" s="1" t="s">
        <v>228</v>
      </c>
      <c r="F226" s="1" t="s">
        <v>229</v>
      </c>
      <c r="G226" s="1" t="s">
        <v>230</v>
      </c>
      <c r="H226" s="1" t="s">
        <v>231</v>
      </c>
    </row>
    <row r="227" spans="1:8" x14ac:dyDescent="0.35">
      <c r="A227" s="1" t="str">
        <f t="shared" si="3"/>
        <v>3</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7" s="1" t="s">
        <v>658</v>
      </c>
      <c r="D227" s="1" t="s">
        <v>112</v>
      </c>
      <c r="E227" s="1" t="s">
        <v>659</v>
      </c>
      <c r="F227" s="1" t="s">
        <v>660</v>
      </c>
      <c r="G227" s="1" t="s">
        <v>661</v>
      </c>
      <c r="H227" s="1" t="s">
        <v>662</v>
      </c>
    </row>
    <row r="228" spans="1:8"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8"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8"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8"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8"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112</v>
      </c>
    </row>
    <row r="233" spans="1:8"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3" s="1" t="s">
        <v>173</v>
      </c>
      <c r="D233" s="1" t="s">
        <v>110</v>
      </c>
      <c r="E233" s="1" t="s">
        <v>111</v>
      </c>
      <c r="F233" s="1" t="s">
        <v>112</v>
      </c>
      <c r="G233" s="1" t="s">
        <v>113</v>
      </c>
    </row>
    <row r="234" spans="1:8"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663</v>
      </c>
      <c r="D234" s="1" t="s">
        <v>664</v>
      </c>
      <c r="E234" s="1" t="s">
        <v>665</v>
      </c>
      <c r="F234" s="1" t="s">
        <v>112</v>
      </c>
      <c r="G234" s="1">
        <v>321572</v>
      </c>
    </row>
    <row r="235" spans="1:8"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666</v>
      </c>
    </row>
    <row r="236" spans="1:8"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6" s="1" t="s">
        <v>667</v>
      </c>
      <c r="D236" s="1" t="s">
        <v>668</v>
      </c>
      <c r="E236" s="1" t="s">
        <v>669</v>
      </c>
      <c r="F236" s="1" t="s">
        <v>112</v>
      </c>
      <c r="G236" s="1">
        <v>238902</v>
      </c>
    </row>
    <row r="237" spans="1:8"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670</v>
      </c>
      <c r="D237" s="1" t="s">
        <v>671</v>
      </c>
      <c r="E237" s="1" t="s">
        <v>672</v>
      </c>
      <c r="F237" s="1" t="s">
        <v>112</v>
      </c>
      <c r="G237" s="1">
        <v>259169</v>
      </c>
    </row>
    <row r="238" spans="1:8"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673</v>
      </c>
      <c r="D238" s="1" t="s">
        <v>674</v>
      </c>
      <c r="E238" s="1" t="s">
        <v>675</v>
      </c>
      <c r="F238" s="1" t="s">
        <v>112</v>
      </c>
      <c r="G238" s="1">
        <v>591729</v>
      </c>
    </row>
    <row r="239" spans="1:8"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9" s="1" t="s">
        <v>676</v>
      </c>
      <c r="D239" s="1" t="s">
        <v>677</v>
      </c>
      <c r="E239" s="1" t="s">
        <v>678</v>
      </c>
      <c r="F239" s="1" t="s">
        <v>112</v>
      </c>
      <c r="G239" s="1">
        <v>383476</v>
      </c>
    </row>
    <row r="240" spans="1:8"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679</v>
      </c>
      <c r="D240" s="1" t="s">
        <v>680</v>
      </c>
      <c r="E240" s="1" t="s">
        <v>681</v>
      </c>
      <c r="F240" s="1" t="s">
        <v>112</v>
      </c>
      <c r="G240" s="1">
        <v>722374</v>
      </c>
    </row>
    <row r="241" spans="1:7"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682</v>
      </c>
      <c r="D241" s="1" t="s">
        <v>683</v>
      </c>
      <c r="E241" s="1" t="s">
        <v>684</v>
      </c>
      <c r="F241" s="1" t="s">
        <v>112</v>
      </c>
      <c r="G241" s="1">
        <v>1010441</v>
      </c>
    </row>
    <row r="242" spans="1:7"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2" s="1" t="s">
        <v>685</v>
      </c>
      <c r="D242" s="1" t="s">
        <v>686</v>
      </c>
      <c r="E242" s="1" t="s">
        <v>687</v>
      </c>
      <c r="F242" s="1" t="s">
        <v>112</v>
      </c>
      <c r="G242" s="1">
        <v>1310750</v>
      </c>
    </row>
    <row r="243" spans="1:7"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688</v>
      </c>
      <c r="D243" s="1" t="s">
        <v>689</v>
      </c>
      <c r="E243" s="1" t="s">
        <v>690</v>
      </c>
      <c r="F243" s="1" t="s">
        <v>112</v>
      </c>
      <c r="G243" s="1">
        <v>632155</v>
      </c>
    </row>
    <row r="244" spans="1:7"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691</v>
      </c>
      <c r="D244" s="1" t="s">
        <v>692</v>
      </c>
      <c r="E244" s="1" t="s">
        <v>693</v>
      </c>
      <c r="F244" s="1" t="s">
        <v>112</v>
      </c>
      <c r="G244" s="1">
        <v>835152</v>
      </c>
    </row>
    <row r="245" spans="1:7"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5" s="1" t="s">
        <v>694</v>
      </c>
      <c r="D245" s="1" t="s">
        <v>695</v>
      </c>
      <c r="E245" s="1" t="s">
        <v>696</v>
      </c>
      <c r="F245" s="1" t="s">
        <v>112</v>
      </c>
      <c r="G245" s="1">
        <v>623201</v>
      </c>
    </row>
    <row r="246" spans="1:7"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697</v>
      </c>
      <c r="D246" s="1" t="s">
        <v>698</v>
      </c>
      <c r="E246" s="1" t="s">
        <v>699</v>
      </c>
      <c r="F246" s="1" t="s">
        <v>112</v>
      </c>
      <c r="G246" s="1">
        <v>988465</v>
      </c>
    </row>
    <row r="247" spans="1:7"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700</v>
      </c>
      <c r="D247" s="1" t="s">
        <v>701</v>
      </c>
      <c r="E247" s="1" t="s">
        <v>702</v>
      </c>
      <c r="F247" s="1" t="s">
        <v>112</v>
      </c>
      <c r="G247" s="1">
        <v>840841</v>
      </c>
    </row>
    <row r="248" spans="1:7"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8" s="1" t="s">
        <v>703</v>
      </c>
      <c r="D248" s="1" t="s">
        <v>704</v>
      </c>
      <c r="E248" s="1" t="s">
        <v>705</v>
      </c>
      <c r="F248" s="1" t="s">
        <v>112</v>
      </c>
      <c r="G248" s="1">
        <v>569364</v>
      </c>
    </row>
    <row r="249" spans="1:7"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706</v>
      </c>
      <c r="D249" s="1" t="s">
        <v>707</v>
      </c>
      <c r="E249" s="1" t="s">
        <v>708</v>
      </c>
      <c r="F249" s="1" t="s">
        <v>112</v>
      </c>
      <c r="G249" s="1">
        <v>95496</v>
      </c>
    </row>
    <row r="250" spans="1:7"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709</v>
      </c>
      <c r="D250" s="1" t="s">
        <v>578</v>
      </c>
      <c r="E250" s="1" t="s">
        <v>710</v>
      </c>
      <c r="F250" s="1" t="s">
        <v>112</v>
      </c>
      <c r="G250" s="1">
        <v>239356</v>
      </c>
    </row>
    <row r="251" spans="1:7"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1" s="1" t="s">
        <v>711</v>
      </c>
      <c r="D251" s="1" t="s">
        <v>712</v>
      </c>
      <c r="E251" s="1" t="s">
        <v>713</v>
      </c>
      <c r="F251" s="1" t="s">
        <v>112</v>
      </c>
      <c r="G251" s="1">
        <v>154351</v>
      </c>
    </row>
    <row r="252" spans="1:7"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714</v>
      </c>
      <c r="D252" s="1" t="s">
        <v>715</v>
      </c>
      <c r="E252" s="1" t="s">
        <v>716</v>
      </c>
      <c r="F252" s="1" t="s">
        <v>112</v>
      </c>
      <c r="G252" s="1">
        <v>819038</v>
      </c>
    </row>
    <row r="253" spans="1:7"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717</v>
      </c>
      <c r="D253" s="1" t="s">
        <v>718</v>
      </c>
      <c r="E253" s="1" t="s">
        <v>719</v>
      </c>
      <c r="F253" s="1" t="s">
        <v>112</v>
      </c>
      <c r="G253" s="1">
        <v>1345704</v>
      </c>
    </row>
    <row r="254" spans="1:7"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4" s="1" t="s">
        <v>720</v>
      </c>
      <c r="D254" s="1" t="s">
        <v>721</v>
      </c>
      <c r="E254" s="1" t="s">
        <v>722</v>
      </c>
      <c r="F254" s="1" t="s">
        <v>112</v>
      </c>
      <c r="G254" s="1">
        <v>818108</v>
      </c>
    </row>
    <row r="255" spans="1:7"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723</v>
      </c>
      <c r="D255" s="1" t="s">
        <v>724</v>
      </c>
      <c r="E255" s="1" t="s">
        <v>725</v>
      </c>
      <c r="F255" s="1" t="s">
        <v>112</v>
      </c>
      <c r="G255" s="1">
        <v>24204</v>
      </c>
    </row>
    <row r="256" spans="1:7"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726</v>
      </c>
    </row>
    <row r="257" spans="1:8" x14ac:dyDescent="0.35">
      <c r="A257" s="1" t="str">
        <f t="shared" si="3"/>
        <v>4</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7" s="1" t="s">
        <v>727</v>
      </c>
      <c r="D257" s="1" t="s">
        <v>646</v>
      </c>
      <c r="E257" s="1" t="s">
        <v>728</v>
      </c>
      <c r="F257" s="1" t="s">
        <v>112</v>
      </c>
      <c r="G257" s="1">
        <v>125367</v>
      </c>
    </row>
    <row r="258" spans="1:8"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112</v>
      </c>
    </row>
    <row r="259" spans="1:8"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9" s="1" t="s">
        <v>227</v>
      </c>
      <c r="D259" s="1" t="s">
        <v>112</v>
      </c>
      <c r="E259" s="1" t="s">
        <v>228</v>
      </c>
      <c r="F259" s="1" t="s">
        <v>229</v>
      </c>
      <c r="G259" s="1" t="s">
        <v>230</v>
      </c>
      <c r="H259" s="1" t="s">
        <v>231</v>
      </c>
    </row>
    <row r="260" spans="1:8" x14ac:dyDescent="0.35">
      <c r="A260" s="1" t="str">
        <f t="shared" si="4"/>
        <v>4</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60" s="1" t="s">
        <v>729</v>
      </c>
      <c r="D260" s="1" t="s">
        <v>112</v>
      </c>
      <c r="E260" s="1" t="s">
        <v>730</v>
      </c>
      <c r="F260" s="1" t="s">
        <v>731</v>
      </c>
      <c r="G260" s="1" t="s">
        <v>732</v>
      </c>
      <c r="H260" s="1" t="s">
        <v>733</v>
      </c>
    </row>
    <row r="261" spans="1:8"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8"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8"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8"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8"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112</v>
      </c>
    </row>
    <row r="266" spans="1:8"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6" s="1" t="s">
        <v>173</v>
      </c>
      <c r="D266" s="1" t="s">
        <v>110</v>
      </c>
      <c r="E266" s="1" t="s">
        <v>111</v>
      </c>
      <c r="F266" s="1" t="s">
        <v>112</v>
      </c>
      <c r="G266" s="1" t="s">
        <v>113</v>
      </c>
    </row>
    <row r="267" spans="1:8"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734</v>
      </c>
      <c r="D267" s="1" t="s">
        <v>735</v>
      </c>
      <c r="E267" s="1" t="s">
        <v>736</v>
      </c>
      <c r="F267" s="1" t="s">
        <v>112</v>
      </c>
      <c r="G267" s="1">
        <v>843523</v>
      </c>
    </row>
    <row r="268" spans="1:8"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737</v>
      </c>
    </row>
    <row r="269" spans="1:8"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9" s="1" t="s">
        <v>738</v>
      </c>
      <c r="D269" s="1" t="s">
        <v>739</v>
      </c>
      <c r="E269" s="1" t="s">
        <v>740</v>
      </c>
      <c r="F269" s="1" t="s">
        <v>112</v>
      </c>
      <c r="G269" s="1">
        <v>863379</v>
      </c>
    </row>
    <row r="270" spans="1:8"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741</v>
      </c>
      <c r="D270" s="1" t="s">
        <v>742</v>
      </c>
      <c r="E270" s="1" t="s">
        <v>743</v>
      </c>
      <c r="F270" s="1" t="s">
        <v>112</v>
      </c>
      <c r="G270" s="1">
        <v>2049281</v>
      </c>
    </row>
    <row r="271" spans="1:8"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744</v>
      </c>
      <c r="D271" s="1" t="s">
        <v>745</v>
      </c>
      <c r="E271" s="1" t="s">
        <v>746</v>
      </c>
      <c r="F271" s="1" t="s">
        <v>112</v>
      </c>
      <c r="G271" s="1">
        <v>2005394</v>
      </c>
    </row>
    <row r="272" spans="1:8"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2" s="1" t="s">
        <v>747</v>
      </c>
      <c r="D272" s="1" t="s">
        <v>748</v>
      </c>
      <c r="E272" s="1" t="s">
        <v>749</v>
      </c>
      <c r="F272" s="1" t="s">
        <v>112</v>
      </c>
      <c r="G272" s="1">
        <v>2733413</v>
      </c>
    </row>
    <row r="273" spans="1:7"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750</v>
      </c>
      <c r="D273" s="1" t="s">
        <v>751</v>
      </c>
      <c r="E273" s="1" t="s">
        <v>752</v>
      </c>
      <c r="F273" s="1" t="s">
        <v>112</v>
      </c>
      <c r="G273" s="1">
        <v>1075244</v>
      </c>
    </row>
    <row r="274" spans="1:7"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753</v>
      </c>
      <c r="D274" s="1" t="s">
        <v>754</v>
      </c>
      <c r="E274" s="1" t="s">
        <v>755</v>
      </c>
      <c r="F274" s="1" t="s">
        <v>112</v>
      </c>
      <c r="G274" s="1">
        <v>745561</v>
      </c>
    </row>
    <row r="275" spans="1:7"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5" s="1" t="s">
        <v>756</v>
      </c>
      <c r="D275" s="1" t="s">
        <v>757</v>
      </c>
      <c r="E275" s="1" t="s">
        <v>758</v>
      </c>
      <c r="F275" s="1" t="s">
        <v>112</v>
      </c>
      <c r="G275" s="1">
        <v>1177705</v>
      </c>
    </row>
    <row r="276" spans="1:7"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759</v>
      </c>
      <c r="D276" s="1" t="s">
        <v>760</v>
      </c>
      <c r="E276" s="1" t="s">
        <v>761</v>
      </c>
      <c r="F276" s="1" t="s">
        <v>112</v>
      </c>
      <c r="G276" s="1">
        <v>3669490</v>
      </c>
    </row>
    <row r="277" spans="1:7"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762</v>
      </c>
      <c r="D277" s="1" t="s">
        <v>763</v>
      </c>
      <c r="E277" s="1" t="s">
        <v>764</v>
      </c>
      <c r="F277" s="1" t="s">
        <v>112</v>
      </c>
      <c r="G277" s="1">
        <v>3403053</v>
      </c>
    </row>
    <row r="278" spans="1:7"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8" s="1" t="s">
        <v>765</v>
      </c>
      <c r="D278" s="1" t="s">
        <v>766</v>
      </c>
      <c r="E278" s="1" t="s">
        <v>767</v>
      </c>
      <c r="F278" s="1" t="s">
        <v>112</v>
      </c>
      <c r="G278" s="1">
        <v>3417523</v>
      </c>
    </row>
    <row r="279" spans="1:7"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768</v>
      </c>
      <c r="D279" s="1" t="s">
        <v>769</v>
      </c>
      <c r="E279" s="1" t="s">
        <v>770</v>
      </c>
      <c r="F279" s="1" t="s">
        <v>112</v>
      </c>
      <c r="G279" s="1">
        <v>1513725</v>
      </c>
    </row>
    <row r="280" spans="1:7"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771</v>
      </c>
    </row>
    <row r="281" spans="1:7"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1" s="1" t="s">
        <v>772</v>
      </c>
    </row>
    <row r="282" spans="1:7"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773</v>
      </c>
      <c r="D282" s="1" t="s">
        <v>774</v>
      </c>
      <c r="E282" s="1" t="s">
        <v>775</v>
      </c>
      <c r="F282" s="1" t="s">
        <v>112</v>
      </c>
      <c r="G282" s="1">
        <v>1953872</v>
      </c>
    </row>
    <row r="283" spans="1:7"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776</v>
      </c>
      <c r="D283" s="1" t="s">
        <v>777</v>
      </c>
      <c r="E283" s="1" t="s">
        <v>778</v>
      </c>
      <c r="F283" s="1" t="s">
        <v>112</v>
      </c>
      <c r="G283" s="1">
        <v>1842326</v>
      </c>
    </row>
    <row r="284" spans="1:7"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4" s="1" t="s">
        <v>779</v>
      </c>
      <c r="D284" s="1" t="s">
        <v>780</v>
      </c>
      <c r="E284" s="1" t="s">
        <v>781</v>
      </c>
      <c r="F284" s="1" t="s">
        <v>112</v>
      </c>
      <c r="G284" s="1">
        <v>2300707</v>
      </c>
    </row>
    <row r="285" spans="1:7"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782</v>
      </c>
      <c r="D285" s="1" t="s">
        <v>783</v>
      </c>
      <c r="E285" s="1" t="s">
        <v>784</v>
      </c>
      <c r="F285" s="1" t="s">
        <v>112</v>
      </c>
      <c r="G285" s="1">
        <v>2628681</v>
      </c>
    </row>
    <row r="286" spans="1:7"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785</v>
      </c>
      <c r="D286" s="1" t="s">
        <v>786</v>
      </c>
      <c r="E286" s="1" t="s">
        <v>787</v>
      </c>
      <c r="F286" s="1" t="s">
        <v>112</v>
      </c>
      <c r="G286" s="1">
        <v>1993087</v>
      </c>
    </row>
    <row r="287" spans="1:7"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7" s="1" t="s">
        <v>788</v>
      </c>
      <c r="D287" s="1" t="s">
        <v>789</v>
      </c>
      <c r="E287" s="1" t="s">
        <v>790</v>
      </c>
      <c r="F287" s="1" t="s">
        <v>112</v>
      </c>
      <c r="G287" s="1">
        <v>2499291</v>
      </c>
    </row>
    <row r="288" spans="1:7"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791</v>
      </c>
      <c r="D288" s="1" t="s">
        <v>792</v>
      </c>
      <c r="E288" s="1" t="s">
        <v>793</v>
      </c>
      <c r="F288" s="1" t="s">
        <v>112</v>
      </c>
      <c r="G288" s="1">
        <v>2687623</v>
      </c>
    </row>
    <row r="289" spans="1:8"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794</v>
      </c>
      <c r="D289" s="1" t="s">
        <v>795</v>
      </c>
      <c r="E289" s="1" t="s">
        <v>796</v>
      </c>
      <c r="F289" s="1" t="s">
        <v>112</v>
      </c>
      <c r="G289" s="1">
        <v>2964637</v>
      </c>
    </row>
    <row r="290" spans="1:8" x14ac:dyDescent="0.35">
      <c r="A290" s="1" t="str">
        <f t="shared" si="4"/>
        <v>5</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90" s="1" t="s">
        <v>797</v>
      </c>
      <c r="D290" s="1" t="s">
        <v>798</v>
      </c>
      <c r="E290" s="1" t="s">
        <v>799</v>
      </c>
      <c r="F290" s="1" t="s">
        <v>112</v>
      </c>
      <c r="G290" s="1">
        <v>2400594</v>
      </c>
    </row>
    <row r="291" spans="1:8"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112</v>
      </c>
    </row>
    <row r="292" spans="1:8"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2" s="1" t="s">
        <v>227</v>
      </c>
      <c r="D292" s="1" t="s">
        <v>112</v>
      </c>
      <c r="E292" s="1" t="s">
        <v>228</v>
      </c>
      <c r="F292" s="1" t="s">
        <v>229</v>
      </c>
      <c r="G292" s="1" t="s">
        <v>230</v>
      </c>
      <c r="H292" s="1" t="s">
        <v>231</v>
      </c>
    </row>
    <row r="293" spans="1:8" x14ac:dyDescent="0.35">
      <c r="A293" s="1" t="str">
        <f t="shared" si="4"/>
        <v>5</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3" s="1" t="s">
        <v>800</v>
      </c>
      <c r="D293" s="1" t="s">
        <v>112</v>
      </c>
      <c r="E293" s="1" t="s">
        <v>801</v>
      </c>
      <c r="F293" s="1" t="s">
        <v>802</v>
      </c>
      <c r="G293" s="1" t="s">
        <v>803</v>
      </c>
      <c r="H293" s="1" t="s">
        <v>804</v>
      </c>
    </row>
    <row r="294" spans="1:8"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8"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8"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8"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8"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112</v>
      </c>
    </row>
    <row r="299" spans="1:8"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9" s="1" t="s">
        <v>173</v>
      </c>
      <c r="D299" s="1" t="s">
        <v>110</v>
      </c>
      <c r="E299" s="1" t="s">
        <v>111</v>
      </c>
      <c r="F299" s="1" t="s">
        <v>112</v>
      </c>
      <c r="G299" s="1" t="s">
        <v>113</v>
      </c>
    </row>
    <row r="300" spans="1:8"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805</v>
      </c>
      <c r="D300" s="1" t="s">
        <v>806</v>
      </c>
      <c r="E300" s="1" t="s">
        <v>807</v>
      </c>
      <c r="F300" s="1" t="s">
        <v>112</v>
      </c>
      <c r="G300" s="1">
        <v>2349504</v>
      </c>
    </row>
    <row r="301" spans="1:8"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808</v>
      </c>
    </row>
    <row r="302" spans="1:8"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2" s="1" t="s">
        <v>809</v>
      </c>
      <c r="D302" s="1" t="s">
        <v>810</v>
      </c>
      <c r="E302" s="1" t="s">
        <v>811</v>
      </c>
      <c r="F302" s="1" t="s">
        <v>112</v>
      </c>
      <c r="G302" s="1">
        <v>1908730</v>
      </c>
    </row>
    <row r="303" spans="1:8"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812</v>
      </c>
      <c r="D303" s="1" t="s">
        <v>813</v>
      </c>
      <c r="E303" s="1" t="s">
        <v>814</v>
      </c>
      <c r="F303" s="1" t="s">
        <v>112</v>
      </c>
      <c r="G303" s="1">
        <v>2497106</v>
      </c>
    </row>
    <row r="304" spans="1:8"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815</v>
      </c>
      <c r="D304" s="1" t="s">
        <v>449</v>
      </c>
      <c r="E304" s="1" t="s">
        <v>816</v>
      </c>
      <c r="F304" s="1" t="s">
        <v>112</v>
      </c>
      <c r="G304" s="1">
        <v>2080233</v>
      </c>
    </row>
    <row r="305" spans="1:7"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5" s="1" t="s">
        <v>817</v>
      </c>
      <c r="D305" s="1" t="s">
        <v>818</v>
      </c>
      <c r="E305" s="1" t="s">
        <v>819</v>
      </c>
      <c r="F305" s="1" t="s">
        <v>112</v>
      </c>
      <c r="G305" s="1">
        <v>2709836</v>
      </c>
    </row>
    <row r="306" spans="1:7"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820</v>
      </c>
      <c r="D306" s="1" t="s">
        <v>821</v>
      </c>
      <c r="E306" s="1" t="s">
        <v>822</v>
      </c>
      <c r="F306" s="1" t="s">
        <v>112</v>
      </c>
      <c r="G306" s="1">
        <v>3616756</v>
      </c>
    </row>
    <row r="307" spans="1:7"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823</v>
      </c>
      <c r="D307" s="1" t="s">
        <v>824</v>
      </c>
      <c r="E307" s="1" t="s">
        <v>825</v>
      </c>
      <c r="F307" s="1" t="s">
        <v>112</v>
      </c>
      <c r="G307" s="1">
        <v>3395266</v>
      </c>
    </row>
    <row r="308" spans="1:7"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8" s="1" t="s">
        <v>826</v>
      </c>
      <c r="D308" s="1" t="s">
        <v>827</v>
      </c>
      <c r="E308" s="1" t="s">
        <v>828</v>
      </c>
      <c r="F308" s="1" t="s">
        <v>112</v>
      </c>
      <c r="G308" s="1">
        <v>3308227</v>
      </c>
    </row>
    <row r="309" spans="1:7"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829</v>
      </c>
      <c r="D309" s="1" t="s">
        <v>830</v>
      </c>
      <c r="E309" s="1" t="s">
        <v>831</v>
      </c>
      <c r="F309" s="1" t="s">
        <v>112</v>
      </c>
      <c r="G309" s="1">
        <v>4009014</v>
      </c>
    </row>
    <row r="310" spans="1:7"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832</v>
      </c>
      <c r="D310" s="1" t="s">
        <v>833</v>
      </c>
      <c r="E310" s="1" t="s">
        <v>834</v>
      </c>
      <c r="F310" s="1" t="s">
        <v>112</v>
      </c>
      <c r="G310" s="1">
        <v>3573821</v>
      </c>
    </row>
    <row r="311" spans="1:7"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1" s="1" t="s">
        <v>835</v>
      </c>
      <c r="D311" s="1" t="s">
        <v>836</v>
      </c>
      <c r="E311" s="1" t="s">
        <v>837</v>
      </c>
      <c r="F311" s="1" t="s">
        <v>112</v>
      </c>
      <c r="G311" s="1">
        <v>3104431</v>
      </c>
    </row>
    <row r="312" spans="1:7"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838</v>
      </c>
      <c r="D312" s="1" t="s">
        <v>839</v>
      </c>
      <c r="E312" s="1" t="s">
        <v>840</v>
      </c>
      <c r="F312" s="1" t="s">
        <v>112</v>
      </c>
      <c r="G312" s="1">
        <v>2555399</v>
      </c>
    </row>
    <row r="313" spans="1:7"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841</v>
      </c>
      <c r="D313" s="1" t="s">
        <v>842</v>
      </c>
      <c r="E313" s="1" t="s">
        <v>843</v>
      </c>
      <c r="F313" s="1" t="s">
        <v>112</v>
      </c>
      <c r="G313" s="1">
        <v>2632553</v>
      </c>
    </row>
    <row r="314" spans="1:7"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4" s="1" t="s">
        <v>844</v>
      </c>
      <c r="D314" s="1" t="s">
        <v>845</v>
      </c>
      <c r="E314" s="1" t="s">
        <v>846</v>
      </c>
      <c r="F314" s="1" t="s">
        <v>112</v>
      </c>
      <c r="G314" s="1">
        <v>3022388</v>
      </c>
    </row>
    <row r="315" spans="1:7"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847</v>
      </c>
      <c r="D315" s="1" t="s">
        <v>848</v>
      </c>
      <c r="E315" s="1" t="s">
        <v>849</v>
      </c>
      <c r="F315" s="1" t="s">
        <v>112</v>
      </c>
      <c r="G315" s="1">
        <v>3961732</v>
      </c>
    </row>
    <row r="316" spans="1:7"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850</v>
      </c>
      <c r="D316" s="1" t="s">
        <v>851</v>
      </c>
      <c r="E316" s="1" t="s">
        <v>852</v>
      </c>
      <c r="F316" s="1" t="s">
        <v>112</v>
      </c>
      <c r="G316" s="1">
        <v>4256482</v>
      </c>
    </row>
    <row r="317" spans="1:7"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7" s="1" t="s">
        <v>853</v>
      </c>
      <c r="D317" s="1" t="s">
        <v>854</v>
      </c>
      <c r="E317" s="1" t="s">
        <v>855</v>
      </c>
      <c r="F317" s="1" t="s">
        <v>112</v>
      </c>
      <c r="G317" s="1">
        <v>4100293</v>
      </c>
    </row>
    <row r="318" spans="1:7"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856</v>
      </c>
      <c r="D318" s="1" t="s">
        <v>857</v>
      </c>
      <c r="E318" s="1" t="s">
        <v>858</v>
      </c>
      <c r="F318" s="1" t="s">
        <v>112</v>
      </c>
      <c r="G318" s="1">
        <v>3212905</v>
      </c>
    </row>
    <row r="319" spans="1:7"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859</v>
      </c>
      <c r="D319" s="1" t="s">
        <v>860</v>
      </c>
      <c r="E319" s="1" t="s">
        <v>861</v>
      </c>
      <c r="F319" s="1" t="s">
        <v>112</v>
      </c>
      <c r="G319" s="1">
        <v>3876748</v>
      </c>
    </row>
    <row r="320" spans="1:7"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20" s="1" t="s">
        <v>862</v>
      </c>
      <c r="D320" s="1" t="s">
        <v>863</v>
      </c>
      <c r="E320" s="1" t="s">
        <v>864</v>
      </c>
      <c r="F320" s="1" t="s">
        <v>112</v>
      </c>
      <c r="G320" s="1">
        <v>4137972</v>
      </c>
    </row>
    <row r="321" spans="1:8"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865</v>
      </c>
    </row>
    <row r="322" spans="1:8"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866</v>
      </c>
    </row>
    <row r="323" spans="1:8" x14ac:dyDescent="0.35">
      <c r="A323" s="1" t="str">
        <f t="shared" si="5"/>
        <v>6</v>
      </c>
      <c r="B3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3" s="1" t="s">
        <v>867</v>
      </c>
    </row>
    <row r="324" spans="1:8"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112</v>
      </c>
    </row>
    <row r="325" spans="1:8"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227</v>
      </c>
      <c r="D325" s="1" t="s">
        <v>112</v>
      </c>
      <c r="E325" s="1" t="s">
        <v>228</v>
      </c>
      <c r="F325" s="1" t="s">
        <v>229</v>
      </c>
      <c r="G325" s="1" t="s">
        <v>230</v>
      </c>
      <c r="H325" s="1" t="s">
        <v>231</v>
      </c>
    </row>
    <row r="326" spans="1:8" x14ac:dyDescent="0.35">
      <c r="A326" s="1" t="str">
        <f t="shared" si="5"/>
        <v>6</v>
      </c>
      <c r="B3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6" s="1" t="s">
        <v>868</v>
      </c>
      <c r="D326" s="1" t="s">
        <v>112</v>
      </c>
      <c r="E326" s="1" t="s">
        <v>869</v>
      </c>
      <c r="F326" s="1" t="s">
        <v>870</v>
      </c>
      <c r="G326" s="1" t="s">
        <v>871</v>
      </c>
      <c r="H326" s="1" t="s">
        <v>872</v>
      </c>
    </row>
    <row r="327" spans="1:8"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8"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8"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8"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8"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112</v>
      </c>
    </row>
    <row r="332" spans="1:8"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2" s="1" t="s">
        <v>173</v>
      </c>
      <c r="D332" s="1" t="s">
        <v>110</v>
      </c>
      <c r="E332" s="1" t="s">
        <v>111</v>
      </c>
      <c r="F332" s="1" t="s">
        <v>112</v>
      </c>
      <c r="G332" s="1" t="s">
        <v>113</v>
      </c>
    </row>
    <row r="333" spans="1:8"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873</v>
      </c>
      <c r="D333" s="1" t="s">
        <v>874</v>
      </c>
      <c r="E333" s="1" t="s">
        <v>875</v>
      </c>
      <c r="F333" s="1" t="s">
        <v>112</v>
      </c>
      <c r="G333" s="1">
        <v>4539466</v>
      </c>
    </row>
    <row r="334" spans="1:8"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876</v>
      </c>
      <c r="D334" s="1" t="s">
        <v>877</v>
      </c>
      <c r="E334" s="1" t="s">
        <v>878</v>
      </c>
      <c r="F334" s="1" t="s">
        <v>112</v>
      </c>
      <c r="G334" s="1">
        <v>4718021</v>
      </c>
    </row>
    <row r="335" spans="1:8"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5" s="1" t="s">
        <v>879</v>
      </c>
      <c r="D335" s="1" t="s">
        <v>880</v>
      </c>
      <c r="E335" s="1" t="s">
        <v>881</v>
      </c>
      <c r="F335" s="1" t="s">
        <v>112</v>
      </c>
      <c r="G335" s="1">
        <v>3257224</v>
      </c>
    </row>
    <row r="336" spans="1:8"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882</v>
      </c>
      <c r="D336" s="1" t="s">
        <v>883</v>
      </c>
      <c r="E336" s="1" t="s">
        <v>884</v>
      </c>
      <c r="F336" s="1" t="s">
        <v>112</v>
      </c>
      <c r="G336" s="1">
        <v>3330874</v>
      </c>
    </row>
    <row r="337" spans="1:7"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885</v>
      </c>
      <c r="D337" s="1" t="s">
        <v>886</v>
      </c>
      <c r="E337" s="1" t="s">
        <v>887</v>
      </c>
      <c r="F337" s="1" t="s">
        <v>112</v>
      </c>
      <c r="G337" s="1">
        <v>3352223</v>
      </c>
    </row>
    <row r="338" spans="1:7"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888</v>
      </c>
      <c r="D338" s="1" t="s">
        <v>889</v>
      </c>
      <c r="E338" s="1" t="s">
        <v>890</v>
      </c>
      <c r="F338" s="1" t="s">
        <v>112</v>
      </c>
      <c r="G338" s="1">
        <v>3824641</v>
      </c>
    </row>
    <row r="339" spans="1:7"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891</v>
      </c>
      <c r="D339" s="1" t="s">
        <v>892</v>
      </c>
      <c r="E339" s="1" t="s">
        <v>893</v>
      </c>
      <c r="F339" s="1" t="s">
        <v>112</v>
      </c>
      <c r="G339" s="1">
        <v>3712880</v>
      </c>
    </row>
    <row r="340" spans="1:7"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894</v>
      </c>
    </row>
    <row r="341" spans="1:7"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895</v>
      </c>
      <c r="D341" s="1" t="s">
        <v>896</v>
      </c>
      <c r="E341" s="1" t="s">
        <v>897</v>
      </c>
      <c r="F341" s="1" t="s">
        <v>112</v>
      </c>
      <c r="G341" s="1">
        <v>4069405</v>
      </c>
    </row>
    <row r="342" spans="1:7"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898</v>
      </c>
      <c r="D342" s="1" t="s">
        <v>899</v>
      </c>
      <c r="E342" s="1" t="s">
        <v>900</v>
      </c>
      <c r="F342" s="1" t="s">
        <v>112</v>
      </c>
      <c r="G342" s="1">
        <v>3638105</v>
      </c>
    </row>
    <row r="343" spans="1:7"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901</v>
      </c>
      <c r="D343" s="1" t="s">
        <v>902</v>
      </c>
      <c r="E343" s="1" t="s">
        <v>903</v>
      </c>
      <c r="F343" s="1" t="s">
        <v>112</v>
      </c>
      <c r="G343" s="1">
        <v>3819796</v>
      </c>
    </row>
    <row r="344" spans="1:7"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904</v>
      </c>
      <c r="D344" s="1" t="s">
        <v>905</v>
      </c>
      <c r="E344" s="1" t="s">
        <v>906</v>
      </c>
      <c r="F344" s="1" t="s">
        <v>112</v>
      </c>
      <c r="G344" s="1">
        <v>3816422</v>
      </c>
    </row>
    <row r="345" spans="1:7"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907</v>
      </c>
      <c r="D345" s="1" t="s">
        <v>908</v>
      </c>
      <c r="E345" s="1" t="s">
        <v>909</v>
      </c>
      <c r="F345" s="1" t="s">
        <v>112</v>
      </c>
      <c r="G345" s="1">
        <v>4906287</v>
      </c>
    </row>
    <row r="346" spans="1:7"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910</v>
      </c>
      <c r="D346" s="1" t="s">
        <v>911</v>
      </c>
      <c r="E346" s="1" t="s">
        <v>912</v>
      </c>
      <c r="F346" s="1" t="s">
        <v>112</v>
      </c>
      <c r="G346" s="1">
        <v>5097885</v>
      </c>
    </row>
    <row r="347" spans="1:7"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913</v>
      </c>
      <c r="D347" s="1" t="s">
        <v>914</v>
      </c>
      <c r="E347" s="1" t="s">
        <v>915</v>
      </c>
      <c r="F347" s="1" t="s">
        <v>112</v>
      </c>
      <c r="G347" s="1">
        <v>4881153</v>
      </c>
    </row>
    <row r="348" spans="1:7"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916</v>
      </c>
      <c r="D348" s="1" t="s">
        <v>917</v>
      </c>
      <c r="E348" s="1" t="s">
        <v>918</v>
      </c>
      <c r="F348" s="1" t="s">
        <v>112</v>
      </c>
      <c r="G348" s="1">
        <v>5180944</v>
      </c>
    </row>
    <row r="349" spans="1:7"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919</v>
      </c>
      <c r="D349" s="1" t="s">
        <v>920</v>
      </c>
      <c r="E349" s="1" t="s">
        <v>921</v>
      </c>
      <c r="F349" s="1" t="s">
        <v>112</v>
      </c>
      <c r="G349" s="1">
        <v>4778260</v>
      </c>
    </row>
    <row r="350" spans="1:7"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0" s="1" t="s">
        <v>922</v>
      </c>
      <c r="D350" s="1" t="s">
        <v>923</v>
      </c>
      <c r="E350" s="1" t="s">
        <v>924</v>
      </c>
      <c r="F350" s="1" t="s">
        <v>112</v>
      </c>
      <c r="G350" s="1">
        <v>4794288</v>
      </c>
    </row>
    <row r="351" spans="1:7"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925</v>
      </c>
      <c r="D351" s="1" t="s">
        <v>926</v>
      </c>
      <c r="E351" s="1" t="s">
        <v>927</v>
      </c>
      <c r="F351" s="1" t="s">
        <v>112</v>
      </c>
      <c r="G351" s="1">
        <v>3886157</v>
      </c>
    </row>
    <row r="352" spans="1:7"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928</v>
      </c>
      <c r="D352" s="1" t="s">
        <v>929</v>
      </c>
      <c r="E352" s="1" t="s">
        <v>930</v>
      </c>
      <c r="F352" s="1" t="s">
        <v>112</v>
      </c>
      <c r="G352" s="1">
        <v>4379599</v>
      </c>
    </row>
    <row r="353" spans="1:8"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3" s="1" t="s">
        <v>931</v>
      </c>
      <c r="D353" s="1" t="s">
        <v>932</v>
      </c>
      <c r="E353" s="1" t="s">
        <v>933</v>
      </c>
      <c r="F353" s="1" t="s">
        <v>112</v>
      </c>
      <c r="G353" s="1">
        <v>4112708</v>
      </c>
    </row>
    <row r="354" spans="1:8"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934</v>
      </c>
      <c r="D354" s="1" t="s">
        <v>935</v>
      </c>
      <c r="E354" s="1" t="s">
        <v>936</v>
      </c>
      <c r="F354" s="1" t="s">
        <v>112</v>
      </c>
      <c r="G354" s="1">
        <v>1921297</v>
      </c>
    </row>
    <row r="355" spans="1:8"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937</v>
      </c>
      <c r="D355" s="1" t="s">
        <v>938</v>
      </c>
      <c r="E355" s="1" t="s">
        <v>939</v>
      </c>
      <c r="F355" s="1" t="s">
        <v>112</v>
      </c>
      <c r="G355" s="1">
        <v>1937930</v>
      </c>
    </row>
    <row r="356" spans="1:8" x14ac:dyDescent="0.35">
      <c r="A356" s="1" t="str">
        <f t="shared" si="5"/>
        <v>7</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6" s="1" t="s">
        <v>940</v>
      </c>
      <c r="D356" s="1" t="s">
        <v>941</v>
      </c>
      <c r="E356" s="1" t="s">
        <v>942</v>
      </c>
      <c r="F356" s="1" t="s">
        <v>112</v>
      </c>
      <c r="G356" s="1">
        <v>2338970</v>
      </c>
    </row>
    <row r="357" spans="1:8"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112</v>
      </c>
    </row>
    <row r="358" spans="1:8"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8" s="1" t="s">
        <v>227</v>
      </c>
      <c r="D358" s="1" t="s">
        <v>112</v>
      </c>
      <c r="E358" s="1" t="s">
        <v>228</v>
      </c>
      <c r="F358" s="1" t="s">
        <v>229</v>
      </c>
      <c r="G358" s="1" t="s">
        <v>230</v>
      </c>
      <c r="H358" s="1" t="s">
        <v>231</v>
      </c>
    </row>
    <row r="359" spans="1:8" x14ac:dyDescent="0.35">
      <c r="A359" s="1" t="str">
        <f t="shared" si="5"/>
        <v>7</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9" s="1" t="s">
        <v>943</v>
      </c>
      <c r="D359" s="1" t="s">
        <v>112</v>
      </c>
      <c r="E359" s="1" t="s">
        <v>944</v>
      </c>
      <c r="F359" s="1" t="s">
        <v>945</v>
      </c>
      <c r="G359" s="1" t="s">
        <v>946</v>
      </c>
      <c r="H359" s="1" t="s">
        <v>947</v>
      </c>
    </row>
    <row r="360" spans="1:8"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8"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8"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8"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8"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112</v>
      </c>
    </row>
    <row r="365" spans="1:8"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5" s="1" t="s">
        <v>173</v>
      </c>
      <c r="D365" s="1" t="s">
        <v>110</v>
      </c>
      <c r="E365" s="1" t="s">
        <v>111</v>
      </c>
      <c r="F365" s="1" t="s">
        <v>112</v>
      </c>
      <c r="G365" s="1" t="s">
        <v>113</v>
      </c>
    </row>
    <row r="366" spans="1:8"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948</v>
      </c>
      <c r="D366" s="1" t="s">
        <v>204</v>
      </c>
      <c r="E366" s="1" t="s">
        <v>205</v>
      </c>
      <c r="F366" s="1" t="s">
        <v>112</v>
      </c>
      <c r="G366" s="1">
        <v>6121</v>
      </c>
    </row>
    <row r="367" spans="1:8"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949</v>
      </c>
      <c r="D367" s="1" t="s">
        <v>950</v>
      </c>
      <c r="E367" s="1" t="s">
        <v>951</v>
      </c>
      <c r="F367" s="1" t="s">
        <v>112</v>
      </c>
      <c r="G367" s="1">
        <v>152621</v>
      </c>
    </row>
    <row r="368" spans="1:8"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8" s="1" t="s">
        <v>952</v>
      </c>
      <c r="D368" s="1" t="s">
        <v>953</v>
      </c>
      <c r="E368" s="1" t="s">
        <v>954</v>
      </c>
      <c r="F368" s="1" t="s">
        <v>112</v>
      </c>
      <c r="G368" s="1">
        <v>267475</v>
      </c>
    </row>
    <row r="369" spans="1:7"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955</v>
      </c>
      <c r="D369" s="1" t="s">
        <v>588</v>
      </c>
      <c r="E369" s="1" t="s">
        <v>956</v>
      </c>
      <c r="F369" s="1" t="s">
        <v>112</v>
      </c>
      <c r="G369" s="1">
        <v>241087</v>
      </c>
    </row>
    <row r="370" spans="1:7"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957</v>
      </c>
      <c r="D370" s="1" t="s">
        <v>636</v>
      </c>
      <c r="E370" s="1" t="s">
        <v>958</v>
      </c>
      <c r="F370" s="1" t="s">
        <v>112</v>
      </c>
      <c r="G370" s="1">
        <v>63008</v>
      </c>
    </row>
    <row r="371" spans="1:7"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1" s="1" t="s">
        <v>959</v>
      </c>
      <c r="D371" s="1" t="s">
        <v>960</v>
      </c>
      <c r="E371" s="1" t="s">
        <v>961</v>
      </c>
      <c r="F371" s="1" t="s">
        <v>112</v>
      </c>
      <c r="G371" s="1">
        <v>164149</v>
      </c>
    </row>
    <row r="372" spans="1:7"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962</v>
      </c>
      <c r="D372" s="1" t="s">
        <v>963</v>
      </c>
      <c r="E372" s="1" t="s">
        <v>964</v>
      </c>
      <c r="F372" s="1" t="s">
        <v>112</v>
      </c>
      <c r="G372" s="1">
        <v>270677</v>
      </c>
    </row>
    <row r="373" spans="1:7"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965</v>
      </c>
      <c r="D373" s="1" t="s">
        <v>966</v>
      </c>
      <c r="E373" s="1" t="s">
        <v>967</v>
      </c>
      <c r="F373" s="1" t="s">
        <v>112</v>
      </c>
      <c r="G373" s="1">
        <v>285169</v>
      </c>
    </row>
    <row r="374" spans="1:7"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4" s="1" t="s">
        <v>968</v>
      </c>
    </row>
    <row r="375" spans="1:7"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969</v>
      </c>
      <c r="D375" s="1" t="s">
        <v>970</v>
      </c>
      <c r="E375" s="1" t="s">
        <v>971</v>
      </c>
      <c r="F375" s="1" t="s">
        <v>112</v>
      </c>
      <c r="G375" s="1">
        <v>268081</v>
      </c>
    </row>
    <row r="376" spans="1:7"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972</v>
      </c>
      <c r="D376" s="1" t="s">
        <v>973</v>
      </c>
      <c r="E376" s="1" t="s">
        <v>974</v>
      </c>
      <c r="F376" s="1" t="s">
        <v>112</v>
      </c>
      <c r="G376" s="1">
        <v>247900</v>
      </c>
    </row>
    <row r="377" spans="1:7"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7" s="1" t="s">
        <v>975</v>
      </c>
      <c r="D377" s="1" t="s">
        <v>277</v>
      </c>
      <c r="E377" s="1" t="s">
        <v>976</v>
      </c>
      <c r="F377" s="1" t="s">
        <v>112</v>
      </c>
      <c r="G377" s="1">
        <v>185022</v>
      </c>
    </row>
    <row r="378" spans="1:7"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977</v>
      </c>
      <c r="D378" s="1" t="s">
        <v>978</v>
      </c>
      <c r="E378" s="1" t="s">
        <v>979</v>
      </c>
      <c r="F378" s="1" t="s">
        <v>112</v>
      </c>
      <c r="G378" s="1">
        <v>62965</v>
      </c>
    </row>
    <row r="379" spans="1:7"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980</v>
      </c>
      <c r="D379" s="1" t="s">
        <v>656</v>
      </c>
      <c r="E379" s="1" t="s">
        <v>981</v>
      </c>
      <c r="F379" s="1" t="s">
        <v>112</v>
      </c>
      <c r="G379" s="1">
        <v>86714</v>
      </c>
    </row>
    <row r="380" spans="1:7"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0" s="1" t="s">
        <v>982</v>
      </c>
      <c r="D380" s="1" t="s">
        <v>983</v>
      </c>
      <c r="E380" s="1" t="s">
        <v>984</v>
      </c>
      <c r="F380" s="1" t="s">
        <v>112</v>
      </c>
      <c r="G380" s="1">
        <v>56130</v>
      </c>
    </row>
    <row r="381" spans="1:7"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985</v>
      </c>
      <c r="D381" s="1" t="s">
        <v>986</v>
      </c>
      <c r="E381" s="1" t="s">
        <v>987</v>
      </c>
      <c r="F381" s="1" t="s">
        <v>112</v>
      </c>
      <c r="G381" s="1">
        <v>497120</v>
      </c>
    </row>
    <row r="382" spans="1:7"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988</v>
      </c>
      <c r="D382" s="1" t="s">
        <v>989</v>
      </c>
      <c r="E382" s="1" t="s">
        <v>990</v>
      </c>
      <c r="F382" s="1" t="s">
        <v>112</v>
      </c>
      <c r="G382" s="1">
        <v>678789</v>
      </c>
    </row>
    <row r="383" spans="1:7"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3" s="1" t="s">
        <v>991</v>
      </c>
      <c r="D383" s="1" t="s">
        <v>992</v>
      </c>
      <c r="E383" s="1" t="s">
        <v>993</v>
      </c>
      <c r="F383" s="1" t="s">
        <v>112</v>
      </c>
      <c r="G383" s="1">
        <v>751098</v>
      </c>
    </row>
    <row r="384" spans="1:7"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994</v>
      </c>
    </row>
    <row r="385" spans="1:8"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995</v>
      </c>
    </row>
    <row r="386" spans="1:8"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6" s="1" t="s">
        <v>996</v>
      </c>
    </row>
    <row r="387" spans="1:8"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997</v>
      </c>
      <c r="D387" s="1" t="s">
        <v>216</v>
      </c>
      <c r="E387" s="1">
        <v>30</v>
      </c>
      <c r="F387" s="1" t="s">
        <v>112</v>
      </c>
      <c r="G387" s="1">
        <v>649</v>
      </c>
    </row>
    <row r="388" spans="1:8"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998</v>
      </c>
      <c r="D388" s="1" t="s">
        <v>983</v>
      </c>
      <c r="E388" s="1" t="s">
        <v>999</v>
      </c>
      <c r="F388" s="1" t="s">
        <v>112</v>
      </c>
      <c r="G388" s="1">
        <v>57492</v>
      </c>
    </row>
    <row r="389" spans="1:8" x14ac:dyDescent="0.35">
      <c r="A389" s="1" t="str">
        <f t="shared" si="6"/>
        <v>10</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9" s="1" t="s">
        <v>1000</v>
      </c>
      <c r="D389" s="1" t="s">
        <v>1001</v>
      </c>
      <c r="E389" s="1" t="s">
        <v>1002</v>
      </c>
      <c r="F389" s="1" t="s">
        <v>112</v>
      </c>
      <c r="G389" s="1">
        <v>35278</v>
      </c>
    </row>
    <row r="390" spans="1:8"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112</v>
      </c>
    </row>
    <row r="391" spans="1:8"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1" s="1" t="s">
        <v>227</v>
      </c>
      <c r="D391" s="1" t="s">
        <v>112</v>
      </c>
      <c r="E391" s="1" t="s">
        <v>228</v>
      </c>
      <c r="F391" s="1" t="s">
        <v>229</v>
      </c>
      <c r="G391" s="1" t="s">
        <v>230</v>
      </c>
      <c r="H391" s="1" t="s">
        <v>231</v>
      </c>
    </row>
    <row r="392" spans="1:8" x14ac:dyDescent="0.35">
      <c r="A392" s="1" t="str">
        <f t="shared" si="6"/>
        <v>10</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2" s="1" t="s">
        <v>1003</v>
      </c>
      <c r="D392" s="1" t="s">
        <v>112</v>
      </c>
      <c r="E392" s="1" t="s">
        <v>1004</v>
      </c>
      <c r="F392" s="1" t="s">
        <v>1005</v>
      </c>
      <c r="G392" s="1" t="s">
        <v>1006</v>
      </c>
      <c r="H392" s="1" t="s">
        <v>1007</v>
      </c>
    </row>
    <row r="393" spans="1:8"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8"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8"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8"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8"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112</v>
      </c>
    </row>
    <row r="398" spans="1:8"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8" s="1" t="s">
        <v>173</v>
      </c>
      <c r="D398" s="1" t="s">
        <v>110</v>
      </c>
      <c r="E398" s="1" t="s">
        <v>111</v>
      </c>
      <c r="F398" s="1" t="s">
        <v>112</v>
      </c>
      <c r="G398" s="1" t="s">
        <v>113</v>
      </c>
    </row>
    <row r="399" spans="1:8"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1008</v>
      </c>
      <c r="D399" s="1" t="s">
        <v>1009</v>
      </c>
      <c r="E399" s="1" t="s">
        <v>1010</v>
      </c>
      <c r="F399" s="1" t="s">
        <v>112</v>
      </c>
      <c r="G399" s="1">
        <v>321269</v>
      </c>
    </row>
    <row r="400" spans="1:8"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1011</v>
      </c>
      <c r="D400" s="1" t="s">
        <v>1012</v>
      </c>
      <c r="E400" s="1" t="s">
        <v>1013</v>
      </c>
      <c r="F400" s="1" t="s">
        <v>112</v>
      </c>
      <c r="G400" s="1">
        <v>52171</v>
      </c>
    </row>
    <row r="401" spans="1:7"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1" s="1" t="s">
        <v>1014</v>
      </c>
      <c r="D401" s="1" t="s">
        <v>216</v>
      </c>
      <c r="E401" s="1">
        <v>32</v>
      </c>
      <c r="F401" s="1" t="s">
        <v>112</v>
      </c>
      <c r="G401" s="1">
        <v>692</v>
      </c>
    </row>
    <row r="402" spans="1:7"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1015</v>
      </c>
      <c r="D402" s="1" t="s">
        <v>551</v>
      </c>
      <c r="E402" s="1" t="s">
        <v>1016</v>
      </c>
      <c r="F402" s="1" t="s">
        <v>112</v>
      </c>
      <c r="G402" s="1">
        <v>215737</v>
      </c>
    </row>
    <row r="403" spans="1:7"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1017</v>
      </c>
      <c r="D403" s="1" t="s">
        <v>1018</v>
      </c>
      <c r="E403" s="1" t="s">
        <v>1019</v>
      </c>
      <c r="F403" s="1" t="s">
        <v>112</v>
      </c>
      <c r="G403" s="1">
        <v>98135</v>
      </c>
    </row>
    <row r="404" spans="1:7"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4" s="1" t="s">
        <v>1020</v>
      </c>
      <c r="D404" s="1" t="s">
        <v>1021</v>
      </c>
      <c r="E404" s="1" t="s">
        <v>1022</v>
      </c>
      <c r="F404" s="1" t="s">
        <v>112</v>
      </c>
      <c r="G404" s="1">
        <v>295097</v>
      </c>
    </row>
    <row r="405" spans="1:7"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1023</v>
      </c>
      <c r="D405" s="1" t="s">
        <v>1009</v>
      </c>
      <c r="E405" s="1" t="s">
        <v>1024</v>
      </c>
      <c r="F405" s="1" t="s">
        <v>112</v>
      </c>
      <c r="G405" s="1">
        <v>381227</v>
      </c>
    </row>
    <row r="406" spans="1:7"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1025</v>
      </c>
      <c r="D406" s="1" t="s">
        <v>1026</v>
      </c>
      <c r="E406" s="1" t="s">
        <v>1027</v>
      </c>
      <c r="F406" s="1" t="s">
        <v>112</v>
      </c>
      <c r="G406" s="1">
        <v>384039</v>
      </c>
    </row>
    <row r="407" spans="1:7"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7" s="1" t="s">
        <v>1028</v>
      </c>
      <c r="D407" s="1" t="s">
        <v>1029</v>
      </c>
      <c r="E407" s="1" t="s">
        <v>1030</v>
      </c>
      <c r="F407" s="1" t="s">
        <v>112</v>
      </c>
      <c r="G407" s="1">
        <v>322437</v>
      </c>
    </row>
    <row r="408" spans="1:7"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1031</v>
      </c>
      <c r="D408" s="1" t="s">
        <v>1032</v>
      </c>
      <c r="E408" s="1" t="s">
        <v>1033</v>
      </c>
      <c r="F408" s="1" t="s">
        <v>112</v>
      </c>
      <c r="G408" s="1">
        <v>3526</v>
      </c>
    </row>
    <row r="409" spans="1:7"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1034</v>
      </c>
      <c r="D409" s="1" t="s">
        <v>1035</v>
      </c>
      <c r="E409" s="1">
        <v>31</v>
      </c>
      <c r="F409" s="1" t="s">
        <v>112</v>
      </c>
      <c r="G409" s="1">
        <v>1341</v>
      </c>
    </row>
    <row r="410" spans="1:7"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10" s="1" t="s">
        <v>1036</v>
      </c>
      <c r="D410" s="1" t="s">
        <v>1037</v>
      </c>
      <c r="E410" s="1" t="s">
        <v>1038</v>
      </c>
      <c r="F410" s="1" t="s">
        <v>112</v>
      </c>
      <c r="G410" s="1">
        <v>5386</v>
      </c>
    </row>
    <row r="411" spans="1:7"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1039</v>
      </c>
      <c r="D411" s="1" t="s">
        <v>1040</v>
      </c>
      <c r="E411" s="1" t="s">
        <v>1041</v>
      </c>
      <c r="F411" s="1" t="s">
        <v>112</v>
      </c>
      <c r="G411" s="1">
        <v>453536</v>
      </c>
    </row>
    <row r="412" spans="1:7"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1042</v>
      </c>
      <c r="D412" s="1" t="s">
        <v>180</v>
      </c>
      <c r="E412" s="1">
        <v>42</v>
      </c>
      <c r="F412" s="1" t="s">
        <v>112</v>
      </c>
      <c r="G412" s="1">
        <v>305241</v>
      </c>
    </row>
    <row r="413" spans="1:7"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3" s="1" t="s">
        <v>1043</v>
      </c>
      <c r="D413" s="1" t="s">
        <v>1044</v>
      </c>
      <c r="E413" s="1" t="s">
        <v>1045</v>
      </c>
      <c r="F413" s="1" t="s">
        <v>112</v>
      </c>
      <c r="G413" s="1">
        <v>138129</v>
      </c>
    </row>
    <row r="414" spans="1:7"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1046</v>
      </c>
      <c r="D414" s="1" t="s">
        <v>1047</v>
      </c>
      <c r="E414" s="1" t="s">
        <v>1048</v>
      </c>
      <c r="F414" s="1" t="s">
        <v>112</v>
      </c>
      <c r="G414" s="1">
        <v>197416</v>
      </c>
    </row>
    <row r="415" spans="1:7"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1049</v>
      </c>
      <c r="D415" s="1" t="s">
        <v>1050</v>
      </c>
      <c r="E415" s="1" t="s">
        <v>1051</v>
      </c>
      <c r="F415" s="1" t="s">
        <v>112</v>
      </c>
      <c r="G415" s="1">
        <v>146802</v>
      </c>
    </row>
    <row r="416" spans="1:7"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6" s="1" t="s">
        <v>1052</v>
      </c>
      <c r="D416" s="1" t="s">
        <v>1053</v>
      </c>
      <c r="E416" s="1" t="s">
        <v>1054</v>
      </c>
      <c r="F416" s="1" t="s">
        <v>112</v>
      </c>
      <c r="G416" s="1">
        <v>203170</v>
      </c>
    </row>
    <row r="417" spans="1:8"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1055</v>
      </c>
    </row>
    <row r="418" spans="1:8"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1056</v>
      </c>
    </row>
    <row r="419" spans="1:8"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9" s="1" t="s">
        <v>1057</v>
      </c>
    </row>
    <row r="420" spans="1:8"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1058</v>
      </c>
      <c r="D420" s="1" t="s">
        <v>1059</v>
      </c>
      <c r="E420" s="1" t="s">
        <v>1060</v>
      </c>
      <c r="F420" s="1" t="s">
        <v>112</v>
      </c>
      <c r="G420" s="1">
        <v>51393</v>
      </c>
    </row>
    <row r="421" spans="1:8"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1061</v>
      </c>
      <c r="D421" s="1" t="s">
        <v>646</v>
      </c>
      <c r="E421" s="1" t="s">
        <v>1062</v>
      </c>
      <c r="F421" s="1" t="s">
        <v>112</v>
      </c>
      <c r="G421" s="1">
        <v>133240</v>
      </c>
    </row>
    <row r="422" spans="1:8" x14ac:dyDescent="0.35">
      <c r="A422" s="1" t="str">
        <f t="shared" si="6"/>
        <v>11</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2" s="1" t="s">
        <v>1063</v>
      </c>
      <c r="D422" s="1" t="s">
        <v>1064</v>
      </c>
      <c r="E422" s="1" t="s">
        <v>1065</v>
      </c>
      <c r="F422" s="1" t="s">
        <v>112</v>
      </c>
      <c r="G422" s="1">
        <v>144855</v>
      </c>
    </row>
    <row r="423" spans="1:8"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112</v>
      </c>
    </row>
    <row r="424" spans="1:8"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4" s="1" t="s">
        <v>227</v>
      </c>
      <c r="D424" s="1" t="s">
        <v>112</v>
      </c>
      <c r="E424" s="1" t="s">
        <v>228</v>
      </c>
      <c r="F424" s="1" t="s">
        <v>229</v>
      </c>
      <c r="G424" s="1" t="s">
        <v>230</v>
      </c>
      <c r="H424" s="1" t="s">
        <v>231</v>
      </c>
    </row>
    <row r="425" spans="1:8" x14ac:dyDescent="0.35">
      <c r="A425" s="1" t="str">
        <f t="shared" si="6"/>
        <v>11</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5" s="1" t="s">
        <v>1066</v>
      </c>
      <c r="D425" s="1" t="s">
        <v>112</v>
      </c>
      <c r="E425" s="1" t="s">
        <v>1067</v>
      </c>
      <c r="F425" s="1" t="s">
        <v>1068</v>
      </c>
      <c r="G425" s="1" t="s">
        <v>1069</v>
      </c>
      <c r="H425" s="1" t="s">
        <v>1070</v>
      </c>
    </row>
    <row r="426" spans="1:8"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8"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8"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8"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8"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112</v>
      </c>
    </row>
    <row r="431" spans="1:8"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1" s="1" t="s">
        <v>173</v>
      </c>
      <c r="D431" s="1" t="s">
        <v>110</v>
      </c>
      <c r="E431" s="1" t="s">
        <v>111</v>
      </c>
      <c r="F431" s="1" t="s">
        <v>112</v>
      </c>
      <c r="G431" s="1" t="s">
        <v>113</v>
      </c>
    </row>
    <row r="432" spans="1:8"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1071</v>
      </c>
      <c r="D432" s="1" t="s">
        <v>1072</v>
      </c>
      <c r="E432" s="1" t="s">
        <v>1073</v>
      </c>
      <c r="F432" s="1" t="s">
        <v>112</v>
      </c>
      <c r="G432" s="1">
        <v>274894</v>
      </c>
    </row>
    <row r="433" spans="1:7"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1074</v>
      </c>
      <c r="D433" s="1" t="s">
        <v>1075</v>
      </c>
      <c r="E433" s="1" t="s">
        <v>1076</v>
      </c>
      <c r="F433" s="1" t="s">
        <v>112</v>
      </c>
      <c r="G433" s="1">
        <v>180437</v>
      </c>
    </row>
    <row r="434" spans="1:7"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4" s="1" t="s">
        <v>1077</v>
      </c>
      <c r="D434" s="1" t="s">
        <v>1078</v>
      </c>
      <c r="E434" s="1" t="s">
        <v>1079</v>
      </c>
      <c r="F434" s="1" t="s">
        <v>112</v>
      </c>
      <c r="G434" s="1">
        <v>334614</v>
      </c>
    </row>
    <row r="435" spans="1:7"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1080</v>
      </c>
      <c r="D435" s="1" t="s">
        <v>1081</v>
      </c>
      <c r="E435" s="1" t="s">
        <v>1082</v>
      </c>
      <c r="F435" s="1" t="s">
        <v>112</v>
      </c>
      <c r="G435" s="1">
        <v>345343</v>
      </c>
    </row>
    <row r="436" spans="1:7"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1083</v>
      </c>
      <c r="D436" s="1" t="s">
        <v>1084</v>
      </c>
      <c r="E436" s="1" t="s">
        <v>1085</v>
      </c>
      <c r="F436" s="1" t="s">
        <v>112</v>
      </c>
      <c r="G436" s="1">
        <v>191078</v>
      </c>
    </row>
    <row r="437" spans="1:7"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7" s="1" t="s">
        <v>1086</v>
      </c>
      <c r="D437" s="1" t="s">
        <v>1087</v>
      </c>
      <c r="E437" s="1" t="s">
        <v>1088</v>
      </c>
      <c r="F437" s="1" t="s">
        <v>112</v>
      </c>
      <c r="G437" s="1">
        <v>257915</v>
      </c>
    </row>
    <row r="438" spans="1:7"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1089</v>
      </c>
      <c r="D438" s="1" t="s">
        <v>1090</v>
      </c>
      <c r="E438" s="1" t="s">
        <v>1091</v>
      </c>
      <c r="F438" s="1" t="s">
        <v>112</v>
      </c>
      <c r="G438" s="1">
        <v>252767</v>
      </c>
    </row>
    <row r="439" spans="1:7"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1092</v>
      </c>
      <c r="D439" s="1" t="s">
        <v>1037</v>
      </c>
      <c r="E439" s="1" t="s">
        <v>1093</v>
      </c>
      <c r="F439" s="1" t="s">
        <v>112</v>
      </c>
      <c r="G439" s="1">
        <v>5429</v>
      </c>
    </row>
    <row r="440" spans="1:7"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0" s="1" t="s">
        <v>1094</v>
      </c>
      <c r="D440" s="1" t="s">
        <v>216</v>
      </c>
      <c r="E440" s="1">
        <v>30</v>
      </c>
      <c r="F440" s="1" t="s">
        <v>112</v>
      </c>
      <c r="G440" s="1">
        <v>649</v>
      </c>
    </row>
    <row r="441" spans="1:7"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1095</v>
      </c>
      <c r="D441" s="1" t="s">
        <v>1096</v>
      </c>
      <c r="E441" s="1" t="s">
        <v>1097</v>
      </c>
      <c r="F441" s="1" t="s">
        <v>112</v>
      </c>
      <c r="G441" s="1">
        <v>247100</v>
      </c>
    </row>
    <row r="442" spans="1:7"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1098</v>
      </c>
      <c r="D442" s="1" t="s">
        <v>1099</v>
      </c>
      <c r="E442" s="1" t="s">
        <v>1100</v>
      </c>
      <c r="F442" s="1" t="s">
        <v>112</v>
      </c>
      <c r="G442" s="1">
        <v>69216</v>
      </c>
    </row>
    <row r="443" spans="1:7"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3" s="1" t="s">
        <v>1101</v>
      </c>
      <c r="D443" s="1" t="s">
        <v>1102</v>
      </c>
      <c r="E443" s="1" t="s">
        <v>1103</v>
      </c>
      <c r="F443" s="1" t="s">
        <v>112</v>
      </c>
      <c r="G443" s="1">
        <v>127054</v>
      </c>
    </row>
    <row r="444" spans="1:7"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1104</v>
      </c>
      <c r="D444" s="1" t="s">
        <v>1105</v>
      </c>
      <c r="E444" s="1" t="s">
        <v>1106</v>
      </c>
      <c r="F444" s="1" t="s">
        <v>112</v>
      </c>
      <c r="G444" s="1">
        <v>37549</v>
      </c>
    </row>
    <row r="445" spans="1:7"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1107</v>
      </c>
      <c r="D445" s="1" t="s">
        <v>1108</v>
      </c>
      <c r="E445" s="1" t="s">
        <v>1109</v>
      </c>
      <c r="F445" s="1" t="s">
        <v>112</v>
      </c>
      <c r="G445" s="1">
        <v>68264</v>
      </c>
    </row>
    <row r="446" spans="1:7"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6" s="1" t="s">
        <v>1110</v>
      </c>
      <c r="D446" s="1" t="s">
        <v>594</v>
      </c>
      <c r="E446" s="1" t="s">
        <v>1111</v>
      </c>
      <c r="F446" s="1" t="s">
        <v>112</v>
      </c>
      <c r="G446" s="1">
        <v>228736</v>
      </c>
    </row>
    <row r="447" spans="1:7"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1112</v>
      </c>
      <c r="D447" s="1" t="s">
        <v>1113</v>
      </c>
      <c r="E447" s="1" t="s">
        <v>1114</v>
      </c>
      <c r="F447" s="1" t="s">
        <v>112</v>
      </c>
      <c r="G447" s="1">
        <v>190105</v>
      </c>
    </row>
    <row r="448" spans="1:7"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1115</v>
      </c>
      <c r="D448" s="1" t="s">
        <v>1116</v>
      </c>
      <c r="E448" s="1" t="s">
        <v>1117</v>
      </c>
      <c r="F448" s="1" t="s">
        <v>112</v>
      </c>
      <c r="G448" s="1">
        <v>166464</v>
      </c>
    </row>
    <row r="449" spans="1:8"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9" s="1" t="s">
        <v>1118</v>
      </c>
      <c r="D449" s="1" t="s">
        <v>1119</v>
      </c>
      <c r="E449" s="1" t="s">
        <v>1120</v>
      </c>
      <c r="F449" s="1" t="s">
        <v>112</v>
      </c>
      <c r="G449" s="1">
        <v>160234</v>
      </c>
    </row>
    <row r="450" spans="1:8"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1121</v>
      </c>
      <c r="D450" s="1" t="s">
        <v>970</v>
      </c>
      <c r="E450" s="1" t="s">
        <v>1122</v>
      </c>
      <c r="F450" s="1" t="s">
        <v>112</v>
      </c>
      <c r="G450" s="1">
        <v>326871</v>
      </c>
    </row>
    <row r="451" spans="1:8"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1123</v>
      </c>
      <c r="D451" s="1" t="s">
        <v>973</v>
      </c>
      <c r="E451" s="1" t="s">
        <v>1124</v>
      </c>
      <c r="F451" s="1" t="s">
        <v>112</v>
      </c>
      <c r="G451" s="1">
        <v>263690</v>
      </c>
    </row>
    <row r="452" spans="1:8"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2" s="1" t="s">
        <v>1125</v>
      </c>
      <c r="D452" s="1" t="s">
        <v>1126</v>
      </c>
      <c r="E452" s="1" t="s">
        <v>1127</v>
      </c>
      <c r="F452" s="1" t="s">
        <v>112</v>
      </c>
      <c r="G452" s="1">
        <v>129239</v>
      </c>
    </row>
    <row r="453" spans="1:8"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1128</v>
      </c>
      <c r="D453" s="1" t="s">
        <v>1129</v>
      </c>
      <c r="E453" s="1" t="s">
        <v>1130</v>
      </c>
      <c r="F453" s="1" t="s">
        <v>112</v>
      </c>
      <c r="G453" s="1">
        <v>155562</v>
      </c>
    </row>
    <row r="454" spans="1:8"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1131</v>
      </c>
      <c r="D454" s="1" t="s">
        <v>1132</v>
      </c>
      <c r="E454" s="1" t="s">
        <v>1133</v>
      </c>
      <c r="F454" s="1" t="s">
        <v>112</v>
      </c>
      <c r="G454" s="1">
        <v>145439</v>
      </c>
    </row>
    <row r="455" spans="1:8" x14ac:dyDescent="0.35">
      <c r="A455" s="1" t="str">
        <f t="shared" si="7"/>
        <v>12</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5" s="1" t="s">
        <v>1134</v>
      </c>
      <c r="D455" s="1">
        <v>0</v>
      </c>
      <c r="E455" s="1">
        <v>0</v>
      </c>
      <c r="F455" s="1" t="s">
        <v>112</v>
      </c>
      <c r="G455" s="1">
        <v>0</v>
      </c>
    </row>
    <row r="456" spans="1:8"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112</v>
      </c>
    </row>
    <row r="457" spans="1:8"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7" s="1" t="s">
        <v>227</v>
      </c>
      <c r="D457" s="1" t="s">
        <v>112</v>
      </c>
      <c r="E457" s="1" t="s">
        <v>228</v>
      </c>
      <c r="F457" s="1" t="s">
        <v>229</v>
      </c>
      <c r="G457" s="1" t="s">
        <v>230</v>
      </c>
      <c r="H457" s="1" t="s">
        <v>231</v>
      </c>
    </row>
    <row r="458" spans="1:8" x14ac:dyDescent="0.35">
      <c r="A458" s="1" t="str">
        <f t="shared" si="7"/>
        <v>12</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8" s="1" t="s">
        <v>1135</v>
      </c>
      <c r="D458" s="1" t="s">
        <v>112</v>
      </c>
      <c r="E458" s="1" t="s">
        <v>1136</v>
      </c>
      <c r="F458" s="1" t="s">
        <v>1137</v>
      </c>
      <c r="G458" s="1" t="s">
        <v>1138</v>
      </c>
      <c r="H458" s="1" t="s">
        <v>1139</v>
      </c>
    </row>
    <row r="459" spans="1:8"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8"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8"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8"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8"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112</v>
      </c>
    </row>
    <row r="464" spans="1:8"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4" s="1" t="s">
        <v>173</v>
      </c>
      <c r="D464" s="1" t="s">
        <v>110</v>
      </c>
      <c r="E464" s="1" t="s">
        <v>111</v>
      </c>
      <c r="F464" s="1" t="s">
        <v>112</v>
      </c>
      <c r="G464" s="1" t="s">
        <v>113</v>
      </c>
    </row>
    <row r="465" spans="1:7"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1140</v>
      </c>
      <c r="D465" s="1" t="s">
        <v>1141</v>
      </c>
      <c r="E465" s="1" t="s">
        <v>1142</v>
      </c>
      <c r="F465" s="1" t="s">
        <v>112</v>
      </c>
      <c r="G465" s="1">
        <v>3219588</v>
      </c>
    </row>
    <row r="466" spans="1:7"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1143</v>
      </c>
      <c r="D466" s="1" t="s">
        <v>1144</v>
      </c>
      <c r="E466" s="1" t="s">
        <v>1145</v>
      </c>
      <c r="F466" s="1" t="s">
        <v>112</v>
      </c>
      <c r="G466" s="1">
        <v>3879127</v>
      </c>
    </row>
    <row r="467" spans="1:7"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7" s="1" t="s">
        <v>1146</v>
      </c>
      <c r="D467" s="1" t="s">
        <v>1147</v>
      </c>
      <c r="E467" s="1" t="s">
        <v>1148</v>
      </c>
      <c r="F467" s="1" t="s">
        <v>112</v>
      </c>
      <c r="G467" s="1">
        <v>4220944</v>
      </c>
    </row>
    <row r="468" spans="1:7"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1149</v>
      </c>
      <c r="D468" s="1" t="s">
        <v>1150</v>
      </c>
      <c r="E468" s="1" t="s">
        <v>1151</v>
      </c>
      <c r="F468" s="1" t="s">
        <v>112</v>
      </c>
      <c r="G468" s="1">
        <v>3525175</v>
      </c>
    </row>
    <row r="469" spans="1:7"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1152</v>
      </c>
      <c r="D469" s="1" t="s">
        <v>1153</v>
      </c>
      <c r="E469" s="1" t="s">
        <v>1154</v>
      </c>
      <c r="F469" s="1" t="s">
        <v>112</v>
      </c>
      <c r="G469" s="1">
        <v>3489486</v>
      </c>
    </row>
    <row r="470" spans="1:7"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70" s="1" t="s">
        <v>1155</v>
      </c>
      <c r="D470" s="1" t="s">
        <v>1156</v>
      </c>
      <c r="E470" s="1" t="s">
        <v>1157</v>
      </c>
      <c r="F470" s="1" t="s">
        <v>112</v>
      </c>
      <c r="G470" s="1">
        <v>3634861</v>
      </c>
    </row>
    <row r="471" spans="1:7"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1158</v>
      </c>
      <c r="D471" s="1" t="s">
        <v>1159</v>
      </c>
      <c r="E471" s="1" t="s">
        <v>1160</v>
      </c>
      <c r="F471" s="1" t="s">
        <v>112</v>
      </c>
      <c r="G471" s="1">
        <v>1860495</v>
      </c>
    </row>
    <row r="472" spans="1:7"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1161</v>
      </c>
      <c r="D472" s="1" t="s">
        <v>1162</v>
      </c>
      <c r="E472" s="1" t="s">
        <v>1163</v>
      </c>
      <c r="F472" s="1" t="s">
        <v>112</v>
      </c>
      <c r="G472" s="1">
        <v>1424653</v>
      </c>
    </row>
    <row r="473" spans="1:7"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3" s="1" t="s">
        <v>1164</v>
      </c>
      <c r="D473" s="1" t="s">
        <v>1165</v>
      </c>
      <c r="E473" s="1" t="s">
        <v>1166</v>
      </c>
      <c r="F473" s="1" t="s">
        <v>112</v>
      </c>
      <c r="G473" s="1">
        <v>1661284</v>
      </c>
    </row>
    <row r="474" spans="1:7"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1167</v>
      </c>
      <c r="D474" s="1" t="s">
        <v>1168</v>
      </c>
      <c r="E474" s="1" t="s">
        <v>1169</v>
      </c>
      <c r="F474" s="1" t="s">
        <v>112</v>
      </c>
      <c r="G474" s="1">
        <v>911830</v>
      </c>
    </row>
    <row r="475" spans="1:7"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1170</v>
      </c>
      <c r="D475" s="1" t="s">
        <v>1171</v>
      </c>
      <c r="E475" s="1" t="s">
        <v>1172</v>
      </c>
      <c r="F475" s="1" t="s">
        <v>112</v>
      </c>
      <c r="G475" s="1">
        <v>852283</v>
      </c>
    </row>
    <row r="476" spans="1:7"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6" s="1" t="s">
        <v>1173</v>
      </c>
      <c r="D476" s="1" t="s">
        <v>1174</v>
      </c>
      <c r="E476" s="1" t="s">
        <v>1175</v>
      </c>
      <c r="F476" s="1" t="s">
        <v>112</v>
      </c>
      <c r="G476" s="1">
        <v>853754</v>
      </c>
    </row>
    <row r="477" spans="1:7"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1176</v>
      </c>
      <c r="D477" s="1" t="s">
        <v>1177</v>
      </c>
      <c r="E477" s="1" t="s">
        <v>1178</v>
      </c>
      <c r="F477" s="1" t="s">
        <v>112</v>
      </c>
      <c r="G477" s="1">
        <v>2594073</v>
      </c>
    </row>
    <row r="478" spans="1:7"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1179</v>
      </c>
      <c r="D478" s="1" t="s">
        <v>1180</v>
      </c>
      <c r="E478" s="1" t="s">
        <v>1181</v>
      </c>
      <c r="F478" s="1" t="s">
        <v>112</v>
      </c>
      <c r="G478" s="1">
        <v>2636749</v>
      </c>
    </row>
    <row r="479" spans="1:7"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9" s="1" t="s">
        <v>1182</v>
      </c>
      <c r="D479" s="1" t="s">
        <v>1183</v>
      </c>
      <c r="E479" s="1" t="s">
        <v>1184</v>
      </c>
      <c r="F479" s="1" t="s">
        <v>112</v>
      </c>
      <c r="G479" s="1">
        <v>2984082</v>
      </c>
    </row>
    <row r="480" spans="1:7"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1185</v>
      </c>
      <c r="D480" s="1" t="s">
        <v>1186</v>
      </c>
      <c r="E480" s="1" t="s">
        <v>1187</v>
      </c>
      <c r="F480" s="1" t="s">
        <v>112</v>
      </c>
      <c r="G480" s="1">
        <v>103694</v>
      </c>
    </row>
    <row r="481" spans="1:8"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1188</v>
      </c>
      <c r="D481" s="1" t="s">
        <v>1189</v>
      </c>
      <c r="E481" s="1" t="s">
        <v>1190</v>
      </c>
      <c r="F481" s="1" t="s">
        <v>112</v>
      </c>
      <c r="G481" s="1">
        <v>99433</v>
      </c>
    </row>
    <row r="482" spans="1:8"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2" s="1" t="s">
        <v>1191</v>
      </c>
      <c r="D482" s="1" t="s">
        <v>1192</v>
      </c>
      <c r="E482" s="1" t="s">
        <v>1193</v>
      </c>
      <c r="F482" s="1" t="s">
        <v>112</v>
      </c>
      <c r="G482" s="1">
        <v>305306</v>
      </c>
    </row>
    <row r="483" spans="1:8"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1194</v>
      </c>
      <c r="D483" s="1" t="s">
        <v>1195</v>
      </c>
      <c r="E483" s="1" t="s">
        <v>1196</v>
      </c>
      <c r="F483" s="1" t="s">
        <v>112</v>
      </c>
      <c r="G483" s="1">
        <v>441877</v>
      </c>
    </row>
    <row r="484" spans="1:8"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1197</v>
      </c>
      <c r="D484" s="1" t="s">
        <v>1198</v>
      </c>
      <c r="E484" s="1" t="s">
        <v>1199</v>
      </c>
      <c r="F484" s="1" t="s">
        <v>112</v>
      </c>
      <c r="G484" s="1">
        <v>348912</v>
      </c>
    </row>
    <row r="485" spans="1:8"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5" s="1" t="s">
        <v>1200</v>
      </c>
      <c r="D485" s="1" t="s">
        <v>1201</v>
      </c>
      <c r="E485" s="1" t="s">
        <v>1202</v>
      </c>
      <c r="F485" s="1" t="s">
        <v>112</v>
      </c>
      <c r="G485" s="1">
        <v>702128</v>
      </c>
    </row>
    <row r="486" spans="1:8"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1203</v>
      </c>
      <c r="D486" s="1" t="s">
        <v>1204</v>
      </c>
      <c r="E486" s="1" t="s">
        <v>1205</v>
      </c>
      <c r="F486" s="1" t="s">
        <v>112</v>
      </c>
      <c r="G486" s="1">
        <v>3051005</v>
      </c>
    </row>
    <row r="487" spans="1:8"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1206</v>
      </c>
      <c r="D487" s="1" t="s">
        <v>1207</v>
      </c>
      <c r="E487" s="1" t="s">
        <v>1208</v>
      </c>
      <c r="F487" s="1" t="s">
        <v>112</v>
      </c>
      <c r="G487" s="1">
        <v>2742584</v>
      </c>
    </row>
    <row r="488" spans="1:8" x14ac:dyDescent="0.35">
      <c r="A488" s="1" t="str">
        <f t="shared" si="7"/>
        <v>17</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8" s="1" t="s">
        <v>1209</v>
      </c>
      <c r="D488" s="1" t="s">
        <v>1210</v>
      </c>
      <c r="E488" s="1" t="s">
        <v>1211</v>
      </c>
      <c r="F488" s="1" t="s">
        <v>112</v>
      </c>
      <c r="G488" s="1">
        <v>2785995</v>
      </c>
    </row>
    <row r="489" spans="1:8"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8"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227</v>
      </c>
      <c r="D490" s="1" t="s">
        <v>112</v>
      </c>
      <c r="E490" s="1" t="s">
        <v>228</v>
      </c>
      <c r="F490" s="1" t="s">
        <v>229</v>
      </c>
      <c r="G490" s="1" t="s">
        <v>230</v>
      </c>
      <c r="H490" s="1" t="s">
        <v>231</v>
      </c>
    </row>
    <row r="491" spans="1:8" x14ac:dyDescent="0.35">
      <c r="A491" s="1" t="str">
        <f t="shared" si="7"/>
        <v>17</v>
      </c>
      <c r="B4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1" s="1" t="s">
        <v>1212</v>
      </c>
      <c r="D491" s="1" t="s">
        <v>112</v>
      </c>
      <c r="E491" s="1" t="s">
        <v>1213</v>
      </c>
      <c r="F491" s="1" t="s">
        <v>1214</v>
      </c>
      <c r="G491" s="1" t="s">
        <v>1215</v>
      </c>
      <c r="H491" s="1" t="s">
        <v>1216</v>
      </c>
    </row>
    <row r="492" spans="1:8"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8"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8"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8"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8"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112</v>
      </c>
    </row>
    <row r="497" spans="1:7"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7" s="1" t="s">
        <v>173</v>
      </c>
      <c r="D497" s="1" t="s">
        <v>110</v>
      </c>
      <c r="E497" s="1" t="s">
        <v>111</v>
      </c>
      <c r="F497" s="1" t="s">
        <v>112</v>
      </c>
      <c r="G497" s="1" t="s">
        <v>113</v>
      </c>
    </row>
    <row r="498" spans="1:7"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1217</v>
      </c>
      <c r="D498" s="1" t="s">
        <v>1218</v>
      </c>
      <c r="E498" s="1" t="s">
        <v>1219</v>
      </c>
      <c r="F498" s="1" t="s">
        <v>112</v>
      </c>
      <c r="G498" s="1">
        <v>2495354</v>
      </c>
    </row>
    <row r="499" spans="1:7"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1220</v>
      </c>
      <c r="D499" s="1" t="s">
        <v>1221</v>
      </c>
      <c r="E499" s="1" t="s">
        <v>1222</v>
      </c>
      <c r="F499" s="1" t="s">
        <v>112</v>
      </c>
      <c r="G499" s="1">
        <v>2631082</v>
      </c>
    </row>
    <row r="500" spans="1:7"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00" s="1" t="s">
        <v>1223</v>
      </c>
      <c r="D500" s="1" t="s">
        <v>1224</v>
      </c>
      <c r="E500" s="1" t="s">
        <v>1225</v>
      </c>
      <c r="F500" s="1" t="s">
        <v>112</v>
      </c>
      <c r="G500" s="1">
        <v>2587519</v>
      </c>
    </row>
    <row r="501" spans="1:7"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1226</v>
      </c>
      <c r="D501" s="1" t="s">
        <v>1227</v>
      </c>
      <c r="E501" s="1" t="s">
        <v>1228</v>
      </c>
      <c r="F501" s="1" t="s">
        <v>112</v>
      </c>
      <c r="G501" s="1">
        <v>1479766</v>
      </c>
    </row>
    <row r="502" spans="1:7"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1229</v>
      </c>
      <c r="D502" s="1" t="s">
        <v>1230</v>
      </c>
      <c r="E502" s="1" t="s">
        <v>1231</v>
      </c>
      <c r="F502" s="1" t="s">
        <v>112</v>
      </c>
      <c r="G502" s="1">
        <v>1792361</v>
      </c>
    </row>
    <row r="503" spans="1:7"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3" s="1" t="s">
        <v>1232</v>
      </c>
      <c r="D503" s="1" t="s">
        <v>1233</v>
      </c>
      <c r="E503" s="1" t="s">
        <v>1234</v>
      </c>
      <c r="F503" s="1" t="s">
        <v>112</v>
      </c>
      <c r="G503" s="1">
        <v>1469751</v>
      </c>
    </row>
    <row r="504" spans="1:7"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1235</v>
      </c>
      <c r="D504" s="1" t="s">
        <v>1236</v>
      </c>
      <c r="E504" s="1" t="s">
        <v>1237</v>
      </c>
      <c r="F504" s="1" t="s">
        <v>112</v>
      </c>
      <c r="G504" s="1">
        <v>299985</v>
      </c>
    </row>
    <row r="505" spans="1:7"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1238</v>
      </c>
      <c r="D505" s="1" t="s">
        <v>1239</v>
      </c>
      <c r="E505" s="1" t="s">
        <v>1240</v>
      </c>
      <c r="F505" s="1" t="s">
        <v>112</v>
      </c>
      <c r="G505" s="1">
        <v>259775</v>
      </c>
    </row>
    <row r="506" spans="1:7"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1241</v>
      </c>
      <c r="D506" s="1" t="s">
        <v>1242</v>
      </c>
      <c r="E506" s="1" t="s">
        <v>1243</v>
      </c>
      <c r="F506" s="1" t="s">
        <v>112</v>
      </c>
      <c r="G506" s="1">
        <v>658738</v>
      </c>
    </row>
    <row r="507" spans="1:7"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1244</v>
      </c>
      <c r="D507" s="1" t="s">
        <v>1245</v>
      </c>
      <c r="E507" s="1" t="s">
        <v>1246</v>
      </c>
      <c r="F507" s="1" t="s">
        <v>112</v>
      </c>
      <c r="G507" s="1">
        <v>1025798</v>
      </c>
    </row>
    <row r="508" spans="1:7"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1247</v>
      </c>
      <c r="D508" s="1" t="s">
        <v>1248</v>
      </c>
      <c r="E508" s="1" t="s">
        <v>1249</v>
      </c>
      <c r="F508" s="1" t="s">
        <v>112</v>
      </c>
      <c r="G508" s="1">
        <v>826889</v>
      </c>
    </row>
    <row r="509" spans="1:7"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1250</v>
      </c>
      <c r="D509" s="1" t="s">
        <v>1251</v>
      </c>
      <c r="E509" s="1" t="s">
        <v>1252</v>
      </c>
      <c r="F509" s="1" t="s">
        <v>112</v>
      </c>
      <c r="G509" s="1">
        <v>734032</v>
      </c>
    </row>
    <row r="510" spans="1:7"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1253</v>
      </c>
      <c r="D510" s="1" t="s">
        <v>1254</v>
      </c>
      <c r="E510" s="1" t="s">
        <v>1255</v>
      </c>
      <c r="F510" s="1" t="s">
        <v>112</v>
      </c>
      <c r="G510" s="1">
        <v>673447</v>
      </c>
    </row>
    <row r="511" spans="1:7"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1256</v>
      </c>
      <c r="D511" s="1" t="s">
        <v>1257</v>
      </c>
      <c r="E511" s="1" t="s">
        <v>1258</v>
      </c>
      <c r="F511" s="1" t="s">
        <v>112</v>
      </c>
      <c r="G511" s="1">
        <v>623482</v>
      </c>
    </row>
    <row r="512" spans="1:7"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1259</v>
      </c>
      <c r="D512" s="1" t="s">
        <v>1260</v>
      </c>
      <c r="E512" s="1" t="s">
        <v>1261</v>
      </c>
      <c r="F512" s="1" t="s">
        <v>112</v>
      </c>
      <c r="G512" s="1">
        <v>514402</v>
      </c>
    </row>
    <row r="513" spans="1:8"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1262</v>
      </c>
      <c r="D513" s="1" t="s">
        <v>1263</v>
      </c>
      <c r="E513" s="1" t="s">
        <v>1264</v>
      </c>
      <c r="F513" s="1" t="s">
        <v>112</v>
      </c>
      <c r="G513" s="1">
        <v>2732721</v>
      </c>
    </row>
    <row r="514" spans="1:8"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1265</v>
      </c>
      <c r="D514" s="1" t="s">
        <v>1266</v>
      </c>
      <c r="E514" s="1" t="s">
        <v>1267</v>
      </c>
      <c r="F514" s="1" t="s">
        <v>112</v>
      </c>
      <c r="G514" s="1">
        <v>2578586</v>
      </c>
    </row>
    <row r="515" spans="1:8"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1268</v>
      </c>
      <c r="D515" s="1" t="s">
        <v>1269</v>
      </c>
      <c r="E515" s="1" t="s">
        <v>1270</v>
      </c>
      <c r="F515" s="1" t="s">
        <v>112</v>
      </c>
      <c r="G515" s="1">
        <v>2326403</v>
      </c>
    </row>
    <row r="516" spans="1:8"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1271</v>
      </c>
      <c r="D516" s="1" t="s">
        <v>1272</v>
      </c>
      <c r="E516" s="1" t="s">
        <v>1273</v>
      </c>
      <c r="F516" s="1" t="s">
        <v>112</v>
      </c>
      <c r="G516" s="1">
        <v>947865</v>
      </c>
    </row>
    <row r="517" spans="1:8"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1274</v>
      </c>
      <c r="D517" s="1" t="s">
        <v>1275</v>
      </c>
      <c r="E517" s="1" t="s">
        <v>1276</v>
      </c>
      <c r="F517" s="1" t="s">
        <v>112</v>
      </c>
      <c r="G517" s="1">
        <v>1066224</v>
      </c>
    </row>
    <row r="518" spans="1:8"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8" s="1" t="s">
        <v>1277</v>
      </c>
      <c r="D518" s="1" t="s">
        <v>1278</v>
      </c>
      <c r="E518" s="1" t="s">
        <v>1279</v>
      </c>
      <c r="F518" s="1" t="s">
        <v>112</v>
      </c>
      <c r="G518" s="1">
        <v>1196479</v>
      </c>
    </row>
    <row r="519" spans="1:8"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1280</v>
      </c>
      <c r="D519" s="1" t="s">
        <v>1281</v>
      </c>
      <c r="E519" s="1" t="s">
        <v>1282</v>
      </c>
      <c r="F519" s="1" t="s">
        <v>112</v>
      </c>
      <c r="G519" s="1">
        <v>85719</v>
      </c>
    </row>
    <row r="520" spans="1:8"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1283</v>
      </c>
      <c r="D520" s="1" t="s">
        <v>1284</v>
      </c>
      <c r="E520" s="1" t="s">
        <v>1285</v>
      </c>
      <c r="F520" s="1" t="s">
        <v>112</v>
      </c>
      <c r="G520" s="1">
        <v>179615</v>
      </c>
    </row>
    <row r="521" spans="1:8" x14ac:dyDescent="0.35">
      <c r="A521" s="1" t="str">
        <f t="shared" si="8"/>
        <v>18</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1" s="1" t="s">
        <v>1286</v>
      </c>
      <c r="D521" s="1" t="s">
        <v>1287</v>
      </c>
      <c r="E521" s="1" t="s">
        <v>1288</v>
      </c>
      <c r="F521" s="1" t="s">
        <v>112</v>
      </c>
      <c r="G521" s="1">
        <v>133024</v>
      </c>
    </row>
    <row r="522" spans="1:8"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112</v>
      </c>
    </row>
    <row r="523" spans="1:8"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3" s="1" t="s">
        <v>227</v>
      </c>
      <c r="D523" s="1" t="s">
        <v>112</v>
      </c>
      <c r="E523" s="1" t="s">
        <v>228</v>
      </c>
      <c r="F523" s="1" t="s">
        <v>229</v>
      </c>
      <c r="G523" s="1" t="s">
        <v>230</v>
      </c>
      <c r="H523" s="1" t="s">
        <v>231</v>
      </c>
    </row>
    <row r="524" spans="1:8" x14ac:dyDescent="0.35">
      <c r="A524" s="1" t="str">
        <f t="shared" si="8"/>
        <v>18</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4" s="1" t="s">
        <v>1289</v>
      </c>
      <c r="D524" s="1" t="s">
        <v>112</v>
      </c>
      <c r="E524" s="1" t="s">
        <v>1290</v>
      </c>
      <c r="F524" s="1" t="s">
        <v>1291</v>
      </c>
      <c r="G524" s="1" t="s">
        <v>1292</v>
      </c>
      <c r="H524" s="1" t="s">
        <v>1293</v>
      </c>
    </row>
    <row r="525" spans="1:8"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8"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8"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8"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112</v>
      </c>
    </row>
    <row r="530" spans="1:7"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173</v>
      </c>
      <c r="D530" s="1" t="s">
        <v>110</v>
      </c>
      <c r="E530" s="1" t="s">
        <v>111</v>
      </c>
      <c r="F530" s="1" t="s">
        <v>112</v>
      </c>
      <c r="G530" s="1" t="s">
        <v>113</v>
      </c>
    </row>
    <row r="531" spans="1:7"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1294</v>
      </c>
      <c r="D531" s="1" t="s">
        <v>1295</v>
      </c>
      <c r="E531" s="1" t="s">
        <v>1296</v>
      </c>
      <c r="F531" s="1" t="s">
        <v>112</v>
      </c>
      <c r="G531" s="1">
        <v>1724184</v>
      </c>
    </row>
    <row r="532" spans="1:7"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1297</v>
      </c>
      <c r="D532" s="1" t="s">
        <v>1298</v>
      </c>
      <c r="E532" s="1" t="s">
        <v>1299</v>
      </c>
      <c r="F532" s="1" t="s">
        <v>112</v>
      </c>
      <c r="G532" s="1">
        <v>1048747</v>
      </c>
    </row>
    <row r="533" spans="1:7"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3" s="1" t="s">
        <v>1300</v>
      </c>
      <c r="D533" s="1" t="s">
        <v>1301</v>
      </c>
      <c r="E533" s="1" t="s">
        <v>1302</v>
      </c>
      <c r="F533" s="1" t="s">
        <v>112</v>
      </c>
      <c r="G533" s="1">
        <v>2469831</v>
      </c>
    </row>
    <row r="534" spans="1:7"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1303</v>
      </c>
    </row>
    <row r="535" spans="1:7"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1304</v>
      </c>
    </row>
    <row r="536" spans="1:7"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6" s="1" t="s">
        <v>1305</v>
      </c>
      <c r="D536" s="1" t="s">
        <v>1306</v>
      </c>
      <c r="E536" s="1" t="s">
        <v>1307</v>
      </c>
      <c r="F536" s="1" t="s">
        <v>112</v>
      </c>
      <c r="G536" s="1">
        <v>1241534</v>
      </c>
    </row>
    <row r="537" spans="1:7"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1308</v>
      </c>
      <c r="D537" s="1" t="s">
        <v>1309</v>
      </c>
      <c r="E537" s="1" t="s">
        <v>1310</v>
      </c>
      <c r="F537" s="1" t="s">
        <v>112</v>
      </c>
      <c r="G537" s="1">
        <v>754299</v>
      </c>
    </row>
    <row r="538" spans="1:7"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1311</v>
      </c>
      <c r="D538" s="1" t="s">
        <v>1312</v>
      </c>
      <c r="E538" s="1" t="s">
        <v>1313</v>
      </c>
      <c r="F538" s="1" t="s">
        <v>112</v>
      </c>
      <c r="G538" s="1">
        <v>1076866</v>
      </c>
    </row>
    <row r="539" spans="1:7"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9" s="1" t="s">
        <v>1314</v>
      </c>
      <c r="D539" s="1" t="s">
        <v>1315</v>
      </c>
      <c r="E539" s="1" t="s">
        <v>1316</v>
      </c>
      <c r="F539" s="1" t="s">
        <v>112</v>
      </c>
      <c r="G539" s="1">
        <v>948493</v>
      </c>
    </row>
    <row r="540" spans="1:7"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1317</v>
      </c>
      <c r="D540" s="1" t="s">
        <v>1318</v>
      </c>
      <c r="E540" s="1" t="s">
        <v>1319</v>
      </c>
      <c r="F540" s="1" t="s">
        <v>112</v>
      </c>
      <c r="G540" s="1">
        <v>2043376</v>
      </c>
    </row>
    <row r="541" spans="1:7"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1320</v>
      </c>
      <c r="D541" s="1" t="s">
        <v>1321</v>
      </c>
      <c r="E541" s="1" t="s">
        <v>1322</v>
      </c>
      <c r="F541" s="1" t="s">
        <v>112</v>
      </c>
      <c r="G541" s="1">
        <v>1852557</v>
      </c>
    </row>
    <row r="542" spans="1:7"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2" s="1" t="s">
        <v>1323</v>
      </c>
      <c r="D542" s="1" t="s">
        <v>1324</v>
      </c>
      <c r="E542" s="1" t="s">
        <v>1325</v>
      </c>
      <c r="F542" s="1" t="s">
        <v>112</v>
      </c>
      <c r="G542" s="1">
        <v>1968450</v>
      </c>
    </row>
    <row r="543" spans="1:7"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1326</v>
      </c>
      <c r="D543" s="1" t="s">
        <v>1327</v>
      </c>
      <c r="E543" s="1" t="s">
        <v>1328</v>
      </c>
      <c r="F543" s="1" t="s">
        <v>112</v>
      </c>
      <c r="G543" s="1">
        <v>2148519</v>
      </c>
    </row>
    <row r="544" spans="1:7"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1329</v>
      </c>
      <c r="D544" s="1" t="s">
        <v>1330</v>
      </c>
      <c r="E544" s="1" t="s">
        <v>1331</v>
      </c>
      <c r="F544" s="1" t="s">
        <v>112</v>
      </c>
      <c r="G544" s="1">
        <v>1789809</v>
      </c>
    </row>
    <row r="545" spans="1:8"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5" s="1" t="s">
        <v>1332</v>
      </c>
      <c r="D545" s="1" t="s">
        <v>1333</v>
      </c>
      <c r="E545" s="1" t="s">
        <v>1334</v>
      </c>
      <c r="F545" s="1" t="s">
        <v>112</v>
      </c>
      <c r="G545" s="1">
        <v>1988090</v>
      </c>
    </row>
    <row r="546" spans="1:8"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1335</v>
      </c>
      <c r="D546" s="1" t="s">
        <v>1336</v>
      </c>
      <c r="E546" s="1" t="s">
        <v>1337</v>
      </c>
      <c r="F546" s="1" t="s">
        <v>112</v>
      </c>
      <c r="G546" s="1">
        <v>2500805</v>
      </c>
    </row>
    <row r="547" spans="1:8"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1338</v>
      </c>
      <c r="D547" s="1" t="s">
        <v>1339</v>
      </c>
      <c r="E547" s="1" t="s">
        <v>1340</v>
      </c>
      <c r="F547" s="1" t="s">
        <v>112</v>
      </c>
      <c r="G547" s="1">
        <v>2178866</v>
      </c>
    </row>
    <row r="548" spans="1:8"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8" s="1" t="s">
        <v>1341</v>
      </c>
      <c r="D548" s="1" t="s">
        <v>880</v>
      </c>
      <c r="E548" s="1" t="s">
        <v>1342</v>
      </c>
      <c r="F548" s="1" t="s">
        <v>112</v>
      </c>
      <c r="G548" s="1">
        <v>2895205</v>
      </c>
    </row>
    <row r="549" spans="1:8"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1343</v>
      </c>
      <c r="D549" s="1" t="s">
        <v>1344</v>
      </c>
      <c r="E549" s="1" t="s">
        <v>1345</v>
      </c>
      <c r="F549" s="1" t="s">
        <v>112</v>
      </c>
      <c r="G549" s="1">
        <v>2847208</v>
      </c>
    </row>
    <row r="550" spans="1:8"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1346</v>
      </c>
      <c r="D550" s="1" t="s">
        <v>1347</v>
      </c>
      <c r="E550" s="1" t="s">
        <v>1348</v>
      </c>
      <c r="F550" s="1" t="s">
        <v>112</v>
      </c>
      <c r="G550" s="1">
        <v>2447682</v>
      </c>
    </row>
    <row r="551" spans="1:8"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1" s="1" t="s">
        <v>1349</v>
      </c>
      <c r="D551" s="1" t="s">
        <v>1350</v>
      </c>
      <c r="E551" s="1" t="s">
        <v>1351</v>
      </c>
      <c r="F551" s="1" t="s">
        <v>112</v>
      </c>
      <c r="G551" s="1">
        <v>2179342</v>
      </c>
    </row>
    <row r="552" spans="1:8"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1352</v>
      </c>
      <c r="D552" s="1" t="s">
        <v>1353</v>
      </c>
      <c r="E552" s="1" t="s">
        <v>1354</v>
      </c>
      <c r="F552" s="1" t="s">
        <v>112</v>
      </c>
      <c r="G552" s="1">
        <v>2508224</v>
      </c>
    </row>
    <row r="553" spans="1:8"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1355</v>
      </c>
      <c r="D553" s="1" t="s">
        <v>1356</v>
      </c>
      <c r="E553" s="1" t="s">
        <v>1357</v>
      </c>
      <c r="F553" s="1" t="s">
        <v>112</v>
      </c>
      <c r="G553" s="1">
        <v>2634737</v>
      </c>
    </row>
    <row r="554" spans="1:8" x14ac:dyDescent="0.35">
      <c r="A554" s="1" t="str">
        <f t="shared" si="8"/>
        <v>19</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4" s="1" t="s">
        <v>1358</v>
      </c>
      <c r="D554" s="1" t="s">
        <v>1359</v>
      </c>
      <c r="E554" s="1" t="s">
        <v>1360</v>
      </c>
      <c r="F554" s="1" t="s">
        <v>112</v>
      </c>
      <c r="G554" s="1">
        <v>2609906</v>
      </c>
    </row>
    <row r="555" spans="1:8"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112</v>
      </c>
    </row>
    <row r="556" spans="1:8"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6" s="1" t="s">
        <v>227</v>
      </c>
      <c r="D556" s="1" t="s">
        <v>112</v>
      </c>
      <c r="E556" s="1" t="s">
        <v>228</v>
      </c>
      <c r="F556" s="1" t="s">
        <v>229</v>
      </c>
      <c r="G556" s="1" t="s">
        <v>230</v>
      </c>
      <c r="H556" s="1" t="s">
        <v>231</v>
      </c>
    </row>
    <row r="557" spans="1:8" x14ac:dyDescent="0.35">
      <c r="A557" s="1" t="str">
        <f t="shared" si="8"/>
        <v>19</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7" s="1" t="s">
        <v>1361</v>
      </c>
      <c r="D557" s="1" t="s">
        <v>112</v>
      </c>
      <c r="E557" s="1" t="s">
        <v>1362</v>
      </c>
      <c r="F557" s="1" t="s">
        <v>1363</v>
      </c>
      <c r="G557" s="1" t="s">
        <v>1364</v>
      </c>
      <c r="H557" s="1" t="s">
        <v>1365</v>
      </c>
    </row>
    <row r="558" spans="1:8"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8"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8"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112</v>
      </c>
    </row>
    <row r="563" spans="1:7"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3" s="1" t="s">
        <v>173</v>
      </c>
      <c r="D563" s="1" t="s">
        <v>110</v>
      </c>
      <c r="E563" s="1" t="s">
        <v>111</v>
      </c>
      <c r="F563" s="1" t="s">
        <v>112</v>
      </c>
      <c r="G563" s="1" t="s">
        <v>113</v>
      </c>
    </row>
    <row r="564" spans="1:7"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1366</v>
      </c>
    </row>
    <row r="565" spans="1:7"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1367</v>
      </c>
    </row>
    <row r="566" spans="1:7"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6" s="1" t="s">
        <v>1368</v>
      </c>
    </row>
    <row r="567" spans="1:7"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1369</v>
      </c>
      <c r="D567" s="1" t="s">
        <v>1370</v>
      </c>
      <c r="E567" s="1" t="s">
        <v>1371</v>
      </c>
      <c r="F567" s="1" t="s">
        <v>112</v>
      </c>
      <c r="G567" s="1">
        <v>2683924</v>
      </c>
    </row>
    <row r="568" spans="1:7"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1372</v>
      </c>
      <c r="D568" s="1" t="s">
        <v>1373</v>
      </c>
      <c r="E568" s="1" t="s">
        <v>1374</v>
      </c>
      <c r="F568" s="1" t="s">
        <v>112</v>
      </c>
      <c r="G568" s="1">
        <v>2611291</v>
      </c>
    </row>
    <row r="569" spans="1:7"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9" s="1" t="s">
        <v>1375</v>
      </c>
      <c r="D569" s="1" t="s">
        <v>1376</v>
      </c>
      <c r="E569" s="1" t="s">
        <v>1377</v>
      </c>
      <c r="F569" s="1" t="s">
        <v>112</v>
      </c>
      <c r="G569" s="1">
        <v>2404530</v>
      </c>
    </row>
    <row r="570" spans="1:7"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1378</v>
      </c>
      <c r="D570" s="1" t="s">
        <v>1379</v>
      </c>
      <c r="E570" s="1" t="s">
        <v>1380</v>
      </c>
      <c r="F570" s="1" t="s">
        <v>112</v>
      </c>
      <c r="G570" s="1">
        <v>1980238</v>
      </c>
    </row>
    <row r="571" spans="1:7"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1381</v>
      </c>
      <c r="D571" s="1" t="s">
        <v>1382</v>
      </c>
      <c r="E571" s="1" t="s">
        <v>1383</v>
      </c>
      <c r="F571" s="1" t="s">
        <v>112</v>
      </c>
      <c r="G571" s="1">
        <v>1640779</v>
      </c>
    </row>
    <row r="572" spans="1:7"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2" s="1" t="s">
        <v>1384</v>
      </c>
      <c r="D572" s="1" t="s">
        <v>1385</v>
      </c>
      <c r="E572" s="1" t="s">
        <v>1386</v>
      </c>
      <c r="F572" s="1" t="s">
        <v>112</v>
      </c>
      <c r="G572" s="1">
        <v>1987895</v>
      </c>
    </row>
    <row r="573" spans="1:7"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1387</v>
      </c>
      <c r="D573" s="1" t="s">
        <v>1388</v>
      </c>
      <c r="E573" s="1" t="s">
        <v>1389</v>
      </c>
      <c r="F573" s="1" t="s">
        <v>112</v>
      </c>
      <c r="G573" s="1">
        <v>1508015</v>
      </c>
    </row>
    <row r="574" spans="1:7"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1390</v>
      </c>
      <c r="D574" s="1" t="s">
        <v>1391</v>
      </c>
      <c r="E574" s="1" t="s">
        <v>1392</v>
      </c>
      <c r="F574" s="1" t="s">
        <v>112</v>
      </c>
      <c r="G574" s="1">
        <v>1185491</v>
      </c>
    </row>
    <row r="575" spans="1:7"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5" s="1" t="s">
        <v>1393</v>
      </c>
      <c r="D575" s="1" t="s">
        <v>1394</v>
      </c>
      <c r="E575" s="1" t="s">
        <v>1395</v>
      </c>
      <c r="F575" s="1" t="s">
        <v>112</v>
      </c>
      <c r="G575" s="1">
        <v>1252068</v>
      </c>
    </row>
    <row r="576" spans="1:7"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1396</v>
      </c>
      <c r="D576" s="1" t="s">
        <v>1397</v>
      </c>
      <c r="E576" s="1" t="s">
        <v>1398</v>
      </c>
      <c r="F576" s="1" t="s">
        <v>112</v>
      </c>
      <c r="G576" s="1">
        <v>2499161</v>
      </c>
    </row>
    <row r="577" spans="1:8"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1399</v>
      </c>
      <c r="D577" s="1" t="s">
        <v>1400</v>
      </c>
      <c r="E577" s="1" t="s">
        <v>1401</v>
      </c>
      <c r="F577" s="1" t="s">
        <v>112</v>
      </c>
      <c r="G577" s="1">
        <v>3109427</v>
      </c>
    </row>
    <row r="578" spans="1:8"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8" s="1" t="s">
        <v>1402</v>
      </c>
      <c r="D578" s="1" t="s">
        <v>1403</v>
      </c>
      <c r="E578" s="1" t="s">
        <v>1404</v>
      </c>
      <c r="F578" s="1" t="s">
        <v>112</v>
      </c>
      <c r="G578" s="1">
        <v>3045554</v>
      </c>
    </row>
    <row r="579" spans="1:8"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1405</v>
      </c>
      <c r="D579" s="1" t="s">
        <v>1406</v>
      </c>
      <c r="E579" s="1" t="s">
        <v>1407</v>
      </c>
      <c r="F579" s="1" t="s">
        <v>112</v>
      </c>
      <c r="G579" s="1">
        <v>1155231</v>
      </c>
    </row>
    <row r="580" spans="1:8"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1408</v>
      </c>
      <c r="D580" s="1" t="s">
        <v>286</v>
      </c>
      <c r="E580" s="1" t="s">
        <v>1409</v>
      </c>
      <c r="F580" s="1" t="s">
        <v>112</v>
      </c>
      <c r="G580" s="1">
        <v>1080846</v>
      </c>
    </row>
    <row r="581" spans="1:8"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1" s="1" t="s">
        <v>1410</v>
      </c>
      <c r="D581" s="1" t="s">
        <v>1411</v>
      </c>
      <c r="E581" s="1" t="s">
        <v>1412</v>
      </c>
      <c r="F581" s="1" t="s">
        <v>112</v>
      </c>
      <c r="G581" s="1">
        <v>597958</v>
      </c>
    </row>
    <row r="582" spans="1:8"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1413</v>
      </c>
      <c r="D582" s="1" t="s">
        <v>1414</v>
      </c>
      <c r="E582" s="1" t="s">
        <v>1415</v>
      </c>
      <c r="F582" s="1" t="s">
        <v>112</v>
      </c>
      <c r="G582" s="1">
        <v>2806587</v>
      </c>
    </row>
    <row r="583" spans="1:8"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1416</v>
      </c>
      <c r="D583" s="1" t="s">
        <v>1417</v>
      </c>
      <c r="E583" s="1" t="s">
        <v>1418</v>
      </c>
      <c r="F583" s="1" t="s">
        <v>112</v>
      </c>
      <c r="G583" s="1">
        <v>2301226</v>
      </c>
    </row>
    <row r="584" spans="1:8"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4" s="1" t="s">
        <v>1419</v>
      </c>
      <c r="D584" s="1" t="s">
        <v>1420</v>
      </c>
      <c r="E584" s="1" t="s">
        <v>1421</v>
      </c>
      <c r="F584" s="1" t="s">
        <v>112</v>
      </c>
      <c r="G584" s="1">
        <v>2152715</v>
      </c>
    </row>
    <row r="585" spans="1:8"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1422</v>
      </c>
      <c r="D585" s="1" t="s">
        <v>367</v>
      </c>
      <c r="E585" s="1" t="s">
        <v>1423</v>
      </c>
      <c r="F585" s="1" t="s">
        <v>112</v>
      </c>
      <c r="G585" s="1">
        <v>230510</v>
      </c>
    </row>
    <row r="586" spans="1:8"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1424</v>
      </c>
      <c r="D586" s="1" t="s">
        <v>1425</v>
      </c>
      <c r="E586" s="1" t="s">
        <v>1426</v>
      </c>
      <c r="F586" s="1" t="s">
        <v>112</v>
      </c>
      <c r="G586" s="1">
        <v>232089</v>
      </c>
    </row>
    <row r="587" spans="1:8" x14ac:dyDescent="0.35">
      <c r="A587" s="1" t="str">
        <f t="shared" si="9"/>
        <v>20</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7" s="1" t="s">
        <v>1427</v>
      </c>
      <c r="D587" s="1" t="s">
        <v>632</v>
      </c>
      <c r="E587" s="1" t="s">
        <v>1428</v>
      </c>
      <c r="F587" s="1" t="s">
        <v>112</v>
      </c>
      <c r="G587" s="1">
        <v>131120</v>
      </c>
    </row>
    <row r="588" spans="1:8"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112</v>
      </c>
    </row>
    <row r="589" spans="1:8"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9" s="1" t="s">
        <v>227</v>
      </c>
      <c r="D589" s="1" t="s">
        <v>112</v>
      </c>
      <c r="E589" s="1" t="s">
        <v>228</v>
      </c>
      <c r="F589" s="1" t="s">
        <v>229</v>
      </c>
      <c r="G589" s="1" t="s">
        <v>230</v>
      </c>
      <c r="H589" s="1" t="s">
        <v>231</v>
      </c>
    </row>
    <row r="590" spans="1:8" x14ac:dyDescent="0.35">
      <c r="A590" s="1" t="str">
        <f t="shared" si="9"/>
        <v>20</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90" s="1" t="s">
        <v>1429</v>
      </c>
      <c r="D590" s="1" t="s">
        <v>112</v>
      </c>
      <c r="E590" s="1" t="s">
        <v>1430</v>
      </c>
      <c r="F590" s="1" t="s">
        <v>1431</v>
      </c>
      <c r="G590" s="1">
        <v>1576301</v>
      </c>
      <c r="H590" s="1" t="s">
        <v>1432</v>
      </c>
    </row>
    <row r="591" spans="1:8"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8"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112</v>
      </c>
    </row>
    <row r="596" spans="1:7"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6" s="1" t="s">
        <v>173</v>
      </c>
      <c r="D596" s="1" t="s">
        <v>110</v>
      </c>
      <c r="E596" s="1" t="s">
        <v>111</v>
      </c>
      <c r="F596" s="1" t="s">
        <v>112</v>
      </c>
      <c r="G596" s="1" t="s">
        <v>113</v>
      </c>
    </row>
    <row r="597" spans="1:7"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1433</v>
      </c>
      <c r="D597" s="1" t="s">
        <v>1434</v>
      </c>
      <c r="E597" s="1" t="s">
        <v>1435</v>
      </c>
      <c r="F597" s="1" t="s">
        <v>112</v>
      </c>
      <c r="G597" s="1">
        <v>1512687</v>
      </c>
    </row>
    <row r="598" spans="1:7"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1436</v>
      </c>
      <c r="D598" s="1" t="s">
        <v>1437</v>
      </c>
      <c r="E598" s="1" t="s">
        <v>1438</v>
      </c>
      <c r="F598" s="1" t="s">
        <v>112</v>
      </c>
      <c r="G598" s="1">
        <v>1336381</v>
      </c>
    </row>
    <row r="599" spans="1:7"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9" s="1" t="s">
        <v>1439</v>
      </c>
      <c r="D599" s="1" t="s">
        <v>1440</v>
      </c>
      <c r="E599" s="1" t="s">
        <v>1441</v>
      </c>
      <c r="F599" s="1" t="s">
        <v>112</v>
      </c>
      <c r="G599" s="1">
        <v>1598990</v>
      </c>
    </row>
    <row r="600" spans="1:7"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1442</v>
      </c>
      <c r="D600" s="1" t="s">
        <v>1443</v>
      </c>
      <c r="E600" s="1" t="s">
        <v>1444</v>
      </c>
      <c r="F600" s="1" t="s">
        <v>112</v>
      </c>
      <c r="G600" s="1">
        <v>2770487</v>
      </c>
    </row>
    <row r="601" spans="1:7"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1445</v>
      </c>
      <c r="D601" s="1" t="s">
        <v>1446</v>
      </c>
      <c r="E601" s="1" t="s">
        <v>1447</v>
      </c>
      <c r="F601" s="1" t="s">
        <v>112</v>
      </c>
      <c r="G601" s="1">
        <v>3089960</v>
      </c>
    </row>
    <row r="602" spans="1:7"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2" s="1" t="s">
        <v>1448</v>
      </c>
      <c r="D602" s="1" t="s">
        <v>1449</v>
      </c>
      <c r="E602" s="1" t="s">
        <v>1450</v>
      </c>
      <c r="F602" s="1" t="s">
        <v>112</v>
      </c>
      <c r="G602" s="1">
        <v>2916662</v>
      </c>
    </row>
    <row r="603" spans="1:7"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1451</v>
      </c>
      <c r="D603" s="1" t="s">
        <v>1452</v>
      </c>
      <c r="E603" s="1" t="s">
        <v>1453</v>
      </c>
      <c r="F603" s="1" t="s">
        <v>112</v>
      </c>
      <c r="G603" s="1">
        <v>470039</v>
      </c>
    </row>
    <row r="604" spans="1:7"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1454</v>
      </c>
      <c r="D604" s="1" t="s">
        <v>1455</v>
      </c>
      <c r="E604" s="1" t="s">
        <v>1456</v>
      </c>
      <c r="F604" s="1" t="s">
        <v>112</v>
      </c>
      <c r="G604" s="1">
        <v>629798</v>
      </c>
    </row>
    <row r="605" spans="1:7"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5" s="1" t="s">
        <v>1457</v>
      </c>
      <c r="D605" s="1" t="s">
        <v>1458</v>
      </c>
      <c r="E605" s="1" t="s">
        <v>1459</v>
      </c>
      <c r="F605" s="1" t="s">
        <v>112</v>
      </c>
      <c r="G605" s="1">
        <v>938846</v>
      </c>
    </row>
    <row r="606" spans="1:7"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1460</v>
      </c>
      <c r="D606" s="1" t="s">
        <v>978</v>
      </c>
      <c r="E606" s="1" t="s">
        <v>1461</v>
      </c>
      <c r="F606" s="1" t="s">
        <v>112</v>
      </c>
      <c r="G606" s="1">
        <v>59158</v>
      </c>
    </row>
    <row r="607" spans="1:7"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1462</v>
      </c>
      <c r="D607" s="1" t="s">
        <v>1463</v>
      </c>
      <c r="E607" s="1" t="s">
        <v>1464</v>
      </c>
      <c r="F607" s="1" t="s">
        <v>112</v>
      </c>
      <c r="G607" s="1">
        <v>378437</v>
      </c>
    </row>
    <row r="608" spans="1:7"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8" s="1" t="s">
        <v>1465</v>
      </c>
      <c r="D608" s="1" t="s">
        <v>1466</v>
      </c>
      <c r="E608" s="1" t="s">
        <v>1467</v>
      </c>
      <c r="F608" s="1" t="s">
        <v>112</v>
      </c>
      <c r="G608" s="1">
        <v>557965</v>
      </c>
    </row>
    <row r="609" spans="1:8"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1468</v>
      </c>
      <c r="D609" s="1" t="s">
        <v>1469</v>
      </c>
      <c r="E609" s="1" t="s">
        <v>1470</v>
      </c>
      <c r="F609" s="1" t="s">
        <v>112</v>
      </c>
      <c r="G609" s="1">
        <v>1249148</v>
      </c>
    </row>
    <row r="610" spans="1:8"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1471</v>
      </c>
      <c r="D610" s="1" t="s">
        <v>1472</v>
      </c>
      <c r="E610" s="1" t="s">
        <v>1473</v>
      </c>
      <c r="F610" s="1" t="s">
        <v>112</v>
      </c>
      <c r="G610" s="1">
        <v>857647</v>
      </c>
    </row>
    <row r="611" spans="1:8"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1" s="1" t="s">
        <v>1474</v>
      </c>
      <c r="D611" s="1" t="s">
        <v>1475</v>
      </c>
      <c r="E611" s="1" t="s">
        <v>1476</v>
      </c>
      <c r="F611" s="1" t="s">
        <v>112</v>
      </c>
      <c r="G611" s="1">
        <v>1398654</v>
      </c>
    </row>
    <row r="612" spans="1:8"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1477</v>
      </c>
      <c r="D612" s="1" t="s">
        <v>1478</v>
      </c>
      <c r="E612" s="1" t="s">
        <v>1479</v>
      </c>
      <c r="F612" s="1" t="s">
        <v>112</v>
      </c>
      <c r="G612" s="1">
        <v>1777545</v>
      </c>
    </row>
    <row r="613" spans="1:8"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1480</v>
      </c>
      <c r="D613" s="1" t="s">
        <v>1481</v>
      </c>
      <c r="E613" s="1" t="s">
        <v>1482</v>
      </c>
      <c r="F613" s="1" t="s">
        <v>112</v>
      </c>
      <c r="G613" s="1">
        <v>1663166</v>
      </c>
    </row>
    <row r="614" spans="1:8"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4" s="1" t="s">
        <v>1483</v>
      </c>
      <c r="D614" s="1" t="s">
        <v>1484</v>
      </c>
      <c r="E614" s="1" t="s">
        <v>1485</v>
      </c>
      <c r="F614" s="1" t="s">
        <v>112</v>
      </c>
      <c r="G614" s="1">
        <v>1818988</v>
      </c>
    </row>
    <row r="615" spans="1:8"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1486</v>
      </c>
      <c r="D615" s="1" t="s">
        <v>1487</v>
      </c>
      <c r="E615" s="1" t="s">
        <v>1488</v>
      </c>
      <c r="F615" s="1" t="s">
        <v>112</v>
      </c>
      <c r="G615" s="1">
        <v>2076924</v>
      </c>
    </row>
    <row r="616" spans="1:8"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1489</v>
      </c>
      <c r="D616" s="1" t="s">
        <v>1490</v>
      </c>
      <c r="E616" s="1" t="s">
        <v>1491</v>
      </c>
      <c r="F616" s="1" t="s">
        <v>112</v>
      </c>
      <c r="G616" s="1">
        <v>2186761</v>
      </c>
    </row>
    <row r="617" spans="1:8"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7" s="1" t="s">
        <v>1492</v>
      </c>
      <c r="D617" s="1" t="s">
        <v>1493</v>
      </c>
      <c r="E617" s="1" t="s">
        <v>1494</v>
      </c>
      <c r="F617" s="1" t="s">
        <v>112</v>
      </c>
      <c r="G617" s="1">
        <v>2396441</v>
      </c>
    </row>
    <row r="618" spans="1:8"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1495</v>
      </c>
      <c r="D618" s="1" t="s">
        <v>1496</v>
      </c>
      <c r="E618" s="1" t="s">
        <v>1497</v>
      </c>
      <c r="F618" s="1" t="s">
        <v>112</v>
      </c>
      <c r="G618" s="1">
        <v>2623360</v>
      </c>
    </row>
    <row r="619" spans="1:8"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1498</v>
      </c>
      <c r="D619" s="1" t="s">
        <v>1499</v>
      </c>
      <c r="E619" s="1" t="s">
        <v>1500</v>
      </c>
      <c r="F619" s="1" t="s">
        <v>112</v>
      </c>
      <c r="G619" s="1">
        <v>2765512</v>
      </c>
    </row>
    <row r="620" spans="1:8" x14ac:dyDescent="0.35">
      <c r="A620" s="1" t="str">
        <f t="shared" si="9"/>
        <v>21</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20" s="1" t="s">
        <v>1501</v>
      </c>
      <c r="D620" s="1" t="s">
        <v>1502</v>
      </c>
      <c r="E620" s="1" t="s">
        <v>1503</v>
      </c>
      <c r="F620" s="1" t="s">
        <v>112</v>
      </c>
      <c r="G620" s="1">
        <v>2910713</v>
      </c>
    </row>
    <row r="621" spans="1:8"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112</v>
      </c>
    </row>
    <row r="622" spans="1:8"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2" s="1" t="s">
        <v>227</v>
      </c>
      <c r="D622" s="1" t="s">
        <v>112</v>
      </c>
      <c r="E622" s="1" t="s">
        <v>228</v>
      </c>
      <c r="F622" s="1" t="s">
        <v>229</v>
      </c>
      <c r="G622" s="1" t="s">
        <v>230</v>
      </c>
      <c r="H622" s="1" t="s">
        <v>231</v>
      </c>
    </row>
    <row r="623" spans="1:8" x14ac:dyDescent="0.35">
      <c r="A623" s="1" t="str">
        <f t="shared" si="9"/>
        <v>21</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3" s="1" t="s">
        <v>1504</v>
      </c>
      <c r="D623" s="1" t="s">
        <v>112</v>
      </c>
      <c r="E623" s="1" t="s">
        <v>1505</v>
      </c>
      <c r="F623" s="1" t="s">
        <v>1506</v>
      </c>
      <c r="G623" s="1" t="s">
        <v>1507</v>
      </c>
      <c r="H623" s="1" t="s">
        <v>1508</v>
      </c>
    </row>
    <row r="624" spans="1:8"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112</v>
      </c>
    </row>
    <row r="629" spans="1:7"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9" s="1" t="s">
        <v>173</v>
      </c>
      <c r="D629" s="1" t="s">
        <v>110</v>
      </c>
      <c r="E629" s="1" t="s">
        <v>111</v>
      </c>
      <c r="F629" s="1" t="s">
        <v>112</v>
      </c>
      <c r="G629" s="1" t="s">
        <v>113</v>
      </c>
    </row>
    <row r="630" spans="1:7"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1509</v>
      </c>
      <c r="D630" s="1" t="s">
        <v>1510</v>
      </c>
      <c r="E630" s="1" t="s">
        <v>1511</v>
      </c>
      <c r="F630" s="1" t="s">
        <v>112</v>
      </c>
      <c r="G630" s="1">
        <v>182318</v>
      </c>
    </row>
    <row r="631" spans="1:7"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1512</v>
      </c>
      <c r="D631" s="1">
        <v>0</v>
      </c>
      <c r="E631" s="1">
        <v>0</v>
      </c>
      <c r="F631" s="1" t="s">
        <v>112</v>
      </c>
      <c r="G631" s="1">
        <v>0</v>
      </c>
    </row>
    <row r="632" spans="1:7"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2" s="1" t="s">
        <v>1513</v>
      </c>
      <c r="D632" s="1" t="s">
        <v>1514</v>
      </c>
      <c r="E632" s="1" t="s">
        <v>1515</v>
      </c>
      <c r="F632" s="1" t="s">
        <v>112</v>
      </c>
      <c r="G632" s="1">
        <v>99519</v>
      </c>
    </row>
    <row r="633" spans="1:7"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1516</v>
      </c>
      <c r="D633" s="1" t="s">
        <v>1517</v>
      </c>
      <c r="E633" s="1" t="s">
        <v>1518</v>
      </c>
      <c r="F633" s="1" t="s">
        <v>112</v>
      </c>
      <c r="G633" s="1">
        <v>19943</v>
      </c>
    </row>
    <row r="634" spans="1:7"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1519</v>
      </c>
      <c r="D634" s="1" t="s">
        <v>1520</v>
      </c>
      <c r="E634" s="1" t="s">
        <v>1521</v>
      </c>
      <c r="F634" s="1" t="s">
        <v>112</v>
      </c>
      <c r="G634" s="1">
        <v>162332</v>
      </c>
    </row>
    <row r="635" spans="1:7"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5" s="1" t="s">
        <v>1522</v>
      </c>
      <c r="D635" s="1" t="s">
        <v>1239</v>
      </c>
      <c r="E635" s="1" t="s">
        <v>1523</v>
      </c>
      <c r="F635" s="1" t="s">
        <v>112</v>
      </c>
      <c r="G635" s="1">
        <v>297735</v>
      </c>
    </row>
    <row r="636" spans="1:7"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1524</v>
      </c>
      <c r="D636" s="1" t="s">
        <v>1525</v>
      </c>
      <c r="E636" s="1" t="s">
        <v>1526</v>
      </c>
      <c r="F636" s="1" t="s">
        <v>112</v>
      </c>
      <c r="G636" s="1">
        <v>291593</v>
      </c>
    </row>
    <row r="637" spans="1:7"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1527</v>
      </c>
      <c r="D637" s="1" t="s">
        <v>1528</v>
      </c>
      <c r="E637" s="1" t="s">
        <v>1529</v>
      </c>
      <c r="F637" s="1" t="s">
        <v>112</v>
      </c>
      <c r="G637" s="1">
        <v>349885</v>
      </c>
    </row>
    <row r="638" spans="1:7"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8" s="1" t="s">
        <v>1530</v>
      </c>
      <c r="D638" s="1" t="s">
        <v>1531</v>
      </c>
      <c r="E638" s="1" t="s">
        <v>1532</v>
      </c>
      <c r="F638" s="1" t="s">
        <v>112</v>
      </c>
      <c r="G638" s="1">
        <v>120219</v>
      </c>
    </row>
    <row r="639" spans="1:7"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1533</v>
      </c>
      <c r="D639" s="1" t="s">
        <v>548</v>
      </c>
      <c r="E639" s="1" t="s">
        <v>1534</v>
      </c>
      <c r="F639" s="1" t="s">
        <v>112</v>
      </c>
      <c r="G639" s="1">
        <v>167697</v>
      </c>
    </row>
    <row r="640" spans="1:7"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1535</v>
      </c>
      <c r="D640" s="1" t="s">
        <v>361</v>
      </c>
      <c r="E640" s="1" t="s">
        <v>1536</v>
      </c>
      <c r="F640" s="1" t="s">
        <v>112</v>
      </c>
      <c r="G640" s="1">
        <v>234511</v>
      </c>
    </row>
    <row r="641" spans="1:8"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1" s="1" t="s">
        <v>1537</v>
      </c>
      <c r="D641" s="1" t="s">
        <v>1538</v>
      </c>
      <c r="E641" s="1" t="s">
        <v>1539</v>
      </c>
      <c r="F641" s="1" t="s">
        <v>112</v>
      </c>
      <c r="G641" s="1">
        <v>314326</v>
      </c>
    </row>
    <row r="642" spans="1:8"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1540</v>
      </c>
      <c r="D642" s="1" t="s">
        <v>1075</v>
      </c>
      <c r="E642" s="1" t="s">
        <v>1541</v>
      </c>
      <c r="F642" s="1" t="s">
        <v>112</v>
      </c>
      <c r="G642" s="1">
        <v>179831</v>
      </c>
    </row>
    <row r="643" spans="1:8"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1542</v>
      </c>
      <c r="D643" s="1" t="s">
        <v>1543</v>
      </c>
      <c r="E643" s="1" t="s">
        <v>1544</v>
      </c>
      <c r="F643" s="1" t="s">
        <v>112</v>
      </c>
      <c r="G643" s="1">
        <v>194496</v>
      </c>
    </row>
    <row r="644" spans="1:8"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4" s="1" t="s">
        <v>1545</v>
      </c>
      <c r="D644" s="1" t="s">
        <v>1129</v>
      </c>
      <c r="E644" s="1" t="s">
        <v>1546</v>
      </c>
      <c r="F644" s="1" t="s">
        <v>112</v>
      </c>
      <c r="G644" s="1">
        <v>141460</v>
      </c>
    </row>
    <row r="645" spans="1:8"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1547</v>
      </c>
      <c r="D645" s="1" t="s">
        <v>554</v>
      </c>
      <c r="E645" s="1" t="s">
        <v>1548</v>
      </c>
      <c r="F645" s="1" t="s">
        <v>112</v>
      </c>
      <c r="G645" s="1">
        <v>167935</v>
      </c>
    </row>
    <row r="646" spans="1:8"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1549</v>
      </c>
      <c r="D646" s="1" t="s">
        <v>1236</v>
      </c>
      <c r="E646" s="1" t="s">
        <v>1550</v>
      </c>
      <c r="F646" s="1" t="s">
        <v>112</v>
      </c>
      <c r="G646" s="1">
        <v>428012</v>
      </c>
    </row>
    <row r="647" spans="1:8"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7" s="1" t="s">
        <v>1551</v>
      </c>
      <c r="D647" s="1" t="s">
        <v>1552</v>
      </c>
      <c r="E647" s="1" t="s">
        <v>1553</v>
      </c>
      <c r="F647" s="1" t="s">
        <v>112</v>
      </c>
      <c r="G647" s="1">
        <v>180350</v>
      </c>
    </row>
    <row r="648" spans="1:8"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1554</v>
      </c>
      <c r="D648" s="1" t="s">
        <v>973</v>
      </c>
      <c r="E648" s="1" t="s">
        <v>1555</v>
      </c>
      <c r="F648" s="1" t="s">
        <v>112</v>
      </c>
      <c r="G648" s="1">
        <v>283546</v>
      </c>
    </row>
    <row r="649" spans="1:8"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1556</v>
      </c>
      <c r="D649" s="1" t="s">
        <v>1557</v>
      </c>
      <c r="E649" s="1" t="s">
        <v>1558</v>
      </c>
      <c r="F649" s="1" t="s">
        <v>112</v>
      </c>
      <c r="G649" s="1">
        <v>251512</v>
      </c>
    </row>
    <row r="650" spans="1:8"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50" s="1" t="s">
        <v>1559</v>
      </c>
      <c r="D650" s="1" t="s">
        <v>1510</v>
      </c>
      <c r="E650" s="1" t="s">
        <v>1560</v>
      </c>
      <c r="F650" s="1" t="s">
        <v>112</v>
      </c>
      <c r="G650" s="1">
        <v>203602</v>
      </c>
    </row>
    <row r="651" spans="1:8"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1561</v>
      </c>
      <c r="D651" s="1" t="s">
        <v>591</v>
      </c>
      <c r="E651" s="1" t="s">
        <v>1562</v>
      </c>
      <c r="F651" s="1" t="s">
        <v>112</v>
      </c>
      <c r="G651" s="1">
        <v>168151</v>
      </c>
    </row>
    <row r="652" spans="1:8"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1563</v>
      </c>
      <c r="D652" s="1" t="s">
        <v>1564</v>
      </c>
      <c r="E652" s="1" t="s">
        <v>1565</v>
      </c>
      <c r="F652" s="1" t="s">
        <v>112</v>
      </c>
      <c r="G652" s="1">
        <v>229818</v>
      </c>
    </row>
    <row r="653" spans="1:8" x14ac:dyDescent="0.35">
      <c r="A653" s="1" t="str">
        <f t="shared" si="10"/>
        <v>8</v>
      </c>
      <c r="B6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3" s="1" t="s">
        <v>1566</v>
      </c>
      <c r="D653" s="1" t="s">
        <v>1567</v>
      </c>
      <c r="E653" s="1" t="s">
        <v>1568</v>
      </c>
      <c r="F653" s="1" t="s">
        <v>112</v>
      </c>
      <c r="G653" s="1">
        <v>26064</v>
      </c>
    </row>
    <row r="654" spans="1:8"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8"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227</v>
      </c>
      <c r="D655" s="1" t="s">
        <v>112</v>
      </c>
      <c r="E655" s="1" t="s">
        <v>228</v>
      </c>
      <c r="F655" s="1" t="s">
        <v>229</v>
      </c>
      <c r="G655" s="1" t="s">
        <v>230</v>
      </c>
      <c r="H655" s="1" t="s">
        <v>231</v>
      </c>
    </row>
    <row r="656" spans="1:8" x14ac:dyDescent="0.35">
      <c r="A656" s="1" t="str">
        <f t="shared" si="10"/>
        <v>8</v>
      </c>
      <c r="B6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6" s="1" t="s">
        <v>1569</v>
      </c>
      <c r="D656" s="1" t="s">
        <v>112</v>
      </c>
      <c r="E656" s="1" t="s">
        <v>1570</v>
      </c>
      <c r="F656" s="1" t="s">
        <v>1571</v>
      </c>
      <c r="G656" s="1" t="s">
        <v>1572</v>
      </c>
      <c r="H656" s="1" t="s">
        <v>1573</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112</v>
      </c>
    </row>
    <row r="662" spans="1:7"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2" s="1" t="s">
        <v>173</v>
      </c>
      <c r="D662" s="1" t="s">
        <v>110</v>
      </c>
      <c r="E662" s="1" t="s">
        <v>111</v>
      </c>
      <c r="F662" s="1" t="s">
        <v>112</v>
      </c>
      <c r="G662" s="1" t="s">
        <v>113</v>
      </c>
    </row>
    <row r="663" spans="1:7"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1574</v>
      </c>
      <c r="D663" s="1" t="s">
        <v>1575</v>
      </c>
      <c r="E663" s="1" t="s">
        <v>1576</v>
      </c>
      <c r="F663" s="1" t="s">
        <v>112</v>
      </c>
      <c r="G663" s="1">
        <v>92727</v>
      </c>
    </row>
    <row r="664" spans="1:7"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1577</v>
      </c>
      <c r="D664" s="1" t="s">
        <v>1578</v>
      </c>
      <c r="E664" s="1" t="s">
        <v>1579</v>
      </c>
      <c r="F664" s="1" t="s">
        <v>112</v>
      </c>
      <c r="G664" s="1">
        <v>155411</v>
      </c>
    </row>
    <row r="665" spans="1:7"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5" s="1" t="s">
        <v>1580</v>
      </c>
      <c r="D665" s="1" t="s">
        <v>1581</v>
      </c>
      <c r="E665" s="1" t="s">
        <v>1582</v>
      </c>
      <c r="F665" s="1" t="s">
        <v>112</v>
      </c>
      <c r="G665" s="1">
        <v>66425</v>
      </c>
    </row>
    <row r="666" spans="1:7"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1583</v>
      </c>
      <c r="D666" s="1" t="s">
        <v>1044</v>
      </c>
      <c r="E666" s="1" t="s">
        <v>1584</v>
      </c>
      <c r="F666" s="1" t="s">
        <v>112</v>
      </c>
      <c r="G666" s="1">
        <v>128676</v>
      </c>
    </row>
    <row r="667" spans="1:7"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1585</v>
      </c>
      <c r="D667" s="1" t="s">
        <v>1099</v>
      </c>
      <c r="E667" s="1" t="s">
        <v>1586</v>
      </c>
      <c r="F667" s="1" t="s">
        <v>112</v>
      </c>
      <c r="G667" s="1">
        <v>67442</v>
      </c>
    </row>
    <row r="668" spans="1:7"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8" s="1" t="s">
        <v>1587</v>
      </c>
      <c r="D668" s="1" t="s">
        <v>1588</v>
      </c>
      <c r="E668" s="1" t="s">
        <v>1589</v>
      </c>
      <c r="F668" s="1" t="s">
        <v>112</v>
      </c>
      <c r="G668" s="1">
        <v>54031</v>
      </c>
    </row>
    <row r="669" spans="1:7"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1590</v>
      </c>
    </row>
    <row r="670" spans="1:7"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1591</v>
      </c>
    </row>
    <row r="671" spans="1:7"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1" s="1" t="s">
        <v>1592</v>
      </c>
    </row>
    <row r="672" spans="1:7"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1593</v>
      </c>
      <c r="D672" s="1" t="s">
        <v>208</v>
      </c>
      <c r="E672" s="1" t="s">
        <v>1594</v>
      </c>
      <c r="F672" s="1" t="s">
        <v>112</v>
      </c>
      <c r="G672" s="1">
        <v>166420</v>
      </c>
    </row>
    <row r="673" spans="1:8"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1595</v>
      </c>
      <c r="D673" s="1" t="s">
        <v>1596</v>
      </c>
      <c r="E673" s="1" t="s">
        <v>1597</v>
      </c>
      <c r="F673" s="1" t="s">
        <v>112</v>
      </c>
      <c r="G673" s="1">
        <v>111480</v>
      </c>
    </row>
    <row r="674" spans="1:8"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1598</v>
      </c>
      <c r="D674" s="1" t="s">
        <v>1599</v>
      </c>
      <c r="E674" s="1" t="s">
        <v>1600</v>
      </c>
      <c r="F674" s="1" t="s">
        <v>112</v>
      </c>
      <c r="G674" s="1">
        <v>123226</v>
      </c>
    </row>
    <row r="675" spans="1:8"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1601</v>
      </c>
      <c r="D675" s="1" t="s">
        <v>1602</v>
      </c>
      <c r="E675" s="1" t="s">
        <v>1603</v>
      </c>
      <c r="F675" s="1" t="s">
        <v>112</v>
      </c>
      <c r="G675" s="1">
        <v>77608</v>
      </c>
    </row>
    <row r="676" spans="1:8"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1604</v>
      </c>
      <c r="D676" s="1" t="s">
        <v>1605</v>
      </c>
      <c r="E676" s="1" t="s">
        <v>1606</v>
      </c>
      <c r="F676" s="1" t="s">
        <v>112</v>
      </c>
      <c r="G676" s="1">
        <v>10490</v>
      </c>
    </row>
    <row r="677" spans="1:8"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1607</v>
      </c>
      <c r="D677" s="1" t="s">
        <v>1608</v>
      </c>
      <c r="E677" s="1" t="s">
        <v>1609</v>
      </c>
      <c r="F677" s="1" t="s">
        <v>112</v>
      </c>
      <c r="G677" s="1">
        <v>72655</v>
      </c>
    </row>
    <row r="678" spans="1:8"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1610</v>
      </c>
    </row>
    <row r="679" spans="1:8"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1611</v>
      </c>
    </row>
    <row r="680" spans="1:8"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1612</v>
      </c>
    </row>
    <row r="681" spans="1:8"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1613</v>
      </c>
      <c r="D681" s="1">
        <v>0</v>
      </c>
      <c r="E681" s="1">
        <v>0</v>
      </c>
      <c r="F681" s="1" t="s">
        <v>112</v>
      </c>
      <c r="G681" s="1">
        <v>0</v>
      </c>
    </row>
    <row r="682" spans="1:8"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1614</v>
      </c>
      <c r="D682" s="1" t="s">
        <v>1615</v>
      </c>
      <c r="E682" s="1" t="s">
        <v>1616</v>
      </c>
      <c r="F682" s="1" t="s">
        <v>112</v>
      </c>
      <c r="G682" s="1">
        <v>109707</v>
      </c>
    </row>
    <row r="683" spans="1:8"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1617</v>
      </c>
      <c r="D683" s="1" t="s">
        <v>548</v>
      </c>
      <c r="E683" s="1" t="s">
        <v>1618</v>
      </c>
      <c r="F683" s="1" t="s">
        <v>112</v>
      </c>
      <c r="G683" s="1">
        <v>156903</v>
      </c>
    </row>
    <row r="684" spans="1:8"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1619</v>
      </c>
      <c r="D684" s="1" t="s">
        <v>973</v>
      </c>
      <c r="E684" s="1" t="s">
        <v>1620</v>
      </c>
      <c r="F684" s="1" t="s">
        <v>112</v>
      </c>
      <c r="G684" s="1">
        <v>231245</v>
      </c>
    </row>
    <row r="685" spans="1:8"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1621</v>
      </c>
      <c r="D685" s="1" t="s">
        <v>1622</v>
      </c>
      <c r="E685" s="1" t="s">
        <v>1623</v>
      </c>
      <c r="F685" s="1" t="s">
        <v>112</v>
      </c>
      <c r="G685" s="1">
        <v>439606</v>
      </c>
    </row>
    <row r="686" spans="1:8" x14ac:dyDescent="0.35">
      <c r="A686" s="1" t="str">
        <f t="shared" si="10"/>
        <v>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6" s="1" t="s">
        <v>1624</v>
      </c>
    </row>
    <row r="687" spans="1:8"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112</v>
      </c>
    </row>
    <row r="688" spans="1:8"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8" s="1" t="s">
        <v>227</v>
      </c>
      <c r="D688" s="1" t="s">
        <v>112</v>
      </c>
      <c r="E688" s="1" t="s">
        <v>228</v>
      </c>
      <c r="F688" s="1" t="s">
        <v>229</v>
      </c>
      <c r="G688" s="1" t="s">
        <v>230</v>
      </c>
      <c r="H688" s="1" t="s">
        <v>231</v>
      </c>
    </row>
    <row r="689" spans="1:8" x14ac:dyDescent="0.35">
      <c r="A689" s="1" t="str">
        <f t="shared" si="10"/>
        <v>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9" s="1" t="s">
        <v>1625</v>
      </c>
      <c r="D689" s="1" t="s">
        <v>112</v>
      </c>
      <c r="E689" s="1" t="s">
        <v>1626</v>
      </c>
      <c r="F689" s="1" t="s">
        <v>1627</v>
      </c>
      <c r="G689" s="1" t="s">
        <v>1628</v>
      </c>
      <c r="H689" s="1" t="s">
        <v>1629</v>
      </c>
    </row>
    <row r="690" spans="1:8"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8"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8"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8"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8"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8"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8"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8"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8"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8"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8"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8"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8"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8"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8"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B1" activePane="topRight" state="frozen"/>
      <selection pane="topRight" activeCell="T17" sqref="T17"/>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SAC-0.01mg/L</v>
      </c>
      <c r="J4" s="35" t="str">
        <f>'Page de garde'!A16</f>
        <v>SAC-0.1mg/L</v>
      </c>
      <c r="K4" s="35" t="str">
        <f>'Page de garde'!A17</f>
        <v>SAC-1mg/L</v>
      </c>
      <c r="L4" s="35" t="str">
        <f>'Page de garde'!A18</f>
        <v>SAC-10mg/L</v>
      </c>
      <c r="M4" s="35" t="str">
        <f>'Page de garde'!A19</f>
        <v>SAC-100mg/L</v>
      </c>
      <c r="N4" s="3"/>
      <c r="O4" s="36" t="str">
        <f>'Page de garde'!A36</f>
        <v>Testo -30µg/L</v>
      </c>
      <c r="P4" s="36" t="str">
        <f>'Page de garde'!A37</f>
        <v>Testo 30µg/L + EE2 -64ng/L</v>
      </c>
      <c r="Q4" s="36" t="str">
        <f>'Page de garde'!A38</f>
        <v>Testo 30µg/L + FAD-10mg/L</v>
      </c>
      <c r="R4" s="36" t="str">
        <f>'Page de garde'!A39</f>
        <v>SAC-0,01mg/L + Testostérone</v>
      </c>
      <c r="S4" s="36" t="str">
        <f>'Page de garde'!A40</f>
        <v>SAC-0,1mg/L + Testostérone</v>
      </c>
      <c r="T4" s="36" t="str">
        <f>'Page de garde'!A41</f>
        <v>SAC-1mg/L + Testostérone</v>
      </c>
      <c r="U4" s="36" t="str">
        <f>'Page de garde'!A42</f>
        <v>SAC-10mg/L + Testostérone</v>
      </c>
      <c r="V4" s="36" t="str">
        <f>'Page de garde'!A43</f>
        <v>SAC-100mg/L + Testostérone</v>
      </c>
    </row>
    <row r="5" spans="1:22" ht="16.5" x14ac:dyDescent="0.35">
      <c r="A5" s="220" t="s">
        <v>33</v>
      </c>
      <c r="B5" s="73"/>
      <c r="C5" s="13">
        <v>94573.333333333328</v>
      </c>
      <c r="D5" s="32">
        <v>187142</v>
      </c>
      <c r="E5" s="32">
        <v>280237</v>
      </c>
      <c r="F5" s="32">
        <v>853451</v>
      </c>
      <c r="G5" s="32">
        <v>2129117</v>
      </c>
      <c r="H5" s="32">
        <v>4171570.3333333335</v>
      </c>
      <c r="I5" s="32">
        <v>93945.666666666672</v>
      </c>
      <c r="J5" s="16">
        <v>104854.33333333333</v>
      </c>
      <c r="K5" s="13">
        <v>142072.33333333334</v>
      </c>
      <c r="L5" s="13">
        <v>124710.66666666667</v>
      </c>
      <c r="M5" s="13">
        <v>263315</v>
      </c>
      <c r="N5" s="3"/>
      <c r="O5" s="32">
        <v>724233.66666666663</v>
      </c>
      <c r="P5" s="13">
        <v>3923338.3333333335</v>
      </c>
      <c r="Q5" s="13">
        <v>59684.333333333336</v>
      </c>
      <c r="R5" s="4">
        <v>3773219.6666666665</v>
      </c>
      <c r="S5" s="32">
        <v>2571318.3333333335</v>
      </c>
      <c r="T5" s="32">
        <v>1747587.3333333333</v>
      </c>
      <c r="U5" s="32"/>
      <c r="V5" s="32">
        <v>1482686</v>
      </c>
    </row>
    <row r="6" spans="1:22" ht="16.5" x14ac:dyDescent="0.35">
      <c r="A6" s="221"/>
      <c r="B6" s="73">
        <v>274743</v>
      </c>
      <c r="C6" s="13">
        <v>218368.33333333334</v>
      </c>
      <c r="D6" s="32">
        <v>1344831.6666666667</v>
      </c>
      <c r="E6" s="32">
        <v>411458</v>
      </c>
      <c r="F6" s="32">
        <v>2262696</v>
      </c>
      <c r="G6" s="32">
        <v>2429058.3333333335</v>
      </c>
      <c r="H6" s="32">
        <v>3502579.3333333335</v>
      </c>
      <c r="I6" s="32">
        <v>160003.33333333334</v>
      </c>
      <c r="J6" s="16">
        <v>83383</v>
      </c>
      <c r="K6" s="13">
        <v>156081.33333333334</v>
      </c>
      <c r="L6" s="13">
        <v>202989.66666666666</v>
      </c>
      <c r="M6" s="13">
        <v>264778.66666666669</v>
      </c>
      <c r="N6" s="3"/>
      <c r="O6" s="32">
        <v>1986799.6666666667</v>
      </c>
      <c r="P6" s="13">
        <v>3912985</v>
      </c>
      <c r="Q6" s="13">
        <v>94493.666666666672</v>
      </c>
      <c r="R6" s="4">
        <v>3549840.6666666665</v>
      </c>
      <c r="S6" s="32">
        <v>1580626</v>
      </c>
      <c r="T6" s="32">
        <v>1241534</v>
      </c>
      <c r="U6" s="32">
        <v>2566581.6666666665</v>
      </c>
      <c r="V6" s="32">
        <v>2925703</v>
      </c>
    </row>
    <row r="7" spans="1:22" ht="16.5" x14ac:dyDescent="0.35">
      <c r="A7" s="221"/>
      <c r="B7" s="73">
        <v>249731.66666666666</v>
      </c>
      <c r="C7" s="13">
        <v>138229.66666666666</v>
      </c>
      <c r="D7" s="32">
        <v>78826.666666666672</v>
      </c>
      <c r="E7" s="32">
        <v>1014521.6666666666</v>
      </c>
      <c r="F7" s="32">
        <v>999503.33333333337</v>
      </c>
      <c r="G7" s="32">
        <v>3440083</v>
      </c>
      <c r="H7" s="32">
        <v>3891142.5</v>
      </c>
      <c r="I7" s="32">
        <v>253899</v>
      </c>
      <c r="J7" s="16"/>
      <c r="K7" s="13">
        <v>277923</v>
      </c>
      <c r="L7" s="13">
        <v>362567.66666666669</v>
      </c>
      <c r="M7" s="13">
        <v>86281.666666666672</v>
      </c>
      <c r="N7" s="3"/>
      <c r="O7" s="32">
        <v>3366073</v>
      </c>
      <c r="P7" s="13">
        <v>4483711.333333333</v>
      </c>
      <c r="Q7" s="13">
        <v>59223</v>
      </c>
      <c r="R7" s="4">
        <v>1648810.6666666667</v>
      </c>
      <c r="S7" s="32">
        <v>406166</v>
      </c>
      <c r="T7" s="32">
        <v>926552.66666666663</v>
      </c>
      <c r="U7" s="32">
        <v>1869637.3333333333</v>
      </c>
      <c r="V7" s="32">
        <v>679561</v>
      </c>
    </row>
    <row r="8" spans="1:22" ht="16.5" x14ac:dyDescent="0.35">
      <c r="A8" s="221"/>
      <c r="B8" s="73">
        <v>145771</v>
      </c>
      <c r="C8" s="13">
        <v>171705.33333333334</v>
      </c>
      <c r="D8" s="32">
        <v>191792.33333333334</v>
      </c>
      <c r="E8" s="32">
        <v>696836</v>
      </c>
      <c r="F8" s="32">
        <v>3496688.6666666665</v>
      </c>
      <c r="G8" s="32">
        <v>3562422</v>
      </c>
      <c r="H8" s="32">
        <v>3758107.6666666665</v>
      </c>
      <c r="I8" s="32">
        <v>238844.66666666666</v>
      </c>
      <c r="J8" s="16">
        <v>133708.66666666666</v>
      </c>
      <c r="K8" s="13">
        <v>233667.66666666666</v>
      </c>
      <c r="L8" s="13">
        <v>3417.6666666666665</v>
      </c>
      <c r="M8" s="13">
        <v>147790</v>
      </c>
      <c r="N8" s="3"/>
      <c r="O8" s="32">
        <v>1698523.6666666667</v>
      </c>
      <c r="P8" s="13">
        <v>2204854</v>
      </c>
      <c r="Q8" s="13">
        <v>178872</v>
      </c>
      <c r="R8" s="4">
        <v>872622.33333333337</v>
      </c>
      <c r="S8" s="32">
        <v>862239.66666666663</v>
      </c>
      <c r="T8" s="32">
        <v>1954794.3333333333</v>
      </c>
      <c r="U8" s="32">
        <v>1315191.3333333333</v>
      </c>
      <c r="V8" s="32">
        <v>331853.33333333331</v>
      </c>
    </row>
    <row r="9" spans="1:22" ht="16.5" x14ac:dyDescent="0.35">
      <c r="A9" s="221"/>
      <c r="B9" s="73">
        <v>23857.666666666668</v>
      </c>
      <c r="C9" s="13">
        <v>260272.66666666666</v>
      </c>
      <c r="D9" s="32">
        <v>56980.333333333336</v>
      </c>
      <c r="E9" s="32">
        <v>799556.66666666663</v>
      </c>
      <c r="F9" s="32">
        <v>1513725</v>
      </c>
      <c r="G9" s="32">
        <v>2736780</v>
      </c>
      <c r="H9" s="32">
        <v>4961775</v>
      </c>
      <c r="I9" s="32">
        <v>171929</v>
      </c>
      <c r="J9" s="16">
        <v>53584.333333333336</v>
      </c>
      <c r="K9" s="13">
        <v>68603</v>
      </c>
      <c r="L9" s="13">
        <v>298968.66666666669</v>
      </c>
      <c r="M9" s="13">
        <v>111516.33333333333</v>
      </c>
      <c r="N9" s="3"/>
      <c r="O9" s="32">
        <v>192722.33333333334</v>
      </c>
      <c r="P9" s="13">
        <v>4702836.666666667</v>
      </c>
      <c r="Q9" s="13">
        <v>152707</v>
      </c>
      <c r="R9" s="4">
        <v>2738301.3333333335</v>
      </c>
      <c r="S9" s="32">
        <v>603777</v>
      </c>
      <c r="T9" s="32">
        <v>1975472.6666666667</v>
      </c>
      <c r="U9" s="32">
        <v>2884714</v>
      </c>
      <c r="V9" s="32">
        <v>1168483</v>
      </c>
    </row>
    <row r="10" spans="1:22" ht="16.5" x14ac:dyDescent="0.35">
      <c r="A10" s="221"/>
      <c r="B10" s="73">
        <v>61155</v>
      </c>
      <c r="C10" s="13">
        <v>215109.33333333334</v>
      </c>
      <c r="D10" s="32"/>
      <c r="E10" s="32">
        <v>163067.66666666666</v>
      </c>
      <c r="F10" s="32">
        <v>2032301.6666666667</v>
      </c>
      <c r="G10" s="32">
        <v>4106169</v>
      </c>
      <c r="H10" s="32">
        <v>4917830.666666667</v>
      </c>
      <c r="I10" s="32">
        <v>258765.66666666666</v>
      </c>
      <c r="J10" s="16"/>
      <c r="K10" s="13">
        <v>642335.66666666663</v>
      </c>
      <c r="L10" s="13">
        <v>182462.66666666666</v>
      </c>
      <c r="M10" s="13">
        <v>172267.66666666666</v>
      </c>
      <c r="N10" s="3"/>
      <c r="O10" s="32">
        <v>1376382.3333333333</v>
      </c>
      <c r="P10" s="13">
        <v>3265714</v>
      </c>
      <c r="Q10" s="13">
        <v>266372.33333333331</v>
      </c>
      <c r="R10" s="4">
        <v>169477.66666666666</v>
      </c>
      <c r="S10" s="32">
        <v>2545903.3333333335</v>
      </c>
      <c r="T10" s="32">
        <v>2524958.6666666665</v>
      </c>
      <c r="U10" s="32">
        <v>944678.33333333337</v>
      </c>
      <c r="V10" s="32">
        <v>1753233</v>
      </c>
    </row>
    <row r="11" spans="1:22" ht="16.5" x14ac:dyDescent="0.35">
      <c r="A11" s="221"/>
      <c r="B11" s="73">
        <v>440</v>
      </c>
      <c r="C11" s="13">
        <v>85568.333333333328</v>
      </c>
      <c r="D11" s="32">
        <v>144509</v>
      </c>
      <c r="E11" s="32">
        <v>994283.33333333337</v>
      </c>
      <c r="F11" s="32">
        <v>2373686.3333333335</v>
      </c>
      <c r="G11" s="32">
        <v>3742541.6666666665</v>
      </c>
      <c r="H11" s="32">
        <v>4126154.6666666665</v>
      </c>
      <c r="I11" s="32">
        <v>246220</v>
      </c>
      <c r="J11" s="16">
        <v>88870</v>
      </c>
      <c r="K11" s="13"/>
      <c r="L11" s="13"/>
      <c r="M11" s="13">
        <v>239933.33333333334</v>
      </c>
      <c r="N11" s="3"/>
      <c r="O11" s="32">
        <v>1717795.6666666667</v>
      </c>
      <c r="P11" s="13">
        <v>4801562.666666667</v>
      </c>
      <c r="Q11" s="13">
        <v>70946</v>
      </c>
      <c r="R11" s="4">
        <v>497639</v>
      </c>
      <c r="S11" s="32">
        <v>1070189.3333333333</v>
      </c>
      <c r="T11" s="32">
        <v>2491410.6666666665</v>
      </c>
      <c r="U11" s="32">
        <v>2420176</v>
      </c>
      <c r="V11" s="32">
        <v>2220042</v>
      </c>
    </row>
    <row r="12" spans="1:22" ht="16.5" x14ac:dyDescent="0.35">
      <c r="A12" s="221"/>
      <c r="B12" s="73">
        <v>189593.33333333334</v>
      </c>
      <c r="C12" s="13">
        <v>202506</v>
      </c>
      <c r="D12" s="32">
        <v>61155</v>
      </c>
      <c r="E12" s="32">
        <v>74785.5</v>
      </c>
      <c r="F12" s="32">
        <v>2684284.6666666665</v>
      </c>
      <c r="G12" s="32"/>
      <c r="H12" s="32">
        <v>2066065.6666666667</v>
      </c>
      <c r="I12" s="32">
        <v>141344.33333333334</v>
      </c>
      <c r="J12" s="16">
        <v>335425.5</v>
      </c>
      <c r="K12" s="13">
        <v>31139.666666666668</v>
      </c>
      <c r="L12" s="13">
        <v>109829.33333333333</v>
      </c>
      <c r="M12" s="13">
        <v>100333.66666666667</v>
      </c>
      <c r="N12" s="3"/>
      <c r="O12" s="32"/>
      <c r="P12" s="13">
        <v>2435663.3333333335</v>
      </c>
      <c r="Q12" s="13">
        <v>137674.66666666666</v>
      </c>
      <c r="R12" s="4">
        <v>2859861.3333333335</v>
      </c>
      <c r="S12" s="32">
        <v>132786</v>
      </c>
      <c r="T12" s="32">
        <v>2584289</v>
      </c>
      <c r="U12" s="32">
        <v>197906.33333333334</v>
      </c>
      <c r="V12" s="32">
        <v>2766528.3333333335</v>
      </c>
    </row>
    <row r="13" spans="1:22" ht="16.5" x14ac:dyDescent="0.35">
      <c r="A13" s="221"/>
      <c r="B13" s="14"/>
      <c r="C13" s="13"/>
      <c r="D13" s="16"/>
      <c r="E13" s="16"/>
      <c r="F13" s="16"/>
      <c r="G13" s="16"/>
      <c r="H13" s="16"/>
      <c r="I13" s="32"/>
      <c r="J13" s="16"/>
      <c r="K13" s="13"/>
      <c r="L13" s="13"/>
      <c r="M13" s="13"/>
      <c r="N13" s="3"/>
      <c r="O13" s="32">
        <v>2719721.3333333335</v>
      </c>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2314600.3333333335</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2557252</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2630339.3333333335</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2193357.5</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1415006</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311802.33333333331</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1213422.6666666667</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SAC-0.01mg/L</v>
      </c>
      <c r="J22" s="68" t="str">
        <f t="shared" si="0"/>
        <v>SAC-0.1mg/L</v>
      </c>
      <c r="K22" s="68" t="str">
        <f t="shared" si="0"/>
        <v>SAC-1mg/L</v>
      </c>
      <c r="L22" s="68" t="str">
        <f t="shared" si="0"/>
        <v>SAC-10mg/L</v>
      </c>
      <c r="M22" s="68" t="str">
        <f t="shared" si="0"/>
        <v>SAC-100mg/L</v>
      </c>
      <c r="N22" s="68" t="s">
        <v>47</v>
      </c>
      <c r="O22" s="68" t="str">
        <f t="shared" ref="O22:V22" si="1">O4</f>
        <v>Testo -30µg/L</v>
      </c>
      <c r="P22" s="68" t="str">
        <f t="shared" si="1"/>
        <v>Testo 30µg/L + EE2 -64ng/L</v>
      </c>
      <c r="Q22" s="68" t="str">
        <f t="shared" si="1"/>
        <v>Testo 30µg/L + FAD-10mg/L</v>
      </c>
      <c r="R22" s="68" t="str">
        <f t="shared" si="1"/>
        <v>SAC-0,01mg/L + Testostérone</v>
      </c>
      <c r="S22" s="68" t="str">
        <f t="shared" si="1"/>
        <v>SAC-0,1mg/L + Testostérone</v>
      </c>
      <c r="T22" s="68" t="str">
        <f t="shared" si="1"/>
        <v>SAC-1mg/L + Testostérone</v>
      </c>
      <c r="U22" s="68" t="str">
        <f t="shared" si="1"/>
        <v>SAC-10mg/L + Testostérone</v>
      </c>
      <c r="V22" s="68" t="str">
        <f t="shared" si="1"/>
        <v>SAC-100mg/L + Testostérone</v>
      </c>
    </row>
    <row r="23" spans="1:22" x14ac:dyDescent="0.35">
      <c r="A23" s="5" t="s">
        <v>0</v>
      </c>
      <c r="B23" s="5">
        <f t="shared" ref="B23:M23" si="2">AVERAGE(B5:B20)</f>
        <v>135041.66666666666</v>
      </c>
      <c r="C23" s="5">
        <f t="shared" si="2"/>
        <v>173291.625</v>
      </c>
      <c r="D23" s="5">
        <f t="shared" si="2"/>
        <v>295033.85714285716</v>
      </c>
      <c r="E23" s="5">
        <f t="shared" si="2"/>
        <v>554343.22916666663</v>
      </c>
      <c r="F23" s="5">
        <f t="shared" si="2"/>
        <v>2027042.0833333333</v>
      </c>
      <c r="G23" s="5">
        <f t="shared" si="2"/>
        <v>3163738.714285715</v>
      </c>
      <c r="H23" s="5">
        <f t="shared" si="2"/>
        <v>3924403.2291666674</v>
      </c>
      <c r="I23" s="5">
        <f t="shared" si="2"/>
        <v>195618.95833333331</v>
      </c>
      <c r="J23" s="5">
        <f t="shared" si="2"/>
        <v>133304.30555555553</v>
      </c>
      <c r="K23" s="5">
        <f t="shared" si="2"/>
        <v>221688.9523809524</v>
      </c>
      <c r="L23" s="5">
        <f t="shared" si="2"/>
        <v>183563.76190476189</v>
      </c>
      <c r="M23" s="5">
        <f t="shared" si="2"/>
        <v>173277.04166666669</v>
      </c>
      <c r="N23" s="5" t="s">
        <v>0</v>
      </c>
      <c r="O23" s="5">
        <f t="shared" ref="O23:V23" si="3">AVERAGE(O5:O20)</f>
        <v>1761202.1222222222</v>
      </c>
      <c r="P23" s="5">
        <f t="shared" si="3"/>
        <v>3716333.166666667</v>
      </c>
      <c r="Q23" s="5">
        <f t="shared" si="3"/>
        <v>127496.62499999999</v>
      </c>
      <c r="R23" s="5">
        <f t="shared" si="3"/>
        <v>2013721.5833333335</v>
      </c>
      <c r="S23" s="5">
        <f t="shared" si="3"/>
        <v>1221625.7083333335</v>
      </c>
      <c r="T23" s="5">
        <f t="shared" si="3"/>
        <v>1930824.9166666665</v>
      </c>
      <c r="U23" s="5">
        <f t="shared" si="3"/>
        <v>1742697.857142857</v>
      </c>
      <c r="V23" s="5">
        <f t="shared" si="3"/>
        <v>1666011.2083333333</v>
      </c>
    </row>
    <row r="24" spans="1:22" x14ac:dyDescent="0.35">
      <c r="A24" s="3" t="s">
        <v>1</v>
      </c>
      <c r="B24" s="3">
        <f t="shared" ref="B24:M24" si="4">STDEV(B5:B20)</f>
        <v>109316.04914311193</v>
      </c>
      <c r="C24" s="3">
        <f t="shared" si="4"/>
        <v>62476.983496384833</v>
      </c>
      <c r="D24" s="3">
        <f t="shared" si="4"/>
        <v>466395.21649299783</v>
      </c>
      <c r="E24" s="3">
        <f t="shared" si="4"/>
        <v>371169.56160986365</v>
      </c>
      <c r="F24" s="3">
        <f t="shared" si="4"/>
        <v>883515.53488146525</v>
      </c>
      <c r="G24" s="3">
        <f t="shared" si="4"/>
        <v>736092.53553291084</v>
      </c>
      <c r="H24" s="3">
        <f t="shared" si="4"/>
        <v>912214.56356976624</v>
      </c>
      <c r="I24" s="3">
        <f t="shared" si="4"/>
        <v>62020.592589276413</v>
      </c>
      <c r="J24" s="3">
        <f t="shared" si="4"/>
        <v>102454.24334861865</v>
      </c>
      <c r="K24" s="3">
        <f t="shared" si="4"/>
        <v>204384.00163874793</v>
      </c>
      <c r="L24" s="3">
        <f t="shared" si="4"/>
        <v>120479.82995440057</v>
      </c>
      <c r="M24" s="3">
        <f t="shared" si="4"/>
        <v>73946.280684651399</v>
      </c>
      <c r="N24" s="3" t="s">
        <v>1</v>
      </c>
      <c r="O24" s="3">
        <f t="shared" ref="O24:V24" si="5">STDEV(O5:O20)</f>
        <v>911724.10671782889</v>
      </c>
      <c r="P24" s="3">
        <f t="shared" si="5"/>
        <v>996353.83008561947</v>
      </c>
      <c r="Q24" s="3">
        <f t="shared" si="5"/>
        <v>71924.573865019775</v>
      </c>
      <c r="R24" s="3">
        <f t="shared" si="5"/>
        <v>1405675.8991001132</v>
      </c>
      <c r="S24" s="3">
        <f t="shared" si="5"/>
        <v>932633.55189465126</v>
      </c>
      <c r="T24" s="3">
        <f t="shared" si="5"/>
        <v>611099.16083109519</v>
      </c>
      <c r="U24" s="3">
        <f t="shared" si="5"/>
        <v>971601.21338618814</v>
      </c>
      <c r="V24" s="3">
        <f t="shared" si="5"/>
        <v>937071.64008111798</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SAC-0.01mg/L</v>
      </c>
      <c r="J27" s="35" t="str">
        <f t="shared" si="6"/>
        <v>SAC-0.1mg/L</v>
      </c>
      <c r="K27" s="35" t="str">
        <f t="shared" si="6"/>
        <v>SAC-1mg/L</v>
      </c>
      <c r="L27" s="35" t="str">
        <f t="shared" si="6"/>
        <v>SAC-10mg/L</v>
      </c>
      <c r="M27" s="35" t="str">
        <f t="shared" si="6"/>
        <v>SAC-100mg/L</v>
      </c>
      <c r="N27" s="3"/>
      <c r="O27" s="36" t="str">
        <f t="shared" ref="O27:V27" si="7">O4</f>
        <v>Testo -30µg/L</v>
      </c>
      <c r="P27" s="36" t="str">
        <f t="shared" si="7"/>
        <v>Testo 30µg/L + EE2 -64ng/L</v>
      </c>
      <c r="Q27" s="36" t="str">
        <f t="shared" si="7"/>
        <v>Testo 30µg/L + FAD-10mg/L</v>
      </c>
      <c r="R27" s="36" t="str">
        <f t="shared" si="7"/>
        <v>SAC-0,01mg/L + Testostérone</v>
      </c>
      <c r="S27" s="36" t="str">
        <f t="shared" si="7"/>
        <v>SAC-0,1mg/L + Testostérone</v>
      </c>
      <c r="T27" s="36" t="str">
        <f t="shared" si="7"/>
        <v>SAC-1mg/L + Testostérone</v>
      </c>
      <c r="U27" s="36" t="str">
        <f t="shared" si="7"/>
        <v>SAC-10mg/L + Testostérone</v>
      </c>
      <c r="V27" s="36" t="str">
        <f t="shared" si="7"/>
        <v>SAC-100mg/L + Testostérone</v>
      </c>
    </row>
    <row r="28" spans="1:22" x14ac:dyDescent="0.35">
      <c r="A28" s="222" t="s">
        <v>34</v>
      </c>
      <c r="B28" s="11" t="str">
        <f t="shared" ref="B28:M28" si="8">IF(B5="","",(B5/$O$23))</f>
        <v/>
      </c>
      <c r="C28" s="11">
        <f t="shared" si="8"/>
        <v>5.3698171345605727E-2</v>
      </c>
      <c r="D28" s="11">
        <f t="shared" si="8"/>
        <v>0.10625810498335699</v>
      </c>
      <c r="E28" s="11">
        <f t="shared" si="8"/>
        <v>0.15911688753043685</v>
      </c>
      <c r="F28" s="11">
        <f t="shared" si="8"/>
        <v>0.48458435816733281</v>
      </c>
      <c r="G28" s="11">
        <f t="shared" si="8"/>
        <v>1.2088998605756596</v>
      </c>
      <c r="H28" s="11">
        <f t="shared" si="8"/>
        <v>2.3685926110909943</v>
      </c>
      <c r="I28" s="11">
        <f t="shared" si="8"/>
        <v>5.3341785977483021E-2</v>
      </c>
      <c r="J28" s="11">
        <f t="shared" si="8"/>
        <v>5.9535661472535507E-2</v>
      </c>
      <c r="K28" s="11">
        <f t="shared" si="8"/>
        <v>8.0667818611342312E-2</v>
      </c>
      <c r="L28" s="11">
        <f t="shared" si="8"/>
        <v>7.0809968426174277E-2</v>
      </c>
      <c r="M28" s="11">
        <f t="shared" si="8"/>
        <v>0.14950867744115509</v>
      </c>
      <c r="N28" s="6"/>
      <c r="O28" s="11">
        <f t="shared" ref="O28:V28" si="9">IF(O5="","",(O5/$O$23))</f>
        <v>0.41121553144215744</v>
      </c>
      <c r="P28" s="11">
        <f t="shared" si="9"/>
        <v>2.2276479705708079</v>
      </c>
      <c r="Q28" s="11">
        <f t="shared" si="9"/>
        <v>3.3888406435727984E-2</v>
      </c>
      <c r="R28" s="11">
        <f t="shared" si="9"/>
        <v>2.1424114921606794</v>
      </c>
      <c r="S28" s="11">
        <f t="shared" si="9"/>
        <v>1.4599791249904557</v>
      </c>
      <c r="T28" s="11">
        <f t="shared" si="9"/>
        <v>0.99226960454049973</v>
      </c>
      <c r="U28" s="11" t="str">
        <f t="shared" si="9"/>
        <v/>
      </c>
      <c r="V28" s="11">
        <f t="shared" si="9"/>
        <v>0.84186021654868304</v>
      </c>
    </row>
    <row r="29" spans="1:22" x14ac:dyDescent="0.35">
      <c r="A29" s="223"/>
      <c r="B29" s="11">
        <f t="shared" ref="B29:M29" si="10">IF(B6="","",(B6/$O$23))</f>
        <v>0.15599742728752738</v>
      </c>
      <c r="C29" s="11">
        <f t="shared" si="10"/>
        <v>0.1239882297312951</v>
      </c>
      <c r="D29" s="11">
        <f t="shared" si="10"/>
        <v>0.76358735303464542</v>
      </c>
      <c r="E29" s="11">
        <f t="shared" si="10"/>
        <v>0.23362338416946543</v>
      </c>
      <c r="F29" s="11">
        <f t="shared" si="10"/>
        <v>1.2847452154696537</v>
      </c>
      <c r="G29" s="11">
        <f t="shared" si="10"/>
        <v>1.3792047503715441</v>
      </c>
      <c r="H29" s="11">
        <f t="shared" si="10"/>
        <v>1.9887435343956454</v>
      </c>
      <c r="I29" s="11">
        <f t="shared" si="10"/>
        <v>9.0848932847893027E-2</v>
      </c>
      <c r="J29" s="11">
        <f t="shared" si="10"/>
        <v>4.7344367206865669E-2</v>
      </c>
      <c r="K29" s="11">
        <f t="shared" si="10"/>
        <v>8.8622044774960565E-2</v>
      </c>
      <c r="L29" s="11">
        <f t="shared" si="10"/>
        <v>0.11525631505062095</v>
      </c>
      <c r="M29" s="11">
        <f t="shared" si="10"/>
        <v>0.1503397385943292</v>
      </c>
      <c r="N29" s="6"/>
      <c r="O29" s="11">
        <f t="shared" ref="O29:V29" si="11">IF(O6="","",(O6/$O$23))</f>
        <v>1.1280929324340092</v>
      </c>
      <c r="P29" s="11">
        <f t="shared" si="11"/>
        <v>2.2217694100111207</v>
      </c>
      <c r="Q29" s="11">
        <f t="shared" si="11"/>
        <v>5.3652937090172208E-2</v>
      </c>
      <c r="R29" s="11">
        <f t="shared" si="11"/>
        <v>2.0155782359537495</v>
      </c>
      <c r="S29" s="11">
        <f t="shared" si="11"/>
        <v>0.89746996103185606</v>
      </c>
      <c r="T29" s="11">
        <f t="shared" si="11"/>
        <v>0.704935557557401</v>
      </c>
      <c r="U29" s="11">
        <f t="shared" si="11"/>
        <v>1.4572896740711652</v>
      </c>
      <c r="V29" s="11">
        <f t="shared" si="11"/>
        <v>1.6611966128614768</v>
      </c>
    </row>
    <row r="30" spans="1:22" x14ac:dyDescent="0.35">
      <c r="A30" s="223"/>
      <c r="B30" s="11">
        <f t="shared" ref="B30:M30" si="12">IF(B7="","",(B7/$O$23))</f>
        <v>0.1417961422574055</v>
      </c>
      <c r="C30" s="11">
        <f t="shared" si="12"/>
        <v>7.8485975529176272E-2</v>
      </c>
      <c r="D30" s="11">
        <f t="shared" si="12"/>
        <v>4.4757308472468789E-2</v>
      </c>
      <c r="E30" s="11">
        <f t="shared" si="12"/>
        <v>0.57603931647923479</v>
      </c>
      <c r="F30" s="11">
        <f t="shared" si="12"/>
        <v>0.56751199690368059</v>
      </c>
      <c r="G30" s="11">
        <f t="shared" si="12"/>
        <v>1.9532584912283808</v>
      </c>
      <c r="H30" s="11">
        <f t="shared" si="12"/>
        <v>2.2093673695386506</v>
      </c>
      <c r="I30" s="11">
        <f t="shared" si="12"/>
        <v>0.14416232912531315</v>
      </c>
      <c r="J30" s="11" t="str">
        <f t="shared" si="12"/>
        <v/>
      </c>
      <c r="K30" s="11">
        <f t="shared" si="12"/>
        <v>0.15780301221152668</v>
      </c>
      <c r="L30" s="11">
        <f t="shared" si="12"/>
        <v>0.20586374618331241</v>
      </c>
      <c r="M30" s="11">
        <f t="shared" si="12"/>
        <v>4.8990212751844481E-2</v>
      </c>
      <c r="N30" s="6"/>
      <c r="O30" s="11">
        <f t="shared" ref="O30:V30" si="13">IF(O7="","",(O7/$O$23))</f>
        <v>1.9112360571953031</v>
      </c>
      <c r="P30" s="11">
        <f t="shared" si="13"/>
        <v>2.5458243984375546</v>
      </c>
      <c r="Q30" s="11">
        <f t="shared" si="13"/>
        <v>3.3626464136481127E-2</v>
      </c>
      <c r="R30" s="11">
        <f t="shared" si="13"/>
        <v>0.93618480574294116</v>
      </c>
      <c r="S30" s="11">
        <f t="shared" si="13"/>
        <v>0.23061861831481001</v>
      </c>
      <c r="T30" s="11">
        <f t="shared" si="13"/>
        <v>0.52609104598260159</v>
      </c>
      <c r="U30" s="11">
        <f t="shared" si="13"/>
        <v>1.0615688623939945</v>
      </c>
      <c r="V30" s="11">
        <f t="shared" si="13"/>
        <v>0.38585065928864209</v>
      </c>
    </row>
    <row r="31" spans="1:22" x14ac:dyDescent="0.35">
      <c r="A31" s="223"/>
      <c r="B31" s="11">
        <f t="shared" ref="B31:M31" si="14">IF(B8="","",(B8/$O$23))</f>
        <v>8.2767899357327215E-2</v>
      </c>
      <c r="C31" s="11">
        <f t="shared" si="14"/>
        <v>9.7493258250609907E-2</v>
      </c>
      <c r="D31" s="11">
        <f t="shared" si="14"/>
        <v>0.10889853635387209</v>
      </c>
      <c r="E31" s="11">
        <f t="shared" si="14"/>
        <v>0.39565930066036781</v>
      </c>
      <c r="F31" s="11">
        <f t="shared" si="14"/>
        <v>1.9853988491989036</v>
      </c>
      <c r="G31" s="11">
        <f t="shared" si="14"/>
        <v>2.0227218415482389</v>
      </c>
      <c r="H31" s="11">
        <f t="shared" si="14"/>
        <v>2.1338309892136742</v>
      </c>
      <c r="I31" s="11">
        <f t="shared" si="14"/>
        <v>0.13561456896571358</v>
      </c>
      <c r="J31" s="11">
        <f t="shared" si="14"/>
        <v>7.591897884949049E-2</v>
      </c>
      <c r="K31" s="11">
        <f t="shared" si="14"/>
        <v>0.13267509942120279</v>
      </c>
      <c r="L31" s="11">
        <f t="shared" si="14"/>
        <v>1.9405306316315225E-3</v>
      </c>
      <c r="M31" s="11">
        <f t="shared" si="14"/>
        <v>8.3914275445866396E-2</v>
      </c>
      <c r="N31" s="6"/>
      <c r="O31" s="11">
        <f t="shared" ref="O31:V31" si="15">IF(O8="","",(O8/$O$23))</f>
        <v>0.96441154892746217</v>
      </c>
      <c r="P31" s="11">
        <f t="shared" si="15"/>
        <v>1.2519028748489094</v>
      </c>
      <c r="Q31" s="11">
        <f t="shared" si="15"/>
        <v>0.10156244859295631</v>
      </c>
      <c r="R31" s="11">
        <f t="shared" si="15"/>
        <v>0.49546972623011015</v>
      </c>
      <c r="S31" s="11">
        <f t="shared" si="15"/>
        <v>0.48957451037971911</v>
      </c>
      <c r="T31" s="11">
        <f t="shared" si="15"/>
        <v>1.1099204961590912</v>
      </c>
      <c r="U31" s="11">
        <f t="shared" si="15"/>
        <v>0.74675774957270191</v>
      </c>
      <c r="V31" s="11">
        <f t="shared" si="15"/>
        <v>0.18842433196401817</v>
      </c>
    </row>
    <row r="32" spans="1:22" x14ac:dyDescent="0.35">
      <c r="A32" s="223"/>
      <c r="B32" s="11">
        <f t="shared" ref="B32:M32" si="16">IF(B9="","",(B9/$O$23))</f>
        <v>1.3546240017337655E-2</v>
      </c>
      <c r="C32" s="11">
        <f t="shared" si="16"/>
        <v>0.14778125882466225</v>
      </c>
      <c r="D32" s="11">
        <f t="shared" si="16"/>
        <v>3.2353091456327331E-2</v>
      </c>
      <c r="E32" s="11">
        <f t="shared" si="16"/>
        <v>0.45398347899888658</v>
      </c>
      <c r="F32" s="11">
        <f t="shared" si="16"/>
        <v>0.85948397455371883</v>
      </c>
      <c r="G32" s="11">
        <f t="shared" si="16"/>
        <v>1.55392726676188</v>
      </c>
      <c r="H32" s="11">
        <f t="shared" si="16"/>
        <v>2.8172660805901191</v>
      </c>
      <c r="I32" s="11">
        <f t="shared" si="16"/>
        <v>9.762025484222453E-2</v>
      </c>
      <c r="J32" s="11">
        <f t="shared" si="16"/>
        <v>3.0424863028056387E-2</v>
      </c>
      <c r="K32" s="11">
        <f t="shared" si="16"/>
        <v>3.8952371868277776E-2</v>
      </c>
      <c r="L32" s="11">
        <f t="shared" si="16"/>
        <v>0.16975261549732784</v>
      </c>
      <c r="M32" s="11">
        <f t="shared" si="16"/>
        <v>6.3318305108913897E-2</v>
      </c>
      <c r="N32" s="6"/>
      <c r="O32" s="11">
        <f t="shared" ref="O32:V32" si="17">IF(O9="","",(O9/$O$23))</f>
        <v>0.1094265847750417</v>
      </c>
      <c r="P32" s="11">
        <f t="shared" si="17"/>
        <v>2.670242448227802</v>
      </c>
      <c r="Q32" s="11">
        <f t="shared" si="17"/>
        <v>8.6706118550050199E-2</v>
      </c>
      <c r="R32" s="11">
        <f t="shared" si="17"/>
        <v>1.5547910707024599</v>
      </c>
      <c r="S32" s="11">
        <f t="shared" si="17"/>
        <v>0.3428209586973332</v>
      </c>
      <c r="T32" s="11">
        <f t="shared" si="17"/>
        <v>1.1216615297817638</v>
      </c>
      <c r="U32" s="11">
        <f t="shared" si="17"/>
        <v>1.6379233045439274</v>
      </c>
      <c r="V32" s="11">
        <f t="shared" si="17"/>
        <v>0.66345763797152923</v>
      </c>
    </row>
    <row r="33" spans="1:22" x14ac:dyDescent="0.35">
      <c r="A33" s="223"/>
      <c r="B33" s="11">
        <f t="shared" ref="B33:M33" si="18">IF(B10="","",(B10/$O$23))</f>
        <v>3.4723442146910879E-2</v>
      </c>
      <c r="C33" s="11">
        <f t="shared" si="18"/>
        <v>0.12213778908119645</v>
      </c>
      <c r="D33" s="11" t="str">
        <f t="shared" si="18"/>
        <v/>
      </c>
      <c r="E33" s="11">
        <f t="shared" si="18"/>
        <v>9.2588842932413498E-2</v>
      </c>
      <c r="F33" s="11">
        <f t="shared" si="18"/>
        <v>1.1539286950792342</v>
      </c>
      <c r="G33" s="11">
        <f t="shared" si="18"/>
        <v>2.3314581263500762</v>
      </c>
      <c r="H33" s="11">
        <f t="shared" si="18"/>
        <v>2.7923147517341866</v>
      </c>
      <c r="I33" s="11">
        <f t="shared" si="18"/>
        <v>0.14692559326476698</v>
      </c>
      <c r="J33" s="11" t="str">
        <f t="shared" si="18"/>
        <v/>
      </c>
      <c r="K33" s="11">
        <f t="shared" si="18"/>
        <v>0.36471433832715938</v>
      </c>
      <c r="L33" s="11">
        <f t="shared" si="18"/>
        <v>0.1036012075868054</v>
      </c>
      <c r="M33" s="11">
        <f t="shared" si="18"/>
        <v>9.7812547743983777E-2</v>
      </c>
      <c r="N33" s="6"/>
      <c r="O33" s="11">
        <f t="shared" ref="O33:V33" si="19">IF(O10="","",(O10/$O$23))</f>
        <v>0.78150163230365799</v>
      </c>
      <c r="P33" s="11">
        <f t="shared" si="19"/>
        <v>1.8542528190230876</v>
      </c>
      <c r="Q33" s="11">
        <f t="shared" si="19"/>
        <v>0.15124461296766675</v>
      </c>
      <c r="R33" s="11">
        <f t="shared" si="19"/>
        <v>9.622840248047497E-2</v>
      </c>
      <c r="S33" s="11">
        <f t="shared" si="19"/>
        <v>1.4455486404484927</v>
      </c>
      <c r="T33" s="11">
        <f t="shared" si="19"/>
        <v>1.4336563843568184</v>
      </c>
      <c r="U33" s="11">
        <f t="shared" si="19"/>
        <v>0.53638269078473055</v>
      </c>
      <c r="V33" s="11">
        <f t="shared" si="19"/>
        <v>0.99547518020693326</v>
      </c>
    </row>
    <row r="34" spans="1:22" x14ac:dyDescent="0.35">
      <c r="A34" s="223"/>
      <c r="B34" s="11">
        <f t="shared" ref="B34:M34" si="20">IF(B11="","",(B11/$O$23))</f>
        <v>2.4982936055336095E-4</v>
      </c>
      <c r="C34" s="11">
        <f t="shared" si="20"/>
        <v>4.8585186364280691E-2</v>
      </c>
      <c r="D34" s="11">
        <f t="shared" si="20"/>
        <v>8.2051343327740084E-2</v>
      </c>
      <c r="E34" s="11">
        <f t="shared" si="20"/>
        <v>0.56454811221711565</v>
      </c>
      <c r="F34" s="11">
        <f t="shared" si="20"/>
        <v>1.3477648609339061</v>
      </c>
      <c r="G34" s="11">
        <f t="shared" si="20"/>
        <v>2.1249927077900979</v>
      </c>
      <c r="H34" s="11">
        <f t="shared" si="20"/>
        <v>2.342805867994544</v>
      </c>
      <c r="I34" s="11">
        <f t="shared" si="20"/>
        <v>0.13980223898965574</v>
      </c>
      <c r="J34" s="11">
        <f t="shared" si="20"/>
        <v>5.0459852891766334E-2</v>
      </c>
      <c r="K34" s="11" t="str">
        <f t="shared" si="20"/>
        <v/>
      </c>
      <c r="L34" s="11" t="str">
        <f t="shared" si="20"/>
        <v/>
      </c>
      <c r="M34" s="11">
        <f t="shared" si="20"/>
        <v>0.13623270736841606</v>
      </c>
      <c r="N34" s="6"/>
      <c r="O34" s="11">
        <f t="shared" ref="O34:V34" si="21">IF(O11="","",(O11/$O$23))</f>
        <v>0.97535407491969939</v>
      </c>
      <c r="P34" s="11">
        <f t="shared" si="21"/>
        <v>2.7262984787959637</v>
      </c>
      <c r="Q34" s="11">
        <f t="shared" si="21"/>
        <v>4.0282713213224422E-2</v>
      </c>
      <c r="R34" s="11">
        <f t="shared" si="21"/>
        <v>0.28255643899184996</v>
      </c>
      <c r="S34" s="11">
        <f t="shared" si="21"/>
        <v>0.60764708367657794</v>
      </c>
      <c r="T34" s="11">
        <f t="shared" si="21"/>
        <v>1.4146080312026272</v>
      </c>
      <c r="U34" s="11">
        <f t="shared" si="21"/>
        <v>1.3741614147877066</v>
      </c>
      <c r="V34" s="11">
        <f t="shared" si="21"/>
        <v>1.2605265301400104</v>
      </c>
    </row>
    <row r="35" spans="1:22" x14ac:dyDescent="0.35">
      <c r="A35" s="223"/>
      <c r="B35" s="11">
        <f t="shared" ref="B35:M35" si="22">IF(B12="","",(B12/$O$23))</f>
        <v>0.10764995734510655</v>
      </c>
      <c r="C35" s="11">
        <f t="shared" si="22"/>
        <v>0.11498169201867935</v>
      </c>
      <c r="D35" s="11">
        <f t="shared" si="22"/>
        <v>3.4723442146910879E-2</v>
      </c>
      <c r="E35" s="11">
        <f t="shared" si="22"/>
        <v>4.2462758281053122E-2</v>
      </c>
      <c r="F35" s="11">
        <f t="shared" si="22"/>
        <v>1.5241207314011931</v>
      </c>
      <c r="G35" s="11" t="str">
        <f t="shared" si="22"/>
        <v/>
      </c>
      <c r="H35" s="11">
        <f t="shared" si="22"/>
        <v>1.173099691737697</v>
      </c>
      <c r="I35" s="11">
        <f t="shared" si="22"/>
        <v>8.0254464578426749E-2</v>
      </c>
      <c r="J35" s="11">
        <f t="shared" si="22"/>
        <v>0.19045258676884402</v>
      </c>
      <c r="K35" s="11">
        <f t="shared" si="22"/>
        <v>1.7680915934495778E-2</v>
      </c>
      <c r="L35" s="11">
        <f t="shared" si="22"/>
        <v>6.236043662879226E-2</v>
      </c>
      <c r="M35" s="11">
        <f t="shared" si="22"/>
        <v>5.6968854057516817E-2</v>
      </c>
      <c r="N35" s="6"/>
      <c r="O35" s="11" t="str">
        <f t="shared" ref="O35:V35" si="23">IF(O12="","",(O12/$O$23))</f>
        <v/>
      </c>
      <c r="P35" s="11">
        <f t="shared" si="23"/>
        <v>1.3829550297498507</v>
      </c>
      <c r="Q35" s="11">
        <f t="shared" si="23"/>
        <v>7.8170849858478289E-2</v>
      </c>
      <c r="R35" s="11">
        <f t="shared" si="23"/>
        <v>1.6238121094953384</v>
      </c>
      <c r="S35" s="11">
        <f t="shared" si="23"/>
        <v>7.5395094250996789E-2</v>
      </c>
      <c r="T35" s="11">
        <f t="shared" si="23"/>
        <v>1.4673437917161014</v>
      </c>
      <c r="U35" s="11">
        <f t="shared" si="23"/>
        <v>0.1123700288775613</v>
      </c>
      <c r="V35" s="11">
        <f t="shared" si="23"/>
        <v>1.5708181919759594</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1.5442414581590931</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1.3142161845755973</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1.4519923453040986</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1.4934908947386827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1.2453752311134509</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0.80343191854356599</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0.17703949444480127</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0.68897411112338047</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SAC-0.01mg/L</v>
      </c>
      <c r="J45" s="70" t="str">
        <f t="shared" si="46"/>
        <v>SAC-0.1mg/L</v>
      </c>
      <c r="K45" s="70" t="str">
        <f t="shared" si="46"/>
        <v>SAC-1mg/L</v>
      </c>
      <c r="L45" s="70" t="str">
        <f t="shared" si="46"/>
        <v>SAC-10mg/L</v>
      </c>
      <c r="M45" s="70" t="str">
        <f t="shared" si="46"/>
        <v>SAC-100mg/L</v>
      </c>
      <c r="N45" s="70" t="str">
        <f>N22</f>
        <v>Nom des groupes</v>
      </c>
      <c r="O45" s="70" t="str">
        <f t="shared" ref="O45:V45" si="47">O4</f>
        <v>Testo -30µg/L</v>
      </c>
      <c r="P45" s="70" t="str">
        <f t="shared" si="47"/>
        <v>Testo 30µg/L + EE2 -64ng/L</v>
      </c>
      <c r="Q45" s="70" t="str">
        <f t="shared" si="47"/>
        <v>Testo 30µg/L + FAD-10mg/L</v>
      </c>
      <c r="R45" s="70" t="str">
        <f t="shared" si="47"/>
        <v>SAC-0,01mg/L + Testostérone</v>
      </c>
      <c r="S45" s="70" t="str">
        <f t="shared" si="47"/>
        <v>SAC-0,1mg/L + Testostérone</v>
      </c>
      <c r="T45" s="70" t="str">
        <f t="shared" si="47"/>
        <v>SAC-1mg/L + Testostérone</v>
      </c>
      <c r="U45" s="70" t="str">
        <f t="shared" si="47"/>
        <v>SAC-10mg/L + Testostérone</v>
      </c>
      <c r="V45" s="70" t="str">
        <f t="shared" si="47"/>
        <v>SAC-100mg/L + Testostérone</v>
      </c>
    </row>
    <row r="46" spans="1:22" x14ac:dyDescent="0.35">
      <c r="A46" s="8" t="s">
        <v>0</v>
      </c>
      <c r="B46" s="10">
        <f t="shared" ref="B46:H46" si="48">AVERAGE(B28:B43)</f>
        <v>7.6675848253166937E-2</v>
      </c>
      <c r="C46" s="10">
        <f t="shared" si="48"/>
        <v>9.8393945143188208E-2</v>
      </c>
      <c r="D46" s="10">
        <f t="shared" si="48"/>
        <v>0.16751845425361739</v>
      </c>
      <c r="E46" s="10">
        <f t="shared" si="48"/>
        <v>0.31475276015862169</v>
      </c>
      <c r="F46" s="10">
        <f t="shared" si="48"/>
        <v>1.1509423352134527</v>
      </c>
      <c r="G46" s="10">
        <f t="shared" si="48"/>
        <v>1.7963518635179823</v>
      </c>
      <c r="H46" s="10">
        <f t="shared" si="48"/>
        <v>2.2282526120369388</v>
      </c>
      <c r="I46" s="10">
        <f>AVERAGE(I28:I43)</f>
        <v>0.11107127107393459</v>
      </c>
      <c r="J46" s="9">
        <f>AVERAGE(J28:J43)</f>
        <v>7.5689385036259729E-2</v>
      </c>
      <c r="K46" s="9">
        <f>AVERAGE(K28:K43)</f>
        <v>0.12587365730699501</v>
      </c>
      <c r="L46" s="9">
        <f t="shared" ref="L46:M46" si="49">AVERAGE(L28:L43)</f>
        <v>0.10422640285780924</v>
      </c>
      <c r="M46" s="9">
        <f t="shared" si="49"/>
        <v>9.838566481400321E-2</v>
      </c>
      <c r="N46" s="8" t="s">
        <v>0</v>
      </c>
      <c r="O46" s="10">
        <f>AVERAGE(O28:O43)</f>
        <v>1.0000000000000002</v>
      </c>
      <c r="P46" s="10">
        <f>AVERAGE(P28:P43)</f>
        <v>2.1101116787081371</v>
      </c>
      <c r="Q46" s="10">
        <f>AVERAGE(Q28:Q43)</f>
        <v>7.2391818855594661E-2</v>
      </c>
      <c r="R46" s="10">
        <f>AVERAGE(R28:R43)</f>
        <v>1.1433790352197002</v>
      </c>
      <c r="S46" s="10">
        <f t="shared" ref="S46:V46" si="50">AVERAGE(S28:S43)</f>
        <v>0.6936317489737801</v>
      </c>
      <c r="T46" s="10">
        <f t="shared" si="50"/>
        <v>1.0963108051621131</v>
      </c>
      <c r="U46" s="10">
        <f t="shared" si="50"/>
        <v>0.98949338929025532</v>
      </c>
      <c r="V46" s="10">
        <f t="shared" si="50"/>
        <v>0.94595117011965657</v>
      </c>
    </row>
    <row r="47" spans="1:22" x14ac:dyDescent="0.35">
      <c r="A47" s="8" t="s">
        <v>1</v>
      </c>
      <c r="B47" s="8">
        <f t="shared" ref="B47:K47" si="51">STDEV(B28:B43)</f>
        <v>6.2068996944644163E-2</v>
      </c>
      <c r="C47" s="8">
        <f t="shared" si="51"/>
        <v>3.5474056445919819E-2</v>
      </c>
      <c r="D47" s="8">
        <f t="shared" si="51"/>
        <v>0.26481640613998175</v>
      </c>
      <c r="E47" s="8">
        <f t="shared" si="51"/>
        <v>0.21074785053150796</v>
      </c>
      <c r="F47" s="8">
        <f t="shared" si="51"/>
        <v>0.5016548207236301</v>
      </c>
      <c r="G47" s="8">
        <f t="shared" si="51"/>
        <v>0.41794892604611428</v>
      </c>
      <c r="H47" s="8">
        <f t="shared" si="51"/>
        <v>0.51794995705477131</v>
      </c>
      <c r="I47" s="8">
        <f>STDEV(I28:I43)</f>
        <v>3.5214920426635064E-2</v>
      </c>
      <c r="J47" s="8">
        <f t="shared" si="51"/>
        <v>5.8172904776735965E-2</v>
      </c>
      <c r="K47" s="8">
        <f t="shared" si="51"/>
        <v>0.11604801008351247</v>
      </c>
      <c r="L47" s="8">
        <f t="shared" ref="L47:M47" si="52">STDEV(L28:L43)</f>
        <v>6.8407724720648974E-2</v>
      </c>
      <c r="M47" s="8">
        <f t="shared" si="52"/>
        <v>4.1986254588058679E-2</v>
      </c>
      <c r="N47" s="8" t="s">
        <v>1</v>
      </c>
      <c r="O47" s="8">
        <f>STDEV(O28:O43)</f>
        <v>0.51767147859636187</v>
      </c>
      <c r="P47" s="8">
        <f>STDEV(P28:P43)</f>
        <v>0.5657237278526881</v>
      </c>
      <c r="Q47" s="8">
        <f>STDEV(Q28:Q43)</f>
        <v>4.0838341583570137E-2</v>
      </c>
      <c r="R47" s="8">
        <f>STDEV(R28:R43)</f>
        <v>0.79813434322148236</v>
      </c>
      <c r="S47" s="8">
        <f t="shared" ref="S47:V47" si="53">STDEV(S28:S43)</f>
        <v>0.52954373613738759</v>
      </c>
      <c r="T47" s="8">
        <f t="shared" si="53"/>
        <v>0.34697843769347225</v>
      </c>
      <c r="U47" s="8">
        <f t="shared" si="53"/>
        <v>0.55166934057532058</v>
      </c>
      <c r="V47" s="8">
        <f t="shared" si="53"/>
        <v>0.53206365598671546</v>
      </c>
    </row>
    <row r="48" spans="1:22" x14ac:dyDescent="0.35">
      <c r="A48" s="8" t="s">
        <v>2</v>
      </c>
      <c r="B48" s="8">
        <f t="shared" ref="B48:K48" si="54" xml:space="preserve"> B47/SQRT(COUNT(B28:B43))</f>
        <v>2.3459875720393764E-2</v>
      </c>
      <c r="C48" s="8">
        <f t="shared" si="54"/>
        <v>1.254197293455213E-2</v>
      </c>
      <c r="D48" s="8">
        <f t="shared" si="54"/>
        <v>0.10009119339089569</v>
      </c>
      <c r="E48" s="8">
        <f t="shared" si="54"/>
        <v>7.4510617115659109E-2</v>
      </c>
      <c r="F48" s="8">
        <f t="shared" si="54"/>
        <v>0.1773617627743003</v>
      </c>
      <c r="G48" s="8">
        <f t="shared" si="54"/>
        <v>0.15796984557779206</v>
      </c>
      <c r="H48" s="8">
        <f t="shared" si="54"/>
        <v>0.18312296347435492</v>
      </c>
      <c r="I48" s="8">
        <f xml:space="preserve"> I47/SQRT(COUNT(I28:I43))</f>
        <v>1.2450354516309161E-2</v>
      </c>
      <c r="J48" s="8">
        <f t="shared" si="54"/>
        <v>2.3748988926419551E-2</v>
      </c>
      <c r="K48" s="8">
        <f t="shared" si="54"/>
        <v>4.3862024974984273E-2</v>
      </c>
      <c r="L48" s="8">
        <f t="shared" ref="L48:M48" si="55" xml:space="preserve"> L47/SQRT(COUNT(L28:L43))</f>
        <v>2.5855689623800374E-2</v>
      </c>
      <c r="M48" s="8">
        <f t="shared" si="55"/>
        <v>1.4844382667920542E-2</v>
      </c>
      <c r="N48" s="8" t="s">
        <v>2</v>
      </c>
      <c r="O48" s="8">
        <f xml:space="preserve"> O47/SQRT(COUNT(O28:O43))</f>
        <v>0.13366220102735191</v>
      </c>
      <c r="P48" s="8">
        <f xml:space="preserve"> P47/SQRT(COUNT(P28:P43))</f>
        <v>0.20001354212138434</v>
      </c>
      <c r="Q48" s="8">
        <f xml:space="preserve"> Q47/SQRT(COUNT(Q28:Q43))</f>
        <v>1.4438534133077505E-2</v>
      </c>
      <c r="R48" s="8">
        <f xml:space="preserve"> R47/SQRT(COUNT(R28:R43))</f>
        <v>0.28218310319489076</v>
      </c>
      <c r="S48" s="8">
        <f t="shared" ref="S48:V48" si="56" xml:space="preserve"> S47/SQRT(COUNT(S28:S43))</f>
        <v>0.18722198337880328</v>
      </c>
      <c r="T48" s="8">
        <f t="shared" si="56"/>
        <v>0.12267540310928408</v>
      </c>
      <c r="U48" s="8">
        <f t="shared" si="56"/>
        <v>0.20851141158589892</v>
      </c>
      <c r="V48" s="8">
        <f t="shared" si="56"/>
        <v>0.18811290958555643</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SAC-0.01mg/L</v>
      </c>
      <c r="J52" s="46" t="str">
        <f>J4</f>
        <v>SAC-0.1mg/L</v>
      </c>
      <c r="K52" s="46" t="str">
        <f>K27</f>
        <v>SAC-1mg/L</v>
      </c>
      <c r="L52" s="46" t="str">
        <f t="shared" ref="L52:M52" si="58">L27</f>
        <v>SAC-10mg/L</v>
      </c>
      <c r="M52" s="46" t="str">
        <f t="shared" si="58"/>
        <v>SAC-100mg/L</v>
      </c>
      <c r="N52" s="47"/>
      <c r="O52" s="46" t="str">
        <f>O27</f>
        <v>Testo -30µg/L</v>
      </c>
      <c r="P52" s="46" t="str">
        <f>P27</f>
        <v>Testo 30µg/L + EE2 -64ng/L</v>
      </c>
      <c r="Q52" s="46" t="str">
        <f>Q27</f>
        <v>Testo 30µg/L + FAD-10mg/L</v>
      </c>
      <c r="R52" s="46" t="str">
        <f>R27</f>
        <v>SAC-0,01mg/L + Testostérone</v>
      </c>
      <c r="S52" s="46" t="str">
        <f t="shared" ref="S52:V52" si="59">S27</f>
        <v>SAC-0,1mg/L + Testostérone</v>
      </c>
      <c r="T52" s="46" t="str">
        <f t="shared" si="59"/>
        <v>SAC-1mg/L + Testostérone</v>
      </c>
      <c r="U52" s="46" t="str">
        <f t="shared" si="59"/>
        <v>SAC-10mg/L + Testostérone</v>
      </c>
      <c r="V52" s="46" t="str">
        <f t="shared" si="59"/>
        <v>SAC-100mg/L + Testostérone</v>
      </c>
    </row>
    <row r="53" spans="1:22" s="3" customFormat="1" x14ac:dyDescent="0.35">
      <c r="A53" s="61" t="s">
        <v>32</v>
      </c>
      <c r="B53" s="142">
        <f t="shared" ref="B53:M53" si="60">B46</f>
        <v>7.6675848253166937E-2</v>
      </c>
      <c r="C53" s="142">
        <f t="shared" si="60"/>
        <v>9.8393945143188208E-2</v>
      </c>
      <c r="D53" s="142">
        <f t="shared" si="60"/>
        <v>0.16751845425361739</v>
      </c>
      <c r="E53" s="142">
        <f t="shared" si="60"/>
        <v>0.31475276015862169</v>
      </c>
      <c r="F53" s="142">
        <f t="shared" si="60"/>
        <v>1.1509423352134527</v>
      </c>
      <c r="G53" s="142">
        <f t="shared" si="60"/>
        <v>1.7963518635179823</v>
      </c>
      <c r="H53" s="142">
        <f t="shared" si="60"/>
        <v>2.2282526120369388</v>
      </c>
      <c r="I53" s="142">
        <f t="shared" si="60"/>
        <v>0.11107127107393459</v>
      </c>
      <c r="J53" s="142">
        <f t="shared" si="60"/>
        <v>7.5689385036259729E-2</v>
      </c>
      <c r="K53" s="142">
        <f t="shared" si="60"/>
        <v>0.12587365730699501</v>
      </c>
      <c r="L53" s="142">
        <f t="shared" si="60"/>
        <v>0.10422640285780924</v>
      </c>
      <c r="M53" s="142">
        <f t="shared" si="60"/>
        <v>9.838566481400321E-2</v>
      </c>
      <c r="N53" s="142"/>
      <c r="O53" s="142">
        <f t="shared" ref="O53:V53" si="61">O46</f>
        <v>1.0000000000000002</v>
      </c>
      <c r="P53" s="142">
        <f t="shared" si="61"/>
        <v>2.1101116787081371</v>
      </c>
      <c r="Q53" s="142">
        <f t="shared" si="61"/>
        <v>7.2391818855594661E-2</v>
      </c>
      <c r="R53" s="142">
        <f t="shared" si="61"/>
        <v>1.1433790352197002</v>
      </c>
      <c r="S53" s="142">
        <f t="shared" si="61"/>
        <v>0.6936317489737801</v>
      </c>
      <c r="T53" s="142">
        <f t="shared" si="61"/>
        <v>1.0963108051621131</v>
      </c>
      <c r="U53" s="142">
        <f t="shared" si="61"/>
        <v>0.98949338929025532</v>
      </c>
      <c r="V53" s="142">
        <f t="shared" si="61"/>
        <v>0.94595117011965657</v>
      </c>
    </row>
    <row r="54" spans="1:22" s="3" customFormat="1" x14ac:dyDescent="0.35">
      <c r="A54" s="61" t="s">
        <v>2</v>
      </c>
      <c r="B54" s="142">
        <f t="shared" ref="B54:M54" si="62">B48</f>
        <v>2.3459875720393764E-2</v>
      </c>
      <c r="C54" s="142">
        <f t="shared" si="62"/>
        <v>1.254197293455213E-2</v>
      </c>
      <c r="D54" s="142">
        <f t="shared" si="62"/>
        <v>0.10009119339089569</v>
      </c>
      <c r="E54" s="142">
        <f t="shared" si="62"/>
        <v>7.4510617115659109E-2</v>
      </c>
      <c r="F54" s="142">
        <f t="shared" si="62"/>
        <v>0.1773617627743003</v>
      </c>
      <c r="G54" s="142">
        <f t="shared" si="62"/>
        <v>0.15796984557779206</v>
      </c>
      <c r="H54" s="142">
        <f t="shared" si="62"/>
        <v>0.18312296347435492</v>
      </c>
      <c r="I54" s="142">
        <f t="shared" si="62"/>
        <v>1.2450354516309161E-2</v>
      </c>
      <c r="J54" s="142">
        <f t="shared" si="62"/>
        <v>2.3748988926419551E-2</v>
      </c>
      <c r="K54" s="142">
        <f t="shared" si="62"/>
        <v>4.3862024974984273E-2</v>
      </c>
      <c r="L54" s="142">
        <f t="shared" si="62"/>
        <v>2.5855689623800374E-2</v>
      </c>
      <c r="M54" s="142">
        <f t="shared" si="62"/>
        <v>1.4844382667920542E-2</v>
      </c>
      <c r="N54" s="142"/>
      <c r="O54" s="142">
        <f t="shared" ref="O54:V54" si="63">O48</f>
        <v>0.13366220102735191</v>
      </c>
      <c r="P54" s="142">
        <f t="shared" si="63"/>
        <v>0.20001354212138434</v>
      </c>
      <c r="Q54" s="142">
        <f t="shared" si="63"/>
        <v>1.4438534133077505E-2</v>
      </c>
      <c r="R54" s="142">
        <f t="shared" si="63"/>
        <v>0.28218310319489076</v>
      </c>
      <c r="S54" s="142">
        <f t="shared" si="63"/>
        <v>0.18722198337880328</v>
      </c>
      <c r="T54" s="142">
        <f t="shared" si="63"/>
        <v>0.12267540310928408</v>
      </c>
      <c r="U54" s="142">
        <f t="shared" si="63"/>
        <v>0.20851141158589892</v>
      </c>
      <c r="V54" s="142">
        <f t="shared" si="63"/>
        <v>0.18811290958555643</v>
      </c>
    </row>
    <row r="55" spans="1:22" s="3" customFormat="1" x14ac:dyDescent="0.35">
      <c r="A55" s="61" t="s">
        <v>79</v>
      </c>
      <c r="B55" s="142">
        <f t="shared" ref="B55:M55" si="64">(B53*100/$B$53)-100</f>
        <v>0</v>
      </c>
      <c r="C55" s="142">
        <f t="shared" si="64"/>
        <v>28.324560320888594</v>
      </c>
      <c r="D55" s="142">
        <f t="shared" si="64"/>
        <v>118.4761669678671</v>
      </c>
      <c r="E55" s="142">
        <f t="shared" si="64"/>
        <v>310.49791730947231</v>
      </c>
      <c r="F55" s="142">
        <f t="shared" si="64"/>
        <v>1401.0493674791728</v>
      </c>
      <c r="G55" s="142">
        <f t="shared" si="64"/>
        <v>2242.787076299202</v>
      </c>
      <c r="H55" s="142">
        <f t="shared" si="64"/>
        <v>2806.068420240666</v>
      </c>
      <c r="I55" s="142">
        <f t="shared" si="64"/>
        <v>44.858222770749762</v>
      </c>
      <c r="J55" s="142">
        <f t="shared" si="64"/>
        <v>-1.2865370770338558</v>
      </c>
      <c r="K55" s="142">
        <f t="shared" si="64"/>
        <v>64.16337109357778</v>
      </c>
      <c r="L55" s="142">
        <f t="shared" si="64"/>
        <v>35.931202891523782</v>
      </c>
      <c r="M55" s="142">
        <f t="shared" si="64"/>
        <v>28.313761184819498</v>
      </c>
      <c r="N55" s="142"/>
      <c r="O55" s="142">
        <f>(O53*100/$O$53)-100</f>
        <v>0</v>
      </c>
      <c r="P55" s="142">
        <f t="shared" ref="P55:V55" si="65">(P53*100/$O$53)-100</f>
        <v>111.01116787081367</v>
      </c>
      <c r="Q55" s="142">
        <f t="shared" si="65"/>
        <v>-92.760818114440539</v>
      </c>
      <c r="R55" s="142">
        <f t="shared" si="65"/>
        <v>14.337903521969992</v>
      </c>
      <c r="S55" s="142">
        <f t="shared" si="65"/>
        <v>-30.636825102621998</v>
      </c>
      <c r="T55" s="142">
        <f t="shared" si="65"/>
        <v>9.6310805162112842</v>
      </c>
      <c r="U55" s="142">
        <f t="shared" si="65"/>
        <v>-1.050661070974499</v>
      </c>
      <c r="V55" s="142">
        <f t="shared" si="65"/>
        <v>-5.404882988034359</v>
      </c>
    </row>
    <row r="56" spans="1:22" s="3" customFormat="1" x14ac:dyDescent="0.35">
      <c r="A56" s="61" t="s">
        <v>81</v>
      </c>
      <c r="B56" s="142">
        <f>[1]!SWTEST(B28:B43)</f>
        <v>0.50683269453713797</v>
      </c>
      <c r="C56" s="142">
        <f>[1]!SWTEST(C28:C43)</f>
        <v>0.58847398898125391</v>
      </c>
      <c r="D56" s="142">
        <f>[1]!SWTEST(D28:D43)</f>
        <v>9.9190608375709921E-5</v>
      </c>
      <c r="E56" s="142">
        <f>[1]!SWTEST(E28:E43)</f>
        <v>0.3791005784804854</v>
      </c>
      <c r="F56" s="142">
        <f>[1]!SWTEST(F28:F43)</f>
        <v>0.85265240203798687</v>
      </c>
      <c r="G56" s="142">
        <f>[1]!SWTEST(G28:G43)</f>
        <v>0.62255352304048606</v>
      </c>
      <c r="H56" s="142">
        <f>[1]!SWTEST(H28:H43)</f>
        <v>0.26959378003494838</v>
      </c>
      <c r="I56" s="142">
        <f>[1]!SWTEST(I28:I43)</f>
        <v>0.20170699348242294</v>
      </c>
      <c r="J56" s="142">
        <f>[1]!SWTEST(J28:J43)</f>
        <v>1.5019808995990314E-2</v>
      </c>
      <c r="K56" s="142">
        <f>[1]!SWTEST(K28:K43)</f>
        <v>8.7264300993506572E-2</v>
      </c>
      <c r="L56" s="142">
        <f>[1]!SWTEST(L28:L43)</f>
        <v>0.95957179954890059</v>
      </c>
      <c r="M56" s="142">
        <f>[1]!SWTEST(M28:M43)</f>
        <v>0.18411225145660315</v>
      </c>
      <c r="N56" s="142"/>
      <c r="O56" s="142">
        <f>[1]!SWTEST(O28:O43)</f>
        <v>0.90921439071074794</v>
      </c>
      <c r="P56" s="142">
        <f>[1]!SWTEST(P28:P43)</f>
        <v>0.29469458258713399</v>
      </c>
      <c r="Q56" s="142">
        <f>[1]!SWTEST(Q28:Q43)</f>
        <v>0.24779851310295287</v>
      </c>
      <c r="R56" s="142">
        <f>[1]!SWTEST(R28:R43)</f>
        <v>0.38260527919868392</v>
      </c>
      <c r="S56" s="142">
        <f>[1]!SWTEST(S28:S43)</f>
        <v>0.26317979989361984</v>
      </c>
      <c r="T56" s="142">
        <f>[1]!SWTEST(T28:T43)</f>
        <v>0.33820474894449792</v>
      </c>
      <c r="U56" s="142">
        <f>[1]!SWTEST(U28:U43)</f>
        <v>0.74395855859645943</v>
      </c>
      <c r="V56" s="142">
        <f>[1]!SWTEST(V28:V43)</f>
        <v>0.8086156749297142</v>
      </c>
    </row>
    <row r="57" spans="1:22" s="3" customFormat="1" x14ac:dyDescent="0.35">
      <c r="A57" s="61" t="s">
        <v>85</v>
      </c>
      <c r="B57" s="142" t="str">
        <f t="shared" ref="B57:M57" si="66">IF(B56&gt;0.05,"Oui","Non")</f>
        <v>Oui</v>
      </c>
      <c r="C57" s="142" t="str">
        <f t="shared" si="66"/>
        <v>Oui</v>
      </c>
      <c r="D57" s="142" t="str">
        <f t="shared" si="66"/>
        <v>Non</v>
      </c>
      <c r="E57" s="142" t="str">
        <f t="shared" si="66"/>
        <v>Oui</v>
      </c>
      <c r="F57" s="142" t="str">
        <f t="shared" si="66"/>
        <v>Oui</v>
      </c>
      <c r="G57" s="142" t="str">
        <f t="shared" si="66"/>
        <v>Oui</v>
      </c>
      <c r="H57" s="142" t="str">
        <f t="shared" si="66"/>
        <v>Oui</v>
      </c>
      <c r="I57" s="142" t="str">
        <f t="shared" si="66"/>
        <v>Oui</v>
      </c>
      <c r="J57" s="142" t="str">
        <f t="shared" si="66"/>
        <v>Non</v>
      </c>
      <c r="K57" s="142" t="str">
        <f t="shared" si="66"/>
        <v>Oui</v>
      </c>
      <c r="L57" s="142" t="str">
        <f t="shared" si="66"/>
        <v>Oui</v>
      </c>
      <c r="M57" s="142" t="str">
        <f t="shared" si="66"/>
        <v>Oui</v>
      </c>
      <c r="N57" s="142"/>
      <c r="O57" s="142" t="str">
        <f t="shared" ref="O57:V57" si="67">IF(O56&gt;0.05,"Oui","Non")</f>
        <v>Oui</v>
      </c>
      <c r="P57" s="142" t="str">
        <f t="shared" si="67"/>
        <v>Oui</v>
      </c>
      <c r="Q57" s="142" t="str">
        <f t="shared" si="67"/>
        <v>Oui</v>
      </c>
      <c r="R57" s="142" t="str">
        <f t="shared" si="67"/>
        <v>Oui</v>
      </c>
      <c r="S57" s="142" t="str">
        <f t="shared" si="67"/>
        <v>Oui</v>
      </c>
      <c r="T57" s="142" t="str">
        <f t="shared" si="67"/>
        <v>Oui</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Mann Withney</v>
      </c>
      <c r="E59" s="151" t="str">
        <f t="shared" si="68"/>
        <v>T-Test Welch</v>
      </c>
      <c r="F59" s="151" t="str">
        <f t="shared" si="68"/>
        <v>T-Test Welch</v>
      </c>
      <c r="G59" s="151" t="str">
        <f t="shared" si="68"/>
        <v>T-Test Welch</v>
      </c>
      <c r="H59" s="151" t="str">
        <f t="shared" si="68"/>
        <v>T-Test Welch</v>
      </c>
      <c r="I59" s="151" t="str">
        <f t="shared" si="68"/>
        <v>T-Test Welch</v>
      </c>
      <c r="J59" s="151" t="str">
        <f t="shared" si="68"/>
        <v>Mann Withney</v>
      </c>
      <c r="K59" s="151" t="str">
        <f t="shared" si="68"/>
        <v>T-Test Welch</v>
      </c>
      <c r="L59" s="151" t="str">
        <f t="shared" si="68"/>
        <v>T-Test Welch</v>
      </c>
      <c r="M59" s="151" t="str">
        <f t="shared" si="68"/>
        <v>T-Test Welch</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T-Test Welch</v>
      </c>
      <c r="S59" s="151" t="str">
        <f t="shared" si="69"/>
        <v>T-Test Welch</v>
      </c>
      <c r="T59" s="151" t="str">
        <f t="shared" si="69"/>
        <v>T-Test Welch</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0.43474256280255852</v>
      </c>
      <c r="D60" s="152">
        <f>IF(D59="Mann Withney",[1]!MTEST($B28:$B43,D28:D43,2), IF(D59="T-Test Welch",_xlfn.T.TEST($B28:$B43,D28:D43,2,3),""))</f>
        <v>0.79829784732852649</v>
      </c>
      <c r="E60" s="152">
        <f>IF(E59="Mann Withney",[1]!MTEST($B28:$B43,E28:E43,2), IF(E59="T-Test Welch",_xlfn.T.TEST($B28:$B43,E28:E43,2,3),""))</f>
        <v>1.5073922598934355E-2</v>
      </c>
      <c r="F60" s="152">
        <f>IF(F59="Mann Withney",[1]!MTEST($B28:$B43,F28:F43,2), IF(F59="T-Test Welch",_xlfn.T.TEST($B28:$B43,F28:F43,2,3),""))</f>
        <v>4.732489265977367E-4</v>
      </c>
      <c r="G60" s="152">
        <f>IF(G59="Mann Withney",[1]!MTEST($B28:$B43,G28:G43,2), IF(G59="T-Test Welch",_xlfn.T.TEST($B28:$B43,G28:G43,2,3),""))</f>
        <v>2.8412038101426296E-5</v>
      </c>
      <c r="H60" s="152">
        <f>IF(H59="Mann Withney",[1]!MTEST($B28:$B43,H28:H43,2), IF(H59="T-Test Welch",_xlfn.T.TEST($B28:$B43,H28:H43,2,3),""))</f>
        <v>6.0282306109481119E-6</v>
      </c>
      <c r="I60" s="152">
        <f>IF(I59="Mann Withney",[1]!MTEST($B28:$B43,I28:I43,2), IF(I59="T-Test Welch",_xlfn.T.TEST($B28:$B43,I28:I43,2,3),""))</f>
        <v>0.22675948209066227</v>
      </c>
      <c r="J60" s="152">
        <f>IF(J59="Mann Withney",[1]!MTEST($B28:$B43,J28:J43,2), IF(J59="T-Test Welch",_xlfn.T.TEST($B28:$B43,J28:J43,2,3),""))</f>
        <v>1</v>
      </c>
      <c r="K60" s="152">
        <f>IF(K59="Mann Withney",[1]!MTEST($B28:$B43,K28:K43,2), IF(K59="T-Test Welch",_xlfn.T.TEST($B28:$B43,K28:K43,2,3),""))</f>
        <v>0.34800133031313407</v>
      </c>
      <c r="L60" s="152">
        <f>IF(L59="Mann Withney",[1]!MTEST($B28:$B43,L28:L43,2), IF(L59="T-Test Welch",_xlfn.T.TEST($B28:$B43,L28:L43,2,3),""))</f>
        <v>0.44548829916423005</v>
      </c>
      <c r="M60" s="152">
        <f>IF(M59="Mann Withney",[1]!MTEST($B28:$B43,M28:M43,2), IF(M59="T-Test Welch",_xlfn.T.TEST($B28:$B43,M28:M43,2,3),""))</f>
        <v>0.45174130221064834</v>
      </c>
      <c r="N60" s="152"/>
      <c r="O60" s="152">
        <f>IF(O59="Mann Withney",[1]!MTEST($B28:$B43,O28:O43,2), IF(O59="T-Test Welch",_xlfn.T.TEST($B28:$B43,O28:O43,2,3),""))</f>
        <v>6.2916824520093941E-6</v>
      </c>
      <c r="P60" s="152">
        <f>IF(P59="Mann Withney",[1]!MTEST($O28:$O43,P28:P43,2), IF(P59="T-Test Welch",_xlfn.T.TEST($O28:$O43,P28:P43,2,3),""))</f>
        <v>4.5539636038486285E-4</v>
      </c>
      <c r="Q60" s="152">
        <f>IF(Q59="Mann Withney",[1]!MTEST($O28:$O43,Q28:Q43,2), IF(Q59="T-Test Welch",_xlfn.T.TEST($O28:$O43,Q28:Q43,2,3),""))</f>
        <v>6.4818692694047131E-6</v>
      </c>
      <c r="R60" s="152">
        <f>IF(R59="Mann Withney",[1]!MTEST($O28:$O43,R28:R43,2), IF(R59="T-Test Welch",_xlfn.T.TEST($O28:$O43,R28:R43,2,3),""))</f>
        <v>0.65568998184167715</v>
      </c>
      <c r="S60" s="152">
        <f>IF(S59="Mann Withney",[1]!MTEST($O28:$O43,S28:S43,2), IF(S59="T-Test Welch",_xlfn.T.TEST($O28:$O43,S28:S43,2,3),""))</f>
        <v>0.20402142025204206</v>
      </c>
      <c r="T60" s="152">
        <f>IF(T59="Mann Withney",[1]!MTEST($O28:$O43,T28:T43,2), IF(T59="T-Test Welch",_xlfn.T.TEST($O28:$O43,T28:T43,2,3),""))</f>
        <v>0.60146768409019513</v>
      </c>
      <c r="U60" s="152">
        <f>IF(U59="Mann Withney",[1]!MTEST($O28:$O43,U28:U43,2), IF(U59="T-Test Welch",_xlfn.T.TEST($O28:$O43,U28:U43,2,3),""))</f>
        <v>0.96691396094099724</v>
      </c>
      <c r="V60" s="152">
        <f>IF(V59="Mann Withney",[1]!MTEST($O28:$O43,V28:V43,2), IF(V59="T-Test Welch",_xlfn.T.TEST($O28:$O43,V28:V43,2,3),""))</f>
        <v>0.8181927576887964</v>
      </c>
    </row>
    <row r="61" spans="1:22" s="3" customFormat="1" ht="15" thickBot="1" x14ac:dyDescent="0.4">
      <c r="A61" s="62" t="s">
        <v>84</v>
      </c>
      <c r="B61" s="143"/>
      <c r="C61" s="143" t="str">
        <f t="shared" ref="C61:M61" si="70">IF(C60&gt;0.05,"NS",IF(C60&gt;0.01,"*",IF(C60&gt;0.001,"**","***")))</f>
        <v>NS</v>
      </c>
      <c r="D61" s="143" t="str">
        <f t="shared" si="70"/>
        <v>NS</v>
      </c>
      <c r="E61" s="143" t="str">
        <f t="shared" si="70"/>
        <v>*</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NS</v>
      </c>
      <c r="S61" s="143" t="str">
        <f t="shared" ref="S61" si="73">IF(S60&gt;0.05,"NS",IF(S60&gt;0.01,"*",IF(S60&gt;0.001,"**","***")))</f>
        <v>NS</v>
      </c>
      <c r="T61" s="143" t="str">
        <f t="shared" ref="T61" si="74">IF(T60&gt;0.05,"NS",IF(T60&gt;0.01,"*",IF(T60&gt;0.001,"**","***")))</f>
        <v>NS</v>
      </c>
      <c r="U61" s="143" t="str">
        <f t="shared" ref="U61" si="75">IF(U60&gt;0.05,"NS",IF(U60&gt;0.01,"*",IF(U60&gt;0.001,"**","***")))</f>
        <v>NS</v>
      </c>
      <c r="V61" s="143" t="str">
        <f t="shared" ref="V61" si="76">IF(V60&gt;0.05,"NS",IF(V60&gt;0.01,"*",IF(V60&gt;0.001,"**","***")))</f>
        <v>NS</v>
      </c>
    </row>
    <row r="63" spans="1:22" x14ac:dyDescent="0.35">
      <c r="A63" s="2" t="s">
        <v>39</v>
      </c>
    </row>
    <row r="64" spans="1:22" x14ac:dyDescent="0.35">
      <c r="A64" s="1" t="s">
        <v>23</v>
      </c>
      <c r="B64" s="1">
        <f>B46+(3*B47)</f>
        <v>0.26288283908709942</v>
      </c>
    </row>
    <row r="65" spans="1:22" x14ac:dyDescent="0.35">
      <c r="A65" s="1" t="s">
        <v>24</v>
      </c>
      <c r="B65" s="1">
        <f>B46+(10*B47)</f>
        <v>0.69736581769960859</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T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173</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2983</v>
      </c>
      <c r="D3" s="1" t="s">
        <v>1965</v>
      </c>
      <c r="E3" s="1" t="s">
        <v>2984</v>
      </c>
      <c r="F3" s="1" t="s">
        <v>112</v>
      </c>
      <c r="G3" s="1">
        <v>380535</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2985</v>
      </c>
      <c r="K4" s="119" t="s">
        <v>100</v>
      </c>
      <c r="L4" s="1" t="s">
        <v>1630</v>
      </c>
      <c r="M4" s="1" t="s">
        <v>1631</v>
      </c>
      <c r="N4" s="1" t="s">
        <v>1632</v>
      </c>
      <c r="O4" s="1" t="s">
        <v>1633</v>
      </c>
      <c r="P4" s="1" t="s">
        <v>1634</v>
      </c>
      <c r="Q4" s="1" t="s">
        <v>1635</v>
      </c>
      <c r="R4" s="1" t="s">
        <v>1636</v>
      </c>
      <c r="S4" s="1" t="s">
        <v>1637</v>
      </c>
      <c r="T4" s="1" t="s">
        <v>1638</v>
      </c>
      <c r="U4" s="1" t="s">
        <v>1639</v>
      </c>
      <c r="V4" s="1" t="s">
        <v>1640</v>
      </c>
      <c r="W4" s="1" t="s">
        <v>1641</v>
      </c>
      <c r="X4" s="1" t="s">
        <v>1642</v>
      </c>
      <c r="Y4" s="1" t="s">
        <v>1643</v>
      </c>
      <c r="Z4" s="1" t="s">
        <v>1644</v>
      </c>
      <c r="AA4" s="1" t="s">
        <v>1645</v>
      </c>
      <c r="AB4" s="1" t="s">
        <v>1646</v>
      </c>
      <c r="AC4" s="1" t="s">
        <v>1647</v>
      </c>
      <c r="AD4" s="1" t="s">
        <v>1648</v>
      </c>
      <c r="AE4" s="1" t="s">
        <v>1649</v>
      </c>
      <c r="AF4" s="1" t="s">
        <v>1650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2986</v>
      </c>
      <c r="D5" s="1" t="s">
        <v>1575</v>
      </c>
      <c r="E5" s="1" t="s">
        <v>2987</v>
      </c>
      <c r="F5" s="1" t="s">
        <v>112</v>
      </c>
      <c r="G5" s="1">
        <v>99995</v>
      </c>
      <c r="K5" s="146" t="s">
        <v>164</v>
      </c>
      <c r="L5" s="44">
        <v>276639.33333333331</v>
      </c>
      <c r="M5" s="44">
        <v>224334.25</v>
      </c>
      <c r="N5" s="44">
        <v>696807.5</v>
      </c>
      <c r="O5" s="44">
        <v>2147113.3333333335</v>
      </c>
      <c r="P5" s="44">
        <v>132672.25</v>
      </c>
      <c r="Q5" s="44">
        <v>348706.5</v>
      </c>
      <c r="R5" s="44">
        <v>472078</v>
      </c>
      <c r="S5" s="44">
        <v>617944</v>
      </c>
      <c r="T5" s="44">
        <v>1923734</v>
      </c>
      <c r="U5" s="44">
        <v>2825048.25</v>
      </c>
      <c r="V5" s="44">
        <v>5966260</v>
      </c>
      <c r="W5" s="44">
        <v>118753.75</v>
      </c>
      <c r="X5" s="44">
        <v>659.75</v>
      </c>
      <c r="Y5" s="44">
        <v>203429.25</v>
      </c>
      <c r="Z5" s="44">
        <v>2590499</v>
      </c>
      <c r="AA5" s="44">
        <v>2719209.3333333335</v>
      </c>
      <c r="AB5" s="44">
        <v>2096196.3333333333</v>
      </c>
      <c r="AC5" s="44">
        <v>1948507.5</v>
      </c>
      <c r="AD5" s="44">
        <v>931606.66666666663</v>
      </c>
      <c r="AE5" s="44">
        <v>349160.5</v>
      </c>
      <c r="AF5" s="44">
        <v>382654.5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 s="1" t="s">
        <v>2988</v>
      </c>
      <c r="D6" s="1" t="s">
        <v>2989</v>
      </c>
      <c r="E6" s="1" t="s">
        <v>2990</v>
      </c>
      <c r="F6" s="1" t="s">
        <v>112</v>
      </c>
      <c r="G6" s="1">
        <v>349388</v>
      </c>
      <c r="K6" s="146" t="s">
        <v>1651</v>
      </c>
      <c r="L6" s="44">
        <v>148175.5</v>
      </c>
      <c r="M6" s="44">
        <v>2383625.25</v>
      </c>
      <c r="N6" s="44">
        <v>393037</v>
      </c>
      <c r="O6" s="44">
        <v>3481558.5</v>
      </c>
      <c r="P6" s="44">
        <v>284384.5</v>
      </c>
      <c r="Q6" s="44">
        <v>236166.25</v>
      </c>
      <c r="R6" s="44">
        <v>437286</v>
      </c>
      <c r="S6" s="44">
        <v>682798</v>
      </c>
      <c r="T6" s="44">
        <v>2626334.25</v>
      </c>
      <c r="U6" s="44">
        <v>2580084</v>
      </c>
      <c r="V6" s="44">
        <v>5184188.5</v>
      </c>
      <c r="W6" s="44">
        <v>30270.75</v>
      </c>
      <c r="X6" s="44">
        <v>197075.5</v>
      </c>
      <c r="Y6" s="44">
        <v>196507.75</v>
      </c>
      <c r="Z6" s="44">
        <v>2688244.5</v>
      </c>
      <c r="AA6" s="44">
        <v>790745.66666666663</v>
      </c>
      <c r="AB6" s="44">
        <v>1535030.25</v>
      </c>
      <c r="AC6" s="44">
        <v>925121.5</v>
      </c>
      <c r="AD6" s="44">
        <v>287180</v>
      </c>
      <c r="AE6" s="44">
        <v>126448.33333333333</v>
      </c>
      <c r="AF6" s="44">
        <v>214541.25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2991</v>
      </c>
      <c r="D7" s="1" t="s">
        <v>1113</v>
      </c>
      <c r="E7" s="1" t="s">
        <v>2992</v>
      </c>
      <c r="F7" s="1" t="s">
        <v>112</v>
      </c>
      <c r="G7" s="1">
        <v>188050</v>
      </c>
      <c r="K7" s="146" t="s">
        <v>1652</v>
      </c>
      <c r="L7" s="44">
        <v>98891.75</v>
      </c>
      <c r="M7" s="44">
        <v>1803982.25</v>
      </c>
      <c r="N7" s="44">
        <v>2433074.6666666665</v>
      </c>
      <c r="O7" s="44">
        <v>3323087.25</v>
      </c>
      <c r="P7" s="44">
        <v>169421.5</v>
      </c>
      <c r="Q7" s="44">
        <v>494041</v>
      </c>
      <c r="R7" s="44">
        <v>196713</v>
      </c>
      <c r="S7" s="44">
        <v>3041119.6666666665</v>
      </c>
      <c r="T7" s="44">
        <v>3128991.5</v>
      </c>
      <c r="U7" s="44">
        <v>3289528.5</v>
      </c>
      <c r="V7" s="44">
        <v>4711640</v>
      </c>
      <c r="W7" s="44">
        <v>110534</v>
      </c>
      <c r="X7" s="44">
        <v>196385</v>
      </c>
      <c r="Y7" s="44">
        <v>163549</v>
      </c>
      <c r="Z7" s="44">
        <v>2475238.5</v>
      </c>
      <c r="AA7" s="44">
        <v>3303614.75</v>
      </c>
      <c r="AB7" s="44">
        <v>1732435.5</v>
      </c>
      <c r="AC7" s="44">
        <v>1923676.3333333333</v>
      </c>
      <c r="AD7" s="44">
        <v>1869217.75</v>
      </c>
      <c r="AE7" s="44">
        <v>148258.33333333334</v>
      </c>
      <c r="AF7" s="44">
        <v>6251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2993</v>
      </c>
      <c r="D8" s="1" t="s">
        <v>2994</v>
      </c>
      <c r="E8" s="1" t="s">
        <v>2995</v>
      </c>
      <c r="F8" s="1" t="s">
        <v>112</v>
      </c>
      <c r="G8" s="1">
        <v>156081</v>
      </c>
      <c r="K8" s="146" t="s">
        <v>1653</v>
      </c>
      <c r="L8" s="44">
        <v>346446</v>
      </c>
      <c r="M8" s="44">
        <v>2453299</v>
      </c>
      <c r="N8" s="44">
        <v>1107436.3333333333</v>
      </c>
      <c r="O8" s="44">
        <v>3442078.5</v>
      </c>
      <c r="P8" s="44">
        <v>237615.5</v>
      </c>
      <c r="Q8" s="44">
        <v>456099</v>
      </c>
      <c r="R8" s="44">
        <v>183805.5</v>
      </c>
      <c r="S8" s="44">
        <v>1098874.5</v>
      </c>
      <c r="T8" s="44">
        <v>2428815.5</v>
      </c>
      <c r="U8" s="44">
        <v>3001110.25</v>
      </c>
      <c r="V8" s="44">
        <v>4374019</v>
      </c>
      <c r="W8" s="44">
        <v>175187.66666666666</v>
      </c>
      <c r="X8" s="44">
        <v>74915.25</v>
      </c>
      <c r="Y8" s="44">
        <v>315034.25</v>
      </c>
      <c r="Z8" s="44">
        <v>2543589</v>
      </c>
      <c r="AA8" s="44">
        <v>2889613.25</v>
      </c>
      <c r="AB8" s="44">
        <v>1488736.75</v>
      </c>
      <c r="AC8" s="44">
        <v>885209</v>
      </c>
      <c r="AD8" s="44">
        <v>1825363.25</v>
      </c>
      <c r="AE8" s="44">
        <v>500402.5</v>
      </c>
      <c r="AF8" s="44"/>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 s="1" t="s">
        <v>2996</v>
      </c>
      <c r="D9" s="1" t="s">
        <v>149</v>
      </c>
      <c r="E9" s="1" t="s">
        <v>2997</v>
      </c>
      <c r="F9" s="1" t="s">
        <v>112</v>
      </c>
      <c r="G9" s="1">
        <v>188721</v>
      </c>
      <c r="K9" s="146" t="s">
        <v>1654</v>
      </c>
      <c r="L9" s="44">
        <v>264349.75</v>
      </c>
      <c r="M9" s="44">
        <v>637750.33333333337</v>
      </c>
      <c r="N9" s="44">
        <v>2085300.25</v>
      </c>
      <c r="O9" s="44">
        <v>4822331</v>
      </c>
      <c r="P9" s="44">
        <v>413942</v>
      </c>
      <c r="Q9" s="44">
        <v>236681.66666666666</v>
      </c>
      <c r="R9" s="44">
        <v>389197.5</v>
      </c>
      <c r="S9" s="44">
        <v>1033881.75</v>
      </c>
      <c r="T9" s="44">
        <v>2112563</v>
      </c>
      <c r="U9" s="44">
        <v>2341003.5</v>
      </c>
      <c r="V9" s="44">
        <v>4643738</v>
      </c>
      <c r="W9" s="44">
        <v>186092.75</v>
      </c>
      <c r="X9" s="44">
        <v>257677</v>
      </c>
      <c r="Y9" s="44">
        <v>147164.25</v>
      </c>
      <c r="Z9" s="44">
        <v>1620214.25</v>
      </c>
      <c r="AA9" s="44">
        <v>2022930.25</v>
      </c>
      <c r="AB9" s="44">
        <v>134797.75</v>
      </c>
      <c r="AC9" s="44">
        <v>1840985</v>
      </c>
      <c r="AD9" s="44">
        <v>611872</v>
      </c>
      <c r="AE9" s="44">
        <v>120510.75</v>
      </c>
      <c r="AF9" s="44">
        <v>36965.666666666664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 s="1" t="s">
        <v>2998</v>
      </c>
      <c r="D10" s="1" t="s">
        <v>201</v>
      </c>
      <c r="E10" s="1" t="s">
        <v>2999</v>
      </c>
      <c r="F10" s="1" t="s">
        <v>112</v>
      </c>
      <c r="G10" s="1">
        <v>59850</v>
      </c>
      <c r="K10" s="146" t="s">
        <v>1655</v>
      </c>
      <c r="L10" s="44">
        <v>317667.75</v>
      </c>
      <c r="M10" s="44">
        <v>3376023</v>
      </c>
      <c r="N10" s="44">
        <v>2051422.25</v>
      </c>
      <c r="O10" s="44">
        <v>3322741</v>
      </c>
      <c r="P10" s="44">
        <v>528953.75</v>
      </c>
      <c r="Q10" s="44">
        <v>850146.75</v>
      </c>
      <c r="R10" s="44">
        <v>352648.5</v>
      </c>
      <c r="S10" s="44">
        <v>95561</v>
      </c>
      <c r="T10" s="44">
        <v>3638786.25</v>
      </c>
      <c r="U10" s="44">
        <v>3538888.5</v>
      </c>
      <c r="V10" s="44">
        <v>6543416.25</v>
      </c>
      <c r="W10" s="44">
        <v>210675.33333333334</v>
      </c>
      <c r="X10" s="44">
        <v>208220.25</v>
      </c>
      <c r="Y10" s="44">
        <v>108036</v>
      </c>
      <c r="Z10" s="44">
        <v>1785812.75</v>
      </c>
      <c r="AA10" s="44">
        <v>1487163</v>
      </c>
      <c r="AB10" s="44">
        <v>252442.5</v>
      </c>
      <c r="AC10" s="44">
        <v>1171158</v>
      </c>
      <c r="AD10" s="44">
        <v>166146.33333333334</v>
      </c>
      <c r="AE10" s="44">
        <v>114227.25</v>
      </c>
      <c r="AF10" s="44">
        <v>359856.66666666669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3000</v>
      </c>
      <c r="D11" s="1" t="s">
        <v>1032</v>
      </c>
      <c r="E11" s="1" t="s">
        <v>3001</v>
      </c>
      <c r="F11" s="1" t="s">
        <v>112</v>
      </c>
      <c r="G11" s="1">
        <v>3266</v>
      </c>
      <c r="K11" s="146" t="s">
        <v>1656</v>
      </c>
      <c r="L11" s="44">
        <v>298157.25</v>
      </c>
      <c r="M11" s="44">
        <v>2218340.25</v>
      </c>
      <c r="N11" s="44">
        <v>2543243</v>
      </c>
      <c r="O11" s="44">
        <v>2581312</v>
      </c>
      <c r="P11" s="44">
        <v>226775</v>
      </c>
      <c r="Q11" s="44">
        <v>300109.25</v>
      </c>
      <c r="R11" s="44">
        <v>109501.25</v>
      </c>
      <c r="S11" s="44">
        <v>234549</v>
      </c>
      <c r="T11" s="44">
        <v>851217.25</v>
      </c>
      <c r="U11" s="44">
        <v>2891284.25</v>
      </c>
      <c r="V11" s="44">
        <v>4575566.25</v>
      </c>
      <c r="W11" s="44">
        <v>159455.75</v>
      </c>
      <c r="X11" s="44">
        <v>182967.25</v>
      </c>
      <c r="Y11" s="44">
        <v>59806.5</v>
      </c>
      <c r="Z11" s="44">
        <v>870738.5</v>
      </c>
      <c r="AA11" s="44">
        <v>2234346</v>
      </c>
      <c r="AB11" s="44">
        <v>1771580.25</v>
      </c>
      <c r="AC11" s="44">
        <v>250323</v>
      </c>
      <c r="AD11" s="44">
        <v>337502</v>
      </c>
      <c r="AE11" s="44">
        <v>104120.75</v>
      </c>
      <c r="AF11" s="44">
        <v>55545.75</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2" s="1" t="s">
        <v>3002</v>
      </c>
      <c r="D12" s="1" t="s">
        <v>3003</v>
      </c>
      <c r="E12" s="1" t="s">
        <v>3004</v>
      </c>
      <c r="F12" s="1" t="s">
        <v>112</v>
      </c>
      <c r="G12" s="1">
        <v>387002</v>
      </c>
      <c r="K12" s="146" t="s">
        <v>1657</v>
      </c>
      <c r="L12" s="44">
        <v>184454.5</v>
      </c>
      <c r="M12" s="44">
        <v>3870334.5</v>
      </c>
      <c r="N12" s="44">
        <v>2277946.75</v>
      </c>
      <c r="O12" s="44">
        <v>4275689.5</v>
      </c>
      <c r="P12" s="44">
        <v>126767.25</v>
      </c>
      <c r="Q12" s="44">
        <v>414428.5</v>
      </c>
      <c r="R12" s="44">
        <v>325070.25</v>
      </c>
      <c r="S12" s="44">
        <v>258012.25</v>
      </c>
      <c r="T12" s="44">
        <v>30520</v>
      </c>
      <c r="U12" s="44">
        <v>2631238.75</v>
      </c>
      <c r="V12" s="44">
        <v>5965557.25</v>
      </c>
      <c r="W12" s="44">
        <v>160866.75</v>
      </c>
      <c r="X12" s="44">
        <v>279847.5</v>
      </c>
      <c r="Y12" s="44">
        <v>300574.5</v>
      </c>
      <c r="Z12" s="44"/>
      <c r="AA12" s="44">
        <v>2352175.25</v>
      </c>
      <c r="AB12" s="44">
        <v>2709501.25</v>
      </c>
      <c r="AC12" s="44">
        <v>1336549</v>
      </c>
      <c r="AD12" s="44">
        <v>1655271.25</v>
      </c>
      <c r="AE12" s="44">
        <v>223334</v>
      </c>
      <c r="AF12" s="44">
        <v>124328.5</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 s="1" t="s">
        <v>3005</v>
      </c>
      <c r="D13" s="1" t="s">
        <v>3006</v>
      </c>
      <c r="E13" s="1" t="s">
        <v>3007</v>
      </c>
      <c r="F13" s="1" t="s">
        <v>112</v>
      </c>
      <c r="G13" s="1">
        <v>4650</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 s="1" t="s">
        <v>3008</v>
      </c>
      <c r="D14" s="1" t="s">
        <v>216</v>
      </c>
      <c r="E14" s="1">
        <v>30</v>
      </c>
      <c r="F14" s="1" t="s">
        <v>112</v>
      </c>
      <c r="G14" s="1">
        <v>649</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5" s="1" t="s">
        <v>3009</v>
      </c>
      <c r="D15" s="1" t="s">
        <v>3010</v>
      </c>
      <c r="E15" s="1" t="s">
        <v>3011</v>
      </c>
      <c r="F15" s="1" t="s">
        <v>112</v>
      </c>
      <c r="G15" s="1">
        <v>385877</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6" s="1" t="s">
        <v>3012</v>
      </c>
      <c r="D16" s="1" t="s">
        <v>3013</v>
      </c>
      <c r="E16" s="1" t="s">
        <v>3014</v>
      </c>
      <c r="F16" s="1" t="s">
        <v>112</v>
      </c>
      <c r="G16" s="1">
        <v>300223</v>
      </c>
    </row>
    <row r="17" spans="1:7"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 s="1" t="s">
        <v>3015</v>
      </c>
      <c r="D17" s="1" t="s">
        <v>3016</v>
      </c>
      <c r="E17" s="1" t="s">
        <v>3017</v>
      </c>
      <c r="F17" s="1" t="s">
        <v>112</v>
      </c>
      <c r="G17" s="1">
        <v>435951</v>
      </c>
    </row>
    <row r="18" spans="1:7"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8" s="1" t="s">
        <v>3018</v>
      </c>
      <c r="D18" s="1" t="s">
        <v>605</v>
      </c>
      <c r="E18" s="1" t="s">
        <v>2593</v>
      </c>
      <c r="F18" s="1" t="s">
        <v>112</v>
      </c>
      <c r="G18" s="1">
        <v>263733</v>
      </c>
    </row>
    <row r="19" spans="1:7"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9" s="1" t="s">
        <v>3019</v>
      </c>
      <c r="D19" s="1" t="s">
        <v>3020</v>
      </c>
      <c r="E19" s="1" t="s">
        <v>3021</v>
      </c>
      <c r="F19" s="1" t="s">
        <v>112</v>
      </c>
      <c r="G19" s="1">
        <v>273294</v>
      </c>
    </row>
    <row r="20" spans="1:7"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0" s="1" t="s">
        <v>3022</v>
      </c>
      <c r="D20" s="1" t="s">
        <v>3023</v>
      </c>
      <c r="E20" s="1" t="s">
        <v>3024</v>
      </c>
      <c r="F20" s="1" t="s">
        <v>112</v>
      </c>
      <c r="G20" s="1">
        <v>300893</v>
      </c>
    </row>
    <row r="21" spans="1:7"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 s="1" t="s">
        <v>3025</v>
      </c>
      <c r="D21" s="1" t="s">
        <v>2535</v>
      </c>
      <c r="E21" s="1" t="s">
        <v>3026</v>
      </c>
      <c r="F21" s="1" t="s">
        <v>112</v>
      </c>
      <c r="G21" s="1">
        <v>214893</v>
      </c>
    </row>
    <row r="22" spans="1:7"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2" s="1" t="s">
        <v>3027</v>
      </c>
      <c r="D22" s="1" t="s">
        <v>2902</v>
      </c>
      <c r="E22" s="1" t="s">
        <v>3028</v>
      </c>
      <c r="F22" s="1" t="s">
        <v>112</v>
      </c>
      <c r="G22" s="1">
        <v>268319</v>
      </c>
    </row>
    <row r="23" spans="1:7"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3" s="1" t="s">
        <v>3029</v>
      </c>
      <c r="D23" s="1" t="s">
        <v>1425</v>
      </c>
      <c r="E23" s="1" t="s">
        <v>3030</v>
      </c>
      <c r="F23" s="1" t="s">
        <v>112</v>
      </c>
      <c r="G23" s="1">
        <v>243423</v>
      </c>
    </row>
    <row r="24" spans="1:7"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 s="1" t="s">
        <v>3031</v>
      </c>
      <c r="D24" s="1" t="s">
        <v>3032</v>
      </c>
      <c r="E24" s="1" t="s">
        <v>3033</v>
      </c>
      <c r="F24" s="1" t="s">
        <v>112</v>
      </c>
      <c r="G24" s="1">
        <v>424487</v>
      </c>
    </row>
    <row r="25" spans="1:7"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 s="1" t="s">
        <v>3034</v>
      </c>
      <c r="D25" s="1" t="s">
        <v>3035</v>
      </c>
      <c r="E25" s="1" t="s">
        <v>3036</v>
      </c>
      <c r="F25" s="1" t="s">
        <v>112</v>
      </c>
      <c r="G25" s="1">
        <v>361717</v>
      </c>
    </row>
    <row r="26" spans="1:7"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6" s="1" t="s">
        <v>3037</v>
      </c>
      <c r="D26" s="1" t="s">
        <v>3038</v>
      </c>
      <c r="E26" s="1" t="s">
        <v>3039</v>
      </c>
      <c r="F26" s="1" t="s">
        <v>112</v>
      </c>
      <c r="G26" s="1">
        <v>241044</v>
      </c>
    </row>
    <row r="27" spans="1:7" x14ac:dyDescent="0.35">
      <c r="A27" s="1" t="str">
        <f t="shared" si="0"/>
        <v>1</v>
      </c>
      <c r="B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7" s="1" t="s">
        <v>3040</v>
      </c>
      <c r="D27" s="1" t="s">
        <v>3041</v>
      </c>
      <c r="E27" s="1" t="s">
        <v>3042</v>
      </c>
      <c r="F27" s="1" t="s">
        <v>112</v>
      </c>
      <c r="G27" s="1">
        <v>331175</v>
      </c>
    </row>
    <row r="28" spans="1:7" x14ac:dyDescent="0.3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 s="1" t="s">
        <v>3043</v>
      </c>
      <c r="D28" s="1" t="s">
        <v>3044</v>
      </c>
      <c r="E28" s="1" t="s">
        <v>3045</v>
      </c>
      <c r="F28" s="1" t="s">
        <v>112</v>
      </c>
      <c r="G28" s="1">
        <v>221901</v>
      </c>
    </row>
    <row r="29" spans="1:7"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9" s="1" t="s">
        <v>3046</v>
      </c>
      <c r="D29" s="1" t="s">
        <v>208</v>
      </c>
      <c r="E29" s="1" t="s">
        <v>3047</v>
      </c>
      <c r="F29" s="1" t="s">
        <v>112</v>
      </c>
      <c r="G29" s="1">
        <v>166918</v>
      </c>
    </row>
    <row r="30" spans="1:7" x14ac:dyDescent="0.35">
      <c r="A30" s="1" t="str">
        <f t="shared" si="0"/>
        <v>1</v>
      </c>
      <c r="B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0" s="1" t="s">
        <v>3048</v>
      </c>
      <c r="D30" s="1" t="s">
        <v>3049</v>
      </c>
      <c r="E30" s="1" t="s">
        <v>3050</v>
      </c>
      <c r="F30" s="1" t="s">
        <v>112</v>
      </c>
      <c r="G30" s="1">
        <v>472635</v>
      </c>
    </row>
    <row r="31" spans="1:7" x14ac:dyDescent="0.35">
      <c r="A31" s="1" t="str">
        <f t="shared" si="0"/>
        <v>1</v>
      </c>
      <c r="B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1" s="1" t="s">
        <v>3051</v>
      </c>
      <c r="D31" s="1" t="s">
        <v>566</v>
      </c>
      <c r="E31" s="1" t="s">
        <v>3052</v>
      </c>
      <c r="F31" s="1" t="s">
        <v>112</v>
      </c>
      <c r="G31" s="1">
        <v>220387</v>
      </c>
    </row>
    <row r="32" spans="1:7" x14ac:dyDescent="0.35">
      <c r="A32" s="1" t="str">
        <f t="shared" si="0"/>
        <v>1</v>
      </c>
      <c r="B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 s="1" t="s">
        <v>3053</v>
      </c>
      <c r="D32" s="1" t="s">
        <v>1037</v>
      </c>
      <c r="E32" s="1" t="s">
        <v>3054</v>
      </c>
      <c r="F32" s="1" t="s">
        <v>112</v>
      </c>
      <c r="G32" s="1">
        <v>5256</v>
      </c>
    </row>
    <row r="33" spans="1:8" x14ac:dyDescent="0.35">
      <c r="A33" s="1" t="str">
        <f t="shared" si="0"/>
        <v>1</v>
      </c>
      <c r="B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3" s="1" t="s">
        <v>3055</v>
      </c>
      <c r="D33" s="1" t="s">
        <v>627</v>
      </c>
      <c r="E33" s="1" t="s">
        <v>3056</v>
      </c>
      <c r="F33" s="1" t="s">
        <v>112</v>
      </c>
      <c r="G33" s="1">
        <v>221642</v>
      </c>
    </row>
    <row r="34" spans="1:8" x14ac:dyDescent="0.35">
      <c r="A34" s="1" t="str">
        <f t="shared" si="0"/>
        <v>1</v>
      </c>
      <c r="B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4" s="1" t="s">
        <v>3057</v>
      </c>
      <c r="D34" s="1" t="s">
        <v>578</v>
      </c>
      <c r="E34" s="1" t="s">
        <v>3058</v>
      </c>
      <c r="F34" s="1" t="s">
        <v>112</v>
      </c>
      <c r="G34" s="1">
        <v>290533</v>
      </c>
    </row>
    <row r="35" spans="1:8"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112</v>
      </c>
    </row>
    <row r="36" spans="1:8"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 s="1" t="s">
        <v>227</v>
      </c>
      <c r="D36" s="1" t="s">
        <v>112</v>
      </c>
      <c r="E36" s="1" t="s">
        <v>228</v>
      </c>
      <c r="F36" s="1" t="s">
        <v>229</v>
      </c>
      <c r="G36" s="1" t="s">
        <v>230</v>
      </c>
      <c r="H36" s="1" t="s">
        <v>231</v>
      </c>
    </row>
    <row r="37" spans="1:8" x14ac:dyDescent="0.35">
      <c r="A37" s="1" t="str">
        <f t="shared" si="0"/>
        <v>1</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7" s="1" t="s">
        <v>3059</v>
      </c>
      <c r="D37" s="1" t="s">
        <v>112</v>
      </c>
      <c r="E37" s="1" t="s">
        <v>3060</v>
      </c>
      <c r="F37" s="1" t="s">
        <v>3061</v>
      </c>
      <c r="G37" s="1" t="s">
        <v>3062</v>
      </c>
      <c r="H37" s="1" t="s">
        <v>3063</v>
      </c>
    </row>
    <row r="38" spans="1:8"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 s="1" t="s">
        <v>112</v>
      </c>
    </row>
    <row r="39" spans="1:8"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 s="1" t="s">
        <v>112</v>
      </c>
    </row>
    <row r="40" spans="1:8"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 s="1" t="s">
        <v>112</v>
      </c>
    </row>
    <row r="41" spans="1:8"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 s="1" t="s">
        <v>112</v>
      </c>
    </row>
    <row r="42" spans="1:8"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 s="1" t="s">
        <v>112</v>
      </c>
    </row>
    <row r="43" spans="1:8"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 s="1" t="s">
        <v>173</v>
      </c>
      <c r="D43" s="1" t="s">
        <v>110</v>
      </c>
      <c r="E43" s="1" t="s">
        <v>111</v>
      </c>
      <c r="F43" s="1" t="s">
        <v>112</v>
      </c>
      <c r="G43" s="1" t="s">
        <v>113</v>
      </c>
    </row>
    <row r="44" spans="1:8"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4" s="1" t="s">
        <v>3064</v>
      </c>
      <c r="D44" s="1" t="s">
        <v>3065</v>
      </c>
      <c r="E44" s="1" t="s">
        <v>3066</v>
      </c>
      <c r="F44" s="1" t="s">
        <v>112</v>
      </c>
      <c r="G44" s="1">
        <v>322350</v>
      </c>
    </row>
    <row r="45" spans="1:8"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5" s="1" t="s">
        <v>3067</v>
      </c>
      <c r="D45" s="1" t="s">
        <v>484</v>
      </c>
      <c r="E45" s="1" t="s">
        <v>3068</v>
      </c>
      <c r="F45" s="1" t="s">
        <v>112</v>
      </c>
      <c r="G45" s="1">
        <v>91732</v>
      </c>
    </row>
    <row r="46" spans="1:8"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 s="1" t="s">
        <v>3069</v>
      </c>
      <c r="D46" s="1" t="s">
        <v>3070</v>
      </c>
      <c r="E46" s="1" t="s">
        <v>3071</v>
      </c>
      <c r="F46" s="1" t="s">
        <v>112</v>
      </c>
      <c r="G46" s="1">
        <v>304700</v>
      </c>
    </row>
    <row r="47" spans="1:8"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7" s="1" t="s">
        <v>3072</v>
      </c>
      <c r="D47" s="1" t="s">
        <v>3073</v>
      </c>
      <c r="E47" s="1" t="s">
        <v>3074</v>
      </c>
      <c r="F47" s="1" t="s">
        <v>112</v>
      </c>
      <c r="G47" s="1">
        <v>178555</v>
      </c>
    </row>
    <row r="48" spans="1:8"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8" s="1" t="s">
        <v>3075</v>
      </c>
      <c r="D48" s="1" t="s">
        <v>3076</v>
      </c>
      <c r="E48" s="1" t="s">
        <v>3077</v>
      </c>
      <c r="F48" s="1" t="s">
        <v>112</v>
      </c>
      <c r="G48" s="1">
        <v>1609891</v>
      </c>
    </row>
    <row r="49" spans="1:7"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9" s="1" t="s">
        <v>3078</v>
      </c>
      <c r="D49" s="1" t="s">
        <v>3079</v>
      </c>
      <c r="E49" s="1" t="s">
        <v>3080</v>
      </c>
      <c r="F49" s="1" t="s">
        <v>112</v>
      </c>
      <c r="G49" s="1">
        <v>2449997</v>
      </c>
    </row>
    <row r="50" spans="1:7"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 s="1" t="s">
        <v>3081</v>
      </c>
      <c r="D50" s="1" t="s">
        <v>3082</v>
      </c>
      <c r="E50" s="1" t="s">
        <v>3083</v>
      </c>
      <c r="F50" s="1" t="s">
        <v>112</v>
      </c>
      <c r="G50" s="1">
        <v>2215312</v>
      </c>
    </row>
    <row r="51" spans="1:7"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1" s="1" t="s">
        <v>3084</v>
      </c>
      <c r="D51" s="1" t="s">
        <v>830</v>
      </c>
      <c r="E51" s="1" t="s">
        <v>3085</v>
      </c>
      <c r="F51" s="1" t="s">
        <v>112</v>
      </c>
      <c r="G51" s="1">
        <v>3259301</v>
      </c>
    </row>
    <row r="52" spans="1:7"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2" s="1" t="s">
        <v>3086</v>
      </c>
      <c r="D52" s="1" t="s">
        <v>3087</v>
      </c>
      <c r="E52" s="1" t="s">
        <v>3088</v>
      </c>
      <c r="F52" s="1" t="s">
        <v>112</v>
      </c>
      <c r="G52" s="1">
        <v>1767206</v>
      </c>
    </row>
    <row r="53" spans="1:7"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 s="1" t="s">
        <v>3089</v>
      </c>
      <c r="D53" s="1" t="s">
        <v>3090</v>
      </c>
      <c r="E53" s="1" t="s">
        <v>3091</v>
      </c>
      <c r="F53" s="1" t="s">
        <v>112</v>
      </c>
      <c r="G53" s="1">
        <v>1796082</v>
      </c>
    </row>
    <row r="54" spans="1:7"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 s="1" t="s">
        <v>3092</v>
      </c>
      <c r="D54" s="1" t="s">
        <v>1318</v>
      </c>
      <c r="E54" s="1" t="s">
        <v>3093</v>
      </c>
      <c r="F54" s="1" t="s">
        <v>112</v>
      </c>
      <c r="G54" s="1">
        <v>1797769</v>
      </c>
    </row>
    <row r="55" spans="1:7"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5" s="1" t="s">
        <v>3094</v>
      </c>
      <c r="D55" s="1" t="s">
        <v>3095</v>
      </c>
      <c r="E55" s="1" t="s">
        <v>3096</v>
      </c>
      <c r="F55" s="1" t="s">
        <v>112</v>
      </c>
      <c r="G55" s="1">
        <v>1854872</v>
      </c>
    </row>
    <row r="56" spans="1:7"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6" s="1" t="s">
        <v>3097</v>
      </c>
      <c r="D56" s="1" t="s">
        <v>3098</v>
      </c>
      <c r="E56" s="1" t="s">
        <v>3099</v>
      </c>
      <c r="F56" s="1" t="s">
        <v>112</v>
      </c>
      <c r="G56" s="1">
        <v>2462845</v>
      </c>
    </row>
    <row r="57" spans="1:7"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 s="1" t="s">
        <v>3100</v>
      </c>
    </row>
    <row r="58" spans="1:7"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8" s="1" t="s">
        <v>3101</v>
      </c>
      <c r="D58" s="1" t="s">
        <v>3102</v>
      </c>
      <c r="E58" s="1" t="s">
        <v>3103</v>
      </c>
      <c r="F58" s="1" t="s">
        <v>112</v>
      </c>
      <c r="G58" s="1">
        <v>2494403</v>
      </c>
    </row>
    <row r="59" spans="1:7"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 s="1" t="s">
        <v>3104</v>
      </c>
      <c r="D59" s="1" t="s">
        <v>3105</v>
      </c>
      <c r="E59" s="1" t="s">
        <v>3106</v>
      </c>
      <c r="F59" s="1" t="s">
        <v>112</v>
      </c>
      <c r="G59" s="1">
        <v>2402649</v>
      </c>
    </row>
    <row r="60" spans="1:7" x14ac:dyDescent="0.35">
      <c r="A60" s="1" t="str">
        <f t="shared" si="0"/>
        <v>13</v>
      </c>
      <c r="B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 s="1" t="s">
        <v>3107</v>
      </c>
      <c r="D60" s="1" t="s">
        <v>3108</v>
      </c>
      <c r="E60" s="1" t="s">
        <v>3109</v>
      </c>
      <c r="F60" s="1" t="s">
        <v>112</v>
      </c>
      <c r="G60" s="1">
        <v>657441</v>
      </c>
    </row>
    <row r="61" spans="1:7" x14ac:dyDescent="0.3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 s="1" t="s">
        <v>3110</v>
      </c>
    </row>
    <row r="62" spans="1:7"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2" s="1" t="s">
        <v>3111</v>
      </c>
      <c r="D62" s="1" t="s">
        <v>3112</v>
      </c>
      <c r="E62" s="1" t="s">
        <v>3113</v>
      </c>
      <c r="F62" s="1" t="s">
        <v>112</v>
      </c>
      <c r="G62" s="1">
        <v>847092</v>
      </c>
    </row>
    <row r="63" spans="1:7" x14ac:dyDescent="0.35">
      <c r="A63" s="1" t="str">
        <f t="shared" si="0"/>
        <v>13</v>
      </c>
      <c r="B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3" s="1" t="s">
        <v>3114</v>
      </c>
      <c r="D63" s="1" t="s">
        <v>3115</v>
      </c>
      <c r="E63" s="1" t="s">
        <v>3116</v>
      </c>
      <c r="F63" s="1" t="s">
        <v>112</v>
      </c>
      <c r="G63" s="1">
        <v>408718</v>
      </c>
    </row>
    <row r="64" spans="1:7" x14ac:dyDescent="0.35">
      <c r="A64" s="1" t="str">
        <f t="shared" si="0"/>
        <v>13</v>
      </c>
      <c r="B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 s="1" t="s">
        <v>3117</v>
      </c>
    </row>
    <row r="65" spans="1:8" x14ac:dyDescent="0.35">
      <c r="A65" s="1" t="str">
        <f t="shared" si="0"/>
        <v>13</v>
      </c>
      <c r="B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5" s="1" t="s">
        <v>3118</v>
      </c>
      <c r="D65" s="1" t="s">
        <v>3119</v>
      </c>
      <c r="E65" s="1" t="s">
        <v>3120</v>
      </c>
      <c r="F65" s="1" t="s">
        <v>112</v>
      </c>
      <c r="G65" s="1">
        <v>3142889</v>
      </c>
    </row>
    <row r="66" spans="1:8" x14ac:dyDescent="0.35">
      <c r="A66" s="1" t="str">
        <f t="shared" ref="A66:A129" si="1">IFERROR(LEFT(RIGHT(C66,LEN(C66)-SEARCH("@",C66)),SEARCH("/",RIGHT(C66,LEN(C66)-SEARCH("@",C66)-1))),"")</f>
        <v>13</v>
      </c>
      <c r="B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6" s="1" t="s">
        <v>3121</v>
      </c>
      <c r="D66" s="1" t="s">
        <v>3122</v>
      </c>
      <c r="E66" s="1" t="s">
        <v>3123</v>
      </c>
      <c r="F66" s="1" t="s">
        <v>112</v>
      </c>
      <c r="G66" s="1">
        <v>3583814</v>
      </c>
    </row>
    <row r="67" spans="1:8" x14ac:dyDescent="0.35">
      <c r="A67" s="1" t="str">
        <f t="shared" si="1"/>
        <v>13</v>
      </c>
      <c r="B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 s="1" t="s">
        <v>3124</v>
      </c>
      <c r="D67" s="1" t="s">
        <v>3125</v>
      </c>
      <c r="E67" s="1" t="s">
        <v>3126</v>
      </c>
      <c r="F67" s="1" t="s">
        <v>112</v>
      </c>
      <c r="G67" s="1">
        <v>3401366</v>
      </c>
    </row>
    <row r="68" spans="1:8" x14ac:dyDescent="0.35">
      <c r="A68" s="1" t="str">
        <f t="shared" si="1"/>
        <v>13</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 s="1" t="s">
        <v>3127</v>
      </c>
      <c r="D68" s="1" t="s">
        <v>3128</v>
      </c>
      <c r="E68" s="1" t="s">
        <v>3129</v>
      </c>
      <c r="F68" s="1" t="s">
        <v>112</v>
      </c>
      <c r="G68" s="1">
        <v>2437040</v>
      </c>
    </row>
    <row r="69" spans="1:8" x14ac:dyDescent="0.35">
      <c r="A69" s="1" t="str">
        <f t="shared" si="1"/>
        <v>13</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9" s="1" t="s">
        <v>3130</v>
      </c>
      <c r="D69" s="1" t="s">
        <v>3131</v>
      </c>
      <c r="E69" s="1" t="s">
        <v>3132</v>
      </c>
      <c r="F69" s="1" t="s">
        <v>112</v>
      </c>
      <c r="G69" s="1">
        <v>2281435</v>
      </c>
    </row>
    <row r="70" spans="1:8" x14ac:dyDescent="0.35">
      <c r="A70" s="1" t="str">
        <f t="shared" si="1"/>
        <v>13</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0" s="1" t="s">
        <v>3133</v>
      </c>
      <c r="D70" s="1" t="s">
        <v>3134</v>
      </c>
      <c r="E70" s="1" t="s">
        <v>3135</v>
      </c>
      <c r="F70" s="1" t="s">
        <v>112</v>
      </c>
      <c r="G70" s="1">
        <v>2495787</v>
      </c>
    </row>
    <row r="71" spans="1:8" x14ac:dyDescent="0.35">
      <c r="A71" s="1" t="str">
        <f t="shared" si="1"/>
        <v>13</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1" s="1" t="s">
        <v>3136</v>
      </c>
      <c r="D71" s="1" t="s">
        <v>3137</v>
      </c>
      <c r="E71" s="1" t="s">
        <v>3138</v>
      </c>
      <c r="F71" s="1" t="s">
        <v>112</v>
      </c>
      <c r="G71" s="1">
        <v>1659099</v>
      </c>
    </row>
    <row r="72" spans="1:8" x14ac:dyDescent="0.35">
      <c r="A72" s="1" t="str">
        <f t="shared" si="1"/>
        <v>13</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2" s="1" t="s">
        <v>3139</v>
      </c>
      <c r="D72" s="1" t="s">
        <v>3140</v>
      </c>
      <c r="E72" s="1" t="s">
        <v>3141</v>
      </c>
      <c r="F72" s="1" t="s">
        <v>112</v>
      </c>
      <c r="G72" s="1">
        <v>3673989</v>
      </c>
    </row>
    <row r="73" spans="1:8" x14ac:dyDescent="0.35">
      <c r="A73" s="1" t="str">
        <f t="shared" si="1"/>
        <v>13</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3" s="1" t="s">
        <v>3142</v>
      </c>
    </row>
    <row r="74" spans="1:8" x14ac:dyDescent="0.35">
      <c r="A74" s="1" t="str">
        <f t="shared" si="1"/>
        <v>13</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4" s="1" t="s">
        <v>3143</v>
      </c>
    </row>
    <row r="75" spans="1:8" x14ac:dyDescent="0.35">
      <c r="A75" s="1" t="str">
        <f t="shared" si="1"/>
        <v>13</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5" s="1" t="s">
        <v>3144</v>
      </c>
      <c r="D75" s="1" t="s">
        <v>3145</v>
      </c>
      <c r="E75" s="1" t="s">
        <v>3146</v>
      </c>
      <c r="F75" s="1" t="s">
        <v>112</v>
      </c>
      <c r="G75" s="1">
        <v>4066680</v>
      </c>
    </row>
    <row r="76" spans="1:8"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 s="1" t="s">
        <v>112</v>
      </c>
    </row>
    <row r="77" spans="1:8"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 s="1" t="s">
        <v>227</v>
      </c>
      <c r="D77" s="1" t="s">
        <v>112</v>
      </c>
      <c r="E77" s="1" t="s">
        <v>228</v>
      </c>
      <c r="F77" s="1" t="s">
        <v>229</v>
      </c>
      <c r="G77" s="1" t="s">
        <v>230</v>
      </c>
      <c r="H77" s="1" t="s">
        <v>231</v>
      </c>
    </row>
    <row r="78" spans="1:8" x14ac:dyDescent="0.35">
      <c r="A78" s="1" t="str">
        <f t="shared" si="1"/>
        <v>13</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8" s="1" t="s">
        <v>3147</v>
      </c>
      <c r="D78" s="1" t="s">
        <v>112</v>
      </c>
      <c r="E78" s="1" t="s">
        <v>3148</v>
      </c>
      <c r="F78" s="1" t="s">
        <v>3149</v>
      </c>
      <c r="G78" s="1" t="s">
        <v>3150</v>
      </c>
      <c r="H78" s="1" t="s">
        <v>3151</v>
      </c>
    </row>
    <row r="79" spans="1:8"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 s="1" t="s">
        <v>112</v>
      </c>
    </row>
    <row r="80" spans="1:8"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0" s="1" t="s">
        <v>112</v>
      </c>
    </row>
    <row r="81" spans="1:7"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 s="1" t="s">
        <v>112</v>
      </c>
    </row>
    <row r="82" spans="1:7"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 s="1" t="s">
        <v>112</v>
      </c>
    </row>
    <row r="83" spans="1:7"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 s="1" t="s">
        <v>112</v>
      </c>
    </row>
    <row r="84" spans="1:7"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4" s="1" t="s">
        <v>173</v>
      </c>
      <c r="D84" s="1" t="s">
        <v>110</v>
      </c>
      <c r="E84" s="1" t="s">
        <v>111</v>
      </c>
      <c r="F84" s="1" t="s">
        <v>112</v>
      </c>
      <c r="G84" s="1" t="s">
        <v>113</v>
      </c>
    </row>
    <row r="85" spans="1:7"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5" s="1" t="s">
        <v>3152</v>
      </c>
      <c r="D85" s="1" t="s">
        <v>3153</v>
      </c>
      <c r="E85" s="1" t="s">
        <v>3154</v>
      </c>
      <c r="F85" s="1" t="s">
        <v>112</v>
      </c>
      <c r="G85" s="1">
        <v>802210</v>
      </c>
    </row>
    <row r="86" spans="1:7"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6" s="1" t="s">
        <v>3155</v>
      </c>
      <c r="D86" s="1" t="s">
        <v>3156</v>
      </c>
      <c r="E86" s="1" t="s">
        <v>3157</v>
      </c>
      <c r="F86" s="1" t="s">
        <v>112</v>
      </c>
      <c r="G86" s="1">
        <v>629279</v>
      </c>
    </row>
    <row r="87" spans="1:7"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7" s="1" t="s">
        <v>3158</v>
      </c>
      <c r="D87" s="1" t="s">
        <v>3159</v>
      </c>
      <c r="E87" s="1" t="s">
        <v>3160</v>
      </c>
      <c r="F87" s="1" t="s">
        <v>112</v>
      </c>
      <c r="G87" s="1">
        <v>610980</v>
      </c>
    </row>
    <row r="88" spans="1:7"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8" s="1" t="s">
        <v>3161</v>
      </c>
      <c r="D88" s="1" t="s">
        <v>3162</v>
      </c>
      <c r="E88" s="1" t="s">
        <v>3163</v>
      </c>
      <c r="F88" s="1" t="s">
        <v>112</v>
      </c>
      <c r="G88" s="1">
        <v>744761</v>
      </c>
    </row>
    <row r="89" spans="1:7"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9" s="1" t="s">
        <v>3164</v>
      </c>
      <c r="D89" s="1" t="s">
        <v>222</v>
      </c>
      <c r="E89" s="1" t="s">
        <v>3165</v>
      </c>
      <c r="F89" s="1" t="s">
        <v>112</v>
      </c>
      <c r="G89" s="1">
        <v>240741</v>
      </c>
    </row>
    <row r="90" spans="1:7"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0" s="1" t="s">
        <v>3166</v>
      </c>
      <c r="D90" s="1" t="s">
        <v>3167</v>
      </c>
      <c r="E90" s="1" t="s">
        <v>3168</v>
      </c>
      <c r="F90" s="1" t="s">
        <v>112</v>
      </c>
      <c r="G90" s="1">
        <v>216926</v>
      </c>
    </row>
    <row r="91" spans="1:7"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1" s="1" t="s">
        <v>3169</v>
      </c>
      <c r="D91" s="1" t="s">
        <v>1663</v>
      </c>
      <c r="E91" s="1" t="s">
        <v>3170</v>
      </c>
      <c r="F91" s="1" t="s">
        <v>112</v>
      </c>
      <c r="G91" s="1">
        <v>279264</v>
      </c>
    </row>
    <row r="92" spans="1:7"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92" s="1" t="s">
        <v>3171</v>
      </c>
      <c r="D92" s="1" t="s">
        <v>1171</v>
      </c>
      <c r="E92" s="1" t="s">
        <v>3172</v>
      </c>
      <c r="F92" s="1" t="s">
        <v>112</v>
      </c>
      <c r="G92" s="1">
        <v>835217</v>
      </c>
    </row>
    <row r="93" spans="1:7" x14ac:dyDescent="0.35">
      <c r="A93" s="1" t="str">
        <f t="shared" si="1"/>
        <v>14</v>
      </c>
      <c r="B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3" s="1" t="s">
        <v>3173</v>
      </c>
      <c r="D93" s="1" t="s">
        <v>3174</v>
      </c>
      <c r="E93" s="1" t="s">
        <v>3175</v>
      </c>
      <c r="F93" s="1" t="s">
        <v>112</v>
      </c>
      <c r="G93" s="1">
        <v>2456139</v>
      </c>
    </row>
    <row r="94" spans="1:7" x14ac:dyDescent="0.3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4" s="1" t="s">
        <v>3176</v>
      </c>
      <c r="D94" s="1" t="s">
        <v>3177</v>
      </c>
      <c r="E94" s="1" t="s">
        <v>3178</v>
      </c>
      <c r="F94" s="1" t="s">
        <v>112</v>
      </c>
      <c r="G94" s="1">
        <v>2093644</v>
      </c>
    </row>
    <row r="95" spans="1:7"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5" s="1" t="s">
        <v>3179</v>
      </c>
      <c r="D95" s="1" t="s">
        <v>3180</v>
      </c>
      <c r="E95" s="1" t="s">
        <v>3181</v>
      </c>
      <c r="F95" s="1" t="s">
        <v>112</v>
      </c>
      <c r="G95" s="1">
        <v>2749441</v>
      </c>
    </row>
    <row r="96" spans="1:7" x14ac:dyDescent="0.35">
      <c r="A96" s="1" t="str">
        <f t="shared" si="1"/>
        <v>14</v>
      </c>
      <c r="B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6" s="1" t="s">
        <v>3182</v>
      </c>
    </row>
    <row r="97" spans="1:7" x14ac:dyDescent="0.35">
      <c r="A97" s="1" t="str">
        <f t="shared" si="1"/>
        <v>14</v>
      </c>
      <c r="B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7" s="1" t="s">
        <v>3183</v>
      </c>
      <c r="D97" s="1" t="s">
        <v>1233</v>
      </c>
      <c r="E97" s="1" t="s">
        <v>3184</v>
      </c>
      <c r="F97" s="1" t="s">
        <v>112</v>
      </c>
      <c r="G97" s="1">
        <v>1438518</v>
      </c>
    </row>
    <row r="98" spans="1:7" x14ac:dyDescent="0.35">
      <c r="A98" s="1" t="str">
        <f t="shared" si="1"/>
        <v>14</v>
      </c>
      <c r="B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8" s="1" t="s">
        <v>3185</v>
      </c>
    </row>
    <row r="99" spans="1:7" x14ac:dyDescent="0.35">
      <c r="A99" s="1" t="str">
        <f t="shared" si="1"/>
        <v>14</v>
      </c>
      <c r="B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99" s="1" t="s">
        <v>3186</v>
      </c>
      <c r="D99" s="1" t="s">
        <v>757</v>
      </c>
      <c r="E99" s="1" t="s">
        <v>3187</v>
      </c>
      <c r="F99" s="1" t="s">
        <v>112</v>
      </c>
      <c r="G99" s="1">
        <v>997225</v>
      </c>
    </row>
    <row r="100" spans="1:7" x14ac:dyDescent="0.35">
      <c r="A100" s="1" t="str">
        <f t="shared" si="1"/>
        <v>14</v>
      </c>
      <c r="B1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00" s="1" t="s">
        <v>3188</v>
      </c>
      <c r="D100" s="1" t="s">
        <v>3189</v>
      </c>
      <c r="E100" s="1" t="s">
        <v>3190</v>
      </c>
      <c r="F100" s="1" t="s">
        <v>112</v>
      </c>
      <c r="G100" s="1">
        <v>886566</v>
      </c>
    </row>
    <row r="101" spans="1:7" x14ac:dyDescent="0.35">
      <c r="A101" s="1" t="str">
        <f t="shared" si="1"/>
        <v>14</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1" s="1" t="s">
        <v>3191</v>
      </c>
      <c r="D101" s="1" t="s">
        <v>309</v>
      </c>
      <c r="E101" s="1" t="s">
        <v>3192</v>
      </c>
      <c r="F101" s="1" t="s">
        <v>112</v>
      </c>
      <c r="G101" s="1">
        <v>2123017</v>
      </c>
    </row>
    <row r="102" spans="1:7" x14ac:dyDescent="0.35">
      <c r="A102" s="1" t="str">
        <f t="shared" si="1"/>
        <v>14</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2" s="1" t="s">
        <v>3193</v>
      </c>
      <c r="D102" s="1" t="s">
        <v>3194</v>
      </c>
      <c r="E102" s="1" t="s">
        <v>3195</v>
      </c>
      <c r="F102" s="1" t="s">
        <v>112</v>
      </c>
      <c r="G102" s="1">
        <v>2143198</v>
      </c>
    </row>
    <row r="103" spans="1:7" x14ac:dyDescent="0.35">
      <c r="A103" s="1" t="str">
        <f t="shared" si="1"/>
        <v>14</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3" s="1" t="s">
        <v>3196</v>
      </c>
      <c r="D103" s="1" t="s">
        <v>3197</v>
      </c>
      <c r="E103" s="1" t="s">
        <v>3198</v>
      </c>
      <c r="F103" s="1" t="s">
        <v>112</v>
      </c>
      <c r="G103" s="1">
        <v>1964341</v>
      </c>
    </row>
    <row r="104" spans="1:7" x14ac:dyDescent="0.35">
      <c r="A104" s="1" t="str">
        <f t="shared" si="1"/>
        <v>14</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04" s="1" t="s">
        <v>3199</v>
      </c>
      <c r="D104" s="1" t="s">
        <v>3200</v>
      </c>
      <c r="E104" s="1" t="s">
        <v>3201</v>
      </c>
      <c r="F104" s="1" t="s">
        <v>112</v>
      </c>
      <c r="G104" s="1">
        <v>2110645</v>
      </c>
    </row>
    <row r="105" spans="1:7" x14ac:dyDescent="0.35">
      <c r="A105" s="1" t="str">
        <f t="shared" si="1"/>
        <v>14</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5" s="1" t="s">
        <v>3202</v>
      </c>
      <c r="D105" s="1" t="s">
        <v>3203</v>
      </c>
      <c r="E105" s="1" t="s">
        <v>3204</v>
      </c>
      <c r="F105" s="1" t="s">
        <v>112</v>
      </c>
      <c r="G105" s="1">
        <v>1803630</v>
      </c>
    </row>
    <row r="106" spans="1:7" x14ac:dyDescent="0.35">
      <c r="A106" s="1" t="str">
        <f t="shared" si="1"/>
        <v>14</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6" s="1" t="s">
        <v>3205</v>
      </c>
      <c r="D106" s="1" t="s">
        <v>2837</v>
      </c>
      <c r="E106" s="1" t="s">
        <v>3206</v>
      </c>
      <c r="F106" s="1" t="s">
        <v>112</v>
      </c>
      <c r="G106" s="1">
        <v>1928521</v>
      </c>
    </row>
    <row r="107" spans="1:7" x14ac:dyDescent="0.35">
      <c r="A107" s="1" t="str">
        <f t="shared" si="1"/>
        <v>14</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7" s="1" t="s">
        <v>3207</v>
      </c>
      <c r="D107" s="1" t="s">
        <v>3208</v>
      </c>
      <c r="E107" s="1" t="s">
        <v>3209</v>
      </c>
      <c r="F107" s="1" t="s">
        <v>112</v>
      </c>
      <c r="G107" s="1">
        <v>2118367</v>
      </c>
    </row>
    <row r="108" spans="1:7" x14ac:dyDescent="0.35">
      <c r="A108" s="1" t="str">
        <f t="shared" si="1"/>
        <v>14</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08" s="1" t="s">
        <v>3210</v>
      </c>
      <c r="D108" s="1" t="s">
        <v>3211</v>
      </c>
      <c r="E108" s="1" t="s">
        <v>3212</v>
      </c>
      <c r="F108" s="1" t="s">
        <v>112</v>
      </c>
      <c r="G108" s="1">
        <v>2355171</v>
      </c>
    </row>
    <row r="109" spans="1:7" x14ac:dyDescent="0.35">
      <c r="A109" s="1" t="str">
        <f t="shared" si="1"/>
        <v>14</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09" s="1" t="s">
        <v>3213</v>
      </c>
      <c r="D109" s="1" t="s">
        <v>3214</v>
      </c>
      <c r="E109" s="1" t="s">
        <v>3215</v>
      </c>
      <c r="F109" s="1" t="s">
        <v>112</v>
      </c>
      <c r="G109" s="1">
        <v>2455123</v>
      </c>
    </row>
    <row r="110" spans="1:7" x14ac:dyDescent="0.35">
      <c r="A110" s="1" t="str">
        <f t="shared" si="1"/>
        <v>14</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0" s="1" t="s">
        <v>3216</v>
      </c>
      <c r="D110" s="1" t="s">
        <v>3217</v>
      </c>
      <c r="E110" s="1" t="s">
        <v>3218</v>
      </c>
      <c r="F110" s="1" t="s">
        <v>112</v>
      </c>
      <c r="G110" s="1">
        <v>2496155</v>
      </c>
    </row>
    <row r="111" spans="1:7" x14ac:dyDescent="0.35">
      <c r="A111" s="1" t="str">
        <f t="shared" si="1"/>
        <v>14</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1" s="1" t="s">
        <v>3219</v>
      </c>
      <c r="D111" s="1" t="s">
        <v>3220</v>
      </c>
      <c r="E111" s="1" t="s">
        <v>3221</v>
      </c>
      <c r="F111" s="1" t="s">
        <v>112</v>
      </c>
      <c r="G111" s="1">
        <v>2492261</v>
      </c>
    </row>
    <row r="112" spans="1:7" x14ac:dyDescent="0.35">
      <c r="A112" s="1" t="str">
        <f t="shared" si="1"/>
        <v>14</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2" s="1" t="s">
        <v>3222</v>
      </c>
      <c r="D112" s="1" t="s">
        <v>1897</v>
      </c>
      <c r="E112" s="1" t="s">
        <v>3223</v>
      </c>
      <c r="F112" s="1" t="s">
        <v>112</v>
      </c>
      <c r="G112" s="1">
        <v>2729433</v>
      </c>
    </row>
    <row r="113" spans="1:8" x14ac:dyDescent="0.35">
      <c r="A113" s="1" t="str">
        <f t="shared" si="1"/>
        <v>14</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3" s="1" t="s">
        <v>3224</v>
      </c>
      <c r="D113" s="1" t="s">
        <v>3225</v>
      </c>
      <c r="E113" s="1" t="s">
        <v>3226</v>
      </c>
      <c r="F113" s="1" t="s">
        <v>112</v>
      </c>
      <c r="G113" s="1">
        <v>2170819</v>
      </c>
    </row>
    <row r="114" spans="1:8" x14ac:dyDescent="0.35">
      <c r="A114" s="1" t="str">
        <f t="shared" si="1"/>
        <v>14</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4" s="1" t="s">
        <v>3227</v>
      </c>
      <c r="D114" s="1" t="s">
        <v>3228</v>
      </c>
      <c r="E114" s="1" t="s">
        <v>3229</v>
      </c>
      <c r="F114" s="1" t="s">
        <v>112</v>
      </c>
      <c r="G114" s="1">
        <v>2303367</v>
      </c>
    </row>
    <row r="115" spans="1:8" x14ac:dyDescent="0.35">
      <c r="A115" s="1" t="str">
        <f t="shared" si="1"/>
        <v>14</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5" s="1" t="s">
        <v>3230</v>
      </c>
      <c r="D115" s="1" t="s">
        <v>3231</v>
      </c>
      <c r="E115" s="1" t="s">
        <v>3232</v>
      </c>
      <c r="F115" s="1" t="s">
        <v>112</v>
      </c>
      <c r="G115" s="1">
        <v>2427220</v>
      </c>
    </row>
    <row r="116" spans="1:8" x14ac:dyDescent="0.35">
      <c r="A116" s="1" t="str">
        <f t="shared" si="1"/>
        <v>14</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16" s="1" t="s">
        <v>3233</v>
      </c>
      <c r="D116" s="1" t="s">
        <v>3234</v>
      </c>
      <c r="E116" s="1" t="s">
        <v>3235</v>
      </c>
      <c r="F116" s="1" t="s">
        <v>112</v>
      </c>
      <c r="G116" s="1">
        <v>2210381</v>
      </c>
    </row>
    <row r="117" spans="1:8"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7" s="1" t="s">
        <v>112</v>
      </c>
    </row>
    <row r="118" spans="1:8"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8" s="1" t="s">
        <v>227</v>
      </c>
      <c r="D118" s="1" t="s">
        <v>112</v>
      </c>
      <c r="E118" s="1" t="s">
        <v>228</v>
      </c>
      <c r="F118" s="1" t="s">
        <v>229</v>
      </c>
      <c r="G118" s="1" t="s">
        <v>230</v>
      </c>
      <c r="H118" s="1" t="s">
        <v>231</v>
      </c>
    </row>
    <row r="119" spans="1:8" x14ac:dyDescent="0.35">
      <c r="A119" s="1" t="str">
        <f t="shared" si="1"/>
        <v>14</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19" s="1" t="s">
        <v>3236</v>
      </c>
      <c r="D119" s="1" t="s">
        <v>112</v>
      </c>
      <c r="E119" s="1" t="s">
        <v>3237</v>
      </c>
      <c r="F119" s="1" t="s">
        <v>3238</v>
      </c>
      <c r="G119" s="1" t="s">
        <v>3239</v>
      </c>
      <c r="H119" s="1" t="s">
        <v>3240</v>
      </c>
    </row>
    <row r="120" spans="1:8"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0" s="1" t="s">
        <v>112</v>
      </c>
    </row>
    <row r="121" spans="1:8"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1" s="1" t="s">
        <v>112</v>
      </c>
    </row>
    <row r="122" spans="1:8"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2" s="1" t="s">
        <v>112</v>
      </c>
    </row>
    <row r="123" spans="1:8"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3" s="1" t="s">
        <v>112</v>
      </c>
    </row>
    <row r="124" spans="1:8"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4" s="1" t="s">
        <v>112</v>
      </c>
    </row>
    <row r="125" spans="1:8"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173</v>
      </c>
      <c r="D125" s="1" t="s">
        <v>110</v>
      </c>
      <c r="E125" s="1" t="s">
        <v>111</v>
      </c>
      <c r="F125" s="1" t="s">
        <v>112</v>
      </c>
      <c r="G125" s="1" t="s">
        <v>113</v>
      </c>
    </row>
    <row r="126" spans="1:8" x14ac:dyDescent="0.35">
      <c r="A126" s="1" t="str">
        <f t="shared" si="1"/>
        <v>15</v>
      </c>
      <c r="B1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6" s="1" t="s">
        <v>3241</v>
      </c>
      <c r="D126" s="1" t="s">
        <v>3242</v>
      </c>
      <c r="E126" s="1" t="s">
        <v>3243</v>
      </c>
      <c r="F126" s="1" t="s">
        <v>112</v>
      </c>
      <c r="G126" s="1">
        <v>2225111</v>
      </c>
    </row>
    <row r="127" spans="1:8" x14ac:dyDescent="0.3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7" s="1" t="s">
        <v>3244</v>
      </c>
      <c r="D127" s="1" t="s">
        <v>3245</v>
      </c>
      <c r="E127" s="1" t="s">
        <v>3246</v>
      </c>
      <c r="F127" s="1" t="s">
        <v>112</v>
      </c>
      <c r="G127" s="1">
        <v>2275984</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8" s="1" t="s">
        <v>3247</v>
      </c>
      <c r="D128" s="1" t="s">
        <v>3248</v>
      </c>
      <c r="E128" s="1" t="s">
        <v>3249</v>
      </c>
      <c r="F128" s="1" t="s">
        <v>112</v>
      </c>
      <c r="G128" s="1">
        <v>1940245</v>
      </c>
    </row>
    <row r="129" spans="1:7" x14ac:dyDescent="0.35">
      <c r="A129" s="1" t="str">
        <f t="shared" si="1"/>
        <v>15</v>
      </c>
      <c r="B1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29" s="1" t="s">
        <v>3250</v>
      </c>
    </row>
    <row r="130" spans="1:7" x14ac:dyDescent="0.35">
      <c r="A130" s="1" t="str">
        <f t="shared" ref="A130:A193" si="2">IFERROR(LEFT(RIGHT(C130,LEN(C130)-SEARCH("@",C130)),SEARCH("/",RIGHT(C130,LEN(C130)-SEARCH("@",C130)-1))),"")</f>
        <v>15</v>
      </c>
      <c r="B1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0" s="1" t="s">
        <v>3251</v>
      </c>
      <c r="D130" s="1" t="s">
        <v>1141</v>
      </c>
      <c r="E130" s="1" t="s">
        <v>3252</v>
      </c>
      <c r="F130" s="1" t="s">
        <v>112</v>
      </c>
      <c r="G130" s="1">
        <v>3487301</v>
      </c>
    </row>
    <row r="131" spans="1:7" x14ac:dyDescent="0.35">
      <c r="A131" s="1" t="str">
        <f t="shared" si="2"/>
        <v>15</v>
      </c>
      <c r="B1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1" s="1" t="s">
        <v>3253</v>
      </c>
      <c r="D131" s="1" t="s">
        <v>3254</v>
      </c>
      <c r="E131" s="1" t="s">
        <v>3255</v>
      </c>
      <c r="F131" s="1" t="s">
        <v>112</v>
      </c>
      <c r="G131" s="1">
        <v>3217663</v>
      </c>
    </row>
    <row r="132" spans="1:7" x14ac:dyDescent="0.35">
      <c r="A132" s="1" t="str">
        <f t="shared" si="2"/>
        <v>15</v>
      </c>
      <c r="B1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2" s="1" t="s">
        <v>3256</v>
      </c>
      <c r="D132" s="1" t="s">
        <v>3257</v>
      </c>
      <c r="E132" s="1" t="s">
        <v>3258</v>
      </c>
      <c r="F132" s="1" t="s">
        <v>112</v>
      </c>
      <c r="G132" s="1">
        <v>3405432</v>
      </c>
    </row>
    <row r="133" spans="1:7" x14ac:dyDescent="0.35">
      <c r="A133" s="1" t="str">
        <f t="shared" si="2"/>
        <v>15</v>
      </c>
      <c r="B1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3" s="1" t="s">
        <v>3259</v>
      </c>
      <c r="D133" s="1" t="s">
        <v>3260</v>
      </c>
      <c r="E133" s="1" t="s">
        <v>3261</v>
      </c>
      <c r="F133" s="1" t="s">
        <v>112</v>
      </c>
      <c r="G133" s="1">
        <v>3815838</v>
      </c>
    </row>
    <row r="134" spans="1:7" x14ac:dyDescent="0.35">
      <c r="A134" s="1" t="str">
        <f t="shared" si="2"/>
        <v>15</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4" s="1" t="s">
        <v>3262</v>
      </c>
      <c r="D134" s="1" t="s">
        <v>3263</v>
      </c>
      <c r="E134" s="1" t="s">
        <v>3264</v>
      </c>
      <c r="F134" s="1" t="s">
        <v>112</v>
      </c>
      <c r="G134" s="1">
        <v>3541376</v>
      </c>
    </row>
    <row r="135" spans="1:7" x14ac:dyDescent="0.35">
      <c r="A135" s="1" t="str">
        <f t="shared" si="2"/>
        <v>15</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5" s="1" t="s">
        <v>3265</v>
      </c>
      <c r="D135" s="1" t="s">
        <v>3266</v>
      </c>
      <c r="E135" s="1" t="s">
        <v>3267</v>
      </c>
      <c r="F135" s="1" t="s">
        <v>112</v>
      </c>
      <c r="G135" s="1">
        <v>3099002</v>
      </c>
    </row>
    <row r="136" spans="1:7" x14ac:dyDescent="0.35">
      <c r="A136" s="1" t="str">
        <f t="shared" si="2"/>
        <v>15</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6" s="1" t="s">
        <v>3268</v>
      </c>
      <c r="D136" s="1" t="s">
        <v>3269</v>
      </c>
      <c r="E136" s="1" t="s">
        <v>3270</v>
      </c>
      <c r="F136" s="1" t="s">
        <v>112</v>
      </c>
      <c r="G136" s="1">
        <v>3318999</v>
      </c>
    </row>
    <row r="137" spans="1:7" x14ac:dyDescent="0.35">
      <c r="A137" s="1" t="str">
        <f t="shared" si="2"/>
        <v>15</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37" s="1" t="s">
        <v>3271</v>
      </c>
      <c r="D137" s="1" t="s">
        <v>3272</v>
      </c>
      <c r="E137" s="1" t="s">
        <v>3273</v>
      </c>
      <c r="F137" s="1" t="s">
        <v>112</v>
      </c>
      <c r="G137" s="1">
        <v>3332972</v>
      </c>
    </row>
    <row r="138" spans="1:7" x14ac:dyDescent="0.35">
      <c r="A138" s="1" t="str">
        <f t="shared" si="2"/>
        <v>15</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8" s="1" t="s">
        <v>3274</v>
      </c>
      <c r="D138" s="1" t="s">
        <v>3275</v>
      </c>
      <c r="E138" s="1" t="s">
        <v>3276</v>
      </c>
      <c r="F138" s="1" t="s">
        <v>112</v>
      </c>
      <c r="G138" s="1">
        <v>3454727</v>
      </c>
    </row>
    <row r="139" spans="1:7" x14ac:dyDescent="0.35">
      <c r="A139" s="1" t="str">
        <f t="shared" si="2"/>
        <v>15</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9" s="1" t="s">
        <v>3277</v>
      </c>
      <c r="D139" s="1" t="s">
        <v>3278</v>
      </c>
      <c r="E139" s="1" t="s">
        <v>3279</v>
      </c>
      <c r="F139" s="1" t="s">
        <v>112</v>
      </c>
      <c r="G139" s="1">
        <v>2629373</v>
      </c>
    </row>
    <row r="140" spans="1:7" x14ac:dyDescent="0.35">
      <c r="A140" s="1" t="str">
        <f t="shared" si="2"/>
        <v>15</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0" s="1" t="s">
        <v>3280</v>
      </c>
      <c r="D140" s="1" t="s">
        <v>3281</v>
      </c>
      <c r="E140" s="1" t="s">
        <v>3282</v>
      </c>
      <c r="F140" s="1" t="s">
        <v>112</v>
      </c>
      <c r="G140" s="1">
        <v>3078150</v>
      </c>
    </row>
    <row r="141" spans="1:7" x14ac:dyDescent="0.35">
      <c r="A141" s="1" t="str">
        <f t="shared" si="2"/>
        <v>15</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1" s="1" t="s">
        <v>3283</v>
      </c>
      <c r="D141" s="1" t="s">
        <v>3284</v>
      </c>
      <c r="E141" s="1" t="s">
        <v>3285</v>
      </c>
      <c r="F141" s="1" t="s">
        <v>112</v>
      </c>
      <c r="G141" s="1">
        <v>4606064</v>
      </c>
    </row>
    <row r="142" spans="1:7" x14ac:dyDescent="0.35">
      <c r="A142" s="1" t="str">
        <f t="shared" si="2"/>
        <v>15</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2" s="1" t="s">
        <v>3286</v>
      </c>
      <c r="D142" s="1" t="s">
        <v>3287</v>
      </c>
      <c r="E142" s="1" t="s">
        <v>3288</v>
      </c>
      <c r="F142" s="1" t="s">
        <v>112</v>
      </c>
      <c r="G142" s="1">
        <v>4841636</v>
      </c>
    </row>
    <row r="143" spans="1:7" x14ac:dyDescent="0.35">
      <c r="A143" s="1" t="str">
        <f t="shared" si="2"/>
        <v>15</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3" s="1" t="s">
        <v>3289</v>
      </c>
    </row>
    <row r="144" spans="1:7" x14ac:dyDescent="0.35">
      <c r="A144" s="1" t="str">
        <f t="shared" si="2"/>
        <v>15</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4" s="1" t="s">
        <v>3290</v>
      </c>
      <c r="D144" s="1" t="s">
        <v>3291</v>
      </c>
      <c r="E144" s="1" t="s">
        <v>3292</v>
      </c>
      <c r="F144" s="1" t="s">
        <v>112</v>
      </c>
      <c r="G144" s="1">
        <v>4803026</v>
      </c>
    </row>
    <row r="145" spans="1:8" x14ac:dyDescent="0.35">
      <c r="A145" s="1" t="str">
        <f t="shared" si="2"/>
        <v>15</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5" s="1" t="s">
        <v>3293</v>
      </c>
    </row>
    <row r="146" spans="1:8" x14ac:dyDescent="0.35">
      <c r="A146" s="1" t="str">
        <f t="shared" si="2"/>
        <v>15</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6" s="1" t="s">
        <v>3294</v>
      </c>
      <c r="D146" s="1" t="s">
        <v>3295</v>
      </c>
      <c r="E146" s="1" t="s">
        <v>3296</v>
      </c>
      <c r="F146" s="1" t="s">
        <v>112</v>
      </c>
      <c r="G146" s="1">
        <v>2953584</v>
      </c>
    </row>
    <row r="147" spans="1:8" x14ac:dyDescent="0.35">
      <c r="A147" s="1" t="str">
        <f t="shared" si="2"/>
        <v>15</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7" s="1" t="s">
        <v>3297</v>
      </c>
      <c r="D147" s="1" t="s">
        <v>2789</v>
      </c>
      <c r="E147" s="1" t="s">
        <v>3298</v>
      </c>
      <c r="F147" s="1" t="s">
        <v>112</v>
      </c>
      <c r="G147" s="1">
        <v>3669663</v>
      </c>
    </row>
    <row r="148" spans="1:8" x14ac:dyDescent="0.35">
      <c r="A148" s="1" t="str">
        <f t="shared" si="2"/>
        <v>15</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8" s="1" t="s">
        <v>3299</v>
      </c>
      <c r="D148" s="1" t="s">
        <v>3300</v>
      </c>
      <c r="E148" s="1" t="s">
        <v>3301</v>
      </c>
      <c r="F148" s="1" t="s">
        <v>112</v>
      </c>
      <c r="G148" s="1">
        <v>3129802</v>
      </c>
    </row>
    <row r="149" spans="1:8" x14ac:dyDescent="0.35">
      <c r="A149" s="1" t="str">
        <f t="shared" si="2"/>
        <v>15</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3302</v>
      </c>
      <c r="D149" s="1" t="s">
        <v>3303</v>
      </c>
      <c r="E149" s="1" t="s">
        <v>3304</v>
      </c>
      <c r="F149" s="1" t="s">
        <v>112</v>
      </c>
      <c r="G149" s="1">
        <v>3537915</v>
      </c>
    </row>
    <row r="150" spans="1:8" x14ac:dyDescent="0.35">
      <c r="A150" s="1" t="str">
        <f t="shared" si="2"/>
        <v>15</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0" s="1" t="s">
        <v>3305</v>
      </c>
    </row>
    <row r="151" spans="1:8" x14ac:dyDescent="0.35">
      <c r="A151" s="1" t="str">
        <f t="shared" si="2"/>
        <v>15</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1" s="1" t="s">
        <v>3306</v>
      </c>
    </row>
    <row r="152" spans="1:8" x14ac:dyDescent="0.35">
      <c r="A152" s="1" t="str">
        <f t="shared" si="2"/>
        <v>15</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3307</v>
      </c>
    </row>
    <row r="153" spans="1:8" x14ac:dyDescent="0.35">
      <c r="A153" s="1" t="str">
        <f t="shared" si="2"/>
        <v>15</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3308</v>
      </c>
      <c r="D153" s="1" t="s">
        <v>3211</v>
      </c>
      <c r="E153" s="1" t="s">
        <v>3309</v>
      </c>
      <c r="F153" s="1" t="s">
        <v>112</v>
      </c>
      <c r="G153" s="1">
        <v>2581312</v>
      </c>
    </row>
    <row r="154" spans="1:8" x14ac:dyDescent="0.35">
      <c r="A154" s="1" t="str">
        <f t="shared" si="2"/>
        <v>15</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4" s="1" t="s">
        <v>3310</v>
      </c>
      <c r="D154" s="1" t="s">
        <v>3311</v>
      </c>
      <c r="E154" s="1" t="s">
        <v>3312</v>
      </c>
      <c r="F154" s="1" t="s">
        <v>112</v>
      </c>
      <c r="G154" s="1">
        <v>4650081</v>
      </c>
    </row>
    <row r="155" spans="1:8" x14ac:dyDescent="0.35">
      <c r="A155" s="1" t="str">
        <f t="shared" si="2"/>
        <v>15</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3313</v>
      </c>
      <c r="D155" s="1" t="s">
        <v>3314</v>
      </c>
      <c r="E155" s="1" t="s">
        <v>3315</v>
      </c>
      <c r="F155" s="1" t="s">
        <v>112</v>
      </c>
      <c r="G155" s="1">
        <v>4127525</v>
      </c>
    </row>
    <row r="156" spans="1:8" x14ac:dyDescent="0.35">
      <c r="A156" s="1" t="str">
        <f t="shared" si="2"/>
        <v>15</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3316</v>
      </c>
      <c r="D156" s="1" t="s">
        <v>3317</v>
      </c>
      <c r="E156" s="1" t="s">
        <v>3318</v>
      </c>
      <c r="F156" s="1" t="s">
        <v>112</v>
      </c>
      <c r="G156" s="1">
        <v>3892408</v>
      </c>
    </row>
    <row r="157" spans="1:8" x14ac:dyDescent="0.35">
      <c r="A157" s="1" t="str">
        <f t="shared" si="2"/>
        <v>15</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3319</v>
      </c>
      <c r="D157" s="1" t="s">
        <v>3320</v>
      </c>
      <c r="E157" s="1" t="s">
        <v>3321</v>
      </c>
      <c r="F157" s="1" t="s">
        <v>112</v>
      </c>
      <c r="G157" s="1">
        <v>4432744</v>
      </c>
    </row>
    <row r="158" spans="1:8"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227</v>
      </c>
      <c r="D159" s="1" t="s">
        <v>112</v>
      </c>
      <c r="E159" s="1" t="s">
        <v>228</v>
      </c>
      <c r="F159" s="1" t="s">
        <v>229</v>
      </c>
      <c r="G159" s="1" t="s">
        <v>230</v>
      </c>
      <c r="H159" s="1" t="s">
        <v>231</v>
      </c>
    </row>
    <row r="160" spans="1:8" x14ac:dyDescent="0.35">
      <c r="A160" s="1" t="str">
        <f t="shared" si="2"/>
        <v>15</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3322</v>
      </c>
      <c r="D160" s="1" t="s">
        <v>112</v>
      </c>
      <c r="E160" s="1" t="s">
        <v>3323</v>
      </c>
      <c r="F160" s="1" t="s">
        <v>3324</v>
      </c>
      <c r="G160" s="1" t="s">
        <v>3325</v>
      </c>
      <c r="H160" s="1" t="s">
        <v>3326</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173</v>
      </c>
      <c r="D166" s="1" t="s">
        <v>110</v>
      </c>
      <c r="E166" s="1" t="s">
        <v>111</v>
      </c>
      <c r="F166" s="1" t="s">
        <v>112</v>
      </c>
      <c r="G166" s="1" t="s">
        <v>113</v>
      </c>
    </row>
    <row r="167" spans="1:7" x14ac:dyDescent="0.35">
      <c r="A167" s="1" t="str">
        <f t="shared" si="2"/>
        <v>16</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3327</v>
      </c>
      <c r="D167" s="1" t="s">
        <v>3328</v>
      </c>
      <c r="E167" s="1" t="s">
        <v>3329</v>
      </c>
      <c r="F167" s="1" t="s">
        <v>112</v>
      </c>
      <c r="G167" s="1">
        <v>87363</v>
      </c>
    </row>
    <row r="168" spans="1:7" x14ac:dyDescent="0.35">
      <c r="A168" s="1" t="str">
        <f t="shared" si="2"/>
        <v>16</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3330</v>
      </c>
      <c r="D168" s="1" t="s">
        <v>2010</v>
      </c>
      <c r="E168" s="1" t="s">
        <v>3331</v>
      </c>
      <c r="F168" s="1" t="s">
        <v>112</v>
      </c>
      <c r="G168" s="1">
        <v>140702</v>
      </c>
    </row>
    <row r="169" spans="1:7" x14ac:dyDescent="0.35">
      <c r="A169" s="1" t="str">
        <f t="shared" si="2"/>
        <v>16</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3332</v>
      </c>
      <c r="D169" s="1" t="s">
        <v>1668</v>
      </c>
      <c r="E169" s="1" t="s">
        <v>3333</v>
      </c>
      <c r="F169" s="1" t="s">
        <v>112</v>
      </c>
      <c r="G169" s="1">
        <v>53815</v>
      </c>
    </row>
    <row r="170" spans="1:7" x14ac:dyDescent="0.35">
      <c r="A170" s="1" t="str">
        <f t="shared" si="2"/>
        <v>16</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3334</v>
      </c>
      <c r="D170" s="1" t="s">
        <v>3335</v>
      </c>
      <c r="E170" s="1" t="s">
        <v>3336</v>
      </c>
      <c r="F170" s="1" t="s">
        <v>112</v>
      </c>
      <c r="G170" s="1">
        <v>248809</v>
      </c>
    </row>
    <row r="171" spans="1:7" x14ac:dyDescent="0.35">
      <c r="A171" s="1" t="str">
        <f t="shared" si="2"/>
        <v>16</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3337</v>
      </c>
      <c r="D171" s="1" t="s">
        <v>578</v>
      </c>
      <c r="E171" s="1" t="s">
        <v>3338</v>
      </c>
      <c r="F171" s="1" t="s">
        <v>112</v>
      </c>
      <c r="G171" s="1">
        <v>265356</v>
      </c>
    </row>
    <row r="172" spans="1:7" x14ac:dyDescent="0.35">
      <c r="A172" s="1" t="str">
        <f t="shared" si="2"/>
        <v>16</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3339</v>
      </c>
      <c r="D172" s="1" t="s">
        <v>3340</v>
      </c>
      <c r="E172" s="1" t="s">
        <v>3341</v>
      </c>
      <c r="F172" s="1" t="s">
        <v>112</v>
      </c>
      <c r="G172" s="1">
        <v>413758</v>
      </c>
    </row>
    <row r="173" spans="1:7" x14ac:dyDescent="0.35">
      <c r="A173" s="1" t="str">
        <f t="shared" si="2"/>
        <v>16</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3342</v>
      </c>
      <c r="D173" s="1" t="s">
        <v>1009</v>
      </c>
      <c r="E173" s="1" t="s">
        <v>3343</v>
      </c>
      <c r="F173" s="1" t="s">
        <v>112</v>
      </c>
      <c r="G173" s="1">
        <v>351464</v>
      </c>
    </row>
    <row r="174" spans="1:7" x14ac:dyDescent="0.35">
      <c r="A174" s="1" t="str">
        <f t="shared" si="2"/>
        <v>16</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4" s="1" t="s">
        <v>3344</v>
      </c>
      <c r="D174" s="1" t="s">
        <v>707</v>
      </c>
      <c r="E174" s="1" t="s">
        <v>3345</v>
      </c>
      <c r="F174" s="1" t="s">
        <v>112</v>
      </c>
      <c r="G174" s="1">
        <v>106960</v>
      </c>
    </row>
    <row r="175" spans="1:7" x14ac:dyDescent="0.35">
      <c r="A175" s="1" t="str">
        <f t="shared" si="2"/>
        <v>16</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3346</v>
      </c>
      <c r="D175" s="1" t="s">
        <v>3347</v>
      </c>
      <c r="E175" s="1" t="s">
        <v>3348</v>
      </c>
      <c r="F175" s="1" t="s">
        <v>112</v>
      </c>
      <c r="G175" s="1">
        <v>216623</v>
      </c>
    </row>
    <row r="176" spans="1:7" x14ac:dyDescent="0.35">
      <c r="A176" s="1" t="str">
        <f t="shared" si="2"/>
        <v>16</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3349</v>
      </c>
      <c r="D176" s="1" t="s">
        <v>2026</v>
      </c>
      <c r="E176" s="1" t="s">
        <v>3350</v>
      </c>
      <c r="F176" s="1" t="s">
        <v>112</v>
      </c>
      <c r="G176" s="1">
        <v>316748</v>
      </c>
    </row>
    <row r="177" spans="1:7" x14ac:dyDescent="0.35">
      <c r="A177" s="1" t="str">
        <f t="shared" si="2"/>
        <v>16</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7" s="1" t="s">
        <v>3351</v>
      </c>
      <c r="D177" s="1" t="s">
        <v>1287</v>
      </c>
      <c r="E177" s="1" t="s">
        <v>3352</v>
      </c>
      <c r="F177" s="1" t="s">
        <v>112</v>
      </c>
      <c r="G177" s="1">
        <v>143017</v>
      </c>
    </row>
    <row r="178" spans="1:7" x14ac:dyDescent="0.35">
      <c r="A178" s="1" t="str">
        <f t="shared" si="2"/>
        <v>16</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8" s="1" t="s">
        <v>3353</v>
      </c>
      <c r="D178" s="1" t="s">
        <v>1035</v>
      </c>
      <c r="E178" s="1">
        <v>30</v>
      </c>
      <c r="F178" s="1" t="s">
        <v>112</v>
      </c>
      <c r="G178" s="1">
        <v>1298</v>
      </c>
    </row>
    <row r="179" spans="1:7" x14ac:dyDescent="0.35">
      <c r="A179" s="1" t="str">
        <f t="shared" si="2"/>
        <v>16</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3354</v>
      </c>
    </row>
    <row r="180" spans="1:7" x14ac:dyDescent="0.35">
      <c r="A180" s="1" t="str">
        <f t="shared" si="2"/>
        <v>16</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80" s="1" t="s">
        <v>3355</v>
      </c>
    </row>
    <row r="181" spans="1:7" x14ac:dyDescent="0.35">
      <c r="A181" s="1" t="str">
        <f t="shared" si="2"/>
        <v>16</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81" s="1" t="s">
        <v>3356</v>
      </c>
      <c r="D181" s="1" t="s">
        <v>3357</v>
      </c>
      <c r="E181" s="1" t="s">
        <v>3358</v>
      </c>
      <c r="F181" s="1" t="s">
        <v>112</v>
      </c>
      <c r="G181" s="1">
        <v>321269</v>
      </c>
    </row>
    <row r="182" spans="1:7" x14ac:dyDescent="0.35">
      <c r="A182" s="1" t="str">
        <f t="shared" si="2"/>
        <v>16</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82" s="1" t="s">
        <v>3359</v>
      </c>
      <c r="D182" s="1" t="s">
        <v>591</v>
      </c>
      <c r="E182" s="1" t="s">
        <v>3360</v>
      </c>
      <c r="F182" s="1" t="s">
        <v>112</v>
      </c>
      <c r="G182" s="1">
        <v>153962</v>
      </c>
    </row>
    <row r="183" spans="1:7" x14ac:dyDescent="0.35">
      <c r="A183" s="1" t="str">
        <f t="shared" si="2"/>
        <v>16</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3" s="1" t="s">
        <v>3361</v>
      </c>
    </row>
    <row r="184" spans="1:7" x14ac:dyDescent="0.35">
      <c r="A184" s="1" t="str">
        <f t="shared" si="2"/>
        <v>16</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4" s="1" t="s">
        <v>3362</v>
      </c>
      <c r="D184" s="1" t="s">
        <v>3363</v>
      </c>
      <c r="E184" s="1" t="s">
        <v>3364</v>
      </c>
      <c r="F184" s="1" t="s">
        <v>112</v>
      </c>
      <c r="G184" s="1">
        <v>482325</v>
      </c>
    </row>
    <row r="185" spans="1:7" x14ac:dyDescent="0.35">
      <c r="A185" s="1" t="str">
        <f t="shared" si="2"/>
        <v>16</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5" s="1" t="s">
        <v>3365</v>
      </c>
      <c r="D185" s="1" t="s">
        <v>1072</v>
      </c>
      <c r="E185" s="1" t="s">
        <v>3366</v>
      </c>
      <c r="F185" s="1" t="s">
        <v>112</v>
      </c>
      <c r="G185" s="1">
        <v>345559</v>
      </c>
    </row>
    <row r="186" spans="1:7" x14ac:dyDescent="0.35">
      <c r="A186" s="1" t="str">
        <f t="shared" si="2"/>
        <v>16</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6" s="1" t="s">
        <v>3367</v>
      </c>
    </row>
    <row r="187" spans="1:7" x14ac:dyDescent="0.35">
      <c r="A187" s="1" t="str">
        <f t="shared" si="2"/>
        <v>16</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7" s="1" t="s">
        <v>3368</v>
      </c>
      <c r="D187" s="1" t="s">
        <v>3369</v>
      </c>
      <c r="E187" s="1" t="s">
        <v>3370</v>
      </c>
      <c r="F187" s="1" t="s">
        <v>112</v>
      </c>
      <c r="G187" s="1">
        <v>648486</v>
      </c>
    </row>
    <row r="188" spans="1:7" x14ac:dyDescent="0.35">
      <c r="A188" s="1" t="str">
        <f t="shared" si="2"/>
        <v>16</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8" s="1" t="s">
        <v>3371</v>
      </c>
      <c r="D188" s="1" t="s">
        <v>3372</v>
      </c>
      <c r="E188" s="1" t="s">
        <v>3373</v>
      </c>
      <c r="F188" s="1" t="s">
        <v>112</v>
      </c>
      <c r="G188" s="1">
        <v>555066</v>
      </c>
    </row>
    <row r="189" spans="1:7" x14ac:dyDescent="0.35">
      <c r="A189" s="1" t="str">
        <f t="shared" si="2"/>
        <v>16</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9" s="1" t="s">
        <v>3374</v>
      </c>
      <c r="D189" s="1" t="s">
        <v>3375</v>
      </c>
      <c r="E189" s="1" t="s">
        <v>3376</v>
      </c>
      <c r="F189" s="1" t="s">
        <v>112</v>
      </c>
      <c r="G189" s="1">
        <v>486889</v>
      </c>
    </row>
    <row r="190" spans="1:7" x14ac:dyDescent="0.35">
      <c r="A190" s="1" t="str">
        <f t="shared" si="2"/>
        <v>16</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0" s="1" t="s">
        <v>3377</v>
      </c>
      <c r="D190" s="1" t="s">
        <v>3378</v>
      </c>
      <c r="E190" s="1" t="s">
        <v>3379</v>
      </c>
      <c r="F190" s="1" t="s">
        <v>112</v>
      </c>
      <c r="G190" s="1">
        <v>425374</v>
      </c>
    </row>
    <row r="191" spans="1:7" x14ac:dyDescent="0.35">
      <c r="A191" s="1" t="str">
        <f t="shared" si="2"/>
        <v>16</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91" s="1" t="s">
        <v>3380</v>
      </c>
    </row>
    <row r="192" spans="1:7" x14ac:dyDescent="0.35">
      <c r="A192" s="1" t="str">
        <f t="shared" si="2"/>
        <v>16</v>
      </c>
      <c r="B1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92" s="1" t="s">
        <v>3381</v>
      </c>
      <c r="D192" s="1" t="s">
        <v>3382</v>
      </c>
      <c r="E192" s="1" t="s">
        <v>3383</v>
      </c>
      <c r="F192" s="1" t="s">
        <v>112</v>
      </c>
      <c r="G192" s="1">
        <v>272299</v>
      </c>
    </row>
    <row r="193" spans="1:8" x14ac:dyDescent="0.35">
      <c r="A193" s="1" t="str">
        <f t="shared" si="2"/>
        <v>16</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93" s="1" t="s">
        <v>3384</v>
      </c>
      <c r="D193" s="1" t="s">
        <v>1132</v>
      </c>
      <c r="E193" s="1" t="s">
        <v>3385</v>
      </c>
      <c r="F193" s="1" t="s">
        <v>112</v>
      </c>
      <c r="G193" s="1">
        <v>130861</v>
      </c>
    </row>
    <row r="194" spans="1:8" x14ac:dyDescent="0.35">
      <c r="A194" s="1" t="str">
        <f t="shared" ref="A194:A257" si="3">IFERROR(LEFT(RIGHT(C194,LEN(C194)-SEARCH("@",C194)),SEARCH("/",RIGHT(C194,LEN(C194)-SEARCH("@",C194)-1))),"")</f>
        <v>16</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94" s="1" t="s">
        <v>3386</v>
      </c>
      <c r="D194" s="1" t="s">
        <v>195</v>
      </c>
      <c r="E194" s="1" t="s">
        <v>3387</v>
      </c>
      <c r="F194" s="1" t="s">
        <v>112</v>
      </c>
      <c r="G194" s="1">
        <v>277165</v>
      </c>
    </row>
    <row r="195" spans="1:8" x14ac:dyDescent="0.35">
      <c r="A195" s="1" t="str">
        <f t="shared" si="3"/>
        <v>16</v>
      </c>
      <c r="B1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5" s="1" t="s">
        <v>3388</v>
      </c>
      <c r="D195" s="1" t="s">
        <v>3389</v>
      </c>
      <c r="E195" s="1" t="s">
        <v>3390</v>
      </c>
      <c r="F195" s="1" t="s">
        <v>112</v>
      </c>
      <c r="G195" s="1">
        <v>252053</v>
      </c>
    </row>
    <row r="196" spans="1:8" x14ac:dyDescent="0.35">
      <c r="A196" s="1" t="str">
        <f t="shared" si="3"/>
        <v>16</v>
      </c>
      <c r="B1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6" s="1" t="s">
        <v>3391</v>
      </c>
      <c r="D196" s="1" t="s">
        <v>3392</v>
      </c>
      <c r="E196" s="1" t="s">
        <v>3393</v>
      </c>
      <c r="F196" s="1" t="s">
        <v>112</v>
      </c>
      <c r="G196" s="1">
        <v>80290</v>
      </c>
    </row>
    <row r="197" spans="1:8" x14ac:dyDescent="0.35">
      <c r="A197" s="1" t="str">
        <f t="shared" si="3"/>
        <v>16</v>
      </c>
      <c r="B1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7" s="1" t="s">
        <v>3394</v>
      </c>
      <c r="D197" s="1" t="s">
        <v>204</v>
      </c>
      <c r="E197" s="1" t="s">
        <v>3395</v>
      </c>
      <c r="F197" s="1" t="s">
        <v>112</v>
      </c>
      <c r="G197" s="1">
        <v>6078</v>
      </c>
    </row>
    <row r="198" spans="1:8" x14ac:dyDescent="0.35">
      <c r="A198" s="1" t="str">
        <f t="shared" si="3"/>
        <v>16</v>
      </c>
      <c r="B1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8" s="1" t="s">
        <v>3396</v>
      </c>
      <c r="D198" s="1" t="s">
        <v>950</v>
      </c>
      <c r="E198" s="1" t="s">
        <v>3397</v>
      </c>
      <c r="F198" s="1" t="s">
        <v>112</v>
      </c>
      <c r="G198" s="1">
        <v>168648</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227</v>
      </c>
      <c r="D200" s="1" t="s">
        <v>112</v>
      </c>
      <c r="E200" s="1" t="s">
        <v>228</v>
      </c>
      <c r="F200" s="1" t="s">
        <v>229</v>
      </c>
      <c r="G200" s="1" t="s">
        <v>230</v>
      </c>
      <c r="H200" s="1" t="s">
        <v>231</v>
      </c>
    </row>
    <row r="201" spans="1:8" x14ac:dyDescent="0.35">
      <c r="A201" s="1" t="str">
        <f t="shared" si="3"/>
        <v>16</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01" s="1" t="s">
        <v>3398</v>
      </c>
      <c r="D201" s="1" t="s">
        <v>112</v>
      </c>
      <c r="E201" s="1" t="s">
        <v>3399</v>
      </c>
      <c r="F201" s="1" t="s">
        <v>3400</v>
      </c>
      <c r="G201" s="1" t="s">
        <v>3401</v>
      </c>
      <c r="H201" s="1" t="s">
        <v>3402</v>
      </c>
    </row>
    <row r="202" spans="1:8"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2" s="1" t="s">
        <v>112</v>
      </c>
    </row>
    <row r="203" spans="1:8"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3" s="1" t="s">
        <v>112</v>
      </c>
    </row>
    <row r="204" spans="1:8"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4" s="1" t="s">
        <v>112</v>
      </c>
    </row>
    <row r="205" spans="1:8"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5" s="1" t="s">
        <v>112</v>
      </c>
    </row>
    <row r="206" spans="1:8"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6" s="1" t="s">
        <v>112</v>
      </c>
    </row>
    <row r="207" spans="1:8"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7" s="1" t="s">
        <v>173</v>
      </c>
      <c r="D207" s="1" t="s">
        <v>110</v>
      </c>
      <c r="E207" s="1" t="s">
        <v>111</v>
      </c>
      <c r="F207" s="1" t="s">
        <v>112</v>
      </c>
      <c r="G207" s="1" t="s">
        <v>113</v>
      </c>
    </row>
    <row r="208" spans="1:8" x14ac:dyDescent="0.35">
      <c r="A208" s="1" t="str">
        <f t="shared" si="3"/>
        <v>2</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8" s="1" t="s">
        <v>3403</v>
      </c>
      <c r="D208" s="1" t="s">
        <v>3404</v>
      </c>
      <c r="E208" s="1" t="s">
        <v>3405</v>
      </c>
      <c r="F208" s="1" t="s">
        <v>112</v>
      </c>
      <c r="G208" s="1">
        <v>444711</v>
      </c>
    </row>
    <row r="209" spans="1:7" x14ac:dyDescent="0.35">
      <c r="A209" s="1" t="str">
        <f t="shared" si="3"/>
        <v>2</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9" s="1" t="s">
        <v>3406</v>
      </c>
      <c r="D209" s="1" t="s">
        <v>3407</v>
      </c>
      <c r="E209" s="1" t="s">
        <v>3408</v>
      </c>
      <c r="F209" s="1" t="s">
        <v>112</v>
      </c>
      <c r="G209" s="1">
        <v>432706</v>
      </c>
    </row>
    <row r="210" spans="1:7" x14ac:dyDescent="0.35">
      <c r="A210" s="1" t="str">
        <f t="shared" si="3"/>
        <v>2</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10" s="1" t="s">
        <v>3409</v>
      </c>
      <c r="D210" s="1" t="s">
        <v>3410</v>
      </c>
      <c r="E210" s="1" t="s">
        <v>3411</v>
      </c>
      <c r="F210" s="1" t="s">
        <v>112</v>
      </c>
      <c r="G210" s="1">
        <v>455461</v>
      </c>
    </row>
    <row r="211" spans="1:7" x14ac:dyDescent="0.35">
      <c r="A211" s="1" t="str">
        <f t="shared" si="3"/>
        <v>2</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11" s="1" t="s">
        <v>3412</v>
      </c>
      <c r="D211" s="1" t="s">
        <v>2911</v>
      </c>
      <c r="E211" s="1" t="s">
        <v>3413</v>
      </c>
      <c r="F211" s="1" t="s">
        <v>112</v>
      </c>
      <c r="G211" s="1">
        <v>61948</v>
      </c>
    </row>
    <row r="212" spans="1:7" x14ac:dyDescent="0.35">
      <c r="A212" s="1" t="str">
        <f t="shared" si="3"/>
        <v>2</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12" s="1" t="s">
        <v>3414</v>
      </c>
      <c r="D212" s="1" t="s">
        <v>1581</v>
      </c>
      <c r="E212" s="1" t="s">
        <v>3415</v>
      </c>
      <c r="F212" s="1" t="s">
        <v>112</v>
      </c>
      <c r="G212" s="1">
        <v>71660</v>
      </c>
    </row>
    <row r="213" spans="1:7" x14ac:dyDescent="0.35">
      <c r="A213" s="1" t="str">
        <f t="shared" si="3"/>
        <v>2</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13" s="1" t="s">
        <v>3416</v>
      </c>
      <c r="D213" s="1" t="s">
        <v>3417</v>
      </c>
      <c r="E213" s="1" t="s">
        <v>3418</v>
      </c>
      <c r="F213" s="1" t="s">
        <v>112</v>
      </c>
      <c r="G213" s="1">
        <v>372532</v>
      </c>
    </row>
    <row r="214" spans="1:7" x14ac:dyDescent="0.35">
      <c r="A214" s="1" t="str">
        <f t="shared" si="3"/>
        <v>2</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14" s="1" t="s">
        <v>3419</v>
      </c>
      <c r="D214" s="1" t="s">
        <v>536</v>
      </c>
      <c r="E214" s="1" t="s">
        <v>3420</v>
      </c>
      <c r="F214" s="1" t="s">
        <v>112</v>
      </c>
      <c r="G214" s="1">
        <v>233084</v>
      </c>
    </row>
    <row r="215" spans="1:7" x14ac:dyDescent="0.35">
      <c r="A215" s="1" t="str">
        <f t="shared" si="3"/>
        <v>2</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15" s="1" t="s">
        <v>3421</v>
      </c>
      <c r="D215" s="1" t="s">
        <v>2944</v>
      </c>
      <c r="E215" s="1" t="s">
        <v>3422</v>
      </c>
      <c r="F215" s="1" t="s">
        <v>112</v>
      </c>
      <c r="G215" s="1">
        <v>267389</v>
      </c>
    </row>
    <row r="216" spans="1:7" x14ac:dyDescent="0.35">
      <c r="A216" s="1" t="str">
        <f t="shared" si="3"/>
        <v>2</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16" s="1" t="s">
        <v>3423</v>
      </c>
      <c r="D216" s="1" t="s">
        <v>3424</v>
      </c>
      <c r="E216" s="1" t="s">
        <v>3425</v>
      </c>
      <c r="F216" s="1" t="s">
        <v>112</v>
      </c>
      <c r="G216" s="1">
        <v>548707</v>
      </c>
    </row>
    <row r="217" spans="1:7" x14ac:dyDescent="0.35">
      <c r="A217" s="1" t="str">
        <f t="shared" si="3"/>
        <v>2</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17" s="1" t="s">
        <v>3426</v>
      </c>
    </row>
    <row r="218" spans="1:7" x14ac:dyDescent="0.35">
      <c r="A218" s="1" t="str">
        <f t="shared" si="3"/>
        <v>2</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18" s="1" t="s">
        <v>3427</v>
      </c>
      <c r="D218" s="1" t="s">
        <v>3428</v>
      </c>
      <c r="E218" s="1" t="s">
        <v>3429</v>
      </c>
      <c r="F218" s="1" t="s">
        <v>112</v>
      </c>
      <c r="G218" s="1">
        <v>486759</v>
      </c>
    </row>
    <row r="219" spans="1:7" x14ac:dyDescent="0.35">
      <c r="A219" s="1" t="str">
        <f t="shared" si="3"/>
        <v>2</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19" s="1" t="s">
        <v>3430</v>
      </c>
      <c r="D219" s="1" t="s">
        <v>3431</v>
      </c>
      <c r="E219" s="1" t="s">
        <v>3432</v>
      </c>
      <c r="F219" s="1" t="s">
        <v>112</v>
      </c>
      <c r="G219" s="1">
        <v>446657</v>
      </c>
    </row>
    <row r="220" spans="1:7" x14ac:dyDescent="0.35">
      <c r="A220" s="1" t="str">
        <f t="shared" si="3"/>
        <v>2</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20" s="1" t="s">
        <v>3433</v>
      </c>
      <c r="D220" s="1" t="s">
        <v>3434</v>
      </c>
      <c r="E220" s="1" t="s">
        <v>3435</v>
      </c>
      <c r="F220" s="1" t="s">
        <v>112</v>
      </c>
      <c r="G220" s="1">
        <v>298774</v>
      </c>
    </row>
    <row r="221" spans="1:7" x14ac:dyDescent="0.35">
      <c r="A221" s="1" t="str">
        <f t="shared" si="3"/>
        <v>2</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21" s="1" t="s">
        <v>3436</v>
      </c>
      <c r="D221" s="1" t="s">
        <v>3437</v>
      </c>
      <c r="E221" s="1" t="s">
        <v>3438</v>
      </c>
      <c r="F221" s="1" t="s">
        <v>112</v>
      </c>
      <c r="G221" s="1">
        <v>498418</v>
      </c>
    </row>
    <row r="222" spans="1:7" x14ac:dyDescent="0.35">
      <c r="A222" s="1" t="str">
        <f t="shared" si="3"/>
        <v>2</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22" s="1" t="s">
        <v>3439</v>
      </c>
      <c r="D222" s="1" t="s">
        <v>3440</v>
      </c>
      <c r="E222" s="1" t="s">
        <v>3441</v>
      </c>
      <c r="F222" s="1" t="s">
        <v>112</v>
      </c>
      <c r="G222" s="1">
        <v>696742</v>
      </c>
    </row>
    <row r="223" spans="1:7" x14ac:dyDescent="0.35">
      <c r="A223" s="1" t="str">
        <f t="shared" si="3"/>
        <v>2</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23" s="1" t="s">
        <v>3442</v>
      </c>
      <c r="D223" s="1" t="s">
        <v>3443</v>
      </c>
      <c r="E223" s="1" t="s">
        <v>3444</v>
      </c>
      <c r="F223" s="1" t="s">
        <v>112</v>
      </c>
      <c r="G223" s="1">
        <v>330462</v>
      </c>
    </row>
    <row r="224" spans="1:7" x14ac:dyDescent="0.35">
      <c r="A224" s="1" t="str">
        <f t="shared" si="3"/>
        <v>2</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24" s="1" t="s">
        <v>3445</v>
      </c>
      <c r="D224" s="1" t="s">
        <v>2402</v>
      </c>
      <c r="E224" s="1" t="s">
        <v>3446</v>
      </c>
      <c r="F224" s="1" t="s">
        <v>112</v>
      </c>
      <c r="G224" s="1">
        <v>203927</v>
      </c>
    </row>
    <row r="225" spans="1:7" x14ac:dyDescent="0.35">
      <c r="A225" s="1" t="str">
        <f t="shared" si="3"/>
        <v>2</v>
      </c>
      <c r="B2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25" s="1" t="s">
        <v>3447</v>
      </c>
      <c r="D225" s="1" t="s">
        <v>3448</v>
      </c>
      <c r="E225" s="1" t="s">
        <v>3449</v>
      </c>
      <c r="F225" s="1" t="s">
        <v>112</v>
      </c>
      <c r="G225" s="1">
        <v>323151</v>
      </c>
    </row>
    <row r="226" spans="1:7" x14ac:dyDescent="0.35">
      <c r="A226" s="1" t="str">
        <f t="shared" si="3"/>
        <v>2</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26" s="1" t="s">
        <v>3450</v>
      </c>
      <c r="D226" s="1" t="s">
        <v>1084</v>
      </c>
      <c r="E226" s="1" t="s">
        <v>3451</v>
      </c>
      <c r="F226" s="1" t="s">
        <v>112</v>
      </c>
      <c r="G226" s="1">
        <v>182967</v>
      </c>
    </row>
    <row r="227" spans="1:7" x14ac:dyDescent="0.35">
      <c r="A227" s="1" t="str">
        <f t="shared" si="3"/>
        <v>2</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27" s="1" t="s">
        <v>3452</v>
      </c>
    </row>
    <row r="228" spans="1:7" x14ac:dyDescent="0.35">
      <c r="A228" s="1" t="str">
        <f t="shared" si="3"/>
        <v>2</v>
      </c>
      <c r="B2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28" s="1" t="s">
        <v>3453</v>
      </c>
      <c r="D228" s="1" t="s">
        <v>3454</v>
      </c>
      <c r="E228" s="1" t="s">
        <v>3455</v>
      </c>
      <c r="F228" s="1" t="s">
        <v>112</v>
      </c>
      <c r="G228" s="1">
        <v>808461</v>
      </c>
    </row>
    <row r="229" spans="1:7" x14ac:dyDescent="0.35">
      <c r="A229" s="1" t="str">
        <f t="shared" si="3"/>
        <v>2</v>
      </c>
      <c r="B2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29" s="1" t="s">
        <v>3456</v>
      </c>
      <c r="D229" s="1" t="s">
        <v>3457</v>
      </c>
      <c r="E229" s="1" t="s">
        <v>3458</v>
      </c>
      <c r="F229" s="1" t="s">
        <v>112</v>
      </c>
      <c r="G229" s="1">
        <v>1151619</v>
      </c>
    </row>
    <row r="230" spans="1:7" x14ac:dyDescent="0.35">
      <c r="A230" s="1" t="str">
        <f t="shared" si="3"/>
        <v>2</v>
      </c>
      <c r="B2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30" s="1" t="s">
        <v>3459</v>
      </c>
      <c r="D230" s="1" t="s">
        <v>3460</v>
      </c>
      <c r="E230" s="1" t="s">
        <v>3461</v>
      </c>
      <c r="F230" s="1" t="s">
        <v>112</v>
      </c>
      <c r="G230" s="1">
        <v>857387</v>
      </c>
    </row>
    <row r="231" spans="1:7" x14ac:dyDescent="0.35">
      <c r="A231" s="1" t="str">
        <f t="shared" si="3"/>
        <v>2</v>
      </c>
      <c r="B2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31" s="1" t="s">
        <v>3462</v>
      </c>
      <c r="D231" s="1" t="s">
        <v>3463</v>
      </c>
      <c r="E231" s="1" t="s">
        <v>3464</v>
      </c>
      <c r="F231" s="1" t="s">
        <v>112</v>
      </c>
      <c r="G231" s="1">
        <v>583120</v>
      </c>
    </row>
    <row r="232" spans="1:7" x14ac:dyDescent="0.35">
      <c r="A232" s="1" t="str">
        <f t="shared" si="3"/>
        <v>2</v>
      </c>
      <c r="B2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2" s="1" t="s">
        <v>3465</v>
      </c>
      <c r="D232" s="1" t="s">
        <v>563</v>
      </c>
      <c r="E232" s="1" t="s">
        <v>3466</v>
      </c>
      <c r="F232" s="1" t="s">
        <v>112</v>
      </c>
      <c r="G232" s="1">
        <v>275067</v>
      </c>
    </row>
    <row r="233" spans="1:7" x14ac:dyDescent="0.35">
      <c r="A233" s="1" t="str">
        <f t="shared" si="3"/>
        <v>2</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3" s="1" t="s">
        <v>3467</v>
      </c>
      <c r="D233" s="1" t="s">
        <v>3468</v>
      </c>
      <c r="E233" s="1" t="s">
        <v>3469</v>
      </c>
      <c r="F233" s="1" t="s">
        <v>112</v>
      </c>
      <c r="G233" s="1">
        <v>322372</v>
      </c>
    </row>
    <row r="234" spans="1:7" x14ac:dyDescent="0.35">
      <c r="A234" s="1" t="str">
        <f t="shared" si="3"/>
        <v>2</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4" s="1" t="s">
        <v>3470</v>
      </c>
      <c r="D234" s="1" t="s">
        <v>3471</v>
      </c>
      <c r="E234" s="1" t="s">
        <v>3472</v>
      </c>
      <c r="F234" s="1" t="s">
        <v>112</v>
      </c>
      <c r="G234" s="1">
        <v>109750</v>
      </c>
    </row>
    <row r="235" spans="1:7" x14ac:dyDescent="0.35">
      <c r="A235" s="1" t="str">
        <f t="shared" si="3"/>
        <v>2</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5" s="1" t="s">
        <v>3473</v>
      </c>
      <c r="D235" s="1" t="s">
        <v>3474</v>
      </c>
      <c r="E235" s="1" t="s">
        <v>3475</v>
      </c>
      <c r="F235" s="1" t="s">
        <v>112</v>
      </c>
      <c r="G235" s="1">
        <v>493248</v>
      </c>
    </row>
    <row r="236" spans="1:7" x14ac:dyDescent="0.35">
      <c r="A236" s="1" t="str">
        <f t="shared" si="3"/>
        <v>2</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6" s="1" t="s">
        <v>3476</v>
      </c>
      <c r="D236" s="1" t="s">
        <v>3477</v>
      </c>
      <c r="E236" s="1" t="s">
        <v>3478</v>
      </c>
      <c r="F236" s="1" t="s">
        <v>112</v>
      </c>
      <c r="G236" s="1">
        <v>411011</v>
      </c>
    </row>
    <row r="237" spans="1:7" x14ac:dyDescent="0.35">
      <c r="A237" s="1" t="str">
        <f t="shared" si="3"/>
        <v>2</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7" s="1" t="s">
        <v>3479</v>
      </c>
      <c r="D237" s="1" t="s">
        <v>2866</v>
      </c>
      <c r="E237" s="1" t="s">
        <v>3480</v>
      </c>
      <c r="F237" s="1" t="s">
        <v>112</v>
      </c>
      <c r="G237" s="1">
        <v>417846</v>
      </c>
    </row>
    <row r="238" spans="1:7" x14ac:dyDescent="0.35">
      <c r="A238" s="1" t="str">
        <f t="shared" si="3"/>
        <v>2</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8" s="1" t="s">
        <v>3481</v>
      </c>
    </row>
    <row r="239" spans="1:7" x14ac:dyDescent="0.35">
      <c r="A239" s="1" t="str">
        <f t="shared" si="3"/>
        <v>2</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9" s="1" t="s">
        <v>3482</v>
      </c>
    </row>
    <row r="240" spans="1:7"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0" s="1" t="s">
        <v>112</v>
      </c>
    </row>
    <row r="241" spans="1:8"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1" s="1" t="s">
        <v>227</v>
      </c>
      <c r="D241" s="1" t="s">
        <v>112</v>
      </c>
      <c r="E241" s="1" t="s">
        <v>228</v>
      </c>
      <c r="F241" s="1" t="s">
        <v>229</v>
      </c>
      <c r="G241" s="1" t="s">
        <v>230</v>
      </c>
      <c r="H241" s="1" t="s">
        <v>231</v>
      </c>
    </row>
    <row r="242" spans="1:8" x14ac:dyDescent="0.35">
      <c r="A242" s="1" t="str">
        <f t="shared" si="3"/>
        <v>2</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42" s="1" t="s">
        <v>3483</v>
      </c>
      <c r="D242" s="1" t="s">
        <v>112</v>
      </c>
      <c r="E242" s="1" t="s">
        <v>3484</v>
      </c>
      <c r="F242" s="1" t="s">
        <v>3485</v>
      </c>
      <c r="G242" s="1" t="s">
        <v>3486</v>
      </c>
      <c r="H242" s="1" t="s">
        <v>3487</v>
      </c>
    </row>
    <row r="243" spans="1:8"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3" s="1" t="s">
        <v>112</v>
      </c>
    </row>
    <row r="244" spans="1:8"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4" s="1" t="s">
        <v>112</v>
      </c>
    </row>
    <row r="245" spans="1:8"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5" s="1" t="s">
        <v>112</v>
      </c>
    </row>
    <row r="246" spans="1:8"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6" s="1" t="s">
        <v>112</v>
      </c>
    </row>
    <row r="247" spans="1:8"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7" s="1" t="s">
        <v>112</v>
      </c>
    </row>
    <row r="248" spans="1:8"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48" s="1" t="s">
        <v>173</v>
      </c>
      <c r="D248" s="1" t="s">
        <v>110</v>
      </c>
      <c r="E248" s="1" t="s">
        <v>111</v>
      </c>
      <c r="F248" s="1" t="s">
        <v>112</v>
      </c>
      <c r="G248" s="1" t="s">
        <v>113</v>
      </c>
    </row>
    <row r="249" spans="1:8" x14ac:dyDescent="0.35">
      <c r="A249" s="1" t="str">
        <f t="shared" si="3"/>
        <v>3</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49" s="1" t="s">
        <v>3488</v>
      </c>
      <c r="D249" s="1" t="s">
        <v>2819</v>
      </c>
      <c r="E249" s="1" t="s">
        <v>3489</v>
      </c>
      <c r="F249" s="1" t="s">
        <v>112</v>
      </c>
      <c r="G249" s="1">
        <v>523660</v>
      </c>
    </row>
    <row r="250" spans="1:8" x14ac:dyDescent="0.35">
      <c r="A250" s="1" t="str">
        <f t="shared" si="3"/>
        <v>3</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50" s="1" t="s">
        <v>3490</v>
      </c>
      <c r="D250" s="1" t="s">
        <v>3434</v>
      </c>
      <c r="E250" s="1" t="s">
        <v>3491</v>
      </c>
      <c r="F250" s="1" t="s">
        <v>112</v>
      </c>
      <c r="G250" s="1">
        <v>318998</v>
      </c>
    </row>
    <row r="251" spans="1:8" x14ac:dyDescent="0.35">
      <c r="A251" s="1" t="str">
        <f t="shared" si="3"/>
        <v>3</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51" s="1" t="s">
        <v>3492</v>
      </c>
      <c r="D251" s="1" t="s">
        <v>3493</v>
      </c>
      <c r="E251" s="1" t="s">
        <v>3494</v>
      </c>
      <c r="F251" s="1" t="s">
        <v>112</v>
      </c>
      <c r="G251" s="1">
        <v>589133</v>
      </c>
    </row>
    <row r="252" spans="1:8" x14ac:dyDescent="0.35">
      <c r="A252" s="1" t="str">
        <f t="shared" si="3"/>
        <v>3</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52" s="1" t="s">
        <v>3495</v>
      </c>
      <c r="D252" s="1" t="s">
        <v>3496</v>
      </c>
      <c r="E252" s="1" t="s">
        <v>3497</v>
      </c>
      <c r="F252" s="1" t="s">
        <v>112</v>
      </c>
      <c r="G252" s="1">
        <v>456521</v>
      </c>
    </row>
    <row r="253" spans="1:8" x14ac:dyDescent="0.35">
      <c r="A253" s="1" t="str">
        <f t="shared" si="3"/>
        <v>3</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53" s="1" t="s">
        <v>3498</v>
      </c>
      <c r="D253" s="1" t="s">
        <v>3499</v>
      </c>
      <c r="E253" s="1" t="s">
        <v>3500</v>
      </c>
      <c r="F253" s="1" t="s">
        <v>112</v>
      </c>
      <c r="G253" s="1">
        <v>379605</v>
      </c>
    </row>
    <row r="254" spans="1:8" x14ac:dyDescent="0.35">
      <c r="A254" s="1" t="str">
        <f t="shared" si="3"/>
        <v>3</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54" s="1" t="s">
        <v>3501</v>
      </c>
      <c r="D254" s="1" t="s">
        <v>3502</v>
      </c>
      <c r="E254" s="1" t="s">
        <v>3503</v>
      </c>
      <c r="F254" s="1" t="s">
        <v>112</v>
      </c>
      <c r="G254" s="1">
        <v>401018</v>
      </c>
    </row>
    <row r="255" spans="1:8" x14ac:dyDescent="0.35">
      <c r="A255" s="1" t="str">
        <f t="shared" si="3"/>
        <v>3</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55" s="1" t="s">
        <v>3504</v>
      </c>
      <c r="D255" s="1" t="s">
        <v>3505</v>
      </c>
      <c r="E255" s="1" t="s">
        <v>3506</v>
      </c>
      <c r="F255" s="1" t="s">
        <v>112</v>
      </c>
      <c r="G255" s="1">
        <v>509362</v>
      </c>
    </row>
    <row r="256" spans="1:8" x14ac:dyDescent="0.35">
      <c r="A256" s="1" t="str">
        <f t="shared" si="3"/>
        <v>3</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56" s="1" t="s">
        <v>3507</v>
      </c>
      <c r="D256" s="1" t="s">
        <v>3508</v>
      </c>
      <c r="E256" s="1" t="s">
        <v>3509</v>
      </c>
      <c r="F256" s="1" t="s">
        <v>112</v>
      </c>
      <c r="G256" s="1">
        <v>459159</v>
      </c>
    </row>
    <row r="257" spans="1:7" x14ac:dyDescent="0.35">
      <c r="A257" s="1" t="str">
        <f t="shared" si="3"/>
        <v>3</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57" s="1" t="s">
        <v>3510</v>
      </c>
      <c r="D257" s="1" t="s">
        <v>1032</v>
      </c>
      <c r="E257" s="1" t="s">
        <v>3511</v>
      </c>
      <c r="F257" s="1" t="s">
        <v>112</v>
      </c>
      <c r="G257" s="1">
        <v>3309</v>
      </c>
    </row>
    <row r="258" spans="1:7" x14ac:dyDescent="0.35">
      <c r="A258" s="1" t="str">
        <f t="shared" ref="A258:A321" si="4">IFERROR(LEFT(RIGHT(C258,LEN(C258)-SEARCH("@",C258)),SEARCH("/",RIGHT(C258,LEN(C258)-SEARCH("@",C258)-1))),"")</f>
        <v>3</v>
      </c>
      <c r="B2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58" s="1" t="s">
        <v>3512</v>
      </c>
      <c r="D258" s="1" t="s">
        <v>481</v>
      </c>
      <c r="E258" s="1" t="s">
        <v>3513</v>
      </c>
      <c r="F258" s="1" t="s">
        <v>112</v>
      </c>
      <c r="G258" s="1">
        <v>390117</v>
      </c>
    </row>
    <row r="259" spans="1:7" x14ac:dyDescent="0.35">
      <c r="A259" s="1" t="str">
        <f t="shared" si="4"/>
        <v>3</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59" s="1" t="s">
        <v>3514</v>
      </c>
    </row>
    <row r="260" spans="1:7" x14ac:dyDescent="0.35">
      <c r="A260" s="1" t="str">
        <f t="shared" si="4"/>
        <v>3</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60" s="1" t="s">
        <v>3515</v>
      </c>
    </row>
    <row r="261" spans="1:7" x14ac:dyDescent="0.35">
      <c r="A261" s="1" t="str">
        <f t="shared" si="4"/>
        <v>3</v>
      </c>
      <c r="B2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61" s="1" t="s">
        <v>3516</v>
      </c>
      <c r="D261" s="1" t="s">
        <v>1047</v>
      </c>
      <c r="E261" s="1" t="s">
        <v>3517</v>
      </c>
      <c r="F261" s="1" t="s">
        <v>112</v>
      </c>
      <c r="G261" s="1">
        <v>237821</v>
      </c>
    </row>
    <row r="262" spans="1:7" x14ac:dyDescent="0.35">
      <c r="A262" s="1" t="str">
        <f t="shared" si="4"/>
        <v>3</v>
      </c>
      <c r="B2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62" s="1" t="s">
        <v>3518</v>
      </c>
      <c r="D262" s="1" t="s">
        <v>3023</v>
      </c>
      <c r="E262" s="1" t="s">
        <v>3519</v>
      </c>
      <c r="F262" s="1" t="s">
        <v>112</v>
      </c>
      <c r="G262" s="1">
        <v>262284</v>
      </c>
    </row>
    <row r="263" spans="1:7" x14ac:dyDescent="0.35">
      <c r="A263" s="1" t="str">
        <f t="shared" si="4"/>
        <v>3</v>
      </c>
      <c r="B2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63" s="1" t="s">
        <v>3520</v>
      </c>
      <c r="D263" s="1" t="s">
        <v>3521</v>
      </c>
      <c r="E263" s="1" t="s">
        <v>205</v>
      </c>
      <c r="F263" s="1" t="s">
        <v>112</v>
      </c>
      <c r="G263" s="1">
        <v>12243</v>
      </c>
    </row>
    <row r="264" spans="1:7" x14ac:dyDescent="0.35">
      <c r="A264" s="1" t="str">
        <f t="shared" si="4"/>
        <v>3</v>
      </c>
      <c r="B2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64" s="1" t="s">
        <v>3522</v>
      </c>
      <c r="D264" s="1" t="s">
        <v>3523</v>
      </c>
      <c r="E264" s="1" t="s">
        <v>3524</v>
      </c>
      <c r="F264" s="1" t="s">
        <v>112</v>
      </c>
      <c r="G264" s="1">
        <v>222874</v>
      </c>
    </row>
    <row r="265" spans="1:7" x14ac:dyDescent="0.35">
      <c r="A265" s="1" t="str">
        <f t="shared" si="4"/>
        <v>3</v>
      </c>
      <c r="B2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65" s="1" t="s">
        <v>3525</v>
      </c>
      <c r="D265" s="1" t="s">
        <v>1525</v>
      </c>
      <c r="E265" s="1" t="s">
        <v>3526</v>
      </c>
      <c r="F265" s="1" t="s">
        <v>112</v>
      </c>
      <c r="G265" s="1">
        <v>331327</v>
      </c>
    </row>
    <row r="266" spans="1:7" x14ac:dyDescent="0.35">
      <c r="A266" s="1" t="str">
        <f t="shared" si="4"/>
        <v>3</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66" s="1" t="s">
        <v>3527</v>
      </c>
      <c r="D266" s="1" t="s">
        <v>2004</v>
      </c>
      <c r="E266" s="1" t="s">
        <v>3528</v>
      </c>
      <c r="F266" s="1" t="s">
        <v>112</v>
      </c>
      <c r="G266" s="1">
        <v>348760</v>
      </c>
    </row>
    <row r="267" spans="1:7" x14ac:dyDescent="0.35">
      <c r="A267" s="1" t="str">
        <f t="shared" si="4"/>
        <v>3</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67" s="1" t="s">
        <v>3529</v>
      </c>
      <c r="D267" s="1" t="s">
        <v>3530</v>
      </c>
      <c r="E267" s="1" t="s">
        <v>3531</v>
      </c>
      <c r="F267" s="1" t="s">
        <v>112</v>
      </c>
      <c r="G267" s="1">
        <v>500732</v>
      </c>
    </row>
    <row r="268" spans="1:7" x14ac:dyDescent="0.35">
      <c r="A268" s="1" t="str">
        <f t="shared" si="4"/>
        <v>3</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68" s="1" t="s">
        <v>3532</v>
      </c>
      <c r="D268" s="1" t="s">
        <v>3533</v>
      </c>
      <c r="E268" s="1" t="s">
        <v>3534</v>
      </c>
      <c r="F268" s="1" t="s">
        <v>112</v>
      </c>
      <c r="G268" s="1">
        <v>375971</v>
      </c>
    </row>
    <row r="269" spans="1:7" x14ac:dyDescent="0.35">
      <c r="A269" s="1" t="str">
        <f t="shared" si="4"/>
        <v>3</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69" s="1" t="s">
        <v>3535</v>
      </c>
      <c r="D269" s="1" t="s">
        <v>3536</v>
      </c>
      <c r="E269" s="1" t="s">
        <v>3537</v>
      </c>
      <c r="F269" s="1" t="s">
        <v>112</v>
      </c>
      <c r="G269" s="1">
        <v>491604</v>
      </c>
    </row>
    <row r="270" spans="1:7" x14ac:dyDescent="0.35">
      <c r="A270" s="1" t="str">
        <f t="shared" si="4"/>
        <v>3</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70" s="1" t="s">
        <v>3538</v>
      </c>
      <c r="D270" s="1" t="s">
        <v>3539</v>
      </c>
      <c r="E270" s="1" t="s">
        <v>3540</v>
      </c>
      <c r="F270" s="1" t="s">
        <v>112</v>
      </c>
      <c r="G270" s="1">
        <v>327736</v>
      </c>
    </row>
    <row r="271" spans="1:7" x14ac:dyDescent="0.35">
      <c r="A271" s="1" t="str">
        <f t="shared" si="4"/>
        <v>3</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71" s="1" t="s">
        <v>3541</v>
      </c>
      <c r="D271" s="1" t="s">
        <v>3542</v>
      </c>
      <c r="E271" s="1" t="s">
        <v>3543</v>
      </c>
      <c r="F271" s="1" t="s">
        <v>112</v>
      </c>
      <c r="G271" s="1">
        <v>396087</v>
      </c>
    </row>
    <row r="272" spans="1:7" x14ac:dyDescent="0.35">
      <c r="A272" s="1" t="str">
        <f t="shared" si="4"/>
        <v>3</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72" s="1" t="s">
        <v>3544</v>
      </c>
      <c r="D272" s="1" t="s">
        <v>3545</v>
      </c>
      <c r="E272" s="1" t="s">
        <v>3546</v>
      </c>
      <c r="F272" s="1" t="s">
        <v>112</v>
      </c>
      <c r="G272" s="1">
        <v>195167</v>
      </c>
    </row>
    <row r="273" spans="1:8" x14ac:dyDescent="0.35">
      <c r="A273" s="1" t="str">
        <f t="shared" si="4"/>
        <v>3</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73" s="1" t="s">
        <v>3547</v>
      </c>
      <c r="D273" s="1" t="s">
        <v>3548</v>
      </c>
      <c r="E273" s="1" t="s">
        <v>3549</v>
      </c>
      <c r="F273" s="1" t="s">
        <v>112</v>
      </c>
      <c r="G273" s="1">
        <v>33678</v>
      </c>
    </row>
    <row r="274" spans="1:8" x14ac:dyDescent="0.35">
      <c r="A274" s="1" t="str">
        <f t="shared" si="4"/>
        <v>3</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74" s="1" t="s">
        <v>3550</v>
      </c>
      <c r="D274" s="1" t="s">
        <v>3521</v>
      </c>
      <c r="E274" s="1">
        <v>31</v>
      </c>
      <c r="F274" s="1" t="s">
        <v>112</v>
      </c>
      <c r="G274" s="1">
        <v>12069</v>
      </c>
    </row>
    <row r="275" spans="1:8" x14ac:dyDescent="0.35">
      <c r="A275" s="1" t="str">
        <f t="shared" si="4"/>
        <v>3</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75" s="1" t="s">
        <v>3551</v>
      </c>
      <c r="D275" s="1" t="s">
        <v>216</v>
      </c>
      <c r="E275" s="1">
        <v>30</v>
      </c>
      <c r="F275" s="1" t="s">
        <v>112</v>
      </c>
      <c r="G275" s="1">
        <v>649</v>
      </c>
    </row>
    <row r="276" spans="1:8" x14ac:dyDescent="0.35">
      <c r="A276" s="1" t="str">
        <f t="shared" si="4"/>
        <v>3</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76" s="1" t="s">
        <v>3552</v>
      </c>
      <c r="D276" s="1" t="s">
        <v>1009</v>
      </c>
      <c r="E276" s="1" t="s">
        <v>3553</v>
      </c>
      <c r="F276" s="1" t="s">
        <v>112</v>
      </c>
      <c r="G276" s="1">
        <v>391609</v>
      </c>
    </row>
    <row r="277" spans="1:8" x14ac:dyDescent="0.35">
      <c r="A277" s="1" t="str">
        <f t="shared" si="4"/>
        <v>3</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77" s="1" t="s">
        <v>3554</v>
      </c>
      <c r="D277" s="1" t="s">
        <v>1236</v>
      </c>
      <c r="E277" s="1" t="s">
        <v>3555</v>
      </c>
      <c r="F277" s="1" t="s">
        <v>112</v>
      </c>
      <c r="G277" s="1">
        <v>355552</v>
      </c>
    </row>
    <row r="278" spans="1:8" x14ac:dyDescent="0.35">
      <c r="A278" s="1" t="str">
        <f t="shared" si="4"/>
        <v>3</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78" s="1" t="s">
        <v>3556</v>
      </c>
      <c r="D278" s="1" t="s">
        <v>3557</v>
      </c>
      <c r="E278" s="1" t="s">
        <v>3558</v>
      </c>
      <c r="F278" s="1" t="s">
        <v>112</v>
      </c>
      <c r="G278" s="1">
        <v>413174</v>
      </c>
    </row>
    <row r="279" spans="1:8" x14ac:dyDescent="0.35">
      <c r="A279" s="1" t="str">
        <f t="shared" si="4"/>
        <v>3</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79" s="1" t="s">
        <v>3559</v>
      </c>
      <c r="D279" s="1" t="s">
        <v>3560</v>
      </c>
      <c r="E279" s="1" t="s">
        <v>3561</v>
      </c>
      <c r="F279" s="1" t="s">
        <v>112</v>
      </c>
      <c r="G279" s="1">
        <v>515657</v>
      </c>
    </row>
    <row r="280" spans="1:8" x14ac:dyDescent="0.35">
      <c r="A280" s="1" t="str">
        <f t="shared" si="4"/>
        <v>3</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0" s="1" t="s">
        <v>3562</v>
      </c>
      <c r="D280" s="1" t="s">
        <v>2018</v>
      </c>
      <c r="E280" s="1" t="s">
        <v>3563</v>
      </c>
      <c r="F280" s="1" t="s">
        <v>112</v>
      </c>
      <c r="G280" s="1">
        <v>15898</v>
      </c>
    </row>
    <row r="281" spans="1:8"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1" s="1" t="s">
        <v>112</v>
      </c>
    </row>
    <row r="282" spans="1:8"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2" s="1" t="s">
        <v>227</v>
      </c>
      <c r="D282" s="1" t="s">
        <v>112</v>
      </c>
      <c r="E282" s="1" t="s">
        <v>228</v>
      </c>
      <c r="F282" s="1" t="s">
        <v>229</v>
      </c>
      <c r="G282" s="1" t="s">
        <v>230</v>
      </c>
      <c r="H282" s="1" t="s">
        <v>231</v>
      </c>
    </row>
    <row r="283" spans="1:8" x14ac:dyDescent="0.35">
      <c r="A283" s="1" t="str">
        <f t="shared" si="4"/>
        <v>3</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3" s="1" t="s">
        <v>3564</v>
      </c>
      <c r="D283" s="1" t="s">
        <v>112</v>
      </c>
      <c r="E283" s="1" t="s">
        <v>3565</v>
      </c>
      <c r="F283" s="1" t="s">
        <v>3566</v>
      </c>
      <c r="G283" s="1" t="s">
        <v>3567</v>
      </c>
      <c r="H283" s="1" t="s">
        <v>3568</v>
      </c>
    </row>
    <row r="284" spans="1:8"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4" s="1" t="s">
        <v>112</v>
      </c>
    </row>
    <row r="285" spans="1:8"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5" s="1" t="s">
        <v>112</v>
      </c>
    </row>
    <row r="286" spans="1:8"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6" s="1" t="s">
        <v>112</v>
      </c>
    </row>
    <row r="287" spans="1:8"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7" s="1" t="s">
        <v>112</v>
      </c>
    </row>
    <row r="288" spans="1:8"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8" s="1" t="s">
        <v>112</v>
      </c>
    </row>
    <row r="289" spans="1:7"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9" s="1" t="s">
        <v>173</v>
      </c>
      <c r="D289" s="1" t="s">
        <v>110</v>
      </c>
      <c r="E289" s="1" t="s">
        <v>111</v>
      </c>
      <c r="F289" s="1" t="s">
        <v>112</v>
      </c>
      <c r="G289" s="1" t="s">
        <v>113</v>
      </c>
    </row>
    <row r="290" spans="1:7" x14ac:dyDescent="0.35">
      <c r="A290" s="1" t="str">
        <f t="shared" si="4"/>
        <v>4</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0" s="1" t="s">
        <v>3569</v>
      </c>
    </row>
    <row r="291" spans="1:7" x14ac:dyDescent="0.35">
      <c r="A291" s="1" t="str">
        <f t="shared" si="4"/>
        <v>4</v>
      </c>
      <c r="B2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1" s="1" t="s">
        <v>3570</v>
      </c>
    </row>
    <row r="292" spans="1:7" x14ac:dyDescent="0.35">
      <c r="A292" s="1" t="str">
        <f t="shared" si="4"/>
        <v>4</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2" s="1" t="s">
        <v>3571</v>
      </c>
    </row>
    <row r="293" spans="1:7" x14ac:dyDescent="0.35">
      <c r="A293" s="1" t="str">
        <f t="shared" si="4"/>
        <v>4</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3" s="1" t="s">
        <v>3572</v>
      </c>
      <c r="D293" s="1" t="s">
        <v>1257</v>
      </c>
      <c r="E293" s="1" t="s">
        <v>3573</v>
      </c>
      <c r="F293" s="1" t="s">
        <v>112</v>
      </c>
      <c r="G293" s="1">
        <v>617944</v>
      </c>
    </row>
    <row r="294" spans="1:7" x14ac:dyDescent="0.35">
      <c r="A294" s="1" t="str">
        <f t="shared" si="4"/>
        <v>4</v>
      </c>
      <c r="B2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94" s="1" t="s">
        <v>3574</v>
      </c>
      <c r="D294" s="1" t="s">
        <v>3575</v>
      </c>
      <c r="E294" s="1" t="s">
        <v>3576</v>
      </c>
      <c r="F294" s="1" t="s">
        <v>112</v>
      </c>
      <c r="G294" s="1">
        <v>581671</v>
      </c>
    </row>
    <row r="295" spans="1:7" x14ac:dyDescent="0.35">
      <c r="A295" s="1" t="str">
        <f t="shared" si="4"/>
        <v>4</v>
      </c>
      <c r="B2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95" s="1" t="s">
        <v>3577</v>
      </c>
    </row>
    <row r="296" spans="1:7" x14ac:dyDescent="0.35">
      <c r="A296" s="1" t="str">
        <f t="shared" si="4"/>
        <v>4</v>
      </c>
      <c r="B2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96" s="1" t="s">
        <v>3578</v>
      </c>
      <c r="D296" s="1" t="s">
        <v>3579</v>
      </c>
      <c r="E296" s="1" t="s">
        <v>3580</v>
      </c>
      <c r="F296" s="1" t="s">
        <v>112</v>
      </c>
      <c r="G296" s="1">
        <v>635032</v>
      </c>
    </row>
    <row r="297" spans="1:7" x14ac:dyDescent="0.35">
      <c r="A297" s="1" t="str">
        <f t="shared" si="4"/>
        <v>4</v>
      </c>
      <c r="B2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97" s="1" t="s">
        <v>3581</v>
      </c>
      <c r="D297" s="1" t="s">
        <v>3582</v>
      </c>
      <c r="E297" s="1" t="s">
        <v>3583</v>
      </c>
      <c r="F297" s="1" t="s">
        <v>112</v>
      </c>
      <c r="G297" s="1">
        <v>831691</v>
      </c>
    </row>
    <row r="298" spans="1:7" x14ac:dyDescent="0.35">
      <c r="A298" s="1" t="str">
        <f t="shared" si="4"/>
        <v>4</v>
      </c>
      <c r="B2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98" s="1" t="s">
        <v>3584</v>
      </c>
      <c r="D298" s="1" t="s">
        <v>3585</v>
      </c>
      <c r="E298" s="1" t="s">
        <v>3586</v>
      </c>
      <c r="F298" s="1" t="s">
        <v>112</v>
      </c>
      <c r="G298" s="1">
        <v>3285040</v>
      </c>
    </row>
    <row r="299" spans="1:7" x14ac:dyDescent="0.35">
      <c r="A299" s="1" t="str">
        <f t="shared" si="4"/>
        <v>4</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99" s="1" t="s">
        <v>3587</v>
      </c>
      <c r="D299" s="1" t="s">
        <v>886</v>
      </c>
      <c r="E299" s="1" t="s">
        <v>3588</v>
      </c>
      <c r="F299" s="1" t="s">
        <v>112</v>
      </c>
      <c r="G299" s="1">
        <v>2859039</v>
      </c>
    </row>
    <row r="300" spans="1:7" x14ac:dyDescent="0.35">
      <c r="A300" s="1" t="str">
        <f t="shared" si="4"/>
        <v>4</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0" s="1" t="s">
        <v>3589</v>
      </c>
      <c r="D300" s="1" t="s">
        <v>3590</v>
      </c>
      <c r="E300" s="1" t="s">
        <v>3591</v>
      </c>
      <c r="F300" s="1" t="s">
        <v>112</v>
      </c>
      <c r="G300" s="1">
        <v>2979280</v>
      </c>
    </row>
    <row r="301" spans="1:7" x14ac:dyDescent="0.35">
      <c r="A301" s="1" t="str">
        <f t="shared" si="4"/>
        <v>4</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1" s="1" t="s">
        <v>3592</v>
      </c>
    </row>
    <row r="302" spans="1:7" x14ac:dyDescent="0.35">
      <c r="A302" s="1" t="str">
        <f t="shared" si="4"/>
        <v>4</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2" s="1" t="s">
        <v>3593</v>
      </c>
      <c r="D302" s="1" t="s">
        <v>3594</v>
      </c>
      <c r="E302" s="1" t="s">
        <v>3595</v>
      </c>
      <c r="F302" s="1" t="s">
        <v>112</v>
      </c>
      <c r="G302" s="1">
        <v>617404</v>
      </c>
    </row>
    <row r="303" spans="1:7" x14ac:dyDescent="0.35">
      <c r="A303" s="1" t="str">
        <f t="shared" si="4"/>
        <v>4</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3" s="1" t="s">
        <v>3596</v>
      </c>
      <c r="D303" s="1" t="s">
        <v>3597</v>
      </c>
      <c r="E303" s="1" t="s">
        <v>3598</v>
      </c>
      <c r="F303" s="1" t="s">
        <v>112</v>
      </c>
      <c r="G303" s="1">
        <v>1130486</v>
      </c>
    </row>
    <row r="304" spans="1:7" x14ac:dyDescent="0.35">
      <c r="A304" s="1" t="str">
        <f t="shared" si="4"/>
        <v>4</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4" s="1" t="s">
        <v>3599</v>
      </c>
      <c r="D304" s="1" t="s">
        <v>2719</v>
      </c>
      <c r="E304" s="1" t="s">
        <v>3600</v>
      </c>
      <c r="F304" s="1" t="s">
        <v>112</v>
      </c>
      <c r="G304" s="1">
        <v>1189861</v>
      </c>
    </row>
    <row r="305" spans="1:7" x14ac:dyDescent="0.35">
      <c r="A305" s="1" t="str">
        <f t="shared" si="4"/>
        <v>4</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5" s="1" t="s">
        <v>3601</v>
      </c>
      <c r="D305" s="1" t="s">
        <v>3602</v>
      </c>
      <c r="E305" s="1" t="s">
        <v>3603</v>
      </c>
      <c r="F305" s="1" t="s">
        <v>112</v>
      </c>
      <c r="G305" s="1">
        <v>1457747</v>
      </c>
    </row>
    <row r="306" spans="1:7" x14ac:dyDescent="0.35">
      <c r="A306" s="1" t="str">
        <f t="shared" si="4"/>
        <v>4</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06" s="1" t="s">
        <v>3604</v>
      </c>
      <c r="D306" s="1" t="s">
        <v>3605</v>
      </c>
      <c r="E306" s="1" t="s">
        <v>3606</v>
      </c>
      <c r="F306" s="1" t="s">
        <v>112</v>
      </c>
      <c r="G306" s="1">
        <v>572089</v>
      </c>
    </row>
    <row r="307" spans="1:7" x14ac:dyDescent="0.35">
      <c r="A307" s="1" t="str">
        <f t="shared" si="4"/>
        <v>4</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07" s="1" t="s">
        <v>3607</v>
      </c>
      <c r="D307" s="1" t="s">
        <v>3608</v>
      </c>
      <c r="E307" s="1" t="s">
        <v>3609</v>
      </c>
      <c r="F307" s="1" t="s">
        <v>112</v>
      </c>
      <c r="G307" s="1">
        <v>1000664</v>
      </c>
    </row>
    <row r="308" spans="1:7" x14ac:dyDescent="0.35">
      <c r="A308" s="1" t="str">
        <f t="shared" si="4"/>
        <v>4</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08" s="1" t="s">
        <v>3610</v>
      </c>
      <c r="D308" s="1" t="s">
        <v>3611</v>
      </c>
      <c r="E308" s="1" t="s">
        <v>1464</v>
      </c>
      <c r="F308" s="1" t="s">
        <v>112</v>
      </c>
      <c r="G308" s="1">
        <v>1299567</v>
      </c>
    </row>
    <row r="309" spans="1:7" x14ac:dyDescent="0.35">
      <c r="A309" s="1" t="str">
        <f t="shared" si="4"/>
        <v>4</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09" s="1" t="s">
        <v>3612</v>
      </c>
      <c r="D309" s="1" t="s">
        <v>3613</v>
      </c>
      <c r="E309" s="1" t="s">
        <v>3614</v>
      </c>
      <c r="F309" s="1" t="s">
        <v>112</v>
      </c>
      <c r="G309" s="1">
        <v>1263207</v>
      </c>
    </row>
    <row r="310" spans="1:7" x14ac:dyDescent="0.35">
      <c r="A310" s="1" t="str">
        <f t="shared" si="4"/>
        <v>4</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0" s="1" t="s">
        <v>3615</v>
      </c>
      <c r="D310" s="1" t="s">
        <v>545</v>
      </c>
      <c r="E310" s="1" t="s">
        <v>654</v>
      </c>
      <c r="F310" s="1" t="s">
        <v>112</v>
      </c>
      <c r="G310" s="1">
        <v>9496</v>
      </c>
    </row>
    <row r="311" spans="1:7" x14ac:dyDescent="0.35">
      <c r="A311" s="1" t="str">
        <f t="shared" si="4"/>
        <v>4</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1" s="1" t="s">
        <v>3616</v>
      </c>
    </row>
    <row r="312" spans="1:7" x14ac:dyDescent="0.35">
      <c r="A312" s="1" t="str">
        <f t="shared" si="4"/>
        <v>4</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2" s="1" t="s">
        <v>3617</v>
      </c>
      <c r="D312" s="1" t="s">
        <v>591</v>
      </c>
      <c r="E312" s="1" t="s">
        <v>3618</v>
      </c>
      <c r="F312" s="1" t="s">
        <v>112</v>
      </c>
      <c r="G312" s="1">
        <v>181626</v>
      </c>
    </row>
    <row r="313" spans="1:7" x14ac:dyDescent="0.35">
      <c r="A313" s="1" t="str">
        <f t="shared" si="4"/>
        <v>4</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3" s="1" t="s">
        <v>3619</v>
      </c>
    </row>
    <row r="314" spans="1:7" x14ac:dyDescent="0.35">
      <c r="A314" s="1" t="str">
        <f t="shared" si="4"/>
        <v>4</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4" s="1" t="s">
        <v>3620</v>
      </c>
      <c r="D314" s="1" t="s">
        <v>3621</v>
      </c>
      <c r="E314" s="1" t="s">
        <v>3622</v>
      </c>
      <c r="F314" s="1" t="s">
        <v>112</v>
      </c>
      <c r="G314" s="1">
        <v>60888</v>
      </c>
    </row>
    <row r="315" spans="1:7" x14ac:dyDescent="0.35">
      <c r="A315" s="1" t="str">
        <f t="shared" si="4"/>
        <v>4</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5" s="1" t="s">
        <v>3623</v>
      </c>
      <c r="D315" s="1" t="s">
        <v>280</v>
      </c>
      <c r="E315" s="1" t="s">
        <v>3624</v>
      </c>
      <c r="F315" s="1" t="s">
        <v>112</v>
      </c>
      <c r="G315" s="1">
        <v>141351</v>
      </c>
    </row>
    <row r="316" spans="1:7" x14ac:dyDescent="0.35">
      <c r="A316" s="1" t="str">
        <f t="shared" si="4"/>
        <v>4</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6" s="1" t="s">
        <v>3625</v>
      </c>
      <c r="D316" s="1" t="s">
        <v>3626</v>
      </c>
      <c r="E316" s="1" t="s">
        <v>3627</v>
      </c>
      <c r="F316" s="1" t="s">
        <v>112</v>
      </c>
      <c r="G316" s="1">
        <v>282292</v>
      </c>
    </row>
    <row r="317" spans="1:7" x14ac:dyDescent="0.35">
      <c r="A317" s="1" t="str">
        <f t="shared" si="4"/>
        <v>4</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3628</v>
      </c>
      <c r="D317" s="1" t="s">
        <v>3629</v>
      </c>
      <c r="E317" s="1" t="s">
        <v>3630</v>
      </c>
      <c r="F317" s="1" t="s">
        <v>112</v>
      </c>
      <c r="G317" s="1">
        <v>453665</v>
      </c>
    </row>
    <row r="318" spans="1:7" x14ac:dyDescent="0.35">
      <c r="A318" s="1" t="str">
        <f t="shared" si="4"/>
        <v>4</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18" s="1" t="s">
        <v>3631</v>
      </c>
      <c r="D318" s="1" t="s">
        <v>2052</v>
      </c>
      <c r="E318" s="1" t="s">
        <v>3632</v>
      </c>
      <c r="F318" s="1" t="s">
        <v>112</v>
      </c>
      <c r="G318" s="1">
        <v>48884</v>
      </c>
    </row>
    <row r="319" spans="1:7" x14ac:dyDescent="0.35">
      <c r="A319" s="1" t="str">
        <f t="shared" si="4"/>
        <v>4</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19" s="1" t="s">
        <v>3633</v>
      </c>
      <c r="D319" s="1" t="s">
        <v>557</v>
      </c>
      <c r="E319" s="1" t="s">
        <v>3634</v>
      </c>
      <c r="F319" s="1" t="s">
        <v>112</v>
      </c>
      <c r="G319" s="1">
        <v>142736</v>
      </c>
    </row>
    <row r="320" spans="1:7" x14ac:dyDescent="0.35">
      <c r="A320" s="1" t="str">
        <f t="shared" si="4"/>
        <v>4</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3635</v>
      </c>
      <c r="D320" s="1" t="s">
        <v>3636</v>
      </c>
      <c r="E320" s="1" t="s">
        <v>3637</v>
      </c>
      <c r="F320" s="1" t="s">
        <v>112</v>
      </c>
      <c r="G320" s="1">
        <v>512412</v>
      </c>
    </row>
    <row r="321" spans="1:8" x14ac:dyDescent="0.35">
      <c r="A321" s="1" t="str">
        <f t="shared" si="4"/>
        <v>4</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3638</v>
      </c>
      <c r="D321" s="1" t="s">
        <v>3477</v>
      </c>
      <c r="E321" s="1" t="s">
        <v>3639</v>
      </c>
      <c r="F321" s="1" t="s">
        <v>112</v>
      </c>
      <c r="G321" s="1">
        <v>328017</v>
      </c>
    </row>
    <row r="322" spans="1:8"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2" s="1" t="s">
        <v>112</v>
      </c>
    </row>
    <row r="323" spans="1:8"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227</v>
      </c>
      <c r="D323" s="1" t="s">
        <v>112</v>
      </c>
      <c r="E323" s="1" t="s">
        <v>228</v>
      </c>
      <c r="F323" s="1" t="s">
        <v>229</v>
      </c>
      <c r="G323" s="1" t="s">
        <v>230</v>
      </c>
      <c r="H323" s="1" t="s">
        <v>231</v>
      </c>
    </row>
    <row r="324" spans="1:8" x14ac:dyDescent="0.35">
      <c r="A324" s="1" t="str">
        <f t="shared" si="5"/>
        <v>4</v>
      </c>
      <c r="B3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4" s="1" t="s">
        <v>3640</v>
      </c>
      <c r="D324" s="1" t="s">
        <v>112</v>
      </c>
      <c r="E324" s="1" t="s">
        <v>3641</v>
      </c>
      <c r="F324" s="1" t="s">
        <v>3642</v>
      </c>
      <c r="G324" s="1" t="s">
        <v>3643</v>
      </c>
      <c r="H324" s="1" t="s">
        <v>3644</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112</v>
      </c>
    </row>
    <row r="326" spans="1:8"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173</v>
      </c>
      <c r="D330" s="1" t="s">
        <v>110</v>
      </c>
      <c r="E330" s="1" t="s">
        <v>111</v>
      </c>
      <c r="F330" s="1" t="s">
        <v>112</v>
      </c>
      <c r="G330" s="1" t="s">
        <v>113</v>
      </c>
    </row>
    <row r="331" spans="1:8" x14ac:dyDescent="0.35">
      <c r="A331" s="1" t="str">
        <f t="shared" si="5"/>
        <v>5</v>
      </c>
      <c r="B3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1" s="1" t="s">
        <v>3645</v>
      </c>
      <c r="D331" s="1" t="s">
        <v>3646</v>
      </c>
      <c r="E331" s="1" t="s">
        <v>3647</v>
      </c>
      <c r="F331" s="1" t="s">
        <v>112</v>
      </c>
      <c r="G331" s="1">
        <v>1778021</v>
      </c>
    </row>
    <row r="332" spans="1:8" x14ac:dyDescent="0.35">
      <c r="A332" s="1" t="str">
        <f t="shared" si="5"/>
        <v>5</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3648</v>
      </c>
      <c r="D332" s="1" t="s">
        <v>3649</v>
      </c>
      <c r="E332" s="1" t="s">
        <v>3650</v>
      </c>
      <c r="F332" s="1" t="s">
        <v>112</v>
      </c>
      <c r="G332" s="1">
        <v>2439203</v>
      </c>
    </row>
    <row r="333" spans="1:8" x14ac:dyDescent="0.35">
      <c r="A333" s="1" t="str">
        <f t="shared" si="5"/>
        <v>5</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3651</v>
      </c>
    </row>
    <row r="334" spans="1:8" x14ac:dyDescent="0.35">
      <c r="A334" s="1" t="str">
        <f t="shared" si="5"/>
        <v>5</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3652</v>
      </c>
      <c r="D334" s="1" t="s">
        <v>3653</v>
      </c>
      <c r="E334" s="1" t="s">
        <v>3654</v>
      </c>
      <c r="F334" s="1" t="s">
        <v>112</v>
      </c>
      <c r="G334" s="1">
        <v>1553978</v>
      </c>
    </row>
    <row r="335" spans="1:8" x14ac:dyDescent="0.35">
      <c r="A335" s="1" t="str">
        <f t="shared" si="5"/>
        <v>5</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3655</v>
      </c>
      <c r="D335" s="1" t="s">
        <v>3656</v>
      </c>
      <c r="E335" s="1" t="s">
        <v>3657</v>
      </c>
      <c r="F335" s="1" t="s">
        <v>112</v>
      </c>
      <c r="G335" s="1">
        <v>2885514</v>
      </c>
    </row>
    <row r="336" spans="1:8" x14ac:dyDescent="0.35">
      <c r="A336" s="1" t="str">
        <f t="shared" si="5"/>
        <v>5</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3658</v>
      </c>
      <c r="D336" s="1" t="s">
        <v>3659</v>
      </c>
      <c r="E336" s="1" t="s">
        <v>3660</v>
      </c>
      <c r="F336" s="1" t="s">
        <v>112</v>
      </c>
      <c r="G336" s="1">
        <v>2544714</v>
      </c>
    </row>
    <row r="337" spans="1:7" x14ac:dyDescent="0.35">
      <c r="A337" s="1" t="str">
        <f t="shared" si="5"/>
        <v>5</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3661</v>
      </c>
      <c r="D337" s="1" t="s">
        <v>3662</v>
      </c>
      <c r="E337" s="1" t="s">
        <v>3663</v>
      </c>
      <c r="F337" s="1" t="s">
        <v>112</v>
      </c>
      <c r="G337" s="1">
        <v>2512464</v>
      </c>
    </row>
    <row r="338" spans="1:7" x14ac:dyDescent="0.35">
      <c r="A338" s="1" t="str">
        <f t="shared" si="5"/>
        <v>5</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3664</v>
      </c>
      <c r="D338" s="1" t="s">
        <v>3665</v>
      </c>
      <c r="E338" s="1" t="s">
        <v>3666</v>
      </c>
      <c r="F338" s="1" t="s">
        <v>112</v>
      </c>
      <c r="G338" s="1">
        <v>2562645</v>
      </c>
    </row>
    <row r="339" spans="1:7" x14ac:dyDescent="0.35">
      <c r="A339" s="1" t="str">
        <f t="shared" si="5"/>
        <v>5</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3667</v>
      </c>
      <c r="D339" s="1" t="s">
        <v>3668</v>
      </c>
      <c r="E339" s="1" t="s">
        <v>3669</v>
      </c>
      <c r="F339" s="1" t="s">
        <v>112</v>
      </c>
      <c r="G339" s="1">
        <v>2949842</v>
      </c>
    </row>
    <row r="340" spans="1:7" x14ac:dyDescent="0.35">
      <c r="A340" s="1" t="str">
        <f t="shared" si="5"/>
        <v>5</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3670</v>
      </c>
    </row>
    <row r="341" spans="1:7" x14ac:dyDescent="0.35">
      <c r="A341" s="1" t="str">
        <f t="shared" si="5"/>
        <v>5</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3671</v>
      </c>
    </row>
    <row r="342" spans="1:7" x14ac:dyDescent="0.35">
      <c r="A342" s="1" t="str">
        <f t="shared" si="5"/>
        <v>5</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2" s="1" t="s">
        <v>3672</v>
      </c>
      <c r="D342" s="1" t="s">
        <v>1856</v>
      </c>
      <c r="E342" s="1" t="s">
        <v>3673</v>
      </c>
      <c r="F342" s="1" t="s">
        <v>112</v>
      </c>
      <c r="G342" s="1">
        <v>3308141</v>
      </c>
    </row>
    <row r="343" spans="1:7" x14ac:dyDescent="0.35">
      <c r="A343" s="1" t="str">
        <f t="shared" si="5"/>
        <v>5</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3674</v>
      </c>
      <c r="D343" s="1" t="s">
        <v>1183</v>
      </c>
      <c r="E343" s="1" t="s">
        <v>3675</v>
      </c>
      <c r="F343" s="1" t="s">
        <v>112</v>
      </c>
      <c r="G343" s="1">
        <v>2756990</v>
      </c>
    </row>
    <row r="344" spans="1:7" x14ac:dyDescent="0.35">
      <c r="A344" s="1" t="str">
        <f t="shared" si="5"/>
        <v>5</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3676</v>
      </c>
      <c r="D344" s="1" t="s">
        <v>3677</v>
      </c>
      <c r="E344" s="1" t="s">
        <v>3678</v>
      </c>
      <c r="F344" s="1" t="s">
        <v>112</v>
      </c>
      <c r="G344" s="1">
        <v>2220157</v>
      </c>
    </row>
    <row r="345" spans="1:7" x14ac:dyDescent="0.35">
      <c r="A345" s="1" t="str">
        <f t="shared" si="5"/>
        <v>5</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5" s="1" t="s">
        <v>3679</v>
      </c>
      <c r="D345" s="1" t="s">
        <v>3680</v>
      </c>
      <c r="E345" s="1" t="s">
        <v>3681</v>
      </c>
      <c r="F345" s="1" t="s">
        <v>112</v>
      </c>
      <c r="G345" s="1">
        <v>2575061</v>
      </c>
    </row>
    <row r="346" spans="1:7" x14ac:dyDescent="0.35">
      <c r="A346" s="1" t="str">
        <f t="shared" si="5"/>
        <v>5</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6" s="1" t="s">
        <v>3682</v>
      </c>
      <c r="D346" s="1" t="s">
        <v>3683</v>
      </c>
      <c r="E346" s="1" t="s">
        <v>3684</v>
      </c>
      <c r="F346" s="1" t="s">
        <v>112</v>
      </c>
      <c r="G346" s="1">
        <v>2163054</v>
      </c>
    </row>
    <row r="347" spans="1:7" x14ac:dyDescent="0.35">
      <c r="A347" s="1" t="str">
        <f t="shared" si="5"/>
        <v>5</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3685</v>
      </c>
      <c r="D347" s="1" t="s">
        <v>3686</v>
      </c>
      <c r="E347" s="1" t="s">
        <v>3687</v>
      </c>
      <c r="F347" s="1" t="s">
        <v>112</v>
      </c>
      <c r="G347" s="1">
        <v>2337543</v>
      </c>
    </row>
    <row r="348" spans="1:7" x14ac:dyDescent="0.35">
      <c r="A348" s="1" t="str">
        <f t="shared" si="5"/>
        <v>5</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8" s="1" t="s">
        <v>3688</v>
      </c>
      <c r="D348" s="1" t="s">
        <v>824</v>
      </c>
      <c r="E348" s="1" t="s">
        <v>3689</v>
      </c>
      <c r="F348" s="1" t="s">
        <v>112</v>
      </c>
      <c r="G348" s="1">
        <v>2529703</v>
      </c>
    </row>
    <row r="349" spans="1:7" x14ac:dyDescent="0.35">
      <c r="A349" s="1" t="str">
        <f t="shared" si="5"/>
        <v>5</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9" s="1" t="s">
        <v>3690</v>
      </c>
    </row>
    <row r="350" spans="1:7" x14ac:dyDescent="0.35">
      <c r="A350" s="1" t="str">
        <f t="shared" si="5"/>
        <v>5</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50" s="1" t="s">
        <v>3691</v>
      </c>
      <c r="D350" s="1" t="s">
        <v>3692</v>
      </c>
      <c r="E350" s="1" t="s">
        <v>3693</v>
      </c>
      <c r="F350" s="1" t="s">
        <v>112</v>
      </c>
      <c r="G350" s="1">
        <v>1470443</v>
      </c>
    </row>
    <row r="351" spans="1:7" x14ac:dyDescent="0.35">
      <c r="A351" s="1" t="str">
        <f t="shared" si="5"/>
        <v>5</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1" s="1" t="s">
        <v>3694</v>
      </c>
      <c r="D351" s="1" t="s">
        <v>3695</v>
      </c>
      <c r="E351" s="1" t="s">
        <v>3696</v>
      </c>
      <c r="F351" s="1" t="s">
        <v>112</v>
      </c>
      <c r="G351" s="1">
        <v>3708229</v>
      </c>
    </row>
    <row r="352" spans="1:7" x14ac:dyDescent="0.35">
      <c r="A352" s="1" t="str">
        <f t="shared" si="5"/>
        <v>5</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2" s="1" t="s">
        <v>3697</v>
      </c>
      <c r="D352" s="1" t="s">
        <v>3698</v>
      </c>
      <c r="E352" s="1" t="s">
        <v>3699</v>
      </c>
      <c r="F352" s="1" t="s">
        <v>112</v>
      </c>
      <c r="G352" s="1">
        <v>3330723</v>
      </c>
    </row>
    <row r="353" spans="1:8" x14ac:dyDescent="0.35">
      <c r="A353" s="1" t="str">
        <f t="shared" si="5"/>
        <v>5</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3" s="1" t="s">
        <v>3700</v>
      </c>
      <c r="D353" s="1" t="s">
        <v>3701</v>
      </c>
      <c r="E353" s="1" t="s">
        <v>3702</v>
      </c>
      <c r="F353" s="1" t="s">
        <v>112</v>
      </c>
      <c r="G353" s="1">
        <v>3557079</v>
      </c>
    </row>
    <row r="354" spans="1:8" x14ac:dyDescent="0.35">
      <c r="A354" s="1" t="str">
        <f t="shared" si="5"/>
        <v>5</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4" s="1" t="s">
        <v>3703</v>
      </c>
      <c r="D354" s="1" t="s">
        <v>3704</v>
      </c>
      <c r="E354" s="1" t="s">
        <v>3705</v>
      </c>
      <c r="F354" s="1" t="s">
        <v>112</v>
      </c>
      <c r="G354" s="1">
        <v>3959114</v>
      </c>
    </row>
    <row r="355" spans="1:8" x14ac:dyDescent="0.35">
      <c r="A355" s="1" t="str">
        <f t="shared" si="5"/>
        <v>5</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5" s="1" t="s">
        <v>3706</v>
      </c>
      <c r="D355" s="1" t="s">
        <v>3707</v>
      </c>
      <c r="E355" s="1" t="s">
        <v>3708</v>
      </c>
      <c r="F355" s="1" t="s">
        <v>112</v>
      </c>
      <c r="G355" s="1">
        <v>457234</v>
      </c>
    </row>
    <row r="356" spans="1:8" x14ac:dyDescent="0.35">
      <c r="A356" s="1" t="str">
        <f t="shared" si="5"/>
        <v>5</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6" s="1" t="s">
        <v>3709</v>
      </c>
      <c r="D356" s="1" t="s">
        <v>3710</v>
      </c>
      <c r="E356" s="1" t="s">
        <v>3711</v>
      </c>
      <c r="F356" s="1" t="s">
        <v>112</v>
      </c>
      <c r="G356" s="1">
        <v>1338220</v>
      </c>
    </row>
    <row r="357" spans="1:8" x14ac:dyDescent="0.35">
      <c r="A357" s="1" t="str">
        <f t="shared" si="5"/>
        <v>5</v>
      </c>
      <c r="B3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7" s="1" t="s">
        <v>3712</v>
      </c>
      <c r="D357" s="1" t="s">
        <v>3713</v>
      </c>
      <c r="E357" s="1" t="s">
        <v>3714</v>
      </c>
      <c r="F357" s="1" t="s">
        <v>112</v>
      </c>
      <c r="G357" s="1">
        <v>1286892</v>
      </c>
    </row>
    <row r="358" spans="1:8" x14ac:dyDescent="0.35">
      <c r="A358" s="1" t="str">
        <f t="shared" si="5"/>
        <v>5</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8" s="1" t="s">
        <v>3715</v>
      </c>
      <c r="D358" s="1" t="s">
        <v>2092</v>
      </c>
      <c r="E358" s="1" t="s">
        <v>3716</v>
      </c>
      <c r="F358" s="1" t="s">
        <v>112</v>
      </c>
      <c r="G358" s="1">
        <v>322523</v>
      </c>
    </row>
    <row r="359" spans="1:8" x14ac:dyDescent="0.35">
      <c r="A359" s="1" t="str">
        <f t="shared" si="5"/>
        <v>5</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9" s="1" t="s">
        <v>3717</v>
      </c>
      <c r="D359" s="1" t="s">
        <v>3718</v>
      </c>
      <c r="E359" s="1" t="s">
        <v>3719</v>
      </c>
      <c r="F359" s="1" t="s">
        <v>112</v>
      </c>
      <c r="G359" s="1">
        <v>30520</v>
      </c>
    </row>
    <row r="360" spans="1:8" x14ac:dyDescent="0.35">
      <c r="A360" s="1" t="str">
        <f t="shared" si="5"/>
        <v>5</v>
      </c>
      <c r="B3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60" s="1" t="s">
        <v>3720</v>
      </c>
    </row>
    <row r="361" spans="1:8" x14ac:dyDescent="0.35">
      <c r="A361" s="1" t="str">
        <f t="shared" si="5"/>
        <v>5</v>
      </c>
      <c r="B3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61" s="1" t="s">
        <v>3721</v>
      </c>
    </row>
    <row r="362" spans="1:8" x14ac:dyDescent="0.35">
      <c r="A362" s="1" t="str">
        <f t="shared" si="5"/>
        <v>5</v>
      </c>
      <c r="B3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62" s="1" t="s">
        <v>3722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227</v>
      </c>
      <c r="D364" s="1" t="s">
        <v>112</v>
      </c>
      <c r="E364" s="1" t="s">
        <v>228</v>
      </c>
      <c r="F364" s="1" t="s">
        <v>229</v>
      </c>
      <c r="G364" s="1" t="s">
        <v>230</v>
      </c>
      <c r="H364" s="1" t="s">
        <v>231</v>
      </c>
    </row>
    <row r="365" spans="1:8" x14ac:dyDescent="0.35">
      <c r="A365" s="1" t="str">
        <f t="shared" si="5"/>
        <v>5</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65" s="1" t="s">
        <v>3723</v>
      </c>
      <c r="D365" s="1" t="s">
        <v>112</v>
      </c>
      <c r="E365" s="1" t="s">
        <v>3724</v>
      </c>
      <c r="F365" s="1" t="s">
        <v>3725</v>
      </c>
      <c r="G365" s="1" t="s">
        <v>3726</v>
      </c>
      <c r="H365" s="1" t="s">
        <v>3727</v>
      </c>
    </row>
    <row r="366" spans="1:8"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6" s="1" t="s">
        <v>112</v>
      </c>
    </row>
    <row r="367" spans="1:8"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7" s="1" t="s">
        <v>112</v>
      </c>
    </row>
    <row r="368" spans="1:8"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8" s="1" t="s">
        <v>112</v>
      </c>
    </row>
    <row r="369" spans="1:7"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9" s="1" t="s">
        <v>112</v>
      </c>
    </row>
    <row r="370" spans="1:7"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70" s="1" t="s">
        <v>112</v>
      </c>
    </row>
    <row r="371" spans="1:7"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71" s="1" t="s">
        <v>173</v>
      </c>
      <c r="D371" s="1" t="s">
        <v>110</v>
      </c>
      <c r="E371" s="1" t="s">
        <v>111</v>
      </c>
      <c r="F371" s="1" t="s">
        <v>112</v>
      </c>
      <c r="G371" s="1" t="s">
        <v>113</v>
      </c>
    </row>
    <row r="372" spans="1:7" x14ac:dyDescent="0.35">
      <c r="A372" s="1" t="str">
        <f t="shared" si="5"/>
        <v>6</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2" s="1" t="s">
        <v>3728</v>
      </c>
      <c r="D372" s="1" t="s">
        <v>3729</v>
      </c>
      <c r="E372" s="1" t="s">
        <v>3730</v>
      </c>
      <c r="F372" s="1" t="s">
        <v>112</v>
      </c>
      <c r="G372" s="1">
        <v>2440890</v>
      </c>
    </row>
    <row r="373" spans="1:7" x14ac:dyDescent="0.35">
      <c r="A373" s="1" t="str">
        <f t="shared" si="5"/>
        <v>6</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3" s="1" t="s">
        <v>3731</v>
      </c>
      <c r="D373" s="1" t="s">
        <v>3732</v>
      </c>
      <c r="E373" s="1" t="s">
        <v>3733</v>
      </c>
      <c r="F373" s="1" t="s">
        <v>112</v>
      </c>
      <c r="G373" s="1">
        <v>2888370</v>
      </c>
    </row>
    <row r="374" spans="1:7" x14ac:dyDescent="0.35">
      <c r="A374" s="1" t="str">
        <f t="shared" si="5"/>
        <v>6</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4" s="1" t="s">
        <v>3734</v>
      </c>
      <c r="D374" s="1" t="s">
        <v>3735</v>
      </c>
      <c r="E374" s="1" t="s">
        <v>3736</v>
      </c>
      <c r="F374" s="1" t="s">
        <v>112</v>
      </c>
      <c r="G374" s="1">
        <v>3012201</v>
      </c>
    </row>
    <row r="375" spans="1:7" x14ac:dyDescent="0.35">
      <c r="A375" s="1" t="str">
        <f t="shared" si="5"/>
        <v>6</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5" s="1" t="s">
        <v>3737</v>
      </c>
      <c r="D375" s="1" t="s">
        <v>3738</v>
      </c>
      <c r="E375" s="1" t="s">
        <v>3739</v>
      </c>
      <c r="F375" s="1" t="s">
        <v>112</v>
      </c>
      <c r="G375" s="1">
        <v>2958732</v>
      </c>
    </row>
    <row r="376" spans="1:7" x14ac:dyDescent="0.35">
      <c r="A376" s="1" t="str">
        <f t="shared" si="5"/>
        <v>6</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6" s="1" t="s">
        <v>3740</v>
      </c>
      <c r="D376" s="1" t="s">
        <v>742</v>
      </c>
      <c r="E376" s="1" t="s">
        <v>3741</v>
      </c>
      <c r="F376" s="1" t="s">
        <v>112</v>
      </c>
      <c r="G376" s="1">
        <v>2484842</v>
      </c>
    </row>
    <row r="377" spans="1:7" x14ac:dyDescent="0.35">
      <c r="A377" s="1" t="str">
        <f t="shared" si="5"/>
        <v>6</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7" s="1" t="s">
        <v>3742</v>
      </c>
      <c r="D377" s="1" t="s">
        <v>3743</v>
      </c>
      <c r="E377" s="1" t="s">
        <v>3744</v>
      </c>
      <c r="F377" s="1" t="s">
        <v>112</v>
      </c>
      <c r="G377" s="1">
        <v>2465094</v>
      </c>
    </row>
    <row r="378" spans="1:7" x14ac:dyDescent="0.35">
      <c r="A378" s="1" t="str">
        <f t="shared" si="5"/>
        <v>6</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8" s="1" t="s">
        <v>3745</v>
      </c>
      <c r="D378" s="1" t="s">
        <v>3746</v>
      </c>
      <c r="E378" s="1" t="s">
        <v>3747</v>
      </c>
      <c r="F378" s="1" t="s">
        <v>112</v>
      </c>
      <c r="G378" s="1">
        <v>2641508</v>
      </c>
    </row>
    <row r="379" spans="1:7" x14ac:dyDescent="0.35">
      <c r="A379" s="1" t="str">
        <f t="shared" si="5"/>
        <v>6</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9" s="1" t="s">
        <v>3748</v>
      </c>
      <c r="D379" s="1" t="s">
        <v>3749</v>
      </c>
      <c r="E379" s="1" t="s">
        <v>3750</v>
      </c>
      <c r="F379" s="1" t="s">
        <v>112</v>
      </c>
      <c r="G379" s="1">
        <v>2728892</v>
      </c>
    </row>
    <row r="380" spans="1:7" x14ac:dyDescent="0.35">
      <c r="A380" s="1" t="str">
        <f t="shared" si="5"/>
        <v>6</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80" s="1" t="s">
        <v>3751</v>
      </c>
    </row>
    <row r="381" spans="1:7" x14ac:dyDescent="0.35">
      <c r="A381" s="1" t="str">
        <f t="shared" si="5"/>
        <v>6</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81" s="1" t="s">
        <v>3752</v>
      </c>
    </row>
    <row r="382" spans="1:7" x14ac:dyDescent="0.35">
      <c r="A382" s="1" t="str">
        <f t="shared" si="5"/>
        <v>6</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82" s="1" t="s">
        <v>3753</v>
      </c>
      <c r="D382" s="1" t="s">
        <v>3754</v>
      </c>
      <c r="E382" s="1" t="s">
        <v>3755</v>
      </c>
      <c r="F382" s="1" t="s">
        <v>112</v>
      </c>
      <c r="G382" s="1">
        <v>3148469</v>
      </c>
    </row>
    <row r="383" spans="1:7" x14ac:dyDescent="0.35">
      <c r="A383" s="1" t="str">
        <f t="shared" si="5"/>
        <v>6</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83" s="1" t="s">
        <v>3756</v>
      </c>
      <c r="D383" s="1" t="s">
        <v>3757</v>
      </c>
      <c r="E383" s="1" t="s">
        <v>3758</v>
      </c>
      <c r="F383" s="1" t="s">
        <v>112</v>
      </c>
      <c r="G383" s="1">
        <v>3430588</v>
      </c>
    </row>
    <row r="384" spans="1:7" x14ac:dyDescent="0.35">
      <c r="A384" s="1" t="str">
        <f t="shared" si="5"/>
        <v>6</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84" s="1" t="s">
        <v>3759</v>
      </c>
      <c r="D384" s="1" t="s">
        <v>3760</v>
      </c>
      <c r="E384" s="1" t="s">
        <v>3761</v>
      </c>
      <c r="F384" s="1" t="s">
        <v>112</v>
      </c>
      <c r="G384" s="1">
        <v>3023665</v>
      </c>
    </row>
    <row r="385" spans="1:7" x14ac:dyDescent="0.35">
      <c r="A385" s="1" t="str">
        <f t="shared" si="5"/>
        <v>6</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85" s="1" t="s">
        <v>3762</v>
      </c>
      <c r="D385" s="1" t="s">
        <v>3763</v>
      </c>
      <c r="E385" s="1" t="s">
        <v>3764</v>
      </c>
      <c r="F385" s="1" t="s">
        <v>112</v>
      </c>
      <c r="G385" s="1">
        <v>2896849</v>
      </c>
    </row>
    <row r="386" spans="1:7" x14ac:dyDescent="0.35">
      <c r="A386" s="1" t="str">
        <f t="shared" ref="A386:A449" si="6">IFERROR(LEFT(RIGHT(C386,LEN(C386)-SEARCH("@",C386)),SEARCH("/",RIGHT(C386,LEN(C386)-SEARCH("@",C386)-1))),"")</f>
        <v>6</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86" s="1" t="s">
        <v>3765</v>
      </c>
      <c r="D386" s="1" t="s">
        <v>3766</v>
      </c>
      <c r="E386" s="1" t="s">
        <v>3767</v>
      </c>
      <c r="F386" s="1" t="s">
        <v>112</v>
      </c>
      <c r="G386" s="1">
        <v>3080486</v>
      </c>
    </row>
    <row r="387" spans="1:7" x14ac:dyDescent="0.35">
      <c r="A387" s="1" t="str">
        <f t="shared" si="6"/>
        <v>6</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87" s="1" t="s">
        <v>3768</v>
      </c>
      <c r="D387" s="1" t="s">
        <v>3769</v>
      </c>
      <c r="E387" s="1" t="s">
        <v>3770</v>
      </c>
      <c r="F387" s="1" t="s">
        <v>112</v>
      </c>
      <c r="G387" s="1">
        <v>3003441</v>
      </c>
    </row>
    <row r="388" spans="1:7" x14ac:dyDescent="0.35">
      <c r="A388" s="1" t="str">
        <f t="shared" si="6"/>
        <v>6</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8" s="1" t="s">
        <v>3771</v>
      </c>
      <c r="D388" s="1" t="s">
        <v>3772</v>
      </c>
      <c r="E388" s="1" t="s">
        <v>3773</v>
      </c>
      <c r="F388" s="1" t="s">
        <v>112</v>
      </c>
      <c r="G388" s="1">
        <v>2190589</v>
      </c>
    </row>
    <row r="389" spans="1:7" x14ac:dyDescent="0.35">
      <c r="A389" s="1" t="str">
        <f t="shared" si="6"/>
        <v>6</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9" s="1" t="s">
        <v>3774</v>
      </c>
      <c r="D389" s="1" t="s">
        <v>3775</v>
      </c>
      <c r="E389" s="1" t="s">
        <v>3776</v>
      </c>
      <c r="F389" s="1" t="s">
        <v>112</v>
      </c>
      <c r="G389" s="1">
        <v>2578283</v>
      </c>
    </row>
    <row r="390" spans="1:7" x14ac:dyDescent="0.35">
      <c r="A390" s="1" t="str">
        <f t="shared" si="6"/>
        <v>6</v>
      </c>
      <c r="B3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90" s="1" t="s">
        <v>3777</v>
      </c>
      <c r="D390" s="1" t="s">
        <v>3778</v>
      </c>
      <c r="E390" s="1" t="s">
        <v>3779</v>
      </c>
      <c r="F390" s="1" t="s">
        <v>112</v>
      </c>
      <c r="G390" s="1">
        <v>2141403</v>
      </c>
    </row>
    <row r="391" spans="1:7" x14ac:dyDescent="0.35">
      <c r="A391" s="1" t="str">
        <f t="shared" si="6"/>
        <v>6</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91" s="1" t="s">
        <v>3780</v>
      </c>
      <c r="D391" s="1" t="s">
        <v>3781</v>
      </c>
      <c r="E391" s="1" t="s">
        <v>3782</v>
      </c>
      <c r="F391" s="1" t="s">
        <v>112</v>
      </c>
      <c r="G391" s="1">
        <v>2453739</v>
      </c>
    </row>
    <row r="392" spans="1:7" x14ac:dyDescent="0.35">
      <c r="A392" s="1" t="str">
        <f t="shared" si="6"/>
        <v>6</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92" s="1" t="s">
        <v>3783</v>
      </c>
      <c r="D392" s="1" t="s">
        <v>3784</v>
      </c>
      <c r="E392" s="1" t="s">
        <v>3785</v>
      </c>
      <c r="F392" s="1" t="s">
        <v>112</v>
      </c>
      <c r="G392" s="1">
        <v>3534584</v>
      </c>
    </row>
    <row r="393" spans="1:7" x14ac:dyDescent="0.35">
      <c r="A393" s="1" t="str">
        <f t="shared" si="6"/>
        <v>6</v>
      </c>
      <c r="B3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93" s="1" t="s">
        <v>3786</v>
      </c>
      <c r="D393" s="1" t="s">
        <v>3787</v>
      </c>
      <c r="E393" s="1" t="s">
        <v>3788</v>
      </c>
      <c r="F393" s="1" t="s">
        <v>112</v>
      </c>
      <c r="G393" s="1">
        <v>3203950</v>
      </c>
    </row>
    <row r="394" spans="1:7" x14ac:dyDescent="0.35">
      <c r="A394" s="1" t="str">
        <f t="shared" si="6"/>
        <v>6</v>
      </c>
      <c r="B3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94" s="1" t="s">
        <v>3789</v>
      </c>
      <c r="D394" s="1" t="s">
        <v>3790</v>
      </c>
      <c r="E394" s="1" t="s">
        <v>3791</v>
      </c>
      <c r="F394" s="1" t="s">
        <v>112</v>
      </c>
      <c r="G394" s="1">
        <v>3464222</v>
      </c>
    </row>
    <row r="395" spans="1:7" x14ac:dyDescent="0.35">
      <c r="A395" s="1" t="str">
        <f t="shared" si="6"/>
        <v>6</v>
      </c>
      <c r="B3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95" s="1" t="s">
        <v>3792</v>
      </c>
      <c r="D395" s="1" t="s">
        <v>3793</v>
      </c>
      <c r="E395" s="1" t="s">
        <v>3794</v>
      </c>
      <c r="F395" s="1" t="s">
        <v>112</v>
      </c>
      <c r="G395" s="1">
        <v>3952798</v>
      </c>
    </row>
    <row r="396" spans="1:7" x14ac:dyDescent="0.35">
      <c r="A396" s="1" t="str">
        <f t="shared" si="6"/>
        <v>6</v>
      </c>
      <c r="B3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96" s="1" t="s">
        <v>3795</v>
      </c>
      <c r="D396" s="1" t="s">
        <v>2783</v>
      </c>
      <c r="E396" s="1" t="s">
        <v>3796</v>
      </c>
      <c r="F396" s="1" t="s">
        <v>112</v>
      </c>
      <c r="G396" s="1">
        <v>2568377</v>
      </c>
    </row>
    <row r="397" spans="1:7" x14ac:dyDescent="0.35">
      <c r="A397" s="1" t="str">
        <f t="shared" si="6"/>
        <v>6</v>
      </c>
      <c r="B3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97" s="1" t="s">
        <v>3797</v>
      </c>
      <c r="D397" s="1" t="s">
        <v>3798</v>
      </c>
      <c r="E397" s="1" t="s">
        <v>3799</v>
      </c>
      <c r="F397" s="1" t="s">
        <v>112</v>
      </c>
      <c r="G397" s="1">
        <v>2878398</v>
      </c>
    </row>
    <row r="398" spans="1:7" x14ac:dyDescent="0.35">
      <c r="A398" s="1" t="str">
        <f t="shared" si="6"/>
        <v>6</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98" s="1" t="s">
        <v>3800</v>
      </c>
      <c r="D398" s="1" t="s">
        <v>889</v>
      </c>
      <c r="E398" s="1" t="s">
        <v>3801</v>
      </c>
      <c r="F398" s="1" t="s">
        <v>112</v>
      </c>
      <c r="G398" s="1">
        <v>2841671</v>
      </c>
    </row>
    <row r="399" spans="1:7" x14ac:dyDescent="0.35">
      <c r="A399" s="1" t="str">
        <f t="shared" si="6"/>
        <v>6</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99" s="1" t="s">
        <v>3802</v>
      </c>
      <c r="D399" s="1" t="s">
        <v>3803</v>
      </c>
      <c r="E399" s="1" t="s">
        <v>3804</v>
      </c>
      <c r="F399" s="1" t="s">
        <v>112</v>
      </c>
      <c r="G399" s="1">
        <v>3276691</v>
      </c>
    </row>
    <row r="400" spans="1:7" x14ac:dyDescent="0.35">
      <c r="A400" s="1" t="str">
        <f t="shared" si="6"/>
        <v>6</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0" s="1" t="s">
        <v>3805</v>
      </c>
      <c r="D400" s="1" t="s">
        <v>3806</v>
      </c>
      <c r="E400" s="1" t="s">
        <v>3807</v>
      </c>
      <c r="F400" s="1" t="s">
        <v>112</v>
      </c>
      <c r="G400" s="1">
        <v>2709490</v>
      </c>
    </row>
    <row r="401" spans="1:8" x14ac:dyDescent="0.35">
      <c r="A401" s="1" t="str">
        <f t="shared" si="6"/>
        <v>6</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1" s="1" t="s">
        <v>3808</v>
      </c>
      <c r="D401" s="1" t="s">
        <v>3809</v>
      </c>
      <c r="E401" s="1" t="s">
        <v>3810</v>
      </c>
      <c r="F401" s="1" t="s">
        <v>112</v>
      </c>
      <c r="G401" s="1">
        <v>2823761</v>
      </c>
    </row>
    <row r="402" spans="1:8" x14ac:dyDescent="0.35">
      <c r="A402" s="1" t="str">
        <f t="shared" si="6"/>
        <v>6</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2" s="1" t="s">
        <v>3811</v>
      </c>
      <c r="D402" s="1" t="s">
        <v>3812</v>
      </c>
      <c r="E402" s="1" t="s">
        <v>3813</v>
      </c>
      <c r="F402" s="1" t="s">
        <v>112</v>
      </c>
      <c r="G402" s="1">
        <v>2403492</v>
      </c>
    </row>
    <row r="403" spans="1:8" x14ac:dyDescent="0.35">
      <c r="A403" s="1" t="str">
        <f t="shared" si="6"/>
        <v>6</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03" s="1" t="s">
        <v>3814</v>
      </c>
      <c r="D403" s="1" t="s">
        <v>3815</v>
      </c>
      <c r="E403" s="1" t="s">
        <v>3816</v>
      </c>
      <c r="F403" s="1" t="s">
        <v>112</v>
      </c>
      <c r="G403" s="1">
        <v>2588212</v>
      </c>
    </row>
    <row r="404" spans="1:8"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4" s="1" t="s">
        <v>112</v>
      </c>
    </row>
    <row r="405" spans="1:8"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5" s="1" t="s">
        <v>227</v>
      </c>
      <c r="D405" s="1" t="s">
        <v>112</v>
      </c>
      <c r="E405" s="1" t="s">
        <v>228</v>
      </c>
      <c r="F405" s="1" t="s">
        <v>229</v>
      </c>
      <c r="G405" s="1" t="s">
        <v>230</v>
      </c>
      <c r="H405" s="1" t="s">
        <v>231</v>
      </c>
    </row>
    <row r="406" spans="1:8" x14ac:dyDescent="0.35">
      <c r="A406" s="1" t="str">
        <f t="shared" si="6"/>
        <v>6</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06" s="1" t="s">
        <v>3817</v>
      </c>
      <c r="D406" s="1" t="s">
        <v>112</v>
      </c>
      <c r="E406" s="1" t="s">
        <v>3818</v>
      </c>
      <c r="F406" s="1" t="s">
        <v>3819</v>
      </c>
      <c r="G406" s="1" t="s">
        <v>3820</v>
      </c>
      <c r="H406" s="1" t="s">
        <v>3821</v>
      </c>
    </row>
    <row r="407" spans="1:8"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7" s="1" t="s">
        <v>112</v>
      </c>
    </row>
    <row r="408" spans="1:8"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8" s="1" t="s">
        <v>112</v>
      </c>
    </row>
    <row r="409" spans="1:8"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09" s="1" t="s">
        <v>112</v>
      </c>
    </row>
    <row r="410" spans="1:8"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0" s="1" t="s">
        <v>112</v>
      </c>
    </row>
    <row r="411" spans="1:8"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1" s="1" t="s">
        <v>112</v>
      </c>
    </row>
    <row r="412" spans="1:8"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12" s="1" t="s">
        <v>173</v>
      </c>
      <c r="D412" s="1" t="s">
        <v>110</v>
      </c>
      <c r="E412" s="1" t="s">
        <v>111</v>
      </c>
      <c r="F412" s="1" t="s">
        <v>112</v>
      </c>
      <c r="G412" s="1" t="s">
        <v>113</v>
      </c>
    </row>
    <row r="413" spans="1:8" x14ac:dyDescent="0.35">
      <c r="A413" s="1" t="str">
        <f t="shared" si="6"/>
        <v>7</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3" s="1" t="s">
        <v>3822</v>
      </c>
      <c r="D413" s="1" t="s">
        <v>3823</v>
      </c>
      <c r="E413" s="1" t="s">
        <v>3824</v>
      </c>
      <c r="F413" s="1" t="s">
        <v>112</v>
      </c>
      <c r="G413" s="1">
        <v>5966260</v>
      </c>
    </row>
    <row r="414" spans="1:8" x14ac:dyDescent="0.35">
      <c r="A414" s="1" t="str">
        <f t="shared" si="6"/>
        <v>7</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4" s="1" t="s">
        <v>3825</v>
      </c>
    </row>
    <row r="415" spans="1:8" x14ac:dyDescent="0.35">
      <c r="A415" s="1" t="str">
        <f t="shared" si="6"/>
        <v>7</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5" s="1" t="s">
        <v>3826</v>
      </c>
    </row>
    <row r="416" spans="1:8" x14ac:dyDescent="0.35">
      <c r="A416" s="1" t="str">
        <f t="shared" si="6"/>
        <v>7</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16" s="1" t="s">
        <v>3827</v>
      </c>
    </row>
    <row r="417" spans="1:7" x14ac:dyDescent="0.35">
      <c r="A417" s="1" t="str">
        <f t="shared" si="6"/>
        <v>7</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7" s="1" t="s">
        <v>3828</v>
      </c>
      <c r="D417" s="1" t="s">
        <v>877</v>
      </c>
      <c r="E417" s="1" t="s">
        <v>3829</v>
      </c>
      <c r="F417" s="1" t="s">
        <v>112</v>
      </c>
      <c r="G417" s="1">
        <v>5347321</v>
      </c>
    </row>
    <row r="418" spans="1:7" x14ac:dyDescent="0.35">
      <c r="A418" s="1" t="str">
        <f t="shared" si="6"/>
        <v>7</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8" s="1" t="s">
        <v>3830</v>
      </c>
      <c r="D418" s="1" t="s">
        <v>3831</v>
      </c>
      <c r="E418" s="1" t="s">
        <v>3832</v>
      </c>
      <c r="F418" s="1" t="s">
        <v>112</v>
      </c>
      <c r="G418" s="1">
        <v>5047358</v>
      </c>
    </row>
    <row r="419" spans="1:7" x14ac:dyDescent="0.35">
      <c r="A419" s="1" t="str">
        <f t="shared" si="6"/>
        <v>7</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9" s="1" t="s">
        <v>3833</v>
      </c>
      <c r="D419" s="1" t="s">
        <v>3834</v>
      </c>
      <c r="E419" s="1" t="s">
        <v>3835</v>
      </c>
      <c r="F419" s="1" t="s">
        <v>112</v>
      </c>
      <c r="G419" s="1">
        <v>4712224</v>
      </c>
    </row>
    <row r="420" spans="1:7" x14ac:dyDescent="0.35">
      <c r="A420" s="1" t="str">
        <f t="shared" si="6"/>
        <v>7</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20" s="1" t="s">
        <v>3836</v>
      </c>
      <c r="D420" s="1" t="s">
        <v>3837</v>
      </c>
      <c r="E420" s="1" t="s">
        <v>3838</v>
      </c>
      <c r="F420" s="1" t="s">
        <v>112</v>
      </c>
      <c r="G420" s="1">
        <v>5629851</v>
      </c>
    </row>
    <row r="421" spans="1:7" x14ac:dyDescent="0.35">
      <c r="A421" s="1" t="str">
        <f t="shared" si="6"/>
        <v>7</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1" s="1" t="s">
        <v>3839</v>
      </c>
    </row>
    <row r="422" spans="1:7" x14ac:dyDescent="0.35">
      <c r="A422" s="1" t="str">
        <f t="shared" si="6"/>
        <v>7</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2" s="1" t="s">
        <v>3840</v>
      </c>
    </row>
    <row r="423" spans="1:7" x14ac:dyDescent="0.35">
      <c r="A423" s="1" t="str">
        <f t="shared" si="6"/>
        <v>7</v>
      </c>
      <c r="B4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3" s="1" t="s">
        <v>3841</v>
      </c>
      <c r="D423" s="1" t="s">
        <v>3842</v>
      </c>
      <c r="E423" s="1" t="s">
        <v>3843</v>
      </c>
      <c r="F423" s="1" t="s">
        <v>112</v>
      </c>
      <c r="G423" s="1">
        <v>4759983</v>
      </c>
    </row>
    <row r="424" spans="1:7" x14ac:dyDescent="0.35">
      <c r="A424" s="1" t="str">
        <f t="shared" si="6"/>
        <v>7</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4" s="1" t="s">
        <v>3844</v>
      </c>
      <c r="D424" s="1" t="s">
        <v>3845</v>
      </c>
      <c r="E424" s="1" t="s">
        <v>3846</v>
      </c>
      <c r="F424" s="1" t="s">
        <v>112</v>
      </c>
      <c r="G424" s="1">
        <v>4663297</v>
      </c>
    </row>
    <row r="425" spans="1:7" x14ac:dyDescent="0.35">
      <c r="A425" s="1" t="str">
        <f t="shared" si="6"/>
        <v>7</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5" s="1" t="s">
        <v>3847</v>
      </c>
      <c r="D425" s="1" t="s">
        <v>3848</v>
      </c>
      <c r="E425" s="1" t="s">
        <v>3849</v>
      </c>
      <c r="F425" s="1" t="s">
        <v>112</v>
      </c>
      <c r="G425" s="1">
        <v>4752802</v>
      </c>
    </row>
    <row r="426" spans="1:7" x14ac:dyDescent="0.35">
      <c r="A426" s="1" t="str">
        <f t="shared" si="6"/>
        <v>7</v>
      </c>
      <c r="B4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6" s="1" t="s">
        <v>3850</v>
      </c>
      <c r="D426" s="1" t="s">
        <v>3851</v>
      </c>
      <c r="E426" s="1" t="s">
        <v>3852</v>
      </c>
      <c r="F426" s="1" t="s">
        <v>112</v>
      </c>
      <c r="G426" s="1">
        <v>4300758</v>
      </c>
    </row>
    <row r="427" spans="1:7" x14ac:dyDescent="0.35">
      <c r="A427" s="1" t="str">
        <f t="shared" si="6"/>
        <v>7</v>
      </c>
      <c r="B4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7" s="1" t="s">
        <v>3853</v>
      </c>
      <c r="D427" s="1" t="s">
        <v>3854</v>
      </c>
      <c r="E427" s="1" t="s">
        <v>3855</v>
      </c>
      <c r="F427" s="1" t="s">
        <v>112</v>
      </c>
      <c r="G427" s="1">
        <v>4341661</v>
      </c>
    </row>
    <row r="428" spans="1:7" x14ac:dyDescent="0.35">
      <c r="A428" s="1" t="str">
        <f t="shared" si="6"/>
        <v>7</v>
      </c>
      <c r="B4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28" s="1" t="s">
        <v>3856</v>
      </c>
      <c r="D428" s="1" t="s">
        <v>3857</v>
      </c>
      <c r="E428" s="1" t="s">
        <v>3858</v>
      </c>
      <c r="F428" s="1" t="s">
        <v>112</v>
      </c>
      <c r="G428" s="1">
        <v>4100855</v>
      </c>
    </row>
    <row r="429" spans="1:7" x14ac:dyDescent="0.35">
      <c r="A429" s="1" t="str">
        <f t="shared" si="6"/>
        <v>7</v>
      </c>
      <c r="B4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29" s="1" t="s">
        <v>3859</v>
      </c>
      <c r="D429" s="1" t="s">
        <v>3860</v>
      </c>
      <c r="E429" s="1" t="s">
        <v>3861</v>
      </c>
      <c r="F429" s="1" t="s">
        <v>112</v>
      </c>
      <c r="G429" s="1">
        <v>4490647</v>
      </c>
    </row>
    <row r="430" spans="1:7" x14ac:dyDescent="0.35">
      <c r="A430" s="1" t="str">
        <f t="shared" si="6"/>
        <v>7</v>
      </c>
      <c r="B4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30" s="1" t="s">
        <v>3862</v>
      </c>
      <c r="D430" s="1" t="s">
        <v>3863</v>
      </c>
      <c r="E430" s="1" t="s">
        <v>3864</v>
      </c>
      <c r="F430" s="1" t="s">
        <v>112</v>
      </c>
      <c r="G430" s="1">
        <v>4371942</v>
      </c>
    </row>
    <row r="431" spans="1:7" x14ac:dyDescent="0.35">
      <c r="A431" s="1" t="str">
        <f t="shared" si="6"/>
        <v>7</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31" s="1" t="s">
        <v>3865</v>
      </c>
      <c r="D431" s="1" t="s">
        <v>3866</v>
      </c>
      <c r="E431" s="1" t="s">
        <v>3867</v>
      </c>
      <c r="F431" s="1" t="s">
        <v>112</v>
      </c>
      <c r="G431" s="1">
        <v>4945351</v>
      </c>
    </row>
    <row r="432" spans="1:7" x14ac:dyDescent="0.35">
      <c r="A432" s="1" t="str">
        <f t="shared" si="6"/>
        <v>7</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32" s="1" t="s">
        <v>3868</v>
      </c>
      <c r="D432" s="1" t="s">
        <v>3869</v>
      </c>
      <c r="E432" s="1" t="s">
        <v>3870</v>
      </c>
      <c r="F432" s="1" t="s">
        <v>112</v>
      </c>
      <c r="G432" s="1">
        <v>4767012</v>
      </c>
    </row>
    <row r="433" spans="1:8" x14ac:dyDescent="0.35">
      <c r="A433" s="1" t="str">
        <f t="shared" si="6"/>
        <v>7</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33" s="1" t="s">
        <v>3871</v>
      </c>
      <c r="D433" s="1" t="s">
        <v>3872</v>
      </c>
      <c r="E433" s="1" t="s">
        <v>3873</v>
      </c>
      <c r="F433" s="1" t="s">
        <v>112</v>
      </c>
      <c r="G433" s="1">
        <v>6431087</v>
      </c>
    </row>
    <row r="434" spans="1:8" x14ac:dyDescent="0.35">
      <c r="A434" s="1" t="str">
        <f t="shared" si="6"/>
        <v>7</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34" s="1" t="s">
        <v>3874</v>
      </c>
      <c r="D434" s="1" t="s">
        <v>3875</v>
      </c>
      <c r="E434" s="1" t="s">
        <v>3876</v>
      </c>
      <c r="F434" s="1" t="s">
        <v>112</v>
      </c>
      <c r="G434" s="1">
        <v>6555545</v>
      </c>
    </row>
    <row r="435" spans="1:8" x14ac:dyDescent="0.35">
      <c r="A435" s="1" t="str">
        <f t="shared" si="6"/>
        <v>7</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35" s="1" t="s">
        <v>3877</v>
      </c>
      <c r="D435" s="1" t="s">
        <v>3878</v>
      </c>
      <c r="E435" s="1" t="s">
        <v>3879</v>
      </c>
      <c r="F435" s="1" t="s">
        <v>112</v>
      </c>
      <c r="G435" s="1">
        <v>6486676</v>
      </c>
    </row>
    <row r="436" spans="1:8" x14ac:dyDescent="0.35">
      <c r="A436" s="1" t="str">
        <f t="shared" si="6"/>
        <v>7</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36" s="1" t="s">
        <v>3880</v>
      </c>
      <c r="D436" s="1" t="s">
        <v>3881</v>
      </c>
      <c r="E436" s="1" t="s">
        <v>3882</v>
      </c>
      <c r="F436" s="1" t="s">
        <v>112</v>
      </c>
      <c r="G436" s="1">
        <v>6700357</v>
      </c>
    </row>
    <row r="437" spans="1:8" x14ac:dyDescent="0.35">
      <c r="A437" s="1" t="str">
        <f t="shared" si="6"/>
        <v>7</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37" s="1" t="s">
        <v>3883</v>
      </c>
      <c r="D437" s="1" t="s">
        <v>3314</v>
      </c>
      <c r="E437" s="1" t="s">
        <v>3884</v>
      </c>
      <c r="F437" s="1" t="s">
        <v>112</v>
      </c>
      <c r="G437" s="1">
        <v>4671473</v>
      </c>
    </row>
    <row r="438" spans="1:8" x14ac:dyDescent="0.35">
      <c r="A438" s="1" t="str">
        <f t="shared" si="6"/>
        <v>7</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38" s="1" t="s">
        <v>3885</v>
      </c>
      <c r="D438" s="1" t="s">
        <v>3886</v>
      </c>
      <c r="E438" s="1" t="s">
        <v>3887</v>
      </c>
      <c r="F438" s="1" t="s">
        <v>112</v>
      </c>
      <c r="G438" s="1">
        <v>4702469</v>
      </c>
    </row>
    <row r="439" spans="1:8" x14ac:dyDescent="0.35">
      <c r="A439" s="1" t="str">
        <f t="shared" si="6"/>
        <v>7</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39" s="1" t="s">
        <v>3888</v>
      </c>
      <c r="D439" s="1" t="s">
        <v>3889</v>
      </c>
      <c r="E439" s="1" t="s">
        <v>3890</v>
      </c>
      <c r="F439" s="1" t="s">
        <v>112</v>
      </c>
      <c r="G439" s="1">
        <v>4538904</v>
      </c>
    </row>
    <row r="440" spans="1:8" x14ac:dyDescent="0.35">
      <c r="A440" s="1" t="str">
        <f t="shared" si="6"/>
        <v>7</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0" s="1" t="s">
        <v>3891</v>
      </c>
      <c r="D440" s="1" t="s">
        <v>3892</v>
      </c>
      <c r="E440" s="1" t="s">
        <v>3893</v>
      </c>
      <c r="F440" s="1" t="s">
        <v>112</v>
      </c>
      <c r="G440" s="1">
        <v>4389419</v>
      </c>
    </row>
    <row r="441" spans="1:8" x14ac:dyDescent="0.35">
      <c r="A441" s="1" t="str">
        <f t="shared" si="6"/>
        <v>7</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41" s="1" t="s">
        <v>3894</v>
      </c>
      <c r="D441" s="1" t="s">
        <v>3895</v>
      </c>
      <c r="E441" s="1" t="s">
        <v>3896</v>
      </c>
      <c r="F441" s="1" t="s">
        <v>112</v>
      </c>
      <c r="G441" s="1">
        <v>6199214</v>
      </c>
    </row>
    <row r="442" spans="1:8" x14ac:dyDescent="0.35">
      <c r="A442" s="1" t="str">
        <f t="shared" si="6"/>
        <v>7</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42" s="1" t="s">
        <v>3897</v>
      </c>
      <c r="D442" s="1" t="s">
        <v>3898</v>
      </c>
      <c r="E442" s="1" t="s">
        <v>3899</v>
      </c>
      <c r="F442" s="1" t="s">
        <v>112</v>
      </c>
      <c r="G442" s="1">
        <v>5925272</v>
      </c>
    </row>
    <row r="443" spans="1:8" x14ac:dyDescent="0.35">
      <c r="A443" s="1" t="str">
        <f t="shared" si="6"/>
        <v>7</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43" s="1" t="s">
        <v>3900</v>
      </c>
      <c r="D443" s="1" t="s">
        <v>3901</v>
      </c>
      <c r="E443" s="1" t="s">
        <v>3902</v>
      </c>
      <c r="F443" s="1" t="s">
        <v>112</v>
      </c>
      <c r="G443" s="1">
        <v>5345482</v>
      </c>
    </row>
    <row r="444" spans="1:8" x14ac:dyDescent="0.35">
      <c r="A444" s="1" t="str">
        <f t="shared" si="6"/>
        <v>7</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44" s="1" t="s">
        <v>3903</v>
      </c>
      <c r="D444" s="1" t="s">
        <v>3904</v>
      </c>
      <c r="E444" s="1" t="s">
        <v>3905</v>
      </c>
      <c r="F444" s="1" t="s">
        <v>112</v>
      </c>
      <c r="G444" s="1">
        <v>6392261</v>
      </c>
    </row>
    <row r="445" spans="1:8"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45" s="1" t="s">
        <v>112</v>
      </c>
    </row>
    <row r="446" spans="1:8"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46" s="1" t="s">
        <v>227</v>
      </c>
      <c r="D446" s="1" t="s">
        <v>112</v>
      </c>
      <c r="E446" s="1" t="s">
        <v>228</v>
      </c>
      <c r="F446" s="1" t="s">
        <v>229</v>
      </c>
      <c r="G446" s="1" t="s">
        <v>230</v>
      </c>
      <c r="H446" s="1" t="s">
        <v>231</v>
      </c>
    </row>
    <row r="447" spans="1:8" x14ac:dyDescent="0.35">
      <c r="A447" s="1" t="str">
        <f t="shared" si="6"/>
        <v>7</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47" s="1" t="s">
        <v>3906</v>
      </c>
      <c r="D447" s="1" t="s">
        <v>112</v>
      </c>
      <c r="E447" s="1" t="s">
        <v>3907</v>
      </c>
      <c r="F447" s="1" t="s">
        <v>3908</v>
      </c>
      <c r="G447" s="1" t="s">
        <v>3909</v>
      </c>
      <c r="H447" s="1" t="s">
        <v>3910</v>
      </c>
    </row>
    <row r="448" spans="1:8"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48" s="1" t="s">
        <v>112</v>
      </c>
    </row>
    <row r="449" spans="1:7"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49" s="1" t="s">
        <v>112</v>
      </c>
    </row>
    <row r="450" spans="1:7"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0" s="1" t="s">
        <v>112</v>
      </c>
    </row>
    <row r="451" spans="1:7"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1" s="1" t="s">
        <v>112</v>
      </c>
    </row>
    <row r="452" spans="1:7"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2" s="1" t="s">
        <v>112</v>
      </c>
    </row>
    <row r="453" spans="1:7"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3" s="1" t="s">
        <v>173</v>
      </c>
      <c r="D453" s="1" t="s">
        <v>110</v>
      </c>
      <c r="E453" s="1" t="s">
        <v>111</v>
      </c>
      <c r="F453" s="1" t="s">
        <v>112</v>
      </c>
      <c r="G453" s="1" t="s">
        <v>113</v>
      </c>
    </row>
    <row r="454" spans="1:7" x14ac:dyDescent="0.35">
      <c r="A454" s="1" t="str">
        <f t="shared" si="7"/>
        <v>10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54" s="1" t="s">
        <v>3911</v>
      </c>
      <c r="D454" s="1" t="s">
        <v>465</v>
      </c>
      <c r="E454" s="1" t="s">
        <v>3912</v>
      </c>
      <c r="F454" s="1" t="s">
        <v>112</v>
      </c>
      <c r="G454" s="1">
        <v>76873</v>
      </c>
    </row>
    <row r="455" spans="1:7" x14ac:dyDescent="0.35">
      <c r="A455" s="1" t="str">
        <f t="shared" si="7"/>
        <v>10</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55" s="1" t="s">
        <v>3913</v>
      </c>
      <c r="D455" s="1" t="s">
        <v>1596</v>
      </c>
      <c r="E455" s="1" t="s">
        <v>3914</v>
      </c>
      <c r="F455" s="1" t="s">
        <v>112</v>
      </c>
      <c r="G455" s="1">
        <v>108712</v>
      </c>
    </row>
    <row r="456" spans="1:7" x14ac:dyDescent="0.35">
      <c r="A456" s="1" t="str">
        <f t="shared" si="7"/>
        <v>10</v>
      </c>
      <c r="B4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56" s="1" t="s">
        <v>3915</v>
      </c>
      <c r="D456" s="1" t="s">
        <v>3916</v>
      </c>
      <c r="E456" s="1" t="s">
        <v>3917</v>
      </c>
      <c r="F456" s="1" t="s">
        <v>112</v>
      </c>
      <c r="G456" s="1">
        <v>85503</v>
      </c>
    </row>
    <row r="457" spans="1:7" x14ac:dyDescent="0.35">
      <c r="A457" s="1" t="str">
        <f t="shared" si="7"/>
        <v>10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57" s="1" t="s">
        <v>3918</v>
      </c>
      <c r="D457" s="1" t="s">
        <v>575</v>
      </c>
      <c r="E457" s="1" t="s">
        <v>3919</v>
      </c>
      <c r="F457" s="1" t="s">
        <v>112</v>
      </c>
      <c r="G457" s="1">
        <v>203927</v>
      </c>
    </row>
    <row r="458" spans="1:7" x14ac:dyDescent="0.35">
      <c r="A458" s="1" t="str">
        <f t="shared" si="7"/>
        <v>10</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58" s="1" t="s">
        <v>3920</v>
      </c>
      <c r="D458" s="1" t="s">
        <v>3921</v>
      </c>
      <c r="E458" s="1" t="s">
        <v>3922</v>
      </c>
      <c r="F458" s="1" t="s">
        <v>112</v>
      </c>
      <c r="G458" s="1">
        <v>19553</v>
      </c>
    </row>
    <row r="459" spans="1:7" x14ac:dyDescent="0.35">
      <c r="A459" s="1" t="str">
        <f t="shared" si="7"/>
        <v>10</v>
      </c>
      <c r="B4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59" s="1" t="s">
        <v>3923</v>
      </c>
      <c r="D459" s="1" t="s">
        <v>2052</v>
      </c>
      <c r="E459" s="1" t="s">
        <v>3924</v>
      </c>
      <c r="F459" s="1" t="s">
        <v>112</v>
      </c>
      <c r="G459" s="1">
        <v>51133</v>
      </c>
    </row>
    <row r="460" spans="1:7" x14ac:dyDescent="0.35">
      <c r="A460" s="1" t="str">
        <f t="shared" si="7"/>
        <v>10</v>
      </c>
      <c r="B4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0" s="1" t="s">
        <v>3925</v>
      </c>
      <c r="D460" s="1" t="s">
        <v>2936</v>
      </c>
      <c r="E460" s="1" t="s">
        <v>3926</v>
      </c>
      <c r="F460" s="1" t="s">
        <v>112</v>
      </c>
      <c r="G460" s="1">
        <v>22949</v>
      </c>
    </row>
    <row r="461" spans="1:7" x14ac:dyDescent="0.35">
      <c r="A461" s="1" t="str">
        <f t="shared" si="7"/>
        <v>10</v>
      </c>
      <c r="B4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1" s="1" t="s">
        <v>3927</v>
      </c>
      <c r="D461" s="1" t="s">
        <v>3928</v>
      </c>
      <c r="E461" s="1" t="s">
        <v>3929</v>
      </c>
      <c r="F461" s="1" t="s">
        <v>112</v>
      </c>
      <c r="G461" s="1">
        <v>27448</v>
      </c>
    </row>
    <row r="462" spans="1:7" x14ac:dyDescent="0.35">
      <c r="A462" s="1" t="str">
        <f t="shared" si="7"/>
        <v>10</v>
      </c>
      <c r="B4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62" s="1" t="s">
        <v>3930</v>
      </c>
      <c r="D462" s="1" t="s">
        <v>2405</v>
      </c>
      <c r="E462" s="1" t="s">
        <v>3931</v>
      </c>
      <c r="F462" s="1" t="s">
        <v>112</v>
      </c>
      <c r="G462" s="1">
        <v>152642</v>
      </c>
    </row>
    <row r="463" spans="1:7" x14ac:dyDescent="0.35">
      <c r="A463" s="1" t="str">
        <f t="shared" si="7"/>
        <v>10</v>
      </c>
      <c r="B4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63" s="1" t="s">
        <v>3932</v>
      </c>
      <c r="D463" s="1" t="s">
        <v>1936</v>
      </c>
      <c r="E463" s="1" t="s">
        <v>3933</v>
      </c>
      <c r="F463" s="1" t="s">
        <v>112</v>
      </c>
      <c r="G463" s="1">
        <v>53145</v>
      </c>
    </row>
    <row r="464" spans="1:7" x14ac:dyDescent="0.35">
      <c r="A464" s="1" t="str">
        <f t="shared" si="7"/>
        <v>10</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64" s="1" t="s">
        <v>3934</v>
      </c>
      <c r="D464" s="1" t="s">
        <v>3935</v>
      </c>
      <c r="E464" s="1" t="s">
        <v>3936</v>
      </c>
      <c r="F464" s="1" t="s">
        <v>112</v>
      </c>
      <c r="G464" s="1">
        <v>29135</v>
      </c>
    </row>
    <row r="465" spans="1:7" x14ac:dyDescent="0.35">
      <c r="A465" s="1" t="str">
        <f t="shared" si="7"/>
        <v>10</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65" s="1" t="s">
        <v>3937</v>
      </c>
      <c r="D465" s="1" t="s">
        <v>1564</v>
      </c>
      <c r="E465" s="1" t="s">
        <v>3938</v>
      </c>
      <c r="F465" s="1" t="s">
        <v>112</v>
      </c>
      <c r="G465" s="1">
        <v>207214</v>
      </c>
    </row>
    <row r="466" spans="1:7" x14ac:dyDescent="0.35">
      <c r="A466" s="1" t="str">
        <f t="shared" si="7"/>
        <v>10</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6" s="1" t="s">
        <v>3939</v>
      </c>
    </row>
    <row r="467" spans="1:7" x14ac:dyDescent="0.35">
      <c r="A467" s="1" t="str">
        <f t="shared" si="7"/>
        <v>10</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7" s="1" t="s">
        <v>3940</v>
      </c>
      <c r="D467" s="1" t="s">
        <v>605</v>
      </c>
      <c r="E467" s="1" t="s">
        <v>3941</v>
      </c>
      <c r="F467" s="1" t="s">
        <v>112</v>
      </c>
      <c r="G467" s="1">
        <v>257417</v>
      </c>
    </row>
    <row r="468" spans="1:7" x14ac:dyDescent="0.35">
      <c r="A468" s="1" t="str">
        <f t="shared" si="7"/>
        <v>10</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8" s="1" t="s">
        <v>3942</v>
      </c>
      <c r="D468" s="1" t="s">
        <v>3943</v>
      </c>
      <c r="E468" s="1" t="s">
        <v>3944</v>
      </c>
      <c r="F468" s="1" t="s">
        <v>112</v>
      </c>
      <c r="G468" s="1">
        <v>32185</v>
      </c>
    </row>
    <row r="469" spans="1:7" x14ac:dyDescent="0.35">
      <c r="A469" s="1" t="str">
        <f t="shared" si="7"/>
        <v>10</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9" s="1" t="s">
        <v>3945</v>
      </c>
      <c r="D469" s="1" t="s">
        <v>2888</v>
      </c>
      <c r="E469" s="1" t="s">
        <v>3946</v>
      </c>
      <c r="F469" s="1" t="s">
        <v>112</v>
      </c>
      <c r="G469" s="1">
        <v>235961</v>
      </c>
    </row>
    <row r="470" spans="1:7" x14ac:dyDescent="0.35">
      <c r="A470" s="1" t="str">
        <f t="shared" si="7"/>
        <v>10</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0" s="1" t="s">
        <v>3947</v>
      </c>
      <c r="D470" s="1" t="s">
        <v>3948</v>
      </c>
      <c r="E470" s="1" t="s">
        <v>3949</v>
      </c>
      <c r="F470" s="1" t="s">
        <v>112</v>
      </c>
      <c r="G470" s="1">
        <v>124999</v>
      </c>
    </row>
    <row r="471" spans="1:7" x14ac:dyDescent="0.35">
      <c r="A471" s="1" t="str">
        <f t="shared" si="7"/>
        <v>10</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1" s="1" t="s">
        <v>3950</v>
      </c>
      <c r="D471" s="1" t="s">
        <v>591</v>
      </c>
      <c r="E471" s="1" t="s">
        <v>3951</v>
      </c>
      <c r="F471" s="1" t="s">
        <v>112</v>
      </c>
      <c r="G471" s="1">
        <v>157855</v>
      </c>
    </row>
    <row r="472" spans="1:7" x14ac:dyDescent="0.35">
      <c r="A472" s="1" t="str">
        <f t="shared" si="7"/>
        <v>10</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2" s="1" t="s">
        <v>3952</v>
      </c>
      <c r="D472" s="1" t="s">
        <v>2465</v>
      </c>
      <c r="E472" s="1" t="s">
        <v>3953</v>
      </c>
      <c r="F472" s="1" t="s">
        <v>112</v>
      </c>
      <c r="G472" s="1">
        <v>252983</v>
      </c>
    </row>
    <row r="473" spans="1:7" x14ac:dyDescent="0.35">
      <c r="A473" s="1" t="str">
        <f t="shared" si="7"/>
        <v>10</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3" s="1" t="s">
        <v>3954</v>
      </c>
      <c r="D473" s="1" t="s">
        <v>1053</v>
      </c>
      <c r="E473" s="1" t="s">
        <v>3955</v>
      </c>
      <c r="F473" s="1" t="s">
        <v>112</v>
      </c>
      <c r="G473" s="1">
        <v>208534</v>
      </c>
    </row>
    <row r="474" spans="1:7" x14ac:dyDescent="0.35">
      <c r="A474" s="1" t="str">
        <f t="shared" si="7"/>
        <v>10</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4" s="1" t="s">
        <v>3956</v>
      </c>
      <c r="D474" s="1" t="s">
        <v>510</v>
      </c>
      <c r="E474" s="1" t="s">
        <v>3957</v>
      </c>
      <c r="F474" s="1" t="s">
        <v>112</v>
      </c>
      <c r="G474" s="1">
        <v>131640</v>
      </c>
    </row>
    <row r="475" spans="1:7" x14ac:dyDescent="0.35">
      <c r="A475" s="1" t="str">
        <f t="shared" si="7"/>
        <v>10</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5" s="1" t="s">
        <v>3958</v>
      </c>
      <c r="D475" s="1" t="s">
        <v>3382</v>
      </c>
      <c r="E475" s="1" t="s">
        <v>3959</v>
      </c>
      <c r="F475" s="1" t="s">
        <v>112</v>
      </c>
      <c r="G475" s="1">
        <v>283481</v>
      </c>
    </row>
    <row r="476" spans="1:7" x14ac:dyDescent="0.35">
      <c r="A476" s="1" t="str">
        <f t="shared" si="7"/>
        <v>10</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6" s="1" t="s">
        <v>3960</v>
      </c>
      <c r="D476" s="1" t="s">
        <v>277</v>
      </c>
      <c r="E476" s="1" t="s">
        <v>3961</v>
      </c>
      <c r="F476" s="1" t="s">
        <v>112</v>
      </c>
      <c r="G476" s="1">
        <v>216905</v>
      </c>
    </row>
    <row r="477" spans="1:7" x14ac:dyDescent="0.35">
      <c r="A477" s="1" t="str">
        <f t="shared" si="7"/>
        <v>10</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7" s="1" t="s">
        <v>3962</v>
      </c>
    </row>
    <row r="478" spans="1:7" x14ac:dyDescent="0.35">
      <c r="A478" s="1" t="str">
        <f t="shared" si="7"/>
        <v>10</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78" s="1" t="s">
        <v>3963</v>
      </c>
      <c r="D478" s="1" t="s">
        <v>3964</v>
      </c>
      <c r="E478" s="1" t="s">
        <v>3965</v>
      </c>
      <c r="F478" s="1" t="s">
        <v>112</v>
      </c>
      <c r="G478" s="1">
        <v>211627</v>
      </c>
    </row>
    <row r="479" spans="1:7" x14ac:dyDescent="0.35">
      <c r="A479" s="1" t="str">
        <f t="shared" si="7"/>
        <v>10</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79" s="1" t="s">
        <v>3966</v>
      </c>
      <c r="D479" s="1" t="s">
        <v>602</v>
      </c>
      <c r="E479" s="1" t="s">
        <v>3967</v>
      </c>
      <c r="F479" s="1" t="s">
        <v>112</v>
      </c>
      <c r="G479" s="1">
        <v>230207</v>
      </c>
    </row>
    <row r="480" spans="1:7" x14ac:dyDescent="0.35">
      <c r="A480" s="1" t="str">
        <f t="shared" si="7"/>
        <v>10</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0" s="1" t="s">
        <v>3968</v>
      </c>
      <c r="D480" s="1" t="s">
        <v>3969</v>
      </c>
      <c r="E480" s="1" t="s">
        <v>3970</v>
      </c>
      <c r="F480" s="1" t="s">
        <v>112</v>
      </c>
      <c r="G480" s="1">
        <v>194042</v>
      </c>
    </row>
    <row r="481" spans="1:8" x14ac:dyDescent="0.35">
      <c r="A481" s="1" t="str">
        <f t="shared" si="7"/>
        <v>10</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1" s="1" t="s">
        <v>3971</v>
      </c>
      <c r="D481" s="1" t="s">
        <v>2021</v>
      </c>
      <c r="E481" s="1">
        <v>30</v>
      </c>
      <c r="F481" s="1" t="s">
        <v>112</v>
      </c>
      <c r="G481" s="1">
        <v>1947</v>
      </c>
    </row>
    <row r="482" spans="1:8" x14ac:dyDescent="0.35">
      <c r="A482" s="1" t="str">
        <f t="shared" si="7"/>
        <v>10</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2" s="1" t="s">
        <v>3972</v>
      </c>
      <c r="D482" s="1" t="s">
        <v>1543</v>
      </c>
      <c r="E482" s="1" t="s">
        <v>3973</v>
      </c>
      <c r="F482" s="1" t="s">
        <v>112</v>
      </c>
      <c r="G482" s="1">
        <v>215239</v>
      </c>
    </row>
    <row r="483" spans="1:8" x14ac:dyDescent="0.35">
      <c r="A483" s="1" t="str">
        <f t="shared" si="7"/>
        <v>10</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3" s="1" t="s">
        <v>3974</v>
      </c>
      <c r="D483" s="1">
        <v>0</v>
      </c>
      <c r="E483" s="1">
        <v>0</v>
      </c>
      <c r="F483" s="1" t="s">
        <v>112</v>
      </c>
      <c r="G483" s="1">
        <v>0</v>
      </c>
    </row>
    <row r="484" spans="1:8" x14ac:dyDescent="0.35">
      <c r="A484" s="1" t="str">
        <f t="shared" si="7"/>
        <v>10</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4" s="1" t="s">
        <v>3975</v>
      </c>
      <c r="D484" s="1" t="s">
        <v>3389</v>
      </c>
      <c r="E484" s="1" t="s">
        <v>3976</v>
      </c>
      <c r="F484" s="1" t="s">
        <v>112</v>
      </c>
      <c r="G484" s="1">
        <v>229666</v>
      </c>
    </row>
    <row r="485" spans="1:8" x14ac:dyDescent="0.35">
      <c r="A485" s="1" t="str">
        <f t="shared" si="7"/>
        <v>10</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3977</v>
      </c>
      <c r="D485" s="1" t="s">
        <v>1543</v>
      </c>
      <c r="E485" s="1" t="s">
        <v>3978</v>
      </c>
      <c r="F485" s="1" t="s">
        <v>112</v>
      </c>
      <c r="G485" s="1">
        <v>198562</v>
      </c>
    </row>
    <row r="486" spans="1:8"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6" s="1" t="s">
        <v>112</v>
      </c>
    </row>
    <row r="487" spans="1:8"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7" s="1" t="s">
        <v>227</v>
      </c>
      <c r="D487" s="1" t="s">
        <v>112</v>
      </c>
      <c r="E487" s="1" t="s">
        <v>228</v>
      </c>
      <c r="F487" s="1" t="s">
        <v>229</v>
      </c>
      <c r="G487" s="1" t="s">
        <v>230</v>
      </c>
      <c r="H487" s="1" t="s">
        <v>231</v>
      </c>
    </row>
    <row r="488" spans="1:8" x14ac:dyDescent="0.35">
      <c r="A488" s="1" t="str">
        <f t="shared" si="7"/>
        <v>10</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88" s="1" t="s">
        <v>3979</v>
      </c>
      <c r="D488" s="1" t="s">
        <v>112</v>
      </c>
      <c r="E488" s="1" t="s">
        <v>3980</v>
      </c>
      <c r="F488" s="1" t="s">
        <v>3981</v>
      </c>
      <c r="G488" s="1" t="s">
        <v>3982</v>
      </c>
      <c r="H488" s="1" t="s">
        <v>3983</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112</v>
      </c>
    </row>
    <row r="491" spans="1:8"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173</v>
      </c>
      <c r="D494" s="1" t="s">
        <v>110</v>
      </c>
      <c r="E494" s="1" t="s">
        <v>111</v>
      </c>
      <c r="F494" s="1" t="s">
        <v>112</v>
      </c>
      <c r="G494" s="1" t="s">
        <v>113</v>
      </c>
    </row>
    <row r="495" spans="1:8" x14ac:dyDescent="0.35">
      <c r="A495" s="1" t="str">
        <f t="shared" si="7"/>
        <v>11</v>
      </c>
      <c r="B4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5" s="1" t="s">
        <v>3984</v>
      </c>
      <c r="D495" s="1">
        <v>0</v>
      </c>
      <c r="E495" s="1">
        <v>0</v>
      </c>
      <c r="F495" s="1" t="s">
        <v>112</v>
      </c>
      <c r="G495" s="1">
        <v>0</v>
      </c>
    </row>
    <row r="496" spans="1:8" x14ac:dyDescent="0.35">
      <c r="A496" s="1" t="str">
        <f t="shared" si="7"/>
        <v>11</v>
      </c>
      <c r="B4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6" s="1" t="s">
        <v>3985</v>
      </c>
      <c r="D496" s="1" t="s">
        <v>216</v>
      </c>
      <c r="E496" s="1">
        <v>30</v>
      </c>
      <c r="F496" s="1" t="s">
        <v>112</v>
      </c>
      <c r="G496" s="1">
        <v>649</v>
      </c>
    </row>
    <row r="497" spans="1:7" x14ac:dyDescent="0.35">
      <c r="A497" s="1" t="str">
        <f t="shared" si="7"/>
        <v>11</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3986</v>
      </c>
      <c r="D497" s="1" t="s">
        <v>216</v>
      </c>
      <c r="E497" s="1">
        <v>30</v>
      </c>
      <c r="F497" s="1" t="s">
        <v>112</v>
      </c>
      <c r="G497" s="1">
        <v>649</v>
      </c>
    </row>
    <row r="498" spans="1:7" x14ac:dyDescent="0.35">
      <c r="A498" s="1" t="str">
        <f t="shared" si="7"/>
        <v>11</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3987</v>
      </c>
      <c r="D498" s="1" t="s">
        <v>1035</v>
      </c>
      <c r="E498" s="1">
        <v>31</v>
      </c>
      <c r="F498" s="1" t="s">
        <v>112</v>
      </c>
      <c r="G498" s="1">
        <v>1341</v>
      </c>
    </row>
    <row r="499" spans="1:7" x14ac:dyDescent="0.35">
      <c r="A499" s="1" t="str">
        <f t="shared" si="7"/>
        <v>11</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99" s="1" t="s">
        <v>3988</v>
      </c>
      <c r="D499" s="1" t="s">
        <v>3521</v>
      </c>
      <c r="E499" s="1" t="s">
        <v>3989</v>
      </c>
      <c r="F499" s="1" t="s">
        <v>112</v>
      </c>
      <c r="G499" s="1">
        <v>13346</v>
      </c>
    </row>
    <row r="500" spans="1:7" x14ac:dyDescent="0.35">
      <c r="A500" s="1" t="str">
        <f t="shared" si="7"/>
        <v>11</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3990</v>
      </c>
      <c r="D500" s="1" t="s">
        <v>602</v>
      </c>
      <c r="E500" s="1" t="s">
        <v>3991</v>
      </c>
      <c r="F500" s="1" t="s">
        <v>112</v>
      </c>
      <c r="G500" s="1">
        <v>237583</v>
      </c>
    </row>
    <row r="501" spans="1:7" x14ac:dyDescent="0.35">
      <c r="A501" s="1" t="str">
        <f t="shared" si="7"/>
        <v>11</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3992</v>
      </c>
      <c r="D501" s="1" t="s">
        <v>186</v>
      </c>
      <c r="E501" s="1" t="s">
        <v>3993</v>
      </c>
      <c r="F501" s="1" t="s">
        <v>112</v>
      </c>
      <c r="G501" s="1">
        <v>235896</v>
      </c>
    </row>
    <row r="502" spans="1:7" x14ac:dyDescent="0.35">
      <c r="A502" s="1" t="str">
        <f t="shared" si="7"/>
        <v>11</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3994</v>
      </c>
      <c r="D502" s="1" t="s">
        <v>3995</v>
      </c>
      <c r="E502" s="1" t="s">
        <v>3996</v>
      </c>
      <c r="F502" s="1" t="s">
        <v>112</v>
      </c>
      <c r="G502" s="1">
        <v>301477</v>
      </c>
    </row>
    <row r="503" spans="1:7" x14ac:dyDescent="0.35">
      <c r="A503" s="1" t="str">
        <f t="shared" si="7"/>
        <v>11</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3997</v>
      </c>
      <c r="D503" s="1" t="s">
        <v>151</v>
      </c>
      <c r="E503" s="1" t="s">
        <v>3998</v>
      </c>
      <c r="F503" s="1" t="s">
        <v>112</v>
      </c>
      <c r="G503" s="1">
        <v>125497</v>
      </c>
    </row>
    <row r="504" spans="1:7" x14ac:dyDescent="0.35">
      <c r="A504" s="1" t="str">
        <f t="shared" si="7"/>
        <v>11</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3999</v>
      </c>
      <c r="D504" s="1" t="s">
        <v>2055</v>
      </c>
      <c r="E504" s="1" t="s">
        <v>4000</v>
      </c>
      <c r="F504" s="1" t="s">
        <v>112</v>
      </c>
      <c r="G504" s="1">
        <v>256379</v>
      </c>
    </row>
    <row r="505" spans="1:7" x14ac:dyDescent="0.35">
      <c r="A505" s="1" t="str">
        <f t="shared" si="7"/>
        <v>11</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4001</v>
      </c>
      <c r="D505" s="1" t="s">
        <v>1113</v>
      </c>
      <c r="E505" s="1" t="s">
        <v>4002</v>
      </c>
      <c r="F505" s="1" t="s">
        <v>112</v>
      </c>
      <c r="G505" s="1">
        <v>207279</v>
      </c>
    </row>
    <row r="506" spans="1:7" x14ac:dyDescent="0.35">
      <c r="A506" s="1" t="str">
        <f t="shared" si="7"/>
        <v>11</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4003</v>
      </c>
    </row>
    <row r="507" spans="1:7" x14ac:dyDescent="0.35">
      <c r="A507" s="1" t="str">
        <f t="shared" si="7"/>
        <v>11</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4004</v>
      </c>
      <c r="D507" s="1" t="s">
        <v>487</v>
      </c>
      <c r="E507" s="1" t="s">
        <v>4005</v>
      </c>
      <c r="F507" s="1" t="s">
        <v>112</v>
      </c>
      <c r="G507" s="1">
        <v>122966</v>
      </c>
    </row>
    <row r="508" spans="1:7" x14ac:dyDescent="0.35">
      <c r="A508" s="1" t="str">
        <f t="shared" si="7"/>
        <v>11</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4006</v>
      </c>
      <c r="D508" s="1" t="s">
        <v>2698</v>
      </c>
      <c r="E508" s="1" t="s">
        <v>4007</v>
      </c>
      <c r="F508" s="1" t="s">
        <v>112</v>
      </c>
      <c r="G508" s="1">
        <v>37528</v>
      </c>
    </row>
    <row r="509" spans="1:7" x14ac:dyDescent="0.35">
      <c r="A509" s="1" t="str">
        <f t="shared" si="7"/>
        <v>11</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4008</v>
      </c>
      <c r="D509" s="1" t="s">
        <v>4009</v>
      </c>
      <c r="E509" s="1" t="s">
        <v>4010</v>
      </c>
      <c r="F509" s="1" t="s">
        <v>112</v>
      </c>
      <c r="G509" s="1">
        <v>59288</v>
      </c>
    </row>
    <row r="510" spans="1:7" x14ac:dyDescent="0.35">
      <c r="A510" s="1" t="str">
        <f t="shared" si="7"/>
        <v>11</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10" s="1" t="s">
        <v>4011</v>
      </c>
      <c r="D510" s="1" t="s">
        <v>4012</v>
      </c>
      <c r="E510" s="1" t="s">
        <v>4013</v>
      </c>
      <c r="F510" s="1" t="s">
        <v>112</v>
      </c>
      <c r="G510" s="1">
        <v>79879</v>
      </c>
    </row>
    <row r="511" spans="1:7" x14ac:dyDescent="0.35">
      <c r="A511" s="1" t="str">
        <f t="shared" si="7"/>
        <v>11</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4014</v>
      </c>
      <c r="D511" s="1" t="s">
        <v>653</v>
      </c>
      <c r="E511" s="1" t="s">
        <v>4015</v>
      </c>
      <c r="F511" s="1" t="s">
        <v>112</v>
      </c>
      <c r="G511" s="1">
        <v>29698</v>
      </c>
    </row>
    <row r="512" spans="1:7" x14ac:dyDescent="0.35">
      <c r="A512" s="1" t="str">
        <f t="shared" si="7"/>
        <v>11</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4016</v>
      </c>
      <c r="D512" s="1" t="s">
        <v>566</v>
      </c>
      <c r="E512" s="1" t="s">
        <v>4017</v>
      </c>
      <c r="F512" s="1" t="s">
        <v>112</v>
      </c>
      <c r="G512" s="1">
        <v>246429</v>
      </c>
    </row>
    <row r="513" spans="1:8" x14ac:dyDescent="0.35">
      <c r="A513" s="1" t="str">
        <f t="shared" si="7"/>
        <v>11</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3" s="1" t="s">
        <v>4018</v>
      </c>
      <c r="D513" s="1" t="s">
        <v>2029</v>
      </c>
      <c r="E513" s="1" t="s">
        <v>4019</v>
      </c>
      <c r="F513" s="1" t="s">
        <v>112</v>
      </c>
      <c r="G513" s="1">
        <v>151842</v>
      </c>
    </row>
    <row r="514" spans="1:8" x14ac:dyDescent="0.35">
      <c r="A514" s="1" t="str">
        <f t="shared" ref="A514:A577" si="8">IFERROR(LEFT(RIGHT(C514,LEN(C514)-SEARCH("@",C514)),SEARCH("/",RIGHT(C514,LEN(C514)-SEARCH("@",C514)-1))),"")</f>
        <v>11</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4" s="1" t="s">
        <v>4020</v>
      </c>
      <c r="D514" s="1" t="s">
        <v>4021</v>
      </c>
      <c r="E514" s="1" t="s">
        <v>4022</v>
      </c>
      <c r="F514" s="1" t="s">
        <v>112</v>
      </c>
      <c r="G514" s="1">
        <v>602739</v>
      </c>
    </row>
    <row r="515" spans="1:8" x14ac:dyDescent="0.35">
      <c r="A515" s="1" t="str">
        <f t="shared" si="8"/>
        <v>11</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4023</v>
      </c>
      <c r="D515" s="1" t="s">
        <v>963</v>
      </c>
      <c r="E515" s="1" t="s">
        <v>4024</v>
      </c>
      <c r="F515" s="1" t="s">
        <v>112</v>
      </c>
      <c r="G515" s="1">
        <v>221339</v>
      </c>
    </row>
    <row r="516" spans="1:8" x14ac:dyDescent="0.35">
      <c r="A516" s="1" t="str">
        <f t="shared" si="8"/>
        <v>11</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6" s="1" t="s">
        <v>4025</v>
      </c>
      <c r="D516" s="1" t="s">
        <v>4026</v>
      </c>
      <c r="E516" s="1" t="s">
        <v>4027</v>
      </c>
      <c r="F516" s="1" t="s">
        <v>112</v>
      </c>
      <c r="G516" s="1">
        <v>426671</v>
      </c>
    </row>
    <row r="517" spans="1:8" x14ac:dyDescent="0.35">
      <c r="A517" s="1" t="str">
        <f t="shared" si="8"/>
        <v>11</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7" s="1" t="s">
        <v>4028</v>
      </c>
      <c r="D517" s="1" t="s">
        <v>3523</v>
      </c>
      <c r="E517" s="1" t="s">
        <v>4029</v>
      </c>
      <c r="F517" s="1" t="s">
        <v>112</v>
      </c>
      <c r="G517" s="1">
        <v>176543</v>
      </c>
    </row>
    <row r="518" spans="1:8" x14ac:dyDescent="0.35">
      <c r="A518" s="1" t="str">
        <f t="shared" si="8"/>
        <v>11</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8" s="1" t="s">
        <v>4030</v>
      </c>
      <c r="D518" s="1" t="s">
        <v>4031</v>
      </c>
      <c r="E518" s="1" t="s">
        <v>4032</v>
      </c>
      <c r="F518" s="1" t="s">
        <v>112</v>
      </c>
      <c r="G518" s="1">
        <v>8328</v>
      </c>
    </row>
    <row r="519" spans="1:8" x14ac:dyDescent="0.35">
      <c r="A519" s="1" t="str">
        <f t="shared" si="8"/>
        <v>11</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9" s="1" t="s">
        <v>4033</v>
      </c>
      <c r="D519" s="1" t="s">
        <v>4034</v>
      </c>
      <c r="E519" s="1" t="s">
        <v>4035</v>
      </c>
      <c r="F519" s="1" t="s">
        <v>112</v>
      </c>
      <c r="G519" s="1">
        <v>171395</v>
      </c>
    </row>
    <row r="520" spans="1:8" x14ac:dyDescent="0.35">
      <c r="A520" s="1" t="str">
        <f t="shared" si="8"/>
        <v>11</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20" s="1" t="s">
        <v>4036</v>
      </c>
      <c r="D520" s="1" t="s">
        <v>2402</v>
      </c>
      <c r="E520" s="1" t="s">
        <v>4037</v>
      </c>
      <c r="F520" s="1" t="s">
        <v>112</v>
      </c>
      <c r="G520" s="1">
        <v>208058</v>
      </c>
    </row>
    <row r="521" spans="1:8" x14ac:dyDescent="0.35">
      <c r="A521" s="1" t="str">
        <f t="shared" si="8"/>
        <v>11</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21" s="1" t="s">
        <v>4038</v>
      </c>
      <c r="D521" s="1" t="s">
        <v>2698</v>
      </c>
      <c r="E521" s="1" t="s">
        <v>4039</v>
      </c>
      <c r="F521" s="1" t="s">
        <v>112</v>
      </c>
      <c r="G521" s="1">
        <v>36187</v>
      </c>
    </row>
    <row r="522" spans="1:8" x14ac:dyDescent="0.35">
      <c r="A522" s="1" t="str">
        <f t="shared" si="8"/>
        <v>11</v>
      </c>
      <c r="B5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22" s="1" t="s">
        <v>4040</v>
      </c>
      <c r="D522" s="1" t="s">
        <v>4041</v>
      </c>
      <c r="E522" s="1" t="s">
        <v>4042</v>
      </c>
      <c r="F522" s="1" t="s">
        <v>112</v>
      </c>
      <c r="G522" s="1">
        <v>316229</v>
      </c>
    </row>
    <row r="523" spans="1:8" x14ac:dyDescent="0.35">
      <c r="A523" s="1" t="str">
        <f t="shared" si="8"/>
        <v>11</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3" s="1" t="s">
        <v>4043</v>
      </c>
      <c r="D523" s="1" t="s">
        <v>4044</v>
      </c>
      <c r="E523" s="1" t="s">
        <v>4045</v>
      </c>
      <c r="F523" s="1" t="s">
        <v>112</v>
      </c>
      <c r="G523" s="1">
        <v>190343</v>
      </c>
    </row>
    <row r="524" spans="1:8" x14ac:dyDescent="0.35">
      <c r="A524" s="1" t="str">
        <f t="shared" si="8"/>
        <v>11</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4" s="1" t="s">
        <v>4046</v>
      </c>
      <c r="D524" s="1" t="s">
        <v>2058</v>
      </c>
      <c r="E524" s="1" t="s">
        <v>4047</v>
      </c>
      <c r="F524" s="1" t="s">
        <v>112</v>
      </c>
      <c r="G524" s="1">
        <v>382676</v>
      </c>
    </row>
    <row r="525" spans="1:8" x14ac:dyDescent="0.35">
      <c r="A525" s="1" t="str">
        <f t="shared" si="8"/>
        <v>11</v>
      </c>
      <c r="B5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5" s="1" t="s">
        <v>4048</v>
      </c>
      <c r="D525" s="1" t="s">
        <v>4049</v>
      </c>
      <c r="E525" s="1" t="s">
        <v>4050</v>
      </c>
      <c r="F525" s="1" t="s">
        <v>112</v>
      </c>
      <c r="G525" s="1">
        <v>359208</v>
      </c>
    </row>
    <row r="526" spans="1:8" x14ac:dyDescent="0.35">
      <c r="A526" s="1" t="str">
        <f t="shared" si="8"/>
        <v>11</v>
      </c>
      <c r="B5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6" s="1" t="s">
        <v>4051</v>
      </c>
      <c r="D526" s="1" t="s">
        <v>1552</v>
      </c>
      <c r="E526" s="1" t="s">
        <v>4052</v>
      </c>
      <c r="F526" s="1" t="s">
        <v>112</v>
      </c>
      <c r="G526" s="1">
        <v>187163</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227</v>
      </c>
      <c r="D528" s="1" t="s">
        <v>112</v>
      </c>
      <c r="E528" s="1" t="s">
        <v>228</v>
      </c>
      <c r="F528" s="1" t="s">
        <v>229</v>
      </c>
      <c r="G528" s="1" t="s">
        <v>230</v>
      </c>
      <c r="H528" s="1" t="s">
        <v>231</v>
      </c>
    </row>
    <row r="529" spans="1:8" x14ac:dyDescent="0.35">
      <c r="A529" s="1" t="str">
        <f t="shared" si="8"/>
        <v>11</v>
      </c>
      <c r="B5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9" s="1" t="s">
        <v>4053</v>
      </c>
      <c r="D529" s="1" t="s">
        <v>112</v>
      </c>
      <c r="E529" s="1" t="s">
        <v>4054</v>
      </c>
      <c r="F529" s="1" t="s">
        <v>4055</v>
      </c>
      <c r="G529" s="1" t="s">
        <v>4056</v>
      </c>
      <c r="H529" s="1" t="s">
        <v>4057</v>
      </c>
    </row>
    <row r="530" spans="1:8"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112</v>
      </c>
    </row>
    <row r="531" spans="1:8"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1" s="1" t="s">
        <v>112</v>
      </c>
    </row>
    <row r="532" spans="1:8"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2" s="1" t="s">
        <v>112</v>
      </c>
    </row>
    <row r="533" spans="1:8"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3" s="1" t="s">
        <v>112</v>
      </c>
    </row>
    <row r="534" spans="1:8"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4" s="1" t="s">
        <v>112</v>
      </c>
    </row>
    <row r="535" spans="1:8"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5" s="1" t="s">
        <v>173</v>
      </c>
      <c r="D535" s="1" t="s">
        <v>110</v>
      </c>
      <c r="E535" s="1" t="s">
        <v>111</v>
      </c>
      <c r="F535" s="1" t="s">
        <v>112</v>
      </c>
      <c r="G535" s="1" t="s">
        <v>113</v>
      </c>
    </row>
    <row r="536" spans="1:8" x14ac:dyDescent="0.35">
      <c r="A536" s="1" t="str">
        <f t="shared" si="8"/>
        <v>12</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6" s="1" t="s">
        <v>4058</v>
      </c>
      <c r="D536" s="1" t="s">
        <v>4059</v>
      </c>
      <c r="E536" s="1" t="s">
        <v>4060</v>
      </c>
      <c r="F536" s="1" t="s">
        <v>112</v>
      </c>
      <c r="G536" s="1">
        <v>411812</v>
      </c>
    </row>
    <row r="537" spans="1:8" x14ac:dyDescent="0.35">
      <c r="A537" s="1" t="str">
        <f t="shared" si="8"/>
        <v>12</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7" s="1" t="s">
        <v>4061</v>
      </c>
      <c r="D537" s="1" t="s">
        <v>581</v>
      </c>
      <c r="E537" s="1" t="s">
        <v>4062</v>
      </c>
      <c r="F537" s="1" t="s">
        <v>112</v>
      </c>
      <c r="G537" s="1">
        <v>4088</v>
      </c>
    </row>
    <row r="538" spans="1:8" x14ac:dyDescent="0.35">
      <c r="A538" s="1" t="str">
        <f t="shared" si="8"/>
        <v>12</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8" s="1" t="s">
        <v>4063</v>
      </c>
      <c r="D538" s="1" t="s">
        <v>4049</v>
      </c>
      <c r="E538" s="1" t="s">
        <v>4064</v>
      </c>
      <c r="F538" s="1" t="s">
        <v>112</v>
      </c>
      <c r="G538" s="1">
        <v>394205</v>
      </c>
    </row>
    <row r="539" spans="1:8" x14ac:dyDescent="0.35">
      <c r="A539" s="1" t="str">
        <f t="shared" si="8"/>
        <v>12</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9" s="1" t="s">
        <v>4065</v>
      </c>
      <c r="D539" s="1" t="s">
        <v>1032</v>
      </c>
      <c r="E539" s="1" t="s">
        <v>4066</v>
      </c>
      <c r="F539" s="1" t="s">
        <v>112</v>
      </c>
      <c r="G539" s="1">
        <v>3612</v>
      </c>
    </row>
    <row r="540" spans="1:8" x14ac:dyDescent="0.35">
      <c r="A540" s="1" t="str">
        <f t="shared" si="8"/>
        <v>12</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0" s="1" t="s">
        <v>4067</v>
      </c>
      <c r="D540" s="1" t="s">
        <v>149</v>
      </c>
      <c r="E540" s="1" t="s">
        <v>4068</v>
      </c>
      <c r="F540" s="1" t="s">
        <v>112</v>
      </c>
      <c r="G540" s="1">
        <v>194258</v>
      </c>
    </row>
    <row r="541" spans="1:8" x14ac:dyDescent="0.35">
      <c r="A541" s="1" t="str">
        <f t="shared" si="8"/>
        <v>12</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1" s="1" t="s">
        <v>4069</v>
      </c>
      <c r="D541" s="1" t="s">
        <v>1531</v>
      </c>
      <c r="E541" s="1" t="s">
        <v>4070</v>
      </c>
      <c r="F541" s="1" t="s">
        <v>112</v>
      </c>
      <c r="G541" s="1">
        <v>125367</v>
      </c>
    </row>
    <row r="542" spans="1:8" x14ac:dyDescent="0.35">
      <c r="A542" s="1" t="str">
        <f t="shared" si="8"/>
        <v>12</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2" s="1" t="s">
        <v>4071</v>
      </c>
      <c r="D542" s="1" t="s">
        <v>4072</v>
      </c>
      <c r="E542" s="1" t="s">
        <v>4073</v>
      </c>
      <c r="F542" s="1" t="s">
        <v>112</v>
      </c>
      <c r="G542" s="1">
        <v>272537</v>
      </c>
    </row>
    <row r="543" spans="1:8" x14ac:dyDescent="0.35">
      <c r="A543" s="1" t="str">
        <f t="shared" si="8"/>
        <v>12</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43" s="1" t="s">
        <v>4074</v>
      </c>
      <c r="D543" s="1" t="s">
        <v>2126</v>
      </c>
      <c r="E543" s="1" t="s">
        <v>4075</v>
      </c>
      <c r="F543" s="1" t="s">
        <v>112</v>
      </c>
      <c r="G543" s="1">
        <v>193869</v>
      </c>
    </row>
    <row r="544" spans="1:8" x14ac:dyDescent="0.35">
      <c r="A544" s="1" t="str">
        <f t="shared" si="8"/>
        <v>12</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4" s="1" t="s">
        <v>4076</v>
      </c>
      <c r="D544" s="1" t="s">
        <v>588</v>
      </c>
      <c r="E544" s="1" t="s">
        <v>4077</v>
      </c>
      <c r="F544" s="1" t="s">
        <v>112</v>
      </c>
      <c r="G544" s="1">
        <v>232889</v>
      </c>
    </row>
    <row r="545" spans="1:7" x14ac:dyDescent="0.35">
      <c r="A545" s="1" t="str">
        <f t="shared" si="8"/>
        <v>12</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5" s="1" t="s">
        <v>4078</v>
      </c>
      <c r="D545" s="1" t="s">
        <v>1602</v>
      </c>
      <c r="E545" s="1" t="s">
        <v>4079</v>
      </c>
      <c r="F545" s="1" t="s">
        <v>112</v>
      </c>
      <c r="G545" s="1">
        <v>73736</v>
      </c>
    </row>
    <row r="546" spans="1:7" x14ac:dyDescent="0.35">
      <c r="A546" s="1" t="str">
        <f t="shared" si="8"/>
        <v>12</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6" s="1" t="s">
        <v>4080</v>
      </c>
      <c r="D546" s="1" t="s">
        <v>1543</v>
      </c>
      <c r="E546" s="1" t="s">
        <v>4081</v>
      </c>
      <c r="F546" s="1" t="s">
        <v>112</v>
      </c>
      <c r="G546" s="1">
        <v>205419</v>
      </c>
    </row>
    <row r="547" spans="1:7" x14ac:dyDescent="0.35">
      <c r="A547" s="1" t="str">
        <f t="shared" si="8"/>
        <v>12</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47" s="1" t="s">
        <v>4082</v>
      </c>
      <c r="D547" s="1" t="s">
        <v>3948</v>
      </c>
      <c r="E547" s="1" t="s">
        <v>4083</v>
      </c>
      <c r="F547" s="1" t="s">
        <v>112</v>
      </c>
      <c r="G547" s="1">
        <v>142152</v>
      </c>
    </row>
    <row r="548" spans="1:7" x14ac:dyDescent="0.35">
      <c r="A548" s="1" t="str">
        <f t="shared" si="8"/>
        <v>12</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8" s="1" t="s">
        <v>4084</v>
      </c>
      <c r="D548" s="1" t="s">
        <v>4085</v>
      </c>
      <c r="E548" s="1" t="s">
        <v>4086</v>
      </c>
      <c r="F548" s="1" t="s">
        <v>112</v>
      </c>
      <c r="G548" s="1">
        <v>89548</v>
      </c>
    </row>
    <row r="549" spans="1:7" x14ac:dyDescent="0.35">
      <c r="A549" s="1" t="str">
        <f t="shared" si="8"/>
        <v>12</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9" s="1" t="s">
        <v>4087</v>
      </c>
      <c r="D549" s="1" t="s">
        <v>1525</v>
      </c>
      <c r="E549" s="1" t="s">
        <v>4088</v>
      </c>
      <c r="F549" s="1" t="s">
        <v>112</v>
      </c>
      <c r="G549" s="1">
        <v>340368</v>
      </c>
    </row>
    <row r="550" spans="1:7" x14ac:dyDescent="0.35">
      <c r="A550" s="1" t="str">
        <f t="shared" si="8"/>
        <v>12</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50" s="1" t="s">
        <v>4089</v>
      </c>
      <c r="D550" s="1" t="s">
        <v>588</v>
      </c>
      <c r="E550" s="1" t="s">
        <v>4090</v>
      </c>
      <c r="F550" s="1" t="s">
        <v>112</v>
      </c>
      <c r="G550" s="1">
        <v>279026</v>
      </c>
    </row>
    <row r="551" spans="1:7" x14ac:dyDescent="0.35">
      <c r="A551" s="1" t="str">
        <f t="shared" si="8"/>
        <v>12</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51" s="1" t="s">
        <v>4091</v>
      </c>
      <c r="D551" s="1" t="s">
        <v>4092</v>
      </c>
      <c r="E551" s="1" t="s">
        <v>4093</v>
      </c>
      <c r="F551" s="1" t="s">
        <v>112</v>
      </c>
      <c r="G551" s="1">
        <v>551195</v>
      </c>
    </row>
    <row r="552" spans="1:7" x14ac:dyDescent="0.35">
      <c r="A552" s="1" t="str">
        <f t="shared" si="8"/>
        <v>12</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52" s="1" t="s">
        <v>4094</v>
      </c>
      <c r="D552" s="1" t="s">
        <v>1520</v>
      </c>
      <c r="E552" s="1" t="s">
        <v>4095</v>
      </c>
      <c r="F552" s="1" t="s">
        <v>112</v>
      </c>
      <c r="G552" s="1">
        <v>183184</v>
      </c>
    </row>
    <row r="553" spans="1:7" x14ac:dyDescent="0.35">
      <c r="A553" s="1" t="str">
        <f t="shared" si="8"/>
        <v>12</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53" s="1" t="s">
        <v>4096</v>
      </c>
      <c r="D553" s="1" t="s">
        <v>4097</v>
      </c>
      <c r="E553" s="1" t="s">
        <v>4098</v>
      </c>
      <c r="F553" s="1" t="s">
        <v>112</v>
      </c>
      <c r="G553" s="1">
        <v>185238</v>
      </c>
    </row>
    <row r="554" spans="1:7" x14ac:dyDescent="0.35">
      <c r="A554" s="1" t="str">
        <f t="shared" si="8"/>
        <v>12</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54" s="1" t="s">
        <v>4099</v>
      </c>
      <c r="D554" s="1" t="s">
        <v>4100</v>
      </c>
      <c r="E554" s="1" t="s">
        <v>4101</v>
      </c>
      <c r="F554" s="1" t="s">
        <v>112</v>
      </c>
      <c r="G554" s="1">
        <v>191446</v>
      </c>
    </row>
    <row r="555" spans="1:7" x14ac:dyDescent="0.35">
      <c r="A555" s="1" t="str">
        <f t="shared" si="8"/>
        <v>12</v>
      </c>
      <c r="B5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55" s="1" t="s">
        <v>4102</v>
      </c>
      <c r="D555" s="1" t="s">
        <v>4103</v>
      </c>
      <c r="E555" s="1" t="s">
        <v>4104</v>
      </c>
      <c r="F555" s="1" t="s">
        <v>112</v>
      </c>
      <c r="G555" s="1">
        <v>28789</v>
      </c>
    </row>
    <row r="556" spans="1:7" x14ac:dyDescent="0.35">
      <c r="A556" s="1" t="str">
        <f t="shared" si="8"/>
        <v>12</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6" s="1" t="s">
        <v>4105</v>
      </c>
      <c r="D556" s="1" t="s">
        <v>2994</v>
      </c>
      <c r="E556" s="1" t="s">
        <v>4106</v>
      </c>
      <c r="F556" s="1" t="s">
        <v>112</v>
      </c>
      <c r="G556" s="1">
        <v>161748</v>
      </c>
    </row>
    <row r="557" spans="1:7" x14ac:dyDescent="0.35">
      <c r="A557" s="1" t="str">
        <f t="shared" si="8"/>
        <v>12</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7" s="1" t="s">
        <v>4107</v>
      </c>
      <c r="D557" s="1" t="s">
        <v>656</v>
      </c>
      <c r="E557" s="1" t="s">
        <v>4108</v>
      </c>
      <c r="F557" s="1" t="s">
        <v>112</v>
      </c>
      <c r="G557" s="1">
        <v>91300</v>
      </c>
    </row>
    <row r="558" spans="1:7" x14ac:dyDescent="0.35">
      <c r="A558" s="1" t="str">
        <f t="shared" si="8"/>
        <v>12</v>
      </c>
      <c r="B5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8" s="1" t="s">
        <v>4109</v>
      </c>
      <c r="D558" s="1" t="s">
        <v>504</v>
      </c>
      <c r="E558" s="1" t="s">
        <v>4110</v>
      </c>
      <c r="F558" s="1" t="s">
        <v>112</v>
      </c>
      <c r="G558" s="1">
        <v>57471</v>
      </c>
    </row>
    <row r="559" spans="1:7" x14ac:dyDescent="0.35">
      <c r="A559" s="1" t="str">
        <f t="shared" si="8"/>
        <v>12</v>
      </c>
      <c r="B5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59" s="1" t="s">
        <v>4111</v>
      </c>
      <c r="D559" s="1" t="s">
        <v>2456</v>
      </c>
      <c r="E559" s="1" t="s">
        <v>4112</v>
      </c>
      <c r="F559" s="1" t="s">
        <v>112</v>
      </c>
      <c r="G559" s="1">
        <v>121625</v>
      </c>
    </row>
    <row r="560" spans="1:7" x14ac:dyDescent="0.35">
      <c r="A560" s="1" t="str">
        <f t="shared" si="8"/>
        <v>12</v>
      </c>
      <c r="B5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0" s="1" t="s">
        <v>4113</v>
      </c>
      <c r="D560" s="1" t="s">
        <v>1012</v>
      </c>
      <c r="E560" s="1" t="s">
        <v>4114</v>
      </c>
      <c r="F560" s="1" t="s">
        <v>112</v>
      </c>
      <c r="G560" s="1">
        <v>54983</v>
      </c>
    </row>
    <row r="561" spans="1:8" x14ac:dyDescent="0.35">
      <c r="A561" s="1" t="str">
        <f t="shared" si="8"/>
        <v>12</v>
      </c>
      <c r="B5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1" s="1" t="s">
        <v>4115</v>
      </c>
      <c r="D561" s="1" t="s">
        <v>1281</v>
      </c>
      <c r="E561" s="1" t="s">
        <v>4116</v>
      </c>
      <c r="F561" s="1" t="s">
        <v>112</v>
      </c>
      <c r="G561" s="1">
        <v>90499</v>
      </c>
    </row>
    <row r="562" spans="1:8" x14ac:dyDescent="0.35">
      <c r="A562" s="1" t="str">
        <f t="shared" si="8"/>
        <v>12</v>
      </c>
      <c r="B5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2" s="1" t="s">
        <v>4117</v>
      </c>
      <c r="D562" s="1" t="s">
        <v>219</v>
      </c>
      <c r="E562" s="1" t="s">
        <v>4118</v>
      </c>
      <c r="F562" s="1" t="s">
        <v>112</v>
      </c>
      <c r="G562" s="1">
        <v>17866</v>
      </c>
    </row>
    <row r="563" spans="1:8" x14ac:dyDescent="0.35">
      <c r="A563" s="1" t="str">
        <f t="shared" si="8"/>
        <v>12</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3" s="1" t="s">
        <v>4119</v>
      </c>
      <c r="D563" s="1" t="s">
        <v>4120</v>
      </c>
      <c r="E563" s="1" t="s">
        <v>4121</v>
      </c>
      <c r="F563" s="1" t="s">
        <v>112</v>
      </c>
      <c r="G563" s="1">
        <v>75878</v>
      </c>
    </row>
    <row r="564" spans="1:8" x14ac:dyDescent="0.35">
      <c r="A564" s="1" t="str">
        <f t="shared" si="8"/>
        <v>12</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4" s="1" t="s">
        <v>4122</v>
      </c>
      <c r="D564" s="1" t="s">
        <v>4123</v>
      </c>
      <c r="E564" s="1" t="s">
        <v>4124</v>
      </c>
      <c r="F564" s="1" t="s">
        <v>112</v>
      </c>
      <c r="G564" s="1">
        <v>414234</v>
      </c>
    </row>
    <row r="565" spans="1:8" x14ac:dyDescent="0.35">
      <c r="A565" s="1" t="str">
        <f t="shared" si="8"/>
        <v>12</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5" s="1" t="s">
        <v>4125</v>
      </c>
      <c r="D565" s="1" t="s">
        <v>668</v>
      </c>
      <c r="E565" s="1" t="s">
        <v>4126</v>
      </c>
      <c r="F565" s="1" t="s">
        <v>112</v>
      </c>
      <c r="G565" s="1">
        <v>270179</v>
      </c>
    </row>
    <row r="566" spans="1:8" x14ac:dyDescent="0.35">
      <c r="A566" s="1" t="str">
        <f t="shared" si="8"/>
        <v>12</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6" s="1" t="s">
        <v>4127</v>
      </c>
      <c r="D566" s="1" t="s">
        <v>2465</v>
      </c>
      <c r="E566" s="1" t="s">
        <v>4128</v>
      </c>
      <c r="F566" s="1" t="s">
        <v>112</v>
      </c>
      <c r="G566" s="1">
        <v>284109</v>
      </c>
    </row>
    <row r="567" spans="1:8" x14ac:dyDescent="0.35">
      <c r="A567" s="1" t="str">
        <f t="shared" si="8"/>
        <v>12</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7" s="1" t="s">
        <v>4129</v>
      </c>
      <c r="D567" s="1" t="s">
        <v>3167</v>
      </c>
      <c r="E567" s="1" t="s">
        <v>4130</v>
      </c>
      <c r="F567" s="1" t="s">
        <v>112</v>
      </c>
      <c r="G567" s="1">
        <v>233776</v>
      </c>
    </row>
    <row r="568" spans="1:8"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8" s="1" t="s">
        <v>112</v>
      </c>
    </row>
    <row r="569" spans="1:8"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9" s="1" t="s">
        <v>227</v>
      </c>
      <c r="D569" s="1" t="s">
        <v>112</v>
      </c>
      <c r="E569" s="1" t="s">
        <v>228</v>
      </c>
      <c r="F569" s="1" t="s">
        <v>229</v>
      </c>
      <c r="G569" s="1" t="s">
        <v>230</v>
      </c>
      <c r="H569" s="1" t="s">
        <v>231</v>
      </c>
    </row>
    <row r="570" spans="1:8" x14ac:dyDescent="0.35">
      <c r="A570" s="1" t="str">
        <f t="shared" si="8"/>
        <v>12</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70" s="1" t="s">
        <v>4131</v>
      </c>
      <c r="D570" s="1" t="s">
        <v>112</v>
      </c>
      <c r="E570" s="1" t="s">
        <v>4132</v>
      </c>
      <c r="F570" s="1" t="s">
        <v>4133</v>
      </c>
      <c r="G570" s="1" t="s">
        <v>4134</v>
      </c>
      <c r="H570" s="1" t="s">
        <v>4135</v>
      </c>
    </row>
    <row r="571" spans="1:8"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1" s="1" t="s">
        <v>112</v>
      </c>
    </row>
    <row r="572" spans="1:8"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2" s="1" t="s">
        <v>112</v>
      </c>
    </row>
    <row r="573" spans="1:8"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3" s="1" t="s">
        <v>112</v>
      </c>
    </row>
    <row r="574" spans="1:8"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4" s="1" t="s">
        <v>112</v>
      </c>
    </row>
    <row r="575" spans="1:8"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5" s="1" t="s">
        <v>112</v>
      </c>
    </row>
    <row r="576" spans="1:8"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76" s="1" t="s">
        <v>173</v>
      </c>
      <c r="D576" s="1" t="s">
        <v>110</v>
      </c>
      <c r="E576" s="1" t="s">
        <v>111</v>
      </c>
      <c r="F576" s="1" t="s">
        <v>112</v>
      </c>
      <c r="G576" s="1" t="s">
        <v>113</v>
      </c>
    </row>
    <row r="577" spans="1:7" x14ac:dyDescent="0.35">
      <c r="A577" s="1" t="str">
        <f t="shared" si="8"/>
        <v>17</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77" s="1" t="s">
        <v>4136</v>
      </c>
      <c r="D577" s="1" t="s">
        <v>824</v>
      </c>
      <c r="E577" s="1" t="s">
        <v>4137</v>
      </c>
      <c r="F577" s="1" t="s">
        <v>112</v>
      </c>
      <c r="G577" s="1">
        <v>2626237</v>
      </c>
    </row>
    <row r="578" spans="1:7" x14ac:dyDescent="0.35">
      <c r="A578" s="1" t="str">
        <f t="shared" ref="A578:A641" si="9">IFERROR(LEFT(RIGHT(C578,LEN(C578)-SEARCH("@",C578)),SEARCH("/",RIGHT(C578,LEN(C578)-SEARCH("@",C578)-1))),"")</f>
        <v>17</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78" s="1" t="s">
        <v>4138</v>
      </c>
      <c r="D578" s="1" t="s">
        <v>315</v>
      </c>
      <c r="E578" s="1" t="s">
        <v>4139</v>
      </c>
      <c r="F578" s="1" t="s">
        <v>112</v>
      </c>
      <c r="G578" s="1">
        <v>2821295</v>
      </c>
    </row>
    <row r="579" spans="1:7" x14ac:dyDescent="0.35">
      <c r="A579" s="1" t="str">
        <f t="shared" si="9"/>
        <v>17</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79" s="1" t="s">
        <v>4140</v>
      </c>
      <c r="D579" s="1" t="s">
        <v>1420</v>
      </c>
      <c r="E579" s="1" t="s">
        <v>4141</v>
      </c>
      <c r="F579" s="1" t="s">
        <v>112</v>
      </c>
      <c r="G579" s="1">
        <v>2547699</v>
      </c>
    </row>
    <row r="580" spans="1:7" x14ac:dyDescent="0.35">
      <c r="A580" s="1" t="str">
        <f t="shared" si="9"/>
        <v>17</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80" s="1" t="s">
        <v>4142</v>
      </c>
      <c r="D580" s="1" t="s">
        <v>4143</v>
      </c>
      <c r="E580" s="1" t="s">
        <v>4144</v>
      </c>
      <c r="F580" s="1" t="s">
        <v>112</v>
      </c>
      <c r="G580" s="1">
        <v>2366765</v>
      </c>
    </row>
    <row r="581" spans="1:7" x14ac:dyDescent="0.35">
      <c r="A581" s="1" t="str">
        <f t="shared" si="9"/>
        <v>17</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81" s="1" t="s">
        <v>4145</v>
      </c>
      <c r="D581" s="1" t="s">
        <v>4146</v>
      </c>
      <c r="E581" s="1" t="s">
        <v>4147</v>
      </c>
      <c r="F581" s="1" t="s">
        <v>112</v>
      </c>
      <c r="G581" s="1">
        <v>2516552</v>
      </c>
    </row>
    <row r="582" spans="1:7" x14ac:dyDescent="0.35">
      <c r="A582" s="1" t="str">
        <f t="shared" si="9"/>
        <v>17</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82" s="1" t="s">
        <v>4148</v>
      </c>
      <c r="D582" s="1" t="s">
        <v>4149</v>
      </c>
      <c r="E582" s="1" t="s">
        <v>4150</v>
      </c>
      <c r="F582" s="1" t="s">
        <v>112</v>
      </c>
      <c r="G582" s="1">
        <v>2739729</v>
      </c>
    </row>
    <row r="583" spans="1:7" x14ac:dyDescent="0.35">
      <c r="A583" s="1" t="str">
        <f t="shared" si="9"/>
        <v>17</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83" s="1" t="s">
        <v>4151</v>
      </c>
      <c r="D583" s="1" t="s">
        <v>4152</v>
      </c>
      <c r="E583" s="1" t="s">
        <v>4153</v>
      </c>
      <c r="F583" s="1" t="s">
        <v>112</v>
      </c>
      <c r="G583" s="1">
        <v>2505758</v>
      </c>
    </row>
    <row r="584" spans="1:7" x14ac:dyDescent="0.35">
      <c r="A584" s="1" t="str">
        <f t="shared" si="9"/>
        <v>17</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84" s="1" t="s">
        <v>4154</v>
      </c>
      <c r="D584" s="1" t="s">
        <v>4155</v>
      </c>
      <c r="E584" s="1" t="s">
        <v>4156</v>
      </c>
      <c r="F584" s="1" t="s">
        <v>112</v>
      </c>
      <c r="G584" s="1">
        <v>2990939</v>
      </c>
    </row>
    <row r="585" spans="1:7" x14ac:dyDescent="0.35">
      <c r="A585" s="1" t="str">
        <f t="shared" si="9"/>
        <v>17</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85" s="1" t="s">
        <v>4157</v>
      </c>
      <c r="D585" s="1" t="s">
        <v>4158</v>
      </c>
      <c r="E585" s="1" t="s">
        <v>4159</v>
      </c>
      <c r="F585" s="1" t="s">
        <v>112</v>
      </c>
      <c r="G585" s="1">
        <v>2204194</v>
      </c>
    </row>
    <row r="586" spans="1:7" x14ac:dyDescent="0.35">
      <c r="A586" s="1" t="str">
        <f t="shared" si="9"/>
        <v>17</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86" s="1" t="s">
        <v>4160</v>
      </c>
      <c r="D586" s="1" t="s">
        <v>4161</v>
      </c>
      <c r="E586" s="1" t="s">
        <v>4162</v>
      </c>
      <c r="F586" s="1" t="s">
        <v>112</v>
      </c>
      <c r="G586" s="1">
        <v>2721668</v>
      </c>
    </row>
    <row r="587" spans="1:7" x14ac:dyDescent="0.35">
      <c r="A587" s="1" t="str">
        <f t="shared" si="9"/>
        <v>17</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87" s="1" t="s">
        <v>4163</v>
      </c>
      <c r="D587" s="1" t="s">
        <v>4164</v>
      </c>
      <c r="E587" s="1" t="s">
        <v>4165</v>
      </c>
      <c r="F587" s="1" t="s">
        <v>112</v>
      </c>
      <c r="G587" s="1">
        <v>2586827</v>
      </c>
    </row>
    <row r="588" spans="1:7" x14ac:dyDescent="0.35">
      <c r="A588" s="1" t="str">
        <f t="shared" si="9"/>
        <v>17</v>
      </c>
      <c r="B5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88" s="1" t="s">
        <v>4166</v>
      </c>
      <c r="D588" s="1" t="s">
        <v>4167</v>
      </c>
      <c r="E588" s="1" t="s">
        <v>4168</v>
      </c>
      <c r="F588" s="1" t="s">
        <v>112</v>
      </c>
      <c r="G588" s="1">
        <v>2388265</v>
      </c>
    </row>
    <row r="589" spans="1:7" x14ac:dyDescent="0.35">
      <c r="A589" s="1" t="str">
        <f t="shared" si="9"/>
        <v>17</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89" s="1" t="s">
        <v>4169</v>
      </c>
      <c r="D589" s="1" t="s">
        <v>4170</v>
      </c>
      <c r="E589" s="1" t="s">
        <v>4171</v>
      </c>
      <c r="F589" s="1" t="s">
        <v>112</v>
      </c>
      <c r="G589" s="1">
        <v>2756535</v>
      </c>
    </row>
    <row r="590" spans="1:7" x14ac:dyDescent="0.35">
      <c r="A590" s="1" t="str">
        <f t="shared" si="9"/>
        <v>17</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0" s="1" t="s">
        <v>4172</v>
      </c>
    </row>
    <row r="591" spans="1:7" x14ac:dyDescent="0.35">
      <c r="A591" s="1" t="str">
        <f t="shared" si="9"/>
        <v>17</v>
      </c>
      <c r="B5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1" s="1" t="s">
        <v>4173</v>
      </c>
      <c r="D591" s="1" t="s">
        <v>4174</v>
      </c>
      <c r="E591" s="1" t="s">
        <v>4175</v>
      </c>
      <c r="F591" s="1" t="s">
        <v>112</v>
      </c>
      <c r="G591" s="1">
        <v>2506321</v>
      </c>
    </row>
    <row r="592" spans="1:7" x14ac:dyDescent="0.35">
      <c r="A592" s="1" t="str">
        <f t="shared" si="9"/>
        <v>17</v>
      </c>
      <c r="B5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92" s="1" t="s">
        <v>4176</v>
      </c>
      <c r="D592" s="1" t="s">
        <v>4177</v>
      </c>
      <c r="E592" s="1" t="s">
        <v>4178</v>
      </c>
      <c r="F592" s="1" t="s">
        <v>112</v>
      </c>
      <c r="G592" s="1">
        <v>2367911</v>
      </c>
    </row>
    <row r="593" spans="1:7" x14ac:dyDescent="0.35">
      <c r="A593" s="1" t="str">
        <f t="shared" si="9"/>
        <v>17</v>
      </c>
      <c r="B5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3" s="1" t="s">
        <v>4179</v>
      </c>
      <c r="D593" s="1" t="s">
        <v>283</v>
      </c>
      <c r="E593" s="1" t="s">
        <v>4180</v>
      </c>
      <c r="F593" s="1" t="s">
        <v>112</v>
      </c>
      <c r="G593" s="1">
        <v>1326799</v>
      </c>
    </row>
    <row r="594" spans="1:7" x14ac:dyDescent="0.35">
      <c r="A594" s="1" t="str">
        <f t="shared" si="9"/>
        <v>17</v>
      </c>
      <c r="B5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4" s="1" t="s">
        <v>4181</v>
      </c>
      <c r="D594" s="1" t="s">
        <v>4182</v>
      </c>
      <c r="E594" s="1" t="s">
        <v>4183</v>
      </c>
      <c r="F594" s="1" t="s">
        <v>112</v>
      </c>
      <c r="G594" s="1">
        <v>1941261</v>
      </c>
    </row>
    <row r="595" spans="1:7" x14ac:dyDescent="0.35">
      <c r="A595" s="1" t="str">
        <f t="shared" si="9"/>
        <v>17</v>
      </c>
      <c r="B5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5" s="1" t="s">
        <v>4184</v>
      </c>
      <c r="D595" s="1" t="s">
        <v>4185</v>
      </c>
      <c r="E595" s="1" t="s">
        <v>4186</v>
      </c>
      <c r="F595" s="1" t="s">
        <v>112</v>
      </c>
      <c r="G595" s="1">
        <v>1616900</v>
      </c>
    </row>
    <row r="596" spans="1:7" x14ac:dyDescent="0.35">
      <c r="A596" s="1" t="str">
        <f t="shared" si="9"/>
        <v>17</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96" s="1" t="s">
        <v>4187</v>
      </c>
      <c r="D596" s="1" t="s">
        <v>4188</v>
      </c>
      <c r="E596" s="1" t="s">
        <v>4189</v>
      </c>
      <c r="F596" s="1" t="s">
        <v>112</v>
      </c>
      <c r="G596" s="1">
        <v>1595897</v>
      </c>
    </row>
    <row r="597" spans="1:7" x14ac:dyDescent="0.35">
      <c r="A597" s="1" t="str">
        <f t="shared" si="9"/>
        <v>17</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97" s="1" t="s">
        <v>4190</v>
      </c>
      <c r="D597" s="1" t="s">
        <v>4191</v>
      </c>
      <c r="E597" s="1" t="s">
        <v>4192</v>
      </c>
      <c r="F597" s="1" t="s">
        <v>112</v>
      </c>
      <c r="G597" s="1">
        <v>1848577</v>
      </c>
    </row>
    <row r="598" spans="1:7" x14ac:dyDescent="0.35">
      <c r="A598" s="1" t="str">
        <f t="shared" si="9"/>
        <v>17</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98" s="1" t="s">
        <v>4193</v>
      </c>
      <c r="D598" s="1" t="s">
        <v>4194</v>
      </c>
      <c r="E598" s="1" t="s">
        <v>4195</v>
      </c>
      <c r="F598" s="1" t="s">
        <v>112</v>
      </c>
      <c r="G598" s="1">
        <v>1656136</v>
      </c>
    </row>
    <row r="599" spans="1:7" x14ac:dyDescent="0.35">
      <c r="A599" s="1" t="str">
        <f t="shared" si="9"/>
        <v>17</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99" s="1" t="s">
        <v>4196</v>
      </c>
      <c r="D599" s="1" t="s">
        <v>4197</v>
      </c>
      <c r="E599" s="1" t="s">
        <v>4198</v>
      </c>
      <c r="F599" s="1" t="s">
        <v>112</v>
      </c>
      <c r="G599" s="1">
        <v>1809406</v>
      </c>
    </row>
    <row r="600" spans="1:7" x14ac:dyDescent="0.35">
      <c r="A600" s="1" t="str">
        <f t="shared" si="9"/>
        <v>17</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00" s="1" t="s">
        <v>4199</v>
      </c>
      <c r="D600" s="1" t="s">
        <v>4200</v>
      </c>
      <c r="E600" s="1" t="s">
        <v>4201</v>
      </c>
      <c r="F600" s="1" t="s">
        <v>112</v>
      </c>
      <c r="G600" s="1">
        <v>1829132</v>
      </c>
    </row>
    <row r="601" spans="1:7" x14ac:dyDescent="0.35">
      <c r="A601" s="1" t="str">
        <f t="shared" si="9"/>
        <v>17</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1" s="1" t="s">
        <v>4202</v>
      </c>
      <c r="D601" s="1" t="s">
        <v>4203</v>
      </c>
      <c r="E601" s="1" t="s">
        <v>4204</v>
      </c>
      <c r="F601" s="1" t="s">
        <v>112</v>
      </c>
      <c r="G601" s="1">
        <v>1001421</v>
      </c>
    </row>
    <row r="602" spans="1:7" x14ac:dyDescent="0.35">
      <c r="A602" s="1" t="str">
        <f t="shared" si="9"/>
        <v>17</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2" s="1" t="s">
        <v>4205</v>
      </c>
      <c r="D602" s="1" t="s">
        <v>4206</v>
      </c>
      <c r="E602" s="1" t="s">
        <v>4207</v>
      </c>
      <c r="F602" s="1" t="s">
        <v>112</v>
      </c>
      <c r="G602" s="1">
        <v>520610</v>
      </c>
    </row>
    <row r="603" spans="1:7" x14ac:dyDescent="0.35">
      <c r="A603" s="1" t="str">
        <f t="shared" si="9"/>
        <v>17</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3" s="1" t="s">
        <v>4208</v>
      </c>
      <c r="D603" s="1" t="s">
        <v>4209</v>
      </c>
      <c r="E603" s="1" t="s">
        <v>4210</v>
      </c>
      <c r="F603" s="1" t="s">
        <v>112</v>
      </c>
      <c r="G603" s="1">
        <v>974600</v>
      </c>
    </row>
    <row r="604" spans="1:7" x14ac:dyDescent="0.35">
      <c r="A604" s="1" t="str">
        <f t="shared" si="9"/>
        <v>17</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04" s="1" t="s">
        <v>4211</v>
      </c>
      <c r="D604" s="1" t="s">
        <v>4212</v>
      </c>
      <c r="E604" s="1" t="s">
        <v>4213</v>
      </c>
      <c r="F604" s="1" t="s">
        <v>112</v>
      </c>
      <c r="G604" s="1">
        <v>986323</v>
      </c>
    </row>
    <row r="605" spans="1:7" x14ac:dyDescent="0.35">
      <c r="A605" s="1" t="str">
        <f t="shared" si="9"/>
        <v>17</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5" s="1" t="s">
        <v>4214</v>
      </c>
    </row>
    <row r="606" spans="1:7" x14ac:dyDescent="0.35">
      <c r="A606" s="1" t="str">
        <f t="shared" si="9"/>
        <v>17</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6" s="1" t="s">
        <v>4215</v>
      </c>
    </row>
    <row r="607" spans="1:7" x14ac:dyDescent="0.35">
      <c r="A607" s="1" t="str">
        <f t="shared" si="9"/>
        <v>17</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7" s="1" t="s">
        <v>4216</v>
      </c>
    </row>
    <row r="608" spans="1:7" x14ac:dyDescent="0.35">
      <c r="A608" s="1" t="str">
        <f t="shared" si="9"/>
        <v>17</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08" s="1" t="s">
        <v>4217</v>
      </c>
    </row>
    <row r="609" spans="1:8"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9" s="1" t="s">
        <v>112</v>
      </c>
    </row>
    <row r="610" spans="1:8"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0" s="1" t="s">
        <v>227</v>
      </c>
      <c r="D610" s="1" t="s">
        <v>112</v>
      </c>
      <c r="E610" s="1" t="s">
        <v>228</v>
      </c>
      <c r="F610" s="1" t="s">
        <v>229</v>
      </c>
      <c r="G610" s="1" t="s">
        <v>230</v>
      </c>
      <c r="H610" s="1" t="s">
        <v>231</v>
      </c>
    </row>
    <row r="611" spans="1:8" x14ac:dyDescent="0.35">
      <c r="A611" s="1" t="str">
        <f t="shared" si="9"/>
        <v>17</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1" s="1" t="s">
        <v>4218</v>
      </c>
      <c r="D611" s="1" t="s">
        <v>112</v>
      </c>
      <c r="E611" s="1" t="s">
        <v>4219</v>
      </c>
      <c r="F611" s="1" t="s">
        <v>4220</v>
      </c>
      <c r="G611" s="1" t="s">
        <v>4221</v>
      </c>
      <c r="H611" s="1" t="s">
        <v>4222</v>
      </c>
    </row>
    <row r="612" spans="1:8"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2" s="1" t="s">
        <v>112</v>
      </c>
    </row>
    <row r="613" spans="1:8"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3" s="1" t="s">
        <v>112</v>
      </c>
    </row>
    <row r="614" spans="1:8"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4" s="1" t="s">
        <v>112</v>
      </c>
    </row>
    <row r="615" spans="1:8"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5" s="1" t="s">
        <v>112</v>
      </c>
    </row>
    <row r="616" spans="1:8"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6" s="1" t="s">
        <v>112</v>
      </c>
    </row>
    <row r="617" spans="1:8"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7" s="1" t="s">
        <v>173</v>
      </c>
      <c r="D617" s="1" t="s">
        <v>110</v>
      </c>
      <c r="E617" s="1" t="s">
        <v>111</v>
      </c>
      <c r="F617" s="1" t="s">
        <v>112</v>
      </c>
      <c r="G617" s="1" t="s">
        <v>113</v>
      </c>
    </row>
    <row r="618" spans="1:8" x14ac:dyDescent="0.35">
      <c r="A618" s="1" t="str">
        <f t="shared" si="9"/>
        <v>18</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18" s="1" t="s">
        <v>4223</v>
      </c>
      <c r="D618" s="1" t="s">
        <v>4224</v>
      </c>
      <c r="E618" s="1" t="s">
        <v>4225</v>
      </c>
      <c r="F618" s="1" t="s">
        <v>112</v>
      </c>
      <c r="G618" s="1">
        <v>2352338</v>
      </c>
    </row>
    <row r="619" spans="1:8" x14ac:dyDescent="0.35">
      <c r="A619" s="1" t="str">
        <f t="shared" si="9"/>
        <v>18</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19" s="1" t="s">
        <v>4226</v>
      </c>
      <c r="D619" s="1" t="s">
        <v>4227</v>
      </c>
      <c r="E619" s="1" t="s">
        <v>4228</v>
      </c>
      <c r="F619" s="1" t="s">
        <v>112</v>
      </c>
      <c r="G619" s="1">
        <v>3253309</v>
      </c>
    </row>
    <row r="620" spans="1:8" x14ac:dyDescent="0.35">
      <c r="A620" s="1" t="str">
        <f t="shared" si="9"/>
        <v>18</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0" s="1" t="s">
        <v>4229</v>
      </c>
      <c r="D620" s="1" t="s">
        <v>2609</v>
      </c>
      <c r="E620" s="1" t="s">
        <v>4230</v>
      </c>
      <c r="F620" s="1" t="s">
        <v>112</v>
      </c>
      <c r="G620" s="1">
        <v>2551981</v>
      </c>
    </row>
    <row r="621" spans="1:8" x14ac:dyDescent="0.35">
      <c r="A621" s="1" t="str">
        <f t="shared" si="9"/>
        <v>18</v>
      </c>
      <c r="B6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1" s="1" t="s">
        <v>4231</v>
      </c>
    </row>
    <row r="622" spans="1:8" x14ac:dyDescent="0.35">
      <c r="A622" s="1" t="str">
        <f t="shared" si="9"/>
        <v>18</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22" s="1" t="s">
        <v>4232</v>
      </c>
      <c r="D622" s="1" t="s">
        <v>4233</v>
      </c>
      <c r="E622" s="1" t="s">
        <v>4234</v>
      </c>
      <c r="F622" s="1" t="s">
        <v>112</v>
      </c>
      <c r="G622" s="1">
        <v>523443</v>
      </c>
    </row>
    <row r="623" spans="1:8" x14ac:dyDescent="0.35">
      <c r="A623" s="1" t="str">
        <f t="shared" si="9"/>
        <v>18</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23" s="1" t="s">
        <v>4235</v>
      </c>
      <c r="D623" s="1" t="s">
        <v>4236</v>
      </c>
      <c r="E623" s="1" t="s">
        <v>4237</v>
      </c>
      <c r="F623" s="1" t="s">
        <v>112</v>
      </c>
      <c r="G623" s="1">
        <v>964953</v>
      </c>
    </row>
    <row r="624" spans="1:8" x14ac:dyDescent="0.35">
      <c r="A624" s="1" t="str">
        <f t="shared" si="9"/>
        <v>18</v>
      </c>
      <c r="B6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24" s="1" t="s">
        <v>4238</v>
      </c>
      <c r="D624" s="1" t="s">
        <v>4239</v>
      </c>
      <c r="E624" s="1" t="s">
        <v>4240</v>
      </c>
      <c r="F624" s="1" t="s">
        <v>112</v>
      </c>
      <c r="G624" s="1">
        <v>883841</v>
      </c>
    </row>
    <row r="625" spans="1:7" x14ac:dyDescent="0.35">
      <c r="A625" s="1" t="str">
        <f t="shared" si="9"/>
        <v>18</v>
      </c>
      <c r="B6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25" s="1" t="s">
        <v>4241</v>
      </c>
    </row>
    <row r="626" spans="1:7" x14ac:dyDescent="0.35">
      <c r="A626" s="1" t="str">
        <f t="shared" si="9"/>
        <v>18</v>
      </c>
      <c r="B6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26" s="1" t="s">
        <v>4242</v>
      </c>
      <c r="D626" s="1" t="s">
        <v>4243</v>
      </c>
      <c r="E626" s="1" t="s">
        <v>4244</v>
      </c>
      <c r="F626" s="1" t="s">
        <v>112</v>
      </c>
      <c r="G626" s="1">
        <v>2960246</v>
      </c>
    </row>
    <row r="627" spans="1:7" x14ac:dyDescent="0.35">
      <c r="A627" s="1" t="str">
        <f t="shared" si="9"/>
        <v>18</v>
      </c>
      <c r="B6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27" s="1" t="s">
        <v>4245</v>
      </c>
      <c r="D627" s="1" t="s">
        <v>4246</v>
      </c>
      <c r="E627" s="1" t="s">
        <v>4247</v>
      </c>
      <c r="F627" s="1" t="s">
        <v>112</v>
      </c>
      <c r="G627" s="1">
        <v>3558658</v>
      </c>
    </row>
    <row r="628" spans="1:7" x14ac:dyDescent="0.35">
      <c r="A628" s="1" t="str">
        <f t="shared" si="9"/>
        <v>18</v>
      </c>
      <c r="B6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28" s="1" t="s">
        <v>4248</v>
      </c>
      <c r="D628" s="1" t="s">
        <v>4249</v>
      </c>
      <c r="E628" s="1" t="s">
        <v>4250</v>
      </c>
      <c r="F628" s="1" t="s">
        <v>112</v>
      </c>
      <c r="G628" s="1">
        <v>3361026</v>
      </c>
    </row>
    <row r="629" spans="1:7" x14ac:dyDescent="0.35">
      <c r="A629" s="1" t="str">
        <f t="shared" si="9"/>
        <v>18</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29" s="1" t="s">
        <v>4251</v>
      </c>
      <c r="D629" s="1" t="s">
        <v>4252</v>
      </c>
      <c r="E629" s="1" t="s">
        <v>4253</v>
      </c>
      <c r="F629" s="1" t="s">
        <v>112</v>
      </c>
      <c r="G629" s="1">
        <v>3334529</v>
      </c>
    </row>
    <row r="630" spans="1:7" x14ac:dyDescent="0.35">
      <c r="A630" s="1" t="str">
        <f t="shared" si="9"/>
        <v>18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0" s="1" t="s">
        <v>4254</v>
      </c>
      <c r="D630" s="1" t="s">
        <v>3854</v>
      </c>
      <c r="E630" s="1" t="s">
        <v>4255</v>
      </c>
      <c r="F630" s="1" t="s">
        <v>112</v>
      </c>
      <c r="G630" s="1">
        <v>3370954</v>
      </c>
    </row>
    <row r="631" spans="1:7" x14ac:dyDescent="0.35">
      <c r="A631" s="1" t="str">
        <f t="shared" si="9"/>
        <v>18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1" s="1" t="s">
        <v>4256</v>
      </c>
      <c r="D631" s="1" t="s">
        <v>4257</v>
      </c>
      <c r="E631" s="1" t="s">
        <v>4258</v>
      </c>
      <c r="F631" s="1" t="s">
        <v>112</v>
      </c>
      <c r="G631" s="1">
        <v>2821836</v>
      </c>
    </row>
    <row r="632" spans="1:7" x14ac:dyDescent="0.35">
      <c r="A632" s="1" t="str">
        <f t="shared" si="9"/>
        <v>18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2" s="1" t="s">
        <v>4259</v>
      </c>
      <c r="D632" s="1" t="s">
        <v>4260</v>
      </c>
      <c r="E632" s="1" t="s">
        <v>4261</v>
      </c>
      <c r="F632" s="1" t="s">
        <v>112</v>
      </c>
      <c r="G632" s="1">
        <v>2727616</v>
      </c>
    </row>
    <row r="633" spans="1:7" x14ac:dyDescent="0.35">
      <c r="A633" s="1" t="str">
        <f t="shared" si="9"/>
        <v>18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3" s="1" t="s">
        <v>4262</v>
      </c>
      <c r="D633" s="1" t="s">
        <v>4263</v>
      </c>
      <c r="E633" s="1" t="s">
        <v>4264</v>
      </c>
      <c r="F633" s="1" t="s">
        <v>112</v>
      </c>
      <c r="G633" s="1">
        <v>2638047</v>
      </c>
    </row>
    <row r="634" spans="1:7" x14ac:dyDescent="0.35">
      <c r="A634" s="1" t="str">
        <f t="shared" si="9"/>
        <v>18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34" s="1" t="s">
        <v>4265</v>
      </c>
      <c r="D634" s="1" t="s">
        <v>4266</v>
      </c>
      <c r="E634" s="1" t="s">
        <v>4267</v>
      </c>
      <c r="F634" s="1" t="s">
        <v>112</v>
      </c>
      <c r="G634" s="1">
        <v>1994622</v>
      </c>
    </row>
    <row r="635" spans="1:7" x14ac:dyDescent="0.35">
      <c r="A635" s="1" t="str">
        <f t="shared" si="9"/>
        <v>18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35" s="1" t="s">
        <v>4268</v>
      </c>
      <c r="D635" s="1" t="s">
        <v>4266</v>
      </c>
      <c r="E635" s="1" t="s">
        <v>4269</v>
      </c>
      <c r="F635" s="1" t="s">
        <v>112</v>
      </c>
      <c r="G635" s="1">
        <v>1989366</v>
      </c>
    </row>
    <row r="636" spans="1:7" x14ac:dyDescent="0.35">
      <c r="A636" s="1" t="str">
        <f t="shared" si="9"/>
        <v>18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36" s="1" t="s">
        <v>4270</v>
      </c>
      <c r="D636" s="1" t="s">
        <v>4271</v>
      </c>
      <c r="E636" s="1" t="s">
        <v>4272</v>
      </c>
      <c r="F636" s="1" t="s">
        <v>112</v>
      </c>
      <c r="G636" s="1">
        <v>1933345</v>
      </c>
    </row>
    <row r="637" spans="1:7" x14ac:dyDescent="0.35">
      <c r="A637" s="1" t="str">
        <f t="shared" si="9"/>
        <v>18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37" s="1" t="s">
        <v>4273</v>
      </c>
      <c r="D637" s="1" t="s">
        <v>345</v>
      </c>
      <c r="E637" s="1" t="s">
        <v>4274</v>
      </c>
      <c r="F637" s="1" t="s">
        <v>112</v>
      </c>
      <c r="G637" s="1">
        <v>2174388</v>
      </c>
    </row>
    <row r="638" spans="1:7" x14ac:dyDescent="0.35">
      <c r="A638" s="1" t="str">
        <f t="shared" si="9"/>
        <v>18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38" s="1" t="s">
        <v>4275</v>
      </c>
    </row>
    <row r="639" spans="1:7" x14ac:dyDescent="0.35">
      <c r="A639" s="1" t="str">
        <f t="shared" si="9"/>
        <v>18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39" s="1" t="s">
        <v>4276</v>
      </c>
      <c r="D639" s="1" t="s">
        <v>4277</v>
      </c>
      <c r="E639" s="1" t="s">
        <v>4278</v>
      </c>
      <c r="F639" s="1" t="s">
        <v>112</v>
      </c>
      <c r="G639" s="1">
        <v>1739930</v>
      </c>
    </row>
    <row r="640" spans="1:7" x14ac:dyDescent="0.35">
      <c r="A640" s="1" t="str">
        <f t="shared" si="9"/>
        <v>18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0" s="1" t="s">
        <v>4279</v>
      </c>
    </row>
    <row r="641" spans="1:8" x14ac:dyDescent="0.35">
      <c r="A641" s="1" t="str">
        <f t="shared" si="9"/>
        <v>18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1" s="1" t="s">
        <v>4280</v>
      </c>
      <c r="D641" s="1" t="s">
        <v>4281</v>
      </c>
      <c r="E641" s="1" t="s">
        <v>4282</v>
      </c>
      <c r="F641" s="1" t="s">
        <v>112</v>
      </c>
      <c r="G641" s="1">
        <v>1234396</v>
      </c>
    </row>
    <row r="642" spans="1:8" x14ac:dyDescent="0.35">
      <c r="A642" s="1" t="str">
        <f t="shared" ref="A642:A705" si="10">IFERROR(LEFT(RIGHT(C642,LEN(C642)-SEARCH("@",C642)),SEARCH("/",RIGHT(C642,LEN(C642)-SEARCH("@",C642)-1))),"")</f>
        <v>18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2" s="1" t="s">
        <v>4283</v>
      </c>
      <c r="D642" s="1" t="s">
        <v>2688</v>
      </c>
      <c r="E642" s="1" t="s">
        <v>4284</v>
      </c>
      <c r="F642" s="1" t="s">
        <v>112</v>
      </c>
      <c r="G642" s="1">
        <v>1847690</v>
      </c>
    </row>
    <row r="643" spans="1:8" x14ac:dyDescent="0.35">
      <c r="A643" s="1" t="str">
        <f t="shared" si="10"/>
        <v>18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3" s="1" t="s">
        <v>4285</v>
      </c>
      <c r="D643" s="1" t="s">
        <v>1493</v>
      </c>
      <c r="E643" s="1" t="s">
        <v>4286</v>
      </c>
      <c r="F643" s="1" t="s">
        <v>112</v>
      </c>
      <c r="G643" s="1">
        <v>2621002</v>
      </c>
    </row>
    <row r="644" spans="1:8" x14ac:dyDescent="0.35">
      <c r="A644" s="1" t="str">
        <f t="shared" si="10"/>
        <v>18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4" s="1" t="s">
        <v>4287</v>
      </c>
    </row>
    <row r="645" spans="1:8" x14ac:dyDescent="0.35">
      <c r="A645" s="1" t="str">
        <f t="shared" si="10"/>
        <v>18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5" s="1" t="s">
        <v>4288</v>
      </c>
    </row>
    <row r="646" spans="1:8" x14ac:dyDescent="0.35">
      <c r="A646" s="1" t="str">
        <f t="shared" si="10"/>
        <v>18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46" s="1" t="s">
        <v>4289</v>
      </c>
      <c r="D646" s="1" t="s">
        <v>4290</v>
      </c>
      <c r="E646" s="1" t="s">
        <v>4291</v>
      </c>
      <c r="F646" s="1" t="s">
        <v>112</v>
      </c>
      <c r="G646" s="1">
        <v>2438792</v>
      </c>
    </row>
    <row r="647" spans="1:8" x14ac:dyDescent="0.35">
      <c r="A647" s="1" t="str">
        <f t="shared" si="10"/>
        <v>18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47" s="1" t="s">
        <v>4292</v>
      </c>
      <c r="D647" s="1" t="s">
        <v>4293</v>
      </c>
      <c r="E647" s="1" t="s">
        <v>4294</v>
      </c>
      <c r="F647" s="1" t="s">
        <v>112</v>
      </c>
      <c r="G647" s="1">
        <v>2208650</v>
      </c>
    </row>
    <row r="648" spans="1:8" x14ac:dyDescent="0.35">
      <c r="A648" s="1" t="str">
        <f t="shared" si="10"/>
        <v>18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48" s="1" t="s">
        <v>4295</v>
      </c>
      <c r="D648" s="1" t="s">
        <v>4296</v>
      </c>
      <c r="E648" s="1" t="s">
        <v>4297</v>
      </c>
      <c r="F648" s="1" t="s">
        <v>112</v>
      </c>
      <c r="G648" s="1">
        <v>2357421</v>
      </c>
    </row>
    <row r="649" spans="1:8" x14ac:dyDescent="0.35">
      <c r="A649" s="1" t="str">
        <f t="shared" si="10"/>
        <v>18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49" s="1" t="s">
        <v>4298</v>
      </c>
      <c r="D649" s="1" t="s">
        <v>4299</v>
      </c>
      <c r="E649" s="1" t="s">
        <v>4300</v>
      </c>
      <c r="F649" s="1" t="s">
        <v>112</v>
      </c>
      <c r="G649" s="1">
        <v>2403838</v>
      </c>
    </row>
    <row r="650" spans="1:8"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0" s="1" t="s">
        <v>112</v>
      </c>
    </row>
    <row r="651" spans="1:8"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1" s="1" t="s">
        <v>227</v>
      </c>
      <c r="D651" s="1" t="s">
        <v>112</v>
      </c>
      <c r="E651" s="1" t="s">
        <v>228</v>
      </c>
      <c r="F651" s="1" t="s">
        <v>229</v>
      </c>
      <c r="G651" s="1" t="s">
        <v>230</v>
      </c>
      <c r="H651" s="1" t="s">
        <v>231</v>
      </c>
    </row>
    <row r="652" spans="1:8" x14ac:dyDescent="0.35">
      <c r="A652" s="1" t="str">
        <f t="shared" si="10"/>
        <v>18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2" s="1" t="s">
        <v>4301</v>
      </c>
      <c r="D652" s="1" t="s">
        <v>112</v>
      </c>
      <c r="E652" s="1" t="s">
        <v>4302</v>
      </c>
      <c r="F652" s="1" t="s">
        <v>4303</v>
      </c>
      <c r="G652" s="1" t="s">
        <v>4304</v>
      </c>
      <c r="H652" s="1" t="s">
        <v>4305</v>
      </c>
    </row>
    <row r="653" spans="1:8"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112</v>
      </c>
    </row>
    <row r="656" spans="1:8"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173</v>
      </c>
      <c r="D658" s="1" t="s">
        <v>110</v>
      </c>
      <c r="E658" s="1" t="s">
        <v>111</v>
      </c>
      <c r="F658" s="1" t="s">
        <v>112</v>
      </c>
      <c r="G658" s="1" t="s">
        <v>113</v>
      </c>
    </row>
    <row r="659" spans="1:7" x14ac:dyDescent="0.35">
      <c r="A659" s="1" t="str">
        <f t="shared" si="10"/>
        <v>19</v>
      </c>
      <c r="B6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59" s="1" t="s">
        <v>4306</v>
      </c>
      <c r="D659" s="1" t="s">
        <v>4307</v>
      </c>
      <c r="E659" s="1" t="s">
        <v>4308</v>
      </c>
      <c r="F659" s="1" t="s">
        <v>112</v>
      </c>
      <c r="G659" s="1">
        <v>1937866</v>
      </c>
    </row>
    <row r="660" spans="1:7" x14ac:dyDescent="0.35">
      <c r="A660" s="1" t="str">
        <f t="shared" si="10"/>
        <v>19</v>
      </c>
      <c r="B6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0" s="1" t="s">
        <v>4309</v>
      </c>
      <c r="D660" s="1" t="s">
        <v>4310</v>
      </c>
      <c r="E660" s="1" t="s">
        <v>4311</v>
      </c>
      <c r="F660" s="1" t="s">
        <v>112</v>
      </c>
      <c r="G660" s="1">
        <v>1763593</v>
      </c>
    </row>
    <row r="661" spans="1:7" x14ac:dyDescent="0.35">
      <c r="A661" s="1" t="str">
        <f t="shared" si="10"/>
        <v>19</v>
      </c>
      <c r="B6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1" s="1" t="s">
        <v>4312</v>
      </c>
    </row>
    <row r="662" spans="1:7" x14ac:dyDescent="0.35">
      <c r="A662" s="1" t="str">
        <f t="shared" si="10"/>
        <v>19</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4313</v>
      </c>
      <c r="D662" s="1" t="s">
        <v>4314</v>
      </c>
      <c r="E662" s="1" t="s">
        <v>4315</v>
      </c>
      <c r="F662" s="1" t="s">
        <v>112</v>
      </c>
      <c r="G662" s="1">
        <v>2587130</v>
      </c>
    </row>
    <row r="663" spans="1:7" x14ac:dyDescent="0.35">
      <c r="A663" s="1" t="str">
        <f t="shared" si="10"/>
        <v>19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3" s="1" t="s">
        <v>4316</v>
      </c>
      <c r="D663" s="1" t="s">
        <v>4317</v>
      </c>
      <c r="E663" s="1" t="s">
        <v>4318</v>
      </c>
      <c r="F663" s="1" t="s">
        <v>112</v>
      </c>
      <c r="G663" s="1">
        <v>1665242</v>
      </c>
    </row>
    <row r="664" spans="1:7" x14ac:dyDescent="0.35">
      <c r="A664" s="1" t="str">
        <f t="shared" si="10"/>
        <v>19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4" s="1" t="s">
        <v>4319</v>
      </c>
      <c r="D664" s="1" t="s">
        <v>4197</v>
      </c>
      <c r="E664" s="1" t="s">
        <v>4320</v>
      </c>
      <c r="F664" s="1" t="s">
        <v>112</v>
      </c>
      <c r="G664" s="1">
        <v>1638984</v>
      </c>
    </row>
    <row r="665" spans="1:7" x14ac:dyDescent="0.35">
      <c r="A665" s="1" t="str">
        <f t="shared" si="10"/>
        <v>19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4321</v>
      </c>
      <c r="D665" s="1" t="s">
        <v>4322</v>
      </c>
      <c r="E665" s="1" t="s">
        <v>4323</v>
      </c>
      <c r="F665" s="1" t="s">
        <v>112</v>
      </c>
      <c r="G665" s="1">
        <v>1437566</v>
      </c>
    </row>
    <row r="666" spans="1:7" x14ac:dyDescent="0.35">
      <c r="A666" s="1" t="str">
        <f t="shared" si="10"/>
        <v>19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4324</v>
      </c>
      <c r="D666" s="1" t="s">
        <v>4325</v>
      </c>
      <c r="E666" s="1" t="s">
        <v>4326</v>
      </c>
      <c r="F666" s="1" t="s">
        <v>112</v>
      </c>
      <c r="G666" s="1">
        <v>1398329</v>
      </c>
    </row>
    <row r="667" spans="1:7" x14ac:dyDescent="0.35">
      <c r="A667" s="1" t="str">
        <f t="shared" si="10"/>
        <v>19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7" s="1" t="s">
        <v>4327</v>
      </c>
      <c r="D667" s="1" t="s">
        <v>1333</v>
      </c>
      <c r="E667" s="1" t="s">
        <v>4328</v>
      </c>
      <c r="F667" s="1" t="s">
        <v>112</v>
      </c>
      <c r="G667" s="1">
        <v>1902176</v>
      </c>
    </row>
    <row r="668" spans="1:7" x14ac:dyDescent="0.35">
      <c r="A668" s="1" t="str">
        <f t="shared" si="10"/>
        <v>19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4329</v>
      </c>
      <c r="D668" s="1" t="s">
        <v>1230</v>
      </c>
      <c r="E668" s="1" t="s">
        <v>4330</v>
      </c>
      <c r="F668" s="1" t="s">
        <v>112</v>
      </c>
      <c r="G668" s="1">
        <v>1737032</v>
      </c>
    </row>
    <row r="669" spans="1:7" x14ac:dyDescent="0.35">
      <c r="A669" s="1" t="str">
        <f t="shared" si="10"/>
        <v>19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4331</v>
      </c>
      <c r="D669" s="1" t="s">
        <v>4332</v>
      </c>
      <c r="E669" s="1" t="s">
        <v>4333</v>
      </c>
      <c r="F669" s="1" t="s">
        <v>112</v>
      </c>
      <c r="G669" s="1">
        <v>1486125</v>
      </c>
    </row>
    <row r="670" spans="1:7" x14ac:dyDescent="0.35">
      <c r="A670" s="1" t="str">
        <f t="shared" si="10"/>
        <v>19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4334</v>
      </c>
      <c r="D670" s="1" t="s">
        <v>4335</v>
      </c>
      <c r="E670" s="1" t="s">
        <v>4336</v>
      </c>
      <c r="F670" s="1" t="s">
        <v>112</v>
      </c>
      <c r="G670" s="1">
        <v>1804409</v>
      </c>
    </row>
    <row r="671" spans="1:7" x14ac:dyDescent="0.35">
      <c r="A671" s="1" t="str">
        <f t="shared" si="10"/>
        <v>19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4337</v>
      </c>
      <c r="D671" s="1" t="s">
        <v>4338</v>
      </c>
      <c r="E671" s="1" t="s">
        <v>4339</v>
      </c>
      <c r="F671" s="1" t="s">
        <v>112</v>
      </c>
      <c r="G671" s="1">
        <v>1388682</v>
      </c>
    </row>
    <row r="672" spans="1:7" x14ac:dyDescent="0.35">
      <c r="A672" s="1" t="str">
        <f t="shared" si="10"/>
        <v>19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4340</v>
      </c>
      <c r="D672" s="1" t="s">
        <v>4341</v>
      </c>
      <c r="E672" s="1" t="s">
        <v>4342</v>
      </c>
      <c r="F672" s="1" t="s">
        <v>112</v>
      </c>
      <c r="G672" s="1">
        <v>1179024</v>
      </c>
    </row>
    <row r="673" spans="1:7" x14ac:dyDescent="0.35">
      <c r="A673" s="1" t="str">
        <f t="shared" si="10"/>
        <v>19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4343</v>
      </c>
      <c r="D673" s="1" t="s">
        <v>4344</v>
      </c>
      <c r="E673" s="1" t="s">
        <v>4345</v>
      </c>
      <c r="F673" s="1" t="s">
        <v>112</v>
      </c>
      <c r="G673" s="1">
        <v>1803976</v>
      </c>
    </row>
    <row r="674" spans="1:7" x14ac:dyDescent="0.35">
      <c r="A674" s="1" t="str">
        <f t="shared" si="10"/>
        <v>19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4346</v>
      </c>
      <c r="D674" s="1" t="s">
        <v>1845</v>
      </c>
      <c r="E674" s="1" t="s">
        <v>4347</v>
      </c>
      <c r="F674" s="1" t="s">
        <v>112</v>
      </c>
      <c r="G674" s="1">
        <v>1583265</v>
      </c>
    </row>
    <row r="675" spans="1:7" x14ac:dyDescent="0.35">
      <c r="A675" s="1" t="str">
        <f t="shared" si="10"/>
        <v>19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4348</v>
      </c>
      <c r="D675" s="1" t="s">
        <v>572</v>
      </c>
      <c r="E675" s="1" t="s">
        <v>4349</v>
      </c>
      <c r="F675" s="1" t="s">
        <v>112</v>
      </c>
      <c r="G675" s="1">
        <v>119073</v>
      </c>
    </row>
    <row r="676" spans="1:7" x14ac:dyDescent="0.35">
      <c r="A676" s="1" t="str">
        <f t="shared" si="10"/>
        <v>19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4350</v>
      </c>
      <c r="D676" s="1" t="s">
        <v>1064</v>
      </c>
      <c r="E676" s="1" t="s">
        <v>4351</v>
      </c>
      <c r="F676" s="1" t="s">
        <v>112</v>
      </c>
      <c r="G676" s="1">
        <v>144293</v>
      </c>
    </row>
    <row r="677" spans="1:7" x14ac:dyDescent="0.35">
      <c r="A677" s="1" t="str">
        <f t="shared" si="10"/>
        <v>19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4352</v>
      </c>
      <c r="D677" s="1" t="s">
        <v>3916</v>
      </c>
      <c r="E677" s="1" t="s">
        <v>4353</v>
      </c>
      <c r="F677" s="1" t="s">
        <v>112</v>
      </c>
      <c r="G677" s="1">
        <v>85114</v>
      </c>
    </row>
    <row r="678" spans="1:7" x14ac:dyDescent="0.35">
      <c r="A678" s="1" t="str">
        <f t="shared" si="10"/>
        <v>19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8" s="1" t="s">
        <v>4354</v>
      </c>
      <c r="D678" s="1" t="s">
        <v>1075</v>
      </c>
      <c r="E678" s="1" t="s">
        <v>4355</v>
      </c>
      <c r="F678" s="1" t="s">
        <v>112</v>
      </c>
      <c r="G678" s="1">
        <v>190711</v>
      </c>
    </row>
    <row r="679" spans="1:7" x14ac:dyDescent="0.35">
      <c r="A679" s="1" t="str">
        <f t="shared" si="10"/>
        <v>19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4356</v>
      </c>
      <c r="D679" s="1" t="s">
        <v>2430</v>
      </c>
      <c r="E679" s="1" t="s">
        <v>4357</v>
      </c>
      <c r="F679" s="1" t="s">
        <v>112</v>
      </c>
      <c r="G679" s="1">
        <v>362106</v>
      </c>
    </row>
    <row r="680" spans="1:7" x14ac:dyDescent="0.35">
      <c r="A680" s="1" t="str">
        <f t="shared" si="10"/>
        <v>19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4358</v>
      </c>
      <c r="D680" s="1" t="s">
        <v>149</v>
      </c>
      <c r="E680" s="1" t="s">
        <v>4359</v>
      </c>
      <c r="F680" s="1" t="s">
        <v>112</v>
      </c>
      <c r="G680" s="1">
        <v>173537</v>
      </c>
    </row>
    <row r="681" spans="1:7" x14ac:dyDescent="0.35">
      <c r="A681" s="1" t="str">
        <f t="shared" si="10"/>
        <v>19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1" s="1" t="s">
        <v>4360</v>
      </c>
      <c r="D681" s="1" t="s">
        <v>4361</v>
      </c>
      <c r="E681" s="1" t="s">
        <v>4362</v>
      </c>
      <c r="F681" s="1" t="s">
        <v>112</v>
      </c>
      <c r="G681" s="1">
        <v>189240</v>
      </c>
    </row>
    <row r="682" spans="1:7" x14ac:dyDescent="0.35">
      <c r="A682" s="1" t="str">
        <f t="shared" si="10"/>
        <v>19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2" s="1" t="s">
        <v>4363</v>
      </c>
      <c r="D682" s="1" t="s">
        <v>4364</v>
      </c>
      <c r="E682" s="1" t="s">
        <v>4365</v>
      </c>
      <c r="F682" s="1" t="s">
        <v>112</v>
      </c>
      <c r="G682" s="1">
        <v>284887</v>
      </c>
    </row>
    <row r="683" spans="1:7" x14ac:dyDescent="0.35">
      <c r="A683" s="1" t="str">
        <f t="shared" si="10"/>
        <v>19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4366</v>
      </c>
      <c r="D683" s="1" t="s">
        <v>247</v>
      </c>
      <c r="E683" s="1" t="s">
        <v>4367</v>
      </c>
      <c r="F683" s="1" t="s">
        <v>112</v>
      </c>
      <c r="G683" s="1">
        <v>1689987</v>
      </c>
    </row>
    <row r="684" spans="1:7" x14ac:dyDescent="0.35">
      <c r="A684" s="1" t="str">
        <f t="shared" si="10"/>
        <v>19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4" s="1" t="s">
        <v>4368</v>
      </c>
      <c r="D684" s="1" t="s">
        <v>3102</v>
      </c>
      <c r="E684" s="1" t="s">
        <v>4369</v>
      </c>
      <c r="F684" s="1" t="s">
        <v>112</v>
      </c>
      <c r="G684" s="1">
        <v>2058322</v>
      </c>
    </row>
    <row r="685" spans="1:7" x14ac:dyDescent="0.35">
      <c r="A685" s="1" t="str">
        <f t="shared" si="10"/>
        <v>19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5" s="1" t="s">
        <v>4370</v>
      </c>
      <c r="D685" s="1" t="s">
        <v>2561</v>
      </c>
      <c r="E685" s="1" t="s">
        <v>4371</v>
      </c>
      <c r="F685" s="1" t="s">
        <v>112</v>
      </c>
      <c r="G685" s="1">
        <v>1505116</v>
      </c>
    </row>
    <row r="686" spans="1:7" x14ac:dyDescent="0.35">
      <c r="A686" s="1" t="str">
        <f t="shared" si="10"/>
        <v>19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6" s="1" t="s">
        <v>4372</v>
      </c>
      <c r="D686" s="1" t="s">
        <v>4373</v>
      </c>
      <c r="E686" s="1" t="s">
        <v>4374</v>
      </c>
      <c r="F686" s="1" t="s">
        <v>112</v>
      </c>
      <c r="G686" s="1">
        <v>1832896</v>
      </c>
    </row>
    <row r="687" spans="1:7" x14ac:dyDescent="0.35">
      <c r="A687" s="1" t="str">
        <f t="shared" si="10"/>
        <v>19</v>
      </c>
      <c r="B6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7" s="1" t="s">
        <v>4375</v>
      </c>
      <c r="D687" s="1" t="s">
        <v>4376</v>
      </c>
      <c r="E687" s="1" t="s">
        <v>4377</v>
      </c>
      <c r="F687" s="1" t="s">
        <v>112</v>
      </c>
      <c r="G687" s="1">
        <v>3046441</v>
      </c>
    </row>
    <row r="688" spans="1:7" x14ac:dyDescent="0.35">
      <c r="A688" s="1" t="str">
        <f t="shared" si="10"/>
        <v>19</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8" s="1" t="s">
        <v>4378</v>
      </c>
      <c r="D688" s="1" t="s">
        <v>4379</v>
      </c>
      <c r="E688" s="1" t="s">
        <v>4380</v>
      </c>
      <c r="F688" s="1" t="s">
        <v>112</v>
      </c>
      <c r="G688" s="1">
        <v>2493667</v>
      </c>
    </row>
    <row r="689" spans="1:8" x14ac:dyDescent="0.35">
      <c r="A689" s="1" t="str">
        <f t="shared" si="10"/>
        <v>19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9" s="1" t="s">
        <v>4381</v>
      </c>
      <c r="D689" s="1" t="s">
        <v>4382</v>
      </c>
      <c r="E689" s="1" t="s">
        <v>4383</v>
      </c>
      <c r="F689" s="1" t="s">
        <v>112</v>
      </c>
      <c r="G689" s="1">
        <v>2716931</v>
      </c>
    </row>
    <row r="690" spans="1:8" x14ac:dyDescent="0.35">
      <c r="A690" s="1" t="str">
        <f t="shared" si="10"/>
        <v>19</v>
      </c>
      <c r="B6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90" s="1" t="s">
        <v>4384</v>
      </c>
      <c r="D690" s="1" t="s">
        <v>4385</v>
      </c>
      <c r="E690" s="1" t="s">
        <v>4386</v>
      </c>
      <c r="F690" s="1" t="s">
        <v>112</v>
      </c>
      <c r="G690" s="1">
        <v>2580966</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227</v>
      </c>
      <c r="D692" s="1" t="s">
        <v>112</v>
      </c>
      <c r="E692" s="1" t="s">
        <v>228</v>
      </c>
      <c r="F692" s="1" t="s">
        <v>229</v>
      </c>
      <c r="G692" s="1" t="s">
        <v>230</v>
      </c>
      <c r="H692" s="1" t="s">
        <v>231</v>
      </c>
    </row>
    <row r="693" spans="1:8" x14ac:dyDescent="0.35">
      <c r="A693" s="1" t="str">
        <f t="shared" si="10"/>
        <v>19</v>
      </c>
      <c r="B6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93" s="1" t="s">
        <v>4387</v>
      </c>
      <c r="D693" s="1" t="s">
        <v>112</v>
      </c>
      <c r="E693" s="1" t="s">
        <v>4388</v>
      </c>
      <c r="F693" s="1" t="s">
        <v>4389</v>
      </c>
      <c r="G693" s="1" t="s">
        <v>4390</v>
      </c>
      <c r="H693" s="1" t="s">
        <v>4391</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 t="s">
        <v>112</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5" s="1" t="s">
        <v>112</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6" s="1" t="s">
        <v>112</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7" s="1" t="s">
        <v>112</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8" s="1" t="s">
        <v>112</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9" s="1" t="s">
        <v>173</v>
      </c>
      <c r="D699" s="1" t="s">
        <v>110</v>
      </c>
      <c r="E699" s="1" t="s">
        <v>111</v>
      </c>
      <c r="F699" s="1" t="s">
        <v>112</v>
      </c>
      <c r="G699" s="1" t="s">
        <v>113</v>
      </c>
    </row>
    <row r="700" spans="1:8" x14ac:dyDescent="0.35">
      <c r="A700" s="1" t="str">
        <f t="shared" si="10"/>
        <v>20</v>
      </c>
      <c r="B7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0" s="1" t="s">
        <v>4392</v>
      </c>
      <c r="D700" s="1" t="s">
        <v>4393</v>
      </c>
      <c r="E700" s="1" t="s">
        <v>4394</v>
      </c>
      <c r="F700" s="1" t="s">
        <v>112</v>
      </c>
      <c r="G700" s="1">
        <v>1668271</v>
      </c>
    </row>
    <row r="701" spans="1:8" x14ac:dyDescent="0.35">
      <c r="A701" s="1" t="str">
        <f t="shared" si="10"/>
        <v>20</v>
      </c>
      <c r="B7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1" s="1" t="s">
        <v>4395</v>
      </c>
      <c r="D701" s="1" t="s">
        <v>4396</v>
      </c>
      <c r="E701" s="1" t="s">
        <v>4397</v>
      </c>
      <c r="F701" s="1" t="s">
        <v>112</v>
      </c>
      <c r="G701" s="1">
        <v>1779210</v>
      </c>
    </row>
    <row r="702" spans="1:8" x14ac:dyDescent="0.35">
      <c r="A702" s="1" t="str">
        <f t="shared" si="10"/>
        <v>20</v>
      </c>
      <c r="B7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2" s="1" t="s">
        <v>4398</v>
      </c>
      <c r="D702" s="1" t="s">
        <v>4399</v>
      </c>
      <c r="E702" s="1" t="s">
        <v>4400</v>
      </c>
      <c r="F702" s="1" t="s">
        <v>112</v>
      </c>
      <c r="G702" s="1">
        <v>2060529</v>
      </c>
    </row>
    <row r="703" spans="1:8" x14ac:dyDescent="0.35">
      <c r="A703" s="1" t="str">
        <f t="shared" si="10"/>
        <v>20</v>
      </c>
      <c r="B7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3" s="1" t="s">
        <v>4401</v>
      </c>
      <c r="D703" s="1" t="s">
        <v>4402</v>
      </c>
      <c r="E703" s="1" t="s">
        <v>4403</v>
      </c>
      <c r="F703" s="1" t="s">
        <v>112</v>
      </c>
      <c r="G703" s="1">
        <v>2286020</v>
      </c>
    </row>
    <row r="704" spans="1:8" x14ac:dyDescent="0.35">
      <c r="A704" s="1" t="str">
        <f t="shared" si="10"/>
        <v>20</v>
      </c>
      <c r="B7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04" s="1" t="s">
        <v>4404</v>
      </c>
      <c r="D704" s="1" t="s">
        <v>4405</v>
      </c>
      <c r="E704" s="1" t="s">
        <v>4406</v>
      </c>
      <c r="F704" s="1" t="s">
        <v>112</v>
      </c>
      <c r="G704" s="1">
        <v>927555</v>
      </c>
    </row>
    <row r="705" spans="1:7" x14ac:dyDescent="0.35">
      <c r="A705" s="1" t="str">
        <f t="shared" si="10"/>
        <v>20</v>
      </c>
      <c r="B7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05" s="1" t="s">
        <v>4407</v>
      </c>
      <c r="D705" s="1" t="s">
        <v>4408</v>
      </c>
      <c r="E705" s="1" t="s">
        <v>4409</v>
      </c>
      <c r="F705" s="1" t="s">
        <v>112</v>
      </c>
      <c r="G705" s="1">
        <v>749952</v>
      </c>
    </row>
    <row r="706" spans="1:7" x14ac:dyDescent="0.35">
      <c r="A706" s="1" t="str">
        <f t="shared" ref="A706:A769" si="11">IFERROR(LEFT(RIGHT(C706,LEN(C706)-SEARCH("@",C706)),SEARCH("/",RIGHT(C706,LEN(C706)-SEARCH("@",C706)-1))),"")</f>
        <v>20</v>
      </c>
      <c r="B7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06" s="1" t="s">
        <v>4410</v>
      </c>
      <c r="D706" s="1" t="s">
        <v>4411</v>
      </c>
      <c r="E706" s="1" t="s">
        <v>4412</v>
      </c>
      <c r="F706" s="1" t="s">
        <v>112</v>
      </c>
      <c r="G706" s="1">
        <v>1180192</v>
      </c>
    </row>
    <row r="707" spans="1:7" x14ac:dyDescent="0.35">
      <c r="A707" s="1" t="str">
        <f t="shared" si="11"/>
        <v>20</v>
      </c>
      <c r="B7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07" s="1" t="s">
        <v>4413</v>
      </c>
      <c r="D707" s="1" t="s">
        <v>4414</v>
      </c>
      <c r="E707" s="1" t="s">
        <v>4415</v>
      </c>
      <c r="F707" s="1" t="s">
        <v>112</v>
      </c>
      <c r="G707" s="1">
        <v>842787</v>
      </c>
    </row>
    <row r="708" spans="1:7" x14ac:dyDescent="0.35">
      <c r="A708" s="1" t="str">
        <f t="shared" si="11"/>
        <v>20</v>
      </c>
      <c r="B7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08" s="1" t="s">
        <v>4416</v>
      </c>
      <c r="D708" s="1" t="s">
        <v>4417</v>
      </c>
      <c r="E708" s="1" t="s">
        <v>4418</v>
      </c>
      <c r="F708" s="1" t="s">
        <v>112</v>
      </c>
      <c r="G708" s="1">
        <v>2052439</v>
      </c>
    </row>
    <row r="709" spans="1:7" x14ac:dyDescent="0.35">
      <c r="A709" s="1" t="str">
        <f t="shared" si="11"/>
        <v>20</v>
      </c>
      <c r="B7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09" s="1" t="s">
        <v>4419</v>
      </c>
      <c r="D709" s="1" t="s">
        <v>1376</v>
      </c>
      <c r="E709" s="1" t="s">
        <v>4420</v>
      </c>
      <c r="F709" s="1" t="s">
        <v>112</v>
      </c>
      <c r="G709" s="1">
        <v>1851735</v>
      </c>
    </row>
    <row r="710" spans="1:7" x14ac:dyDescent="0.35">
      <c r="A710" s="1" t="str">
        <f t="shared" si="11"/>
        <v>20</v>
      </c>
      <c r="B7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10" s="1" t="s">
        <v>4421</v>
      </c>
      <c r="D710" s="1" t="s">
        <v>1487</v>
      </c>
      <c r="E710" s="1" t="s">
        <v>4422</v>
      </c>
      <c r="F710" s="1" t="s">
        <v>112</v>
      </c>
      <c r="G710" s="1">
        <v>1866855</v>
      </c>
    </row>
    <row r="711" spans="1:7" x14ac:dyDescent="0.35">
      <c r="A711" s="1" t="str">
        <f t="shared" si="11"/>
        <v>20</v>
      </c>
      <c r="B7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11" s="1" t="s">
        <v>4423</v>
      </c>
    </row>
    <row r="712" spans="1:7" x14ac:dyDescent="0.35">
      <c r="A712" s="1" t="str">
        <f t="shared" si="11"/>
        <v>20</v>
      </c>
      <c r="B7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12" s="1" t="s">
        <v>4424</v>
      </c>
      <c r="D712" s="1" t="s">
        <v>4425</v>
      </c>
      <c r="E712" s="1" t="s">
        <v>4426</v>
      </c>
      <c r="F712" s="1" t="s">
        <v>112</v>
      </c>
      <c r="G712" s="1">
        <v>638731</v>
      </c>
    </row>
    <row r="713" spans="1:7" x14ac:dyDescent="0.35">
      <c r="A713" s="1" t="str">
        <f t="shared" si="11"/>
        <v>20</v>
      </c>
      <c r="B7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13" s="1" t="s">
        <v>4427</v>
      </c>
      <c r="D713" s="1" t="s">
        <v>4428</v>
      </c>
      <c r="E713" s="1" t="s">
        <v>4429</v>
      </c>
      <c r="F713" s="1" t="s">
        <v>112</v>
      </c>
      <c r="G713" s="1">
        <v>826522</v>
      </c>
    </row>
    <row r="714" spans="1:7" x14ac:dyDescent="0.35">
      <c r="A714" s="1" t="str">
        <f t="shared" si="11"/>
        <v>20</v>
      </c>
      <c r="B7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14" s="1" t="s">
        <v>4430</v>
      </c>
      <c r="D714" s="1" t="s">
        <v>4431</v>
      </c>
      <c r="E714" s="1" t="s">
        <v>4432</v>
      </c>
      <c r="F714" s="1" t="s">
        <v>112</v>
      </c>
      <c r="G714" s="1">
        <v>910943</v>
      </c>
    </row>
    <row r="715" spans="1:7" x14ac:dyDescent="0.35">
      <c r="A715" s="1" t="str">
        <f t="shared" si="11"/>
        <v>20</v>
      </c>
      <c r="B7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15" s="1" t="s">
        <v>4433</v>
      </c>
      <c r="D715" s="1" t="s">
        <v>4434</v>
      </c>
      <c r="E715" s="1" t="s">
        <v>4435</v>
      </c>
      <c r="F715" s="1" t="s">
        <v>112</v>
      </c>
      <c r="G715" s="1">
        <v>1164640</v>
      </c>
    </row>
    <row r="716" spans="1:7" x14ac:dyDescent="0.35">
      <c r="A716" s="1" t="str">
        <f t="shared" si="11"/>
        <v>20</v>
      </c>
      <c r="B7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16" s="1" t="s">
        <v>4436</v>
      </c>
      <c r="D716" s="1" t="s">
        <v>4437</v>
      </c>
      <c r="E716" s="1" t="s">
        <v>4438</v>
      </c>
      <c r="F716" s="1" t="s">
        <v>112</v>
      </c>
      <c r="G716" s="1">
        <v>1823443</v>
      </c>
    </row>
    <row r="717" spans="1:7" x14ac:dyDescent="0.35">
      <c r="A717" s="1" t="str">
        <f t="shared" si="11"/>
        <v>20</v>
      </c>
      <c r="B7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17" s="1" t="s">
        <v>4439</v>
      </c>
      <c r="D717" s="1" t="s">
        <v>4440</v>
      </c>
      <c r="E717" s="1" t="s">
        <v>4441</v>
      </c>
      <c r="F717" s="1" t="s">
        <v>112</v>
      </c>
      <c r="G717" s="1">
        <v>1673829</v>
      </c>
    </row>
    <row r="718" spans="1:7" x14ac:dyDescent="0.35">
      <c r="A718" s="1" t="str">
        <f t="shared" si="11"/>
        <v>20</v>
      </c>
      <c r="B7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18" s="1" t="s">
        <v>4442</v>
      </c>
      <c r="D718" s="1" t="s">
        <v>4443</v>
      </c>
      <c r="E718" s="1" t="s">
        <v>4444</v>
      </c>
      <c r="F718" s="1" t="s">
        <v>112</v>
      </c>
      <c r="G718" s="1">
        <v>2187042</v>
      </c>
    </row>
    <row r="719" spans="1:7" x14ac:dyDescent="0.35">
      <c r="A719" s="1" t="str">
        <f t="shared" si="11"/>
        <v>20</v>
      </c>
      <c r="B7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19" s="1" t="s">
        <v>4445</v>
      </c>
      <c r="D719" s="1" t="s">
        <v>4446</v>
      </c>
      <c r="E719" s="1" t="s">
        <v>4447</v>
      </c>
      <c r="F719" s="1" t="s">
        <v>112</v>
      </c>
      <c r="G719" s="1">
        <v>1679626</v>
      </c>
    </row>
    <row r="720" spans="1:7" x14ac:dyDescent="0.35">
      <c r="A720" s="1" t="str">
        <f t="shared" si="11"/>
        <v>20</v>
      </c>
      <c r="B7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20" s="1" t="s">
        <v>4448</v>
      </c>
      <c r="D720" s="1" t="s">
        <v>4449</v>
      </c>
      <c r="E720" s="1" t="s">
        <v>4450</v>
      </c>
      <c r="F720" s="1" t="s">
        <v>112</v>
      </c>
      <c r="G720" s="1">
        <v>864590</v>
      </c>
    </row>
    <row r="721" spans="1:8" x14ac:dyDescent="0.35">
      <c r="A721" s="1" t="str">
        <f t="shared" si="11"/>
        <v>20</v>
      </c>
      <c r="B7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21" s="1" t="s">
        <v>4451</v>
      </c>
      <c r="D721" s="1" t="s">
        <v>4452</v>
      </c>
      <c r="E721" s="1" t="s">
        <v>4453</v>
      </c>
      <c r="F721" s="1" t="s">
        <v>112</v>
      </c>
      <c r="G721" s="1">
        <v>971226</v>
      </c>
    </row>
    <row r="722" spans="1:8" x14ac:dyDescent="0.35">
      <c r="A722" s="1" t="str">
        <f t="shared" si="11"/>
        <v>20</v>
      </c>
      <c r="B7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22" s="1" t="s">
        <v>4454</v>
      </c>
    </row>
    <row r="723" spans="1:8" x14ac:dyDescent="0.35">
      <c r="A723" s="1" t="str">
        <f t="shared" si="11"/>
        <v>20</v>
      </c>
      <c r="B7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23" s="1" t="s">
        <v>4455</v>
      </c>
      <c r="D723" s="1" t="s">
        <v>2590</v>
      </c>
      <c r="E723" s="1" t="s">
        <v>4456</v>
      </c>
      <c r="F723" s="1" t="s">
        <v>112</v>
      </c>
      <c r="G723" s="1">
        <v>1677658</v>
      </c>
    </row>
    <row r="724" spans="1:8" x14ac:dyDescent="0.35">
      <c r="A724" s="1" t="str">
        <f t="shared" si="11"/>
        <v>20</v>
      </c>
      <c r="B7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24" s="1" t="s">
        <v>4457</v>
      </c>
      <c r="D724" s="1" t="s">
        <v>4458</v>
      </c>
      <c r="E724" s="1" t="s">
        <v>4459</v>
      </c>
      <c r="F724" s="1" t="s">
        <v>112</v>
      </c>
      <c r="G724" s="1">
        <v>318111</v>
      </c>
    </row>
    <row r="725" spans="1:8" x14ac:dyDescent="0.35">
      <c r="A725" s="1" t="str">
        <f t="shared" si="11"/>
        <v>20</v>
      </c>
      <c r="B7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25" s="1" t="s">
        <v>4460</v>
      </c>
      <c r="D725" s="1" t="s">
        <v>361</v>
      </c>
      <c r="E725" s="1" t="s">
        <v>4461</v>
      </c>
      <c r="F725" s="1" t="s">
        <v>112</v>
      </c>
      <c r="G725" s="1">
        <v>210935</v>
      </c>
    </row>
    <row r="726" spans="1:8" x14ac:dyDescent="0.35">
      <c r="A726" s="1" t="str">
        <f t="shared" si="11"/>
        <v>20</v>
      </c>
      <c r="B7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26" s="1" t="s">
        <v>4462</v>
      </c>
      <c r="D726" s="1" t="s">
        <v>1543</v>
      </c>
      <c r="E726" s="1" t="s">
        <v>4463</v>
      </c>
      <c r="F726" s="1" t="s">
        <v>112</v>
      </c>
      <c r="G726" s="1">
        <v>198238</v>
      </c>
    </row>
    <row r="727" spans="1:8" x14ac:dyDescent="0.35">
      <c r="A727" s="1" t="str">
        <f t="shared" si="11"/>
        <v>20</v>
      </c>
      <c r="B7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27" s="1" t="s">
        <v>4464</v>
      </c>
      <c r="D727" s="1" t="s">
        <v>3626</v>
      </c>
      <c r="E727" s="1" t="s">
        <v>4465</v>
      </c>
      <c r="F727" s="1" t="s">
        <v>112</v>
      </c>
      <c r="G727" s="1">
        <v>274008</v>
      </c>
    </row>
    <row r="728" spans="1:8" x14ac:dyDescent="0.35">
      <c r="A728" s="1" t="str">
        <f t="shared" si="11"/>
        <v>20</v>
      </c>
      <c r="B7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28" s="1" t="s">
        <v>4466</v>
      </c>
      <c r="D728" s="1" t="s">
        <v>2693</v>
      </c>
      <c r="E728" s="1" t="s">
        <v>4467</v>
      </c>
      <c r="F728" s="1" t="s">
        <v>112</v>
      </c>
      <c r="G728" s="1">
        <v>1352885</v>
      </c>
    </row>
    <row r="729" spans="1:8" x14ac:dyDescent="0.35">
      <c r="A729" s="1" t="str">
        <f t="shared" si="11"/>
        <v>20</v>
      </c>
      <c r="B7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29" s="1" t="s">
        <v>4468</v>
      </c>
      <c r="D729" s="1" t="s">
        <v>4469</v>
      </c>
      <c r="E729" s="1" t="s">
        <v>296</v>
      </c>
      <c r="F729" s="1" t="s">
        <v>112</v>
      </c>
      <c r="G729" s="1">
        <v>1323425</v>
      </c>
    </row>
    <row r="730" spans="1:8" x14ac:dyDescent="0.35">
      <c r="A730" s="1" t="str">
        <f t="shared" si="11"/>
        <v>20</v>
      </c>
      <c r="B7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30" s="1" t="s">
        <v>4470</v>
      </c>
      <c r="D730" s="1" t="s">
        <v>4471</v>
      </c>
      <c r="E730" s="1" t="s">
        <v>4472</v>
      </c>
      <c r="F730" s="1" t="s">
        <v>112</v>
      </c>
      <c r="G730" s="1">
        <v>1383729</v>
      </c>
    </row>
    <row r="731" spans="1:8" x14ac:dyDescent="0.35">
      <c r="A731" s="1" t="str">
        <f t="shared" si="11"/>
        <v>20</v>
      </c>
      <c r="B7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31" s="1" t="s">
        <v>4473</v>
      </c>
      <c r="D731" s="1" t="s">
        <v>4474</v>
      </c>
      <c r="E731" s="1" t="s">
        <v>4475</v>
      </c>
      <c r="F731" s="1" t="s">
        <v>112</v>
      </c>
      <c r="G731" s="1">
        <v>1286157</v>
      </c>
    </row>
    <row r="732" spans="1:8"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2" s="1" t="s">
        <v>112</v>
      </c>
    </row>
    <row r="733" spans="1:8"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3" s="1" t="s">
        <v>227</v>
      </c>
      <c r="D733" s="1" t="s">
        <v>112</v>
      </c>
      <c r="E733" s="1" t="s">
        <v>228</v>
      </c>
      <c r="F733" s="1" t="s">
        <v>229</v>
      </c>
      <c r="G733" s="1" t="s">
        <v>230</v>
      </c>
      <c r="H733" s="1" t="s">
        <v>231</v>
      </c>
    </row>
    <row r="734" spans="1:8" x14ac:dyDescent="0.35">
      <c r="A734" s="1" t="str">
        <f t="shared" si="11"/>
        <v>20</v>
      </c>
      <c r="B7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34" s="1" t="s">
        <v>4476</v>
      </c>
      <c r="D734" s="1" t="s">
        <v>112</v>
      </c>
      <c r="E734" s="1" t="s">
        <v>4477</v>
      </c>
      <c r="F734" s="1" t="s">
        <v>4478</v>
      </c>
      <c r="G734" s="1" t="s">
        <v>4479</v>
      </c>
      <c r="H734" s="1" t="s">
        <v>4480</v>
      </c>
    </row>
    <row r="735" spans="1:8"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5" s="1" t="s">
        <v>112</v>
      </c>
    </row>
    <row r="736" spans="1:8"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6" s="1" t="s">
        <v>112</v>
      </c>
    </row>
    <row r="737" spans="1:7"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7" s="1" t="s">
        <v>112</v>
      </c>
    </row>
    <row r="738" spans="1:7"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8" s="1" t="s">
        <v>112</v>
      </c>
    </row>
    <row r="739" spans="1:7"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39" s="1" t="s">
        <v>112</v>
      </c>
    </row>
    <row r="740" spans="1:7"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40" s="1" t="s">
        <v>173</v>
      </c>
      <c r="D740" s="1" t="s">
        <v>110</v>
      </c>
      <c r="E740" s="1" t="s">
        <v>111</v>
      </c>
      <c r="F740" s="1" t="s">
        <v>112</v>
      </c>
      <c r="G740" s="1" t="s">
        <v>113</v>
      </c>
    </row>
    <row r="741" spans="1:7" x14ac:dyDescent="0.35">
      <c r="A741" s="1" t="str">
        <f t="shared" si="11"/>
        <v>21</v>
      </c>
      <c r="B7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41" s="1" t="s">
        <v>4481</v>
      </c>
      <c r="D741" s="1" t="s">
        <v>4482</v>
      </c>
      <c r="E741" s="1" t="s">
        <v>4483</v>
      </c>
      <c r="F741" s="1" t="s">
        <v>112</v>
      </c>
      <c r="G741" s="1">
        <v>962379</v>
      </c>
    </row>
    <row r="742" spans="1:7" x14ac:dyDescent="0.35">
      <c r="A742" s="1" t="str">
        <f t="shared" si="11"/>
        <v>21</v>
      </c>
      <c r="B7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42" s="1" t="s">
        <v>4484</v>
      </c>
      <c r="D742" s="1" t="s">
        <v>4485</v>
      </c>
      <c r="E742" s="1" t="s">
        <v>4486</v>
      </c>
      <c r="F742" s="1" t="s">
        <v>112</v>
      </c>
      <c r="G742" s="1">
        <v>784711</v>
      </c>
    </row>
    <row r="743" spans="1:7" x14ac:dyDescent="0.35">
      <c r="A743" s="1" t="str">
        <f t="shared" si="11"/>
        <v>21</v>
      </c>
      <c r="B7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43" s="1" t="s">
        <v>4487</v>
      </c>
    </row>
    <row r="744" spans="1:7" x14ac:dyDescent="0.35">
      <c r="A744" s="1" t="str">
        <f t="shared" si="11"/>
        <v>21</v>
      </c>
      <c r="B7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44" s="1" t="s">
        <v>4488</v>
      </c>
      <c r="D744" s="1" t="s">
        <v>4489</v>
      </c>
      <c r="E744" s="1" t="s">
        <v>4490</v>
      </c>
      <c r="F744" s="1" t="s">
        <v>112</v>
      </c>
      <c r="G744" s="1">
        <v>1047730</v>
      </c>
    </row>
    <row r="745" spans="1:7" x14ac:dyDescent="0.35">
      <c r="A745" s="1" t="str">
        <f t="shared" si="11"/>
        <v>21</v>
      </c>
      <c r="B7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5" s="1" t="s">
        <v>4491</v>
      </c>
      <c r="D745" s="1" t="s">
        <v>3023</v>
      </c>
      <c r="E745" s="1" t="s">
        <v>4492</v>
      </c>
      <c r="F745" s="1" t="s">
        <v>112</v>
      </c>
      <c r="G745" s="1">
        <v>254714</v>
      </c>
    </row>
    <row r="746" spans="1:7" x14ac:dyDescent="0.35">
      <c r="A746" s="1" t="str">
        <f t="shared" si="11"/>
        <v>21</v>
      </c>
      <c r="B7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6" s="1" t="s">
        <v>4493</v>
      </c>
      <c r="D746" s="1" t="s">
        <v>4494</v>
      </c>
      <c r="E746" s="1" t="s">
        <v>4495</v>
      </c>
      <c r="F746" s="1" t="s">
        <v>112</v>
      </c>
      <c r="G746" s="1">
        <v>369979</v>
      </c>
    </row>
    <row r="747" spans="1:7" x14ac:dyDescent="0.35">
      <c r="A747" s="1" t="str">
        <f t="shared" si="11"/>
        <v>21</v>
      </c>
      <c r="B7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7" s="1" t="s">
        <v>4496</v>
      </c>
      <c r="D747" s="1" t="s">
        <v>4497</v>
      </c>
      <c r="E747" s="1" t="s">
        <v>4498</v>
      </c>
      <c r="F747" s="1" t="s">
        <v>112</v>
      </c>
      <c r="G747" s="1">
        <v>288802</v>
      </c>
    </row>
    <row r="748" spans="1:7" x14ac:dyDescent="0.35">
      <c r="A748" s="1" t="str">
        <f t="shared" si="11"/>
        <v>21</v>
      </c>
      <c r="B7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8" s="1" t="s">
        <v>4499</v>
      </c>
      <c r="D748" s="1" t="s">
        <v>4500</v>
      </c>
      <c r="E748" s="1" t="s">
        <v>4501</v>
      </c>
      <c r="F748" s="1" t="s">
        <v>112</v>
      </c>
      <c r="G748" s="1">
        <v>235225</v>
      </c>
    </row>
    <row r="749" spans="1:7" x14ac:dyDescent="0.35">
      <c r="A749" s="1" t="str">
        <f t="shared" si="11"/>
        <v>21</v>
      </c>
      <c r="B7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9" s="1" t="s">
        <v>4502</v>
      </c>
      <c r="D749" s="1" t="s">
        <v>1230</v>
      </c>
      <c r="E749" s="1" t="s">
        <v>4503</v>
      </c>
      <c r="F749" s="1" t="s">
        <v>112</v>
      </c>
      <c r="G749" s="1">
        <v>1670823</v>
      </c>
    </row>
    <row r="750" spans="1:7" x14ac:dyDescent="0.35">
      <c r="A750" s="1" t="str">
        <f t="shared" si="11"/>
        <v>21</v>
      </c>
      <c r="B7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0" s="1" t="s">
        <v>4504</v>
      </c>
      <c r="D750" s="1" t="s">
        <v>4505</v>
      </c>
      <c r="E750" s="1" t="s">
        <v>4506</v>
      </c>
      <c r="F750" s="1" t="s">
        <v>112</v>
      </c>
      <c r="G750" s="1">
        <v>1694335</v>
      </c>
    </row>
    <row r="751" spans="1:7" x14ac:dyDescent="0.35">
      <c r="A751" s="1" t="str">
        <f t="shared" si="11"/>
        <v>21</v>
      </c>
      <c r="B7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1" s="1" t="s">
        <v>4507</v>
      </c>
      <c r="D751" s="1" t="s">
        <v>3743</v>
      </c>
      <c r="E751" s="1" t="s">
        <v>4508</v>
      </c>
      <c r="F751" s="1" t="s">
        <v>112</v>
      </c>
      <c r="G751" s="1">
        <v>2096434</v>
      </c>
    </row>
    <row r="752" spans="1:7" x14ac:dyDescent="0.35">
      <c r="A752" s="1" t="str">
        <f t="shared" si="11"/>
        <v>21</v>
      </c>
      <c r="B7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2" s="1" t="s">
        <v>4509</v>
      </c>
      <c r="D752" s="1" t="s">
        <v>4510</v>
      </c>
      <c r="E752" s="1" t="s">
        <v>4511</v>
      </c>
      <c r="F752" s="1" t="s">
        <v>112</v>
      </c>
      <c r="G752" s="1">
        <v>2015279</v>
      </c>
    </row>
    <row r="753" spans="1:7" x14ac:dyDescent="0.35">
      <c r="A753" s="1" t="str">
        <f t="shared" si="11"/>
        <v>21</v>
      </c>
      <c r="B7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53" s="1" t="s">
        <v>4512</v>
      </c>
      <c r="D753" s="1" t="s">
        <v>4513</v>
      </c>
      <c r="E753" s="1" t="s">
        <v>4514</v>
      </c>
      <c r="F753" s="1" t="s">
        <v>112</v>
      </c>
      <c r="G753" s="1">
        <v>2121547</v>
      </c>
    </row>
    <row r="754" spans="1:7" x14ac:dyDescent="0.35">
      <c r="A754" s="1" t="str">
        <f t="shared" si="11"/>
        <v>21</v>
      </c>
      <c r="B7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54" s="1" t="s">
        <v>4515</v>
      </c>
      <c r="D754" s="1" t="s">
        <v>4516</v>
      </c>
      <c r="E754" s="1" t="s">
        <v>4517</v>
      </c>
      <c r="F754" s="1" t="s">
        <v>112</v>
      </c>
      <c r="G754" s="1">
        <v>1575219</v>
      </c>
    </row>
    <row r="755" spans="1:7" x14ac:dyDescent="0.35">
      <c r="A755" s="1" t="str">
        <f t="shared" si="11"/>
        <v>21</v>
      </c>
      <c r="B7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55" s="1" t="s">
        <v>4518</v>
      </c>
      <c r="D755" s="1" t="s">
        <v>4519</v>
      </c>
      <c r="E755" s="1" t="s">
        <v>4520</v>
      </c>
      <c r="F755" s="1" t="s">
        <v>112</v>
      </c>
      <c r="G755" s="1">
        <v>1515023</v>
      </c>
    </row>
    <row r="756" spans="1:7" x14ac:dyDescent="0.35">
      <c r="A756" s="1" t="str">
        <f t="shared" si="11"/>
        <v>21</v>
      </c>
      <c r="B7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56" s="1" t="s">
        <v>4521</v>
      </c>
      <c r="D756" s="1" t="s">
        <v>3749</v>
      </c>
      <c r="E756" s="1" t="s">
        <v>4522</v>
      </c>
      <c r="F756" s="1" t="s">
        <v>112</v>
      </c>
      <c r="G756" s="1">
        <v>2089664</v>
      </c>
    </row>
    <row r="757" spans="1:7" x14ac:dyDescent="0.35">
      <c r="A757" s="1" t="str">
        <f t="shared" si="11"/>
        <v>21</v>
      </c>
      <c r="B7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57" s="1" t="s">
        <v>4523</v>
      </c>
      <c r="D757" s="1" t="s">
        <v>4524</v>
      </c>
      <c r="E757" s="1" t="s">
        <v>4525</v>
      </c>
      <c r="F757" s="1" t="s">
        <v>112</v>
      </c>
      <c r="G757" s="1">
        <v>694168</v>
      </c>
    </row>
    <row r="758" spans="1:7" x14ac:dyDescent="0.35">
      <c r="A758" s="1" t="str">
        <f t="shared" si="11"/>
        <v>21</v>
      </c>
      <c r="B7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58" s="1" t="s">
        <v>4526</v>
      </c>
      <c r="D758" s="1" t="s">
        <v>4527</v>
      </c>
      <c r="E758" s="1" t="s">
        <v>4528</v>
      </c>
      <c r="F758" s="1" t="s">
        <v>112</v>
      </c>
      <c r="G758" s="1">
        <v>689172</v>
      </c>
    </row>
    <row r="759" spans="1:7" x14ac:dyDescent="0.35">
      <c r="A759" s="1" t="str">
        <f t="shared" si="11"/>
        <v>21</v>
      </c>
      <c r="B7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59" s="1" t="s">
        <v>4529</v>
      </c>
      <c r="D759" s="1" t="s">
        <v>4530</v>
      </c>
      <c r="E759" s="1" t="s">
        <v>4531</v>
      </c>
      <c r="F759" s="1" t="s">
        <v>112</v>
      </c>
      <c r="G759" s="1">
        <v>452779</v>
      </c>
    </row>
    <row r="760" spans="1:7" x14ac:dyDescent="0.35">
      <c r="A760" s="1" t="str">
        <f t="shared" si="11"/>
        <v>21</v>
      </c>
      <c r="B7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60" s="1" t="s">
        <v>4532</v>
      </c>
      <c r="D760" s="1" t="s">
        <v>4533</v>
      </c>
      <c r="E760" s="1" t="s">
        <v>4534</v>
      </c>
      <c r="F760" s="1" t="s">
        <v>112</v>
      </c>
      <c r="G760" s="1">
        <v>611369</v>
      </c>
    </row>
    <row r="761" spans="1:7" x14ac:dyDescent="0.35">
      <c r="A761" s="1" t="str">
        <f t="shared" si="11"/>
        <v>21</v>
      </c>
      <c r="B7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61" s="1" t="s">
        <v>4535</v>
      </c>
      <c r="D761" s="1" t="s">
        <v>4536</v>
      </c>
      <c r="E761" s="1" t="s">
        <v>4537</v>
      </c>
      <c r="F761" s="1" t="s">
        <v>112</v>
      </c>
      <c r="G761" s="1">
        <v>319214</v>
      </c>
    </row>
    <row r="762" spans="1:7" x14ac:dyDescent="0.35">
      <c r="A762" s="1" t="str">
        <f t="shared" si="11"/>
        <v>21</v>
      </c>
      <c r="B7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62" s="1" t="s">
        <v>4538</v>
      </c>
      <c r="D762" s="1" t="s">
        <v>1050</v>
      </c>
      <c r="E762" s="1" t="s">
        <v>4539</v>
      </c>
      <c r="F762" s="1" t="s">
        <v>112</v>
      </c>
      <c r="G762" s="1">
        <v>145612</v>
      </c>
    </row>
    <row r="763" spans="1:7" x14ac:dyDescent="0.35">
      <c r="A763" s="1" t="str">
        <f t="shared" si="11"/>
        <v>21</v>
      </c>
      <c r="B7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63" s="1" t="s">
        <v>4540</v>
      </c>
      <c r="D763" s="1" t="s">
        <v>3548</v>
      </c>
      <c r="E763" s="1" t="s">
        <v>4541</v>
      </c>
      <c r="F763" s="1" t="s">
        <v>112</v>
      </c>
      <c r="G763" s="1">
        <v>33613</v>
      </c>
    </row>
    <row r="764" spans="1:7" x14ac:dyDescent="0.35">
      <c r="A764" s="1" t="str">
        <f t="shared" si="11"/>
        <v>21</v>
      </c>
      <c r="B7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764" s="1" t="s">
        <v>4542</v>
      </c>
    </row>
    <row r="765" spans="1:7" x14ac:dyDescent="0.35">
      <c r="A765" s="1" t="str">
        <f t="shared" si="11"/>
        <v>21</v>
      </c>
      <c r="B7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65" s="1" t="s">
        <v>4543</v>
      </c>
      <c r="D765" s="1" t="s">
        <v>4544</v>
      </c>
      <c r="E765" s="1" t="s">
        <v>4545</v>
      </c>
      <c r="F765" s="1" t="s">
        <v>112</v>
      </c>
      <c r="G765" s="1">
        <v>332473</v>
      </c>
    </row>
    <row r="766" spans="1:7" x14ac:dyDescent="0.35">
      <c r="A766" s="1" t="str">
        <f t="shared" si="11"/>
        <v>21</v>
      </c>
      <c r="B7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66" s="1" t="s">
        <v>4546</v>
      </c>
      <c r="D766" s="1" t="s">
        <v>280</v>
      </c>
      <c r="E766" s="1" t="s">
        <v>4547</v>
      </c>
      <c r="F766" s="1" t="s">
        <v>112</v>
      </c>
      <c r="G766" s="1">
        <v>120695</v>
      </c>
    </row>
    <row r="767" spans="1:7" x14ac:dyDescent="0.35">
      <c r="A767" s="1" t="str">
        <f t="shared" si="11"/>
        <v>21</v>
      </c>
      <c r="B7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67" s="1" t="s">
        <v>4548</v>
      </c>
      <c r="D767" s="1" t="s">
        <v>4549</v>
      </c>
      <c r="E767" s="1" t="s">
        <v>4550</v>
      </c>
      <c r="F767" s="1" t="s">
        <v>112</v>
      </c>
      <c r="G767" s="1">
        <v>487559</v>
      </c>
    </row>
    <row r="768" spans="1:7" x14ac:dyDescent="0.35">
      <c r="A768" s="1" t="str">
        <f t="shared" si="11"/>
        <v>21</v>
      </c>
      <c r="B7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768" s="1" t="s">
        <v>4551</v>
      </c>
      <c r="D768" s="1" t="s">
        <v>3410</v>
      </c>
      <c r="E768" s="1" t="s">
        <v>4552</v>
      </c>
      <c r="F768" s="1" t="s">
        <v>112</v>
      </c>
      <c r="G768" s="1">
        <v>409281</v>
      </c>
    </row>
    <row r="769" spans="1:8" x14ac:dyDescent="0.35">
      <c r="A769" s="1" t="str">
        <f t="shared" si="11"/>
        <v>21</v>
      </c>
      <c r="B7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69" s="1" t="s">
        <v>4553</v>
      </c>
      <c r="D769" s="1" t="s">
        <v>4554</v>
      </c>
      <c r="E769" s="1" t="s">
        <v>4555</v>
      </c>
      <c r="F769" s="1" t="s">
        <v>112</v>
      </c>
      <c r="G769" s="1">
        <v>1541974</v>
      </c>
    </row>
    <row r="770" spans="1:8" x14ac:dyDescent="0.35">
      <c r="A770" s="1" t="str">
        <f t="shared" ref="A770:A833" si="12">IFERROR(LEFT(RIGHT(C770,LEN(C770)-SEARCH("@",C770)),SEARCH("/",RIGHT(C770,LEN(C770)-SEARCH("@",C770)-1))),"")</f>
        <v>21</v>
      </c>
      <c r="B7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70" s="1" t="s">
        <v>4556</v>
      </c>
      <c r="D770" s="1" t="s">
        <v>4557</v>
      </c>
      <c r="E770" s="1" t="s">
        <v>4558</v>
      </c>
      <c r="F770" s="1" t="s">
        <v>112</v>
      </c>
      <c r="G770" s="1">
        <v>1895471</v>
      </c>
    </row>
    <row r="771" spans="1:8" x14ac:dyDescent="0.35">
      <c r="A771" s="1" t="str">
        <f t="shared" si="12"/>
        <v>21</v>
      </c>
      <c r="B7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71" s="1" t="s">
        <v>4559</v>
      </c>
      <c r="D771" s="1" t="s">
        <v>4560</v>
      </c>
      <c r="E771" s="1" t="s">
        <v>4561</v>
      </c>
      <c r="F771" s="1" t="s">
        <v>112</v>
      </c>
      <c r="G771" s="1">
        <v>1643245</v>
      </c>
    </row>
    <row r="772" spans="1:8" x14ac:dyDescent="0.35">
      <c r="A772" s="1" t="str">
        <f t="shared" si="12"/>
        <v>21</v>
      </c>
      <c r="B7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772" s="1" t="s">
        <v>4562</v>
      </c>
      <c r="D772" s="1" t="s">
        <v>4563</v>
      </c>
      <c r="E772" s="1" t="s">
        <v>4564</v>
      </c>
      <c r="F772" s="1" t="s">
        <v>112</v>
      </c>
      <c r="G772" s="1">
        <v>1540395</v>
      </c>
    </row>
    <row r="773" spans="1:8"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3" s="1" t="s">
        <v>112</v>
      </c>
    </row>
    <row r="774" spans="1:8"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4" s="1" t="s">
        <v>227</v>
      </c>
      <c r="D774" s="1" t="s">
        <v>112</v>
      </c>
      <c r="E774" s="1" t="s">
        <v>228</v>
      </c>
      <c r="F774" s="1" t="s">
        <v>229</v>
      </c>
      <c r="G774" s="1" t="s">
        <v>230</v>
      </c>
      <c r="H774" s="1" t="s">
        <v>231</v>
      </c>
    </row>
    <row r="775" spans="1:8" x14ac:dyDescent="0.35">
      <c r="A775" s="1" t="str">
        <f t="shared" si="12"/>
        <v>21</v>
      </c>
      <c r="B7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75" s="1" t="s">
        <v>4565</v>
      </c>
      <c r="D775" s="1" t="s">
        <v>112</v>
      </c>
      <c r="E775" s="1" t="s">
        <v>4566</v>
      </c>
      <c r="F775" s="1" t="s">
        <v>4567</v>
      </c>
      <c r="G775" s="1" t="s">
        <v>4568</v>
      </c>
      <c r="H775" s="1" t="s">
        <v>4569</v>
      </c>
    </row>
    <row r="776" spans="1:8"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6" s="1" t="s">
        <v>112</v>
      </c>
    </row>
    <row r="777" spans="1:8"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7" s="1" t="s">
        <v>112</v>
      </c>
    </row>
    <row r="778" spans="1:8"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8" s="1" t="s">
        <v>112</v>
      </c>
    </row>
    <row r="779" spans="1:8"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79" s="1" t="s">
        <v>112</v>
      </c>
    </row>
    <row r="780" spans="1:8"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80" s="1" t="s">
        <v>112</v>
      </c>
    </row>
    <row r="781" spans="1:8"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81" s="1" t="s">
        <v>173</v>
      </c>
      <c r="D781" s="1" t="s">
        <v>110</v>
      </c>
      <c r="E781" s="1" t="s">
        <v>111</v>
      </c>
      <c r="F781" s="1" t="s">
        <v>112</v>
      </c>
      <c r="G781" s="1" t="s">
        <v>113</v>
      </c>
    </row>
    <row r="782" spans="1:8" x14ac:dyDescent="0.35">
      <c r="A782" s="1" t="str">
        <f t="shared" si="12"/>
        <v>8</v>
      </c>
      <c r="B7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82" s="1" t="s">
        <v>4570</v>
      </c>
      <c r="D782" s="1" t="s">
        <v>2895</v>
      </c>
      <c r="E782" s="1" t="s">
        <v>4571</v>
      </c>
      <c r="F782" s="1" t="s">
        <v>112</v>
      </c>
      <c r="G782" s="1">
        <v>41919</v>
      </c>
    </row>
    <row r="783" spans="1:8" x14ac:dyDescent="0.35">
      <c r="A783" s="1" t="str">
        <f t="shared" si="12"/>
        <v>8</v>
      </c>
      <c r="B7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83" s="1" t="s">
        <v>4572</v>
      </c>
      <c r="D783" s="1" t="s">
        <v>4573</v>
      </c>
      <c r="E783" s="1" t="s">
        <v>4574</v>
      </c>
      <c r="F783" s="1" t="s">
        <v>112</v>
      </c>
      <c r="G783" s="1">
        <v>423751</v>
      </c>
    </row>
    <row r="784" spans="1:8" x14ac:dyDescent="0.35">
      <c r="A784" s="1" t="str">
        <f t="shared" si="12"/>
        <v>8</v>
      </c>
      <c r="B7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84" s="1" t="s">
        <v>4575</v>
      </c>
      <c r="D784" s="1" t="s">
        <v>3363</v>
      </c>
      <c r="E784" s="1" t="s">
        <v>4576</v>
      </c>
      <c r="F784" s="1" t="s">
        <v>112</v>
      </c>
      <c r="G784" s="1">
        <v>465583</v>
      </c>
    </row>
    <row r="785" spans="1:7" x14ac:dyDescent="0.35">
      <c r="A785" s="1" t="str">
        <f t="shared" si="12"/>
        <v>8</v>
      </c>
      <c r="B7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85" s="1" t="s">
        <v>4577</v>
      </c>
      <c r="D785" s="1" t="s">
        <v>1463</v>
      </c>
      <c r="E785" s="1" t="s">
        <v>4578</v>
      </c>
      <c r="F785" s="1" t="s">
        <v>112</v>
      </c>
      <c r="G785" s="1">
        <v>465389</v>
      </c>
    </row>
    <row r="786" spans="1:7" x14ac:dyDescent="0.35">
      <c r="A786" s="1" t="str">
        <f t="shared" si="12"/>
        <v>8</v>
      </c>
      <c r="B7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86" s="1" t="s">
        <v>4579</v>
      </c>
      <c r="D786" s="1" t="s">
        <v>2513</v>
      </c>
      <c r="E786" s="1" t="s">
        <v>4580</v>
      </c>
      <c r="F786" s="1" t="s">
        <v>112</v>
      </c>
      <c r="G786" s="1">
        <v>276408</v>
      </c>
    </row>
    <row r="787" spans="1:7" x14ac:dyDescent="0.35">
      <c r="A787" s="1" t="str">
        <f t="shared" si="12"/>
        <v>8</v>
      </c>
      <c r="B7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87" s="1" t="s">
        <v>4581</v>
      </c>
    </row>
    <row r="788" spans="1:7" x14ac:dyDescent="0.35">
      <c r="A788" s="1" t="str">
        <f t="shared" si="12"/>
        <v>8</v>
      </c>
      <c r="B7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88" s="1" t="s">
        <v>4582</v>
      </c>
      <c r="D788" s="1" t="s">
        <v>4583</v>
      </c>
      <c r="E788" s="1" t="s">
        <v>4584</v>
      </c>
      <c r="F788" s="1" t="s">
        <v>112</v>
      </c>
      <c r="G788" s="1">
        <v>11832</v>
      </c>
    </row>
    <row r="789" spans="1:7" x14ac:dyDescent="0.35">
      <c r="A789" s="1" t="str">
        <f t="shared" si="12"/>
        <v>8</v>
      </c>
      <c r="B7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89" s="1" t="s">
        <v>4585</v>
      </c>
      <c r="D789" s="1" t="s">
        <v>2525</v>
      </c>
      <c r="E789" s="1" t="s">
        <v>4586</v>
      </c>
      <c r="F789" s="1" t="s">
        <v>112</v>
      </c>
      <c r="G789" s="1">
        <v>91105</v>
      </c>
    </row>
    <row r="790" spans="1:7" x14ac:dyDescent="0.35">
      <c r="A790" s="1" t="str">
        <f t="shared" si="12"/>
        <v>8</v>
      </c>
      <c r="B7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90" s="1" t="s">
        <v>4587</v>
      </c>
    </row>
    <row r="791" spans="1:7" x14ac:dyDescent="0.35">
      <c r="A791" s="1" t="str">
        <f t="shared" si="12"/>
        <v>8</v>
      </c>
      <c r="B7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91" s="1" t="s">
        <v>4588</v>
      </c>
      <c r="D791" s="1" t="s">
        <v>280</v>
      </c>
      <c r="E791" s="1" t="s">
        <v>4589</v>
      </c>
      <c r="F791" s="1" t="s">
        <v>112</v>
      </c>
      <c r="G791" s="1">
        <v>135100</v>
      </c>
    </row>
    <row r="792" spans="1:7" x14ac:dyDescent="0.35">
      <c r="A792" s="1" t="str">
        <f t="shared" si="12"/>
        <v>8</v>
      </c>
      <c r="B7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92" s="1" t="s">
        <v>4590</v>
      </c>
      <c r="D792" s="1" t="s">
        <v>2941</v>
      </c>
      <c r="E792" s="1" t="s">
        <v>4591</v>
      </c>
      <c r="F792" s="1" t="s">
        <v>112</v>
      </c>
      <c r="G792" s="1">
        <v>131856</v>
      </c>
    </row>
    <row r="793" spans="1:7" x14ac:dyDescent="0.35">
      <c r="A793" s="1" t="str">
        <f t="shared" si="12"/>
        <v>8</v>
      </c>
      <c r="B7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93" s="1" t="s">
        <v>4592</v>
      </c>
      <c r="D793" s="1" t="s">
        <v>4593</v>
      </c>
      <c r="E793" s="1" t="s">
        <v>4594</v>
      </c>
      <c r="F793" s="1" t="s">
        <v>112</v>
      </c>
      <c r="G793" s="1">
        <v>177819</v>
      </c>
    </row>
    <row r="794" spans="1:7" x14ac:dyDescent="0.35">
      <c r="A794" s="1" t="str">
        <f t="shared" si="12"/>
        <v>8</v>
      </c>
      <c r="B7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4" s="1" t="s">
        <v>4595</v>
      </c>
      <c r="D794" s="1" t="s">
        <v>4596</v>
      </c>
      <c r="E794" s="1" t="s">
        <v>4597</v>
      </c>
      <c r="F794" s="1" t="s">
        <v>112</v>
      </c>
      <c r="G794" s="1">
        <v>516544</v>
      </c>
    </row>
    <row r="795" spans="1:7" x14ac:dyDescent="0.35">
      <c r="A795" s="1" t="str">
        <f t="shared" si="12"/>
        <v>8</v>
      </c>
      <c r="B7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5" s="1" t="s">
        <v>4598</v>
      </c>
      <c r="D795" s="1" t="s">
        <v>3108</v>
      </c>
      <c r="E795" s="1" t="s">
        <v>4599</v>
      </c>
      <c r="F795" s="1" t="s">
        <v>112</v>
      </c>
      <c r="G795" s="1">
        <v>819643</v>
      </c>
    </row>
    <row r="796" spans="1:7" x14ac:dyDescent="0.35">
      <c r="A796" s="1" t="str">
        <f t="shared" si="12"/>
        <v>8</v>
      </c>
      <c r="B7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6" s="1" t="s">
        <v>4600</v>
      </c>
      <c r="D796" s="1" t="s">
        <v>4601</v>
      </c>
      <c r="E796" s="1" t="s">
        <v>4602</v>
      </c>
      <c r="F796" s="1" t="s">
        <v>112</v>
      </c>
      <c r="G796" s="1">
        <v>624542</v>
      </c>
    </row>
    <row r="797" spans="1:7" x14ac:dyDescent="0.35">
      <c r="A797" s="1" t="str">
        <f t="shared" si="12"/>
        <v>8</v>
      </c>
      <c r="B7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7" s="1" t="s">
        <v>4603</v>
      </c>
      <c r="D797" s="1" t="s">
        <v>4604</v>
      </c>
      <c r="E797" s="1" t="s">
        <v>4605</v>
      </c>
      <c r="F797" s="1" t="s">
        <v>112</v>
      </c>
      <c r="G797" s="1">
        <v>40881</v>
      </c>
    </row>
    <row r="798" spans="1:7" x14ac:dyDescent="0.35">
      <c r="A798" s="1" t="str">
        <f t="shared" si="12"/>
        <v>8</v>
      </c>
      <c r="B7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98" s="1" t="s">
        <v>4606</v>
      </c>
      <c r="D798" s="1" t="s">
        <v>4044</v>
      </c>
      <c r="E798" s="1" t="s">
        <v>4607</v>
      </c>
      <c r="F798" s="1" t="s">
        <v>112</v>
      </c>
      <c r="G798" s="1">
        <v>177452</v>
      </c>
    </row>
    <row r="799" spans="1:7" x14ac:dyDescent="0.35">
      <c r="A799" s="1" t="str">
        <f t="shared" si="12"/>
        <v>8</v>
      </c>
      <c r="B7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799" s="1" t="s">
        <v>4608</v>
      </c>
      <c r="D799" s="1" t="s">
        <v>2462</v>
      </c>
      <c r="E799" s="1" t="s">
        <v>4609</v>
      </c>
      <c r="F799" s="1" t="s">
        <v>112</v>
      </c>
      <c r="G799" s="1">
        <v>122057</v>
      </c>
    </row>
    <row r="800" spans="1:7" x14ac:dyDescent="0.35">
      <c r="A800" s="1" t="str">
        <f t="shared" si="12"/>
        <v>8</v>
      </c>
      <c r="B8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0" s="1" t="s">
        <v>4610</v>
      </c>
      <c r="D800" s="1" t="s">
        <v>4611</v>
      </c>
      <c r="E800" s="1" t="s">
        <v>4612</v>
      </c>
      <c r="F800" s="1" t="s">
        <v>112</v>
      </c>
      <c r="G800" s="1">
        <v>44038</v>
      </c>
    </row>
    <row r="801" spans="1:8" x14ac:dyDescent="0.35">
      <c r="A801" s="1" t="str">
        <f t="shared" si="12"/>
        <v>8</v>
      </c>
      <c r="B8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1" s="1" t="s">
        <v>4613</v>
      </c>
      <c r="D801" s="1" t="s">
        <v>1126</v>
      </c>
      <c r="E801" s="1" t="s">
        <v>4614</v>
      </c>
      <c r="F801" s="1" t="s">
        <v>112</v>
      </c>
      <c r="G801" s="1">
        <v>138496</v>
      </c>
    </row>
    <row r="802" spans="1:8" x14ac:dyDescent="0.35">
      <c r="A802" s="1" t="str">
        <f t="shared" si="12"/>
        <v>8</v>
      </c>
      <c r="B8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02" s="1" t="s">
        <v>4615</v>
      </c>
      <c r="D802" s="1" t="s">
        <v>1605</v>
      </c>
      <c r="E802" s="1" t="s">
        <v>4616</v>
      </c>
      <c r="F802" s="1" t="s">
        <v>112</v>
      </c>
      <c r="G802" s="1">
        <v>9820</v>
      </c>
    </row>
    <row r="803" spans="1:8" x14ac:dyDescent="0.35">
      <c r="A803" s="1" t="str">
        <f t="shared" si="12"/>
        <v>8</v>
      </c>
      <c r="B8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03" s="1" t="s">
        <v>4617</v>
      </c>
      <c r="D803" s="1" t="s">
        <v>4618</v>
      </c>
      <c r="E803" s="1" t="s">
        <v>4619</v>
      </c>
      <c r="F803" s="1" t="s">
        <v>112</v>
      </c>
      <c r="G803" s="1">
        <v>145980</v>
      </c>
    </row>
    <row r="804" spans="1:8" x14ac:dyDescent="0.35">
      <c r="A804" s="1" t="str">
        <f t="shared" si="12"/>
        <v>8</v>
      </c>
      <c r="B8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04" s="1" t="s">
        <v>4620</v>
      </c>
      <c r="D804" s="1" t="s">
        <v>3070</v>
      </c>
      <c r="E804" s="1" t="s">
        <v>4621</v>
      </c>
      <c r="F804" s="1" t="s">
        <v>112</v>
      </c>
      <c r="G804" s="1">
        <v>291960</v>
      </c>
    </row>
    <row r="805" spans="1:8" x14ac:dyDescent="0.35">
      <c r="A805" s="1" t="str">
        <f t="shared" si="12"/>
        <v>8</v>
      </c>
      <c r="B8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05" s="1" t="s">
        <v>4622</v>
      </c>
      <c r="D805" s="1" t="s">
        <v>4623</v>
      </c>
      <c r="E805" s="1" t="s">
        <v>3929</v>
      </c>
      <c r="F805" s="1" t="s">
        <v>112</v>
      </c>
      <c r="G805" s="1">
        <v>9149</v>
      </c>
    </row>
    <row r="806" spans="1:8" x14ac:dyDescent="0.35">
      <c r="A806" s="1" t="str">
        <f t="shared" si="12"/>
        <v>8</v>
      </c>
      <c r="B8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06" s="1" t="s">
        <v>4624</v>
      </c>
      <c r="D806" s="1" t="s">
        <v>1189</v>
      </c>
      <c r="E806" s="1" t="s">
        <v>4625</v>
      </c>
      <c r="F806" s="1" t="s">
        <v>112</v>
      </c>
      <c r="G806" s="1">
        <v>107868</v>
      </c>
    </row>
    <row r="807" spans="1:8" x14ac:dyDescent="0.35">
      <c r="A807" s="1" t="str">
        <f t="shared" si="12"/>
        <v>8</v>
      </c>
      <c r="B8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07" s="1" t="s">
        <v>4626</v>
      </c>
      <c r="D807" s="1" t="s">
        <v>1605</v>
      </c>
      <c r="E807" s="1" t="s">
        <v>2927</v>
      </c>
      <c r="F807" s="1" t="s">
        <v>112</v>
      </c>
      <c r="G807" s="1">
        <v>10253</v>
      </c>
    </row>
    <row r="808" spans="1:8" x14ac:dyDescent="0.35">
      <c r="A808" s="1" t="str">
        <f t="shared" si="12"/>
        <v>8</v>
      </c>
      <c r="B8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08" s="1" t="s">
        <v>4627</v>
      </c>
      <c r="D808" s="1" t="s">
        <v>3626</v>
      </c>
      <c r="E808" s="1" t="s">
        <v>4628</v>
      </c>
      <c r="F808" s="1" t="s">
        <v>112</v>
      </c>
      <c r="G808" s="1">
        <v>286466</v>
      </c>
    </row>
    <row r="809" spans="1:8" x14ac:dyDescent="0.35">
      <c r="A809" s="1" t="str">
        <f t="shared" si="12"/>
        <v>8</v>
      </c>
      <c r="B8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09" s="1" t="s">
        <v>4629</v>
      </c>
      <c r="D809" s="1" t="s">
        <v>4583</v>
      </c>
      <c r="E809" s="1" t="s">
        <v>4630</v>
      </c>
      <c r="F809" s="1" t="s">
        <v>112</v>
      </c>
      <c r="G809" s="1">
        <v>11896</v>
      </c>
    </row>
    <row r="810" spans="1:8" x14ac:dyDescent="0.35">
      <c r="A810" s="1" t="str">
        <f t="shared" si="12"/>
        <v>8</v>
      </c>
      <c r="B8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10" s="1" t="s">
        <v>4631</v>
      </c>
      <c r="D810" s="1" t="s">
        <v>4632</v>
      </c>
      <c r="E810" s="1" t="s">
        <v>4633</v>
      </c>
      <c r="F810" s="1" t="s">
        <v>112</v>
      </c>
      <c r="G810" s="1">
        <v>350664</v>
      </c>
    </row>
    <row r="811" spans="1:8" x14ac:dyDescent="0.35">
      <c r="A811" s="1" t="str">
        <f t="shared" si="12"/>
        <v>8</v>
      </c>
      <c r="B8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11" s="1" t="s">
        <v>4634</v>
      </c>
      <c r="D811" s="1" t="s">
        <v>4635</v>
      </c>
      <c r="E811" s="1" t="s">
        <v>4636</v>
      </c>
      <c r="F811" s="1" t="s">
        <v>112</v>
      </c>
      <c r="G811" s="1">
        <v>287158</v>
      </c>
    </row>
    <row r="812" spans="1:8" x14ac:dyDescent="0.35">
      <c r="A812" s="1" t="str">
        <f t="shared" si="12"/>
        <v>8</v>
      </c>
      <c r="B8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12" s="1" t="s">
        <v>4637</v>
      </c>
      <c r="D812" s="1" t="s">
        <v>3389</v>
      </c>
      <c r="E812" s="1" t="s">
        <v>4638</v>
      </c>
      <c r="F812" s="1" t="s">
        <v>112</v>
      </c>
      <c r="G812" s="1">
        <v>252205</v>
      </c>
    </row>
    <row r="813" spans="1:8" x14ac:dyDescent="0.35">
      <c r="A813" s="1" t="str">
        <f t="shared" si="12"/>
        <v>8</v>
      </c>
      <c r="B8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13" s="1" t="s">
        <v>4639</v>
      </c>
      <c r="D813" s="1" t="s">
        <v>1032</v>
      </c>
      <c r="E813" s="1" t="s">
        <v>3511</v>
      </c>
      <c r="F813" s="1" t="s">
        <v>112</v>
      </c>
      <c r="G813" s="1">
        <v>3309</v>
      </c>
    </row>
    <row r="814" spans="1:8"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4" s="1" t="s">
        <v>112</v>
      </c>
    </row>
    <row r="815" spans="1:8"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5" s="1" t="s">
        <v>227</v>
      </c>
      <c r="D815" s="1" t="s">
        <v>112</v>
      </c>
      <c r="E815" s="1" t="s">
        <v>228</v>
      </c>
      <c r="F815" s="1" t="s">
        <v>229</v>
      </c>
      <c r="G815" s="1" t="s">
        <v>230</v>
      </c>
      <c r="H815" s="1" t="s">
        <v>231</v>
      </c>
    </row>
    <row r="816" spans="1:8" x14ac:dyDescent="0.35">
      <c r="A816" s="1" t="str">
        <f t="shared" si="12"/>
        <v>8</v>
      </c>
      <c r="B8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816" s="1" t="s">
        <v>4640</v>
      </c>
      <c r="D816" s="1" t="s">
        <v>112</v>
      </c>
      <c r="E816" s="1" t="s">
        <v>4641</v>
      </c>
      <c r="F816" s="1" t="s">
        <v>4642</v>
      </c>
      <c r="G816" s="1" t="s">
        <v>4643</v>
      </c>
      <c r="H816" s="1" t="s">
        <v>4644</v>
      </c>
    </row>
    <row r="817" spans="1:7"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7" s="1" t="s">
        <v>112</v>
      </c>
    </row>
    <row r="818" spans="1:7"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8" s="1" t="s">
        <v>112</v>
      </c>
    </row>
    <row r="819" spans="1:7"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9" s="1" t="s">
        <v>112</v>
      </c>
    </row>
    <row r="820" spans="1:7"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0" s="1" t="s">
        <v>112</v>
      </c>
    </row>
    <row r="821" spans="1:7"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1" s="1" t="s">
        <v>112</v>
      </c>
    </row>
    <row r="822" spans="1:7"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2" s="1" t="s">
        <v>173</v>
      </c>
      <c r="D822" s="1" t="s">
        <v>110</v>
      </c>
      <c r="E822" s="1" t="s">
        <v>111</v>
      </c>
      <c r="F822" s="1" t="s">
        <v>112</v>
      </c>
      <c r="G822" s="1" t="s">
        <v>113</v>
      </c>
    </row>
    <row r="823" spans="1:7" x14ac:dyDescent="0.35">
      <c r="A823" s="1" t="str">
        <f t="shared" si="12"/>
        <v>9</v>
      </c>
      <c r="B8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23" s="1" t="s">
        <v>4645</v>
      </c>
      <c r="D823" s="1" t="s">
        <v>1081</v>
      </c>
      <c r="E823" s="1" t="s">
        <v>4646</v>
      </c>
      <c r="F823" s="1" t="s">
        <v>112</v>
      </c>
      <c r="G823" s="1">
        <v>352221</v>
      </c>
    </row>
    <row r="824" spans="1:7" x14ac:dyDescent="0.35">
      <c r="A824" s="1" t="str">
        <f t="shared" si="12"/>
        <v>9</v>
      </c>
      <c r="B8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24" s="1" t="s">
        <v>4647</v>
      </c>
      <c r="D824" s="1" t="s">
        <v>4648</v>
      </c>
      <c r="E824" s="1" t="s">
        <v>4649</v>
      </c>
      <c r="F824" s="1" t="s">
        <v>112</v>
      </c>
      <c r="G824" s="1">
        <v>714154</v>
      </c>
    </row>
    <row r="825" spans="1:7" x14ac:dyDescent="0.35">
      <c r="A825" s="1" t="str">
        <f t="shared" si="12"/>
        <v>9</v>
      </c>
      <c r="B8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25" s="1" t="s">
        <v>4650</v>
      </c>
      <c r="D825" s="1" t="s">
        <v>4651</v>
      </c>
      <c r="E825" s="1" t="s">
        <v>4652</v>
      </c>
      <c r="F825" s="1" t="s">
        <v>112</v>
      </c>
      <c r="G825" s="1">
        <v>441899</v>
      </c>
    </row>
    <row r="826" spans="1:7" x14ac:dyDescent="0.35">
      <c r="A826" s="1" t="str">
        <f t="shared" si="12"/>
        <v>9</v>
      </c>
      <c r="B8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826" s="1" t="s">
        <v>4653</v>
      </c>
      <c r="D826" s="1" t="s">
        <v>4654</v>
      </c>
      <c r="E826" s="1" t="s">
        <v>4655</v>
      </c>
      <c r="F826" s="1" t="s">
        <v>112</v>
      </c>
      <c r="G826" s="1">
        <v>22344</v>
      </c>
    </row>
    <row r="827" spans="1:7" x14ac:dyDescent="0.35">
      <c r="A827" s="1" t="str">
        <f t="shared" si="12"/>
        <v>9</v>
      </c>
      <c r="B8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27" s="1" t="s">
        <v>4656</v>
      </c>
      <c r="D827" s="1" t="s">
        <v>186</v>
      </c>
      <c r="E827" s="1" t="s">
        <v>4657</v>
      </c>
      <c r="F827" s="1" t="s">
        <v>112</v>
      </c>
      <c r="G827" s="1">
        <v>229125</v>
      </c>
    </row>
    <row r="828" spans="1:7" x14ac:dyDescent="0.35">
      <c r="A828" s="1" t="str">
        <f t="shared" si="12"/>
        <v>9</v>
      </c>
      <c r="B8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28" s="1" t="s">
        <v>4658</v>
      </c>
      <c r="D828" s="1" t="s">
        <v>4659</v>
      </c>
      <c r="E828" s="1" t="s">
        <v>4660</v>
      </c>
      <c r="F828" s="1" t="s">
        <v>112</v>
      </c>
      <c r="G828" s="1">
        <v>214114</v>
      </c>
    </row>
    <row r="829" spans="1:7" x14ac:dyDescent="0.35">
      <c r="A829" s="1" t="str">
        <f t="shared" si="12"/>
        <v>9</v>
      </c>
      <c r="B8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29" s="1" t="s">
        <v>4661</v>
      </c>
      <c r="D829" s="1" t="s">
        <v>4662</v>
      </c>
      <c r="E829" s="1" t="s">
        <v>4663</v>
      </c>
      <c r="F829" s="1" t="s">
        <v>112</v>
      </c>
      <c r="G829" s="1">
        <v>278917</v>
      </c>
    </row>
    <row r="830" spans="1:7" x14ac:dyDescent="0.35">
      <c r="A830" s="1" t="str">
        <f t="shared" si="12"/>
        <v>9</v>
      </c>
      <c r="B8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30" s="1" t="s">
        <v>4664</v>
      </c>
      <c r="D830" s="1" t="s">
        <v>510</v>
      </c>
      <c r="E830" s="1" t="s">
        <v>4665</v>
      </c>
      <c r="F830" s="1" t="s">
        <v>112</v>
      </c>
      <c r="G830" s="1">
        <v>136009</v>
      </c>
    </row>
    <row r="831" spans="1:7" x14ac:dyDescent="0.35">
      <c r="A831" s="1" t="str">
        <f t="shared" si="12"/>
        <v>9</v>
      </c>
      <c r="B8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31" s="1" t="s">
        <v>4666</v>
      </c>
    </row>
    <row r="832" spans="1:7" x14ac:dyDescent="0.35">
      <c r="A832" s="1" t="str">
        <f t="shared" si="12"/>
        <v>9</v>
      </c>
      <c r="B8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32" s="1" t="s">
        <v>4667</v>
      </c>
    </row>
    <row r="833" spans="1:7" x14ac:dyDescent="0.35">
      <c r="A833" s="1" t="str">
        <f t="shared" si="12"/>
        <v>9</v>
      </c>
      <c r="B8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33" s="1" t="s">
        <v>4668</v>
      </c>
    </row>
    <row r="834" spans="1:7" x14ac:dyDescent="0.35">
      <c r="A834" s="1" t="str">
        <f t="shared" ref="A834:A897" si="13">IFERROR(LEFT(RIGHT(C834,LEN(C834)-SEARCH("@",C834)),SEARCH("/",RIGHT(C834,LEN(C834)-SEARCH("@",C834)-1))),"")</f>
        <v>9</v>
      </c>
      <c r="B8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34" s="1" t="s">
        <v>4669</v>
      </c>
      <c r="D834" s="1" t="s">
        <v>204</v>
      </c>
      <c r="E834" s="1" t="s">
        <v>4670</v>
      </c>
      <c r="F834" s="1" t="s">
        <v>112</v>
      </c>
      <c r="G834" s="1">
        <v>6251</v>
      </c>
    </row>
    <row r="835" spans="1:7" x14ac:dyDescent="0.35">
      <c r="A835" s="1" t="str">
        <f t="shared" si="13"/>
        <v>9</v>
      </c>
      <c r="B8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35" s="1" t="s">
        <v>4671</v>
      </c>
    </row>
    <row r="836" spans="1:7" x14ac:dyDescent="0.35">
      <c r="A836" s="1" t="str">
        <f t="shared" si="13"/>
        <v>9</v>
      </c>
      <c r="B8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36" s="1" t="s">
        <v>4672</v>
      </c>
    </row>
    <row r="837" spans="1:7" x14ac:dyDescent="0.35">
      <c r="A837" s="1" t="str">
        <f t="shared" si="13"/>
        <v>9</v>
      </c>
      <c r="B8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37" s="1" t="s">
        <v>4673</v>
      </c>
    </row>
    <row r="838" spans="1:7" x14ac:dyDescent="0.35">
      <c r="A838" s="1" t="str">
        <f t="shared" si="13"/>
        <v>9</v>
      </c>
      <c r="B8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38" s="1" t="s">
        <v>4674</v>
      </c>
    </row>
    <row r="839" spans="1:7" x14ac:dyDescent="0.35">
      <c r="A839" s="1" t="str">
        <f t="shared" si="13"/>
        <v>9</v>
      </c>
      <c r="B8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9" s="1" t="s">
        <v>4675</v>
      </c>
      <c r="D839" s="1" t="s">
        <v>2525</v>
      </c>
      <c r="E839" s="1" t="s">
        <v>4676</v>
      </c>
      <c r="F839" s="1" t="s">
        <v>112</v>
      </c>
      <c r="G839" s="1">
        <v>93052</v>
      </c>
    </row>
    <row r="840" spans="1:7" x14ac:dyDescent="0.35">
      <c r="A840" s="1" t="str">
        <f t="shared" si="13"/>
        <v>9</v>
      </c>
      <c r="B8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40" s="1" t="s">
        <v>4677</v>
      </c>
    </row>
    <row r="841" spans="1:7" x14ac:dyDescent="0.35">
      <c r="A841" s="1" t="str">
        <f t="shared" si="13"/>
        <v>9</v>
      </c>
      <c r="B8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41" s="1" t="s">
        <v>4678</v>
      </c>
      <c r="D841" s="1" t="s">
        <v>216</v>
      </c>
      <c r="E841" s="1">
        <v>30</v>
      </c>
      <c r="F841" s="1" t="s">
        <v>112</v>
      </c>
      <c r="G841" s="1">
        <v>649</v>
      </c>
    </row>
    <row r="842" spans="1:7" x14ac:dyDescent="0.35">
      <c r="A842" s="1" t="str">
        <f t="shared" si="13"/>
        <v>9</v>
      </c>
      <c r="B8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42" s="1" t="s">
        <v>4679</v>
      </c>
      <c r="D842" s="1" t="s">
        <v>2018</v>
      </c>
      <c r="E842" s="1" t="s">
        <v>4680</v>
      </c>
      <c r="F842" s="1" t="s">
        <v>112</v>
      </c>
      <c r="G842" s="1">
        <v>17196</v>
      </c>
    </row>
    <row r="843" spans="1:7" x14ac:dyDescent="0.35">
      <c r="A843" s="1" t="str">
        <f t="shared" si="13"/>
        <v>9</v>
      </c>
      <c r="B8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3" s="1" t="s">
        <v>4681</v>
      </c>
      <c r="D843" s="1" t="s">
        <v>960</v>
      </c>
      <c r="E843" s="1" t="s">
        <v>4682</v>
      </c>
      <c r="F843" s="1" t="s">
        <v>112</v>
      </c>
      <c r="G843" s="1">
        <v>184806</v>
      </c>
    </row>
    <row r="844" spans="1:7" x14ac:dyDescent="0.35">
      <c r="A844" s="1" t="str">
        <f t="shared" si="13"/>
        <v>9</v>
      </c>
      <c r="B8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4" s="1" t="s">
        <v>4683</v>
      </c>
      <c r="D844" s="1" t="s">
        <v>4684</v>
      </c>
      <c r="E844" s="1" t="s">
        <v>4685</v>
      </c>
      <c r="F844" s="1" t="s">
        <v>112</v>
      </c>
      <c r="G844" s="1">
        <v>329813</v>
      </c>
    </row>
    <row r="845" spans="1:7" x14ac:dyDescent="0.35">
      <c r="A845" s="1" t="str">
        <f t="shared" si="13"/>
        <v>9</v>
      </c>
      <c r="B8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5" s="1" t="s">
        <v>4686</v>
      </c>
      <c r="D845" s="1" t="s">
        <v>986</v>
      </c>
      <c r="E845" s="1" t="s">
        <v>4687</v>
      </c>
      <c r="F845" s="1" t="s">
        <v>112</v>
      </c>
      <c r="G845" s="1">
        <v>564951</v>
      </c>
    </row>
    <row r="846" spans="1:7" x14ac:dyDescent="0.35">
      <c r="A846" s="1" t="str">
        <f t="shared" si="13"/>
        <v>9</v>
      </c>
      <c r="B8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6" s="1" t="s">
        <v>4688</v>
      </c>
    </row>
    <row r="847" spans="1:7" x14ac:dyDescent="0.35">
      <c r="A847" s="1" t="str">
        <f t="shared" si="13"/>
        <v>9</v>
      </c>
      <c r="B8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47" s="1" t="s">
        <v>4689</v>
      </c>
      <c r="D847" s="1" t="s">
        <v>4690</v>
      </c>
      <c r="E847" s="1" t="s">
        <v>4691</v>
      </c>
      <c r="F847" s="1" t="s">
        <v>112</v>
      </c>
      <c r="G847" s="1">
        <v>89202</v>
      </c>
    </row>
    <row r="848" spans="1:7" x14ac:dyDescent="0.35">
      <c r="A848" s="1" t="str">
        <f t="shared" si="13"/>
        <v>9</v>
      </c>
      <c r="B8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48" s="1" t="s">
        <v>4692</v>
      </c>
      <c r="D848" s="1">
        <v>0</v>
      </c>
      <c r="E848" s="1">
        <v>0</v>
      </c>
      <c r="F848" s="1" t="s">
        <v>112</v>
      </c>
      <c r="G848" s="1">
        <v>0</v>
      </c>
    </row>
    <row r="849" spans="1:8" x14ac:dyDescent="0.35">
      <c r="A849" s="1" t="str">
        <f t="shared" si="13"/>
        <v>9</v>
      </c>
      <c r="B8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49" s="1" t="s">
        <v>4693</v>
      </c>
      <c r="D849" s="1">
        <v>0</v>
      </c>
      <c r="E849" s="1">
        <v>0</v>
      </c>
      <c r="F849" s="1" t="s">
        <v>112</v>
      </c>
      <c r="G849" s="1">
        <v>0</v>
      </c>
    </row>
    <row r="850" spans="1:8" x14ac:dyDescent="0.35">
      <c r="A850" s="1" t="str">
        <f t="shared" si="13"/>
        <v>9</v>
      </c>
      <c r="B8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50" s="1" t="s">
        <v>4694</v>
      </c>
      <c r="D850" s="1" t="s">
        <v>1599</v>
      </c>
      <c r="E850" s="1" t="s">
        <v>4695</v>
      </c>
      <c r="F850" s="1" t="s">
        <v>112</v>
      </c>
      <c r="G850" s="1">
        <v>132981</v>
      </c>
    </row>
    <row r="851" spans="1:8" x14ac:dyDescent="0.35">
      <c r="A851" s="1" t="str">
        <f t="shared" si="13"/>
        <v>9</v>
      </c>
      <c r="B8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51" s="1" t="s">
        <v>4696</v>
      </c>
      <c r="D851" s="1" t="s">
        <v>2446</v>
      </c>
      <c r="E851" s="1" t="s">
        <v>4697</v>
      </c>
      <c r="F851" s="1" t="s">
        <v>112</v>
      </c>
      <c r="G851" s="1">
        <v>248657</v>
      </c>
    </row>
    <row r="852" spans="1:8" x14ac:dyDescent="0.35">
      <c r="A852" s="1" t="str">
        <f t="shared" si="13"/>
        <v>9</v>
      </c>
      <c r="B8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52" s="1" t="s">
        <v>4698</v>
      </c>
    </row>
    <row r="853" spans="1:8" x14ac:dyDescent="0.35">
      <c r="A853" s="1" t="str">
        <f t="shared" si="13"/>
        <v>9</v>
      </c>
      <c r="B8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53" s="1" t="s">
        <v>4699</v>
      </c>
      <c r="D853" s="1">
        <v>0</v>
      </c>
      <c r="E853" s="1">
        <v>0</v>
      </c>
      <c r="F853" s="1" t="s">
        <v>112</v>
      </c>
      <c r="G853" s="1">
        <v>0</v>
      </c>
    </row>
    <row r="854" spans="1:8" x14ac:dyDescent="0.35">
      <c r="A854" s="1" t="str">
        <f t="shared" si="13"/>
        <v>9</v>
      </c>
      <c r="B8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54" s="1" t="s">
        <v>4700</v>
      </c>
    </row>
    <row r="855" spans="1:8"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55" s="1" t="s">
        <v>112</v>
      </c>
    </row>
    <row r="856" spans="1:8"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56" s="1" t="s">
        <v>227</v>
      </c>
      <c r="D856" s="1" t="s">
        <v>112</v>
      </c>
      <c r="E856" s="1" t="s">
        <v>228</v>
      </c>
      <c r="F856" s="1" t="s">
        <v>229</v>
      </c>
      <c r="G856" s="1" t="s">
        <v>230</v>
      </c>
      <c r="H856" s="1" t="s">
        <v>231</v>
      </c>
    </row>
    <row r="857" spans="1:8" x14ac:dyDescent="0.35">
      <c r="A857" s="1" t="str">
        <f t="shared" si="13"/>
        <v>9</v>
      </c>
      <c r="B8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857" s="1" t="s">
        <v>4701</v>
      </c>
      <c r="D857" s="1" t="s">
        <v>112</v>
      </c>
      <c r="E857" s="1" t="s">
        <v>4702</v>
      </c>
      <c r="F857" s="1" t="s">
        <v>4703</v>
      </c>
      <c r="G857" s="1" t="s">
        <v>4704</v>
      </c>
      <c r="H857" s="1" t="s">
        <v>4705</v>
      </c>
    </row>
    <row r="858" spans="1:8"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8"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8"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8"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8"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8"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8"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K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SAC-0.01mg/L</v>
      </c>
      <c r="J4" s="35" t="str">
        <f>'Page de garde'!A16</f>
        <v>SAC-0.1mg/L</v>
      </c>
      <c r="K4" s="35" t="str">
        <f>'Page de garde'!A17</f>
        <v>SAC-1mg/L</v>
      </c>
      <c r="L4" s="35" t="str">
        <f>'Page de garde'!A18</f>
        <v>SAC-10mg/L</v>
      </c>
      <c r="M4" s="35" t="str">
        <f>'Page de garde'!A19</f>
        <v>SAC-100mg/L</v>
      </c>
      <c r="N4" s="3"/>
      <c r="O4" s="36" t="str">
        <f>'Page de garde'!A36</f>
        <v>Testo -30µg/L</v>
      </c>
      <c r="P4" s="36" t="str">
        <f>'Page de garde'!A37</f>
        <v>Testo 30µg/L + EE2 -64ng/L</v>
      </c>
      <c r="Q4" s="36" t="str">
        <f>'Page de garde'!A38</f>
        <v>Testo 30µg/L + FAD-10mg/L</v>
      </c>
      <c r="R4" s="36" t="str">
        <f>'Page de garde'!A39</f>
        <v>SAC-0,01mg/L + Testostérone</v>
      </c>
      <c r="S4" s="36" t="str">
        <f>'Page de garde'!A40</f>
        <v>SAC-0,1mg/L + Testostérone</v>
      </c>
      <c r="T4" s="36" t="str">
        <f>'Page de garde'!A41</f>
        <v>SAC-1mg/L + Testostérone</v>
      </c>
      <c r="U4" s="36" t="str">
        <f>'Page de garde'!A42</f>
        <v>SAC-10mg/L + Testostérone</v>
      </c>
      <c r="V4" s="36" t="str">
        <f>'Page de garde'!A43</f>
        <v>SAC-100mg/L + Testostérone</v>
      </c>
    </row>
    <row r="5" spans="1:22" x14ac:dyDescent="0.35">
      <c r="A5" s="226" t="s">
        <v>33</v>
      </c>
      <c r="B5" s="32">
        <v>276639.33333333331</v>
      </c>
      <c r="C5" s="32">
        <v>348706.5</v>
      </c>
      <c r="D5" s="32">
        <v>472078</v>
      </c>
      <c r="E5" s="32">
        <v>617944</v>
      </c>
      <c r="F5" s="32">
        <v>1923734</v>
      </c>
      <c r="G5" s="32">
        <v>2825048.25</v>
      </c>
      <c r="H5" s="32">
        <v>5966260</v>
      </c>
      <c r="I5" s="32">
        <v>349160.5</v>
      </c>
      <c r="J5" s="32">
        <v>382654.5</v>
      </c>
      <c r="K5" s="13">
        <v>118753.75</v>
      </c>
      <c r="L5" s="13">
        <v>659.75</v>
      </c>
      <c r="M5" s="13">
        <v>203429.25</v>
      </c>
      <c r="N5" s="3"/>
      <c r="O5" s="32">
        <v>224334.25</v>
      </c>
      <c r="P5" s="13">
        <v>2147113.3333333335</v>
      </c>
      <c r="Q5" s="13">
        <v>132672.25</v>
      </c>
      <c r="R5" s="32">
        <v>2590499</v>
      </c>
      <c r="S5" s="32">
        <v>2719209.3333333335</v>
      </c>
      <c r="T5" s="32">
        <v>2096196.3333333333</v>
      </c>
      <c r="U5" s="32">
        <v>1948507.5</v>
      </c>
      <c r="V5" s="32">
        <v>931606.66666666663</v>
      </c>
    </row>
    <row r="6" spans="1:22" ht="16.5" x14ac:dyDescent="0.35">
      <c r="A6" s="226"/>
      <c r="B6" s="14">
        <v>148175.5</v>
      </c>
      <c r="C6" s="13">
        <v>236166.25</v>
      </c>
      <c r="D6" s="32">
        <v>437286</v>
      </c>
      <c r="E6" s="32">
        <v>682798</v>
      </c>
      <c r="F6" s="32">
        <v>2626334.25</v>
      </c>
      <c r="G6" s="32">
        <v>2580084</v>
      </c>
      <c r="H6" s="32">
        <v>5184188.5</v>
      </c>
      <c r="I6" s="32">
        <v>126448.33333333333</v>
      </c>
      <c r="J6" s="32">
        <v>214541.25</v>
      </c>
      <c r="K6" s="13">
        <v>30270.75</v>
      </c>
      <c r="L6" s="13">
        <v>197075.5</v>
      </c>
      <c r="M6" s="13">
        <v>196507.75</v>
      </c>
      <c r="N6" s="3"/>
      <c r="O6" s="32">
        <v>2383625.25</v>
      </c>
      <c r="P6" s="13">
        <v>3481558.5</v>
      </c>
      <c r="Q6" s="13">
        <v>284384.5</v>
      </c>
      <c r="R6" s="32">
        <v>2688244.5</v>
      </c>
      <c r="S6" s="32">
        <v>790745.66666666663</v>
      </c>
      <c r="T6" s="32">
        <v>1535030.25</v>
      </c>
      <c r="U6" s="32">
        <v>925121.5</v>
      </c>
      <c r="V6" s="32">
        <v>287180</v>
      </c>
    </row>
    <row r="7" spans="1:22" ht="16.5" x14ac:dyDescent="0.35">
      <c r="A7" s="226"/>
      <c r="B7" s="14">
        <v>98891.75</v>
      </c>
      <c r="C7" s="13">
        <v>494041</v>
      </c>
      <c r="D7" s="32">
        <v>196713</v>
      </c>
      <c r="E7" s="32">
        <v>3041119.6666666665</v>
      </c>
      <c r="F7" s="32">
        <v>3128991.5</v>
      </c>
      <c r="G7" s="32">
        <v>3289528.5</v>
      </c>
      <c r="H7" s="32">
        <v>4711640</v>
      </c>
      <c r="I7" s="32">
        <v>148258.33333333334</v>
      </c>
      <c r="J7" s="32">
        <v>6251</v>
      </c>
      <c r="K7" s="13">
        <v>110534</v>
      </c>
      <c r="L7" s="13">
        <v>196385</v>
      </c>
      <c r="M7" s="13">
        <v>163549</v>
      </c>
      <c r="N7" s="3"/>
      <c r="O7" s="32">
        <v>1803982.25</v>
      </c>
      <c r="P7" s="13">
        <v>3323087.25</v>
      </c>
      <c r="Q7" s="13">
        <v>169421.5</v>
      </c>
      <c r="R7" s="32">
        <v>2475238.5</v>
      </c>
      <c r="S7" s="32">
        <v>3303614.75</v>
      </c>
      <c r="T7" s="32">
        <v>1732435.5</v>
      </c>
      <c r="U7" s="32">
        <v>1923676.3333333333</v>
      </c>
      <c r="V7" s="32">
        <v>1869217.75</v>
      </c>
    </row>
    <row r="8" spans="1:22" ht="16.5" x14ac:dyDescent="0.35">
      <c r="A8" s="226"/>
      <c r="B8" s="14">
        <v>346446</v>
      </c>
      <c r="C8" s="13">
        <v>456099</v>
      </c>
      <c r="D8" s="32">
        <v>183805.5</v>
      </c>
      <c r="E8" s="32">
        <v>1098874.5</v>
      </c>
      <c r="F8" s="32">
        <v>2428815.5</v>
      </c>
      <c r="G8" s="32">
        <v>3001110.25</v>
      </c>
      <c r="H8" s="32">
        <v>4374019</v>
      </c>
      <c r="I8" s="32">
        <v>500402.5</v>
      </c>
      <c r="J8" s="32"/>
      <c r="K8" s="13">
        <v>175187.66666666666</v>
      </c>
      <c r="L8" s="13">
        <v>74915.25</v>
      </c>
      <c r="M8" s="13">
        <v>315034.25</v>
      </c>
      <c r="N8" s="3"/>
      <c r="O8" s="32">
        <v>2453299</v>
      </c>
      <c r="P8" s="13">
        <v>3442078.5</v>
      </c>
      <c r="Q8" s="13">
        <v>237615.5</v>
      </c>
      <c r="R8" s="32">
        <v>2543589</v>
      </c>
      <c r="S8" s="32">
        <v>2889613.25</v>
      </c>
      <c r="T8" s="32">
        <v>1488736.75</v>
      </c>
      <c r="U8" s="32">
        <v>885209</v>
      </c>
      <c r="V8" s="32">
        <v>1825363.25</v>
      </c>
    </row>
    <row r="9" spans="1:22" ht="16.5" x14ac:dyDescent="0.35">
      <c r="A9" s="226"/>
      <c r="B9" s="14">
        <v>264349.75</v>
      </c>
      <c r="C9" s="13">
        <v>236681.66666666666</v>
      </c>
      <c r="D9" s="32">
        <v>389197.5</v>
      </c>
      <c r="E9" s="32">
        <v>1033881.75</v>
      </c>
      <c r="F9" s="32">
        <v>2112563</v>
      </c>
      <c r="G9" s="32">
        <v>2341003.5</v>
      </c>
      <c r="H9" s="32">
        <v>4643738</v>
      </c>
      <c r="I9" s="32">
        <v>120510.75</v>
      </c>
      <c r="J9" s="32">
        <v>36965.666666666664</v>
      </c>
      <c r="K9" s="13">
        <v>186092.75</v>
      </c>
      <c r="L9" s="13">
        <v>257677</v>
      </c>
      <c r="M9" s="13">
        <v>147164.25</v>
      </c>
      <c r="N9" s="3"/>
      <c r="O9" s="32">
        <v>637750.33333333337</v>
      </c>
      <c r="P9" s="13">
        <v>4822331</v>
      </c>
      <c r="Q9" s="13">
        <v>413942</v>
      </c>
      <c r="R9" s="32">
        <v>1620214.25</v>
      </c>
      <c r="S9" s="32">
        <v>2022930.25</v>
      </c>
      <c r="T9" s="32">
        <v>134797.75</v>
      </c>
      <c r="U9" s="32">
        <v>1840985</v>
      </c>
      <c r="V9" s="32">
        <v>611872</v>
      </c>
    </row>
    <row r="10" spans="1:22" ht="16.5" x14ac:dyDescent="0.35">
      <c r="A10" s="226"/>
      <c r="B10" s="14">
        <v>317667.75</v>
      </c>
      <c r="C10" s="13">
        <v>850146.75</v>
      </c>
      <c r="D10" s="32">
        <v>352648.5</v>
      </c>
      <c r="E10" s="32">
        <v>95561</v>
      </c>
      <c r="F10" s="32">
        <v>3638786.25</v>
      </c>
      <c r="G10" s="32">
        <v>3538888.5</v>
      </c>
      <c r="H10" s="32">
        <v>6543416.25</v>
      </c>
      <c r="I10" s="32">
        <v>114227.25</v>
      </c>
      <c r="J10" s="32">
        <v>359856.66666666669</v>
      </c>
      <c r="K10" s="13">
        <v>210675.33333333334</v>
      </c>
      <c r="L10" s="13">
        <v>208220.25</v>
      </c>
      <c r="M10" s="13">
        <v>108036</v>
      </c>
      <c r="N10" s="3"/>
      <c r="O10" s="32">
        <v>3376023</v>
      </c>
      <c r="P10" s="13">
        <v>3322741</v>
      </c>
      <c r="Q10" s="13">
        <v>528953.75</v>
      </c>
      <c r="R10" s="32">
        <v>1785812.75</v>
      </c>
      <c r="S10" s="32">
        <v>1487163</v>
      </c>
      <c r="T10" s="32">
        <v>252442.5</v>
      </c>
      <c r="U10" s="32">
        <v>1171158</v>
      </c>
      <c r="V10" s="32">
        <v>166146.33333333334</v>
      </c>
    </row>
    <row r="11" spans="1:22" ht="16.5" x14ac:dyDescent="0.35">
      <c r="A11" s="226"/>
      <c r="B11" s="14">
        <v>298157.25</v>
      </c>
      <c r="C11" s="13">
        <v>300109.25</v>
      </c>
      <c r="D11" s="32">
        <v>109501.25</v>
      </c>
      <c r="E11" s="32">
        <v>234549</v>
      </c>
      <c r="F11" s="32">
        <v>851217.25</v>
      </c>
      <c r="G11" s="32">
        <v>2891284.25</v>
      </c>
      <c r="H11" s="32">
        <v>4575566.25</v>
      </c>
      <c r="I11" s="32">
        <v>104120.75</v>
      </c>
      <c r="J11" s="32">
        <v>55545.75</v>
      </c>
      <c r="K11" s="13">
        <v>159455.75</v>
      </c>
      <c r="L11" s="13">
        <v>182967.25</v>
      </c>
      <c r="M11" s="13">
        <v>59806.5</v>
      </c>
      <c r="N11" s="3"/>
      <c r="O11" s="32">
        <v>2218340.25</v>
      </c>
      <c r="P11" s="13">
        <v>2581312</v>
      </c>
      <c r="Q11" s="13">
        <v>226775</v>
      </c>
      <c r="R11" s="32">
        <v>870738.5</v>
      </c>
      <c r="S11" s="32">
        <v>2234346</v>
      </c>
      <c r="T11" s="32">
        <v>1771580.25</v>
      </c>
      <c r="U11" s="32">
        <v>250323</v>
      </c>
      <c r="V11" s="32">
        <v>337502</v>
      </c>
    </row>
    <row r="12" spans="1:22" ht="16.5" x14ac:dyDescent="0.35">
      <c r="A12" s="226"/>
      <c r="B12" s="14">
        <v>184454.5</v>
      </c>
      <c r="C12" s="13">
        <v>414428.5</v>
      </c>
      <c r="D12" s="32">
        <v>325070.25</v>
      </c>
      <c r="E12" s="32">
        <v>258012.25</v>
      </c>
      <c r="F12" s="32">
        <v>30520</v>
      </c>
      <c r="G12" s="32">
        <v>2631238.75</v>
      </c>
      <c r="H12" s="32">
        <v>5965557.25</v>
      </c>
      <c r="I12" s="32">
        <v>223334</v>
      </c>
      <c r="J12" s="32">
        <v>124328.5</v>
      </c>
      <c r="K12" s="13">
        <v>160866.75</v>
      </c>
      <c r="L12" s="13">
        <v>279847.5</v>
      </c>
      <c r="M12" s="13">
        <v>300574.5</v>
      </c>
      <c r="N12" s="3"/>
      <c r="O12" s="32">
        <v>3870334.5</v>
      </c>
      <c r="P12" s="13">
        <v>4275689.5</v>
      </c>
      <c r="Q12" s="13">
        <v>126767.25</v>
      </c>
      <c r="R12" s="32"/>
      <c r="S12" s="32">
        <v>2352175.25</v>
      </c>
      <c r="T12" s="32">
        <v>2709501.25</v>
      </c>
      <c r="U12" s="32">
        <v>1336549</v>
      </c>
      <c r="V12" s="32">
        <v>1655271.25</v>
      </c>
    </row>
    <row r="13" spans="1:22" ht="16.5" x14ac:dyDescent="0.35">
      <c r="A13" s="226"/>
      <c r="B13" s="14"/>
      <c r="C13" s="13"/>
      <c r="D13" s="32"/>
      <c r="E13" s="32"/>
      <c r="F13" s="32"/>
      <c r="G13" s="32"/>
      <c r="H13" s="32"/>
      <c r="I13" s="32"/>
      <c r="J13" s="32"/>
      <c r="K13" s="13"/>
      <c r="L13" s="13"/>
      <c r="M13" s="13"/>
      <c r="N13" s="3"/>
      <c r="O13" s="32">
        <v>696807.5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393037</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2433074.6666666665</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1107436.3333333333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2085300.25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2051422.25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2543243</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2277946.75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SAC-0.01mg/L</v>
      </c>
      <c r="J22" s="3" t="str">
        <f t="shared" si="0"/>
        <v>SAC-0.1mg/L</v>
      </c>
      <c r="K22" s="3" t="str">
        <f t="shared" si="0"/>
        <v>SAC-1mg/L</v>
      </c>
      <c r="L22" s="3" t="str">
        <f t="shared" si="0"/>
        <v>SAC-10mg/L</v>
      </c>
      <c r="M22" s="3" t="str">
        <f t="shared" si="0"/>
        <v>SAC-100mg/L</v>
      </c>
      <c r="N22" s="3" t="s">
        <v>41</v>
      </c>
      <c r="O22" s="3" t="str">
        <f t="shared" si="0"/>
        <v>Testo -30µg/L</v>
      </c>
      <c r="P22" s="3" t="str">
        <f t="shared" si="0"/>
        <v>Testo 30µg/L + EE2 -64ng/L</v>
      </c>
      <c r="Q22" s="3" t="str">
        <f t="shared" si="0"/>
        <v>Testo 30µg/L + FAD-10mg/L</v>
      </c>
      <c r="R22" s="3" t="str">
        <f t="shared" si="0"/>
        <v>SAC-0,01mg/L + Testostérone</v>
      </c>
      <c r="S22" s="3" t="str">
        <f t="shared" si="0"/>
        <v>SAC-0,1mg/L + Testostérone</v>
      </c>
      <c r="T22" s="3" t="str">
        <f t="shared" si="0"/>
        <v>SAC-1mg/L + Testostérone</v>
      </c>
      <c r="U22" s="3" t="str">
        <f t="shared" si="0"/>
        <v>SAC-10mg/L + Testostérone</v>
      </c>
      <c r="V22" s="3" t="str">
        <f t="shared" si="0"/>
        <v>SAC-100mg/L + Testostérone</v>
      </c>
    </row>
    <row r="23" spans="1:22" x14ac:dyDescent="0.35">
      <c r="A23" s="5" t="s">
        <v>0</v>
      </c>
      <c r="B23" s="5">
        <f t="shared" ref="B23:J23" si="1">AVERAGE(B5:B20)</f>
        <v>241847.72916666666</v>
      </c>
      <c r="C23" s="5">
        <f t="shared" si="1"/>
        <v>417047.36458333337</v>
      </c>
      <c r="D23" s="5">
        <f t="shared" si="1"/>
        <v>308287.5</v>
      </c>
      <c r="E23" s="5">
        <f t="shared" si="1"/>
        <v>882842.52083333326</v>
      </c>
      <c r="F23" s="5">
        <f t="shared" si="1"/>
        <v>2092620.21875</v>
      </c>
      <c r="G23" s="5">
        <f t="shared" si="1"/>
        <v>2887273.25</v>
      </c>
      <c r="H23" s="5">
        <f t="shared" si="1"/>
        <v>5245548.15625</v>
      </c>
      <c r="I23" s="5">
        <f t="shared" si="1"/>
        <v>210807.80208333331</v>
      </c>
      <c r="J23" s="5">
        <f t="shared" si="1"/>
        <v>168591.90476190476</v>
      </c>
      <c r="K23" s="5"/>
      <c r="L23" s="5">
        <f>AVERAGE(L5:L20)</f>
        <v>174718.4375</v>
      </c>
      <c r="M23" s="5"/>
      <c r="N23" s="5" t="s">
        <v>0</v>
      </c>
      <c r="O23" s="5">
        <f>AVERAGE(O5:O20)</f>
        <v>1909747.2864583333</v>
      </c>
      <c r="P23" s="5">
        <f>AVERAGE(P5:P20)</f>
        <v>3424488.885416667</v>
      </c>
      <c r="Q23" s="5">
        <f>AVERAGE(Q5:Q20)</f>
        <v>265066.46875</v>
      </c>
      <c r="R23" s="5">
        <f>AVERAGE(R5:R20)</f>
        <v>2082048.0714285714</v>
      </c>
      <c r="S23" s="5">
        <f>AVERAGE(S5:S20)</f>
        <v>2224974.6875</v>
      </c>
      <c r="T23" s="5">
        <f t="shared" ref="T23:V23" si="2">AVERAGE(T5:T20)</f>
        <v>1465090.0729166665</v>
      </c>
      <c r="U23" s="5">
        <f t="shared" si="2"/>
        <v>1285191.1666666665</v>
      </c>
      <c r="V23" s="5">
        <f t="shared" si="2"/>
        <v>960519.90624999988</v>
      </c>
    </row>
    <row r="24" spans="1:22" x14ac:dyDescent="0.35">
      <c r="A24" s="3" t="s">
        <v>1</v>
      </c>
      <c r="B24" s="3">
        <f t="shared" ref="B24:J24" si="3">STDEV(B5:B20)</f>
        <v>87897.59778106591</v>
      </c>
      <c r="C24" s="3">
        <f t="shared" si="3"/>
        <v>199510.02310502323</v>
      </c>
      <c r="D24" s="3">
        <f t="shared" si="3"/>
        <v>130780.37127422831</v>
      </c>
      <c r="E24" s="3">
        <f t="shared" si="3"/>
        <v>946296.6530640315</v>
      </c>
      <c r="F24" s="3">
        <f t="shared" si="3"/>
        <v>1176242.9095263325</v>
      </c>
      <c r="G24" s="3">
        <f t="shared" si="3"/>
        <v>389429.6492071083</v>
      </c>
      <c r="H24" s="3">
        <f t="shared" si="3"/>
        <v>809032.70827096351</v>
      </c>
      <c r="I24" s="3">
        <f t="shared" si="3"/>
        <v>142956.49061520002</v>
      </c>
      <c r="J24" s="3">
        <f t="shared" si="3"/>
        <v>154345.42654705301</v>
      </c>
      <c r="K24" s="3"/>
      <c r="L24" s="3">
        <f>STDEV(L5:L20)</f>
        <v>92852.446945384989</v>
      </c>
      <c r="M24" s="3"/>
      <c r="N24" s="3" t="s">
        <v>1</v>
      </c>
      <c r="O24" s="3">
        <f>STDEV(O5:O20)</f>
        <v>1044218.0623251108</v>
      </c>
      <c r="P24" s="3">
        <f>STDEV(P5:P20)</f>
        <v>848977.69481323927</v>
      </c>
      <c r="Q24" s="3">
        <f>STDEV(Q5:Q20)</f>
        <v>141520.44916279751</v>
      </c>
      <c r="R24" s="3">
        <f>STDEV(R5:R20)</f>
        <v>678470.32860157068</v>
      </c>
      <c r="S24" s="3">
        <f>STDEV(S5:S20)</f>
        <v>802491.24766648549</v>
      </c>
      <c r="T24" s="3">
        <f t="shared" ref="T24:V24" si="4">STDEV(T5:T20)</f>
        <v>874880.12973510637</v>
      </c>
      <c r="U24" s="3">
        <f t="shared" si="4"/>
        <v>601520.43811863696</v>
      </c>
      <c r="V24" s="3">
        <f t="shared" si="4"/>
        <v>722231.05347922794</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SAC-0.01mg/L</v>
      </c>
      <c r="J27" s="35" t="str">
        <f t="shared" si="5"/>
        <v>SAC-0.1mg/L</v>
      </c>
      <c r="K27" s="35" t="str">
        <f t="shared" si="5"/>
        <v>SAC-1mg/L</v>
      </c>
      <c r="L27" s="35" t="str">
        <f t="shared" si="5"/>
        <v>SAC-10mg/L</v>
      </c>
      <c r="M27" s="35" t="str">
        <f t="shared" si="5"/>
        <v>SAC-100mg/L</v>
      </c>
      <c r="N27" s="3"/>
      <c r="O27" s="36" t="str">
        <f>O4</f>
        <v>Testo -30µg/L</v>
      </c>
      <c r="P27" s="36" t="str">
        <f t="shared" ref="P27:R27" si="6">P4</f>
        <v>Testo 30µg/L + EE2 -64ng/L</v>
      </c>
      <c r="Q27" s="36" t="str">
        <f t="shared" si="6"/>
        <v>Testo 30µg/L + FAD-10mg/L</v>
      </c>
      <c r="R27" s="36" t="str">
        <f t="shared" si="6"/>
        <v>SAC-0,01mg/L + Testostérone</v>
      </c>
      <c r="S27" s="36" t="str">
        <f t="shared" ref="S27:V27" si="7">S4</f>
        <v>SAC-0,1mg/L + Testostérone</v>
      </c>
      <c r="T27" s="36" t="str">
        <f t="shared" si="7"/>
        <v>SAC-1mg/L + Testostérone</v>
      </c>
      <c r="U27" s="36" t="str">
        <f t="shared" si="7"/>
        <v>SAC-10mg/L + Testostérone</v>
      </c>
      <c r="V27" s="36" t="str">
        <f t="shared" si="7"/>
        <v>SAC-100mg/L + Testostérone</v>
      </c>
    </row>
    <row r="28" spans="1:22" x14ac:dyDescent="0.35">
      <c r="A28" s="227" t="s">
        <v>34</v>
      </c>
      <c r="B28" s="11">
        <f t="shared" ref="B28:M28" si="8">IF(B5="","",(B5/$O$23))</f>
        <v>0.14485651336956043</v>
      </c>
      <c r="C28" s="11">
        <f t="shared" si="8"/>
        <v>0.18259300718614116</v>
      </c>
      <c r="D28" s="11">
        <f t="shared" si="8"/>
        <v>0.24719396296432428</v>
      </c>
      <c r="E28" s="11">
        <f t="shared" si="8"/>
        <v>0.32357370233314492</v>
      </c>
      <c r="F28" s="11">
        <f t="shared" si="8"/>
        <v>1.0073238556959048</v>
      </c>
      <c r="G28" s="11">
        <f t="shared" si="8"/>
        <v>1.4792785778683377</v>
      </c>
      <c r="H28" s="11">
        <f t="shared" si="8"/>
        <v>3.1241096883894808</v>
      </c>
      <c r="I28" s="11">
        <f t="shared" si="8"/>
        <v>0.18283073497516289</v>
      </c>
      <c r="J28" s="11">
        <f t="shared" si="8"/>
        <v>0.20036918115466515</v>
      </c>
      <c r="K28" s="11">
        <f t="shared" si="8"/>
        <v>6.2182965695022061E-2</v>
      </c>
      <c r="L28" s="11">
        <f t="shared" si="8"/>
        <v>3.454645568438117E-4</v>
      </c>
      <c r="M28" s="11">
        <f t="shared" si="8"/>
        <v>0.10652155468028644</v>
      </c>
      <c r="N28" s="6"/>
      <c r="O28" s="11">
        <f t="shared" ref="O28:S37" si="9">IF(O5="","",(O5/$O$23))</f>
        <v>0.11746802919460229</v>
      </c>
      <c r="P28" s="11">
        <f t="shared" si="9"/>
        <v>1.1242918623621665</v>
      </c>
      <c r="Q28" s="11">
        <f t="shared" si="9"/>
        <v>6.9471102768808482E-2</v>
      </c>
      <c r="R28" s="11">
        <f t="shared" si="9"/>
        <v>1.3564616734207462</v>
      </c>
      <c r="S28" s="11">
        <f t="shared" si="9"/>
        <v>1.4238581997810635</v>
      </c>
      <c r="T28" s="11">
        <f t="shared" ref="T28:V28" si="10">IF(T5="","",(T5/$O$23))</f>
        <v>1.0976302195568366</v>
      </c>
      <c r="U28" s="11">
        <f t="shared" si="10"/>
        <v>1.0202959908970723</v>
      </c>
      <c r="V28" s="11">
        <f t="shared" si="10"/>
        <v>0.48781672489994782</v>
      </c>
    </row>
    <row r="29" spans="1:22" x14ac:dyDescent="0.35">
      <c r="A29" s="227"/>
      <c r="B29" s="11">
        <f t="shared" ref="B29:M29" si="11">IF(B6="","",(B6/$O$23))</f>
        <v>7.7589061678833227E-2</v>
      </c>
      <c r="C29" s="11">
        <f t="shared" si="11"/>
        <v>0.12366361333492208</v>
      </c>
      <c r="D29" s="11">
        <f t="shared" si="11"/>
        <v>0.22897584570519597</v>
      </c>
      <c r="E29" s="11">
        <f t="shared" si="11"/>
        <v>0.35753316935784907</v>
      </c>
      <c r="F29" s="11">
        <f t="shared" si="11"/>
        <v>1.3752260671466079</v>
      </c>
      <c r="G29" s="11">
        <f t="shared" si="11"/>
        <v>1.3510080722695097</v>
      </c>
      <c r="H29" s="11">
        <f t="shared" si="11"/>
        <v>2.7145939867332851</v>
      </c>
      <c r="I29" s="11">
        <f t="shared" si="11"/>
        <v>6.6212076451138427E-2</v>
      </c>
      <c r="J29" s="11">
        <f t="shared" si="11"/>
        <v>0.11234012558691538</v>
      </c>
      <c r="K29" s="11">
        <f t="shared" si="11"/>
        <v>1.5850657421871639E-2</v>
      </c>
      <c r="L29" s="11">
        <f t="shared" si="11"/>
        <v>0.10319454380033742</v>
      </c>
      <c r="M29" s="11">
        <f t="shared" si="11"/>
        <v>0.10289725315668743</v>
      </c>
      <c r="N29" s="6"/>
      <c r="O29" s="11">
        <f t="shared" si="9"/>
        <v>1.2481364769578929</v>
      </c>
      <c r="P29" s="11">
        <f t="shared" si="9"/>
        <v>1.8230467060679132</v>
      </c>
      <c r="Q29" s="11">
        <f t="shared" si="9"/>
        <v>0.14891211105077523</v>
      </c>
      <c r="R29" s="11">
        <f t="shared" si="9"/>
        <v>1.4076440998564823</v>
      </c>
      <c r="S29" s="11">
        <f t="shared" si="9"/>
        <v>0.41405775113476989</v>
      </c>
      <c r="T29" s="11">
        <f t="shared" ref="T29:V29" si="12">IF(T6="","",(T6/$O$23))</f>
        <v>0.8037871088413725</v>
      </c>
      <c r="U29" s="11">
        <f t="shared" si="12"/>
        <v>0.48442090037769209</v>
      </c>
      <c r="V29" s="11">
        <f t="shared" si="12"/>
        <v>0.15037591729352912</v>
      </c>
    </row>
    <row r="30" spans="1:22" x14ac:dyDescent="0.35">
      <c r="A30" s="227"/>
      <c r="B30" s="11">
        <f t="shared" ref="B30:M30" si="13">IF(B7="","",(B7/$O$23))</f>
        <v>5.1782636740066716E-2</v>
      </c>
      <c r="C30" s="11">
        <f t="shared" si="13"/>
        <v>0.25869443748036919</v>
      </c>
      <c r="D30" s="11">
        <f t="shared" si="13"/>
        <v>0.1030047281097639</v>
      </c>
      <c r="E30" s="11">
        <f t="shared" si="13"/>
        <v>1.5924199438484279</v>
      </c>
      <c r="F30" s="11">
        <f t="shared" si="13"/>
        <v>1.6384322272308505</v>
      </c>
      <c r="G30" s="11">
        <f t="shared" si="13"/>
        <v>1.7224941348656138</v>
      </c>
      <c r="H30" s="11">
        <f t="shared" si="13"/>
        <v>2.4671536560933336</v>
      </c>
      <c r="I30" s="11">
        <f t="shared" si="13"/>
        <v>7.7632435655024049E-2</v>
      </c>
      <c r="J30" s="11">
        <f t="shared" si="13"/>
        <v>3.2732079497243909E-3</v>
      </c>
      <c r="K30" s="11">
        <f t="shared" si="13"/>
        <v>5.7878862184424222E-2</v>
      </c>
      <c r="L30" s="11">
        <f t="shared" si="13"/>
        <v>0.10283297763663805</v>
      </c>
      <c r="M30" s="11">
        <f t="shared" si="13"/>
        <v>8.563907966236993E-2</v>
      </c>
      <c r="N30" s="6"/>
      <c r="O30" s="11">
        <f t="shared" si="9"/>
        <v>0.94461830776862798</v>
      </c>
      <c r="P30" s="11">
        <f t="shared" si="9"/>
        <v>1.7400664860546735</v>
      </c>
      <c r="Q30" s="11">
        <f t="shared" si="9"/>
        <v>8.8714093849661002E-2</v>
      </c>
      <c r="R30" s="11">
        <f t="shared" si="9"/>
        <v>1.296107876445989</v>
      </c>
      <c r="S30" s="11">
        <f t="shared" si="9"/>
        <v>1.7298701107865551</v>
      </c>
      <c r="T30" s="11">
        <f t="shared" ref="T30:V30" si="14">IF(T7="","",(T7/$O$23))</f>
        <v>0.90715431946644531</v>
      </c>
      <c r="U30" s="11">
        <f t="shared" si="14"/>
        <v>1.0072936597285769</v>
      </c>
      <c r="V30" s="11">
        <f t="shared" si="14"/>
        <v>0.97877753944423918</v>
      </c>
    </row>
    <row r="31" spans="1:22" x14ac:dyDescent="0.35">
      <c r="A31" s="227"/>
      <c r="B31" s="11">
        <f t="shared" ref="B31:M31" si="15">IF(B8="","",(B8/$O$23))</f>
        <v>0.18140934272119921</v>
      </c>
      <c r="C31" s="11">
        <f t="shared" si="15"/>
        <v>0.23882688732384338</v>
      </c>
      <c r="D31" s="11">
        <f t="shared" si="15"/>
        <v>9.624598045161839E-2</v>
      </c>
      <c r="E31" s="11">
        <f t="shared" si="15"/>
        <v>0.57540309536864742</v>
      </c>
      <c r="F31" s="11">
        <f t="shared" si="15"/>
        <v>1.2717994245742796</v>
      </c>
      <c r="G31" s="11">
        <f t="shared" si="15"/>
        <v>1.57146983335456</v>
      </c>
      <c r="H31" s="11">
        <f t="shared" si="15"/>
        <v>2.2903653436323039</v>
      </c>
      <c r="I31" s="11">
        <f t="shared" si="15"/>
        <v>0.26202550648887529</v>
      </c>
      <c r="J31" s="11" t="str">
        <f t="shared" si="15"/>
        <v/>
      </c>
      <c r="K31" s="11">
        <f t="shared" si="15"/>
        <v>9.1733428767717159E-2</v>
      </c>
      <c r="L31" s="11">
        <f t="shared" si="15"/>
        <v>3.9227834243415478E-2</v>
      </c>
      <c r="M31" s="11">
        <f t="shared" si="15"/>
        <v>0.16496122404982583</v>
      </c>
      <c r="N31" s="6"/>
      <c r="O31" s="11">
        <f t="shared" si="9"/>
        <v>1.2846197072229881</v>
      </c>
      <c r="P31" s="11">
        <f t="shared" si="9"/>
        <v>1.8023738137538645</v>
      </c>
      <c r="Q31" s="11">
        <f t="shared" si="9"/>
        <v>0.12442248337509774</v>
      </c>
      <c r="R31" s="11">
        <f t="shared" si="9"/>
        <v>1.3318982139868043</v>
      </c>
      <c r="S31" s="11">
        <f t="shared" si="9"/>
        <v>1.5130867159700743</v>
      </c>
      <c r="T31" s="11">
        <f t="shared" ref="T31:V31" si="16">IF(T8="","",(T8/$O$23))</f>
        <v>0.77954646698877827</v>
      </c>
      <c r="U31" s="11">
        <f t="shared" si="16"/>
        <v>0.46352153830868315</v>
      </c>
      <c r="V31" s="11">
        <f t="shared" si="16"/>
        <v>0.9558140299207728</v>
      </c>
    </row>
    <row r="32" spans="1:22" x14ac:dyDescent="0.35">
      <c r="A32" s="227"/>
      <c r="B32" s="11">
        <f t="shared" ref="B32:M32" si="17">IF(B9="","",(B9/$O$23))</f>
        <v>0.13842132510120866</v>
      </c>
      <c r="C32" s="11">
        <f t="shared" si="17"/>
        <v>0.12393350070186397</v>
      </c>
      <c r="D32" s="11">
        <f t="shared" si="17"/>
        <v>0.20379528891583085</v>
      </c>
      <c r="E32" s="11">
        <f t="shared" si="17"/>
        <v>0.54137097475203411</v>
      </c>
      <c r="F32" s="11">
        <f t="shared" si="17"/>
        <v>1.1062002888967539</v>
      </c>
      <c r="G32" s="11">
        <f t="shared" si="17"/>
        <v>1.2258184716897493</v>
      </c>
      <c r="H32" s="11">
        <f t="shared" si="17"/>
        <v>2.4315981663793385</v>
      </c>
      <c r="I32" s="11">
        <f t="shared" si="17"/>
        <v>6.3102982711126007E-2</v>
      </c>
      <c r="J32" s="11">
        <f t="shared" si="17"/>
        <v>1.9356313229914456E-2</v>
      </c>
      <c r="K32" s="11">
        <f t="shared" si="17"/>
        <v>9.7443652005450909E-2</v>
      </c>
      <c r="L32" s="11">
        <f t="shared" si="17"/>
        <v>0.13492727641355493</v>
      </c>
      <c r="M32" s="11">
        <f t="shared" si="17"/>
        <v>7.7059541355819494E-2</v>
      </c>
      <c r="N32" s="6"/>
      <c r="O32" s="11">
        <f t="shared" si="9"/>
        <v>0.33394488257975474</v>
      </c>
      <c r="P32" s="11">
        <f t="shared" si="9"/>
        <v>2.5251147281078823</v>
      </c>
      <c r="Q32" s="11">
        <f t="shared" si="9"/>
        <v>0.21675223886175232</v>
      </c>
      <c r="R32" s="11">
        <f t="shared" si="9"/>
        <v>0.84839196342293099</v>
      </c>
      <c r="S32" s="11">
        <f t="shared" si="9"/>
        <v>1.0592659376160534</v>
      </c>
      <c r="T32" s="11">
        <f t="shared" ref="T32:V32" si="18">IF(T9="","",(T9/$O$23))</f>
        <v>7.0584077252433375E-2</v>
      </c>
      <c r="U32" s="11">
        <f t="shared" si="18"/>
        <v>0.96399403892550917</v>
      </c>
      <c r="V32" s="11">
        <f t="shared" si="18"/>
        <v>0.32039422406235202</v>
      </c>
    </row>
    <row r="33" spans="1:22" x14ac:dyDescent="0.35">
      <c r="A33" s="227"/>
      <c r="B33" s="11">
        <f t="shared" ref="B33:M33" si="19">IF(B10="","",(B10/$O$23))</f>
        <v>0.16634020231499927</v>
      </c>
      <c r="C33" s="11">
        <f t="shared" si="19"/>
        <v>0.44516191017954798</v>
      </c>
      <c r="D33" s="11">
        <f t="shared" si="19"/>
        <v>0.18465715464059859</v>
      </c>
      <c r="E33" s="11">
        <f t="shared" si="19"/>
        <v>5.0038557812128064E-2</v>
      </c>
      <c r="F33" s="11">
        <f t="shared" si="19"/>
        <v>1.9053757928087993</v>
      </c>
      <c r="G33" s="11">
        <f t="shared" si="19"/>
        <v>1.853066384800548</v>
      </c>
      <c r="H33" s="11">
        <f t="shared" si="19"/>
        <v>3.4263257219414114</v>
      </c>
      <c r="I33" s="11">
        <f t="shared" si="19"/>
        <v>5.98127568029364E-2</v>
      </c>
      <c r="J33" s="11">
        <f t="shared" si="19"/>
        <v>0.18843156328501898</v>
      </c>
      <c r="K33" s="11">
        <f t="shared" si="19"/>
        <v>0.11031581760958289</v>
      </c>
      <c r="L33" s="11">
        <f t="shared" si="19"/>
        <v>0.10903026357280436</v>
      </c>
      <c r="M33" s="11">
        <f t="shared" si="19"/>
        <v>5.657083571531344E-2</v>
      </c>
      <c r="N33" s="6"/>
      <c r="O33" s="11">
        <f t="shared" si="9"/>
        <v>1.7677852058954386</v>
      </c>
      <c r="P33" s="11">
        <f t="shared" si="9"/>
        <v>1.7398851793433325</v>
      </c>
      <c r="Q33" s="11">
        <f t="shared" si="9"/>
        <v>0.27697578300056441</v>
      </c>
      <c r="R33" s="11">
        <f t="shared" si="9"/>
        <v>0.93510422172759178</v>
      </c>
      <c r="S33" s="11">
        <f t="shared" si="9"/>
        <v>0.77872240507694357</v>
      </c>
      <c r="T33" s="11">
        <f t="shared" ref="T33:V33" si="20">IF(T10="","",(T10/$O$23))</f>
        <v>0.13218633784167325</v>
      </c>
      <c r="U33" s="11">
        <f t="shared" si="20"/>
        <v>0.61325286769849918</v>
      </c>
      <c r="V33" s="11">
        <f t="shared" si="20"/>
        <v>8.6999119994276952E-2</v>
      </c>
    </row>
    <row r="34" spans="1:22" x14ac:dyDescent="0.35">
      <c r="A34" s="227"/>
      <c r="B34" s="11">
        <f t="shared" ref="B34:M34" si="21">IF(B11="","",(B11/$O$23))</f>
        <v>0.15612392912621384</v>
      </c>
      <c r="C34" s="11">
        <f t="shared" si="21"/>
        <v>0.15714605389310904</v>
      </c>
      <c r="D34" s="11">
        <f t="shared" si="21"/>
        <v>5.7338083827348896E-2</v>
      </c>
      <c r="E34" s="11">
        <f t="shared" si="21"/>
        <v>0.12281677354021855</v>
      </c>
      <c r="F34" s="11">
        <f t="shared" si="21"/>
        <v>0.44572245554991752</v>
      </c>
      <c r="G34" s="11">
        <f t="shared" si="21"/>
        <v>1.5139617008499318</v>
      </c>
      <c r="H34" s="11">
        <f t="shared" si="21"/>
        <v>2.3959014276100814</v>
      </c>
      <c r="I34" s="11">
        <f t="shared" si="21"/>
        <v>5.452069534974658E-2</v>
      </c>
      <c r="J34" s="11">
        <f t="shared" si="21"/>
        <v>2.908539281289451E-2</v>
      </c>
      <c r="K34" s="11">
        <f t="shared" si="21"/>
        <v>8.3495733247362827E-2</v>
      </c>
      <c r="L34" s="11">
        <f t="shared" si="21"/>
        <v>9.5807048030588718E-2</v>
      </c>
      <c r="M34" s="11">
        <f t="shared" si="21"/>
        <v>3.1316447167683857E-2</v>
      </c>
      <c r="N34" s="6"/>
      <c r="O34" s="11">
        <f t="shared" si="9"/>
        <v>1.1615883764987351</v>
      </c>
      <c r="P34" s="11">
        <f t="shared" si="9"/>
        <v>1.3516510892847491</v>
      </c>
      <c r="Q34" s="11">
        <f t="shared" si="9"/>
        <v>0.11874607787533975</v>
      </c>
      <c r="R34" s="11">
        <f t="shared" si="9"/>
        <v>0.45594435775573372</v>
      </c>
      <c r="S34" s="11">
        <f t="shared" si="9"/>
        <v>1.1699694592281065</v>
      </c>
      <c r="T34" s="11">
        <f t="shared" ref="T34:V34" si="22">IF(T11="","",(T11/$O$23))</f>
        <v>0.92765166499355689</v>
      </c>
      <c r="U34" s="11">
        <f t="shared" si="22"/>
        <v>0.1310765051349958</v>
      </c>
      <c r="V34" s="11">
        <f t="shared" si="22"/>
        <v>0.17672600055157278</v>
      </c>
    </row>
    <row r="35" spans="1:22" x14ac:dyDescent="0.35">
      <c r="A35" s="227"/>
      <c r="B35" s="11">
        <f t="shared" ref="B35:M35" si="23">IF(B12="","",(B12/$O$23))</f>
        <v>9.6585815991431401E-2</v>
      </c>
      <c r="C35" s="11">
        <f t="shared" si="23"/>
        <v>0.21700698460923928</v>
      </c>
      <c r="D35" s="11">
        <f t="shared" si="23"/>
        <v>0.1702163696238834</v>
      </c>
      <c r="E35" s="11">
        <f t="shared" si="23"/>
        <v>0.13510282320049224</v>
      </c>
      <c r="F35" s="11">
        <f t="shared" si="23"/>
        <v>1.5981172072562534E-2</v>
      </c>
      <c r="G35" s="11">
        <f t="shared" si="23"/>
        <v>1.3777942079863812</v>
      </c>
      <c r="H35" s="11">
        <f t="shared" si="23"/>
        <v>3.123741707764514</v>
      </c>
      <c r="I35" s="11">
        <f t="shared" si="23"/>
        <v>0.11694426879599218</v>
      </c>
      <c r="J35" s="11">
        <f t="shared" si="23"/>
        <v>6.5102069201297227E-2</v>
      </c>
      <c r="K35" s="11">
        <f t="shared" si="23"/>
        <v>8.4234574459498668E-2</v>
      </c>
      <c r="L35" s="11">
        <f t="shared" si="23"/>
        <v>0.14653640404903159</v>
      </c>
      <c r="M35" s="11">
        <f t="shared" si="23"/>
        <v>0.1573896725139072</v>
      </c>
      <c r="N35" s="6"/>
      <c r="O35" s="11">
        <f t="shared" si="9"/>
        <v>2.0266212851531877</v>
      </c>
      <c r="P35" s="11">
        <f t="shared" si="9"/>
        <v>2.238877117573685</v>
      </c>
      <c r="Q35" s="11">
        <f t="shared" si="9"/>
        <v>6.6379070623052192E-2</v>
      </c>
      <c r="R35" s="11" t="str">
        <f t="shared" si="9"/>
        <v/>
      </c>
      <c r="S35" s="11">
        <f t="shared" si="9"/>
        <v>1.2316683294584796</v>
      </c>
      <c r="T35" s="11">
        <f t="shared" ref="T35:V35" si="24">IF(T12="","",(T12/$O$23))</f>
        <v>1.4187747610443409</v>
      </c>
      <c r="U35" s="11">
        <f t="shared" si="24"/>
        <v>0.69985647288372821</v>
      </c>
      <c r="V35" s="11">
        <f t="shared" si="24"/>
        <v>0.86674884249723716</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0.36486895671533809</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0.20580576434743647</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1.2740296498490411</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0.57988632380103933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1.0919247089845241</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1.0741851890803866</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1.3317170381828363</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1.1928000977681714</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SAC-0.01mg/L</v>
      </c>
      <c r="J45" s="7" t="str">
        <f t="shared" si="41"/>
        <v>SAC-0.1mg/L</v>
      </c>
      <c r="K45" s="7" t="str">
        <f t="shared" ref="K45:M45" si="42">K4</f>
        <v>SAC-1mg/L</v>
      </c>
      <c r="L45" s="7" t="str">
        <f t="shared" si="42"/>
        <v>SAC-10mg/L</v>
      </c>
      <c r="M45" s="7" t="str">
        <f t="shared" si="42"/>
        <v>SAC-100mg/L</v>
      </c>
      <c r="N45" s="7"/>
      <c r="O45" s="7" t="str">
        <f t="shared" si="41"/>
        <v>Testo -30µg/L</v>
      </c>
      <c r="P45" s="7" t="str">
        <f t="shared" si="41"/>
        <v>Testo 30µg/L + EE2 -64ng/L</v>
      </c>
      <c r="Q45" s="7" t="str">
        <f t="shared" si="41"/>
        <v>Testo 30µg/L + FAD-10mg/L</v>
      </c>
      <c r="R45" s="7" t="str">
        <f t="shared" si="41"/>
        <v>SAC-0,01mg/L + Testostérone</v>
      </c>
      <c r="S45" s="7" t="str">
        <f t="shared" ref="S45:V45" si="43">S4</f>
        <v>SAC-0,1mg/L + Testostérone</v>
      </c>
      <c r="T45" s="7" t="str">
        <f t="shared" si="43"/>
        <v>SAC-1mg/L + Testostérone</v>
      </c>
      <c r="U45" s="7" t="str">
        <f t="shared" si="43"/>
        <v>SAC-10mg/L + Testostérone</v>
      </c>
      <c r="V45" s="7" t="str">
        <f t="shared" si="43"/>
        <v>SAC-100mg/L + Testostérone</v>
      </c>
    </row>
    <row r="46" spans="1:22" x14ac:dyDescent="0.35">
      <c r="A46" s="8" t="s">
        <v>0</v>
      </c>
      <c r="B46" s="10">
        <f t="shared" ref="B46:H46" si="44">AVERAGE(B28:B43)</f>
        <v>0.12663860338043909</v>
      </c>
      <c r="C46" s="10">
        <f t="shared" si="44"/>
        <v>0.21837829933862951</v>
      </c>
      <c r="D46" s="10">
        <f t="shared" si="44"/>
        <v>0.16142842677982053</v>
      </c>
      <c r="E46" s="10">
        <f t="shared" si="44"/>
        <v>0.4622823800266177</v>
      </c>
      <c r="F46" s="10">
        <f t="shared" si="44"/>
        <v>1.0957576604969597</v>
      </c>
      <c r="G46" s="10">
        <f t="shared" si="44"/>
        <v>1.5118614229605791</v>
      </c>
      <c r="H46" s="10">
        <f t="shared" si="44"/>
        <v>2.7467237123179684</v>
      </c>
      <c r="I46" s="10">
        <f>AVERAGE(I28:I43)</f>
        <v>0.11038518215375023</v>
      </c>
      <c r="J46" s="9">
        <f>AVERAGE(J28:J43)</f>
        <v>8.8279693317204297E-2</v>
      </c>
      <c r="K46" s="9">
        <f t="shared" ref="K46:M46" si="45">AVERAGE(K28:K43)</f>
        <v>7.5391961423866297E-2</v>
      </c>
      <c r="L46" s="9">
        <f t="shared" si="45"/>
        <v>9.1487726537901798E-2</v>
      </c>
      <c r="M46" s="9">
        <f t="shared" si="45"/>
        <v>9.7794451037736707E-2</v>
      </c>
      <c r="N46" s="8" t="s">
        <v>0</v>
      </c>
      <c r="O46" s="10">
        <f t="shared" ref="O46:R46" si="46">AVERAGE(O28:O43)</f>
        <v>1</v>
      </c>
      <c r="P46" s="10">
        <f t="shared" si="46"/>
        <v>1.7931633728185332</v>
      </c>
      <c r="Q46" s="10">
        <f t="shared" si="46"/>
        <v>0.13879662017563141</v>
      </c>
      <c r="R46" s="10">
        <f t="shared" si="46"/>
        <v>1.0902217723737542</v>
      </c>
      <c r="S46" s="10">
        <f t="shared" ref="S46:V46" si="47">AVERAGE(S28:S43)</f>
        <v>1.1650623636315056</v>
      </c>
      <c r="T46" s="10">
        <f t="shared" si="47"/>
        <v>0.76716436949817957</v>
      </c>
      <c r="U46" s="10">
        <f t="shared" si="47"/>
        <v>0.67296399674434448</v>
      </c>
      <c r="V46" s="10">
        <f t="shared" si="47"/>
        <v>0.50295654983299098</v>
      </c>
    </row>
    <row r="47" spans="1:22" x14ac:dyDescent="0.35">
      <c r="A47" s="8" t="s">
        <v>1</v>
      </c>
      <c r="B47" s="8">
        <f t="shared" ref="B47:J47" si="48">STDEV(B28:B43)</f>
        <v>4.6025774407080819E-2</v>
      </c>
      <c r="C47" s="8">
        <f t="shared" si="48"/>
        <v>0.10446933189522628</v>
      </c>
      <c r="D47" s="8">
        <f t="shared" si="48"/>
        <v>6.8480459274150002E-2</v>
      </c>
      <c r="E47" s="8">
        <f t="shared" si="48"/>
        <v>0.49550883500348303</v>
      </c>
      <c r="F47" s="8">
        <f t="shared" si="48"/>
        <v>0.61591547628676002</v>
      </c>
      <c r="G47" s="8">
        <f t="shared" si="48"/>
        <v>0.20391684908703886</v>
      </c>
      <c r="H47" s="8">
        <f t="shared" si="48"/>
        <v>0.42363338542626383</v>
      </c>
      <c r="I47" s="8">
        <f t="shared" si="48"/>
        <v>7.4856234449907688E-2</v>
      </c>
      <c r="J47" s="8">
        <f t="shared" si="48"/>
        <v>8.0819817177638142E-2</v>
      </c>
      <c r="K47" s="8">
        <f t="shared" ref="K47:M47" si="49">STDEV(K28:K43)</f>
        <v>2.9624344144144745E-2</v>
      </c>
      <c r="L47" s="8">
        <f t="shared" si="49"/>
        <v>4.8620279554150776E-2</v>
      </c>
      <c r="M47" s="8">
        <f t="shared" si="49"/>
        <v>4.6076904252863003E-2</v>
      </c>
      <c r="N47" s="8" t="s">
        <v>1</v>
      </c>
      <c r="O47" s="8">
        <f t="shared" ref="O47:R47" si="50">STDEV(O28:O43)</f>
        <v>0.546783372716102</v>
      </c>
      <c r="P47" s="8">
        <f t="shared" si="50"/>
        <v>0.44454975840687722</v>
      </c>
      <c r="Q47" s="8">
        <f t="shared" si="50"/>
        <v>7.4104280794790464E-2</v>
      </c>
      <c r="R47" s="8">
        <f t="shared" si="50"/>
        <v>0.35526707298524696</v>
      </c>
      <c r="S47" s="8">
        <f t="shared" ref="S47:V47" si="51">STDEV(S28:S43)</f>
        <v>0.42020808373799218</v>
      </c>
      <c r="T47" s="8">
        <f t="shared" si="51"/>
        <v>0.4581130372268209</v>
      </c>
      <c r="U47" s="8">
        <f t="shared" si="51"/>
        <v>0.31497384098090225</v>
      </c>
      <c r="V47" s="8">
        <f t="shared" si="51"/>
        <v>0.37818147908911048</v>
      </c>
    </row>
    <row r="48" spans="1:22" x14ac:dyDescent="0.35">
      <c r="A48" s="8" t="s">
        <v>2</v>
      </c>
      <c r="B48" s="8">
        <f t="shared" ref="B48:J48" si="52" xml:space="preserve"> B47/SQRT(COUNT(B28:B43))</f>
        <v>1.6272568596304545E-2</v>
      </c>
      <c r="C48" s="8">
        <f t="shared" si="52"/>
        <v>3.6935486504571284E-2</v>
      </c>
      <c r="D48" s="8">
        <f t="shared" si="52"/>
        <v>2.4211498565760329E-2</v>
      </c>
      <c r="E48" s="8">
        <f t="shared" si="52"/>
        <v>0.17518882868440447</v>
      </c>
      <c r="F48" s="8">
        <f t="shared" si="52"/>
        <v>0.2177590049600551</v>
      </c>
      <c r="G48" s="8">
        <f t="shared" si="52"/>
        <v>7.2095493393819501E-2</v>
      </c>
      <c r="H48" s="8">
        <f t="shared" si="52"/>
        <v>0.14977701978596272</v>
      </c>
      <c r="I48" s="8">
        <f t="shared" si="52"/>
        <v>2.6465675496809886E-2</v>
      </c>
      <c r="J48" s="8">
        <f t="shared" si="52"/>
        <v>3.0547019608248089E-2</v>
      </c>
      <c r="K48" s="8">
        <f t="shared" ref="K48:M48" si="53" xml:space="preserve"> K47/SQRT(COUNT(K28:K43))</f>
        <v>1.0473787316264369E-2</v>
      </c>
      <c r="L48" s="8">
        <f t="shared" si="53"/>
        <v>1.7189864687962832E-2</v>
      </c>
      <c r="M48" s="8">
        <f t="shared" si="53"/>
        <v>1.6290645726641351E-2</v>
      </c>
      <c r="N48" s="8" t="s">
        <v>2</v>
      </c>
      <c r="O48" s="8">
        <f t="shared" ref="O48:R48" si="54" xml:space="preserve"> O47/SQRT(COUNT(O28:O43))</f>
        <v>0.1366958431790255</v>
      </c>
      <c r="P48" s="8">
        <f t="shared" si="54"/>
        <v>0.15717207437217215</v>
      </c>
      <c r="Q48" s="8">
        <f t="shared" si="54"/>
        <v>2.6199819732474188E-2</v>
      </c>
      <c r="R48" s="8">
        <f t="shared" si="54"/>
        <v>0.13427833201839953</v>
      </c>
      <c r="S48" s="8">
        <f t="shared" ref="S48:V48" si="55" xml:space="preserve"> S47/SQRT(COUNT(S28:S43))</f>
        <v>0.14856599276026944</v>
      </c>
      <c r="T48" s="8">
        <f t="shared" si="55"/>
        <v>0.16196741758652516</v>
      </c>
      <c r="U48" s="8">
        <f t="shared" si="55"/>
        <v>0.11136006942698462</v>
      </c>
      <c r="V48" s="8">
        <f t="shared" si="55"/>
        <v>0.13370734419153427</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SAC-0.01mg/L</v>
      </c>
      <c r="J52" s="46" t="str">
        <f>J4</f>
        <v>SAC-0.1mg/L</v>
      </c>
      <c r="K52" s="46" t="str">
        <f t="shared" ref="K52:M52" si="57">K4</f>
        <v>SAC-1mg/L</v>
      </c>
      <c r="L52" s="46" t="str">
        <f t="shared" si="57"/>
        <v>SAC-10mg/L</v>
      </c>
      <c r="M52" s="46" t="str">
        <f t="shared" si="57"/>
        <v>SAC-100mg/L</v>
      </c>
      <c r="N52" s="47"/>
      <c r="O52" s="46" t="str">
        <f>O27</f>
        <v>Testo -30µg/L</v>
      </c>
      <c r="P52" s="46" t="str">
        <f>P27</f>
        <v>Testo 30µg/L + EE2 -64ng/L</v>
      </c>
      <c r="Q52" s="46" t="str">
        <f>Q27</f>
        <v>Testo 30µg/L + FAD-10mg/L</v>
      </c>
      <c r="R52" s="46" t="str">
        <f>R27</f>
        <v>SAC-0,01mg/L + Testostérone</v>
      </c>
      <c r="S52" s="46" t="str">
        <f t="shared" ref="S52:V52" si="58">S27</f>
        <v>SAC-0,1mg/L + Testostérone</v>
      </c>
      <c r="T52" s="46" t="str">
        <f t="shared" si="58"/>
        <v>SAC-1mg/L + Testostérone</v>
      </c>
      <c r="U52" s="46" t="str">
        <f t="shared" si="58"/>
        <v>SAC-10mg/L + Testostérone</v>
      </c>
      <c r="V52" s="46" t="str">
        <f t="shared" si="58"/>
        <v>SAC-100mg/L + Testostérone</v>
      </c>
    </row>
    <row r="53" spans="1:22" s="3" customFormat="1" x14ac:dyDescent="0.35">
      <c r="A53" s="61" t="s">
        <v>32</v>
      </c>
      <c r="B53" s="142">
        <f t="shared" ref="B53" si="59">B46</f>
        <v>0.12663860338043909</v>
      </c>
      <c r="C53" s="142">
        <f t="shared" ref="C53:V53" si="60">C46</f>
        <v>0.21837829933862951</v>
      </c>
      <c r="D53" s="142">
        <f t="shared" si="60"/>
        <v>0.16142842677982053</v>
      </c>
      <c r="E53" s="142">
        <f t="shared" si="60"/>
        <v>0.4622823800266177</v>
      </c>
      <c r="F53" s="142">
        <f t="shared" si="60"/>
        <v>1.0957576604969597</v>
      </c>
      <c r="G53" s="142">
        <f t="shared" si="60"/>
        <v>1.5118614229605791</v>
      </c>
      <c r="H53" s="142">
        <f t="shared" si="60"/>
        <v>2.7467237123179684</v>
      </c>
      <c r="I53" s="142">
        <f t="shared" si="60"/>
        <v>0.11038518215375023</v>
      </c>
      <c r="J53" s="142">
        <f t="shared" si="60"/>
        <v>8.8279693317204297E-2</v>
      </c>
      <c r="K53" s="142">
        <f t="shared" si="60"/>
        <v>7.5391961423866297E-2</v>
      </c>
      <c r="L53" s="142">
        <f t="shared" si="60"/>
        <v>9.1487726537901798E-2</v>
      </c>
      <c r="M53" s="142">
        <f t="shared" si="60"/>
        <v>9.7794451037736707E-2</v>
      </c>
      <c r="N53" s="142"/>
      <c r="O53" s="142">
        <f t="shared" si="60"/>
        <v>1</v>
      </c>
      <c r="P53" s="142">
        <f t="shared" si="60"/>
        <v>1.7931633728185332</v>
      </c>
      <c r="Q53" s="142">
        <f t="shared" si="60"/>
        <v>0.13879662017563141</v>
      </c>
      <c r="R53" s="142">
        <f t="shared" si="60"/>
        <v>1.0902217723737542</v>
      </c>
      <c r="S53" s="142">
        <f t="shared" si="60"/>
        <v>1.1650623636315056</v>
      </c>
      <c r="T53" s="142">
        <f t="shared" si="60"/>
        <v>0.76716436949817957</v>
      </c>
      <c r="U53" s="142">
        <f t="shared" si="60"/>
        <v>0.67296399674434448</v>
      </c>
      <c r="V53" s="142">
        <f t="shared" si="60"/>
        <v>0.50295654983299098</v>
      </c>
    </row>
    <row r="54" spans="1:22" s="3" customFormat="1" x14ac:dyDescent="0.35">
      <c r="A54" s="61" t="s">
        <v>2</v>
      </c>
      <c r="B54" s="142">
        <f t="shared" ref="B54" si="61">B48</f>
        <v>1.6272568596304545E-2</v>
      </c>
      <c r="C54" s="142">
        <f t="shared" ref="C54:V54" si="62">C48</f>
        <v>3.6935486504571284E-2</v>
      </c>
      <c r="D54" s="142">
        <f t="shared" si="62"/>
        <v>2.4211498565760329E-2</v>
      </c>
      <c r="E54" s="142">
        <f t="shared" si="62"/>
        <v>0.17518882868440447</v>
      </c>
      <c r="F54" s="142">
        <f t="shared" si="62"/>
        <v>0.2177590049600551</v>
      </c>
      <c r="G54" s="142">
        <f t="shared" si="62"/>
        <v>7.2095493393819501E-2</v>
      </c>
      <c r="H54" s="142">
        <f t="shared" si="62"/>
        <v>0.14977701978596272</v>
      </c>
      <c r="I54" s="142">
        <f t="shared" si="62"/>
        <v>2.6465675496809886E-2</v>
      </c>
      <c r="J54" s="142">
        <f t="shared" si="62"/>
        <v>3.0547019608248089E-2</v>
      </c>
      <c r="K54" s="142">
        <f t="shared" si="62"/>
        <v>1.0473787316264369E-2</v>
      </c>
      <c r="L54" s="142">
        <f t="shared" si="62"/>
        <v>1.7189864687962832E-2</v>
      </c>
      <c r="M54" s="142">
        <f t="shared" si="62"/>
        <v>1.6290645726641351E-2</v>
      </c>
      <c r="N54" s="142"/>
      <c r="O54" s="142">
        <f t="shared" si="62"/>
        <v>0.1366958431790255</v>
      </c>
      <c r="P54" s="142">
        <f t="shared" si="62"/>
        <v>0.15717207437217215</v>
      </c>
      <c r="Q54" s="142">
        <f t="shared" si="62"/>
        <v>2.6199819732474188E-2</v>
      </c>
      <c r="R54" s="142">
        <f t="shared" si="62"/>
        <v>0.13427833201839953</v>
      </c>
      <c r="S54" s="142">
        <f t="shared" si="62"/>
        <v>0.14856599276026944</v>
      </c>
      <c r="T54" s="142">
        <f t="shared" si="62"/>
        <v>0.16196741758652516</v>
      </c>
      <c r="U54" s="142">
        <f t="shared" si="62"/>
        <v>0.11136006942698462</v>
      </c>
      <c r="V54" s="142">
        <f t="shared" si="62"/>
        <v>0.13370734419153427</v>
      </c>
    </row>
    <row r="55" spans="1:22" s="3" customFormat="1" x14ac:dyDescent="0.35">
      <c r="A55" s="61" t="s">
        <v>79</v>
      </c>
      <c r="B55" s="142">
        <f>(B53*100/$B53)-100</f>
        <v>0</v>
      </c>
      <c r="C55" s="142">
        <f t="shared" ref="C55:M55" si="63">(C53*100/$B53)-100</f>
        <v>72.442125473061537</v>
      </c>
      <c r="D55" s="142">
        <f t="shared" si="63"/>
        <v>27.47173647743746</v>
      </c>
      <c r="E55" s="142">
        <f t="shared" si="63"/>
        <v>265.04064928595301</v>
      </c>
      <c r="F55" s="142">
        <f t="shared" si="63"/>
        <v>765.26353832658674</v>
      </c>
      <c r="G55" s="142">
        <f t="shared" si="63"/>
        <v>1093.8393053962761</v>
      </c>
      <c r="H55" s="142">
        <f t="shared" si="63"/>
        <v>2068.9466236977105</v>
      </c>
      <c r="I55" s="142">
        <f t="shared" si="63"/>
        <v>-12.834491847530444</v>
      </c>
      <c r="J55" s="142">
        <f t="shared" si="63"/>
        <v>-30.290060881356652</v>
      </c>
      <c r="K55" s="142">
        <f t="shared" si="63"/>
        <v>-40.46684074888374</v>
      </c>
      <c r="L55" s="142">
        <f t="shared" si="63"/>
        <v>-27.756841835138857</v>
      </c>
      <c r="M55" s="142">
        <f t="shared" si="63"/>
        <v>-22.776745457347417</v>
      </c>
      <c r="N55" s="142"/>
      <c r="O55" s="142">
        <f>(O53*100/$O53)-100</f>
        <v>0</v>
      </c>
      <c r="P55" s="142">
        <f t="shared" ref="P55:V55" si="64">(P53*100/$O53)-100</f>
        <v>79.316337281853322</v>
      </c>
      <c r="Q55" s="142">
        <f t="shared" si="64"/>
        <v>-86.120337982436865</v>
      </c>
      <c r="R55" s="142">
        <f t="shared" si="64"/>
        <v>9.0221772373754163</v>
      </c>
      <c r="S55" s="142">
        <f t="shared" si="64"/>
        <v>16.506236363150563</v>
      </c>
      <c r="T55" s="142">
        <f t="shared" si="64"/>
        <v>-23.283563050182039</v>
      </c>
      <c r="U55" s="142">
        <f t="shared" si="64"/>
        <v>-32.703600325565546</v>
      </c>
      <c r="V55" s="142">
        <f t="shared" si="64"/>
        <v>-49.704345016700898</v>
      </c>
    </row>
    <row r="56" spans="1:22" s="3" customFormat="1" x14ac:dyDescent="0.35">
      <c r="A56" s="61" t="s">
        <v>81</v>
      </c>
      <c r="B56" s="142">
        <f>[1]!SWTEST(B28:B43)</f>
        <v>0.49613902193553028</v>
      </c>
      <c r="C56" s="142">
        <f>[1]!SWTEST(C28:C43)</f>
        <v>7.6196616214963764E-2</v>
      </c>
      <c r="D56" s="142">
        <f>[1]!SWTEST(D28:D43)</f>
        <v>0.57565743526382407</v>
      </c>
      <c r="E56" s="142">
        <f>[1]!SWTEST(E28:E43)</f>
        <v>1.3129769614778297E-2</v>
      </c>
      <c r="F56" s="142">
        <f>[1]!SWTEST(F28:F43)</f>
        <v>0.78219880002005771</v>
      </c>
      <c r="G56" s="142">
        <f>[1]!SWTEST(G28:G43)</f>
        <v>0.93815423517799634</v>
      </c>
      <c r="H56" s="142">
        <f>[1]!SWTEST(H28:H43)</f>
        <v>0.19832424490218648</v>
      </c>
      <c r="I56" s="142">
        <f>[1]!SWTEST(I28:I43)</f>
        <v>1.6015586925856806E-2</v>
      </c>
      <c r="J56" s="142">
        <f>[1]!SWTEST(J28:J43)</f>
        <v>0.2300424318407247</v>
      </c>
      <c r="K56" s="142">
        <f>[1]!SWTEST(K28:K43)</f>
        <v>0.37501382280586593</v>
      </c>
      <c r="L56" s="142">
        <f>[1]!SWTEST(L28:L43)</f>
        <v>0.2131629268166173</v>
      </c>
      <c r="M56" s="142">
        <f>[1]!SWTEST(M28:M43)</f>
        <v>0.72173543439339005</v>
      </c>
      <c r="N56" s="142"/>
      <c r="O56" s="142">
        <f>[1]!SWTEST(O28:O43)</f>
        <v>0.30047561213548069</v>
      </c>
      <c r="P56" s="142">
        <f>[1]!SWTEST(P28:P43)</f>
        <v>0.70972935696322281</v>
      </c>
      <c r="Q56" s="142">
        <f>[1]!SWTEST(Q28:Q43)</f>
        <v>0.22958518485588286</v>
      </c>
      <c r="R56" s="142">
        <f>[1]!SWTEST(R28:R43)</f>
        <v>0.12656147475724189</v>
      </c>
      <c r="S56" s="142">
        <f>[1]!SWTEST(S28:S43)</f>
        <v>0.90881824784631848</v>
      </c>
      <c r="T56" s="142">
        <f>[1]!SWTEST(T28:T43)</f>
        <v>0.31855268656504265</v>
      </c>
      <c r="U56" s="142">
        <f>[1]!SWTEST(U28:U43)</f>
        <v>0.42214710348544981</v>
      </c>
      <c r="V56" s="142">
        <f>[1]!SWTEST(V28:V43)</f>
        <v>0.10445368790780885</v>
      </c>
    </row>
    <row r="57" spans="1:22" s="3" customFormat="1" x14ac:dyDescent="0.35">
      <c r="A57" s="61" t="s">
        <v>85</v>
      </c>
      <c r="B57" s="142" t="str">
        <f>IF(B56&gt;0.05,"Oui","Non")</f>
        <v>Oui</v>
      </c>
      <c r="C57" s="142" t="str">
        <f t="shared" ref="C57:V57" si="65">IF(C56&gt;0.05,"Oui","Non")</f>
        <v>Oui</v>
      </c>
      <c r="D57" s="142" t="str">
        <f t="shared" si="65"/>
        <v>Oui</v>
      </c>
      <c r="E57" s="142" t="str">
        <f t="shared" si="65"/>
        <v>Non</v>
      </c>
      <c r="F57" s="142" t="str">
        <f t="shared" si="65"/>
        <v>Oui</v>
      </c>
      <c r="G57" s="142" t="str">
        <f t="shared" si="65"/>
        <v>Oui</v>
      </c>
      <c r="H57" s="142" t="str">
        <f t="shared" si="65"/>
        <v>Oui</v>
      </c>
      <c r="I57" s="142" t="str">
        <f t="shared" si="65"/>
        <v>Non</v>
      </c>
      <c r="J57" s="142" t="str">
        <f t="shared" si="65"/>
        <v>Oui</v>
      </c>
      <c r="K57" s="142" t="str">
        <f t="shared" si="65"/>
        <v>Oui</v>
      </c>
      <c r="L57" s="142" t="str">
        <f t="shared" si="65"/>
        <v>Oui</v>
      </c>
      <c r="M57" s="142" t="str">
        <f t="shared" si="65"/>
        <v>Oui</v>
      </c>
      <c r="N57" s="142"/>
      <c r="O57" s="142" t="str">
        <f t="shared" si="65"/>
        <v>Oui</v>
      </c>
      <c r="P57" s="142" t="str">
        <f t="shared" si="65"/>
        <v>Oui</v>
      </c>
      <c r="Q57" s="142" t="str">
        <f t="shared" si="65"/>
        <v>Oui</v>
      </c>
      <c r="R57" s="142" t="str">
        <f t="shared" si="65"/>
        <v>Oui</v>
      </c>
      <c r="S57" s="142" t="str">
        <f t="shared" si="65"/>
        <v>Oui</v>
      </c>
      <c r="T57" s="142" t="str">
        <f t="shared" si="65"/>
        <v>Oui</v>
      </c>
      <c r="U57" s="142" t="str">
        <f t="shared" si="65"/>
        <v>Oui</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T-Test Welch</v>
      </c>
      <c r="D59" s="151" t="str">
        <f t="shared" si="66"/>
        <v>T-Test Welch</v>
      </c>
      <c r="E59" s="151" t="str">
        <f t="shared" si="66"/>
        <v>MW</v>
      </c>
      <c r="F59" s="151" t="str">
        <f t="shared" si="66"/>
        <v>T-Test Welch</v>
      </c>
      <c r="G59" s="151" t="str">
        <f t="shared" si="66"/>
        <v>T-Test Welch</v>
      </c>
      <c r="H59" s="151" t="str">
        <f t="shared" si="66"/>
        <v>T-Test Welch</v>
      </c>
      <c r="I59" s="151" t="str">
        <f t="shared" si="66"/>
        <v>MW</v>
      </c>
      <c r="J59" s="151" t="str">
        <f t="shared" si="66"/>
        <v>T-Test Welch</v>
      </c>
      <c r="K59" s="151" t="str">
        <f t="shared" si="66"/>
        <v>T-Test Welch</v>
      </c>
      <c r="L59" s="151" t="str">
        <f t="shared" si="66"/>
        <v>T-Test Welch</v>
      </c>
      <c r="M59" s="151" t="str">
        <f t="shared" si="66"/>
        <v>T-Test Welch</v>
      </c>
      <c r="N59" s="151"/>
      <c r="O59" s="151" t="str">
        <f t="shared" si="66"/>
        <v>T-Test Welch</v>
      </c>
      <c r="P59" s="151" t="str">
        <f>IF($O57="Non",IF(P57="Non","MW",IF(P57="Oui","MW","")),IF($O57="Oui",IF(P57="Oui","T-Test Welch",IF(P57="Non","MW",""))))</f>
        <v>T-Test Welch</v>
      </c>
      <c r="Q59" s="151" t="str">
        <f t="shared" ref="Q59:V59" si="67">IF($O57="Non",IF(Q57="Non","MW",IF(Q57="Oui","MW","")),IF($O57="Oui",IF(Q57="Oui","T-Test Welch",IF(Q57="Non","MW",""))))</f>
        <v>T-Test Welch</v>
      </c>
      <c r="R59" s="151" t="str">
        <f t="shared" si="67"/>
        <v>T-Test Welch</v>
      </c>
      <c r="S59" s="151" t="str">
        <f t="shared" si="67"/>
        <v>T-Test Welch</v>
      </c>
      <c r="T59" s="151" t="str">
        <f t="shared" si="67"/>
        <v>T-Test Welch</v>
      </c>
      <c r="U59" s="151" t="str">
        <f t="shared" si="67"/>
        <v>T-Test Welch</v>
      </c>
      <c r="V59" s="151" t="str">
        <f t="shared" si="67"/>
        <v>T-Test Welch</v>
      </c>
    </row>
    <row r="60" spans="1:22" s="3" customFormat="1" x14ac:dyDescent="0.35">
      <c r="A60" s="61" t="s">
        <v>83</v>
      </c>
      <c r="B60" s="152"/>
      <c r="C60" s="152">
        <f>IF(C59="MW",[1]!MTEST($B28:$B43,C28:C43,2), IF(C59="T-Test Welch",_xlfn.T.TEST($B28:$B43,C28:C43,2,3),""))</f>
        <v>4.7327625800299346E-2</v>
      </c>
      <c r="D60" s="152">
        <f>IF(D59="MW",[1]!MTEST($B28:$B43,D28:D43,2), IF(D59="T-Test Welch",_xlfn.T.TEST($B28:$B43,D28:D43,2,3),""))</f>
        <v>0.25561691398308267</v>
      </c>
      <c r="E60" s="152">
        <f>IF(E59="MW",[1]!MTEST($B28:$B43,E28:E43,2), IF(E59="T-Test Welch",_xlfn.T.TEST($B28:$B43,E28:E43,2,3),""))</f>
        <v>0.14148212148279327</v>
      </c>
      <c r="F60" s="152">
        <f>IF(F59="MW",[1]!MTEST($B28:$B43,F28:F43,2), IF(F59="T-Test Welch",_xlfn.T.TEST($B28:$B43,F28:F43,2,3),""))</f>
        <v>2.9340641231554686E-3</v>
      </c>
      <c r="G60" s="152">
        <f>IF(G59="MW",[1]!MTEST($B28:$B43,G28:G43,2), IF(G59="T-Test Welch",_xlfn.T.TEST($B28:$B43,G28:G43,2,3),""))</f>
        <v>1.0399374257668527E-7</v>
      </c>
      <c r="H60" s="152">
        <f>IF(H59="MW",[1]!MTEST($B28:$B43,H28:H43,2), IF(H59="T-Test Welch",_xlfn.T.TEST($B28:$B43,H28:H43,2,3),""))</f>
        <v>4.0135040485520942E-7</v>
      </c>
      <c r="I60" s="152">
        <f>IF(I59="MW",[1]!MTEST($B28:$B43,I28:I43,2), IF(I59="T-Test Welch",_xlfn.T.TEST($B28:$B43,I28:I43,2,3),""))</f>
        <v>0.46224994612554271</v>
      </c>
      <c r="J60" s="152">
        <f>IF(J59="MW",[1]!MTEST($B28:$B43,J28:J43,2), IF(J59="T-Test Welch",_xlfn.T.TEST($B28:$B43,J28:J43,2,3),""))</f>
        <v>0.2957211788425439</v>
      </c>
      <c r="K60" s="152">
        <f>IF(K59="MW",[1]!MTEST($B28:$B43,K28:K43,2), IF(K59="T-Test Welch",_xlfn.T.TEST($B28:$B43,K28:K43,2,3),""))</f>
        <v>2.1315620915750528E-2</v>
      </c>
      <c r="L60" s="152">
        <f>IF(L59="MW",[1]!MTEST($B28:$B43,L28:L43,2), IF(L59="T-Test Welch",_xlfn.T.TEST($B28:$B43,L28:L43,2,3),""))</f>
        <v>0.15977173273205539</v>
      </c>
      <c r="M60" s="152">
        <f>IF(M59="MW",[1]!MTEST($B28:$B43,M28:M43,2), IF(M59="T-Test Welch",_xlfn.T.TEST($B28:$B43,M28:M43,2,3),""))</f>
        <v>0.23083772458943722</v>
      </c>
      <c r="N60" s="152"/>
      <c r="O60" s="152">
        <f>IF(O59="MW",[1]!MTEST($B28:$B43,O28:O43,2), IF(O59="T-Test Welch",_xlfn.T.TEST($B28:$B43,O28:O43,2,3),""))</f>
        <v>1.1570546622052289E-5</v>
      </c>
      <c r="P60" s="152">
        <f>IF(P59="MW",[1]!MTEST($O28:$O43,P28:P43,2), IF(P59="T-Test Welch",_xlfn.T.TEST($O28:$O43,P28:P43,2,3),""))</f>
        <v>1.4012048736136858E-3</v>
      </c>
      <c r="Q60" s="152">
        <f>IF(Q59="MW",[1]!MTEST($O28:$O43,Q28:Q43,2), IF(Q59="T-Test Welch",_xlfn.T.TEST($O28:$O43,Q28:Q43,2,3),""))</f>
        <v>1.2753568658130743E-5</v>
      </c>
      <c r="R60" s="152">
        <f>IF(R59="MW",[1]!MTEST($O28:$O43,R28:R43,2), IF(R59="T-Test Welch",_xlfn.T.TEST($O28:$O43,R28:R43,2,3),""))</f>
        <v>0.64359666266576132</v>
      </c>
      <c r="S60" s="152">
        <f>IF(S59="MW",[1]!MTEST($O28:$O43,S28:S43,2), IF(S59="T-Test Welch",_xlfn.T.TEST($O28:$O43,S28:S43,2,3),""))</f>
        <v>0.4243403696520186</v>
      </c>
      <c r="T60" s="152">
        <f>IF(T59="MW",[1]!MTEST($O28:$O43,T28:T43,2), IF(T59="T-Test Welch",_xlfn.T.TEST($O28:$O43,T28:T43,2,3),""))</f>
        <v>0.28763351633148387</v>
      </c>
      <c r="U60" s="152">
        <f>IF(U59="MW",[1]!MTEST($O28:$O43,U28:U43,2), IF(U59="T-Test Welch",_xlfn.T.TEST($O28:$O43,U28:U43,2,3),""))</f>
        <v>7.7476221197524925E-2</v>
      </c>
      <c r="V60" s="152">
        <f>IF(V59="MW",[1]!MTEST($O28:$O43,V28:V43,2), IF(V59="T-Test Welch",_xlfn.T.TEST($O28:$O43,V28:V43,2,3),""))</f>
        <v>1.7421779055752186E-2</v>
      </c>
    </row>
    <row r="61" spans="1:22" s="3" customFormat="1" ht="15" thickBot="1" x14ac:dyDescent="0.4">
      <c r="A61" s="62" t="s">
        <v>84</v>
      </c>
      <c r="B61" s="143"/>
      <c r="C61" s="143" t="str">
        <f t="shared" ref="C61:O61" si="68">IF(C60&gt;0.05,"NS",IF(C60&gt;0.01,"*",IF(C60&gt;0.001,"**","***")))</f>
        <v>*</v>
      </c>
      <c r="D61" s="143" t="str">
        <f t="shared" si="68"/>
        <v>NS</v>
      </c>
      <c r="E61" s="143" t="str">
        <f t="shared" si="68"/>
        <v>NS</v>
      </c>
      <c r="F61" s="143" t="str">
        <f t="shared" si="68"/>
        <v>**</v>
      </c>
      <c r="G61" s="143" t="str">
        <f t="shared" si="68"/>
        <v>***</v>
      </c>
      <c r="H61" s="143" t="str">
        <f t="shared" si="68"/>
        <v>***</v>
      </c>
      <c r="I61" s="143" t="str">
        <f t="shared" si="68"/>
        <v>NS</v>
      </c>
      <c r="J61" s="143" t="str">
        <f t="shared" si="68"/>
        <v>NS</v>
      </c>
      <c r="K61" s="143" t="str">
        <f t="shared" si="68"/>
        <v>*</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NS</v>
      </c>
      <c r="S61" s="143" t="str">
        <f t="shared" si="69"/>
        <v>NS</v>
      </c>
      <c r="T61" s="143" t="str">
        <f t="shared" si="69"/>
        <v>NS</v>
      </c>
      <c r="U61" s="143" t="str">
        <f t="shared" si="69"/>
        <v>NS</v>
      </c>
      <c r="V61" s="143" t="str">
        <f t="shared" si="69"/>
        <v>*</v>
      </c>
    </row>
    <row r="63" spans="1:22" x14ac:dyDescent="0.35">
      <c r="A63" s="2" t="s">
        <v>39</v>
      </c>
    </row>
    <row r="64" spans="1:22" x14ac:dyDescent="0.35">
      <c r="A64" s="1" t="s">
        <v>23</v>
      </c>
      <c r="B64" s="1">
        <f>B46+(3*B47)</f>
        <v>0.26471592660168153</v>
      </c>
    </row>
    <row r="65" spans="1:22" x14ac:dyDescent="0.35">
      <c r="A65" s="1" t="s">
        <v>24</v>
      </c>
      <c r="B65" s="1">
        <f>B46+(10*B47)</f>
        <v>0.5868963474512473</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E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173</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1658</v>
      </c>
      <c r="D3" s="1" t="s">
        <v>1012</v>
      </c>
      <c r="E3" s="1" t="s">
        <v>1659</v>
      </c>
      <c r="F3" s="1" t="s">
        <v>112</v>
      </c>
      <c r="G3" s="1">
        <v>56108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1660</v>
      </c>
      <c r="D4" s="1" t="s">
        <v>963</v>
      </c>
      <c r="E4" s="1" t="s">
        <v>1661</v>
      </c>
      <c r="F4" s="1" t="s">
        <v>112</v>
      </c>
      <c r="G4" s="1">
        <v>241930</v>
      </c>
      <c r="K4" s="119" t="s">
        <v>100</v>
      </c>
      <c r="L4" s="1" t="s">
        <v>1630</v>
      </c>
      <c r="M4" s="1" t="s">
        <v>1631</v>
      </c>
      <c r="N4" s="1" t="s">
        <v>1632</v>
      </c>
      <c r="O4" s="1" t="s">
        <v>1633</v>
      </c>
      <c r="P4" s="1" t="s">
        <v>1634</v>
      </c>
      <c r="Q4" s="1" t="s">
        <v>1635</v>
      </c>
      <c r="R4" s="1" t="s">
        <v>1636</v>
      </c>
      <c r="S4" s="1" t="s">
        <v>1637</v>
      </c>
      <c r="T4" s="1" t="s">
        <v>1638</v>
      </c>
      <c r="U4" s="1" t="s">
        <v>1639</v>
      </c>
      <c r="V4" s="1" t="s">
        <v>1640</v>
      </c>
      <c r="W4" s="1" t="s">
        <v>1641</v>
      </c>
      <c r="X4" s="1" t="s">
        <v>1642</v>
      </c>
      <c r="Y4" s="1" t="s">
        <v>1643</v>
      </c>
      <c r="Z4" s="1" t="s">
        <v>1644</v>
      </c>
      <c r="AA4" s="1" t="s">
        <v>1645</v>
      </c>
      <c r="AB4" s="1" t="s">
        <v>1646</v>
      </c>
      <c r="AC4" s="1" t="s">
        <v>1647</v>
      </c>
      <c r="AD4" s="1" t="s">
        <v>1648</v>
      </c>
      <c r="AE4" s="1" t="s">
        <v>1649</v>
      </c>
      <c r="AF4" s="1" t="s">
        <v>1650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1662</v>
      </c>
      <c r="D5" s="1" t="s">
        <v>1663</v>
      </c>
      <c r="E5" s="1" t="s">
        <v>1664</v>
      </c>
      <c r="F5" s="1" t="s">
        <v>112</v>
      </c>
      <c r="G5" s="1">
        <v>308313</v>
      </c>
      <c r="K5" s="146" t="s">
        <v>164</v>
      </c>
      <c r="L5" s="44">
        <v>202117</v>
      </c>
      <c r="M5" s="44">
        <v>524525</v>
      </c>
      <c r="N5" s="44">
        <v>1774401.3333333333</v>
      </c>
      <c r="O5" s="44">
        <v>3242126.6666666665</v>
      </c>
      <c r="P5" s="44">
        <v>15789.666666666666</v>
      </c>
      <c r="Q5" s="44">
        <v>465994.5</v>
      </c>
      <c r="R5" s="44">
        <v>3439</v>
      </c>
      <c r="S5" s="44">
        <v>514784</v>
      </c>
      <c r="T5" s="44">
        <v>2150602.6666666665</v>
      </c>
      <c r="U5" s="44"/>
      <c r="V5" s="44">
        <v>3438504.3333333335</v>
      </c>
      <c r="W5" s="44">
        <v>138849.33333333334</v>
      </c>
      <c r="X5" s="44">
        <v>249984</v>
      </c>
      <c r="Y5" s="44">
        <v>363252</v>
      </c>
      <c r="Z5" s="44">
        <v>229363</v>
      </c>
      <c r="AA5" s="44">
        <v>327325</v>
      </c>
      <c r="AB5" s="44">
        <v>1777977.3333333333</v>
      </c>
      <c r="AC5" s="44">
        <v>3498765</v>
      </c>
      <c r="AD5" s="44"/>
      <c r="AE5" s="44">
        <v>179517</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1665</v>
      </c>
      <c r="D6" s="1" t="s">
        <v>216</v>
      </c>
      <c r="E6" s="1">
        <v>30</v>
      </c>
      <c r="F6" s="1" t="s">
        <v>112</v>
      </c>
      <c r="G6" s="1">
        <v>649</v>
      </c>
      <c r="K6" s="146" t="s">
        <v>1651</v>
      </c>
      <c r="L6" s="44">
        <v>25512.5</v>
      </c>
      <c r="M6" s="44">
        <v>3299395.3333333335</v>
      </c>
      <c r="N6" s="44">
        <v>3298984.3333333335</v>
      </c>
      <c r="O6" s="44">
        <v>3166840</v>
      </c>
      <c r="P6" s="44">
        <v>92568.666666666672</v>
      </c>
      <c r="Q6" s="44">
        <v>229623</v>
      </c>
      <c r="R6" s="44">
        <v>36933</v>
      </c>
      <c r="S6" s="44">
        <v>202917.66666666666</v>
      </c>
      <c r="T6" s="44">
        <v>423131.33333333331</v>
      </c>
      <c r="U6" s="44">
        <v>2129787.3333333335</v>
      </c>
      <c r="V6" s="44">
        <v>3492795.3333333335</v>
      </c>
      <c r="W6" s="44">
        <v>279141</v>
      </c>
      <c r="X6" s="44">
        <v>260640</v>
      </c>
      <c r="Y6" s="44">
        <v>161597</v>
      </c>
      <c r="Z6" s="44">
        <v>737904</v>
      </c>
      <c r="AA6" s="44">
        <v>2595616.3333333335</v>
      </c>
      <c r="AB6" s="44">
        <v>944339.66666666663</v>
      </c>
      <c r="AC6" s="44">
        <v>1306006</v>
      </c>
      <c r="AD6" s="44">
        <v>187062.66666666666</v>
      </c>
      <c r="AE6" s="44">
        <v>165007</v>
      </c>
      <c r="AF6" s="44">
        <v>13591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1666</v>
      </c>
      <c r="K7" s="146" t="s">
        <v>1652</v>
      </c>
      <c r="L7" s="44">
        <v>325443.33333333331</v>
      </c>
      <c r="M7" s="44">
        <v>2875939.6666666665</v>
      </c>
      <c r="N7" s="44"/>
      <c r="O7" s="44">
        <v>3025459.6666666665</v>
      </c>
      <c r="P7" s="44">
        <v>145688</v>
      </c>
      <c r="Q7" s="44">
        <v>45596</v>
      </c>
      <c r="R7" s="44">
        <v>75452.333333333328</v>
      </c>
      <c r="S7" s="44">
        <v>258592.66666666666</v>
      </c>
      <c r="T7" s="44">
        <v>1446549.3333333333</v>
      </c>
      <c r="U7" s="44">
        <v>2603583</v>
      </c>
      <c r="V7" s="44"/>
      <c r="W7" s="44">
        <v>442731.5</v>
      </c>
      <c r="X7" s="44"/>
      <c r="Y7" s="44">
        <v>237193</v>
      </c>
      <c r="Z7" s="44">
        <v>1353079.6666666667</v>
      </c>
      <c r="AA7" s="44">
        <v>2227144</v>
      </c>
      <c r="AB7" s="44">
        <v>2560309</v>
      </c>
      <c r="AC7" s="44">
        <v>357163.5</v>
      </c>
      <c r="AD7" s="44">
        <v>1343396.6666666667</v>
      </c>
      <c r="AE7" s="44">
        <v>282450</v>
      </c>
      <c r="AF7" s="44">
        <v>71731.666666666672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1667</v>
      </c>
      <c r="D8" s="1" t="s">
        <v>1668</v>
      </c>
      <c r="E8" s="1" t="s">
        <v>1669</v>
      </c>
      <c r="F8" s="1" t="s">
        <v>112</v>
      </c>
      <c r="G8" s="1">
        <v>50376</v>
      </c>
      <c r="K8" s="146" t="s">
        <v>1653</v>
      </c>
      <c r="L8" s="44">
        <v>247457</v>
      </c>
      <c r="M8" s="44">
        <v>1160458.3333333333</v>
      </c>
      <c r="N8" s="44">
        <v>2138043</v>
      </c>
      <c r="O8" s="44">
        <v>2778958.3333333335</v>
      </c>
      <c r="P8" s="44">
        <v>59237</v>
      </c>
      <c r="Q8" s="44">
        <v>348025</v>
      </c>
      <c r="R8" s="44">
        <v>394010</v>
      </c>
      <c r="S8" s="44">
        <v>203306.66666666666</v>
      </c>
      <c r="T8" s="44">
        <v>3231455.6666666665</v>
      </c>
      <c r="U8" s="44">
        <v>1676014</v>
      </c>
      <c r="V8" s="44">
        <v>5294731.333333333</v>
      </c>
      <c r="W8" s="44"/>
      <c r="X8" s="44">
        <v>98041</v>
      </c>
      <c r="Y8" s="44">
        <v>35754.333333333336</v>
      </c>
      <c r="Z8" s="44"/>
      <c r="AA8" s="44">
        <v>1516659.3333333333</v>
      </c>
      <c r="AB8" s="44">
        <v>1514741.6666666667</v>
      </c>
      <c r="AC8" s="44">
        <v>959891.33333333337</v>
      </c>
      <c r="AD8" s="44">
        <v>665025.66666666663</v>
      </c>
      <c r="AE8" s="44">
        <v>192528</v>
      </c>
      <c r="AF8" s="44">
        <v>185873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1670</v>
      </c>
      <c r="D9" s="1" t="s">
        <v>1671</v>
      </c>
      <c r="E9" s="1" t="s">
        <v>1672</v>
      </c>
      <c r="F9" s="1" t="s">
        <v>112</v>
      </c>
      <c r="G9" s="1">
        <v>338183</v>
      </c>
      <c r="K9" s="146" t="s">
        <v>1654</v>
      </c>
      <c r="L9" s="44">
        <v>212326.33333333334</v>
      </c>
      <c r="M9" s="44">
        <v>2282913</v>
      </c>
      <c r="N9" s="44">
        <v>2464546.3333333335</v>
      </c>
      <c r="O9" s="44">
        <v>3404422.6666666665</v>
      </c>
      <c r="P9" s="44">
        <v>71876</v>
      </c>
      <c r="Q9" s="44"/>
      <c r="R9" s="44">
        <v>146009</v>
      </c>
      <c r="S9" s="44">
        <v>172556</v>
      </c>
      <c r="T9" s="44">
        <v>1304152.6666666667</v>
      </c>
      <c r="U9" s="44">
        <v>2607534.6666666665</v>
      </c>
      <c r="V9" s="44">
        <v>3681322</v>
      </c>
      <c r="W9" s="44">
        <v>407897</v>
      </c>
      <c r="X9" s="44">
        <v>338168.66666666669</v>
      </c>
      <c r="Y9" s="44">
        <v>403296.66666666669</v>
      </c>
      <c r="Z9" s="44">
        <v>1909710.6666666667</v>
      </c>
      <c r="AA9" s="44"/>
      <c r="AB9" s="44">
        <v>137631</v>
      </c>
      <c r="AC9" s="44">
        <v>1039605</v>
      </c>
      <c r="AD9" s="44">
        <v>2500711.3333333335</v>
      </c>
      <c r="AE9" s="44">
        <v>71883.333333333328</v>
      </c>
      <c r="AF9" s="44">
        <v>239262.66666666666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1673</v>
      </c>
      <c r="D10" s="1" t="s">
        <v>1615</v>
      </c>
      <c r="E10" s="1" t="s">
        <v>1674</v>
      </c>
      <c r="F10" s="1" t="s">
        <v>112</v>
      </c>
      <c r="G10" s="1">
        <v>113665</v>
      </c>
      <c r="K10" s="146" t="s">
        <v>1655</v>
      </c>
      <c r="L10" s="44">
        <v>50664.666666666664</v>
      </c>
      <c r="M10" s="44">
        <v>33879.666666666664</v>
      </c>
      <c r="N10" s="44">
        <v>2365265</v>
      </c>
      <c r="O10" s="44">
        <v>4690514.666666667</v>
      </c>
      <c r="P10" s="44">
        <v>85481.333333333328</v>
      </c>
      <c r="Q10" s="44">
        <v>145547.33333333334</v>
      </c>
      <c r="R10" s="44">
        <v>109223.66666666667</v>
      </c>
      <c r="S10" s="44">
        <v>1756044.6666666667</v>
      </c>
      <c r="T10" s="44">
        <v>1905492.6666666667</v>
      </c>
      <c r="U10" s="44">
        <v>1963324</v>
      </c>
      <c r="V10" s="44">
        <v>5186661.333333333</v>
      </c>
      <c r="W10" s="44">
        <v>145237.33333333334</v>
      </c>
      <c r="X10" s="44">
        <v>154120.33333333334</v>
      </c>
      <c r="Y10" s="44">
        <v>259594.66666666666</v>
      </c>
      <c r="Z10" s="44">
        <v>209658.5</v>
      </c>
      <c r="AA10" s="44">
        <v>577031.5</v>
      </c>
      <c r="AB10" s="44"/>
      <c r="AC10" s="44">
        <v>2582537.3333333335</v>
      </c>
      <c r="AD10" s="44">
        <v>1994096.3333333333</v>
      </c>
      <c r="AE10" s="44">
        <v>344413</v>
      </c>
      <c r="AF10" s="44">
        <v>316986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1675</v>
      </c>
      <c r="D11" s="1" t="s">
        <v>1676</v>
      </c>
      <c r="E11" s="1" t="s">
        <v>1677</v>
      </c>
      <c r="F11" s="1" t="s">
        <v>112</v>
      </c>
      <c r="G11" s="1">
        <v>524482</v>
      </c>
      <c r="K11" s="146" t="s">
        <v>1656</v>
      </c>
      <c r="L11" s="44">
        <v>189067</v>
      </c>
      <c r="M11" s="44">
        <v>3531419.3333333335</v>
      </c>
      <c r="N11" s="44">
        <v>548181</v>
      </c>
      <c r="O11" s="44"/>
      <c r="P11" s="44">
        <v>333107.33333333331</v>
      </c>
      <c r="Q11" s="44">
        <v>118467</v>
      </c>
      <c r="R11" s="44">
        <v>501518</v>
      </c>
      <c r="S11" s="44">
        <v>149203</v>
      </c>
      <c r="T11" s="44">
        <v>242737.66666666666</v>
      </c>
      <c r="U11" s="44">
        <v>2628457.6666666665</v>
      </c>
      <c r="V11" s="44">
        <v>4722772.333333333</v>
      </c>
      <c r="W11" s="44"/>
      <c r="X11" s="44">
        <v>140428.33333333334</v>
      </c>
      <c r="Y11" s="44">
        <v>297137</v>
      </c>
      <c r="Z11" s="44">
        <v>2329020.3333333335</v>
      </c>
      <c r="AA11" s="44">
        <v>2474020</v>
      </c>
      <c r="AB11" s="44">
        <v>1091884.3333333333</v>
      </c>
      <c r="AC11" s="44">
        <v>391292</v>
      </c>
      <c r="AD11" s="44">
        <v>601145</v>
      </c>
      <c r="AE11" s="44">
        <v>107882.66666666667</v>
      </c>
      <c r="AF11" s="44">
        <v>228620.66666666666</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1678</v>
      </c>
      <c r="K12" s="146" t="s">
        <v>1657</v>
      </c>
      <c r="L12" s="44">
        <v>282313.33333333331</v>
      </c>
      <c r="M12" s="44">
        <v>2310484</v>
      </c>
      <c r="N12" s="44">
        <v>1722691.5</v>
      </c>
      <c r="O12" s="44">
        <v>1241433.3333333333</v>
      </c>
      <c r="P12" s="44"/>
      <c r="Q12" s="44">
        <v>257900.33333333334</v>
      </c>
      <c r="R12" s="44">
        <v>415135.33333333331</v>
      </c>
      <c r="S12" s="44">
        <v>439887</v>
      </c>
      <c r="T12" s="44">
        <v>1141654.6666666667</v>
      </c>
      <c r="U12" s="44">
        <v>3498765.3333333335</v>
      </c>
      <c r="V12" s="44">
        <v>4839357.333333333</v>
      </c>
      <c r="W12" s="44">
        <v>27981.666666666668</v>
      </c>
      <c r="X12" s="44">
        <v>0</v>
      </c>
      <c r="Y12" s="44">
        <v>86620.333333333328</v>
      </c>
      <c r="Z12" s="44">
        <v>1352466.6666666667</v>
      </c>
      <c r="AA12" s="44">
        <v>2310765</v>
      </c>
      <c r="AB12" s="44">
        <v>920301.33333333337</v>
      </c>
      <c r="AC12" s="44">
        <v>2627210</v>
      </c>
      <c r="AD12" s="44">
        <v>68249.666666666672</v>
      </c>
      <c r="AE12" s="44">
        <v>113355</v>
      </c>
      <c r="AF12" s="44">
        <v>96664</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1679</v>
      </c>
      <c r="D13" s="1" t="s">
        <v>1680</v>
      </c>
      <c r="E13" s="1" t="s">
        <v>1681</v>
      </c>
      <c r="F13" s="1" t="s">
        <v>112</v>
      </c>
      <c r="G13" s="1">
        <v>98849</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1682</v>
      </c>
      <c r="D14" s="1" t="s">
        <v>1683</v>
      </c>
      <c r="E14" s="1" t="s">
        <v>1684</v>
      </c>
      <c r="F14" s="1" t="s">
        <v>112</v>
      </c>
      <c r="G14" s="1">
        <v>396065</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1685</v>
      </c>
      <c r="D15" s="1" t="s">
        <v>1113</v>
      </c>
      <c r="E15" s="1" t="s">
        <v>1686</v>
      </c>
      <c r="F15" s="1" t="s">
        <v>112</v>
      </c>
      <c r="G15" s="1">
        <v>183443</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1687</v>
      </c>
      <c r="D16" s="1" t="s">
        <v>1688</v>
      </c>
      <c r="E16" s="1" t="s">
        <v>1689</v>
      </c>
      <c r="F16" s="1" t="s">
        <v>112</v>
      </c>
      <c r="G16" s="1">
        <v>207150</v>
      </c>
    </row>
    <row r="17" spans="1:8"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 s="1" t="s">
        <v>1690</v>
      </c>
      <c r="D17" s="1" t="s">
        <v>1691</v>
      </c>
      <c r="E17" s="1" t="s">
        <v>1692</v>
      </c>
      <c r="F17" s="1" t="s">
        <v>112</v>
      </c>
      <c r="G17" s="1">
        <v>246386</v>
      </c>
    </row>
    <row r="18" spans="1:8"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1693</v>
      </c>
      <c r="D18" s="1" t="s">
        <v>1694</v>
      </c>
      <c r="E18" s="1" t="s">
        <v>1695</v>
      </c>
      <c r="F18" s="1" t="s">
        <v>112</v>
      </c>
      <c r="G18" s="1">
        <v>72439</v>
      </c>
    </row>
    <row r="19" spans="1:8"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1696</v>
      </c>
      <c r="D19" s="1" t="s">
        <v>1697</v>
      </c>
      <c r="E19" s="1" t="s">
        <v>1698</v>
      </c>
      <c r="F19" s="1" t="s">
        <v>112</v>
      </c>
      <c r="G19" s="1">
        <v>66880</v>
      </c>
    </row>
    <row r="20" spans="1:8"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0" s="1" t="s">
        <v>1699</v>
      </c>
      <c r="D20" s="1" t="s">
        <v>1700</v>
      </c>
      <c r="E20" s="1" t="s">
        <v>1701</v>
      </c>
      <c r="F20" s="1" t="s">
        <v>112</v>
      </c>
      <c r="G20" s="1">
        <v>12675</v>
      </c>
    </row>
    <row r="21" spans="1:8"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1702</v>
      </c>
      <c r="D21" s="1">
        <v>0</v>
      </c>
      <c r="E21" s="1">
        <v>0</v>
      </c>
      <c r="F21" s="1" t="s">
        <v>112</v>
      </c>
      <c r="G21" s="1">
        <v>0</v>
      </c>
    </row>
    <row r="22" spans="1:8"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1703</v>
      </c>
      <c r="D22" s="1" t="s">
        <v>1087</v>
      </c>
      <c r="E22" s="1" t="s">
        <v>1704</v>
      </c>
      <c r="F22" s="1" t="s">
        <v>112</v>
      </c>
      <c r="G22" s="1">
        <v>274462</v>
      </c>
    </row>
    <row r="23" spans="1:8"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 s="1" t="s">
        <v>1705</v>
      </c>
      <c r="D23" s="1" t="s">
        <v>1706</v>
      </c>
      <c r="E23" s="1" t="s">
        <v>1707</v>
      </c>
      <c r="F23" s="1" t="s">
        <v>112</v>
      </c>
      <c r="G23" s="1">
        <v>292739</v>
      </c>
    </row>
    <row r="24" spans="1:8"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1708</v>
      </c>
      <c r="D24" s="1">
        <v>0</v>
      </c>
      <c r="E24" s="1">
        <v>0</v>
      </c>
      <c r="F24" s="1" t="s">
        <v>112</v>
      </c>
      <c r="G24" s="1">
        <v>0</v>
      </c>
    </row>
    <row r="25" spans="1:8"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1709</v>
      </c>
      <c r="D25" s="1" t="s">
        <v>364</v>
      </c>
      <c r="E25" s="1" t="s">
        <v>1710</v>
      </c>
      <c r="F25" s="1" t="s">
        <v>112</v>
      </c>
      <c r="G25" s="1">
        <v>472829</v>
      </c>
    </row>
    <row r="26" spans="1:8"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6" s="1" t="s">
        <v>1711</v>
      </c>
      <c r="D26" s="1" t="s">
        <v>1712</v>
      </c>
      <c r="E26" s="1" t="s">
        <v>1713</v>
      </c>
      <c r="F26" s="1" t="s">
        <v>112</v>
      </c>
      <c r="G26" s="1">
        <v>374111</v>
      </c>
    </row>
    <row r="27" spans="1:8"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112</v>
      </c>
    </row>
    <row r="28" spans="1:8"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s="1" t="s">
        <v>227</v>
      </c>
      <c r="D28" s="1" t="s">
        <v>112</v>
      </c>
      <c r="E28" s="1" t="s">
        <v>228</v>
      </c>
      <c r="F28" s="1" t="s">
        <v>229</v>
      </c>
      <c r="G28" s="1" t="s">
        <v>230</v>
      </c>
      <c r="H28" s="1" t="s">
        <v>231</v>
      </c>
    </row>
    <row r="29" spans="1:8"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 s="1" t="s">
        <v>1714</v>
      </c>
      <c r="D29" s="1" t="s">
        <v>112</v>
      </c>
      <c r="E29" s="1" t="s">
        <v>1715</v>
      </c>
      <c r="F29" s="1" t="s">
        <v>1716</v>
      </c>
      <c r="G29" s="1" t="s">
        <v>1717</v>
      </c>
      <c r="H29" s="1" t="s">
        <v>1718</v>
      </c>
    </row>
    <row r="30" spans="1:8"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8"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8"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7"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173</v>
      </c>
      <c r="D35" s="1" t="s">
        <v>110</v>
      </c>
      <c r="E35" s="1" t="s">
        <v>111</v>
      </c>
      <c r="F35" s="1" t="s">
        <v>112</v>
      </c>
      <c r="G35" s="1" t="s">
        <v>113</v>
      </c>
    </row>
    <row r="36" spans="1:7"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1719</v>
      </c>
    </row>
    <row r="37" spans="1:7"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1720</v>
      </c>
    </row>
    <row r="38" spans="1:7"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8" s="1" t="s">
        <v>1721</v>
      </c>
      <c r="D38" s="1" t="s">
        <v>1722</v>
      </c>
      <c r="E38" s="1" t="s">
        <v>1723</v>
      </c>
      <c r="F38" s="1" t="s">
        <v>112</v>
      </c>
      <c r="G38" s="1">
        <v>524525</v>
      </c>
    </row>
    <row r="39" spans="1:7"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1724</v>
      </c>
      <c r="D39" s="1" t="s">
        <v>1725</v>
      </c>
      <c r="E39" s="1" t="s">
        <v>1726</v>
      </c>
      <c r="F39" s="1" t="s">
        <v>112</v>
      </c>
      <c r="G39" s="1">
        <v>3679440</v>
      </c>
    </row>
    <row r="40" spans="1:7"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1727</v>
      </c>
      <c r="D40" s="1" t="s">
        <v>1728</v>
      </c>
      <c r="E40" s="1" t="s">
        <v>1729</v>
      </c>
      <c r="F40" s="1" t="s">
        <v>112</v>
      </c>
      <c r="G40" s="1">
        <v>3119809</v>
      </c>
    </row>
    <row r="41" spans="1:7"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 s="1" t="s">
        <v>1730</v>
      </c>
      <c r="D41" s="1" t="s">
        <v>1731</v>
      </c>
      <c r="E41" s="1" t="s">
        <v>1732</v>
      </c>
      <c r="F41" s="1" t="s">
        <v>112</v>
      </c>
      <c r="G41" s="1">
        <v>3098937</v>
      </c>
    </row>
    <row r="42" spans="1:7"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1733</v>
      </c>
      <c r="D42" s="1" t="s">
        <v>253</v>
      </c>
      <c r="E42" s="1" t="s">
        <v>1734</v>
      </c>
      <c r="F42" s="1" t="s">
        <v>112</v>
      </c>
      <c r="G42" s="1">
        <v>2437300</v>
      </c>
    </row>
    <row r="43" spans="1:7"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1735</v>
      </c>
      <c r="D43" s="1" t="s">
        <v>1736</v>
      </c>
      <c r="E43" s="1" t="s">
        <v>1737</v>
      </c>
      <c r="F43" s="1" t="s">
        <v>112</v>
      </c>
      <c r="G43" s="1">
        <v>3014472</v>
      </c>
    </row>
    <row r="44" spans="1:7"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 s="1" t="s">
        <v>1738</v>
      </c>
      <c r="D44" s="1" t="s">
        <v>1739</v>
      </c>
      <c r="E44" s="1" t="s">
        <v>1740</v>
      </c>
      <c r="F44" s="1" t="s">
        <v>112</v>
      </c>
      <c r="G44" s="1">
        <v>3176047</v>
      </c>
    </row>
    <row r="45" spans="1:7"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1741</v>
      </c>
      <c r="D45" s="1" t="s">
        <v>1742</v>
      </c>
      <c r="E45" s="1" t="s">
        <v>1743</v>
      </c>
      <c r="F45" s="1" t="s">
        <v>112</v>
      </c>
      <c r="G45" s="1">
        <v>1257108</v>
      </c>
    </row>
    <row r="46" spans="1:7"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1744</v>
      </c>
      <c r="D46" s="1" t="s">
        <v>1745</v>
      </c>
      <c r="E46" s="1" t="s">
        <v>1746</v>
      </c>
      <c r="F46" s="1" t="s">
        <v>112</v>
      </c>
      <c r="G46" s="1">
        <v>1081646</v>
      </c>
    </row>
    <row r="47" spans="1:7"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 s="1" t="s">
        <v>1747</v>
      </c>
      <c r="D47" s="1" t="s">
        <v>1748</v>
      </c>
      <c r="E47" s="1" t="s">
        <v>1749</v>
      </c>
      <c r="F47" s="1" t="s">
        <v>112</v>
      </c>
      <c r="G47" s="1">
        <v>1142621</v>
      </c>
    </row>
    <row r="48" spans="1:7"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1750</v>
      </c>
      <c r="D48" s="1" t="s">
        <v>1751</v>
      </c>
      <c r="E48" s="1" t="s">
        <v>1752</v>
      </c>
      <c r="F48" s="1" t="s">
        <v>112</v>
      </c>
      <c r="G48" s="1">
        <v>2200301</v>
      </c>
    </row>
    <row r="49" spans="1:8"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1753</v>
      </c>
      <c r="D49" s="1" t="s">
        <v>1754</v>
      </c>
      <c r="E49" s="1" t="s">
        <v>1755</v>
      </c>
      <c r="F49" s="1" t="s">
        <v>112</v>
      </c>
      <c r="G49" s="1">
        <v>2464835</v>
      </c>
    </row>
    <row r="50" spans="1:8"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 s="1" t="s">
        <v>1756</v>
      </c>
      <c r="D50" s="1" t="s">
        <v>1757</v>
      </c>
      <c r="E50" s="1" t="s">
        <v>1758</v>
      </c>
      <c r="F50" s="1" t="s">
        <v>112</v>
      </c>
      <c r="G50" s="1">
        <v>2183603</v>
      </c>
    </row>
    <row r="51" spans="1:8"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1759</v>
      </c>
      <c r="D51" s="1" t="s">
        <v>1760</v>
      </c>
      <c r="E51" s="1" t="s">
        <v>1761</v>
      </c>
      <c r="F51" s="1" t="s">
        <v>112</v>
      </c>
      <c r="G51" s="1">
        <v>44839</v>
      </c>
    </row>
    <row r="52" spans="1:8"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1762</v>
      </c>
      <c r="D52" s="1" t="s">
        <v>1059</v>
      </c>
      <c r="E52" s="1" t="s">
        <v>1763</v>
      </c>
      <c r="F52" s="1" t="s">
        <v>112</v>
      </c>
      <c r="G52" s="1">
        <v>50744</v>
      </c>
    </row>
    <row r="53" spans="1:8"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3" s="1" t="s">
        <v>1764</v>
      </c>
      <c r="D53" s="1" t="s">
        <v>204</v>
      </c>
      <c r="E53" s="1" t="s">
        <v>1765</v>
      </c>
      <c r="F53" s="1" t="s">
        <v>112</v>
      </c>
      <c r="G53" s="1">
        <v>6056</v>
      </c>
    </row>
    <row r="54" spans="1:8"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1766</v>
      </c>
      <c r="D54" s="1" t="s">
        <v>1767</v>
      </c>
      <c r="E54" s="1" t="s">
        <v>1768</v>
      </c>
      <c r="F54" s="1" t="s">
        <v>112</v>
      </c>
      <c r="G54" s="1">
        <v>3094027</v>
      </c>
    </row>
    <row r="55" spans="1:8"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1769</v>
      </c>
      <c r="D55" s="1" t="s">
        <v>390</v>
      </c>
      <c r="E55" s="1" t="s">
        <v>1770</v>
      </c>
      <c r="F55" s="1" t="s">
        <v>112</v>
      </c>
      <c r="G55" s="1">
        <v>3309244</v>
      </c>
    </row>
    <row r="56" spans="1:8"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 s="1" t="s">
        <v>1771</v>
      </c>
      <c r="D56" s="1" t="s">
        <v>1772</v>
      </c>
      <c r="E56" s="1" t="s">
        <v>1773</v>
      </c>
      <c r="F56" s="1" t="s">
        <v>112</v>
      </c>
      <c r="G56" s="1">
        <v>4190987</v>
      </c>
    </row>
    <row r="57" spans="1:8"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1774</v>
      </c>
      <c r="D57" s="1" t="s">
        <v>1775</v>
      </c>
      <c r="E57" s="1" t="s">
        <v>1776</v>
      </c>
      <c r="F57" s="1" t="s">
        <v>112</v>
      </c>
      <c r="G57" s="1">
        <v>2567815</v>
      </c>
    </row>
    <row r="58" spans="1:8"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1777</v>
      </c>
      <c r="D58" s="1" t="s">
        <v>1778</v>
      </c>
      <c r="E58" s="1" t="s">
        <v>1779</v>
      </c>
      <c r="F58" s="1" t="s">
        <v>112</v>
      </c>
      <c r="G58" s="1">
        <v>1842067</v>
      </c>
    </row>
    <row r="59" spans="1:8"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 s="1" t="s">
        <v>1780</v>
      </c>
      <c r="D59" s="1" t="s">
        <v>1781</v>
      </c>
      <c r="E59" s="1" t="s">
        <v>1782</v>
      </c>
      <c r="F59" s="1" t="s">
        <v>112</v>
      </c>
      <c r="G59" s="1">
        <v>2521570</v>
      </c>
    </row>
    <row r="60" spans="1:8"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112</v>
      </c>
    </row>
    <row r="61" spans="1:8"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s="1" t="s">
        <v>227</v>
      </c>
      <c r="D61" s="1" t="s">
        <v>112</v>
      </c>
      <c r="E61" s="1" t="s">
        <v>228</v>
      </c>
      <c r="F61" s="1" t="s">
        <v>229</v>
      </c>
      <c r="G61" s="1" t="s">
        <v>230</v>
      </c>
      <c r="H61" s="1" t="s">
        <v>231</v>
      </c>
    </row>
    <row r="62" spans="1:8"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 s="1" t="s">
        <v>1783</v>
      </c>
      <c r="D62" s="1" t="s">
        <v>112</v>
      </c>
      <c r="E62" s="1" t="s">
        <v>1784</v>
      </c>
      <c r="F62" s="1" t="s">
        <v>1785</v>
      </c>
      <c r="G62" s="1" t="s">
        <v>1786</v>
      </c>
      <c r="H62" s="1" t="s">
        <v>1787</v>
      </c>
    </row>
    <row r="63" spans="1:8"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8"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112</v>
      </c>
    </row>
    <row r="68" spans="1:7"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 s="1" t="s">
        <v>173</v>
      </c>
      <c r="D68" s="1" t="s">
        <v>110</v>
      </c>
      <c r="E68" s="1" t="s">
        <v>111</v>
      </c>
      <c r="F68" s="1" t="s">
        <v>112</v>
      </c>
      <c r="G68" s="1" t="s">
        <v>113</v>
      </c>
    </row>
    <row r="69" spans="1:7"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1788</v>
      </c>
      <c r="D69" s="1" t="s">
        <v>1789</v>
      </c>
      <c r="E69" s="1" t="s">
        <v>1790</v>
      </c>
      <c r="F69" s="1" t="s">
        <v>112</v>
      </c>
      <c r="G69" s="1">
        <v>2061783</v>
      </c>
    </row>
    <row r="70" spans="1:7"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1791</v>
      </c>
      <c r="D70" s="1" t="s">
        <v>1792</v>
      </c>
      <c r="E70" s="1" t="s">
        <v>1793</v>
      </c>
      <c r="F70" s="1" t="s">
        <v>112</v>
      </c>
      <c r="G70" s="1">
        <v>1636064</v>
      </c>
    </row>
    <row r="71" spans="1:7"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 s="1" t="s">
        <v>1794</v>
      </c>
      <c r="D71" s="1" t="s">
        <v>1795</v>
      </c>
      <c r="E71" s="1" t="s">
        <v>1796</v>
      </c>
      <c r="F71" s="1" t="s">
        <v>112</v>
      </c>
      <c r="G71" s="1">
        <v>1625357</v>
      </c>
    </row>
    <row r="72" spans="1:7"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1797</v>
      </c>
      <c r="D72" s="1" t="s">
        <v>905</v>
      </c>
      <c r="E72" s="1" t="s">
        <v>1798</v>
      </c>
      <c r="F72" s="1" t="s">
        <v>112</v>
      </c>
      <c r="G72" s="1">
        <v>3150394</v>
      </c>
    </row>
    <row r="73" spans="1:7"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1799</v>
      </c>
      <c r="D73" s="1" t="s">
        <v>1800</v>
      </c>
      <c r="E73" s="1" t="s">
        <v>1801</v>
      </c>
      <c r="F73" s="1" t="s">
        <v>112</v>
      </c>
      <c r="G73" s="1">
        <v>3171267</v>
      </c>
    </row>
    <row r="74" spans="1:7"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 s="1" t="s">
        <v>1802</v>
      </c>
      <c r="D74" s="1" t="s">
        <v>1803</v>
      </c>
      <c r="E74" s="1" t="s">
        <v>1804</v>
      </c>
      <c r="F74" s="1" t="s">
        <v>112</v>
      </c>
      <c r="G74" s="1">
        <v>3575292</v>
      </c>
    </row>
    <row r="75" spans="1:7"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1805</v>
      </c>
    </row>
    <row r="76" spans="1:7"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1806</v>
      </c>
    </row>
    <row r="77" spans="1:7"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 s="1" t="s">
        <v>1807</v>
      </c>
    </row>
    <row r="78" spans="1:7"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1808</v>
      </c>
      <c r="D78" s="1" t="s">
        <v>1809</v>
      </c>
      <c r="E78" s="1" t="s">
        <v>1810</v>
      </c>
      <c r="F78" s="1" t="s">
        <v>112</v>
      </c>
      <c r="G78" s="1">
        <v>2341674</v>
      </c>
    </row>
    <row r="79" spans="1:7"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1811</v>
      </c>
      <c r="D79" s="1" t="s">
        <v>1812</v>
      </c>
      <c r="E79" s="1" t="s">
        <v>1813</v>
      </c>
      <c r="F79" s="1" t="s">
        <v>112</v>
      </c>
      <c r="G79" s="1">
        <v>1965054</v>
      </c>
    </row>
    <row r="80" spans="1:7"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0" s="1" t="s">
        <v>1814</v>
      </c>
      <c r="D80" s="1" t="s">
        <v>1815</v>
      </c>
      <c r="E80" s="1" t="s">
        <v>1816</v>
      </c>
      <c r="F80" s="1" t="s">
        <v>112</v>
      </c>
      <c r="G80" s="1">
        <v>2107401</v>
      </c>
    </row>
    <row r="81" spans="1:8"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1817</v>
      </c>
      <c r="D81" s="1" t="s">
        <v>1818</v>
      </c>
      <c r="E81" s="1" t="s">
        <v>1819</v>
      </c>
      <c r="F81" s="1" t="s">
        <v>112</v>
      </c>
      <c r="G81" s="1">
        <v>2313231</v>
      </c>
    </row>
    <row r="82" spans="1:8"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1820</v>
      </c>
      <c r="D82" s="1" t="s">
        <v>1821</v>
      </c>
      <c r="E82" s="1" t="s">
        <v>1822</v>
      </c>
      <c r="F82" s="1" t="s">
        <v>112</v>
      </c>
      <c r="G82" s="1">
        <v>2900893</v>
      </c>
    </row>
    <row r="83" spans="1:8"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 s="1" t="s">
        <v>1823</v>
      </c>
      <c r="D83" s="1" t="s">
        <v>1824</v>
      </c>
      <c r="E83" s="1" t="s">
        <v>1825</v>
      </c>
      <c r="F83" s="1" t="s">
        <v>112</v>
      </c>
      <c r="G83" s="1">
        <v>2179515</v>
      </c>
    </row>
    <row r="84" spans="1:8"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1826</v>
      </c>
      <c r="D84" s="1" t="s">
        <v>1827</v>
      </c>
      <c r="E84" s="1" t="s">
        <v>1828</v>
      </c>
      <c r="F84" s="1" t="s">
        <v>112</v>
      </c>
      <c r="G84" s="1">
        <v>2387832</v>
      </c>
    </row>
    <row r="85" spans="1:8"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1829</v>
      </c>
      <c r="D85" s="1" t="s">
        <v>1830</v>
      </c>
      <c r="E85" s="1" t="s">
        <v>1831</v>
      </c>
      <c r="F85" s="1" t="s">
        <v>112</v>
      </c>
      <c r="G85" s="1">
        <v>2252126</v>
      </c>
    </row>
    <row r="86" spans="1:8"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6" s="1" t="s">
        <v>1832</v>
      </c>
      <c r="D86" s="1" t="s">
        <v>1833</v>
      </c>
      <c r="E86" s="1" t="s">
        <v>1834</v>
      </c>
      <c r="F86" s="1" t="s">
        <v>112</v>
      </c>
      <c r="G86" s="1">
        <v>2455837</v>
      </c>
    </row>
    <row r="87" spans="1:8"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1835</v>
      </c>
      <c r="D87" s="1" t="s">
        <v>1836</v>
      </c>
      <c r="E87" s="1" t="s">
        <v>1837</v>
      </c>
      <c r="F87" s="1" t="s">
        <v>112</v>
      </c>
      <c r="G87" s="1">
        <v>586451</v>
      </c>
    </row>
    <row r="88" spans="1:8"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1838</v>
      </c>
      <c r="D88" s="1" t="s">
        <v>1839</v>
      </c>
      <c r="E88" s="1" t="s">
        <v>1840</v>
      </c>
      <c r="F88" s="1" t="s">
        <v>112</v>
      </c>
      <c r="G88" s="1">
        <v>431452</v>
      </c>
    </row>
    <row r="89" spans="1:8"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9" s="1" t="s">
        <v>1841</v>
      </c>
      <c r="D89" s="1" t="s">
        <v>1842</v>
      </c>
      <c r="E89" s="1" t="s">
        <v>1843</v>
      </c>
      <c r="F89" s="1" t="s">
        <v>112</v>
      </c>
      <c r="G89" s="1">
        <v>626640</v>
      </c>
    </row>
    <row r="90" spans="1:8"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1844</v>
      </c>
      <c r="D90" s="1" t="s">
        <v>1845</v>
      </c>
      <c r="E90" s="1" t="s">
        <v>1846</v>
      </c>
      <c r="F90" s="1" t="s">
        <v>112</v>
      </c>
      <c r="G90" s="1">
        <v>1777242</v>
      </c>
    </row>
    <row r="91" spans="1:8"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1847</v>
      </c>
      <c r="D91" s="1" t="s">
        <v>1848</v>
      </c>
      <c r="E91" s="1" t="s">
        <v>1849</v>
      </c>
      <c r="F91" s="1" t="s">
        <v>112</v>
      </c>
      <c r="G91" s="1">
        <v>1668141</v>
      </c>
    </row>
    <row r="92" spans="1:8"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2" s="1" t="s">
        <v>1850</v>
      </c>
    </row>
    <row r="93" spans="1:8"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112</v>
      </c>
    </row>
    <row r="94" spans="1:8"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s="1" t="s">
        <v>227</v>
      </c>
      <c r="D94" s="1" t="s">
        <v>112</v>
      </c>
      <c r="E94" s="1" t="s">
        <v>228</v>
      </c>
      <c r="F94" s="1" t="s">
        <v>229</v>
      </c>
      <c r="G94" s="1" t="s">
        <v>230</v>
      </c>
      <c r="H94" s="1" t="s">
        <v>231</v>
      </c>
    </row>
    <row r="95" spans="1:8"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5" s="1" t="s">
        <v>1851</v>
      </c>
      <c r="D95" s="1" t="s">
        <v>112</v>
      </c>
      <c r="E95" s="1" t="s">
        <v>1852</v>
      </c>
      <c r="F95" s="1" t="s">
        <v>1853</v>
      </c>
      <c r="G95" s="1">
        <v>1809475</v>
      </c>
      <c r="H95" s="1" t="s">
        <v>1854</v>
      </c>
    </row>
    <row r="96" spans="1:8"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112</v>
      </c>
    </row>
    <row r="101" spans="1:7"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1" s="1" t="s">
        <v>173</v>
      </c>
      <c r="D101" s="1" t="s">
        <v>110</v>
      </c>
      <c r="E101" s="1" t="s">
        <v>111</v>
      </c>
      <c r="F101" s="1" t="s">
        <v>112</v>
      </c>
      <c r="G101" s="1" t="s">
        <v>113</v>
      </c>
    </row>
    <row r="102" spans="1:7"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1855</v>
      </c>
      <c r="D102" s="1" t="s">
        <v>1856</v>
      </c>
      <c r="E102" s="1" t="s">
        <v>1857</v>
      </c>
      <c r="F102" s="1" t="s">
        <v>112</v>
      </c>
      <c r="G102" s="1">
        <v>3454446</v>
      </c>
    </row>
    <row r="103" spans="1:7"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1858</v>
      </c>
      <c r="D103" s="1" t="s">
        <v>1859</v>
      </c>
      <c r="E103" s="1" t="s">
        <v>1860</v>
      </c>
      <c r="F103" s="1" t="s">
        <v>112</v>
      </c>
      <c r="G103" s="1">
        <v>3069217</v>
      </c>
    </row>
    <row r="104" spans="1:7"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4" s="1" t="s">
        <v>1861</v>
      </c>
      <c r="D104" s="1" t="s">
        <v>1862</v>
      </c>
      <c r="E104" s="1" t="s">
        <v>1863</v>
      </c>
      <c r="F104" s="1" t="s">
        <v>112</v>
      </c>
      <c r="G104" s="1">
        <v>3202717</v>
      </c>
    </row>
    <row r="105" spans="1:7"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1864</v>
      </c>
      <c r="D105" s="1" t="s">
        <v>1865</v>
      </c>
      <c r="E105" s="1" t="s">
        <v>1866</v>
      </c>
      <c r="F105" s="1" t="s">
        <v>112</v>
      </c>
      <c r="G105" s="1">
        <v>2975127</v>
      </c>
    </row>
    <row r="106" spans="1:7"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1867</v>
      </c>
      <c r="D106" s="1" t="s">
        <v>1868</v>
      </c>
      <c r="E106" s="1" t="s">
        <v>1869</v>
      </c>
      <c r="F106" s="1" t="s">
        <v>112</v>
      </c>
      <c r="G106" s="1">
        <v>2994334</v>
      </c>
    </row>
    <row r="107" spans="1:7"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7" s="1" t="s">
        <v>1870</v>
      </c>
      <c r="D107" s="1" t="s">
        <v>1871</v>
      </c>
      <c r="E107" s="1" t="s">
        <v>1872</v>
      </c>
      <c r="F107" s="1" t="s">
        <v>112</v>
      </c>
      <c r="G107" s="1">
        <v>3531059</v>
      </c>
    </row>
    <row r="108" spans="1:7"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1873</v>
      </c>
      <c r="D108" s="1" t="s">
        <v>1263</v>
      </c>
      <c r="E108" s="1" t="s">
        <v>1874</v>
      </c>
      <c r="F108" s="1" t="s">
        <v>112</v>
      </c>
      <c r="G108" s="1">
        <v>3106875</v>
      </c>
    </row>
    <row r="109" spans="1:7"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1875</v>
      </c>
      <c r="D109" s="1" t="s">
        <v>1876</v>
      </c>
      <c r="E109" s="1" t="s">
        <v>1877</v>
      </c>
      <c r="F109" s="1" t="s">
        <v>112</v>
      </c>
      <c r="G109" s="1">
        <v>2828887</v>
      </c>
    </row>
    <row r="110" spans="1:7"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0" s="1" t="s">
        <v>1878</v>
      </c>
      <c r="D110" s="1" t="s">
        <v>1879</v>
      </c>
      <c r="E110" s="1" t="s">
        <v>1880</v>
      </c>
      <c r="F110" s="1" t="s">
        <v>112</v>
      </c>
      <c r="G110" s="1">
        <v>3140617</v>
      </c>
    </row>
    <row r="111" spans="1:7"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1881</v>
      </c>
      <c r="D111" s="1" t="s">
        <v>1882</v>
      </c>
      <c r="E111" s="1" t="s">
        <v>1883</v>
      </c>
      <c r="F111" s="1" t="s">
        <v>112</v>
      </c>
      <c r="G111" s="1">
        <v>2645725</v>
      </c>
    </row>
    <row r="112" spans="1:7"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1884</v>
      </c>
      <c r="D112" s="1" t="s">
        <v>1885</v>
      </c>
      <c r="E112" s="1" t="s">
        <v>1886</v>
      </c>
      <c r="F112" s="1" t="s">
        <v>112</v>
      </c>
      <c r="G112" s="1">
        <v>2668675</v>
      </c>
    </row>
    <row r="113" spans="1:8"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3" s="1" t="s">
        <v>1887</v>
      </c>
      <c r="D113" s="1" t="s">
        <v>1888</v>
      </c>
      <c r="E113" s="1" t="s">
        <v>1889</v>
      </c>
      <c r="F113" s="1" t="s">
        <v>112</v>
      </c>
      <c r="G113" s="1">
        <v>3022475</v>
      </c>
    </row>
    <row r="114" spans="1:8"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1890</v>
      </c>
      <c r="D114" s="1" t="s">
        <v>1891</v>
      </c>
      <c r="E114" s="1" t="s">
        <v>1892</v>
      </c>
      <c r="F114" s="1" t="s">
        <v>112</v>
      </c>
      <c r="G114" s="1">
        <v>3213791</v>
      </c>
    </row>
    <row r="115" spans="1:8"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1893</v>
      </c>
      <c r="D115" s="1" t="s">
        <v>1894</v>
      </c>
      <c r="E115" s="1" t="s">
        <v>1895</v>
      </c>
      <c r="F115" s="1" t="s">
        <v>112</v>
      </c>
      <c r="G115" s="1">
        <v>3783133</v>
      </c>
    </row>
    <row r="116" spans="1:8"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6" s="1" t="s">
        <v>1896</v>
      </c>
      <c r="D116" s="1" t="s">
        <v>1897</v>
      </c>
      <c r="E116" s="1" t="s">
        <v>1898</v>
      </c>
      <c r="F116" s="1" t="s">
        <v>112</v>
      </c>
      <c r="G116" s="1">
        <v>3216344</v>
      </c>
    </row>
    <row r="117" spans="1:8"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1899</v>
      </c>
      <c r="D117" s="1" t="s">
        <v>1900</v>
      </c>
      <c r="E117" s="1" t="s">
        <v>1901</v>
      </c>
      <c r="F117" s="1" t="s">
        <v>112</v>
      </c>
      <c r="G117" s="1">
        <v>4712094</v>
      </c>
    </row>
    <row r="118" spans="1:8"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1902</v>
      </c>
      <c r="D118" s="1" t="s">
        <v>1903</v>
      </c>
      <c r="E118" s="1" t="s">
        <v>1904</v>
      </c>
      <c r="F118" s="1" t="s">
        <v>112</v>
      </c>
      <c r="G118" s="1">
        <v>4764460</v>
      </c>
    </row>
    <row r="119" spans="1:8"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9" s="1" t="s">
        <v>1905</v>
      </c>
      <c r="D119" s="1" t="s">
        <v>1906</v>
      </c>
      <c r="E119" s="1" t="s">
        <v>1907</v>
      </c>
      <c r="F119" s="1" t="s">
        <v>112</v>
      </c>
      <c r="G119" s="1">
        <v>4594990</v>
      </c>
    </row>
    <row r="120" spans="1:8"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1908</v>
      </c>
    </row>
    <row r="121" spans="1:8"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1909</v>
      </c>
    </row>
    <row r="122" spans="1:8"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2" s="1" t="s">
        <v>1910</v>
      </c>
    </row>
    <row r="123" spans="1:8"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1911</v>
      </c>
      <c r="D123" s="1" t="s">
        <v>1912</v>
      </c>
      <c r="E123" s="1" t="s">
        <v>1913</v>
      </c>
      <c r="F123" s="1" t="s">
        <v>112</v>
      </c>
      <c r="G123" s="1">
        <v>1294030</v>
      </c>
    </row>
    <row r="124" spans="1:8"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1914</v>
      </c>
      <c r="D124" s="1" t="s">
        <v>1915</v>
      </c>
      <c r="E124" s="1" t="s">
        <v>1916</v>
      </c>
      <c r="F124" s="1" t="s">
        <v>112</v>
      </c>
      <c r="G124" s="1">
        <v>1507971</v>
      </c>
    </row>
    <row r="125" spans="1:8" x14ac:dyDescent="0.3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5" s="1" t="s">
        <v>1917</v>
      </c>
      <c r="D125" s="1" t="s">
        <v>1918</v>
      </c>
      <c r="E125" s="1" t="s">
        <v>1919</v>
      </c>
      <c r="F125" s="1" t="s">
        <v>112</v>
      </c>
      <c r="G125" s="1">
        <v>922299</v>
      </c>
    </row>
    <row r="126" spans="1:8"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112</v>
      </c>
    </row>
    <row r="127" spans="1:8"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s="1" t="s">
        <v>227</v>
      </c>
      <c r="D127" s="1" t="s">
        <v>112</v>
      </c>
      <c r="E127" s="1" t="s">
        <v>228</v>
      </c>
      <c r="F127" s="1" t="s">
        <v>229</v>
      </c>
      <c r="G127" s="1" t="s">
        <v>230</v>
      </c>
      <c r="H127" s="1" t="s">
        <v>231</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8" s="1" t="s">
        <v>1920</v>
      </c>
      <c r="D128" s="1" t="s">
        <v>112</v>
      </c>
      <c r="E128" s="1" t="s">
        <v>1921</v>
      </c>
      <c r="F128" s="1" t="s">
        <v>1922</v>
      </c>
      <c r="G128" s="1" t="s">
        <v>1923</v>
      </c>
      <c r="H128" s="1" t="s">
        <v>1924</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112</v>
      </c>
    </row>
    <row r="134" spans="1:7"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4" s="1" t="s">
        <v>173</v>
      </c>
      <c r="D134" s="1" t="s">
        <v>110</v>
      </c>
      <c r="E134" s="1" t="s">
        <v>111</v>
      </c>
      <c r="F134" s="1" t="s">
        <v>112</v>
      </c>
      <c r="G134" s="1" t="s">
        <v>113</v>
      </c>
    </row>
    <row r="135" spans="1:7"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1925</v>
      </c>
      <c r="D135" s="1">
        <v>0</v>
      </c>
      <c r="E135" s="1">
        <v>0</v>
      </c>
      <c r="F135" s="1" t="s">
        <v>112</v>
      </c>
      <c r="G135" s="1">
        <v>0</v>
      </c>
    </row>
    <row r="136" spans="1:7"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1926</v>
      </c>
      <c r="D136" s="1" t="s">
        <v>1927</v>
      </c>
      <c r="E136" s="1" t="s">
        <v>1928</v>
      </c>
      <c r="F136" s="1" t="s">
        <v>112</v>
      </c>
      <c r="G136" s="1">
        <v>7527</v>
      </c>
    </row>
    <row r="137" spans="1:7"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7" s="1" t="s">
        <v>1929</v>
      </c>
      <c r="D137" s="1" t="s">
        <v>1930</v>
      </c>
      <c r="E137" s="1" t="s">
        <v>1931</v>
      </c>
      <c r="F137" s="1" t="s">
        <v>112</v>
      </c>
      <c r="G137" s="1">
        <v>39842</v>
      </c>
    </row>
    <row r="138" spans="1:7"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1932</v>
      </c>
      <c r="D138" s="1" t="s">
        <v>1933</v>
      </c>
      <c r="E138" s="1" t="s">
        <v>1934</v>
      </c>
      <c r="F138" s="1" t="s">
        <v>112</v>
      </c>
      <c r="G138" s="1">
        <v>153226</v>
      </c>
    </row>
    <row r="139" spans="1:7"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1935</v>
      </c>
      <c r="D139" s="1" t="s">
        <v>1936</v>
      </c>
      <c r="E139" s="1" t="s">
        <v>1937</v>
      </c>
      <c r="F139" s="1" t="s">
        <v>112</v>
      </c>
      <c r="G139" s="1">
        <v>48732</v>
      </c>
    </row>
    <row r="140" spans="1:7"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40" s="1" t="s">
        <v>1938</v>
      </c>
      <c r="D140" s="1" t="s">
        <v>1939</v>
      </c>
      <c r="E140" s="1" t="s">
        <v>1940</v>
      </c>
      <c r="F140" s="1" t="s">
        <v>112</v>
      </c>
      <c r="G140" s="1">
        <v>75748</v>
      </c>
    </row>
    <row r="141" spans="1:7"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1941</v>
      </c>
      <c r="D141" s="1" t="s">
        <v>183</v>
      </c>
      <c r="E141" s="1" t="s">
        <v>1942</v>
      </c>
      <c r="F141" s="1" t="s">
        <v>112</v>
      </c>
      <c r="G141" s="1">
        <v>291376</v>
      </c>
    </row>
    <row r="142" spans="1:7"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1943</v>
      </c>
    </row>
    <row r="143" spans="1:7"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3" s="1" t="s">
        <v>1944</v>
      </c>
      <c r="D143" s="1">
        <v>0</v>
      </c>
      <c r="E143" s="1">
        <v>0</v>
      </c>
      <c r="F143" s="1" t="s">
        <v>112</v>
      </c>
      <c r="G143" s="1">
        <v>0</v>
      </c>
    </row>
    <row r="144" spans="1:7"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1945</v>
      </c>
      <c r="D144" s="1">
        <v>0</v>
      </c>
      <c r="E144" s="1">
        <v>0</v>
      </c>
      <c r="F144" s="1" t="s">
        <v>112</v>
      </c>
      <c r="G144" s="1">
        <v>0</v>
      </c>
    </row>
    <row r="145" spans="1:8"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1946</v>
      </c>
      <c r="D145" s="1" t="s">
        <v>1947</v>
      </c>
      <c r="E145" s="1" t="s">
        <v>1948</v>
      </c>
      <c r="F145" s="1" t="s">
        <v>112</v>
      </c>
      <c r="G145" s="1">
        <v>138258</v>
      </c>
    </row>
    <row r="146" spans="1:8"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6" s="1" t="s">
        <v>1949</v>
      </c>
      <c r="D146" s="1" t="s">
        <v>1950</v>
      </c>
      <c r="E146" s="1" t="s">
        <v>1951</v>
      </c>
      <c r="F146" s="1" t="s">
        <v>112</v>
      </c>
      <c r="G146" s="1">
        <v>39453</v>
      </c>
    </row>
    <row r="147" spans="1:8"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1952</v>
      </c>
      <c r="D147" s="1" t="s">
        <v>707</v>
      </c>
      <c r="E147" s="1" t="s">
        <v>1953</v>
      </c>
      <c r="F147" s="1" t="s">
        <v>112</v>
      </c>
      <c r="G147" s="1">
        <v>101379</v>
      </c>
    </row>
    <row r="148" spans="1:8"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1954</v>
      </c>
      <c r="D148" s="1" t="s">
        <v>1012</v>
      </c>
      <c r="E148" s="1" t="s">
        <v>1955</v>
      </c>
      <c r="F148" s="1" t="s">
        <v>112</v>
      </c>
      <c r="G148" s="1">
        <v>54810</v>
      </c>
    </row>
    <row r="149" spans="1:8"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9" s="1" t="s">
        <v>1956</v>
      </c>
      <c r="D149" s="1" t="s">
        <v>978</v>
      </c>
      <c r="E149" s="1" t="s">
        <v>1957</v>
      </c>
      <c r="F149" s="1" t="s">
        <v>112</v>
      </c>
      <c r="G149" s="1">
        <v>59439</v>
      </c>
    </row>
    <row r="150" spans="1:8"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1958</v>
      </c>
      <c r="D150" s="1" t="s">
        <v>1575</v>
      </c>
      <c r="E150" s="1" t="s">
        <v>1959</v>
      </c>
      <c r="F150" s="1" t="s">
        <v>112</v>
      </c>
      <c r="G150" s="1">
        <v>91040</v>
      </c>
    </row>
    <row r="151" spans="1:8"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1960</v>
      </c>
      <c r="D151" s="1" t="s">
        <v>1961</v>
      </c>
      <c r="E151" s="1" t="s">
        <v>1033</v>
      </c>
      <c r="F151" s="1" t="s">
        <v>112</v>
      </c>
      <c r="G151" s="1">
        <v>14103</v>
      </c>
    </row>
    <row r="152" spans="1:8"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2" s="1" t="s">
        <v>1962</v>
      </c>
      <c r="D152" s="1" t="s">
        <v>1578</v>
      </c>
      <c r="E152" s="1" t="s">
        <v>1963</v>
      </c>
      <c r="F152" s="1" t="s">
        <v>112</v>
      </c>
      <c r="G152" s="1">
        <v>151301</v>
      </c>
    </row>
    <row r="153" spans="1:8"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1964</v>
      </c>
      <c r="D153" s="1" t="s">
        <v>1965</v>
      </c>
      <c r="E153" s="1" t="s">
        <v>1966</v>
      </c>
      <c r="F153" s="1" t="s">
        <v>112</v>
      </c>
      <c r="G153" s="1">
        <v>390268</v>
      </c>
    </row>
    <row r="154" spans="1:8"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1967</v>
      </c>
      <c r="D154" s="1" t="s">
        <v>1968</v>
      </c>
      <c r="E154" s="1" t="s">
        <v>1213</v>
      </c>
      <c r="F154" s="1" t="s">
        <v>112</v>
      </c>
      <c r="G154" s="1">
        <v>380794</v>
      </c>
    </row>
    <row r="155" spans="1:8"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5" s="1" t="s">
        <v>1969</v>
      </c>
      <c r="D155" s="1" t="s">
        <v>1970</v>
      </c>
      <c r="E155" s="1" t="s">
        <v>1971</v>
      </c>
      <c r="F155" s="1" t="s">
        <v>112</v>
      </c>
      <c r="G155" s="1">
        <v>228260</v>
      </c>
    </row>
    <row r="156" spans="1:8"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1972</v>
      </c>
    </row>
    <row r="157" spans="1:8"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1973</v>
      </c>
    </row>
    <row r="158" spans="1:8" x14ac:dyDescent="0.35">
      <c r="A158" s="1" t="str">
        <f t="shared" si="2"/>
        <v>16</v>
      </c>
      <c r="B1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8" s="1" t="s">
        <v>1974</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112</v>
      </c>
    </row>
    <row r="160" spans="1:8"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227</v>
      </c>
      <c r="D160" s="1" t="s">
        <v>112</v>
      </c>
      <c r="E160" s="1" t="s">
        <v>228</v>
      </c>
      <c r="F160" s="1" t="s">
        <v>229</v>
      </c>
      <c r="G160" s="1" t="s">
        <v>230</v>
      </c>
      <c r="H160" s="1" t="s">
        <v>231</v>
      </c>
    </row>
    <row r="161" spans="1:8" x14ac:dyDescent="0.35">
      <c r="A161" s="1" t="str">
        <f t="shared" si="2"/>
        <v>16</v>
      </c>
      <c r="B1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1" s="1" t="s">
        <v>1975</v>
      </c>
      <c r="D161" s="1" t="s">
        <v>112</v>
      </c>
      <c r="E161" s="1" t="s">
        <v>1976</v>
      </c>
      <c r="F161" s="1" t="s">
        <v>1977</v>
      </c>
      <c r="G161" s="1" t="s">
        <v>1978</v>
      </c>
      <c r="H161" s="1" t="s">
        <v>1979</v>
      </c>
    </row>
    <row r="162" spans="1:8"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8"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8"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8"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8"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112</v>
      </c>
    </row>
    <row r="167" spans="1:8"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7" s="1" t="s">
        <v>173</v>
      </c>
      <c r="D167" s="1" t="s">
        <v>110</v>
      </c>
      <c r="E167" s="1" t="s">
        <v>111</v>
      </c>
      <c r="F167" s="1" t="s">
        <v>112</v>
      </c>
      <c r="G167" s="1" t="s">
        <v>113</v>
      </c>
    </row>
    <row r="168" spans="1:8"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1980</v>
      </c>
      <c r="D168" s="1" t="s">
        <v>1981</v>
      </c>
      <c r="E168" s="1" t="s">
        <v>1982</v>
      </c>
      <c r="F168" s="1" t="s">
        <v>112</v>
      </c>
      <c r="G168" s="1">
        <v>386159</v>
      </c>
    </row>
    <row r="169" spans="1:8"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1983</v>
      </c>
      <c r="D169" s="1" t="s">
        <v>1984</v>
      </c>
      <c r="E169" s="1" t="s">
        <v>1985</v>
      </c>
      <c r="F169" s="1" t="s">
        <v>112</v>
      </c>
      <c r="G169" s="1">
        <v>545830</v>
      </c>
    </row>
    <row r="170" spans="1:8"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1986</v>
      </c>
    </row>
    <row r="171" spans="1:8"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1987</v>
      </c>
      <c r="D171" s="1" t="s">
        <v>1053</v>
      </c>
      <c r="E171" s="1" t="s">
        <v>1988</v>
      </c>
      <c r="F171" s="1" t="s">
        <v>112</v>
      </c>
      <c r="G171" s="1">
        <v>229623</v>
      </c>
    </row>
    <row r="172" spans="1:8"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1989</v>
      </c>
    </row>
    <row r="173" spans="1:8"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1990</v>
      </c>
    </row>
    <row r="174" spans="1:8"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1991</v>
      </c>
      <c r="D174" s="1">
        <v>0</v>
      </c>
      <c r="E174" s="1">
        <v>0</v>
      </c>
      <c r="F174" s="1" t="s">
        <v>112</v>
      </c>
      <c r="G174" s="1">
        <v>0</v>
      </c>
    </row>
    <row r="175" spans="1:8"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1992</v>
      </c>
      <c r="D175" s="1" t="s">
        <v>1993</v>
      </c>
      <c r="E175" s="1" t="s">
        <v>1994</v>
      </c>
      <c r="F175" s="1" t="s">
        <v>112</v>
      </c>
      <c r="G175" s="1">
        <v>118835</v>
      </c>
    </row>
    <row r="176" spans="1:8"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1995</v>
      </c>
      <c r="D176" s="1" t="s">
        <v>1996</v>
      </c>
      <c r="E176" s="1" t="s">
        <v>1997</v>
      </c>
      <c r="F176" s="1" t="s">
        <v>112</v>
      </c>
      <c r="G176" s="1">
        <v>17953</v>
      </c>
    </row>
    <row r="177" spans="1:7"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1998</v>
      </c>
      <c r="D177" s="1" t="s">
        <v>1999</v>
      </c>
      <c r="E177" s="1" t="s">
        <v>2000</v>
      </c>
      <c r="F177" s="1" t="s">
        <v>112</v>
      </c>
      <c r="G177" s="1">
        <v>426823</v>
      </c>
    </row>
    <row r="178" spans="1:7"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2001</v>
      </c>
      <c r="D178" s="1" t="s">
        <v>1081</v>
      </c>
      <c r="E178" s="1" t="s">
        <v>2002</v>
      </c>
      <c r="F178" s="1" t="s">
        <v>112</v>
      </c>
      <c r="G178" s="1">
        <v>311146</v>
      </c>
    </row>
    <row r="179" spans="1:7"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2003</v>
      </c>
      <c r="D179" s="1" t="s">
        <v>2004</v>
      </c>
      <c r="E179" s="1" t="s">
        <v>2005</v>
      </c>
      <c r="F179" s="1" t="s">
        <v>112</v>
      </c>
      <c r="G179" s="1">
        <v>306106</v>
      </c>
    </row>
    <row r="180" spans="1:7"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2006</v>
      </c>
    </row>
    <row r="181" spans="1:7"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2007</v>
      </c>
    </row>
    <row r="182" spans="1:7"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2008</v>
      </c>
    </row>
    <row r="183" spans="1:7"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2009</v>
      </c>
      <c r="D183" s="1" t="s">
        <v>2010</v>
      </c>
      <c r="E183" s="1" t="s">
        <v>2011</v>
      </c>
      <c r="F183" s="1" t="s">
        <v>112</v>
      </c>
      <c r="G183" s="1">
        <v>146607</v>
      </c>
    </row>
    <row r="184" spans="1:7"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2012</v>
      </c>
      <c r="D184" s="1" t="s">
        <v>2013</v>
      </c>
      <c r="E184" s="1" t="s">
        <v>2014</v>
      </c>
      <c r="F184" s="1" t="s">
        <v>112</v>
      </c>
      <c r="G184" s="1">
        <v>222874</v>
      </c>
    </row>
    <row r="185" spans="1:7"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5" s="1" t="s">
        <v>2015</v>
      </c>
      <c r="D185" s="1" t="s">
        <v>198</v>
      </c>
      <c r="E185" s="1" t="s">
        <v>2016</v>
      </c>
      <c r="F185" s="1" t="s">
        <v>112</v>
      </c>
      <c r="G185" s="1">
        <v>67161</v>
      </c>
    </row>
    <row r="186" spans="1:7"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2017</v>
      </c>
      <c r="D186" s="1" t="s">
        <v>2018</v>
      </c>
      <c r="E186" s="1" t="s">
        <v>2019</v>
      </c>
      <c r="F186" s="1" t="s">
        <v>112</v>
      </c>
      <c r="G186" s="1">
        <v>16439</v>
      </c>
    </row>
    <row r="187" spans="1:7"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2020</v>
      </c>
      <c r="D187" s="1" t="s">
        <v>2021</v>
      </c>
      <c r="E187" s="1" t="s">
        <v>1606</v>
      </c>
      <c r="F187" s="1" t="s">
        <v>112</v>
      </c>
      <c r="G187" s="1">
        <v>2098</v>
      </c>
    </row>
    <row r="188" spans="1:7"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8" s="1" t="s">
        <v>2022</v>
      </c>
      <c r="D188" s="1" t="s">
        <v>2023</v>
      </c>
      <c r="E188" s="1" t="s">
        <v>2024</v>
      </c>
      <c r="F188" s="1" t="s">
        <v>112</v>
      </c>
      <c r="G188" s="1">
        <v>336864</v>
      </c>
    </row>
    <row r="189" spans="1:7" x14ac:dyDescent="0.3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2025</v>
      </c>
      <c r="D189" s="1" t="s">
        <v>2026</v>
      </c>
      <c r="E189" s="1" t="s">
        <v>2027</v>
      </c>
      <c r="F189" s="1" t="s">
        <v>112</v>
      </c>
      <c r="G189" s="1">
        <v>328666</v>
      </c>
    </row>
    <row r="190" spans="1:7" x14ac:dyDescent="0.3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2028</v>
      </c>
      <c r="D190" s="1" t="s">
        <v>2029</v>
      </c>
      <c r="E190" s="1" t="s">
        <v>2030</v>
      </c>
      <c r="F190" s="1" t="s">
        <v>112</v>
      </c>
      <c r="G190" s="1">
        <v>145418</v>
      </c>
    </row>
    <row r="191" spans="1:7" x14ac:dyDescent="0.35">
      <c r="A191" s="1" t="str">
        <f t="shared" si="2"/>
        <v>2</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1" s="1" t="s">
        <v>2031</v>
      </c>
      <c r="D191" s="1" t="s">
        <v>2032</v>
      </c>
      <c r="E191" s="1" t="s">
        <v>2033</v>
      </c>
      <c r="F191" s="1" t="s">
        <v>112</v>
      </c>
      <c r="G191" s="1">
        <v>299617</v>
      </c>
    </row>
    <row r="192" spans="1:7"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112</v>
      </c>
    </row>
    <row r="193" spans="1:8"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s="1" t="s">
        <v>227</v>
      </c>
      <c r="D193" s="1" t="s">
        <v>112</v>
      </c>
      <c r="E193" s="1" t="s">
        <v>228</v>
      </c>
      <c r="F193" s="1" t="s">
        <v>229</v>
      </c>
      <c r="G193" s="1" t="s">
        <v>230</v>
      </c>
      <c r="H193" s="1" t="s">
        <v>231</v>
      </c>
    </row>
    <row r="194" spans="1:8" x14ac:dyDescent="0.35">
      <c r="A194" s="1" t="str">
        <f t="shared" ref="A194:A257" si="3">IFERROR(LEFT(RIGHT(C194,LEN(C194)-SEARCH("@",C194)),SEARCH("/",RIGHT(C194,LEN(C194)-SEARCH("@",C194)-1))),"")</f>
        <v>2</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4" s="1" t="s">
        <v>2034</v>
      </c>
      <c r="D194" s="1" t="s">
        <v>112</v>
      </c>
      <c r="E194" s="1" t="s">
        <v>2035</v>
      </c>
      <c r="F194" s="1" t="s">
        <v>2036</v>
      </c>
      <c r="G194" s="1" t="s">
        <v>2037</v>
      </c>
      <c r="H194" s="1" t="s">
        <v>2038</v>
      </c>
    </row>
    <row r="195" spans="1:8"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8"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8"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8"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8"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8"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173</v>
      </c>
      <c r="D200" s="1" t="s">
        <v>110</v>
      </c>
      <c r="E200" s="1" t="s">
        <v>111</v>
      </c>
      <c r="F200" s="1" t="s">
        <v>112</v>
      </c>
      <c r="G200" s="1" t="s">
        <v>113</v>
      </c>
    </row>
    <row r="201" spans="1:8"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2039</v>
      </c>
      <c r="D201" s="1" t="s">
        <v>1032</v>
      </c>
      <c r="E201" s="1" t="s">
        <v>2040</v>
      </c>
      <c r="F201" s="1" t="s">
        <v>112</v>
      </c>
      <c r="G201" s="1">
        <v>3439</v>
      </c>
    </row>
    <row r="202" spans="1:8"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2041</v>
      </c>
    </row>
    <row r="203" spans="1:8"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3" s="1" t="s">
        <v>2042</v>
      </c>
    </row>
    <row r="204" spans="1:8"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2043</v>
      </c>
    </row>
    <row r="205" spans="1:8"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2044</v>
      </c>
      <c r="D205" s="1" t="s">
        <v>650</v>
      </c>
      <c r="E205" s="1" t="s">
        <v>2045</v>
      </c>
      <c r="F205" s="1" t="s">
        <v>112</v>
      </c>
      <c r="G205" s="1">
        <v>73866</v>
      </c>
    </row>
    <row r="206" spans="1:8"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6" s="1" t="s">
        <v>2046</v>
      </c>
      <c r="D206" s="1">
        <v>0</v>
      </c>
      <c r="E206" s="1">
        <v>0</v>
      </c>
      <c r="F206" s="1" t="s">
        <v>112</v>
      </c>
      <c r="G206" s="1">
        <v>0</v>
      </c>
    </row>
    <row r="207" spans="1:8"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2047</v>
      </c>
      <c r="D207" s="1" t="s">
        <v>1531</v>
      </c>
      <c r="E207" s="1" t="s">
        <v>2048</v>
      </c>
      <c r="F207" s="1" t="s">
        <v>112</v>
      </c>
      <c r="G207" s="1">
        <v>124631</v>
      </c>
    </row>
    <row r="208" spans="1:8"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2049</v>
      </c>
      <c r="D208" s="1" t="s">
        <v>1588</v>
      </c>
      <c r="E208" s="1" t="s">
        <v>2050</v>
      </c>
      <c r="F208" s="1" t="s">
        <v>112</v>
      </c>
      <c r="G208" s="1">
        <v>52258</v>
      </c>
    </row>
    <row r="209" spans="1:7"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9" s="1" t="s">
        <v>2051</v>
      </c>
      <c r="D209" s="1" t="s">
        <v>2052</v>
      </c>
      <c r="E209" s="1" t="s">
        <v>2053</v>
      </c>
      <c r="F209" s="1" t="s">
        <v>112</v>
      </c>
      <c r="G209" s="1">
        <v>49468</v>
      </c>
    </row>
    <row r="210" spans="1:7"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2054</v>
      </c>
      <c r="D210" s="1" t="s">
        <v>2055</v>
      </c>
      <c r="E210" s="1" t="s">
        <v>2056</v>
      </c>
      <c r="F210" s="1" t="s">
        <v>112</v>
      </c>
      <c r="G210" s="1">
        <v>261657</v>
      </c>
    </row>
    <row r="211" spans="1:7"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2057</v>
      </c>
      <c r="D211" s="1" t="s">
        <v>2058</v>
      </c>
      <c r="E211" s="1" t="s">
        <v>2059</v>
      </c>
      <c r="F211" s="1" t="s">
        <v>112</v>
      </c>
      <c r="G211" s="1">
        <v>449296</v>
      </c>
    </row>
    <row r="212" spans="1:7"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2" s="1" t="s">
        <v>2060</v>
      </c>
      <c r="D212" s="1" t="s">
        <v>2061</v>
      </c>
      <c r="E212" s="1" t="s">
        <v>2062</v>
      </c>
      <c r="F212" s="1" t="s">
        <v>112</v>
      </c>
      <c r="G212" s="1">
        <v>471077</v>
      </c>
    </row>
    <row r="213" spans="1:7"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2063</v>
      </c>
      <c r="D213" s="1" t="s">
        <v>2064</v>
      </c>
      <c r="E213" s="1" t="s">
        <v>2065</v>
      </c>
      <c r="F213" s="1" t="s">
        <v>112</v>
      </c>
      <c r="G213" s="1">
        <v>222593</v>
      </c>
    </row>
    <row r="214" spans="1:7"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2066</v>
      </c>
      <c r="D214" s="1" t="s">
        <v>2067</v>
      </c>
      <c r="E214" s="1" t="s">
        <v>2068</v>
      </c>
      <c r="F214" s="1" t="s">
        <v>112</v>
      </c>
      <c r="G214" s="1">
        <v>215434</v>
      </c>
    </row>
    <row r="215" spans="1:7"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5" s="1" t="s">
        <v>2069</v>
      </c>
      <c r="D215" s="1">
        <v>0</v>
      </c>
      <c r="E215" s="1">
        <v>0</v>
      </c>
      <c r="F215" s="1" t="s">
        <v>112</v>
      </c>
      <c r="G215" s="1">
        <v>0</v>
      </c>
    </row>
    <row r="216" spans="1:7"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2070</v>
      </c>
      <c r="D216" s="1" t="s">
        <v>2071</v>
      </c>
      <c r="E216" s="1" t="s">
        <v>2072</v>
      </c>
      <c r="F216" s="1" t="s">
        <v>112</v>
      </c>
      <c r="G216" s="1">
        <v>124934</v>
      </c>
    </row>
    <row r="217" spans="1:7"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2073</v>
      </c>
      <c r="D217" s="1" t="s">
        <v>650</v>
      </c>
      <c r="E217" s="1" t="s">
        <v>2074</v>
      </c>
      <c r="F217" s="1" t="s">
        <v>112</v>
      </c>
      <c r="G217" s="1">
        <v>73931</v>
      </c>
    </row>
    <row r="218" spans="1:7"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8" s="1" t="s">
        <v>2075</v>
      </c>
      <c r="D218" s="1" t="s">
        <v>2076</v>
      </c>
      <c r="E218" s="1" t="s">
        <v>2077</v>
      </c>
      <c r="F218" s="1" t="s">
        <v>112</v>
      </c>
      <c r="G218" s="1">
        <v>128806</v>
      </c>
    </row>
    <row r="219" spans="1:7"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2078</v>
      </c>
      <c r="D219" s="1" t="s">
        <v>1839</v>
      </c>
      <c r="E219" s="1" t="s">
        <v>2079</v>
      </c>
      <c r="F219" s="1" t="s">
        <v>112</v>
      </c>
      <c r="G219" s="1">
        <v>444494</v>
      </c>
    </row>
    <row r="220" spans="1:7"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2080</v>
      </c>
      <c r="D220" s="1" t="s">
        <v>2081</v>
      </c>
      <c r="E220" s="1" t="s">
        <v>2082</v>
      </c>
      <c r="F220" s="1" t="s">
        <v>112</v>
      </c>
      <c r="G220" s="1">
        <v>765504</v>
      </c>
    </row>
    <row r="221" spans="1:7"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1" s="1" t="s">
        <v>2083</v>
      </c>
      <c r="D221" s="1" t="s">
        <v>1683</v>
      </c>
      <c r="E221" s="1" t="s">
        <v>2084</v>
      </c>
      <c r="F221" s="1" t="s">
        <v>112</v>
      </c>
      <c r="G221" s="1">
        <v>294556</v>
      </c>
    </row>
    <row r="222" spans="1:7" x14ac:dyDescent="0.3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2085</v>
      </c>
      <c r="D222" s="1" t="s">
        <v>2086</v>
      </c>
      <c r="E222" s="1" t="s">
        <v>2087</v>
      </c>
      <c r="F222" s="1" t="s">
        <v>112</v>
      </c>
      <c r="G222" s="1">
        <v>281210</v>
      </c>
    </row>
    <row r="223" spans="1:7" x14ac:dyDescent="0.3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2088</v>
      </c>
      <c r="D223" s="1" t="s">
        <v>2089</v>
      </c>
      <c r="E223" s="1" t="s">
        <v>2090</v>
      </c>
      <c r="F223" s="1" t="s">
        <v>112</v>
      </c>
      <c r="G223" s="1">
        <v>630944</v>
      </c>
    </row>
    <row r="224" spans="1:7" x14ac:dyDescent="0.35">
      <c r="A224" s="1" t="str">
        <f t="shared" si="3"/>
        <v>3</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4" s="1" t="s">
        <v>2091</v>
      </c>
      <c r="D224" s="1" t="s">
        <v>2092</v>
      </c>
      <c r="E224" s="1" t="s">
        <v>2093</v>
      </c>
      <c r="F224" s="1" t="s">
        <v>112</v>
      </c>
      <c r="G224" s="1">
        <v>333252</v>
      </c>
    </row>
    <row r="225" spans="1:8"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112</v>
      </c>
    </row>
    <row r="226" spans="1:8"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s="1" t="s">
        <v>227</v>
      </c>
      <c r="D226" s="1" t="s">
        <v>112</v>
      </c>
      <c r="E226" s="1" t="s">
        <v>228</v>
      </c>
      <c r="F226" s="1" t="s">
        <v>229</v>
      </c>
      <c r="G226" s="1" t="s">
        <v>230</v>
      </c>
      <c r="H226" s="1" t="s">
        <v>231</v>
      </c>
    </row>
    <row r="227" spans="1:8" x14ac:dyDescent="0.35">
      <c r="A227" s="1" t="str">
        <f t="shared" si="3"/>
        <v>3</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7" s="1" t="s">
        <v>2094</v>
      </c>
      <c r="D227" s="1" t="s">
        <v>112</v>
      </c>
      <c r="E227" s="1" t="s">
        <v>2095</v>
      </c>
      <c r="F227" s="1" t="s">
        <v>2096</v>
      </c>
      <c r="G227" s="1" t="s">
        <v>2097</v>
      </c>
      <c r="H227" s="1" t="s">
        <v>2098</v>
      </c>
    </row>
    <row r="228" spans="1:8"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8"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8"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8"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8"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112</v>
      </c>
    </row>
    <row r="233" spans="1:8"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3" s="1" t="s">
        <v>173</v>
      </c>
      <c r="D233" s="1" t="s">
        <v>110</v>
      </c>
      <c r="E233" s="1" t="s">
        <v>111</v>
      </c>
      <c r="F233" s="1" t="s">
        <v>112</v>
      </c>
      <c r="G233" s="1" t="s">
        <v>113</v>
      </c>
    </row>
    <row r="234" spans="1:8"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2099</v>
      </c>
      <c r="D234" s="1" t="s">
        <v>2100</v>
      </c>
      <c r="E234" s="1" t="s">
        <v>2101</v>
      </c>
      <c r="F234" s="1" t="s">
        <v>112</v>
      </c>
      <c r="G234" s="1">
        <v>437356</v>
      </c>
    </row>
    <row r="235" spans="1:8"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2102</v>
      </c>
      <c r="D235" s="1" t="s">
        <v>2103</v>
      </c>
      <c r="E235" s="1" t="s">
        <v>2104</v>
      </c>
      <c r="F235" s="1" t="s">
        <v>112</v>
      </c>
      <c r="G235" s="1">
        <v>430067</v>
      </c>
    </row>
    <row r="236" spans="1:8"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6" s="1" t="s">
        <v>2105</v>
      </c>
      <c r="D236" s="1" t="s">
        <v>2106</v>
      </c>
      <c r="E236" s="1" t="s">
        <v>2107</v>
      </c>
      <c r="F236" s="1" t="s">
        <v>112</v>
      </c>
      <c r="G236" s="1">
        <v>676929</v>
      </c>
    </row>
    <row r="237" spans="1:8"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2108</v>
      </c>
      <c r="D237" s="1" t="s">
        <v>2109</v>
      </c>
      <c r="E237" s="1" t="s">
        <v>2110</v>
      </c>
      <c r="F237" s="1" t="s">
        <v>112</v>
      </c>
      <c r="G237" s="1">
        <v>127141</v>
      </c>
    </row>
    <row r="238" spans="1:8"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2111</v>
      </c>
      <c r="D238" s="1" t="s">
        <v>2112</v>
      </c>
      <c r="E238" s="1" t="s">
        <v>2113</v>
      </c>
      <c r="F238" s="1" t="s">
        <v>112</v>
      </c>
      <c r="G238" s="1">
        <v>111416</v>
      </c>
    </row>
    <row r="239" spans="1:8"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9" s="1" t="s">
        <v>2114</v>
      </c>
      <c r="D239" s="1" t="s">
        <v>2115</v>
      </c>
      <c r="E239" s="1" t="s">
        <v>2116</v>
      </c>
      <c r="F239" s="1" t="s">
        <v>112</v>
      </c>
      <c r="G239" s="1">
        <v>370196</v>
      </c>
    </row>
    <row r="240" spans="1:8"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2117</v>
      </c>
      <c r="D240" s="1" t="s">
        <v>2118</v>
      </c>
      <c r="E240" s="1" t="s">
        <v>2119</v>
      </c>
      <c r="F240" s="1" t="s">
        <v>112</v>
      </c>
      <c r="G240" s="1">
        <v>388084</v>
      </c>
    </row>
    <row r="241" spans="1:7"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2120</v>
      </c>
      <c r="D241" s="1" t="s">
        <v>2121</v>
      </c>
      <c r="E241" s="1" t="s">
        <v>2122</v>
      </c>
      <c r="F241" s="1" t="s">
        <v>112</v>
      </c>
      <c r="G241" s="1">
        <v>2639</v>
      </c>
    </row>
    <row r="242" spans="1:7"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2" s="1" t="s">
        <v>2123</v>
      </c>
      <c r="D242" s="1" t="s">
        <v>2118</v>
      </c>
      <c r="E242" s="1" t="s">
        <v>2124</v>
      </c>
      <c r="F242" s="1" t="s">
        <v>112</v>
      </c>
      <c r="G242" s="1">
        <v>385055</v>
      </c>
    </row>
    <row r="243" spans="1:7"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2125</v>
      </c>
      <c r="D243" s="1" t="s">
        <v>2126</v>
      </c>
      <c r="E243" s="1" t="s">
        <v>2127</v>
      </c>
      <c r="F243" s="1" t="s">
        <v>112</v>
      </c>
      <c r="G243" s="1">
        <v>185974</v>
      </c>
    </row>
    <row r="244" spans="1:7"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2128</v>
      </c>
      <c r="D244" s="1" t="s">
        <v>1543</v>
      </c>
      <c r="E244" s="1" t="s">
        <v>2129</v>
      </c>
      <c r="F244" s="1" t="s">
        <v>112</v>
      </c>
      <c r="G244" s="1">
        <v>187034</v>
      </c>
    </row>
    <row r="245" spans="1:7"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5" s="1" t="s">
        <v>2130</v>
      </c>
      <c r="D245" s="1" t="s">
        <v>2131</v>
      </c>
      <c r="E245" s="1" t="s">
        <v>2132</v>
      </c>
      <c r="F245" s="1" t="s">
        <v>112</v>
      </c>
      <c r="G245" s="1">
        <v>236912</v>
      </c>
    </row>
    <row r="246" spans="1:7"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2133</v>
      </c>
      <c r="D246" s="1" t="s">
        <v>1239</v>
      </c>
      <c r="E246" s="1" t="s">
        <v>2134</v>
      </c>
      <c r="F246" s="1" t="s">
        <v>112</v>
      </c>
      <c r="G246" s="1">
        <v>305868</v>
      </c>
    </row>
    <row r="247" spans="1:7"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2135</v>
      </c>
      <c r="D247" s="1" t="s">
        <v>2136</v>
      </c>
      <c r="E247" s="1" t="s">
        <v>2137</v>
      </c>
      <c r="F247" s="1" t="s">
        <v>112</v>
      </c>
      <c r="G247" s="1">
        <v>86541</v>
      </c>
    </row>
    <row r="248" spans="1:7"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8" s="1" t="s">
        <v>2138</v>
      </c>
      <c r="D248" s="1" t="s">
        <v>1102</v>
      </c>
      <c r="E248" s="1" t="s">
        <v>2139</v>
      </c>
      <c r="F248" s="1" t="s">
        <v>112</v>
      </c>
      <c r="G248" s="1">
        <v>125259</v>
      </c>
    </row>
    <row r="249" spans="1:7"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2140</v>
      </c>
      <c r="D249" s="1" t="s">
        <v>1487</v>
      </c>
      <c r="E249" s="1" t="s">
        <v>2141</v>
      </c>
      <c r="F249" s="1" t="s">
        <v>112</v>
      </c>
      <c r="G249" s="1">
        <v>1815332</v>
      </c>
    </row>
    <row r="250" spans="1:7"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2142</v>
      </c>
      <c r="D250" s="1" t="s">
        <v>2143</v>
      </c>
      <c r="E250" s="1" t="s">
        <v>2144</v>
      </c>
      <c r="F250" s="1" t="s">
        <v>112</v>
      </c>
      <c r="G250" s="1">
        <v>1638075</v>
      </c>
    </row>
    <row r="251" spans="1:7"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1" s="1" t="s">
        <v>2145</v>
      </c>
      <c r="D251" s="1" t="s">
        <v>1789</v>
      </c>
      <c r="E251" s="1" t="s">
        <v>2146</v>
      </c>
      <c r="F251" s="1" t="s">
        <v>112</v>
      </c>
      <c r="G251" s="1">
        <v>1814727</v>
      </c>
    </row>
    <row r="252" spans="1:7"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2147</v>
      </c>
      <c r="D252" s="1" t="s">
        <v>2148</v>
      </c>
      <c r="E252" s="1" t="s">
        <v>2149</v>
      </c>
      <c r="F252" s="1" t="s">
        <v>112</v>
      </c>
      <c r="G252" s="1">
        <v>203343</v>
      </c>
    </row>
    <row r="253" spans="1:7"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2150</v>
      </c>
      <c r="D253" s="1" t="s">
        <v>2151</v>
      </c>
      <c r="E253" s="1" t="s">
        <v>2152</v>
      </c>
      <c r="F253" s="1" t="s">
        <v>112</v>
      </c>
      <c r="G253" s="1">
        <v>46223</v>
      </c>
    </row>
    <row r="254" spans="1:7"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4" s="1" t="s">
        <v>2153</v>
      </c>
      <c r="D254" s="1" t="s">
        <v>1564</v>
      </c>
      <c r="E254" s="1" t="s">
        <v>2154</v>
      </c>
      <c r="F254" s="1" t="s">
        <v>112</v>
      </c>
      <c r="G254" s="1">
        <v>198043</v>
      </c>
    </row>
    <row r="255" spans="1:7" x14ac:dyDescent="0.3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2155</v>
      </c>
      <c r="D255" s="1" t="s">
        <v>2156</v>
      </c>
      <c r="E255" s="1" t="s">
        <v>2157</v>
      </c>
      <c r="F255" s="1" t="s">
        <v>112</v>
      </c>
      <c r="G255" s="1">
        <v>352935</v>
      </c>
    </row>
    <row r="256" spans="1:7" x14ac:dyDescent="0.3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2158</v>
      </c>
      <c r="D256" s="1" t="s">
        <v>2159</v>
      </c>
      <c r="E256" s="1" t="s">
        <v>2160</v>
      </c>
      <c r="F256" s="1" t="s">
        <v>112</v>
      </c>
      <c r="G256" s="1">
        <v>598780</v>
      </c>
    </row>
    <row r="257" spans="1:8" x14ac:dyDescent="0.35">
      <c r="A257" s="1" t="str">
        <f t="shared" si="3"/>
        <v>4</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7" s="1" t="s">
        <v>2161</v>
      </c>
      <c r="D257" s="1" t="s">
        <v>2162</v>
      </c>
      <c r="E257" s="1" t="s">
        <v>2163</v>
      </c>
      <c r="F257" s="1" t="s">
        <v>112</v>
      </c>
      <c r="G257" s="1">
        <v>367946</v>
      </c>
    </row>
    <row r="258" spans="1:8"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112</v>
      </c>
    </row>
    <row r="259" spans="1:8"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s="1" t="s">
        <v>227</v>
      </c>
      <c r="D259" s="1" t="s">
        <v>112</v>
      </c>
      <c r="E259" s="1" t="s">
        <v>228</v>
      </c>
      <c r="F259" s="1" t="s">
        <v>229</v>
      </c>
      <c r="G259" s="1" t="s">
        <v>230</v>
      </c>
      <c r="H259" s="1" t="s">
        <v>231</v>
      </c>
    </row>
    <row r="260" spans="1:8" x14ac:dyDescent="0.35">
      <c r="A260" s="1" t="str">
        <f t="shared" si="4"/>
        <v>4</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60" s="1" t="s">
        <v>2164</v>
      </c>
      <c r="D260" s="1" t="s">
        <v>112</v>
      </c>
      <c r="E260" s="1" t="s">
        <v>2165</v>
      </c>
      <c r="F260" s="1" t="s">
        <v>2166</v>
      </c>
      <c r="G260" s="1" t="s">
        <v>2167</v>
      </c>
      <c r="H260" s="1" t="s">
        <v>2168</v>
      </c>
    </row>
    <row r="261" spans="1:8"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8"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8"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8"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8"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112</v>
      </c>
    </row>
    <row r="266" spans="1:8"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6" s="1" t="s">
        <v>173</v>
      </c>
      <c r="D266" s="1" t="s">
        <v>110</v>
      </c>
      <c r="E266" s="1" t="s">
        <v>111</v>
      </c>
      <c r="F266" s="1" t="s">
        <v>112</v>
      </c>
      <c r="G266" s="1" t="s">
        <v>113</v>
      </c>
    </row>
    <row r="267" spans="1:8"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2169</v>
      </c>
      <c r="D267" s="1" t="s">
        <v>2170</v>
      </c>
      <c r="E267" s="1" t="s">
        <v>2171</v>
      </c>
      <c r="F267" s="1" t="s">
        <v>112</v>
      </c>
      <c r="G267" s="1">
        <v>2011753</v>
      </c>
    </row>
    <row r="268" spans="1:8"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2172</v>
      </c>
      <c r="D268" s="1" t="s">
        <v>292</v>
      </c>
      <c r="E268" s="1" t="s">
        <v>2173</v>
      </c>
      <c r="F268" s="1" t="s">
        <v>112</v>
      </c>
      <c r="G268" s="1">
        <v>2102642</v>
      </c>
    </row>
    <row r="269" spans="1:8"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9" s="1" t="s">
        <v>2174</v>
      </c>
      <c r="D269" s="1" t="s">
        <v>2175</v>
      </c>
      <c r="E269" s="1" t="s">
        <v>2176</v>
      </c>
      <c r="F269" s="1" t="s">
        <v>112</v>
      </c>
      <c r="G269" s="1">
        <v>2337413</v>
      </c>
    </row>
    <row r="270" spans="1:8"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2177</v>
      </c>
      <c r="D270" s="1" t="s">
        <v>2178</v>
      </c>
      <c r="E270" s="1" t="s">
        <v>2179</v>
      </c>
      <c r="F270" s="1" t="s">
        <v>112</v>
      </c>
      <c r="G270" s="1">
        <v>449729</v>
      </c>
    </row>
    <row r="271" spans="1:8"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2180</v>
      </c>
      <c r="D271" s="1" t="s">
        <v>2181</v>
      </c>
      <c r="E271" s="1" t="s">
        <v>2182</v>
      </c>
      <c r="F271" s="1" t="s">
        <v>112</v>
      </c>
      <c r="G271" s="1">
        <v>375257</v>
      </c>
    </row>
    <row r="272" spans="1:8"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2" s="1" t="s">
        <v>2183</v>
      </c>
      <c r="D272" s="1" t="s">
        <v>2184</v>
      </c>
      <c r="E272" s="1" t="s">
        <v>2185</v>
      </c>
      <c r="F272" s="1" t="s">
        <v>112</v>
      </c>
      <c r="G272" s="1">
        <v>444408</v>
      </c>
    </row>
    <row r="273" spans="1:7"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2186</v>
      </c>
      <c r="D273" s="1" t="s">
        <v>1481</v>
      </c>
      <c r="E273" s="1" t="s">
        <v>2187</v>
      </c>
      <c r="F273" s="1" t="s">
        <v>112</v>
      </c>
      <c r="G273" s="1">
        <v>1410896</v>
      </c>
    </row>
    <row r="274" spans="1:7"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2188</v>
      </c>
      <c r="D274" s="1" t="s">
        <v>2189</v>
      </c>
      <c r="E274" s="1" t="s">
        <v>2190</v>
      </c>
      <c r="F274" s="1" t="s">
        <v>112</v>
      </c>
      <c r="G274" s="1">
        <v>1261412</v>
      </c>
    </row>
    <row r="275" spans="1:7"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5" s="1" t="s">
        <v>2191</v>
      </c>
      <c r="D275" s="1" t="s">
        <v>2192</v>
      </c>
      <c r="E275" s="1" t="s">
        <v>2193</v>
      </c>
      <c r="F275" s="1" t="s">
        <v>112</v>
      </c>
      <c r="G275" s="1">
        <v>1667340</v>
      </c>
    </row>
    <row r="276" spans="1:7"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2194</v>
      </c>
      <c r="D276" s="1" t="s">
        <v>2195</v>
      </c>
      <c r="E276" s="1" t="s">
        <v>2196</v>
      </c>
      <c r="F276" s="1" t="s">
        <v>112</v>
      </c>
      <c r="G276" s="1">
        <v>3031235</v>
      </c>
    </row>
    <row r="277" spans="1:7"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2197</v>
      </c>
      <c r="D277" s="1" t="s">
        <v>2198</v>
      </c>
      <c r="E277" s="1" t="s">
        <v>2199</v>
      </c>
      <c r="F277" s="1" t="s">
        <v>112</v>
      </c>
      <c r="G277" s="1">
        <v>3290188</v>
      </c>
    </row>
    <row r="278" spans="1:7"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8" s="1" t="s">
        <v>2200</v>
      </c>
      <c r="D278" s="1" t="s">
        <v>2201</v>
      </c>
      <c r="E278" s="1" t="s">
        <v>2202</v>
      </c>
      <c r="F278" s="1" t="s">
        <v>112</v>
      </c>
      <c r="G278" s="1">
        <v>3372944</v>
      </c>
    </row>
    <row r="279" spans="1:7"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2203</v>
      </c>
      <c r="D279" s="1" t="s">
        <v>2204</v>
      </c>
      <c r="E279" s="1" t="s">
        <v>2205</v>
      </c>
      <c r="F279" s="1" t="s">
        <v>112</v>
      </c>
      <c r="G279" s="1">
        <v>1061487</v>
      </c>
    </row>
    <row r="280" spans="1:7"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2206</v>
      </c>
      <c r="D280" s="1" t="s">
        <v>2207</v>
      </c>
      <c r="E280" s="1" t="s">
        <v>2208</v>
      </c>
      <c r="F280" s="1" t="s">
        <v>112</v>
      </c>
      <c r="G280" s="1">
        <v>1279300</v>
      </c>
    </row>
    <row r="281" spans="1:7"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1" s="1" t="s">
        <v>2209</v>
      </c>
      <c r="D281" s="1" t="s">
        <v>2210</v>
      </c>
      <c r="E281" s="1" t="s">
        <v>2211</v>
      </c>
      <c r="F281" s="1" t="s">
        <v>112</v>
      </c>
      <c r="G281" s="1">
        <v>1571671</v>
      </c>
    </row>
    <row r="282" spans="1:7"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2212</v>
      </c>
      <c r="D282" s="1" t="s">
        <v>415</v>
      </c>
      <c r="E282" s="1" t="s">
        <v>2213</v>
      </c>
      <c r="F282" s="1" t="s">
        <v>112</v>
      </c>
      <c r="G282" s="1">
        <v>2122650</v>
      </c>
    </row>
    <row r="283" spans="1:7"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2214</v>
      </c>
      <c r="D283" s="1" t="s">
        <v>2215</v>
      </c>
      <c r="E283" s="1" t="s">
        <v>2216</v>
      </c>
      <c r="F283" s="1" t="s">
        <v>112</v>
      </c>
      <c r="G283" s="1">
        <v>1811698</v>
      </c>
    </row>
    <row r="284" spans="1:7"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4" s="1" t="s">
        <v>2217</v>
      </c>
      <c r="D284" s="1" t="s">
        <v>2218</v>
      </c>
      <c r="E284" s="1" t="s">
        <v>2219</v>
      </c>
      <c r="F284" s="1" t="s">
        <v>112</v>
      </c>
      <c r="G284" s="1">
        <v>1782130</v>
      </c>
    </row>
    <row r="285" spans="1:7"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2220</v>
      </c>
      <c r="D285" s="1" t="s">
        <v>147</v>
      </c>
      <c r="E285" s="1" t="s">
        <v>2221</v>
      </c>
      <c r="F285" s="1" t="s">
        <v>112</v>
      </c>
      <c r="G285" s="1">
        <v>162094</v>
      </c>
    </row>
    <row r="286" spans="1:7"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2222</v>
      </c>
      <c r="D286" s="1" t="s">
        <v>2223</v>
      </c>
      <c r="E286" s="1" t="s">
        <v>2224</v>
      </c>
      <c r="F286" s="1" t="s">
        <v>112</v>
      </c>
      <c r="G286" s="1">
        <v>392474</v>
      </c>
    </row>
    <row r="287" spans="1:7"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7" s="1" t="s">
        <v>2225</v>
      </c>
      <c r="D287" s="1" t="s">
        <v>1510</v>
      </c>
      <c r="E287" s="1" t="s">
        <v>2226</v>
      </c>
      <c r="F287" s="1" t="s">
        <v>112</v>
      </c>
      <c r="G287" s="1">
        <v>173645</v>
      </c>
    </row>
    <row r="288" spans="1:7" x14ac:dyDescent="0.3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2227</v>
      </c>
      <c r="D288" s="1" t="s">
        <v>2228</v>
      </c>
      <c r="E288" s="1" t="s">
        <v>2229</v>
      </c>
      <c r="F288" s="1" t="s">
        <v>112</v>
      </c>
      <c r="G288" s="1">
        <v>1272811</v>
      </c>
    </row>
    <row r="289" spans="1:8" x14ac:dyDescent="0.3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2230</v>
      </c>
      <c r="D289" s="1" t="s">
        <v>2231</v>
      </c>
      <c r="E289" s="1" t="s">
        <v>2232</v>
      </c>
      <c r="F289" s="1" t="s">
        <v>112</v>
      </c>
      <c r="G289" s="1">
        <v>1047947</v>
      </c>
    </row>
    <row r="290" spans="1:8" x14ac:dyDescent="0.35">
      <c r="A290" s="1" t="str">
        <f t="shared" si="4"/>
        <v>5</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90" s="1" t="s">
        <v>2233</v>
      </c>
      <c r="D290" s="1" t="s">
        <v>2234</v>
      </c>
      <c r="E290" s="1" t="s">
        <v>2235</v>
      </c>
      <c r="F290" s="1" t="s">
        <v>112</v>
      </c>
      <c r="G290" s="1">
        <v>1104206</v>
      </c>
    </row>
    <row r="291" spans="1:8"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112</v>
      </c>
    </row>
    <row r="292" spans="1:8"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s="1" t="s">
        <v>227</v>
      </c>
      <c r="D292" s="1" t="s">
        <v>112</v>
      </c>
      <c r="E292" s="1" t="s">
        <v>228</v>
      </c>
      <c r="F292" s="1" t="s">
        <v>229</v>
      </c>
      <c r="G292" s="1" t="s">
        <v>230</v>
      </c>
      <c r="H292" s="1" t="s">
        <v>231</v>
      </c>
    </row>
    <row r="293" spans="1:8" x14ac:dyDescent="0.35">
      <c r="A293" s="1" t="str">
        <f t="shared" si="4"/>
        <v>5</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3" s="1" t="s">
        <v>2236</v>
      </c>
      <c r="D293" s="1" t="s">
        <v>112</v>
      </c>
      <c r="E293" s="1" t="s">
        <v>2237</v>
      </c>
      <c r="F293" s="1" t="s">
        <v>2238</v>
      </c>
      <c r="G293" s="1" t="s">
        <v>2239</v>
      </c>
      <c r="H293" s="1" t="s">
        <v>2240</v>
      </c>
    </row>
    <row r="294" spans="1:8"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8"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8"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8"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8"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112</v>
      </c>
    </row>
    <row r="299" spans="1:8"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9" s="1" t="s">
        <v>173</v>
      </c>
      <c r="D299" s="1" t="s">
        <v>110</v>
      </c>
      <c r="E299" s="1" t="s">
        <v>111</v>
      </c>
      <c r="F299" s="1" t="s">
        <v>112</v>
      </c>
      <c r="G299" s="1" t="s">
        <v>113</v>
      </c>
    </row>
    <row r="300" spans="1:8"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2241</v>
      </c>
    </row>
    <row r="301" spans="1:8"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2242</v>
      </c>
    </row>
    <row r="302" spans="1:8"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2" s="1" t="s">
        <v>2243</v>
      </c>
    </row>
    <row r="303" spans="1:8"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2244</v>
      </c>
      <c r="D303" s="1" t="s">
        <v>2245</v>
      </c>
      <c r="E303" s="1" t="s">
        <v>2246</v>
      </c>
      <c r="F303" s="1" t="s">
        <v>112</v>
      </c>
      <c r="G303" s="1">
        <v>2189291</v>
      </c>
    </row>
    <row r="304" spans="1:8"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2247</v>
      </c>
      <c r="D304" s="1" t="s">
        <v>2248</v>
      </c>
      <c r="E304" s="1" t="s">
        <v>2249</v>
      </c>
      <c r="F304" s="1" t="s">
        <v>112</v>
      </c>
      <c r="G304" s="1">
        <v>2178065</v>
      </c>
    </row>
    <row r="305" spans="1:7"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5" s="1" t="s">
        <v>2250</v>
      </c>
      <c r="D305" s="1" t="s">
        <v>2251</v>
      </c>
      <c r="E305" s="1" t="s">
        <v>2252</v>
      </c>
      <c r="F305" s="1" t="s">
        <v>112</v>
      </c>
      <c r="G305" s="1">
        <v>2022006</v>
      </c>
    </row>
    <row r="306" spans="1:7"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2253</v>
      </c>
      <c r="D306" s="1" t="s">
        <v>2254</v>
      </c>
      <c r="E306" s="1" t="s">
        <v>2255</v>
      </c>
      <c r="F306" s="1" t="s">
        <v>112</v>
      </c>
      <c r="G306" s="1">
        <v>2942466</v>
      </c>
    </row>
    <row r="307" spans="1:7"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2256</v>
      </c>
      <c r="D307" s="1" t="s">
        <v>2257</v>
      </c>
      <c r="E307" s="1" t="s">
        <v>2258</v>
      </c>
      <c r="F307" s="1" t="s">
        <v>112</v>
      </c>
      <c r="G307" s="1">
        <v>2095547</v>
      </c>
    </row>
    <row r="308" spans="1:7"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8" s="1" t="s">
        <v>2259</v>
      </c>
      <c r="D308" s="1" t="s">
        <v>2260</v>
      </c>
      <c r="E308" s="1" t="s">
        <v>2261</v>
      </c>
      <c r="F308" s="1" t="s">
        <v>112</v>
      </c>
      <c r="G308" s="1">
        <v>2772736</v>
      </c>
    </row>
    <row r="309" spans="1:7"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2262</v>
      </c>
      <c r="D309" s="1" t="s">
        <v>2263</v>
      </c>
      <c r="E309" s="1" t="s">
        <v>2264</v>
      </c>
      <c r="F309" s="1" t="s">
        <v>112</v>
      </c>
      <c r="G309" s="1">
        <v>1920021</v>
      </c>
    </row>
    <row r="310" spans="1:7"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2265</v>
      </c>
      <c r="D310" s="1" t="s">
        <v>2266</v>
      </c>
      <c r="E310" s="1" t="s">
        <v>2267</v>
      </c>
      <c r="F310" s="1" t="s">
        <v>112</v>
      </c>
      <c r="G310" s="1">
        <v>1574678</v>
      </c>
    </row>
    <row r="311" spans="1:7"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1" s="1" t="s">
        <v>2268</v>
      </c>
      <c r="D311" s="1" t="s">
        <v>2269</v>
      </c>
      <c r="E311" s="1" t="s">
        <v>2270</v>
      </c>
      <c r="F311" s="1" t="s">
        <v>112</v>
      </c>
      <c r="G311" s="1">
        <v>1533343</v>
      </c>
    </row>
    <row r="312" spans="1:7"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2271</v>
      </c>
      <c r="D312" s="1" t="s">
        <v>2272</v>
      </c>
      <c r="E312" s="1" t="s">
        <v>2273</v>
      </c>
      <c r="F312" s="1" t="s">
        <v>112</v>
      </c>
      <c r="G312" s="1">
        <v>2220374</v>
      </c>
    </row>
    <row r="313" spans="1:7"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2274</v>
      </c>
      <c r="D313" s="1" t="s">
        <v>2275</v>
      </c>
      <c r="E313" s="1" t="s">
        <v>2276</v>
      </c>
      <c r="F313" s="1" t="s">
        <v>112</v>
      </c>
      <c r="G313" s="1">
        <v>2797135</v>
      </c>
    </row>
    <row r="314" spans="1:7"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4" s="1" t="s">
        <v>2277</v>
      </c>
      <c r="D314" s="1" t="s">
        <v>2278</v>
      </c>
      <c r="E314" s="1" t="s">
        <v>2279</v>
      </c>
      <c r="F314" s="1" t="s">
        <v>112</v>
      </c>
      <c r="G314" s="1">
        <v>2805095</v>
      </c>
    </row>
    <row r="315" spans="1:7"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2280</v>
      </c>
      <c r="D315" s="1" t="s">
        <v>2281</v>
      </c>
      <c r="E315" s="1" t="s">
        <v>2282</v>
      </c>
      <c r="F315" s="1" t="s">
        <v>112</v>
      </c>
      <c r="G315" s="1">
        <v>1963324</v>
      </c>
    </row>
    <row r="316" spans="1:7"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2283</v>
      </c>
    </row>
    <row r="317" spans="1:7"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7" s="1" t="s">
        <v>2284</v>
      </c>
    </row>
    <row r="318" spans="1:7"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2285</v>
      </c>
      <c r="D318" s="1" t="s">
        <v>309</v>
      </c>
      <c r="E318" s="1" t="s">
        <v>2286</v>
      </c>
      <c r="F318" s="1" t="s">
        <v>112</v>
      </c>
      <c r="G318" s="1">
        <v>2353203</v>
      </c>
    </row>
    <row r="319" spans="1:7"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2287</v>
      </c>
      <c r="D319" s="1" t="s">
        <v>2288</v>
      </c>
      <c r="E319" s="1" t="s">
        <v>2289</v>
      </c>
      <c r="F319" s="1" t="s">
        <v>112</v>
      </c>
      <c r="G319" s="1">
        <v>2603590</v>
      </c>
    </row>
    <row r="320" spans="1:7"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20" s="1" t="s">
        <v>2290</v>
      </c>
      <c r="D320" s="1" t="s">
        <v>2291</v>
      </c>
      <c r="E320" s="1" t="s">
        <v>2292</v>
      </c>
      <c r="F320" s="1" t="s">
        <v>112</v>
      </c>
      <c r="G320" s="1">
        <v>2928580</v>
      </c>
    </row>
    <row r="321" spans="1:8" x14ac:dyDescent="0.3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2293</v>
      </c>
      <c r="D321" s="1" t="s">
        <v>2294</v>
      </c>
      <c r="E321" s="1" t="s">
        <v>2295</v>
      </c>
      <c r="F321" s="1" t="s">
        <v>112</v>
      </c>
      <c r="G321" s="1">
        <v>3378979</v>
      </c>
    </row>
    <row r="322" spans="1:8" x14ac:dyDescent="0.3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2296</v>
      </c>
      <c r="D322" s="1" t="s">
        <v>1141</v>
      </c>
      <c r="E322" s="1" t="s">
        <v>2297</v>
      </c>
      <c r="F322" s="1" t="s">
        <v>112</v>
      </c>
      <c r="G322" s="1">
        <v>3688568</v>
      </c>
    </row>
    <row r="323" spans="1:8" x14ac:dyDescent="0.35">
      <c r="A323" s="1" t="str">
        <f t="shared" si="5"/>
        <v>6</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3" s="1" t="s">
        <v>2298</v>
      </c>
      <c r="D323" s="1" t="s">
        <v>2299</v>
      </c>
      <c r="E323" s="1" t="s">
        <v>2300</v>
      </c>
      <c r="F323" s="1" t="s">
        <v>112</v>
      </c>
      <c r="G323" s="1">
        <v>3428749</v>
      </c>
    </row>
    <row r="324" spans="1:8"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227</v>
      </c>
      <c r="D325" s="1" t="s">
        <v>112</v>
      </c>
      <c r="E325" s="1" t="s">
        <v>228</v>
      </c>
      <c r="F325" s="1" t="s">
        <v>229</v>
      </c>
      <c r="G325" s="1" t="s">
        <v>230</v>
      </c>
      <c r="H325" s="1" t="s">
        <v>231</v>
      </c>
    </row>
    <row r="326" spans="1:8" x14ac:dyDescent="0.35">
      <c r="A326" s="1" t="str">
        <f t="shared" si="5"/>
        <v>6</v>
      </c>
      <c r="B3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6" s="1" t="s">
        <v>2301</v>
      </c>
      <c r="D326" s="1" t="s">
        <v>112</v>
      </c>
      <c r="E326" s="1" t="s">
        <v>2302</v>
      </c>
      <c r="F326" s="1" t="s">
        <v>2303</v>
      </c>
      <c r="G326" s="1" t="s">
        <v>2304</v>
      </c>
      <c r="H326" s="1" t="s">
        <v>2305</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8"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8"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112</v>
      </c>
    </row>
    <row r="332" spans="1:8"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2" s="1" t="s">
        <v>173</v>
      </c>
      <c r="D332" s="1" t="s">
        <v>110</v>
      </c>
      <c r="E332" s="1" t="s">
        <v>111</v>
      </c>
      <c r="F332" s="1" t="s">
        <v>112</v>
      </c>
      <c r="G332" s="1" t="s">
        <v>113</v>
      </c>
    </row>
    <row r="333" spans="1:8"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2306</v>
      </c>
      <c r="D333" s="1" t="s">
        <v>1897</v>
      </c>
      <c r="E333" s="1" t="s">
        <v>2307</v>
      </c>
      <c r="F333" s="1" t="s">
        <v>112</v>
      </c>
      <c r="G333" s="1">
        <v>3340067</v>
      </c>
    </row>
    <row r="334" spans="1:8"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2308</v>
      </c>
      <c r="D334" s="1" t="s">
        <v>2309</v>
      </c>
      <c r="E334" s="1" t="s">
        <v>2310</v>
      </c>
      <c r="F334" s="1" t="s">
        <v>112</v>
      </c>
      <c r="G334" s="1">
        <v>3661314</v>
      </c>
    </row>
    <row r="335" spans="1:8"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5" s="1" t="s">
        <v>2311</v>
      </c>
      <c r="D335" s="1" t="s">
        <v>2312</v>
      </c>
      <c r="E335" s="1" t="s">
        <v>2313</v>
      </c>
      <c r="F335" s="1" t="s">
        <v>112</v>
      </c>
      <c r="G335" s="1">
        <v>3314132</v>
      </c>
    </row>
    <row r="336" spans="1:8"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2314</v>
      </c>
      <c r="D336" s="1" t="s">
        <v>2315</v>
      </c>
      <c r="E336" s="1" t="s">
        <v>2316</v>
      </c>
      <c r="F336" s="1" t="s">
        <v>112</v>
      </c>
      <c r="G336" s="1">
        <v>3214094</v>
      </c>
    </row>
    <row r="337" spans="1:7"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2317</v>
      </c>
      <c r="D337" s="1" t="s">
        <v>2318</v>
      </c>
      <c r="E337" s="1" t="s">
        <v>2319</v>
      </c>
      <c r="F337" s="1" t="s">
        <v>112</v>
      </c>
      <c r="G337" s="1">
        <v>3913410</v>
      </c>
    </row>
    <row r="338" spans="1:7"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2320</v>
      </c>
      <c r="D338" s="1" t="s">
        <v>883</v>
      </c>
      <c r="E338" s="1" t="s">
        <v>2321</v>
      </c>
      <c r="F338" s="1" t="s">
        <v>112</v>
      </c>
      <c r="G338" s="1">
        <v>3350882</v>
      </c>
    </row>
    <row r="339" spans="1:7"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2322</v>
      </c>
    </row>
    <row r="340" spans="1:7"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2323</v>
      </c>
    </row>
    <row r="341" spans="1:7"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2324</v>
      </c>
    </row>
    <row r="342" spans="1:7"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2325</v>
      </c>
      <c r="D342" s="1" t="s">
        <v>2326</v>
      </c>
      <c r="E342" s="1" t="s">
        <v>2327</v>
      </c>
      <c r="F342" s="1" t="s">
        <v>112</v>
      </c>
      <c r="G342" s="1">
        <v>5785391</v>
      </c>
    </row>
    <row r="343" spans="1:7"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2328</v>
      </c>
      <c r="D343" s="1" t="s">
        <v>2329</v>
      </c>
      <c r="E343" s="1" t="s">
        <v>2330</v>
      </c>
      <c r="F343" s="1" t="s">
        <v>112</v>
      </c>
      <c r="G343" s="1">
        <v>4976736</v>
      </c>
    </row>
    <row r="344" spans="1:7"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2331</v>
      </c>
      <c r="D344" s="1" t="s">
        <v>2332</v>
      </c>
      <c r="E344" s="1" t="s">
        <v>2333</v>
      </c>
      <c r="F344" s="1" t="s">
        <v>112</v>
      </c>
      <c r="G344" s="1">
        <v>5122067</v>
      </c>
    </row>
    <row r="345" spans="1:7"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2334</v>
      </c>
      <c r="D345" s="1" t="s">
        <v>2335</v>
      </c>
      <c r="E345" s="1" t="s">
        <v>2336</v>
      </c>
      <c r="F345" s="1" t="s">
        <v>112</v>
      </c>
      <c r="G345" s="1">
        <v>3681322</v>
      </c>
    </row>
    <row r="346" spans="1:7"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2337</v>
      </c>
    </row>
    <row r="347" spans="1:7"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2338</v>
      </c>
    </row>
    <row r="348" spans="1:7"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2339</v>
      </c>
      <c r="D348" s="1" t="s">
        <v>2340</v>
      </c>
      <c r="E348" s="1" t="s">
        <v>2341</v>
      </c>
      <c r="F348" s="1" t="s">
        <v>112</v>
      </c>
      <c r="G348" s="1">
        <v>5179776</v>
      </c>
    </row>
    <row r="349" spans="1:7"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2342</v>
      </c>
      <c r="D349" s="1" t="s">
        <v>2343</v>
      </c>
      <c r="E349" s="1" t="s">
        <v>2344</v>
      </c>
      <c r="F349" s="1" t="s">
        <v>112</v>
      </c>
      <c r="G349" s="1">
        <v>4840273</v>
      </c>
    </row>
    <row r="350" spans="1:7"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0" s="1" t="s">
        <v>2345</v>
      </c>
      <c r="D350" s="1" t="s">
        <v>2346</v>
      </c>
      <c r="E350" s="1" t="s">
        <v>2347</v>
      </c>
      <c r="F350" s="1" t="s">
        <v>112</v>
      </c>
      <c r="G350" s="1">
        <v>5539935</v>
      </c>
    </row>
    <row r="351" spans="1:7"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2348</v>
      </c>
      <c r="D351" s="1" t="s">
        <v>2349</v>
      </c>
      <c r="E351" s="1" t="s">
        <v>2350</v>
      </c>
      <c r="F351" s="1" t="s">
        <v>112</v>
      </c>
      <c r="G351" s="1">
        <v>4431598</v>
      </c>
    </row>
    <row r="352" spans="1:7"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2351</v>
      </c>
      <c r="D352" s="1" t="s">
        <v>2352</v>
      </c>
      <c r="E352" s="1" t="s">
        <v>2353</v>
      </c>
      <c r="F352" s="1" t="s">
        <v>112</v>
      </c>
      <c r="G352" s="1">
        <v>4493784</v>
      </c>
    </row>
    <row r="353" spans="1:8"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3" s="1" t="s">
        <v>2354</v>
      </c>
      <c r="D353" s="1" t="s">
        <v>2355</v>
      </c>
      <c r="E353" s="1" t="s">
        <v>2356</v>
      </c>
      <c r="F353" s="1" t="s">
        <v>112</v>
      </c>
      <c r="G353" s="1">
        <v>5242935</v>
      </c>
    </row>
    <row r="354" spans="1:8" x14ac:dyDescent="0.3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2357</v>
      </c>
      <c r="D354" s="1" t="s">
        <v>2358</v>
      </c>
      <c r="E354" s="1" t="s">
        <v>2359</v>
      </c>
      <c r="F354" s="1" t="s">
        <v>112</v>
      </c>
      <c r="G354" s="1">
        <v>4753018</v>
      </c>
    </row>
    <row r="355" spans="1:8" x14ac:dyDescent="0.3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2360</v>
      </c>
      <c r="D355" s="1" t="s">
        <v>2361</v>
      </c>
      <c r="E355" s="1" t="s">
        <v>2362</v>
      </c>
      <c r="F355" s="1" t="s">
        <v>112</v>
      </c>
      <c r="G355" s="1">
        <v>4875119</v>
      </c>
    </row>
    <row r="356" spans="1:8" x14ac:dyDescent="0.35">
      <c r="A356" s="1" t="str">
        <f t="shared" si="5"/>
        <v>7</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6" s="1" t="s">
        <v>2363</v>
      </c>
      <c r="D356" s="1" t="s">
        <v>2364</v>
      </c>
      <c r="E356" s="1" t="s">
        <v>2365</v>
      </c>
      <c r="F356" s="1" t="s">
        <v>112</v>
      </c>
      <c r="G356" s="1">
        <v>4889935</v>
      </c>
    </row>
    <row r="357" spans="1:8"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112</v>
      </c>
    </row>
    <row r="358" spans="1:8"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s="1" t="s">
        <v>227</v>
      </c>
      <c r="D358" s="1" t="s">
        <v>112</v>
      </c>
      <c r="E358" s="1" t="s">
        <v>228</v>
      </c>
      <c r="F358" s="1" t="s">
        <v>229</v>
      </c>
      <c r="G358" s="1" t="s">
        <v>230</v>
      </c>
      <c r="H358" s="1" t="s">
        <v>231</v>
      </c>
    </row>
    <row r="359" spans="1:8" x14ac:dyDescent="0.35">
      <c r="A359" s="1" t="str">
        <f t="shared" si="5"/>
        <v>7</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9" s="1" t="s">
        <v>2366</v>
      </c>
      <c r="D359" s="1" t="s">
        <v>112</v>
      </c>
      <c r="E359" s="1" t="s">
        <v>2367</v>
      </c>
      <c r="F359" s="1" t="s">
        <v>2368</v>
      </c>
      <c r="G359" s="1" t="s">
        <v>2369</v>
      </c>
      <c r="H359" s="1" t="s">
        <v>2370</v>
      </c>
    </row>
    <row r="360" spans="1:8"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8"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8"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8"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8"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112</v>
      </c>
    </row>
    <row r="365" spans="1:8"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5" s="1" t="s">
        <v>173</v>
      </c>
      <c r="D365" s="1" t="s">
        <v>110</v>
      </c>
      <c r="E365" s="1" t="s">
        <v>111</v>
      </c>
      <c r="F365" s="1" t="s">
        <v>112</v>
      </c>
      <c r="G365" s="1" t="s">
        <v>113</v>
      </c>
    </row>
    <row r="366" spans="1:8"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2371</v>
      </c>
      <c r="D366" s="1" t="s">
        <v>208</v>
      </c>
      <c r="E366" s="1" t="s">
        <v>2372</v>
      </c>
      <c r="F366" s="1" t="s">
        <v>112</v>
      </c>
      <c r="G366" s="1">
        <v>148662</v>
      </c>
    </row>
    <row r="367" spans="1:8"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2373</v>
      </c>
      <c r="D367" s="1" t="s">
        <v>1102</v>
      </c>
      <c r="E367" s="1" t="s">
        <v>2374</v>
      </c>
      <c r="F367" s="1" t="s">
        <v>112</v>
      </c>
      <c r="G367" s="1">
        <v>125107</v>
      </c>
    </row>
    <row r="368" spans="1:8"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8" s="1" t="s">
        <v>2375</v>
      </c>
      <c r="D368" s="1" t="s">
        <v>2010</v>
      </c>
      <c r="E368" s="1" t="s">
        <v>2376</v>
      </c>
      <c r="F368" s="1" t="s">
        <v>112</v>
      </c>
      <c r="G368" s="1">
        <v>142779</v>
      </c>
    </row>
    <row r="369" spans="1:7"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2377</v>
      </c>
      <c r="D369" s="1" t="s">
        <v>2378</v>
      </c>
      <c r="E369" s="1" t="s">
        <v>2379</v>
      </c>
      <c r="F369" s="1" t="s">
        <v>112</v>
      </c>
      <c r="G369" s="1">
        <v>111005</v>
      </c>
    </row>
    <row r="370" spans="1:7"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2380</v>
      </c>
      <c r="D370" s="1" t="s">
        <v>2381</v>
      </c>
      <c r="E370" s="1" t="s">
        <v>2382</v>
      </c>
      <c r="F370" s="1" t="s">
        <v>112</v>
      </c>
      <c r="G370" s="1">
        <v>405236</v>
      </c>
    </row>
    <row r="371" spans="1:7"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1" s="1" t="s">
        <v>2383</v>
      </c>
      <c r="D371" s="1" t="s">
        <v>2023</v>
      </c>
      <c r="E371" s="1" t="s">
        <v>2384</v>
      </c>
      <c r="F371" s="1" t="s">
        <v>112</v>
      </c>
      <c r="G371" s="1">
        <v>321182</v>
      </c>
    </row>
    <row r="372" spans="1:7"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2385</v>
      </c>
      <c r="D372" s="1" t="s">
        <v>2386</v>
      </c>
      <c r="E372" s="1" t="s">
        <v>2387</v>
      </c>
      <c r="F372" s="1" t="s">
        <v>112</v>
      </c>
      <c r="G372" s="1">
        <v>448842</v>
      </c>
    </row>
    <row r="373" spans="1:7"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2388</v>
      </c>
    </row>
    <row r="374" spans="1:7"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4" s="1" t="s">
        <v>2389</v>
      </c>
      <c r="D374" s="1" t="s">
        <v>1198</v>
      </c>
      <c r="E374" s="1" t="s">
        <v>2390</v>
      </c>
      <c r="F374" s="1" t="s">
        <v>112</v>
      </c>
      <c r="G374" s="1">
        <v>436621</v>
      </c>
    </row>
    <row r="375" spans="1:7"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2391</v>
      </c>
    </row>
    <row r="376" spans="1:7"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2392</v>
      </c>
    </row>
    <row r="377" spans="1:7"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7" s="1" t="s">
        <v>2393</v>
      </c>
    </row>
    <row r="378" spans="1:7"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2394</v>
      </c>
      <c r="D378" s="1" t="s">
        <v>2395</v>
      </c>
      <c r="E378" s="1" t="s">
        <v>2396</v>
      </c>
      <c r="F378" s="1" t="s">
        <v>112</v>
      </c>
      <c r="G378" s="1">
        <v>407897</v>
      </c>
    </row>
    <row r="379" spans="1:7"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2397</v>
      </c>
    </row>
    <row r="380" spans="1:7"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0" s="1" t="s">
        <v>2398</v>
      </c>
    </row>
    <row r="381" spans="1:7"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2399</v>
      </c>
      <c r="D381" s="1" t="s">
        <v>465</v>
      </c>
      <c r="E381" s="1" t="s">
        <v>2400</v>
      </c>
      <c r="F381" s="1" t="s">
        <v>112</v>
      </c>
      <c r="G381" s="1">
        <v>74493</v>
      </c>
    </row>
    <row r="382" spans="1:7"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2401</v>
      </c>
      <c r="D382" s="1" t="s">
        <v>2402</v>
      </c>
      <c r="E382" s="1" t="s">
        <v>2403</v>
      </c>
      <c r="F382" s="1" t="s">
        <v>112</v>
      </c>
      <c r="G382" s="1">
        <v>214222</v>
      </c>
    </row>
    <row r="383" spans="1:7"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3" s="1" t="s">
        <v>2404</v>
      </c>
      <c r="D383" s="1" t="s">
        <v>2405</v>
      </c>
      <c r="E383" s="1" t="s">
        <v>2406</v>
      </c>
      <c r="F383" s="1" t="s">
        <v>112</v>
      </c>
      <c r="G383" s="1">
        <v>146997</v>
      </c>
    </row>
    <row r="384" spans="1:7"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2407</v>
      </c>
    </row>
    <row r="385" spans="1:8"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2408</v>
      </c>
    </row>
    <row r="386" spans="1:8"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6" s="1" t="s">
        <v>2409</v>
      </c>
    </row>
    <row r="387" spans="1:8" x14ac:dyDescent="0.3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2410</v>
      </c>
      <c r="D387" s="1" t="s">
        <v>1950</v>
      </c>
      <c r="E387" s="1" t="s">
        <v>2411</v>
      </c>
      <c r="F387" s="1" t="s">
        <v>112</v>
      </c>
      <c r="G387" s="1">
        <v>37852</v>
      </c>
    </row>
    <row r="388" spans="1:8" x14ac:dyDescent="0.3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2412</v>
      </c>
      <c r="D388" s="1" t="s">
        <v>2413</v>
      </c>
      <c r="E388" s="1" t="s">
        <v>2414</v>
      </c>
      <c r="F388" s="1" t="s">
        <v>112</v>
      </c>
      <c r="G388" s="1">
        <v>14643</v>
      </c>
    </row>
    <row r="389" spans="1:8" x14ac:dyDescent="0.35">
      <c r="A389" s="1" t="str">
        <f t="shared" si="6"/>
        <v>10</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9" s="1" t="s">
        <v>2415</v>
      </c>
      <c r="D389" s="1" t="s">
        <v>653</v>
      </c>
      <c r="E389" s="1" t="s">
        <v>2416</v>
      </c>
      <c r="F389" s="1" t="s">
        <v>112</v>
      </c>
      <c r="G389" s="1">
        <v>31450</v>
      </c>
    </row>
    <row r="390" spans="1:8"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112</v>
      </c>
    </row>
    <row r="391" spans="1:8"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1" s="1" t="s">
        <v>227</v>
      </c>
      <c r="D391" s="1" t="s">
        <v>112</v>
      </c>
      <c r="E391" s="1" t="s">
        <v>228</v>
      </c>
      <c r="F391" s="1" t="s">
        <v>229</v>
      </c>
      <c r="G391" s="1" t="s">
        <v>230</v>
      </c>
      <c r="H391" s="1" t="s">
        <v>231</v>
      </c>
    </row>
    <row r="392" spans="1:8" x14ac:dyDescent="0.35">
      <c r="A392" s="1" t="str">
        <f t="shared" si="6"/>
        <v>10</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2" s="1" t="s">
        <v>2417</v>
      </c>
      <c r="D392" s="1" t="s">
        <v>112</v>
      </c>
      <c r="E392" s="1" t="s">
        <v>2418</v>
      </c>
      <c r="F392" s="1" t="s">
        <v>2419</v>
      </c>
      <c r="G392" s="1" t="s">
        <v>2420</v>
      </c>
      <c r="H392" s="1" t="s">
        <v>2421</v>
      </c>
    </row>
    <row r="393" spans="1:8"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8"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8"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8"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8"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112</v>
      </c>
    </row>
    <row r="398" spans="1:8"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8" s="1" t="s">
        <v>173</v>
      </c>
      <c r="D398" s="1" t="s">
        <v>110</v>
      </c>
      <c r="E398" s="1" t="s">
        <v>111</v>
      </c>
      <c r="F398" s="1" t="s">
        <v>112</v>
      </c>
      <c r="G398" s="1" t="s">
        <v>113</v>
      </c>
    </row>
    <row r="399" spans="1:8"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2422</v>
      </c>
      <c r="D399" s="1" t="s">
        <v>2058</v>
      </c>
      <c r="E399" s="1" t="s">
        <v>2423</v>
      </c>
      <c r="F399" s="1" t="s">
        <v>112</v>
      </c>
      <c r="G399" s="1">
        <v>412633</v>
      </c>
    </row>
    <row r="400" spans="1:8"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2424</v>
      </c>
      <c r="D400" s="1" t="s">
        <v>1050</v>
      </c>
      <c r="E400" s="1" t="s">
        <v>2425</v>
      </c>
      <c r="F400" s="1" t="s">
        <v>112</v>
      </c>
      <c r="G400" s="1">
        <v>141222</v>
      </c>
    </row>
    <row r="401" spans="1:7"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1" s="1" t="s">
        <v>2426</v>
      </c>
      <c r="D401" s="1" t="s">
        <v>2427</v>
      </c>
      <c r="E401" s="1" t="s">
        <v>2428</v>
      </c>
      <c r="F401" s="1" t="s">
        <v>112</v>
      </c>
      <c r="G401" s="1">
        <v>196097</v>
      </c>
    </row>
    <row r="402" spans="1:7"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2429</v>
      </c>
      <c r="D402" s="1" t="s">
        <v>2430</v>
      </c>
      <c r="E402" s="1" t="s">
        <v>2431</v>
      </c>
      <c r="F402" s="1" t="s">
        <v>112</v>
      </c>
      <c r="G402" s="1">
        <v>407788</v>
      </c>
    </row>
    <row r="403" spans="1:7"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2432</v>
      </c>
    </row>
    <row r="404" spans="1:7"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4" s="1" t="s">
        <v>2433</v>
      </c>
      <c r="D404" s="1" t="s">
        <v>1126</v>
      </c>
      <c r="E404" s="1" t="s">
        <v>2040</v>
      </c>
      <c r="F404" s="1" t="s">
        <v>112</v>
      </c>
      <c r="G404" s="1">
        <v>113492</v>
      </c>
    </row>
    <row r="405" spans="1:7"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2434</v>
      </c>
    </row>
    <row r="406" spans="1:7"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2435</v>
      </c>
    </row>
    <row r="407" spans="1:7"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7" s="1" t="s">
        <v>2436</v>
      </c>
    </row>
    <row r="408" spans="1:7"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2437</v>
      </c>
      <c r="D408" s="1" t="s">
        <v>2438</v>
      </c>
      <c r="E408" s="1" t="s">
        <v>2439</v>
      </c>
      <c r="F408" s="1" t="s">
        <v>112</v>
      </c>
      <c r="G408" s="1">
        <v>36901</v>
      </c>
    </row>
    <row r="409" spans="1:7"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2440</v>
      </c>
      <c r="D409" s="1" t="s">
        <v>1510</v>
      </c>
      <c r="E409" s="1" t="s">
        <v>2441</v>
      </c>
      <c r="F409" s="1" t="s">
        <v>112</v>
      </c>
      <c r="G409" s="1">
        <v>210783</v>
      </c>
    </row>
    <row r="410" spans="1:7"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10" s="1" t="s">
        <v>2442</v>
      </c>
      <c r="D410" s="1" t="s">
        <v>2443</v>
      </c>
      <c r="E410" s="1" t="s">
        <v>2444</v>
      </c>
      <c r="F410" s="1" t="s">
        <v>112</v>
      </c>
      <c r="G410" s="1">
        <v>46439</v>
      </c>
    </row>
    <row r="411" spans="1:7"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2445</v>
      </c>
      <c r="D411" s="1" t="s">
        <v>2446</v>
      </c>
      <c r="E411" s="1" t="s">
        <v>2447</v>
      </c>
      <c r="F411" s="1" t="s">
        <v>112</v>
      </c>
      <c r="G411" s="1">
        <v>219716</v>
      </c>
    </row>
    <row r="412" spans="1:7"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2448</v>
      </c>
      <c r="D412" s="1" t="s">
        <v>2449</v>
      </c>
      <c r="E412" s="1" t="s">
        <v>2450</v>
      </c>
      <c r="F412" s="1" t="s">
        <v>112</v>
      </c>
      <c r="G412" s="1">
        <v>444862</v>
      </c>
    </row>
    <row r="413" spans="1:7"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3" s="1" t="s">
        <v>2451</v>
      </c>
      <c r="D413" s="1" t="s">
        <v>1078</v>
      </c>
      <c r="E413" s="1" t="s">
        <v>2452</v>
      </c>
      <c r="F413" s="1" t="s">
        <v>112</v>
      </c>
      <c r="G413" s="1">
        <v>349928</v>
      </c>
    </row>
    <row r="414" spans="1:7"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2453</v>
      </c>
      <c r="D414" s="1" t="s">
        <v>605</v>
      </c>
      <c r="E414" s="1" t="s">
        <v>2454</v>
      </c>
      <c r="F414" s="1" t="s">
        <v>112</v>
      </c>
      <c r="G414" s="1">
        <v>265507</v>
      </c>
    </row>
    <row r="415" spans="1:7"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2455</v>
      </c>
      <c r="D415" s="1" t="s">
        <v>2456</v>
      </c>
      <c r="E415" s="1" t="s">
        <v>2457</v>
      </c>
      <c r="F415" s="1" t="s">
        <v>112</v>
      </c>
      <c r="G415" s="1">
        <v>111675</v>
      </c>
    </row>
    <row r="416" spans="1:7"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6" s="1" t="s">
        <v>2458</v>
      </c>
      <c r="D416" s="1" t="s">
        <v>2459</v>
      </c>
      <c r="E416" s="1" t="s">
        <v>2460</v>
      </c>
      <c r="F416" s="1" t="s">
        <v>112</v>
      </c>
      <c r="G416" s="1">
        <v>85179</v>
      </c>
    </row>
    <row r="417" spans="1:8"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2461</v>
      </c>
      <c r="D417" s="1" t="s">
        <v>2462</v>
      </c>
      <c r="E417" s="1" t="s">
        <v>2463</v>
      </c>
      <c r="F417" s="1" t="s">
        <v>112</v>
      </c>
      <c r="G417" s="1">
        <v>127335</v>
      </c>
    </row>
    <row r="418" spans="1:8"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2464</v>
      </c>
      <c r="D418" s="1" t="s">
        <v>2465</v>
      </c>
      <c r="E418" s="1" t="s">
        <v>2466</v>
      </c>
      <c r="F418" s="1" t="s">
        <v>112</v>
      </c>
      <c r="G418" s="1">
        <v>245153</v>
      </c>
    </row>
    <row r="419" spans="1:8"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9" s="1" t="s">
        <v>2467</v>
      </c>
      <c r="D419" s="1" t="s">
        <v>1936</v>
      </c>
      <c r="E419" s="1" t="s">
        <v>2468</v>
      </c>
      <c r="F419" s="1" t="s">
        <v>112</v>
      </c>
      <c r="G419" s="1">
        <v>48797</v>
      </c>
    </row>
    <row r="420" spans="1:8" x14ac:dyDescent="0.3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2469</v>
      </c>
      <c r="D420" s="1">
        <v>0</v>
      </c>
      <c r="E420" s="1">
        <v>0</v>
      </c>
      <c r="F420" s="1" t="s">
        <v>112</v>
      </c>
      <c r="G420" s="1">
        <v>0</v>
      </c>
    </row>
    <row r="421" spans="1:8" x14ac:dyDescent="0.3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2470</v>
      </c>
      <c r="D421" s="1">
        <v>0</v>
      </c>
      <c r="E421" s="1">
        <v>0</v>
      </c>
      <c r="F421" s="1" t="s">
        <v>112</v>
      </c>
      <c r="G421" s="1">
        <v>0</v>
      </c>
    </row>
    <row r="422" spans="1:8" x14ac:dyDescent="0.35">
      <c r="A422" s="1" t="str">
        <f t="shared" si="6"/>
        <v>11</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2" s="1" t="s">
        <v>2471</v>
      </c>
      <c r="D422" s="1">
        <v>0</v>
      </c>
      <c r="E422" s="1">
        <v>0</v>
      </c>
      <c r="F422" s="1" t="s">
        <v>112</v>
      </c>
      <c r="G422" s="1">
        <v>0</v>
      </c>
    </row>
    <row r="423" spans="1:8"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112</v>
      </c>
    </row>
    <row r="424" spans="1:8"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4" s="1" t="s">
        <v>227</v>
      </c>
      <c r="D424" s="1" t="s">
        <v>112</v>
      </c>
      <c r="E424" s="1" t="s">
        <v>228</v>
      </c>
      <c r="F424" s="1" t="s">
        <v>229</v>
      </c>
      <c r="G424" s="1" t="s">
        <v>230</v>
      </c>
      <c r="H424" s="1" t="s">
        <v>231</v>
      </c>
    </row>
    <row r="425" spans="1:8" x14ac:dyDescent="0.35">
      <c r="A425" s="1" t="str">
        <f t="shared" si="6"/>
        <v>11</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5" s="1" t="s">
        <v>2472</v>
      </c>
      <c r="D425" s="1" t="s">
        <v>112</v>
      </c>
      <c r="E425" s="1" t="s">
        <v>2473</v>
      </c>
      <c r="F425" s="1" t="s">
        <v>2474</v>
      </c>
      <c r="G425" s="1" t="s">
        <v>2475</v>
      </c>
      <c r="H425" s="1" t="s">
        <v>2476</v>
      </c>
    </row>
    <row r="426" spans="1:8"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8"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8"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8"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8"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112</v>
      </c>
    </row>
    <row r="431" spans="1:8"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1" s="1" t="s">
        <v>173</v>
      </c>
      <c r="D431" s="1" t="s">
        <v>110</v>
      </c>
      <c r="E431" s="1" t="s">
        <v>111</v>
      </c>
      <c r="F431" s="1" t="s">
        <v>112</v>
      </c>
      <c r="G431" s="1" t="s">
        <v>113</v>
      </c>
    </row>
    <row r="432" spans="1:8"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2477</v>
      </c>
    </row>
    <row r="433" spans="1:7"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2478</v>
      </c>
      <c r="D433" s="1" t="s">
        <v>2395</v>
      </c>
      <c r="E433" s="1" t="s">
        <v>2479</v>
      </c>
      <c r="F433" s="1" t="s">
        <v>112</v>
      </c>
      <c r="G433" s="1">
        <v>363252</v>
      </c>
    </row>
    <row r="434" spans="1:7"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4" s="1" t="s">
        <v>2480</v>
      </c>
    </row>
    <row r="435" spans="1:7"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2481</v>
      </c>
      <c r="D435" s="1">
        <v>0</v>
      </c>
      <c r="E435" s="1">
        <v>0</v>
      </c>
      <c r="F435" s="1" t="s">
        <v>112</v>
      </c>
      <c r="G435" s="1">
        <v>0</v>
      </c>
    </row>
    <row r="436" spans="1:7"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2482</v>
      </c>
      <c r="D436" s="1" t="s">
        <v>1081</v>
      </c>
      <c r="E436" s="1" t="s">
        <v>2483</v>
      </c>
      <c r="F436" s="1" t="s">
        <v>112</v>
      </c>
      <c r="G436" s="1">
        <v>323194</v>
      </c>
    </row>
    <row r="437" spans="1:7"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7" s="1" t="s">
        <v>2484</v>
      </c>
    </row>
    <row r="438" spans="1:7"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2485</v>
      </c>
      <c r="D438" s="1" t="s">
        <v>2486</v>
      </c>
      <c r="E438" s="1" t="s">
        <v>2487</v>
      </c>
      <c r="F438" s="1" t="s">
        <v>112</v>
      </c>
      <c r="G438" s="1">
        <v>637238</v>
      </c>
    </row>
    <row r="439" spans="1:7"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2488</v>
      </c>
      <c r="D439" s="1" t="s">
        <v>1996</v>
      </c>
      <c r="E439" s="1" t="s">
        <v>2489</v>
      </c>
      <c r="F439" s="1" t="s">
        <v>112</v>
      </c>
      <c r="G439" s="1">
        <v>18558</v>
      </c>
    </row>
    <row r="440" spans="1:7"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0" s="1" t="s">
        <v>2490</v>
      </c>
      <c r="D440" s="1" t="s">
        <v>2443</v>
      </c>
      <c r="E440" s="1" t="s">
        <v>2491</v>
      </c>
      <c r="F440" s="1" t="s">
        <v>112</v>
      </c>
      <c r="G440" s="1">
        <v>55783</v>
      </c>
    </row>
    <row r="441" spans="1:7"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2492</v>
      </c>
      <c r="D441" s="1" t="s">
        <v>2378</v>
      </c>
      <c r="E441" s="1" t="s">
        <v>2493</v>
      </c>
      <c r="F441" s="1" t="s">
        <v>112</v>
      </c>
      <c r="G441" s="1">
        <v>107263</v>
      </c>
    </row>
    <row r="442" spans="1:7"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2494</v>
      </c>
      <c r="D442" s="1">
        <v>0</v>
      </c>
      <c r="E442" s="1">
        <v>0</v>
      </c>
      <c r="F442" s="1" t="s">
        <v>112</v>
      </c>
      <c r="G442" s="1">
        <v>0</v>
      </c>
    </row>
    <row r="443" spans="1:7"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3" s="1" t="s">
        <v>2495</v>
      </c>
      <c r="D443" s="1">
        <v>0</v>
      </c>
      <c r="E443" s="1">
        <v>0</v>
      </c>
      <c r="F443" s="1" t="s">
        <v>112</v>
      </c>
      <c r="G443" s="1">
        <v>0</v>
      </c>
    </row>
    <row r="444" spans="1:7"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2496</v>
      </c>
      <c r="D444" s="1" t="s">
        <v>1663</v>
      </c>
      <c r="E444" s="1" t="s">
        <v>2497</v>
      </c>
      <c r="F444" s="1" t="s">
        <v>112</v>
      </c>
      <c r="G444" s="1">
        <v>316316</v>
      </c>
    </row>
    <row r="445" spans="1:7" x14ac:dyDescent="0.3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2498</v>
      </c>
      <c r="D445" s="1" t="s">
        <v>2499</v>
      </c>
      <c r="E445" s="1" t="s">
        <v>2500</v>
      </c>
      <c r="F445" s="1" t="s">
        <v>112</v>
      </c>
      <c r="G445" s="1">
        <v>489138</v>
      </c>
    </row>
    <row r="446" spans="1:7" x14ac:dyDescent="0.3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6" s="1" t="s">
        <v>2501</v>
      </c>
      <c r="D446" s="1" t="s">
        <v>2502</v>
      </c>
      <c r="E446" s="1" t="s">
        <v>2503</v>
      </c>
      <c r="F446" s="1" t="s">
        <v>112</v>
      </c>
      <c r="G446" s="1">
        <v>404436</v>
      </c>
    </row>
    <row r="447" spans="1:7"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2504</v>
      </c>
      <c r="D447" s="1" t="s">
        <v>539</v>
      </c>
      <c r="E447" s="1" t="s">
        <v>2505</v>
      </c>
      <c r="F447" s="1" t="s">
        <v>112</v>
      </c>
      <c r="G447" s="1">
        <v>191987</v>
      </c>
    </row>
    <row r="448" spans="1:7" x14ac:dyDescent="0.3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2506</v>
      </c>
      <c r="D448" s="1" t="s">
        <v>1557</v>
      </c>
      <c r="E448" s="1" t="s">
        <v>2507</v>
      </c>
      <c r="F448" s="1" t="s">
        <v>112</v>
      </c>
      <c r="G448" s="1">
        <v>242233</v>
      </c>
    </row>
    <row r="449" spans="1:8" x14ac:dyDescent="0.3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9" s="1" t="s">
        <v>2508</v>
      </c>
      <c r="D449" s="1" t="s">
        <v>2032</v>
      </c>
      <c r="E449" s="1" t="s">
        <v>2509</v>
      </c>
      <c r="F449" s="1" t="s">
        <v>112</v>
      </c>
      <c r="G449" s="1">
        <v>344564</v>
      </c>
    </row>
    <row r="450" spans="1:8" x14ac:dyDescent="0.3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2510</v>
      </c>
      <c r="D450" s="1" t="s">
        <v>1425</v>
      </c>
      <c r="E450" s="1" t="s">
        <v>2511</v>
      </c>
      <c r="F450" s="1" t="s">
        <v>112</v>
      </c>
      <c r="G450" s="1">
        <v>247576</v>
      </c>
    </row>
    <row r="451" spans="1:8" x14ac:dyDescent="0.3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2512</v>
      </c>
      <c r="D451" s="1" t="s">
        <v>2513</v>
      </c>
      <c r="E451" s="1" t="s">
        <v>2514</v>
      </c>
      <c r="F451" s="1" t="s">
        <v>112</v>
      </c>
      <c r="G451" s="1">
        <v>287634</v>
      </c>
    </row>
    <row r="452" spans="1:8" x14ac:dyDescent="0.3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2" s="1" t="s">
        <v>2515</v>
      </c>
      <c r="D452" s="1" t="s">
        <v>2516</v>
      </c>
      <c r="E452" s="1" t="s">
        <v>2517</v>
      </c>
      <c r="F452" s="1" t="s">
        <v>112</v>
      </c>
      <c r="G452" s="1">
        <v>356201</v>
      </c>
    </row>
    <row r="453" spans="1:8" x14ac:dyDescent="0.3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2518</v>
      </c>
      <c r="D453" s="1" t="s">
        <v>2519</v>
      </c>
      <c r="E453" s="1" t="s">
        <v>2520</v>
      </c>
      <c r="F453" s="1" t="s">
        <v>112</v>
      </c>
      <c r="G453" s="1">
        <v>92576</v>
      </c>
    </row>
    <row r="454" spans="1:8" x14ac:dyDescent="0.3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2521</v>
      </c>
      <c r="D454" s="1" t="s">
        <v>2522</v>
      </c>
      <c r="E454" s="1" t="s">
        <v>2523</v>
      </c>
      <c r="F454" s="1" t="s">
        <v>112</v>
      </c>
      <c r="G454" s="1">
        <v>75661</v>
      </c>
    </row>
    <row r="455" spans="1:8" x14ac:dyDescent="0.35">
      <c r="A455" s="1" t="str">
        <f t="shared" si="7"/>
        <v>12</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5" s="1" t="s">
        <v>2524</v>
      </c>
      <c r="D455" s="1" t="s">
        <v>2525</v>
      </c>
      <c r="E455" s="1" t="s">
        <v>2526</v>
      </c>
      <c r="F455" s="1" t="s">
        <v>112</v>
      </c>
      <c r="G455" s="1">
        <v>91624</v>
      </c>
    </row>
    <row r="456" spans="1:8"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112</v>
      </c>
    </row>
    <row r="457" spans="1:8"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7" s="1" t="s">
        <v>227</v>
      </c>
      <c r="D457" s="1" t="s">
        <v>112</v>
      </c>
      <c r="E457" s="1" t="s">
        <v>228</v>
      </c>
      <c r="F457" s="1" t="s">
        <v>229</v>
      </c>
      <c r="G457" s="1" t="s">
        <v>230</v>
      </c>
      <c r="H457" s="1" t="s">
        <v>231</v>
      </c>
    </row>
    <row r="458" spans="1:8" x14ac:dyDescent="0.35">
      <c r="A458" s="1" t="str">
        <f t="shared" si="7"/>
        <v>12</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8" s="1" t="s">
        <v>2527</v>
      </c>
      <c r="D458" s="1" t="s">
        <v>112</v>
      </c>
      <c r="E458" s="1" t="s">
        <v>2528</v>
      </c>
      <c r="F458" s="1" t="s">
        <v>2529</v>
      </c>
      <c r="G458" s="1" t="s">
        <v>2530</v>
      </c>
      <c r="H458" s="1" t="s">
        <v>2531</v>
      </c>
    </row>
    <row r="459" spans="1:8"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8"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8"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8"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8"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112</v>
      </c>
    </row>
    <row r="464" spans="1:8"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4" s="1" t="s">
        <v>173</v>
      </c>
      <c r="D464" s="1" t="s">
        <v>110</v>
      </c>
      <c r="E464" s="1" t="s">
        <v>111</v>
      </c>
      <c r="F464" s="1" t="s">
        <v>112</v>
      </c>
      <c r="G464" s="1" t="s">
        <v>113</v>
      </c>
    </row>
    <row r="465" spans="1:7"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2532</v>
      </c>
      <c r="D465" s="1" t="s">
        <v>1078</v>
      </c>
      <c r="E465" s="1" t="s">
        <v>2533</v>
      </c>
      <c r="F465" s="1" t="s">
        <v>112</v>
      </c>
      <c r="G465" s="1">
        <v>299898</v>
      </c>
    </row>
    <row r="466" spans="1:7"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2534</v>
      </c>
      <c r="D466" s="1" t="s">
        <v>2535</v>
      </c>
      <c r="E466" s="1" t="s">
        <v>2536</v>
      </c>
      <c r="F466" s="1" t="s">
        <v>112</v>
      </c>
      <c r="G466" s="1">
        <v>176175</v>
      </c>
    </row>
    <row r="467" spans="1:7"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7" s="1" t="s">
        <v>2537</v>
      </c>
      <c r="D467" s="1" t="s">
        <v>588</v>
      </c>
      <c r="E467" s="1" t="s">
        <v>2538</v>
      </c>
      <c r="F467" s="1" t="s">
        <v>112</v>
      </c>
      <c r="G467" s="1">
        <v>212016</v>
      </c>
    </row>
    <row r="468" spans="1:7"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2539</v>
      </c>
      <c r="D468" s="1" t="s">
        <v>2540</v>
      </c>
      <c r="E468" s="1" t="s">
        <v>2541</v>
      </c>
      <c r="F468" s="1" t="s">
        <v>112</v>
      </c>
      <c r="G468" s="1">
        <v>577475</v>
      </c>
    </row>
    <row r="469" spans="1:7"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2542</v>
      </c>
      <c r="D469" s="1" t="s">
        <v>2543</v>
      </c>
      <c r="E469" s="1" t="s">
        <v>2544</v>
      </c>
      <c r="F469" s="1" t="s">
        <v>112</v>
      </c>
      <c r="G469" s="1">
        <v>801561</v>
      </c>
    </row>
    <row r="470" spans="1:7"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70" s="1" t="s">
        <v>2545</v>
      </c>
      <c r="D470" s="1" t="s">
        <v>2546</v>
      </c>
      <c r="E470" s="1" t="s">
        <v>2547</v>
      </c>
      <c r="F470" s="1" t="s">
        <v>112</v>
      </c>
      <c r="G470" s="1">
        <v>834676</v>
      </c>
    </row>
    <row r="471" spans="1:7"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2548</v>
      </c>
      <c r="D471" s="1" t="s">
        <v>2549</v>
      </c>
      <c r="E471" s="1" t="s">
        <v>2550</v>
      </c>
      <c r="F471" s="1" t="s">
        <v>112</v>
      </c>
      <c r="G471" s="1">
        <v>1047990</v>
      </c>
    </row>
    <row r="472" spans="1:7"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2551</v>
      </c>
      <c r="D472" s="1" t="s">
        <v>2552</v>
      </c>
      <c r="E472" s="1" t="s">
        <v>2553</v>
      </c>
      <c r="F472" s="1" t="s">
        <v>112</v>
      </c>
      <c r="G472" s="1">
        <v>1538513</v>
      </c>
    </row>
    <row r="473" spans="1:7"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3" s="1" t="s">
        <v>2554</v>
      </c>
      <c r="D473" s="1" t="s">
        <v>2555</v>
      </c>
      <c r="E473" s="1" t="s">
        <v>2556</v>
      </c>
      <c r="F473" s="1" t="s">
        <v>112</v>
      </c>
      <c r="G473" s="1">
        <v>1472736</v>
      </c>
    </row>
    <row r="474" spans="1:7"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2557</v>
      </c>
    </row>
    <row r="475" spans="1:7"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2558</v>
      </c>
    </row>
    <row r="476" spans="1:7"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6" s="1" t="s">
        <v>2559</v>
      </c>
    </row>
    <row r="477" spans="1:7"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2560</v>
      </c>
      <c r="D477" s="1" t="s">
        <v>2561</v>
      </c>
      <c r="E477" s="1" t="s">
        <v>2562</v>
      </c>
      <c r="F477" s="1" t="s">
        <v>112</v>
      </c>
      <c r="G477" s="1">
        <v>1819269</v>
      </c>
    </row>
    <row r="478" spans="1:7" x14ac:dyDescent="0.3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2563</v>
      </c>
      <c r="D478" s="1" t="s">
        <v>2564</v>
      </c>
      <c r="E478" s="1" t="s">
        <v>2565</v>
      </c>
      <c r="F478" s="1" t="s">
        <v>112</v>
      </c>
      <c r="G478" s="1">
        <v>1854417</v>
      </c>
    </row>
    <row r="479" spans="1:7" x14ac:dyDescent="0.3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9" s="1" t="s">
        <v>2566</v>
      </c>
      <c r="D479" s="1" t="s">
        <v>2567</v>
      </c>
      <c r="E479" s="1" t="s">
        <v>2568</v>
      </c>
      <c r="F479" s="1" t="s">
        <v>112</v>
      </c>
      <c r="G479" s="1">
        <v>2055446</v>
      </c>
    </row>
    <row r="480" spans="1:7"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2569</v>
      </c>
      <c r="D480" s="1" t="s">
        <v>2413</v>
      </c>
      <c r="E480" s="1" t="s">
        <v>2570</v>
      </c>
      <c r="F480" s="1" t="s">
        <v>112</v>
      </c>
      <c r="G480" s="1">
        <v>14038</v>
      </c>
    </row>
    <row r="481" spans="1:8" x14ac:dyDescent="0.3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2571</v>
      </c>
      <c r="D481" s="1" t="s">
        <v>2395</v>
      </c>
      <c r="E481" s="1" t="s">
        <v>2572</v>
      </c>
      <c r="F481" s="1" t="s">
        <v>112</v>
      </c>
      <c r="G481" s="1">
        <v>405279</v>
      </c>
    </row>
    <row r="482" spans="1:8" x14ac:dyDescent="0.3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2" s="1" t="s">
        <v>2573</v>
      </c>
    </row>
    <row r="483" spans="1:8" x14ac:dyDescent="0.3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2574</v>
      </c>
      <c r="D483" s="1" t="s">
        <v>2575</v>
      </c>
      <c r="E483" s="1" t="s">
        <v>2576</v>
      </c>
      <c r="F483" s="1" t="s">
        <v>112</v>
      </c>
      <c r="G483" s="1">
        <v>2130436</v>
      </c>
    </row>
    <row r="484" spans="1:8" x14ac:dyDescent="0.3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2577</v>
      </c>
      <c r="D484" s="1" t="s">
        <v>2578</v>
      </c>
      <c r="E484" s="1" t="s">
        <v>2579</v>
      </c>
      <c r="F484" s="1" t="s">
        <v>112</v>
      </c>
      <c r="G484" s="1">
        <v>2188902</v>
      </c>
    </row>
    <row r="485" spans="1:8" x14ac:dyDescent="0.3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5" s="1" t="s">
        <v>2580</v>
      </c>
      <c r="D485" s="1" t="s">
        <v>2581</v>
      </c>
      <c r="E485" s="1" t="s">
        <v>2582</v>
      </c>
      <c r="F485" s="1" t="s">
        <v>112</v>
      </c>
      <c r="G485" s="1">
        <v>2667723</v>
      </c>
    </row>
    <row r="486" spans="1:8" x14ac:dyDescent="0.3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2583</v>
      </c>
      <c r="D486" s="1" t="s">
        <v>2584</v>
      </c>
      <c r="E486" s="1" t="s">
        <v>2585</v>
      </c>
      <c r="F486" s="1" t="s">
        <v>112</v>
      </c>
      <c r="G486" s="1">
        <v>1112966</v>
      </c>
    </row>
    <row r="487" spans="1:8" x14ac:dyDescent="0.3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2586</v>
      </c>
      <c r="D487" s="1" t="s">
        <v>2587</v>
      </c>
      <c r="E487" s="1" t="s">
        <v>2588</v>
      </c>
      <c r="F487" s="1" t="s">
        <v>112</v>
      </c>
      <c r="G487" s="1">
        <v>1179608</v>
      </c>
    </row>
    <row r="488" spans="1:8" x14ac:dyDescent="0.35">
      <c r="A488" s="1" t="str">
        <f t="shared" si="7"/>
        <v>17</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8" s="1" t="s">
        <v>2589</v>
      </c>
      <c r="D488" s="1" t="s">
        <v>2590</v>
      </c>
      <c r="E488" s="1" t="s">
        <v>2591</v>
      </c>
      <c r="F488" s="1" t="s">
        <v>112</v>
      </c>
      <c r="G488" s="1">
        <v>1764826</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227</v>
      </c>
      <c r="D490" s="1" t="s">
        <v>112</v>
      </c>
      <c r="E490" s="1" t="s">
        <v>228</v>
      </c>
      <c r="F490" s="1" t="s">
        <v>229</v>
      </c>
      <c r="G490" s="1" t="s">
        <v>230</v>
      </c>
      <c r="H490" s="1" t="s">
        <v>231</v>
      </c>
    </row>
    <row r="491" spans="1:8" x14ac:dyDescent="0.35">
      <c r="A491" s="1" t="str">
        <f t="shared" si="7"/>
        <v>17</v>
      </c>
      <c r="B4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1" s="1" t="s">
        <v>2592</v>
      </c>
      <c r="D491" s="1" t="s">
        <v>112</v>
      </c>
      <c r="E491" s="1" t="s">
        <v>2593</v>
      </c>
      <c r="F491" s="1" t="s">
        <v>2594</v>
      </c>
      <c r="G491" s="1" t="s">
        <v>2595</v>
      </c>
      <c r="H491" s="1" t="s">
        <v>2596</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8"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8"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112</v>
      </c>
    </row>
    <row r="497" spans="1:7"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7" s="1" t="s">
        <v>173</v>
      </c>
      <c r="D497" s="1" t="s">
        <v>110</v>
      </c>
      <c r="E497" s="1" t="s">
        <v>111</v>
      </c>
      <c r="F497" s="1" t="s">
        <v>112</v>
      </c>
      <c r="G497" s="1" t="s">
        <v>113</v>
      </c>
    </row>
    <row r="498" spans="1:7"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2597</v>
      </c>
      <c r="D498" s="1" t="s">
        <v>2598</v>
      </c>
      <c r="E498" s="1" t="s">
        <v>2599</v>
      </c>
      <c r="F498" s="1" t="s">
        <v>112</v>
      </c>
      <c r="G498" s="1">
        <v>302667</v>
      </c>
    </row>
    <row r="499" spans="1:7"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2600</v>
      </c>
      <c r="D499" s="1" t="s">
        <v>1236</v>
      </c>
      <c r="E499" s="1" t="s">
        <v>2601</v>
      </c>
      <c r="F499" s="1" t="s">
        <v>112</v>
      </c>
      <c r="G499" s="1">
        <v>312638</v>
      </c>
    </row>
    <row r="500" spans="1:7" x14ac:dyDescent="0.3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00" s="1" t="s">
        <v>2602</v>
      </c>
      <c r="D500" s="1" t="s">
        <v>2603</v>
      </c>
      <c r="E500" s="1" t="s">
        <v>2604</v>
      </c>
      <c r="F500" s="1" t="s">
        <v>112</v>
      </c>
      <c r="G500" s="1">
        <v>366670</v>
      </c>
    </row>
    <row r="501" spans="1:7" x14ac:dyDescent="0.3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2605</v>
      </c>
      <c r="D501" s="1" t="s">
        <v>2606</v>
      </c>
      <c r="E501" s="1" t="s">
        <v>2607</v>
      </c>
      <c r="F501" s="1" t="s">
        <v>112</v>
      </c>
      <c r="G501" s="1">
        <v>2501779</v>
      </c>
    </row>
    <row r="502" spans="1:7"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2608</v>
      </c>
      <c r="D502" s="1" t="s">
        <v>2609</v>
      </c>
      <c r="E502" s="1" t="s">
        <v>2610</v>
      </c>
      <c r="F502" s="1" t="s">
        <v>112</v>
      </c>
      <c r="G502" s="1">
        <v>2732699</v>
      </c>
    </row>
    <row r="503" spans="1:7" x14ac:dyDescent="0.3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3" s="1" t="s">
        <v>2611</v>
      </c>
      <c r="D503" s="1" t="s">
        <v>2612</v>
      </c>
      <c r="E503" s="1" t="s">
        <v>2613</v>
      </c>
      <c r="F503" s="1" t="s">
        <v>112</v>
      </c>
      <c r="G503" s="1">
        <v>2552371</v>
      </c>
    </row>
    <row r="504" spans="1:7" x14ac:dyDescent="0.3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2614</v>
      </c>
      <c r="D504" s="1" t="s">
        <v>2615</v>
      </c>
      <c r="E504" s="1" t="s">
        <v>2616</v>
      </c>
      <c r="F504" s="1" t="s">
        <v>112</v>
      </c>
      <c r="G504" s="1">
        <v>2126673</v>
      </c>
    </row>
    <row r="505" spans="1:7" x14ac:dyDescent="0.3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2617</v>
      </c>
      <c r="D505" s="1" t="s">
        <v>2618</v>
      </c>
      <c r="E505" s="1" t="s">
        <v>2619</v>
      </c>
      <c r="F505" s="1" t="s">
        <v>112</v>
      </c>
      <c r="G505" s="1">
        <v>2512291</v>
      </c>
    </row>
    <row r="506" spans="1:7" x14ac:dyDescent="0.3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6" s="1" t="s">
        <v>2620</v>
      </c>
      <c r="D506" s="1" t="s">
        <v>1789</v>
      </c>
      <c r="E506" s="1" t="s">
        <v>2621</v>
      </c>
      <c r="F506" s="1" t="s">
        <v>112</v>
      </c>
      <c r="G506" s="1">
        <v>2042468</v>
      </c>
    </row>
    <row r="507" spans="1:7" x14ac:dyDescent="0.3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2622</v>
      </c>
      <c r="D507" s="1" t="s">
        <v>2623</v>
      </c>
      <c r="E507" s="1" t="s">
        <v>2624</v>
      </c>
      <c r="F507" s="1" t="s">
        <v>112</v>
      </c>
      <c r="G507" s="1">
        <v>1437847</v>
      </c>
    </row>
    <row r="508" spans="1:7" x14ac:dyDescent="0.3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2625</v>
      </c>
      <c r="D508" s="1" t="s">
        <v>2626</v>
      </c>
      <c r="E508" s="1" t="s">
        <v>2627</v>
      </c>
      <c r="F508" s="1" t="s">
        <v>112</v>
      </c>
      <c r="G508" s="1">
        <v>1461597</v>
      </c>
    </row>
    <row r="509" spans="1:7" x14ac:dyDescent="0.3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2628</v>
      </c>
      <c r="D509" s="1" t="s">
        <v>2629</v>
      </c>
      <c r="E509" s="1" t="s">
        <v>2630</v>
      </c>
      <c r="F509" s="1" t="s">
        <v>112</v>
      </c>
      <c r="G509" s="1">
        <v>1650534</v>
      </c>
    </row>
    <row r="510" spans="1:7" x14ac:dyDescent="0.3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2631</v>
      </c>
    </row>
    <row r="511" spans="1:7" x14ac:dyDescent="0.3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2632</v>
      </c>
    </row>
    <row r="512" spans="1:7" x14ac:dyDescent="0.3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2633</v>
      </c>
    </row>
    <row r="513" spans="1:8" x14ac:dyDescent="0.3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2634</v>
      </c>
      <c r="D513" s="1" t="s">
        <v>2635</v>
      </c>
      <c r="E513" s="1" t="s">
        <v>2636</v>
      </c>
      <c r="F513" s="1" t="s">
        <v>112</v>
      </c>
      <c r="G513" s="1">
        <v>617339</v>
      </c>
    </row>
    <row r="514" spans="1:8" x14ac:dyDescent="0.3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2637</v>
      </c>
    </row>
    <row r="515" spans="1:8" x14ac:dyDescent="0.3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2638</v>
      </c>
      <c r="D515" s="1" t="s">
        <v>2639</v>
      </c>
      <c r="E515" s="1" t="s">
        <v>2640</v>
      </c>
      <c r="F515" s="1" t="s">
        <v>112</v>
      </c>
      <c r="G515" s="1">
        <v>536724</v>
      </c>
    </row>
    <row r="516" spans="1:8" x14ac:dyDescent="0.3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2641</v>
      </c>
      <c r="D516" s="1" t="s">
        <v>1882</v>
      </c>
      <c r="E516" s="1" t="s">
        <v>2642</v>
      </c>
      <c r="F516" s="1" t="s">
        <v>112</v>
      </c>
      <c r="G516" s="1">
        <v>2240965</v>
      </c>
    </row>
    <row r="517" spans="1:8" x14ac:dyDescent="0.3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2643</v>
      </c>
      <c r="D517" s="1" t="s">
        <v>2644</v>
      </c>
      <c r="E517" s="1" t="s">
        <v>2645</v>
      </c>
      <c r="F517" s="1" t="s">
        <v>112</v>
      </c>
      <c r="G517" s="1">
        <v>2746932</v>
      </c>
    </row>
    <row r="518" spans="1:8" x14ac:dyDescent="0.3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8" s="1" t="s">
        <v>2646</v>
      </c>
      <c r="D518" s="1" t="s">
        <v>2647</v>
      </c>
      <c r="E518" s="1" t="s">
        <v>2648</v>
      </c>
      <c r="F518" s="1" t="s">
        <v>112</v>
      </c>
      <c r="G518" s="1">
        <v>2434163</v>
      </c>
    </row>
    <row r="519" spans="1:8" x14ac:dyDescent="0.3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2649</v>
      </c>
      <c r="D519" s="1" t="s">
        <v>1496</v>
      </c>
      <c r="E519" s="1" t="s">
        <v>2650</v>
      </c>
      <c r="F519" s="1" t="s">
        <v>112</v>
      </c>
      <c r="G519" s="1">
        <v>2384047</v>
      </c>
    </row>
    <row r="520" spans="1:8" x14ac:dyDescent="0.3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2651</v>
      </c>
      <c r="D520" s="1" t="s">
        <v>2652</v>
      </c>
      <c r="E520" s="1" t="s">
        <v>2653</v>
      </c>
      <c r="F520" s="1" t="s">
        <v>112</v>
      </c>
      <c r="G520" s="1">
        <v>2234152</v>
      </c>
    </row>
    <row r="521" spans="1:8" x14ac:dyDescent="0.35">
      <c r="A521" s="1" t="str">
        <f t="shared" si="8"/>
        <v>18</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1" s="1" t="s">
        <v>2654</v>
      </c>
      <c r="D521" s="1" t="s">
        <v>2655</v>
      </c>
      <c r="E521" s="1" t="s">
        <v>2656</v>
      </c>
      <c r="F521" s="1" t="s">
        <v>112</v>
      </c>
      <c r="G521" s="1">
        <v>2314096</v>
      </c>
    </row>
    <row r="522" spans="1:8"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112</v>
      </c>
    </row>
    <row r="523" spans="1:8"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3" s="1" t="s">
        <v>227</v>
      </c>
      <c r="D523" s="1" t="s">
        <v>112</v>
      </c>
      <c r="E523" s="1" t="s">
        <v>228</v>
      </c>
      <c r="F523" s="1" t="s">
        <v>229</v>
      </c>
      <c r="G523" s="1" t="s">
        <v>230</v>
      </c>
      <c r="H523" s="1" t="s">
        <v>231</v>
      </c>
    </row>
    <row r="524" spans="1:8" x14ac:dyDescent="0.35">
      <c r="A524" s="1" t="str">
        <f t="shared" si="8"/>
        <v>18</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4" s="1" t="s">
        <v>2657</v>
      </c>
      <c r="D524" s="1" t="s">
        <v>112</v>
      </c>
      <c r="E524" s="1" t="s">
        <v>2658</v>
      </c>
      <c r="F524" s="1" t="s">
        <v>2659</v>
      </c>
      <c r="G524" s="1" t="s">
        <v>2660</v>
      </c>
      <c r="H524" s="1" t="s">
        <v>2661</v>
      </c>
    </row>
    <row r="525" spans="1:8"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8"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8"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112</v>
      </c>
    </row>
    <row r="530" spans="1:7"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173</v>
      </c>
      <c r="D530" s="1" t="s">
        <v>110</v>
      </c>
      <c r="E530" s="1" t="s">
        <v>111</v>
      </c>
      <c r="F530" s="1" t="s">
        <v>112</v>
      </c>
      <c r="G530" s="1" t="s">
        <v>113</v>
      </c>
    </row>
    <row r="531" spans="1:7"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2662</v>
      </c>
      <c r="D531" s="1" t="s">
        <v>2663</v>
      </c>
      <c r="E531" s="1" t="s">
        <v>2664</v>
      </c>
      <c r="F531" s="1" t="s">
        <v>112</v>
      </c>
      <c r="G531" s="1">
        <v>1681638</v>
      </c>
    </row>
    <row r="532" spans="1:7"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2665</v>
      </c>
      <c r="D532" s="1" t="s">
        <v>2666</v>
      </c>
      <c r="E532" s="1" t="s">
        <v>2667</v>
      </c>
      <c r="F532" s="1" t="s">
        <v>112</v>
      </c>
      <c r="G532" s="1">
        <v>2064314</v>
      </c>
    </row>
    <row r="533" spans="1:7" x14ac:dyDescent="0.3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3" s="1" t="s">
        <v>2668</v>
      </c>
      <c r="D533" s="1" t="s">
        <v>271</v>
      </c>
      <c r="E533" s="1" t="s">
        <v>2669</v>
      </c>
      <c r="F533" s="1" t="s">
        <v>112</v>
      </c>
      <c r="G533" s="1">
        <v>1587980</v>
      </c>
    </row>
    <row r="534" spans="1:7" x14ac:dyDescent="0.3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2670</v>
      </c>
      <c r="D534" s="1" t="s">
        <v>2671</v>
      </c>
      <c r="E534" s="1" t="s">
        <v>2672</v>
      </c>
      <c r="F534" s="1" t="s">
        <v>112</v>
      </c>
      <c r="G534" s="1">
        <v>476982</v>
      </c>
    </row>
    <row r="535" spans="1:7"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2673</v>
      </c>
      <c r="D535" s="1" t="s">
        <v>2674</v>
      </c>
      <c r="E535" s="1" t="s">
        <v>2675</v>
      </c>
      <c r="F535" s="1" t="s">
        <v>112</v>
      </c>
      <c r="G535" s="1">
        <v>1060406</v>
      </c>
    </row>
    <row r="536" spans="1:7" x14ac:dyDescent="0.3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6" s="1" t="s">
        <v>2676</v>
      </c>
      <c r="D536" s="1" t="s">
        <v>1391</v>
      </c>
      <c r="E536" s="1" t="s">
        <v>2677</v>
      </c>
      <c r="F536" s="1" t="s">
        <v>112</v>
      </c>
      <c r="G536" s="1">
        <v>1295631</v>
      </c>
    </row>
    <row r="537" spans="1:7" x14ac:dyDescent="0.3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2678</v>
      </c>
      <c r="D537" s="1" t="s">
        <v>2679</v>
      </c>
      <c r="E537" s="1" t="s">
        <v>2680</v>
      </c>
      <c r="F537" s="1" t="s">
        <v>112</v>
      </c>
      <c r="G537" s="1">
        <v>2711394</v>
      </c>
    </row>
    <row r="538" spans="1:7" x14ac:dyDescent="0.3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2681</v>
      </c>
      <c r="D538" s="1" t="s">
        <v>2682</v>
      </c>
      <c r="E538" s="1" t="s">
        <v>2683</v>
      </c>
      <c r="F538" s="1" t="s">
        <v>112</v>
      </c>
      <c r="G538" s="1">
        <v>2481663</v>
      </c>
    </row>
    <row r="539" spans="1:7" x14ac:dyDescent="0.3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9" s="1" t="s">
        <v>2684</v>
      </c>
      <c r="D539" s="1" t="s">
        <v>2685</v>
      </c>
      <c r="E539" s="1" t="s">
        <v>2686</v>
      </c>
      <c r="F539" s="1" t="s">
        <v>112</v>
      </c>
      <c r="G539" s="1">
        <v>2487870</v>
      </c>
    </row>
    <row r="540" spans="1:7" x14ac:dyDescent="0.3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2687</v>
      </c>
      <c r="D540" s="1" t="s">
        <v>2688</v>
      </c>
      <c r="E540" s="1" t="s">
        <v>2689</v>
      </c>
      <c r="F540" s="1" t="s">
        <v>112</v>
      </c>
      <c r="G540" s="1">
        <v>1505073</v>
      </c>
    </row>
    <row r="541" spans="1:7" x14ac:dyDescent="0.3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2690</v>
      </c>
      <c r="D541" s="1" t="s">
        <v>1845</v>
      </c>
      <c r="E541" s="1" t="s">
        <v>2691</v>
      </c>
      <c r="F541" s="1" t="s">
        <v>112</v>
      </c>
      <c r="G541" s="1">
        <v>1598839</v>
      </c>
    </row>
    <row r="542" spans="1:7" x14ac:dyDescent="0.3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2" s="1" t="s">
        <v>2692</v>
      </c>
      <c r="D542" s="1" t="s">
        <v>2693</v>
      </c>
      <c r="E542" s="1" t="s">
        <v>2694</v>
      </c>
      <c r="F542" s="1" t="s">
        <v>112</v>
      </c>
      <c r="G542" s="1">
        <v>1440313</v>
      </c>
    </row>
    <row r="543" spans="1:7" x14ac:dyDescent="0.3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2695</v>
      </c>
      <c r="D543" s="1" t="s">
        <v>712</v>
      </c>
      <c r="E543" s="1" t="s">
        <v>2696</v>
      </c>
      <c r="F543" s="1" t="s">
        <v>112</v>
      </c>
      <c r="G543" s="1">
        <v>170573</v>
      </c>
    </row>
    <row r="544" spans="1:7" x14ac:dyDescent="0.3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2697</v>
      </c>
      <c r="D544" s="1" t="s">
        <v>2698</v>
      </c>
      <c r="E544" s="1" t="s">
        <v>2699</v>
      </c>
      <c r="F544" s="1" t="s">
        <v>112</v>
      </c>
      <c r="G544" s="1">
        <v>38566</v>
      </c>
    </row>
    <row r="545" spans="1:8" x14ac:dyDescent="0.3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5" s="1" t="s">
        <v>2700</v>
      </c>
      <c r="D545" s="1" t="s">
        <v>2701</v>
      </c>
      <c r="E545" s="1" t="s">
        <v>2702</v>
      </c>
      <c r="F545" s="1" t="s">
        <v>112</v>
      </c>
      <c r="G545" s="1">
        <v>203754</v>
      </c>
    </row>
    <row r="546" spans="1:8" x14ac:dyDescent="0.3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2703</v>
      </c>
    </row>
    <row r="547" spans="1:8" x14ac:dyDescent="0.3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2704</v>
      </c>
    </row>
    <row r="548" spans="1:8" x14ac:dyDescent="0.3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8" s="1" t="s">
        <v>2705</v>
      </c>
    </row>
    <row r="549" spans="1:8" x14ac:dyDescent="0.3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2706</v>
      </c>
      <c r="D549" s="1" t="s">
        <v>2707</v>
      </c>
      <c r="E549" s="1" t="s">
        <v>2708</v>
      </c>
      <c r="F549" s="1" t="s">
        <v>112</v>
      </c>
      <c r="G549" s="1">
        <v>1183912</v>
      </c>
    </row>
    <row r="550" spans="1:8" x14ac:dyDescent="0.3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2709</v>
      </c>
      <c r="D550" s="1" t="s">
        <v>2710</v>
      </c>
      <c r="E550" s="1" t="s">
        <v>2711</v>
      </c>
      <c r="F550" s="1" t="s">
        <v>112</v>
      </c>
      <c r="G550" s="1">
        <v>767580</v>
      </c>
    </row>
    <row r="551" spans="1:8" x14ac:dyDescent="0.3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1" s="1" t="s">
        <v>2712</v>
      </c>
      <c r="D551" s="1" t="s">
        <v>2713</v>
      </c>
      <c r="E551" s="1" t="s">
        <v>2714</v>
      </c>
      <c r="F551" s="1" t="s">
        <v>112</v>
      </c>
      <c r="G551" s="1">
        <v>1324161</v>
      </c>
    </row>
    <row r="552" spans="1:8" x14ac:dyDescent="0.3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2715</v>
      </c>
      <c r="D552" s="1" t="s">
        <v>2716</v>
      </c>
      <c r="E552" s="1" t="s">
        <v>2717</v>
      </c>
      <c r="F552" s="1" t="s">
        <v>112</v>
      </c>
      <c r="G552" s="1">
        <v>614051</v>
      </c>
    </row>
    <row r="553" spans="1:8" x14ac:dyDescent="0.3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2718</v>
      </c>
      <c r="D553" s="1" t="s">
        <v>2719</v>
      </c>
      <c r="E553" s="1" t="s">
        <v>2720</v>
      </c>
      <c r="F553" s="1" t="s">
        <v>112</v>
      </c>
      <c r="G553" s="1">
        <v>1282631</v>
      </c>
    </row>
    <row r="554" spans="1:8" x14ac:dyDescent="0.35">
      <c r="A554" s="1" t="str">
        <f t="shared" si="8"/>
        <v>19</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4" s="1" t="s">
        <v>2721</v>
      </c>
      <c r="D554" s="1" t="s">
        <v>2722</v>
      </c>
      <c r="E554" s="1" t="s">
        <v>2723</v>
      </c>
      <c r="F554" s="1" t="s">
        <v>112</v>
      </c>
      <c r="G554" s="1">
        <v>864222</v>
      </c>
    </row>
    <row r="555" spans="1:8"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112</v>
      </c>
    </row>
    <row r="556" spans="1:8"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6" s="1" t="s">
        <v>227</v>
      </c>
      <c r="D556" s="1" t="s">
        <v>112</v>
      </c>
      <c r="E556" s="1" t="s">
        <v>228</v>
      </c>
      <c r="F556" s="1" t="s">
        <v>229</v>
      </c>
      <c r="G556" s="1" t="s">
        <v>230</v>
      </c>
      <c r="H556" s="1" t="s">
        <v>231</v>
      </c>
    </row>
    <row r="557" spans="1:8" x14ac:dyDescent="0.35">
      <c r="A557" s="1" t="str">
        <f t="shared" si="8"/>
        <v>19</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7" s="1" t="s">
        <v>2724</v>
      </c>
      <c r="D557" s="1" t="s">
        <v>112</v>
      </c>
      <c r="E557" s="1" t="s">
        <v>2725</v>
      </c>
      <c r="F557" s="1" t="s">
        <v>2726</v>
      </c>
      <c r="G557" s="1" t="s">
        <v>2727</v>
      </c>
      <c r="H557" s="1" t="s">
        <v>2728</v>
      </c>
    </row>
    <row r="558" spans="1:8"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8"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8"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112</v>
      </c>
    </row>
    <row r="563" spans="1:7"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3" s="1" t="s">
        <v>173</v>
      </c>
      <c r="D563" s="1" t="s">
        <v>110</v>
      </c>
      <c r="E563" s="1" t="s">
        <v>111</v>
      </c>
      <c r="F563" s="1" t="s">
        <v>112</v>
      </c>
      <c r="G563" s="1" t="s">
        <v>113</v>
      </c>
    </row>
    <row r="564" spans="1:7"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2729</v>
      </c>
    </row>
    <row r="565" spans="1:7"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2730</v>
      </c>
    </row>
    <row r="566" spans="1:7" x14ac:dyDescent="0.3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6" s="1" t="s">
        <v>2731</v>
      </c>
      <c r="D566" s="1" t="s">
        <v>2732</v>
      </c>
      <c r="E566" s="1" t="s">
        <v>2733</v>
      </c>
      <c r="F566" s="1" t="s">
        <v>112</v>
      </c>
      <c r="G566" s="1">
        <v>3498765</v>
      </c>
    </row>
    <row r="567" spans="1:7" x14ac:dyDescent="0.3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2734</v>
      </c>
      <c r="D567" s="1" t="s">
        <v>2735</v>
      </c>
      <c r="E567" s="1" t="s">
        <v>2736</v>
      </c>
      <c r="F567" s="1" t="s">
        <v>112</v>
      </c>
      <c r="G567" s="1">
        <v>985328</v>
      </c>
    </row>
    <row r="568" spans="1:7"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2737</v>
      </c>
      <c r="D568" s="1" t="s">
        <v>2738</v>
      </c>
      <c r="E568" s="1" t="s">
        <v>2739</v>
      </c>
      <c r="F568" s="1" t="s">
        <v>112</v>
      </c>
      <c r="G568" s="1">
        <v>1356476</v>
      </c>
    </row>
    <row r="569" spans="1:7" x14ac:dyDescent="0.3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9" s="1" t="s">
        <v>2740</v>
      </c>
      <c r="D569" s="1" t="s">
        <v>938</v>
      </c>
      <c r="E569" s="1" t="s">
        <v>2741</v>
      </c>
      <c r="F569" s="1" t="s">
        <v>112</v>
      </c>
      <c r="G569" s="1">
        <v>1576214</v>
      </c>
    </row>
    <row r="570" spans="1:7" x14ac:dyDescent="0.3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2742</v>
      </c>
    </row>
    <row r="571" spans="1:7" x14ac:dyDescent="0.3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2743</v>
      </c>
      <c r="D571" s="1" t="s">
        <v>498</v>
      </c>
      <c r="E571" s="1" t="s">
        <v>2744</v>
      </c>
      <c r="F571" s="1" t="s">
        <v>112</v>
      </c>
      <c r="G571" s="1">
        <v>187574</v>
      </c>
    </row>
    <row r="572" spans="1:7" x14ac:dyDescent="0.3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2" s="1" t="s">
        <v>2745</v>
      </c>
      <c r="D572" s="1" t="s">
        <v>2746</v>
      </c>
      <c r="E572" s="1" t="s">
        <v>2747</v>
      </c>
      <c r="F572" s="1" t="s">
        <v>112</v>
      </c>
      <c r="G572" s="1">
        <v>526753</v>
      </c>
    </row>
    <row r="573" spans="1:7" x14ac:dyDescent="0.3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2748</v>
      </c>
      <c r="D573" s="1" t="s">
        <v>2231</v>
      </c>
      <c r="E573" s="1" t="s">
        <v>2749</v>
      </c>
      <c r="F573" s="1" t="s">
        <v>112</v>
      </c>
      <c r="G573" s="1">
        <v>972285</v>
      </c>
    </row>
    <row r="574" spans="1:7" x14ac:dyDescent="0.3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2750</v>
      </c>
      <c r="D574" s="1" t="s">
        <v>2751</v>
      </c>
      <c r="E574" s="1" t="s">
        <v>2752</v>
      </c>
      <c r="F574" s="1" t="s">
        <v>112</v>
      </c>
      <c r="G574" s="1">
        <v>724839</v>
      </c>
    </row>
    <row r="575" spans="1:7" x14ac:dyDescent="0.3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5" s="1" t="s">
        <v>2753</v>
      </c>
      <c r="D575" s="1" t="s">
        <v>2754</v>
      </c>
      <c r="E575" s="1" t="s">
        <v>2755</v>
      </c>
      <c r="F575" s="1" t="s">
        <v>112</v>
      </c>
      <c r="G575" s="1">
        <v>1182550</v>
      </c>
    </row>
    <row r="576" spans="1:7" x14ac:dyDescent="0.3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2756</v>
      </c>
      <c r="D576" s="1" t="s">
        <v>2757</v>
      </c>
      <c r="E576" s="1" t="s">
        <v>2758</v>
      </c>
      <c r="F576" s="1" t="s">
        <v>112</v>
      </c>
      <c r="G576" s="1">
        <v>922818</v>
      </c>
    </row>
    <row r="577" spans="1:8" x14ac:dyDescent="0.3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2759</v>
      </c>
      <c r="D577" s="1" t="s">
        <v>2760</v>
      </c>
      <c r="E577" s="1" t="s">
        <v>2761</v>
      </c>
      <c r="F577" s="1" t="s">
        <v>112</v>
      </c>
      <c r="G577" s="1">
        <v>1193862</v>
      </c>
    </row>
    <row r="578" spans="1:8" x14ac:dyDescent="0.3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8" s="1" t="s">
        <v>2762</v>
      </c>
      <c r="D578" s="1" t="s">
        <v>2763</v>
      </c>
      <c r="E578" s="1" t="s">
        <v>2764</v>
      </c>
      <c r="F578" s="1" t="s">
        <v>112</v>
      </c>
      <c r="G578" s="1">
        <v>1002135</v>
      </c>
    </row>
    <row r="579" spans="1:8" x14ac:dyDescent="0.3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2765</v>
      </c>
      <c r="D579" s="1" t="s">
        <v>2766</v>
      </c>
      <c r="E579" s="1" t="s">
        <v>2767</v>
      </c>
      <c r="F579" s="1" t="s">
        <v>112</v>
      </c>
      <c r="G579" s="1">
        <v>2443832</v>
      </c>
    </row>
    <row r="580" spans="1:8" x14ac:dyDescent="0.3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2768</v>
      </c>
      <c r="D580" s="1" t="s">
        <v>1818</v>
      </c>
      <c r="E580" s="1" t="s">
        <v>2769</v>
      </c>
      <c r="F580" s="1" t="s">
        <v>112</v>
      </c>
      <c r="G580" s="1">
        <v>2528859</v>
      </c>
    </row>
    <row r="581" spans="1:8" x14ac:dyDescent="0.3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1" s="1" t="s">
        <v>2770</v>
      </c>
      <c r="D581" s="1" t="s">
        <v>2771</v>
      </c>
      <c r="E581" s="1" t="s">
        <v>2772</v>
      </c>
      <c r="F581" s="1" t="s">
        <v>112</v>
      </c>
      <c r="G581" s="1">
        <v>2774921</v>
      </c>
    </row>
    <row r="582" spans="1:8" x14ac:dyDescent="0.3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2773</v>
      </c>
      <c r="D582" s="1" t="s">
        <v>2774</v>
      </c>
      <c r="E582" s="1" t="s">
        <v>2775</v>
      </c>
      <c r="F582" s="1" t="s">
        <v>112</v>
      </c>
      <c r="G582" s="1">
        <v>507286</v>
      </c>
    </row>
    <row r="583" spans="1:8" x14ac:dyDescent="0.3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2776</v>
      </c>
      <c r="D583" s="1" t="s">
        <v>2777</v>
      </c>
      <c r="E583" s="1" t="s">
        <v>2778</v>
      </c>
      <c r="F583" s="1" t="s">
        <v>112</v>
      </c>
      <c r="G583" s="1">
        <v>651254</v>
      </c>
    </row>
    <row r="584" spans="1:8" x14ac:dyDescent="0.3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4" s="1" t="s">
        <v>2779</v>
      </c>
      <c r="D584" s="1" t="s">
        <v>2780</v>
      </c>
      <c r="E584" s="1" t="s">
        <v>2781</v>
      </c>
      <c r="F584" s="1" t="s">
        <v>112</v>
      </c>
      <c r="G584" s="1">
        <v>15336</v>
      </c>
    </row>
    <row r="585" spans="1:8" x14ac:dyDescent="0.3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2782</v>
      </c>
      <c r="D585" s="1" t="s">
        <v>2783</v>
      </c>
      <c r="E585" s="1" t="s">
        <v>2784</v>
      </c>
      <c r="F585" s="1" t="s">
        <v>112</v>
      </c>
      <c r="G585" s="1">
        <v>2744206</v>
      </c>
    </row>
    <row r="586" spans="1:8" x14ac:dyDescent="0.3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2785</v>
      </c>
      <c r="D586" s="1" t="s">
        <v>2786</v>
      </c>
      <c r="E586" s="1" t="s">
        <v>2787</v>
      </c>
      <c r="F586" s="1" t="s">
        <v>112</v>
      </c>
      <c r="G586" s="1">
        <v>2210921</v>
      </c>
    </row>
    <row r="587" spans="1:8" x14ac:dyDescent="0.35">
      <c r="A587" s="1" t="str">
        <f t="shared" si="9"/>
        <v>20</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7" s="1" t="s">
        <v>2788</v>
      </c>
      <c r="D587" s="1" t="s">
        <v>2789</v>
      </c>
      <c r="E587" s="1" t="s">
        <v>2790</v>
      </c>
      <c r="F587" s="1" t="s">
        <v>112</v>
      </c>
      <c r="G587" s="1">
        <v>2926503</v>
      </c>
    </row>
    <row r="588" spans="1:8"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112</v>
      </c>
    </row>
    <row r="589" spans="1:8"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9" s="1" t="s">
        <v>227</v>
      </c>
      <c r="D589" s="1" t="s">
        <v>112</v>
      </c>
      <c r="E589" s="1" t="s">
        <v>228</v>
      </c>
      <c r="F589" s="1" t="s">
        <v>229</v>
      </c>
      <c r="G589" s="1" t="s">
        <v>230</v>
      </c>
      <c r="H589" s="1" t="s">
        <v>231</v>
      </c>
    </row>
    <row r="590" spans="1:8" x14ac:dyDescent="0.35">
      <c r="A590" s="1" t="str">
        <f t="shared" si="9"/>
        <v>20</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90" s="1" t="s">
        <v>2791</v>
      </c>
      <c r="D590" s="1" t="s">
        <v>112</v>
      </c>
      <c r="E590" s="1" t="s">
        <v>2792</v>
      </c>
      <c r="F590" s="1" t="s">
        <v>2793</v>
      </c>
      <c r="G590" s="1" t="s">
        <v>2794</v>
      </c>
      <c r="H590" s="1" t="s">
        <v>2795</v>
      </c>
    </row>
    <row r="591" spans="1:8"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8"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112</v>
      </c>
    </row>
    <row r="596" spans="1:7"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6" s="1" t="s">
        <v>173</v>
      </c>
      <c r="D596" s="1" t="s">
        <v>110</v>
      </c>
      <c r="E596" s="1" t="s">
        <v>111</v>
      </c>
      <c r="F596" s="1" t="s">
        <v>112</v>
      </c>
      <c r="G596" s="1" t="s">
        <v>113</v>
      </c>
    </row>
    <row r="597" spans="1:7"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2796</v>
      </c>
    </row>
    <row r="598" spans="1:7"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2797</v>
      </c>
    </row>
    <row r="599" spans="1:7" x14ac:dyDescent="0.3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9" s="1" t="s">
        <v>2798</v>
      </c>
    </row>
    <row r="600" spans="1:7" x14ac:dyDescent="0.3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2799</v>
      </c>
      <c r="D600" s="1" t="s">
        <v>2800</v>
      </c>
      <c r="E600" s="1" t="s">
        <v>2801</v>
      </c>
      <c r="F600" s="1" t="s">
        <v>112</v>
      </c>
      <c r="G600" s="1">
        <v>68113</v>
      </c>
    </row>
    <row r="601" spans="1:7"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2802</v>
      </c>
      <c r="D601" s="1" t="s">
        <v>569</v>
      </c>
      <c r="E601" s="1" t="s">
        <v>2803</v>
      </c>
      <c r="F601" s="1" t="s">
        <v>112</v>
      </c>
      <c r="G601" s="1">
        <v>271866</v>
      </c>
    </row>
    <row r="602" spans="1:7" x14ac:dyDescent="0.3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2" s="1" t="s">
        <v>2804</v>
      </c>
      <c r="D602" s="1" t="s">
        <v>2701</v>
      </c>
      <c r="E602" s="1" t="s">
        <v>2805</v>
      </c>
      <c r="F602" s="1" t="s">
        <v>112</v>
      </c>
      <c r="G602" s="1">
        <v>221209</v>
      </c>
    </row>
    <row r="603" spans="1:7" x14ac:dyDescent="0.3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2806</v>
      </c>
      <c r="D603" s="1" t="s">
        <v>2807</v>
      </c>
      <c r="E603" s="1" t="s">
        <v>2808</v>
      </c>
      <c r="F603" s="1" t="s">
        <v>112</v>
      </c>
      <c r="G603" s="1">
        <v>1236516</v>
      </c>
    </row>
    <row r="604" spans="1:7" x14ac:dyDescent="0.3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2809</v>
      </c>
      <c r="D604" s="1" t="s">
        <v>2810</v>
      </c>
      <c r="E604" s="1" t="s">
        <v>2811</v>
      </c>
      <c r="F604" s="1" t="s">
        <v>112</v>
      </c>
      <c r="G604" s="1">
        <v>1372482</v>
      </c>
    </row>
    <row r="605" spans="1:7" x14ac:dyDescent="0.3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5" s="1" t="s">
        <v>2812</v>
      </c>
      <c r="D605" s="1" t="s">
        <v>2813</v>
      </c>
      <c r="E605" s="1" t="s">
        <v>2814</v>
      </c>
      <c r="F605" s="1" t="s">
        <v>112</v>
      </c>
      <c r="G605" s="1">
        <v>1421192</v>
      </c>
    </row>
    <row r="606" spans="1:7" x14ac:dyDescent="0.3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2815</v>
      </c>
      <c r="D606" s="1" t="s">
        <v>2816</v>
      </c>
      <c r="E606" s="1" t="s">
        <v>2817</v>
      </c>
      <c r="F606" s="1" t="s">
        <v>112</v>
      </c>
      <c r="G606" s="1">
        <v>819384</v>
      </c>
    </row>
    <row r="607" spans="1:7" x14ac:dyDescent="0.3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2818</v>
      </c>
      <c r="D607" s="1" t="s">
        <v>2819</v>
      </c>
      <c r="E607" s="1" t="s">
        <v>2820</v>
      </c>
      <c r="F607" s="1" t="s">
        <v>112</v>
      </c>
      <c r="G607" s="1">
        <v>527813</v>
      </c>
    </row>
    <row r="608" spans="1:7" x14ac:dyDescent="0.3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8" s="1" t="s">
        <v>2821</v>
      </c>
      <c r="D608" s="1" t="s">
        <v>2822</v>
      </c>
      <c r="E608" s="1" t="s">
        <v>2823</v>
      </c>
      <c r="F608" s="1" t="s">
        <v>112</v>
      </c>
      <c r="G608" s="1">
        <v>647880</v>
      </c>
    </row>
    <row r="609" spans="1:8" x14ac:dyDescent="0.3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2824</v>
      </c>
      <c r="D609" s="1" t="s">
        <v>2825</v>
      </c>
      <c r="E609" s="1" t="s">
        <v>2826</v>
      </c>
      <c r="F609" s="1" t="s">
        <v>112</v>
      </c>
      <c r="G609" s="1">
        <v>2630779</v>
      </c>
    </row>
    <row r="610" spans="1:8" x14ac:dyDescent="0.3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2827</v>
      </c>
      <c r="D610" s="1" t="s">
        <v>2828</v>
      </c>
      <c r="E610" s="1" t="s">
        <v>2829</v>
      </c>
      <c r="F610" s="1" t="s">
        <v>112</v>
      </c>
      <c r="G610" s="1">
        <v>2720543</v>
      </c>
    </row>
    <row r="611" spans="1:8" x14ac:dyDescent="0.3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1" s="1" t="s">
        <v>2830</v>
      </c>
      <c r="D611" s="1" t="s">
        <v>2831</v>
      </c>
      <c r="E611" s="1" t="s">
        <v>2832</v>
      </c>
      <c r="F611" s="1" t="s">
        <v>112</v>
      </c>
      <c r="G611" s="1">
        <v>2150812</v>
      </c>
    </row>
    <row r="612" spans="1:8" x14ac:dyDescent="0.3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2833</v>
      </c>
      <c r="D612" s="1" t="s">
        <v>2834</v>
      </c>
      <c r="E612" s="1" t="s">
        <v>2835</v>
      </c>
      <c r="F612" s="1" t="s">
        <v>112</v>
      </c>
      <c r="G612" s="1">
        <v>2350175</v>
      </c>
    </row>
    <row r="613" spans="1:8" x14ac:dyDescent="0.3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2836</v>
      </c>
      <c r="D613" s="1" t="s">
        <v>2837</v>
      </c>
      <c r="E613" s="1" t="s">
        <v>2838</v>
      </c>
      <c r="F613" s="1" t="s">
        <v>112</v>
      </c>
      <c r="G613" s="1">
        <v>1862875</v>
      </c>
    </row>
    <row r="614" spans="1:8" x14ac:dyDescent="0.3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4" s="1" t="s">
        <v>2839</v>
      </c>
      <c r="D614" s="1" t="s">
        <v>2840</v>
      </c>
      <c r="E614" s="1" t="s">
        <v>2841</v>
      </c>
      <c r="F614" s="1" t="s">
        <v>112</v>
      </c>
      <c r="G614" s="1">
        <v>1769239</v>
      </c>
    </row>
    <row r="615" spans="1:8" x14ac:dyDescent="0.3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2842</v>
      </c>
      <c r="D615" s="1" t="s">
        <v>2843</v>
      </c>
      <c r="E615" s="1" t="s">
        <v>2844</v>
      </c>
      <c r="F615" s="1" t="s">
        <v>112</v>
      </c>
      <c r="G615" s="1">
        <v>585175</v>
      </c>
    </row>
    <row r="616" spans="1:8" x14ac:dyDescent="0.3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2845</v>
      </c>
      <c r="D616" s="1" t="s">
        <v>2846</v>
      </c>
      <c r="E616" s="1" t="s">
        <v>2847</v>
      </c>
      <c r="F616" s="1" t="s">
        <v>112</v>
      </c>
      <c r="G616" s="1">
        <v>712337</v>
      </c>
    </row>
    <row r="617" spans="1:8" x14ac:dyDescent="0.3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7" s="1" t="s">
        <v>2848</v>
      </c>
      <c r="D617" s="1" t="s">
        <v>2849</v>
      </c>
      <c r="E617" s="1" t="s">
        <v>2850</v>
      </c>
      <c r="F617" s="1" t="s">
        <v>112</v>
      </c>
      <c r="G617" s="1">
        <v>505923</v>
      </c>
    </row>
    <row r="618" spans="1:8" x14ac:dyDescent="0.3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2851</v>
      </c>
      <c r="D618" s="1" t="s">
        <v>2852</v>
      </c>
      <c r="E618" s="1" t="s">
        <v>2853</v>
      </c>
      <c r="F618" s="1" t="s">
        <v>112</v>
      </c>
      <c r="G618" s="1">
        <v>45942</v>
      </c>
    </row>
    <row r="619" spans="1:8" x14ac:dyDescent="0.3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2854</v>
      </c>
      <c r="D619" s="1" t="s">
        <v>1668</v>
      </c>
      <c r="E619" s="1" t="s">
        <v>2855</v>
      </c>
      <c r="F619" s="1" t="s">
        <v>112</v>
      </c>
      <c r="G619" s="1">
        <v>50895</v>
      </c>
    </row>
    <row r="620" spans="1:8" x14ac:dyDescent="0.35">
      <c r="A620" s="1" t="str">
        <f t="shared" si="9"/>
        <v>21</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20" s="1" t="s">
        <v>2856</v>
      </c>
      <c r="D620" s="1" t="s">
        <v>2112</v>
      </c>
      <c r="E620" s="1" t="s">
        <v>2857</v>
      </c>
      <c r="F620" s="1" t="s">
        <v>112</v>
      </c>
      <c r="G620" s="1">
        <v>107912</v>
      </c>
    </row>
    <row r="621" spans="1:8"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112</v>
      </c>
    </row>
    <row r="622" spans="1:8"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2" s="1" t="s">
        <v>227</v>
      </c>
      <c r="D622" s="1" t="s">
        <v>112</v>
      </c>
      <c r="E622" s="1" t="s">
        <v>228</v>
      </c>
      <c r="F622" s="1" t="s">
        <v>229</v>
      </c>
      <c r="G622" s="1" t="s">
        <v>230</v>
      </c>
      <c r="H622" s="1" t="s">
        <v>231</v>
      </c>
    </row>
    <row r="623" spans="1:8" x14ac:dyDescent="0.35">
      <c r="A623" s="1" t="str">
        <f t="shared" si="9"/>
        <v>21</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3" s="1" t="s">
        <v>2858</v>
      </c>
      <c r="D623" s="1" t="s">
        <v>112</v>
      </c>
      <c r="E623" s="1" t="s">
        <v>2859</v>
      </c>
      <c r="F623" s="1" t="s">
        <v>2860</v>
      </c>
      <c r="G623" s="1" t="s">
        <v>2861</v>
      </c>
      <c r="H623" s="1" t="s">
        <v>2862</v>
      </c>
    </row>
    <row r="624" spans="1:8"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112</v>
      </c>
    </row>
    <row r="629" spans="1:7"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9" s="1" t="s">
        <v>173</v>
      </c>
      <c r="D629" s="1" t="s">
        <v>110</v>
      </c>
      <c r="E629" s="1" t="s">
        <v>111</v>
      </c>
      <c r="F629" s="1" t="s">
        <v>112</v>
      </c>
      <c r="G629" s="1" t="s">
        <v>113</v>
      </c>
    </row>
    <row r="630" spans="1:7"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2863</v>
      </c>
      <c r="D630" s="1" t="s">
        <v>2021</v>
      </c>
      <c r="E630" s="1" t="s">
        <v>2864</v>
      </c>
      <c r="F630" s="1" t="s">
        <v>112</v>
      </c>
      <c r="G630" s="1">
        <v>1968</v>
      </c>
    </row>
    <row r="631" spans="1:7"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2865</v>
      </c>
      <c r="D631" s="1" t="s">
        <v>2866</v>
      </c>
      <c r="E631" s="1" t="s">
        <v>2867</v>
      </c>
      <c r="F631" s="1" t="s">
        <v>112</v>
      </c>
      <c r="G631" s="1">
        <v>357066</v>
      </c>
    </row>
    <row r="632" spans="1:7" x14ac:dyDescent="0.3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2" s="1" t="s">
        <v>2868</v>
      </c>
    </row>
    <row r="633" spans="1:7" x14ac:dyDescent="0.3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2869</v>
      </c>
      <c r="D633" s="1" t="s">
        <v>490</v>
      </c>
      <c r="E633" s="1" t="s">
        <v>2870</v>
      </c>
      <c r="F633" s="1" t="s">
        <v>112</v>
      </c>
      <c r="G633" s="1">
        <v>164106</v>
      </c>
    </row>
    <row r="634" spans="1:7"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2871</v>
      </c>
      <c r="D634" s="1" t="s">
        <v>950</v>
      </c>
      <c r="E634" s="1" t="s">
        <v>2872</v>
      </c>
      <c r="F634" s="1" t="s">
        <v>112</v>
      </c>
      <c r="G634" s="1">
        <v>167069</v>
      </c>
    </row>
    <row r="635" spans="1:7" x14ac:dyDescent="0.3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5" s="1" t="s">
        <v>2873</v>
      </c>
      <c r="D635" s="1" t="s">
        <v>208</v>
      </c>
      <c r="E635" s="1" t="s">
        <v>2874</v>
      </c>
      <c r="F635" s="1" t="s">
        <v>112</v>
      </c>
      <c r="G635" s="1">
        <v>163846</v>
      </c>
    </row>
    <row r="636" spans="1:7" x14ac:dyDescent="0.3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2875</v>
      </c>
      <c r="D636" s="1" t="s">
        <v>950</v>
      </c>
      <c r="E636" s="1" t="s">
        <v>2876</v>
      </c>
      <c r="F636" s="1" t="s">
        <v>112</v>
      </c>
      <c r="G636" s="1">
        <v>144163</v>
      </c>
    </row>
    <row r="637" spans="1:7" x14ac:dyDescent="0.3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2877</v>
      </c>
      <c r="D637" s="1" t="s">
        <v>2878</v>
      </c>
      <c r="E637" s="1" t="s">
        <v>2879</v>
      </c>
      <c r="F637" s="1" t="s">
        <v>112</v>
      </c>
      <c r="G637" s="1">
        <v>439519</v>
      </c>
    </row>
    <row r="638" spans="1:7" x14ac:dyDescent="0.3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8" s="1" t="s">
        <v>2880</v>
      </c>
      <c r="D638" s="1" t="s">
        <v>2881</v>
      </c>
      <c r="E638" s="1" t="s">
        <v>2882</v>
      </c>
      <c r="F638" s="1" t="s">
        <v>112</v>
      </c>
      <c r="G638" s="1">
        <v>263668</v>
      </c>
    </row>
    <row r="639" spans="1:7" x14ac:dyDescent="0.3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2883</v>
      </c>
      <c r="D639" s="1" t="s">
        <v>149</v>
      </c>
      <c r="E639" s="1" t="s">
        <v>2884</v>
      </c>
      <c r="F639" s="1" t="s">
        <v>112</v>
      </c>
      <c r="G639" s="1">
        <v>186169</v>
      </c>
    </row>
    <row r="640" spans="1:7" x14ac:dyDescent="0.3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2885</v>
      </c>
      <c r="D640" s="1" t="s">
        <v>548</v>
      </c>
      <c r="E640" s="1" t="s">
        <v>2886</v>
      </c>
      <c r="F640" s="1" t="s">
        <v>112</v>
      </c>
      <c r="G640" s="1">
        <v>140227</v>
      </c>
    </row>
    <row r="641" spans="1:8" x14ac:dyDescent="0.3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1" s="1" t="s">
        <v>2887</v>
      </c>
      <c r="D641" s="1" t="s">
        <v>2888</v>
      </c>
      <c r="E641" s="1" t="s">
        <v>2889</v>
      </c>
      <c r="F641" s="1" t="s">
        <v>112</v>
      </c>
      <c r="G641" s="1">
        <v>251188</v>
      </c>
    </row>
    <row r="642" spans="1:8" x14ac:dyDescent="0.3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2890</v>
      </c>
      <c r="D642" s="1" t="s">
        <v>463</v>
      </c>
      <c r="E642" s="1" t="s">
        <v>2891</v>
      </c>
      <c r="F642" s="1" t="s">
        <v>112</v>
      </c>
      <c r="G642" s="1">
        <v>6770</v>
      </c>
    </row>
    <row r="643" spans="1:8" x14ac:dyDescent="0.3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2892</v>
      </c>
      <c r="D643" s="1" t="s">
        <v>712</v>
      </c>
      <c r="E643" s="1" t="s">
        <v>2893</v>
      </c>
      <c r="F643" s="1" t="s">
        <v>112</v>
      </c>
      <c r="G643" s="1">
        <v>169427</v>
      </c>
    </row>
    <row r="644" spans="1:8" x14ac:dyDescent="0.3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4" s="1" t="s">
        <v>2894</v>
      </c>
      <c r="D644" s="1" t="s">
        <v>2895</v>
      </c>
      <c r="E644" s="1" t="s">
        <v>2896</v>
      </c>
      <c r="F644" s="1" t="s">
        <v>112</v>
      </c>
      <c r="G644" s="1">
        <v>39453</v>
      </c>
    </row>
    <row r="645" spans="1:8" x14ac:dyDescent="0.3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2897</v>
      </c>
    </row>
    <row r="646" spans="1:8" x14ac:dyDescent="0.3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2898</v>
      </c>
      <c r="D646" s="1" t="s">
        <v>2899</v>
      </c>
      <c r="E646" s="1" t="s">
        <v>2900</v>
      </c>
      <c r="F646" s="1" t="s">
        <v>112</v>
      </c>
      <c r="G646" s="1">
        <v>427645</v>
      </c>
    </row>
    <row r="647" spans="1:8" x14ac:dyDescent="0.3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7" s="1" t="s">
        <v>2901</v>
      </c>
      <c r="D647" s="1" t="s">
        <v>2902</v>
      </c>
      <c r="E647" s="1" t="s">
        <v>2903</v>
      </c>
      <c r="F647" s="1" t="s">
        <v>112</v>
      </c>
      <c r="G647" s="1">
        <v>261181</v>
      </c>
    </row>
    <row r="648" spans="1:8" x14ac:dyDescent="0.3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2904</v>
      </c>
      <c r="D648" s="1" t="s">
        <v>1075</v>
      </c>
      <c r="E648" s="1" t="s">
        <v>2905</v>
      </c>
      <c r="F648" s="1" t="s">
        <v>112</v>
      </c>
      <c r="G648" s="1">
        <v>174488</v>
      </c>
    </row>
    <row r="649" spans="1:8" x14ac:dyDescent="0.3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2906</v>
      </c>
      <c r="D649" s="1" t="s">
        <v>724</v>
      </c>
      <c r="E649" s="1" t="s">
        <v>2907</v>
      </c>
      <c r="F649" s="1" t="s">
        <v>112</v>
      </c>
      <c r="G649" s="1">
        <v>24853</v>
      </c>
    </row>
    <row r="650" spans="1:8" x14ac:dyDescent="0.3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50" s="1" t="s">
        <v>2908</v>
      </c>
      <c r="D650" s="1" t="s">
        <v>1126</v>
      </c>
      <c r="E650" s="1" t="s">
        <v>2909</v>
      </c>
      <c r="F650" s="1" t="s">
        <v>112</v>
      </c>
      <c r="G650" s="1">
        <v>124307</v>
      </c>
    </row>
    <row r="651" spans="1:8" x14ac:dyDescent="0.3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2910</v>
      </c>
      <c r="D651" s="1" t="s">
        <v>2911</v>
      </c>
      <c r="E651" s="1" t="s">
        <v>2912</v>
      </c>
      <c r="F651" s="1" t="s">
        <v>112</v>
      </c>
      <c r="G651" s="1">
        <v>64976</v>
      </c>
    </row>
    <row r="652" spans="1:8" x14ac:dyDescent="0.3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2913</v>
      </c>
      <c r="D652" s="1" t="s">
        <v>2914</v>
      </c>
      <c r="E652" s="1" t="s">
        <v>2915</v>
      </c>
      <c r="F652" s="1" t="s">
        <v>112</v>
      </c>
      <c r="G652" s="1">
        <v>171287</v>
      </c>
    </row>
    <row r="653" spans="1:8" x14ac:dyDescent="0.35">
      <c r="A653" s="1" t="str">
        <f t="shared" si="10"/>
        <v>8</v>
      </c>
      <c r="B6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3" s="1" t="s">
        <v>2916</v>
      </c>
      <c r="D653" s="1" t="s">
        <v>471</v>
      </c>
      <c r="E653" s="1" t="s">
        <v>2917</v>
      </c>
      <c r="F653" s="1" t="s">
        <v>112</v>
      </c>
      <c r="G653" s="1">
        <v>103802</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227</v>
      </c>
      <c r="D655" s="1" t="s">
        <v>112</v>
      </c>
      <c r="E655" s="1" t="s">
        <v>228</v>
      </c>
      <c r="F655" s="1" t="s">
        <v>229</v>
      </c>
      <c r="G655" s="1" t="s">
        <v>230</v>
      </c>
      <c r="H655" s="1" t="s">
        <v>231</v>
      </c>
    </row>
    <row r="656" spans="1:8" x14ac:dyDescent="0.35">
      <c r="A656" s="1" t="str">
        <f t="shared" si="10"/>
        <v>8</v>
      </c>
      <c r="B6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6" s="1" t="s">
        <v>2918</v>
      </c>
      <c r="D656" s="1" t="s">
        <v>112</v>
      </c>
      <c r="E656" s="1" t="s">
        <v>2919</v>
      </c>
      <c r="F656" s="1" t="s">
        <v>2920</v>
      </c>
      <c r="G656" s="1" t="s">
        <v>2921</v>
      </c>
      <c r="H656" s="1" t="s">
        <v>2922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112</v>
      </c>
    </row>
    <row r="662" spans="1:7"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2" s="1" t="s">
        <v>173</v>
      </c>
      <c r="D662" s="1" t="s">
        <v>110</v>
      </c>
      <c r="E662" s="1" t="s">
        <v>111</v>
      </c>
      <c r="F662" s="1" t="s">
        <v>112</v>
      </c>
      <c r="G662" s="1" t="s">
        <v>113</v>
      </c>
    </row>
    <row r="663" spans="1:7"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2923</v>
      </c>
    </row>
    <row r="664" spans="1:7"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2924</v>
      </c>
    </row>
    <row r="665" spans="1:7" x14ac:dyDescent="0.3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5" s="1" t="s">
        <v>2925</v>
      </c>
    </row>
    <row r="666" spans="1:7" x14ac:dyDescent="0.3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2926</v>
      </c>
      <c r="D666" s="1" t="s">
        <v>1032</v>
      </c>
      <c r="E666" s="1" t="s">
        <v>2927</v>
      </c>
      <c r="F666" s="1" t="s">
        <v>112</v>
      </c>
      <c r="G666" s="1">
        <v>3418</v>
      </c>
    </row>
    <row r="667" spans="1:7"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2928</v>
      </c>
      <c r="D667" s="1" t="s">
        <v>463</v>
      </c>
      <c r="E667" s="1" t="s">
        <v>2122</v>
      </c>
      <c r="F667" s="1" t="s">
        <v>112</v>
      </c>
      <c r="G667" s="1">
        <v>6597</v>
      </c>
    </row>
    <row r="668" spans="1:7" x14ac:dyDescent="0.3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8" s="1" t="s">
        <v>2929</v>
      </c>
      <c r="D668" s="1" t="s">
        <v>507</v>
      </c>
      <c r="E668" s="1" t="s">
        <v>2930</v>
      </c>
      <c r="F668" s="1" t="s">
        <v>112</v>
      </c>
      <c r="G668" s="1">
        <v>30758</v>
      </c>
    </row>
    <row r="669" spans="1:7" x14ac:dyDescent="0.3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2931</v>
      </c>
      <c r="D669" s="1" t="s">
        <v>1697</v>
      </c>
      <c r="E669" s="1" t="s">
        <v>2932</v>
      </c>
      <c r="F669" s="1" t="s">
        <v>112</v>
      </c>
      <c r="G669" s="1">
        <v>68826</v>
      </c>
    </row>
    <row r="670" spans="1:7" x14ac:dyDescent="0.3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2933</v>
      </c>
      <c r="D670" s="1" t="s">
        <v>1044</v>
      </c>
      <c r="E670" s="1" t="s">
        <v>2934</v>
      </c>
      <c r="F670" s="1" t="s">
        <v>112</v>
      </c>
      <c r="G670" s="1">
        <v>124004</v>
      </c>
    </row>
    <row r="671" spans="1:7" x14ac:dyDescent="0.3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1" s="1" t="s">
        <v>2935</v>
      </c>
      <c r="D671" s="1" t="s">
        <v>2936</v>
      </c>
      <c r="E671" s="1" t="s">
        <v>2937</v>
      </c>
      <c r="F671" s="1" t="s">
        <v>112</v>
      </c>
      <c r="G671" s="1">
        <v>22365</v>
      </c>
    </row>
    <row r="672" spans="1:7" x14ac:dyDescent="0.3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2938</v>
      </c>
      <c r="D672" s="1" t="s">
        <v>490</v>
      </c>
      <c r="E672" s="1" t="s">
        <v>2939</v>
      </c>
      <c r="F672" s="1" t="s">
        <v>112</v>
      </c>
      <c r="G672" s="1">
        <v>155649</v>
      </c>
    </row>
    <row r="673" spans="1:8" x14ac:dyDescent="0.3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2940</v>
      </c>
      <c r="D673" s="1" t="s">
        <v>2941</v>
      </c>
      <c r="E673" s="1" t="s">
        <v>2942</v>
      </c>
      <c r="F673" s="1" t="s">
        <v>112</v>
      </c>
      <c r="G673" s="1">
        <v>124480</v>
      </c>
    </row>
    <row r="674" spans="1:8" x14ac:dyDescent="0.3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4" s="1" t="s">
        <v>2943</v>
      </c>
      <c r="D674" s="1" t="s">
        <v>2944</v>
      </c>
      <c r="E674" s="1" t="s">
        <v>2945</v>
      </c>
      <c r="F674" s="1" t="s">
        <v>112</v>
      </c>
      <c r="G674" s="1">
        <v>277490</v>
      </c>
    </row>
    <row r="675" spans="1:8" x14ac:dyDescent="0.3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2946</v>
      </c>
      <c r="D675" s="1" t="s">
        <v>222</v>
      </c>
      <c r="E675" s="1" t="s">
        <v>2947</v>
      </c>
      <c r="F675" s="1" t="s">
        <v>112</v>
      </c>
      <c r="G675" s="1">
        <v>237972</v>
      </c>
    </row>
    <row r="676" spans="1:8" x14ac:dyDescent="0.3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2948</v>
      </c>
      <c r="D676" s="1" t="s">
        <v>2949</v>
      </c>
      <c r="E676" s="1" t="s">
        <v>2950</v>
      </c>
      <c r="F676" s="1" t="s">
        <v>112</v>
      </c>
      <c r="G676" s="1">
        <v>182535</v>
      </c>
    </row>
    <row r="677" spans="1:8" x14ac:dyDescent="0.3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2951</v>
      </c>
      <c r="D677" s="1" t="s">
        <v>2952</v>
      </c>
      <c r="E677" s="1" t="s">
        <v>2953</v>
      </c>
      <c r="F677" s="1" t="s">
        <v>112</v>
      </c>
      <c r="G677" s="1">
        <v>297281</v>
      </c>
    </row>
    <row r="678" spans="1:8" x14ac:dyDescent="0.3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2954</v>
      </c>
      <c r="D678" s="1" t="s">
        <v>2955</v>
      </c>
      <c r="E678" s="1" t="s">
        <v>2956</v>
      </c>
      <c r="F678" s="1" t="s">
        <v>112</v>
      </c>
      <c r="G678" s="1">
        <v>371580</v>
      </c>
    </row>
    <row r="679" spans="1:8" x14ac:dyDescent="0.3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2957</v>
      </c>
      <c r="D679" s="1" t="s">
        <v>2958</v>
      </c>
      <c r="E679" s="1" t="s">
        <v>2959</v>
      </c>
      <c r="F679" s="1" t="s">
        <v>112</v>
      </c>
      <c r="G679" s="1">
        <v>317202</v>
      </c>
    </row>
    <row r="680" spans="1:8" x14ac:dyDescent="0.3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2960</v>
      </c>
      <c r="D680" s="1" t="s">
        <v>970</v>
      </c>
      <c r="E680" s="1" t="s">
        <v>2961</v>
      </c>
      <c r="F680" s="1" t="s">
        <v>112</v>
      </c>
      <c r="G680" s="1">
        <v>262176</v>
      </c>
    </row>
    <row r="681" spans="1:8" x14ac:dyDescent="0.3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2962</v>
      </c>
      <c r="D681" s="1" t="s">
        <v>2963</v>
      </c>
      <c r="E681" s="1" t="s">
        <v>675</v>
      </c>
      <c r="F681" s="1" t="s">
        <v>112</v>
      </c>
      <c r="G681" s="1">
        <v>462490</v>
      </c>
    </row>
    <row r="682" spans="1:8" x14ac:dyDescent="0.3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2964</v>
      </c>
      <c r="D682" s="1" t="s">
        <v>216</v>
      </c>
      <c r="E682" s="1">
        <v>30</v>
      </c>
      <c r="F682" s="1" t="s">
        <v>112</v>
      </c>
      <c r="G682" s="1">
        <v>649</v>
      </c>
    </row>
    <row r="683" spans="1:8" x14ac:dyDescent="0.3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2965</v>
      </c>
      <c r="D683" s="1" t="s">
        <v>627</v>
      </c>
      <c r="E683" s="1" t="s">
        <v>2966</v>
      </c>
      <c r="F683" s="1" t="s">
        <v>112</v>
      </c>
      <c r="G683" s="1">
        <v>222723</v>
      </c>
    </row>
    <row r="684" spans="1:8" x14ac:dyDescent="0.3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2967</v>
      </c>
    </row>
    <row r="685" spans="1:8" x14ac:dyDescent="0.3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2968</v>
      </c>
    </row>
    <row r="686" spans="1:8" x14ac:dyDescent="0.35">
      <c r="A686" s="1" t="str">
        <f t="shared" si="10"/>
        <v>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6" s="1" t="s">
        <v>2969</v>
      </c>
      <c r="D686" s="1" t="s">
        <v>618</v>
      </c>
      <c r="E686" s="1" t="s">
        <v>2970</v>
      </c>
      <c r="F686" s="1" t="s">
        <v>112</v>
      </c>
      <c r="G686" s="1">
        <v>96664</v>
      </c>
    </row>
    <row r="687" spans="1:8"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112</v>
      </c>
    </row>
    <row r="688" spans="1:8"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8" s="1" t="s">
        <v>227</v>
      </c>
      <c r="D688" s="1" t="s">
        <v>112</v>
      </c>
      <c r="E688" s="1" t="s">
        <v>228</v>
      </c>
      <c r="F688" s="1" t="s">
        <v>229</v>
      </c>
      <c r="G688" s="1" t="s">
        <v>230</v>
      </c>
      <c r="H688" s="1" t="s">
        <v>231</v>
      </c>
    </row>
    <row r="689" spans="1:8" x14ac:dyDescent="0.35">
      <c r="A689" s="1" t="str">
        <f t="shared" si="10"/>
        <v>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9" s="1" t="s">
        <v>2971</v>
      </c>
      <c r="D689" s="1" t="s">
        <v>112</v>
      </c>
      <c r="E689" s="1" t="s">
        <v>2972</v>
      </c>
      <c r="F689" s="1" t="s">
        <v>2973</v>
      </c>
      <c r="G689" s="1" t="s">
        <v>2974</v>
      </c>
      <c r="H689" s="1" t="s">
        <v>2975</v>
      </c>
    </row>
    <row r="690" spans="1:8"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8"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8"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8"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8"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8"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8"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8"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8"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8"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8"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8"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8"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8"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8"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SAC-0.01mg/L</v>
      </c>
      <c r="J4" s="35" t="str">
        <f>'Page de garde'!A16</f>
        <v>SAC-0.1mg/L</v>
      </c>
      <c r="K4" s="35" t="str">
        <f>'Page de garde'!A17</f>
        <v>SAC-1mg/L</v>
      </c>
      <c r="L4" s="35" t="str">
        <f>'Page de garde'!A18</f>
        <v>SAC-10mg/L</v>
      </c>
      <c r="M4" s="35" t="str">
        <f>'Page de garde'!A19</f>
        <v>SAC-100mg/L</v>
      </c>
      <c r="N4" s="3"/>
      <c r="O4" s="36" t="str">
        <f>'Page de garde'!A36</f>
        <v>Testo -30µg/L</v>
      </c>
      <c r="P4" s="36" t="str">
        <f>'Page de garde'!A37</f>
        <v>Testo 30µg/L + EE2 -64ng/L</v>
      </c>
      <c r="Q4" s="36" t="str">
        <f>'Page de garde'!A38</f>
        <v>Testo 30µg/L + FAD-10mg/L</v>
      </c>
      <c r="R4" s="36" t="str">
        <f>'Page de garde'!A39</f>
        <v>SAC-0,01mg/L + Testostérone</v>
      </c>
      <c r="S4" s="36" t="str">
        <f>'Page de garde'!A40</f>
        <v>SAC-0,1mg/L + Testostérone</v>
      </c>
      <c r="T4" s="36" t="str">
        <f>'Page de garde'!A41</f>
        <v>SAC-1mg/L + Testostérone</v>
      </c>
      <c r="U4" s="36" t="str">
        <f>'Page de garde'!A42</f>
        <v>SAC-10mg/L + Testostérone</v>
      </c>
      <c r="V4" s="36" t="str">
        <f>'Page de garde'!A43</f>
        <v>SAC-100mg/L + Testostérone</v>
      </c>
    </row>
    <row r="5" spans="1:22" x14ac:dyDescent="0.35">
      <c r="A5" s="226" t="s">
        <v>33</v>
      </c>
      <c r="B5" s="32">
        <v>202117</v>
      </c>
      <c r="C5" s="32">
        <v>465994.5</v>
      </c>
      <c r="D5" s="32">
        <v>3439</v>
      </c>
      <c r="E5" s="32">
        <v>514784</v>
      </c>
      <c r="F5" s="32">
        <v>2150602.6666666665</v>
      </c>
      <c r="G5" s="32"/>
      <c r="H5" s="32">
        <v>3438504.3333333335</v>
      </c>
      <c r="I5" s="32">
        <v>179517</v>
      </c>
      <c r="J5" s="32"/>
      <c r="K5" s="13">
        <v>138849.33333333334</v>
      </c>
      <c r="L5" s="13">
        <v>249984</v>
      </c>
      <c r="M5" s="13">
        <v>363252</v>
      </c>
      <c r="N5" s="3"/>
      <c r="O5" s="32">
        <v>524525</v>
      </c>
      <c r="P5" s="13">
        <v>3242126.6666666665</v>
      </c>
      <c r="Q5" s="13">
        <v>15789.666666666666</v>
      </c>
      <c r="R5" s="32">
        <v>229363</v>
      </c>
      <c r="S5" s="32">
        <v>327325</v>
      </c>
      <c r="T5" s="32">
        <v>1777977.3333333333</v>
      </c>
      <c r="U5" s="32">
        <v>3498765</v>
      </c>
      <c r="V5" s="32"/>
    </row>
    <row r="6" spans="1:22" ht="16.5" x14ac:dyDescent="0.35">
      <c r="A6" s="226"/>
      <c r="B6" s="14">
        <v>25512.5</v>
      </c>
      <c r="C6" s="13">
        <v>229623</v>
      </c>
      <c r="D6" s="32">
        <v>36933</v>
      </c>
      <c r="E6" s="32">
        <v>202917.66666666666</v>
      </c>
      <c r="F6" s="32">
        <v>423131.33333333331</v>
      </c>
      <c r="G6" s="32">
        <v>2129787.3333333335</v>
      </c>
      <c r="H6" s="32">
        <v>3492795.3333333335</v>
      </c>
      <c r="I6" s="32">
        <v>165007</v>
      </c>
      <c r="J6" s="32">
        <v>13591</v>
      </c>
      <c r="K6" s="13">
        <v>279141</v>
      </c>
      <c r="L6" s="13">
        <v>260640</v>
      </c>
      <c r="M6" s="13">
        <v>161597</v>
      </c>
      <c r="N6" s="3"/>
      <c r="O6" s="32">
        <v>3299395.3333333335</v>
      </c>
      <c r="P6" s="13">
        <v>3166840</v>
      </c>
      <c r="Q6" s="13">
        <v>92568.666666666672</v>
      </c>
      <c r="R6" s="32">
        <v>737904</v>
      </c>
      <c r="S6" s="32">
        <v>2595616.3333333335</v>
      </c>
      <c r="T6" s="32">
        <v>944339.66666666663</v>
      </c>
      <c r="U6" s="32">
        <v>1306006</v>
      </c>
      <c r="V6" s="32">
        <v>187062.66666666666</v>
      </c>
    </row>
    <row r="7" spans="1:22" ht="16.5" x14ac:dyDescent="0.35">
      <c r="A7" s="226"/>
      <c r="B7" s="14">
        <v>325443.33333333331</v>
      </c>
      <c r="C7" s="13">
        <v>45596</v>
      </c>
      <c r="D7" s="32">
        <v>75452.333333333328</v>
      </c>
      <c r="E7" s="32">
        <v>258592.66666666666</v>
      </c>
      <c r="F7" s="32">
        <v>1446549.3333333333</v>
      </c>
      <c r="G7" s="32">
        <v>2603583</v>
      </c>
      <c r="H7" s="32"/>
      <c r="I7" s="32">
        <v>282450</v>
      </c>
      <c r="J7" s="32">
        <v>71731.666666666672</v>
      </c>
      <c r="K7" s="13">
        <v>442731.5</v>
      </c>
      <c r="L7" s="13"/>
      <c r="M7" s="13">
        <v>237193</v>
      </c>
      <c r="N7" s="3"/>
      <c r="O7" s="32">
        <v>2875939.6666666665</v>
      </c>
      <c r="P7" s="13">
        <v>3025459.6666666665</v>
      </c>
      <c r="Q7" s="13">
        <v>145688</v>
      </c>
      <c r="R7" s="32">
        <v>1353079.6666666667</v>
      </c>
      <c r="S7" s="32">
        <v>2227144</v>
      </c>
      <c r="T7" s="32">
        <v>2560309</v>
      </c>
      <c r="U7" s="32">
        <v>357163.5</v>
      </c>
      <c r="V7" s="32">
        <v>1343396.6666666667</v>
      </c>
    </row>
    <row r="8" spans="1:22" ht="16.5" x14ac:dyDescent="0.35">
      <c r="A8" s="226"/>
      <c r="B8" s="14">
        <v>247457</v>
      </c>
      <c r="C8" s="13">
        <v>348025</v>
      </c>
      <c r="D8" s="32">
        <v>394010</v>
      </c>
      <c r="E8" s="32">
        <v>203306.66666666666</v>
      </c>
      <c r="F8" s="32">
        <v>3231455.6666666665</v>
      </c>
      <c r="G8" s="32">
        <v>1676014</v>
      </c>
      <c r="H8" s="32">
        <v>5294731.333333333</v>
      </c>
      <c r="I8" s="32">
        <v>192528</v>
      </c>
      <c r="J8" s="32">
        <v>185873</v>
      </c>
      <c r="K8" s="13"/>
      <c r="L8" s="13">
        <v>98041</v>
      </c>
      <c r="M8" s="13">
        <v>35754.333333333336</v>
      </c>
      <c r="N8" s="3"/>
      <c r="O8" s="32">
        <v>1160458.3333333333</v>
      </c>
      <c r="P8" s="13">
        <v>2778958.3333333335</v>
      </c>
      <c r="Q8" s="13">
        <v>59237</v>
      </c>
      <c r="R8" s="32"/>
      <c r="S8" s="32">
        <v>1516659.3333333333</v>
      </c>
      <c r="T8" s="32">
        <v>1514741.6666666667</v>
      </c>
      <c r="U8" s="32">
        <v>959891.33333333337</v>
      </c>
      <c r="V8" s="32">
        <v>665025.66666666663</v>
      </c>
    </row>
    <row r="9" spans="1:22" ht="16.5" x14ac:dyDescent="0.35">
      <c r="A9" s="226"/>
      <c r="B9" s="14">
        <v>212326.33333333334</v>
      </c>
      <c r="C9" s="13"/>
      <c r="D9" s="32">
        <v>146009</v>
      </c>
      <c r="E9" s="32">
        <v>172556</v>
      </c>
      <c r="F9" s="32">
        <v>1304152.6666666667</v>
      </c>
      <c r="G9" s="32">
        <v>2607534.6666666665</v>
      </c>
      <c r="H9" s="32">
        <v>3681322</v>
      </c>
      <c r="I9" s="32">
        <v>71883.333333333328</v>
      </c>
      <c r="J9" s="32">
        <v>239262.66666666666</v>
      </c>
      <c r="K9" s="13">
        <v>407897</v>
      </c>
      <c r="L9" s="13">
        <v>338168.66666666669</v>
      </c>
      <c r="M9" s="13">
        <v>403296.66666666669</v>
      </c>
      <c r="N9" s="3"/>
      <c r="O9" s="32">
        <v>2282913</v>
      </c>
      <c r="P9" s="13">
        <v>3404422.6666666665</v>
      </c>
      <c r="Q9" s="13">
        <v>71876</v>
      </c>
      <c r="R9" s="32">
        <v>1909710.6666666667</v>
      </c>
      <c r="S9" s="32"/>
      <c r="T9" s="32">
        <v>137631</v>
      </c>
      <c r="U9" s="32">
        <v>1039605</v>
      </c>
      <c r="V9" s="32">
        <v>2500711.3333333335</v>
      </c>
    </row>
    <row r="10" spans="1:22" ht="16.5" x14ac:dyDescent="0.35">
      <c r="A10" s="226"/>
      <c r="B10" s="14">
        <v>50664.666666666664</v>
      </c>
      <c r="C10" s="13">
        <v>145547.33333333334</v>
      </c>
      <c r="D10" s="32">
        <v>109223.66666666667</v>
      </c>
      <c r="E10" s="32">
        <v>1756044.6666666667</v>
      </c>
      <c r="F10" s="32">
        <v>1905492.6666666667</v>
      </c>
      <c r="G10" s="32">
        <v>1963324</v>
      </c>
      <c r="H10" s="32">
        <v>5186661.333333333</v>
      </c>
      <c r="I10" s="32">
        <v>344413</v>
      </c>
      <c r="J10" s="32">
        <v>316986</v>
      </c>
      <c r="K10" s="13">
        <v>145237.33333333334</v>
      </c>
      <c r="L10" s="13">
        <v>154120.33333333334</v>
      </c>
      <c r="M10" s="13">
        <v>259594.66666666666</v>
      </c>
      <c r="N10" s="3"/>
      <c r="O10" s="32">
        <v>33879.666666666664</v>
      </c>
      <c r="P10" s="13">
        <v>4690514.666666667</v>
      </c>
      <c r="Q10" s="13">
        <v>85481.333333333328</v>
      </c>
      <c r="R10" s="32">
        <v>209658.5</v>
      </c>
      <c r="S10" s="32">
        <v>577031.5</v>
      </c>
      <c r="T10" s="32"/>
      <c r="U10" s="32">
        <v>2582537.3333333335</v>
      </c>
      <c r="V10" s="32">
        <v>1994096.3333333333</v>
      </c>
    </row>
    <row r="11" spans="1:22" ht="16.5" x14ac:dyDescent="0.35">
      <c r="A11" s="226"/>
      <c r="B11" s="14">
        <v>189067</v>
      </c>
      <c r="C11" s="13">
        <v>118467</v>
      </c>
      <c r="D11" s="32">
        <v>501518</v>
      </c>
      <c r="E11" s="32">
        <v>149203</v>
      </c>
      <c r="F11" s="32">
        <v>242737.66666666666</v>
      </c>
      <c r="G11" s="32">
        <v>2628457.6666666665</v>
      </c>
      <c r="H11" s="32">
        <v>4722772.333333333</v>
      </c>
      <c r="I11" s="32">
        <v>107882.66666666667</v>
      </c>
      <c r="J11" s="32">
        <v>228620.66666666666</v>
      </c>
      <c r="K11" s="13"/>
      <c r="L11" s="13">
        <v>140428.33333333334</v>
      </c>
      <c r="M11" s="13">
        <v>297137</v>
      </c>
      <c r="N11" s="3"/>
      <c r="O11" s="32">
        <v>3531419.3333333335</v>
      </c>
      <c r="P11" s="13"/>
      <c r="Q11" s="13">
        <v>333107.33333333331</v>
      </c>
      <c r="R11" s="32">
        <v>2329020.3333333335</v>
      </c>
      <c r="S11" s="32">
        <v>2474020</v>
      </c>
      <c r="T11" s="32">
        <v>1091884.3333333333</v>
      </c>
      <c r="U11" s="32">
        <v>391292</v>
      </c>
      <c r="V11" s="32">
        <v>601145</v>
      </c>
    </row>
    <row r="12" spans="1:22" ht="16.5" x14ac:dyDescent="0.35">
      <c r="A12" s="226"/>
      <c r="B12" s="14">
        <v>282313.33333333331</v>
      </c>
      <c r="C12" s="13">
        <v>257900.33333333334</v>
      </c>
      <c r="D12" s="32">
        <v>415135.33333333331</v>
      </c>
      <c r="E12" s="32">
        <v>439887</v>
      </c>
      <c r="F12" s="32">
        <v>1141654.6666666667</v>
      </c>
      <c r="G12" s="32">
        <v>3498765.3333333335</v>
      </c>
      <c r="H12" s="32">
        <v>4839357.333333333</v>
      </c>
      <c r="I12" s="32">
        <v>113355</v>
      </c>
      <c r="J12" s="32">
        <v>96664</v>
      </c>
      <c r="K12" s="13">
        <v>27981.666666666668</v>
      </c>
      <c r="L12" s="13">
        <v>0</v>
      </c>
      <c r="M12" s="13">
        <v>86620.333333333328</v>
      </c>
      <c r="N12" s="3"/>
      <c r="O12" s="32">
        <v>2310484</v>
      </c>
      <c r="P12" s="13">
        <v>1241433.3333333333</v>
      </c>
      <c r="Q12" s="13"/>
      <c r="R12" s="32">
        <v>1352466.6666666667</v>
      </c>
      <c r="S12" s="32">
        <v>2310765</v>
      </c>
      <c r="T12" s="32">
        <v>920301.33333333337</v>
      </c>
      <c r="U12" s="32">
        <v>2627210</v>
      </c>
      <c r="V12" s="32">
        <v>68249.666666666672</v>
      </c>
    </row>
    <row r="13" spans="1:22" ht="16.5" x14ac:dyDescent="0.35">
      <c r="A13" s="226"/>
      <c r="B13" s="14"/>
      <c r="C13" s="13"/>
      <c r="D13" s="32"/>
      <c r="E13" s="32"/>
      <c r="F13" s="32"/>
      <c r="G13" s="32"/>
      <c r="H13" s="32"/>
      <c r="I13" s="32"/>
      <c r="J13" s="32"/>
      <c r="K13" s="13"/>
      <c r="L13" s="13"/>
      <c r="M13" s="13"/>
      <c r="N13" s="3"/>
      <c r="O13" s="32">
        <v>1774401.3333333333</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3298984.3333333335</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2138043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2464546.3333333335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2365265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548181</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1722691.5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SAC-0.01mg/L</v>
      </c>
      <c r="J22" s="3" t="str">
        <f t="shared" si="0"/>
        <v>SAC-0.1mg/L</v>
      </c>
      <c r="K22" s="3" t="str">
        <f t="shared" si="0"/>
        <v>SAC-1mg/L</v>
      </c>
      <c r="L22" s="3" t="str">
        <f t="shared" si="0"/>
        <v>SAC-10mg/L</v>
      </c>
      <c r="M22" s="3" t="str">
        <f t="shared" si="0"/>
        <v>SAC-100mg/L</v>
      </c>
      <c r="N22" s="3" t="s">
        <v>41</v>
      </c>
      <c r="O22" s="3" t="str">
        <f t="shared" si="0"/>
        <v>Testo -30µg/L</v>
      </c>
      <c r="P22" s="3" t="str">
        <f t="shared" si="0"/>
        <v>Testo 30µg/L + EE2 -64ng/L</v>
      </c>
      <c r="Q22" s="3" t="str">
        <f t="shared" si="0"/>
        <v>Testo 30µg/L + FAD-10mg/L</v>
      </c>
      <c r="R22" s="3" t="str">
        <f t="shared" si="0"/>
        <v>SAC-0,01mg/L + Testostérone</v>
      </c>
      <c r="S22" s="3" t="str">
        <f t="shared" si="0"/>
        <v>SAC-0,1mg/L + Testostérone</v>
      </c>
      <c r="T22" s="3" t="str">
        <f t="shared" si="0"/>
        <v>SAC-1mg/L + Testostérone</v>
      </c>
      <c r="U22" s="3" t="str">
        <f t="shared" si="0"/>
        <v>SAC-10mg/L + Testostérone</v>
      </c>
      <c r="V22" s="3" t="str">
        <f t="shared" si="0"/>
        <v>SAC-100mg/L + Testostérone</v>
      </c>
    </row>
    <row r="23" spans="1:22" x14ac:dyDescent="0.35">
      <c r="A23" s="5" t="s">
        <v>0</v>
      </c>
      <c r="B23" s="5">
        <f t="shared" ref="B23:J23" si="1">AVERAGE(B5:B20)</f>
        <v>191862.64583333331</v>
      </c>
      <c r="C23" s="5">
        <f t="shared" si="1"/>
        <v>230164.73809523808</v>
      </c>
      <c r="D23" s="5">
        <f t="shared" si="1"/>
        <v>210215.04166666666</v>
      </c>
      <c r="E23" s="5">
        <f t="shared" si="1"/>
        <v>462161.45833333337</v>
      </c>
      <c r="F23" s="5">
        <f t="shared" si="1"/>
        <v>1480722.083333333</v>
      </c>
      <c r="G23" s="5">
        <f t="shared" si="1"/>
        <v>2443923.7142857141</v>
      </c>
      <c r="H23" s="5">
        <f t="shared" si="1"/>
        <v>4379449.1428571427</v>
      </c>
      <c r="I23" s="5">
        <f t="shared" si="1"/>
        <v>182129.50000000003</v>
      </c>
      <c r="J23" s="5">
        <f t="shared" si="1"/>
        <v>164675.57142857142</v>
      </c>
      <c r="K23" s="5"/>
      <c r="L23" s="5">
        <f>AVERAGE(L5:L20)</f>
        <v>177340.33333333331</v>
      </c>
      <c r="M23" s="5"/>
      <c r="N23" s="5" t="s">
        <v>0</v>
      </c>
      <c r="O23" s="5">
        <f>AVERAGE(O5:O20)</f>
        <v>2022075.1222222219</v>
      </c>
      <c r="P23" s="5">
        <f>AVERAGE(P5:P20)</f>
        <v>3078536.4761904762</v>
      </c>
      <c r="Q23" s="5">
        <f>AVERAGE(Q5:Q20)</f>
        <v>114821.14285714286</v>
      </c>
      <c r="R23" s="5">
        <f>AVERAGE(R5:R20)</f>
        <v>1160171.8333333335</v>
      </c>
      <c r="S23" s="5">
        <f>AVERAGE(S5:S20)</f>
        <v>1718365.8809523811</v>
      </c>
      <c r="T23" s="5">
        <f t="shared" ref="T23:V23" si="2">AVERAGE(T5:T20)</f>
        <v>1278169.1904761905</v>
      </c>
      <c r="U23" s="5">
        <f t="shared" si="2"/>
        <v>1595308.7708333333</v>
      </c>
      <c r="V23" s="5">
        <f t="shared" si="2"/>
        <v>1051383.9047619049</v>
      </c>
    </row>
    <row r="24" spans="1:22" x14ac:dyDescent="0.35">
      <c r="A24" s="3" t="s">
        <v>1</v>
      </c>
      <c r="B24" s="3">
        <f t="shared" ref="B24:J24" si="3">STDEV(B5:B20)</f>
        <v>105055.65152270782</v>
      </c>
      <c r="C24" s="3">
        <f t="shared" si="3"/>
        <v>143746.52669774444</v>
      </c>
      <c r="D24" s="3">
        <f t="shared" si="3"/>
        <v>194897.76980289145</v>
      </c>
      <c r="E24" s="3">
        <f t="shared" si="3"/>
        <v>539161.6187535224</v>
      </c>
      <c r="F24" s="3">
        <f t="shared" si="3"/>
        <v>963079.36057717411</v>
      </c>
      <c r="G24" s="3">
        <f t="shared" si="3"/>
        <v>594186.60545514862</v>
      </c>
      <c r="H24" s="3">
        <f t="shared" si="3"/>
        <v>814210.55687384238</v>
      </c>
      <c r="I24" s="3">
        <f t="shared" si="3"/>
        <v>91966.618503068108</v>
      </c>
      <c r="J24" s="3">
        <f t="shared" si="3"/>
        <v>107541.23132938953</v>
      </c>
      <c r="K24" s="3"/>
      <c r="L24" s="3">
        <f>STDEV(L5:L20)</f>
        <v>113813.68679719669</v>
      </c>
      <c r="M24" s="3"/>
      <c r="N24" s="3" t="s">
        <v>1</v>
      </c>
      <c r="O24" s="3">
        <f>STDEV(O5:O20)</f>
        <v>1069337.9502975841</v>
      </c>
      <c r="P24" s="3">
        <f>STDEV(P5:P20)</f>
        <v>1017082.9962310306</v>
      </c>
      <c r="Q24" s="3">
        <f>STDEV(Q5:Q20)</f>
        <v>103841.815959528</v>
      </c>
      <c r="R24" s="3">
        <f>STDEV(R5:R20)</f>
        <v>811418.1841934562</v>
      </c>
      <c r="S24" s="3">
        <f>STDEV(S5:S20)</f>
        <v>933514.66936191986</v>
      </c>
      <c r="T24" s="3">
        <f t="shared" ref="T24:V24" si="4">STDEV(T5:T20)</f>
        <v>766452.67014140112</v>
      </c>
      <c r="U24" s="3">
        <f t="shared" si="4"/>
        <v>1161372.5985026176</v>
      </c>
      <c r="V24" s="3">
        <f t="shared" si="4"/>
        <v>925573.70168908418</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SAC-0.01mg/L</v>
      </c>
      <c r="J27" s="35" t="str">
        <f t="shared" si="5"/>
        <v>SAC-0.1mg/L</v>
      </c>
      <c r="K27" s="35" t="str">
        <f t="shared" si="5"/>
        <v>SAC-1mg/L</v>
      </c>
      <c r="L27" s="35" t="str">
        <f t="shared" si="5"/>
        <v>SAC-10mg/L</v>
      </c>
      <c r="M27" s="35" t="str">
        <f t="shared" si="5"/>
        <v>SAC-100mg/L</v>
      </c>
      <c r="N27" s="3"/>
      <c r="O27" s="36" t="str">
        <f>O4</f>
        <v>Testo -30µg/L</v>
      </c>
      <c r="P27" s="36" t="str">
        <f t="shared" ref="P27:V27" si="6">P4</f>
        <v>Testo 30µg/L + EE2 -64ng/L</v>
      </c>
      <c r="Q27" s="36" t="str">
        <f t="shared" si="6"/>
        <v>Testo 30µg/L + FAD-10mg/L</v>
      </c>
      <c r="R27" s="36" t="str">
        <f t="shared" si="6"/>
        <v>SAC-0,01mg/L + Testostérone</v>
      </c>
      <c r="S27" s="36" t="str">
        <f t="shared" si="6"/>
        <v>SAC-0,1mg/L + Testostérone</v>
      </c>
      <c r="T27" s="36" t="str">
        <f t="shared" si="6"/>
        <v>SAC-1mg/L + Testostérone</v>
      </c>
      <c r="U27" s="36" t="str">
        <f t="shared" si="6"/>
        <v>SAC-10mg/L + Testostérone</v>
      </c>
      <c r="V27" s="36" t="str">
        <f t="shared" si="6"/>
        <v>SAC-100mg/L + Testostérone</v>
      </c>
    </row>
    <row r="28" spans="1:22" x14ac:dyDescent="0.35">
      <c r="A28" s="227" t="s">
        <v>34</v>
      </c>
      <c r="B28" s="11">
        <f t="shared" ref="B28:M28" si="7">IF(B5="","",(B5/$O$23))</f>
        <v>9.9955237952721196E-2</v>
      </c>
      <c r="C28" s="11">
        <f t="shared" si="7"/>
        <v>0.23045360425970771</v>
      </c>
      <c r="D28" s="11">
        <f t="shared" si="7"/>
        <v>1.7007281095573763E-3</v>
      </c>
      <c r="E28" s="11">
        <f t="shared" si="7"/>
        <v>0.2545820352283758</v>
      </c>
      <c r="F28" s="11">
        <f t="shared" si="7"/>
        <v>1.0635622005493026</v>
      </c>
      <c r="G28" s="11" t="str">
        <f t="shared" si="7"/>
        <v/>
      </c>
      <c r="H28" s="11">
        <f t="shared" si="7"/>
        <v>1.700482981836245</v>
      </c>
      <c r="I28" s="11">
        <f t="shared" si="7"/>
        <v>8.8778600768657026E-2</v>
      </c>
      <c r="J28" s="11" t="str">
        <f t="shared" si="7"/>
        <v/>
      </c>
      <c r="K28" s="11">
        <f t="shared" si="7"/>
        <v>6.8666753182117471E-2</v>
      </c>
      <c r="L28" s="11">
        <f t="shared" si="7"/>
        <v>0.12362745441686279</v>
      </c>
      <c r="M28" s="11">
        <f t="shared" si="7"/>
        <v>0.1796431774506938</v>
      </c>
      <c r="N28" s="6"/>
      <c r="O28" s="11">
        <f t="shared" ref="O28:V39" si="8">IF(O5="","",(O5/$O$23))</f>
        <v>0.25939936367129479</v>
      </c>
      <c r="P28" s="11">
        <f t="shared" si="8"/>
        <v>1.6033660822173763</v>
      </c>
      <c r="Q28" s="11">
        <f t="shared" si="8"/>
        <v>7.8086449376391738E-3</v>
      </c>
      <c r="R28" s="11">
        <f t="shared" si="8"/>
        <v>0.11342951479860672</v>
      </c>
      <c r="S28" s="11">
        <f t="shared" si="8"/>
        <v>0.16187578611831002</v>
      </c>
      <c r="T28" s="11">
        <f t="shared" si="8"/>
        <v>0.87928352106887608</v>
      </c>
      <c r="U28" s="11">
        <f t="shared" si="8"/>
        <v>1.7302843804116061</v>
      </c>
      <c r="V28" s="11" t="str">
        <f t="shared" si="8"/>
        <v/>
      </c>
    </row>
    <row r="29" spans="1:22" x14ac:dyDescent="0.35">
      <c r="A29" s="227"/>
      <c r="B29" s="11">
        <f t="shared" ref="B29:M29" si="9">IF(B6="","",(B6/$O$23))</f>
        <v>1.2616989210550324E-2</v>
      </c>
      <c r="C29" s="11">
        <f t="shared" si="9"/>
        <v>0.11355809558037028</v>
      </c>
      <c r="D29" s="11">
        <f t="shared" si="9"/>
        <v>1.8264900049515143E-2</v>
      </c>
      <c r="E29" s="11">
        <f t="shared" si="9"/>
        <v>0.10035120082169055</v>
      </c>
      <c r="F29" s="11">
        <f t="shared" si="9"/>
        <v>0.20925599087946845</v>
      </c>
      <c r="G29" s="11">
        <f t="shared" si="9"/>
        <v>1.0532681550390364</v>
      </c>
      <c r="H29" s="11">
        <f t="shared" si="9"/>
        <v>1.7273321326928834</v>
      </c>
      <c r="I29" s="11">
        <f t="shared" si="9"/>
        <v>8.1602804063313161E-2</v>
      </c>
      <c r="J29" s="11">
        <f t="shared" si="9"/>
        <v>6.7213130959564698E-3</v>
      </c>
      <c r="K29" s="11">
        <f t="shared" si="9"/>
        <v>0.13804680000871056</v>
      </c>
      <c r="L29" s="11">
        <f t="shared" si="9"/>
        <v>0.12889728830329589</v>
      </c>
      <c r="M29" s="11">
        <f t="shared" si="9"/>
        <v>7.9916417656337113E-2</v>
      </c>
      <c r="N29" s="6"/>
      <c r="O29" s="11">
        <f t="shared" si="8"/>
        <v>1.63168781271952</v>
      </c>
      <c r="P29" s="11">
        <f t="shared" si="8"/>
        <v>1.5661337035390175</v>
      </c>
      <c r="Q29" s="11">
        <f t="shared" si="8"/>
        <v>4.5779044333889768E-2</v>
      </c>
      <c r="R29" s="11">
        <f t="shared" si="8"/>
        <v>0.36492412764025184</v>
      </c>
      <c r="S29" s="11">
        <f t="shared" si="8"/>
        <v>1.2836399126857367</v>
      </c>
      <c r="T29" s="11">
        <f t="shared" si="8"/>
        <v>0.46701512534749717</v>
      </c>
      <c r="U29" s="11">
        <f t="shared" si="8"/>
        <v>0.64587412487658935</v>
      </c>
      <c r="V29" s="11">
        <f t="shared" si="8"/>
        <v>9.2510245841454383E-2</v>
      </c>
    </row>
    <row r="30" spans="1:22" x14ac:dyDescent="0.35">
      <c r="A30" s="227"/>
      <c r="B30" s="11">
        <f t="shared" ref="B30:M30" si="10">IF(B7="","",(B7/$O$23))</f>
        <v>0.16094522392208521</v>
      </c>
      <c r="C30" s="11">
        <f t="shared" si="10"/>
        <v>2.2549112789583638E-2</v>
      </c>
      <c r="D30" s="11">
        <f t="shared" si="10"/>
        <v>3.7314307714944171E-2</v>
      </c>
      <c r="E30" s="11">
        <f t="shared" si="10"/>
        <v>0.12788479707048581</v>
      </c>
      <c r="F30" s="11">
        <f t="shared" si="10"/>
        <v>0.71537863130604329</v>
      </c>
      <c r="G30" s="11">
        <f t="shared" si="10"/>
        <v>1.2875797597166974</v>
      </c>
      <c r="H30" s="11" t="str">
        <f t="shared" si="10"/>
        <v/>
      </c>
      <c r="I30" s="11">
        <f t="shared" si="10"/>
        <v>0.13968323772738614</v>
      </c>
      <c r="J30" s="11">
        <f t="shared" si="10"/>
        <v>3.5474283758476263E-2</v>
      </c>
      <c r="K30" s="11">
        <f t="shared" si="10"/>
        <v>0.21894908608214642</v>
      </c>
      <c r="L30" s="11" t="str">
        <f t="shared" si="10"/>
        <v/>
      </c>
      <c r="M30" s="11">
        <f t="shared" si="10"/>
        <v>0.11730177449556346</v>
      </c>
      <c r="N30" s="6"/>
      <c r="O30" s="11">
        <f t="shared" si="8"/>
        <v>1.4222714255571591</v>
      </c>
      <c r="P30" s="11">
        <f t="shared" si="8"/>
        <v>1.4962152659005785</v>
      </c>
      <c r="Q30" s="11">
        <f t="shared" si="8"/>
        <v>7.2048757436811578E-2</v>
      </c>
      <c r="R30" s="11">
        <f t="shared" si="8"/>
        <v>0.66915400510919598</v>
      </c>
      <c r="S30" s="11">
        <f t="shared" si="8"/>
        <v>1.1014150639232489</v>
      </c>
      <c r="T30" s="11">
        <f t="shared" si="8"/>
        <v>1.2661789722165562</v>
      </c>
      <c r="U30" s="11">
        <f t="shared" si="8"/>
        <v>0.17663216172081883</v>
      </c>
      <c r="V30" s="11">
        <f t="shared" si="8"/>
        <v>0.66436536007143965</v>
      </c>
    </row>
    <row r="31" spans="1:22" x14ac:dyDescent="0.35">
      <c r="A31" s="227"/>
      <c r="B31" s="11">
        <f t="shared" ref="B31:M31" si="11">IF(B8="","",(B8/$O$23))</f>
        <v>0.12237774812641455</v>
      </c>
      <c r="C31" s="11">
        <f t="shared" si="11"/>
        <v>0.17211279451256351</v>
      </c>
      <c r="D31" s="11">
        <f t="shared" si="11"/>
        <v>0.19485428393332416</v>
      </c>
      <c r="E31" s="11">
        <f t="shared" si="11"/>
        <v>0.10054357745286759</v>
      </c>
      <c r="F31" s="11">
        <f t="shared" si="11"/>
        <v>1.5980888302089185</v>
      </c>
      <c r="G31" s="11">
        <f t="shared" si="11"/>
        <v>0.82885842448726266</v>
      </c>
      <c r="H31" s="11">
        <f t="shared" si="11"/>
        <v>2.6184642079541161</v>
      </c>
      <c r="I31" s="11">
        <f t="shared" si="11"/>
        <v>9.5213079812987073E-2</v>
      </c>
      <c r="J31" s="11">
        <f t="shared" si="11"/>
        <v>9.1921906341307993E-2</v>
      </c>
      <c r="K31" s="11" t="str">
        <f t="shared" si="11"/>
        <v/>
      </c>
      <c r="L31" s="11">
        <f t="shared" si="11"/>
        <v>4.8485340095700706E-2</v>
      </c>
      <c r="M31" s="11">
        <f t="shared" si="11"/>
        <v>1.7682000505520292E-2</v>
      </c>
      <c r="N31" s="6"/>
      <c r="O31" s="11">
        <f t="shared" si="8"/>
        <v>0.57389476809249884</v>
      </c>
      <c r="P31" s="11">
        <f t="shared" si="8"/>
        <v>1.3743101345707232</v>
      </c>
      <c r="Q31" s="11">
        <f t="shared" si="8"/>
        <v>2.929515295895618E-2</v>
      </c>
      <c r="R31" s="11" t="str">
        <f t="shared" si="8"/>
        <v/>
      </c>
      <c r="S31" s="11">
        <f t="shared" si="8"/>
        <v>0.75005093365005826</v>
      </c>
      <c r="T31" s="11">
        <f t="shared" si="8"/>
        <v>0.74910256796097396</v>
      </c>
      <c r="U31" s="11">
        <f t="shared" si="8"/>
        <v>0.47470606941567589</v>
      </c>
      <c r="V31" s="11">
        <f t="shared" si="8"/>
        <v>0.32888276966476704</v>
      </c>
    </row>
    <row r="32" spans="1:22" x14ac:dyDescent="0.35">
      <c r="A32" s="227"/>
      <c r="B32" s="11">
        <f t="shared" ref="B32:M32" si="12">IF(B9="","",(B9/$O$23))</f>
        <v>0.10500417664997073</v>
      </c>
      <c r="C32" s="11" t="str">
        <f t="shared" si="12"/>
        <v/>
      </c>
      <c r="D32" s="11">
        <f t="shared" si="12"/>
        <v>7.2207505248142762E-2</v>
      </c>
      <c r="E32" s="11">
        <f t="shared" si="12"/>
        <v>8.5336097607671593E-2</v>
      </c>
      <c r="F32" s="11">
        <f t="shared" si="12"/>
        <v>0.64495757468863368</v>
      </c>
      <c r="G32" s="11">
        <f t="shared" si="12"/>
        <v>1.2895340227523475</v>
      </c>
      <c r="H32" s="11">
        <f t="shared" si="12"/>
        <v>1.8205663872439604</v>
      </c>
      <c r="I32" s="11">
        <f t="shared" si="12"/>
        <v>3.5549289214505009E-2</v>
      </c>
      <c r="J32" s="11">
        <f t="shared" si="12"/>
        <v>0.11832531048783269</v>
      </c>
      <c r="K32" s="11">
        <f t="shared" si="12"/>
        <v>0.20172198130390379</v>
      </c>
      <c r="L32" s="11">
        <f t="shared" si="12"/>
        <v>0.16723842895363145</v>
      </c>
      <c r="M32" s="11">
        <f t="shared" si="12"/>
        <v>0.19944692570246914</v>
      </c>
      <c r="N32" s="6"/>
      <c r="O32" s="11">
        <f t="shared" si="8"/>
        <v>1.1289951470700665</v>
      </c>
      <c r="P32" s="11">
        <f t="shared" si="8"/>
        <v>1.6836281843600702</v>
      </c>
      <c r="Q32" s="11">
        <f t="shared" si="8"/>
        <v>3.5545662577070654E-2</v>
      </c>
      <c r="R32" s="11">
        <f t="shared" si="8"/>
        <v>0.94443111716241834</v>
      </c>
      <c r="S32" s="11" t="str">
        <f t="shared" si="8"/>
        <v/>
      </c>
      <c r="T32" s="11">
        <f t="shared" si="8"/>
        <v>6.8064236826545874E-2</v>
      </c>
      <c r="U32" s="11">
        <f t="shared" si="8"/>
        <v>0.51412778317429375</v>
      </c>
      <c r="V32" s="11">
        <f t="shared" si="8"/>
        <v>1.2367054546346921</v>
      </c>
    </row>
    <row r="33" spans="1:22" x14ac:dyDescent="0.35">
      <c r="A33" s="227"/>
      <c r="B33" s="11">
        <f t="shared" ref="B33:M33" si="13">IF(B10="","",(B10/$O$23))</f>
        <v>2.5055778645348824E-2</v>
      </c>
      <c r="C33" s="11">
        <f t="shared" si="13"/>
        <v>7.1979191936934375E-2</v>
      </c>
      <c r="D33" s="11">
        <f t="shared" si="13"/>
        <v>5.4015632488783084E-2</v>
      </c>
      <c r="E33" s="11">
        <f t="shared" si="13"/>
        <v>0.86843690789133843</v>
      </c>
      <c r="F33" s="11">
        <f t="shared" si="13"/>
        <v>0.94234514124903856</v>
      </c>
      <c r="G33" s="11">
        <f t="shared" si="13"/>
        <v>0.97094513375069091</v>
      </c>
      <c r="H33" s="11">
        <f t="shared" si="13"/>
        <v>2.56501911147262</v>
      </c>
      <c r="I33" s="11">
        <f t="shared" si="13"/>
        <v>0.17032651072898652</v>
      </c>
      <c r="J33" s="11">
        <f t="shared" si="13"/>
        <v>0.15676272187733484</v>
      </c>
      <c r="K33" s="11">
        <f t="shared" si="13"/>
        <v>7.1825884081754734E-2</v>
      </c>
      <c r="L33" s="11">
        <f t="shared" si="13"/>
        <v>7.621889594485394E-2</v>
      </c>
      <c r="M33" s="11">
        <f t="shared" si="13"/>
        <v>0.12838032762174389</v>
      </c>
      <c r="N33" s="6"/>
      <c r="O33" s="11">
        <f t="shared" si="8"/>
        <v>1.6754900099573727E-2</v>
      </c>
      <c r="P33" s="11">
        <f t="shared" si="8"/>
        <v>2.3196540104365071</v>
      </c>
      <c r="Q33" s="11">
        <f t="shared" si="8"/>
        <v>4.2274064100739729E-2</v>
      </c>
      <c r="R33" s="11">
        <f t="shared" si="8"/>
        <v>0.10368482243606722</v>
      </c>
      <c r="S33" s="11">
        <f t="shared" si="8"/>
        <v>0.28536600527771361</v>
      </c>
      <c r="T33" s="11" t="str">
        <f t="shared" si="8"/>
        <v/>
      </c>
      <c r="U33" s="11">
        <f t="shared" si="8"/>
        <v>1.2771718048215608</v>
      </c>
      <c r="V33" s="11">
        <f t="shared" si="8"/>
        <v>0.98616332866103384</v>
      </c>
    </row>
    <row r="34" spans="1:22" x14ac:dyDescent="0.35">
      <c r="A34" s="227"/>
      <c r="B34" s="11">
        <f t="shared" ref="B34:M34" si="14">IF(B11="","",(B11/$O$23))</f>
        <v>9.3501471791126625E-2</v>
      </c>
      <c r="C34" s="11">
        <f t="shared" si="14"/>
        <v>5.8586844127634104E-2</v>
      </c>
      <c r="D34" s="11">
        <f t="shared" si="14"/>
        <v>0.24802144810962379</v>
      </c>
      <c r="E34" s="11">
        <f t="shared" si="14"/>
        <v>7.3787070697961379E-2</v>
      </c>
      <c r="F34" s="11">
        <f t="shared" si="14"/>
        <v>0.12004384209024964</v>
      </c>
      <c r="G34" s="11">
        <f t="shared" si="14"/>
        <v>1.2998813138940366</v>
      </c>
      <c r="H34" s="11">
        <f t="shared" si="14"/>
        <v>2.3356067642744631</v>
      </c>
      <c r="I34" s="11">
        <f t="shared" si="14"/>
        <v>5.3352452379764055E-2</v>
      </c>
      <c r="J34" s="11">
        <f t="shared" si="14"/>
        <v>0.11306240018195611</v>
      </c>
      <c r="K34" s="11" t="str">
        <f t="shared" si="14"/>
        <v/>
      </c>
      <c r="L34" s="11">
        <f t="shared" si="14"/>
        <v>6.9447634160597002E-2</v>
      </c>
      <c r="M34" s="11">
        <f t="shared" si="14"/>
        <v>0.1469465682726229</v>
      </c>
      <c r="N34" s="6"/>
      <c r="O34" s="11">
        <f t="shared" si="8"/>
        <v>1.74643330236533</v>
      </c>
      <c r="P34" s="11" t="str">
        <f t="shared" si="8"/>
        <v/>
      </c>
      <c r="Q34" s="11">
        <f t="shared" si="8"/>
        <v>0.16473538973530061</v>
      </c>
      <c r="R34" s="11">
        <f t="shared" si="8"/>
        <v>1.1517971353971186</v>
      </c>
      <c r="S34" s="11">
        <f t="shared" si="8"/>
        <v>1.2235054834565688</v>
      </c>
      <c r="T34" s="11">
        <f t="shared" si="8"/>
        <v>0.53998208144382553</v>
      </c>
      <c r="U34" s="11">
        <f t="shared" si="8"/>
        <v>0.19351012022242653</v>
      </c>
      <c r="V34" s="11">
        <f t="shared" si="8"/>
        <v>0.29729113097408227</v>
      </c>
    </row>
    <row r="35" spans="1:22" x14ac:dyDescent="0.35">
      <c r="A35" s="227"/>
      <c r="B35" s="11">
        <f t="shared" ref="B35:M35" si="15">IF(B12="","",(B12/$O$23))</f>
        <v>0.1396156503933822</v>
      </c>
      <c r="C35" s="11">
        <f t="shared" si="15"/>
        <v>0.12754240952725129</v>
      </c>
      <c r="D35" s="11">
        <f t="shared" si="15"/>
        <v>0.20530163729877035</v>
      </c>
      <c r="E35" s="11">
        <f t="shared" si="15"/>
        <v>0.21754236287550613</v>
      </c>
      <c r="F35" s="11">
        <f t="shared" si="15"/>
        <v>0.564595575169339</v>
      </c>
      <c r="G35" s="11">
        <f t="shared" si="15"/>
        <v>1.7302845452587623</v>
      </c>
      <c r="H35" s="11">
        <f t="shared" si="15"/>
        <v>2.3932628813587162</v>
      </c>
      <c r="I35" s="11">
        <f t="shared" si="15"/>
        <v>5.6058748141574986E-2</v>
      </c>
      <c r="J35" s="11">
        <f t="shared" si="15"/>
        <v>4.7804356493822107E-2</v>
      </c>
      <c r="K35" s="11">
        <f t="shared" si="15"/>
        <v>1.3838094519413972E-2</v>
      </c>
      <c r="L35" s="11">
        <f t="shared" si="15"/>
        <v>0</v>
      </c>
      <c r="M35" s="11">
        <f t="shared" si="15"/>
        <v>4.2837346833157826E-2</v>
      </c>
      <c r="N35" s="6"/>
      <c r="O35" s="11">
        <f t="shared" si="8"/>
        <v>1.1426301498931564</v>
      </c>
      <c r="P35" s="11">
        <f t="shared" si="8"/>
        <v>0.61394026348982611</v>
      </c>
      <c r="Q35" s="11" t="str">
        <f t="shared" si="8"/>
        <v/>
      </c>
      <c r="R35" s="11">
        <f t="shared" si="8"/>
        <v>0.66885085118911491</v>
      </c>
      <c r="S35" s="11">
        <f t="shared" si="8"/>
        <v>1.1427691160457547</v>
      </c>
      <c r="T35" s="11">
        <f t="shared" si="8"/>
        <v>0.45512717268483072</v>
      </c>
      <c r="U35" s="11">
        <f t="shared" si="8"/>
        <v>1.2992642909887278</v>
      </c>
      <c r="V35" s="11">
        <f t="shared" si="8"/>
        <v>3.3752290365781062E-2</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0.87751504077815867</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1.63148455617604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t="str">
        <f t="shared" si="8"/>
        <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1.0573509245543418</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1.2188203624328477</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1.1697216260692722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0.27109823664590638</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0.8519423838748359</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SAC-0.01mg/L</v>
      </c>
      <c r="J45" s="7" t="str">
        <f t="shared" si="26"/>
        <v>SAC-0.1mg/L</v>
      </c>
      <c r="K45" s="7" t="str">
        <f t="shared" si="26"/>
        <v>SAC-1mg/L</v>
      </c>
      <c r="L45" s="7" t="str">
        <f t="shared" si="26"/>
        <v>SAC-10mg/L</v>
      </c>
      <c r="M45" s="7" t="str">
        <f t="shared" si="26"/>
        <v>SAC-100mg/L</v>
      </c>
      <c r="N45" s="7"/>
      <c r="O45" s="7" t="str">
        <f t="shared" si="26"/>
        <v>Testo -30µg/L</v>
      </c>
      <c r="P45" s="7" t="str">
        <f t="shared" si="26"/>
        <v>Testo 30µg/L + EE2 -64ng/L</v>
      </c>
      <c r="Q45" s="7" t="str">
        <f t="shared" si="26"/>
        <v>Testo 30µg/L + FAD-10mg/L</v>
      </c>
      <c r="R45" s="7" t="str">
        <f t="shared" si="26"/>
        <v>SAC-0,01mg/L + Testostérone</v>
      </c>
      <c r="S45" s="7" t="str">
        <f t="shared" si="26"/>
        <v>SAC-0,1mg/L + Testostérone</v>
      </c>
      <c r="T45" s="7" t="str">
        <f t="shared" si="26"/>
        <v>SAC-1mg/L + Testostérone</v>
      </c>
      <c r="U45" s="7" t="str">
        <f t="shared" si="26"/>
        <v>SAC-10mg/L + Testostérone</v>
      </c>
      <c r="V45" s="7" t="str">
        <f t="shared" si="26"/>
        <v>SAC-100mg/L + Testostérone</v>
      </c>
    </row>
    <row r="46" spans="1:22" x14ac:dyDescent="0.35">
      <c r="A46" s="8" t="s">
        <v>0</v>
      </c>
      <c r="B46" s="10">
        <f t="shared" ref="B46:H46" si="27">AVERAGE(B28:B43)</f>
        <v>9.4884034586449964E-2</v>
      </c>
      <c r="C46" s="10">
        <f t="shared" si="27"/>
        <v>0.11382600753343498</v>
      </c>
      <c r="D46" s="10">
        <f t="shared" si="27"/>
        <v>0.10396005536908262</v>
      </c>
      <c r="E46" s="10">
        <f t="shared" si="27"/>
        <v>0.22855800620573716</v>
      </c>
      <c r="F46" s="10">
        <f t="shared" si="27"/>
        <v>0.73227847326762419</v>
      </c>
      <c r="G46" s="10">
        <f t="shared" si="27"/>
        <v>1.2086216221284047</v>
      </c>
      <c r="H46" s="10">
        <f t="shared" si="27"/>
        <v>2.1658192095475717</v>
      </c>
      <c r="I46" s="10">
        <f>AVERAGE(I28:I43)</f>
        <v>9.0070590354646735E-2</v>
      </c>
      <c r="J46" s="9">
        <f>AVERAGE(J28:J43)</f>
        <v>8.1438898890955208E-2</v>
      </c>
      <c r="K46" s="9">
        <f t="shared" ref="K46:M46" si="28">AVERAGE(K28:K43)</f>
        <v>0.11884143319634116</v>
      </c>
      <c r="L46" s="9">
        <f t="shared" si="28"/>
        <v>8.7702148839277391E-2</v>
      </c>
      <c r="M46" s="9">
        <f t="shared" si="28"/>
        <v>0.11401931731726356</v>
      </c>
      <c r="N46" s="8" t="s">
        <v>0</v>
      </c>
      <c r="O46" s="10">
        <f t="shared" ref="O46:V46" si="29">AVERAGE(O28:O43)</f>
        <v>1.0000000000000002</v>
      </c>
      <c r="P46" s="10">
        <f t="shared" si="29"/>
        <v>1.5224639492162999</v>
      </c>
      <c r="Q46" s="10">
        <f t="shared" si="29"/>
        <v>5.6783816582915377E-2</v>
      </c>
      <c r="R46" s="10">
        <f t="shared" si="29"/>
        <v>0.57375308196182484</v>
      </c>
      <c r="S46" s="10">
        <f t="shared" si="29"/>
        <v>0.84980318587962722</v>
      </c>
      <c r="T46" s="10">
        <f t="shared" si="29"/>
        <v>0.63210766822130082</v>
      </c>
      <c r="U46" s="10">
        <f t="shared" si="29"/>
        <v>0.7889463419539624</v>
      </c>
      <c r="V46" s="10">
        <f t="shared" si="29"/>
        <v>0.51995294003046433</v>
      </c>
    </row>
    <row r="47" spans="1:22" x14ac:dyDescent="0.35">
      <c r="A47" s="8" t="s">
        <v>1</v>
      </c>
      <c r="B47" s="8">
        <f t="shared" ref="B47:M47" si="30">STDEV(B28:B43)</f>
        <v>5.1954376159503712E-2</v>
      </c>
      <c r="C47" s="8">
        <f t="shared" si="30"/>
        <v>7.1088618379207269E-2</v>
      </c>
      <c r="D47" s="8">
        <f t="shared" si="30"/>
        <v>9.6385029250892776E-2</v>
      </c>
      <c r="E47" s="8">
        <f t="shared" si="30"/>
        <v>0.26663777860092264</v>
      </c>
      <c r="F47" s="8">
        <f t="shared" si="30"/>
        <v>0.4762826810898933</v>
      </c>
      <c r="G47" s="8">
        <f t="shared" si="30"/>
        <v>0.29384991631871232</v>
      </c>
      <c r="H47" s="8">
        <f t="shared" si="30"/>
        <v>0.40266088431919456</v>
      </c>
      <c r="I47" s="8">
        <f t="shared" si="30"/>
        <v>4.5481306551063611E-2</v>
      </c>
      <c r="J47" s="8">
        <f t="shared" si="30"/>
        <v>5.3183598446730207E-2</v>
      </c>
      <c r="K47" s="8">
        <f t="shared" si="30"/>
        <v>8.1256673623389036E-2</v>
      </c>
      <c r="L47" s="8">
        <f t="shared" si="30"/>
        <v>5.6285587783760284E-2</v>
      </c>
      <c r="M47" s="8">
        <f t="shared" si="30"/>
        <v>6.3714030287760404E-2</v>
      </c>
      <c r="N47" s="8" t="s">
        <v>1</v>
      </c>
      <c r="O47" s="8">
        <f t="shared" ref="O47:V47" si="31">STDEV(O28:O43)</f>
        <v>0.52883196007198829</v>
      </c>
      <c r="P47" s="8">
        <f t="shared" si="31"/>
        <v>0.50298971836084694</v>
      </c>
      <c r="Q47" s="8">
        <f t="shared" si="31"/>
        <v>5.1354084137788053E-2</v>
      </c>
      <c r="R47" s="8">
        <f t="shared" si="31"/>
        <v>0.40127994023373531</v>
      </c>
      <c r="S47" s="8">
        <f t="shared" si="31"/>
        <v>0.46166171528583266</v>
      </c>
      <c r="T47" s="8">
        <f t="shared" si="31"/>
        <v>0.37904262889060436</v>
      </c>
      <c r="U47" s="8">
        <f t="shared" si="31"/>
        <v>0.57434691013175176</v>
      </c>
      <c r="V47" s="8">
        <f t="shared" si="31"/>
        <v>0.45773457747301521</v>
      </c>
    </row>
    <row r="48" spans="1:22" x14ac:dyDescent="0.35">
      <c r="A48" s="8" t="s">
        <v>2</v>
      </c>
      <c r="B48" s="8">
        <f t="shared" ref="B48:M48" si="32" xml:space="preserve"> B47/SQRT(COUNT(B28:B43))</f>
        <v>1.8368645847350887E-2</v>
      </c>
      <c r="C48" s="8">
        <f t="shared" si="32"/>
        <v>2.6868972182651139E-2</v>
      </c>
      <c r="D48" s="8">
        <f t="shared" si="32"/>
        <v>3.4077253894085009E-2</v>
      </c>
      <c r="E48" s="8">
        <f t="shared" si="32"/>
        <v>9.4270690684614841E-2</v>
      </c>
      <c r="F48" s="8">
        <f t="shared" si="32"/>
        <v>0.16839135678018669</v>
      </c>
      <c r="G48" s="8">
        <f t="shared" si="32"/>
        <v>0.11106482876520762</v>
      </c>
      <c r="H48" s="8">
        <f t="shared" si="32"/>
        <v>0.15219150894313377</v>
      </c>
      <c r="I48" s="8">
        <f t="shared" si="32"/>
        <v>1.6080070139740613E-2</v>
      </c>
      <c r="J48" s="8">
        <f t="shared" si="32"/>
        <v>2.0101510759652736E-2</v>
      </c>
      <c r="K48" s="8">
        <f t="shared" si="32"/>
        <v>3.3172898095528647E-2</v>
      </c>
      <c r="L48" s="8">
        <f t="shared" si="32"/>
        <v>2.1273952524703554E-2</v>
      </c>
      <c r="M48" s="8">
        <f t="shared" si="32"/>
        <v>2.2526311436600228E-2</v>
      </c>
      <c r="N48" s="8" t="s">
        <v>2</v>
      </c>
      <c r="O48" s="8">
        <f t="shared" ref="O48:V48" si="33" xml:space="preserve"> O47/SQRT(COUNT(O28:O43))</f>
        <v>0.13654382495340242</v>
      </c>
      <c r="P48" s="8">
        <f t="shared" si="33"/>
        <v>0.19011224382931713</v>
      </c>
      <c r="Q48" s="8">
        <f t="shared" si="33"/>
        <v>1.9410019348010576E-2</v>
      </c>
      <c r="R48" s="8">
        <f t="shared" si="33"/>
        <v>0.15166956113961796</v>
      </c>
      <c r="S48" s="8">
        <f t="shared" si="33"/>
        <v>0.17449172692654563</v>
      </c>
      <c r="T48" s="8">
        <f t="shared" si="33"/>
        <v>0.14326464747666937</v>
      </c>
      <c r="U48" s="8">
        <f t="shared" si="33"/>
        <v>0.20306229745385113</v>
      </c>
      <c r="V48" s="8">
        <f t="shared" si="33"/>
        <v>0.17300740835268949</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SAC-0.01mg/L</v>
      </c>
      <c r="J52" s="46" t="str">
        <f>J4</f>
        <v>SAC-0.1mg/L</v>
      </c>
      <c r="K52" s="46" t="str">
        <f t="shared" ref="K52:M52" si="35">K4</f>
        <v>SAC-1mg/L</v>
      </c>
      <c r="L52" s="46" t="str">
        <f t="shared" si="35"/>
        <v>SAC-10mg/L</v>
      </c>
      <c r="M52" s="46" t="str">
        <f t="shared" si="35"/>
        <v>SAC-100mg/L</v>
      </c>
      <c r="N52" s="47"/>
      <c r="O52" s="46" t="str">
        <f>O27</f>
        <v>Testo -30µg/L</v>
      </c>
      <c r="P52" s="46" t="str">
        <f>P27</f>
        <v>Testo 30µg/L + EE2 -64ng/L</v>
      </c>
      <c r="Q52" s="46" t="str">
        <f>Q27</f>
        <v>Testo 30µg/L + FAD-10mg/L</v>
      </c>
      <c r="R52" s="46" t="str">
        <f>R27</f>
        <v>SAC-0,01mg/L + Testostérone</v>
      </c>
      <c r="S52" s="46" t="str">
        <f t="shared" ref="S52:V52" si="36">S27</f>
        <v>SAC-0,1mg/L + Testostérone</v>
      </c>
      <c r="T52" s="46" t="str">
        <f t="shared" si="36"/>
        <v>SAC-1mg/L + Testostérone</v>
      </c>
      <c r="U52" s="46" t="str">
        <f t="shared" si="36"/>
        <v>SAC-10mg/L + Testostérone</v>
      </c>
      <c r="V52" s="46" t="str">
        <f t="shared" si="36"/>
        <v>SAC-100mg/L + Testostérone</v>
      </c>
    </row>
    <row r="53" spans="1:22" s="3" customFormat="1" x14ac:dyDescent="0.35">
      <c r="A53" s="61" t="s">
        <v>32</v>
      </c>
      <c r="B53" s="142">
        <f t="shared" ref="B53:V53" si="37">B46</f>
        <v>9.4884034586449964E-2</v>
      </c>
      <c r="C53" s="142">
        <f t="shared" si="37"/>
        <v>0.11382600753343498</v>
      </c>
      <c r="D53" s="142">
        <f t="shared" si="37"/>
        <v>0.10396005536908262</v>
      </c>
      <c r="E53" s="142">
        <f t="shared" si="37"/>
        <v>0.22855800620573716</v>
      </c>
      <c r="F53" s="142">
        <f t="shared" si="37"/>
        <v>0.73227847326762419</v>
      </c>
      <c r="G53" s="142">
        <f t="shared" si="37"/>
        <v>1.2086216221284047</v>
      </c>
      <c r="H53" s="142">
        <f t="shared" si="37"/>
        <v>2.1658192095475717</v>
      </c>
      <c r="I53" s="142">
        <f t="shared" si="37"/>
        <v>9.0070590354646735E-2</v>
      </c>
      <c r="J53" s="142">
        <f t="shared" si="37"/>
        <v>8.1438898890955208E-2</v>
      </c>
      <c r="K53" s="142">
        <f t="shared" si="37"/>
        <v>0.11884143319634116</v>
      </c>
      <c r="L53" s="142">
        <f t="shared" si="37"/>
        <v>8.7702148839277391E-2</v>
      </c>
      <c r="M53" s="142">
        <f t="shared" si="37"/>
        <v>0.11401931731726356</v>
      </c>
      <c r="N53" s="142"/>
      <c r="O53" s="142">
        <f t="shared" si="37"/>
        <v>1.0000000000000002</v>
      </c>
      <c r="P53" s="142">
        <f t="shared" si="37"/>
        <v>1.5224639492162999</v>
      </c>
      <c r="Q53" s="142">
        <f t="shared" si="37"/>
        <v>5.6783816582915377E-2</v>
      </c>
      <c r="R53" s="142">
        <f t="shared" si="37"/>
        <v>0.57375308196182484</v>
      </c>
      <c r="S53" s="142">
        <f t="shared" si="37"/>
        <v>0.84980318587962722</v>
      </c>
      <c r="T53" s="142">
        <f t="shared" si="37"/>
        <v>0.63210766822130082</v>
      </c>
      <c r="U53" s="142">
        <f t="shared" si="37"/>
        <v>0.7889463419539624</v>
      </c>
      <c r="V53" s="142">
        <f t="shared" si="37"/>
        <v>0.51995294003046433</v>
      </c>
    </row>
    <row r="54" spans="1:22" s="3" customFormat="1" x14ac:dyDescent="0.35">
      <c r="A54" s="61" t="s">
        <v>2</v>
      </c>
      <c r="B54" s="142">
        <f t="shared" ref="B54:V54" si="38">B48</f>
        <v>1.8368645847350887E-2</v>
      </c>
      <c r="C54" s="142">
        <f t="shared" si="38"/>
        <v>2.6868972182651139E-2</v>
      </c>
      <c r="D54" s="142">
        <f t="shared" si="38"/>
        <v>3.4077253894085009E-2</v>
      </c>
      <c r="E54" s="142">
        <f t="shared" si="38"/>
        <v>9.4270690684614841E-2</v>
      </c>
      <c r="F54" s="142">
        <f t="shared" si="38"/>
        <v>0.16839135678018669</v>
      </c>
      <c r="G54" s="142">
        <f t="shared" si="38"/>
        <v>0.11106482876520762</v>
      </c>
      <c r="H54" s="142">
        <f t="shared" si="38"/>
        <v>0.15219150894313377</v>
      </c>
      <c r="I54" s="142">
        <f t="shared" si="38"/>
        <v>1.6080070139740613E-2</v>
      </c>
      <c r="J54" s="142">
        <f t="shared" si="38"/>
        <v>2.0101510759652736E-2</v>
      </c>
      <c r="K54" s="142">
        <f t="shared" si="38"/>
        <v>3.3172898095528647E-2</v>
      </c>
      <c r="L54" s="142">
        <f t="shared" si="38"/>
        <v>2.1273952524703554E-2</v>
      </c>
      <c r="M54" s="142">
        <f t="shared" si="38"/>
        <v>2.2526311436600228E-2</v>
      </c>
      <c r="N54" s="142"/>
      <c r="O54" s="142">
        <f t="shared" si="38"/>
        <v>0.13654382495340242</v>
      </c>
      <c r="P54" s="142">
        <f t="shared" si="38"/>
        <v>0.19011224382931713</v>
      </c>
      <c r="Q54" s="142">
        <f t="shared" si="38"/>
        <v>1.9410019348010576E-2</v>
      </c>
      <c r="R54" s="142">
        <f t="shared" si="38"/>
        <v>0.15166956113961796</v>
      </c>
      <c r="S54" s="142">
        <f t="shared" si="38"/>
        <v>0.17449172692654563</v>
      </c>
      <c r="T54" s="142">
        <f t="shared" si="38"/>
        <v>0.14326464747666937</v>
      </c>
      <c r="U54" s="142">
        <f t="shared" si="38"/>
        <v>0.20306229745385113</v>
      </c>
      <c r="V54" s="142">
        <f t="shared" si="38"/>
        <v>0.17300740835268949</v>
      </c>
    </row>
    <row r="55" spans="1:22" s="3" customFormat="1" x14ac:dyDescent="0.35">
      <c r="A55" s="61" t="s">
        <v>79</v>
      </c>
      <c r="B55" s="142">
        <f>(B53*100/$B53)-100</f>
        <v>0</v>
      </c>
      <c r="C55" s="142">
        <f t="shared" ref="C55:M55" si="39">(C53*100/$B53)-100</f>
        <v>19.963287848733671</v>
      </c>
      <c r="D55" s="142">
        <f t="shared" si="39"/>
        <v>9.5653824399334439</v>
      </c>
      <c r="E55" s="142">
        <f t="shared" si="39"/>
        <v>140.88141614329783</v>
      </c>
      <c r="F55" s="142">
        <f t="shared" si="39"/>
        <v>671.76152601356409</v>
      </c>
      <c r="G55" s="142">
        <f t="shared" si="39"/>
        <v>1173.7881851210861</v>
      </c>
      <c r="H55" s="142">
        <f t="shared" si="39"/>
        <v>2182.5960331337601</v>
      </c>
      <c r="I55" s="142">
        <f t="shared" si="39"/>
        <v>-5.0729759255943634</v>
      </c>
      <c r="J55" s="142">
        <f t="shared" si="39"/>
        <v>-14.170071660733115</v>
      </c>
      <c r="K55" s="142">
        <f t="shared" si="39"/>
        <v>25.2491356573411</v>
      </c>
      <c r="L55" s="142">
        <f t="shared" si="39"/>
        <v>-7.5691192711973798</v>
      </c>
      <c r="M55" s="142">
        <f t="shared" si="39"/>
        <v>20.167020525860124</v>
      </c>
      <c r="N55" s="142"/>
      <c r="O55" s="142">
        <f>(O53*100/$O53)-100</f>
        <v>0</v>
      </c>
      <c r="P55" s="142">
        <f t="shared" ref="P55:V55" si="40">(P53*100/$O53)-100</f>
        <v>52.246394921629957</v>
      </c>
      <c r="Q55" s="142">
        <f t="shared" si="40"/>
        <v>-94.321618341708458</v>
      </c>
      <c r="R55" s="142">
        <f t="shared" si="40"/>
        <v>-42.624691803817527</v>
      </c>
      <c r="S55" s="142">
        <f t="shared" si="40"/>
        <v>-15.019681412037286</v>
      </c>
      <c r="T55" s="142">
        <f t="shared" si="40"/>
        <v>-36.789233177869932</v>
      </c>
      <c r="U55" s="142">
        <f t="shared" si="40"/>
        <v>-21.105365804603778</v>
      </c>
      <c r="V55" s="142">
        <f t="shared" si="40"/>
        <v>-48.004705996953582</v>
      </c>
    </row>
    <row r="56" spans="1:22" s="3" customFormat="1" x14ac:dyDescent="0.35">
      <c r="A56" s="61" t="s">
        <v>81</v>
      </c>
      <c r="B56" s="142">
        <f>[1]!SWTEST(B28:B43)</f>
        <v>0.37383801575767839</v>
      </c>
      <c r="C56" s="142">
        <f>[1]!SWTEST(C28:C43)</f>
        <v>0.92103045570232034</v>
      </c>
      <c r="D56" s="142">
        <f>[1]!SWTEST(D28:D43)</f>
        <v>0.1267859453473057</v>
      </c>
      <c r="E56" s="142">
        <f>[1]!SWTEST(E28:E43)</f>
        <v>2.8767179798594444E-4</v>
      </c>
      <c r="F56" s="142">
        <f>[1]!SWTEST(F28:F43)</f>
        <v>0.80989380697876312</v>
      </c>
      <c r="G56" s="142">
        <f>[1]!SWTEST(G28:G43)</f>
        <v>0.56395175764342476</v>
      </c>
      <c r="H56" s="142">
        <f>[1]!SWTEST(H28:H43)</f>
        <v>0.11056838117667855</v>
      </c>
      <c r="I56" s="142">
        <f>[1]!SWTEST(I28:I43)</f>
        <v>0.52671815494681673</v>
      </c>
      <c r="J56" s="142">
        <f>[1]!SWTEST(J28:J43)</f>
        <v>0.83991219417973162</v>
      </c>
      <c r="K56" s="142">
        <f>[1]!SWTEST(K28:K43)</f>
        <v>0.56820456263023333</v>
      </c>
      <c r="L56" s="142">
        <f>[1]!SWTEST(L28:L43)</f>
        <v>0.93911299165228335</v>
      </c>
      <c r="M56" s="142">
        <f>[1]!SWTEST(M28:M43)</f>
        <v>0.85811308624744675</v>
      </c>
      <c r="N56" s="142"/>
      <c r="O56" s="142">
        <f>[1]!SWTEST(O28:O43)</f>
        <v>0.42956103966568426</v>
      </c>
      <c r="P56" s="142">
        <f>[1]!SWTEST(P28:P43)</f>
        <v>0.35842277244207121</v>
      </c>
      <c r="Q56" s="142">
        <f>[1]!SWTEST(Q28:Q43)</f>
        <v>3.6809000970606909E-2</v>
      </c>
      <c r="R56" s="142">
        <f>[1]!SWTEST(R28:R43)</f>
        <v>0.54968651987874173</v>
      </c>
      <c r="S56" s="142">
        <f>[1]!SWTEST(S28:S43)</f>
        <v>0.10742826400547878</v>
      </c>
      <c r="T56" s="142">
        <f>[1]!SWTEST(T28:T43)</f>
        <v>0.90543738283789899</v>
      </c>
      <c r="U56" s="142">
        <f>[1]!SWTEST(U28:U43)</f>
        <v>0.2615014983715872</v>
      </c>
      <c r="V56" s="142">
        <f>[1]!SWTEST(V28:V43)</f>
        <v>0.42733990906612984</v>
      </c>
    </row>
    <row r="57" spans="1:22" s="3" customFormat="1" x14ac:dyDescent="0.35">
      <c r="A57" s="61" t="s">
        <v>85</v>
      </c>
      <c r="B57" s="142" t="str">
        <f>IF(B56&gt;0.05,"Oui","Non")</f>
        <v>Oui</v>
      </c>
      <c r="C57" s="142" t="str">
        <f t="shared" ref="C57:V57" si="41">IF(C56&gt;0.05,"Oui","Non")</f>
        <v>Oui</v>
      </c>
      <c r="D57" s="142" t="str">
        <f t="shared" si="41"/>
        <v>Oui</v>
      </c>
      <c r="E57" s="142" t="str">
        <f t="shared" si="41"/>
        <v>Non</v>
      </c>
      <c r="F57" s="142" t="str">
        <f t="shared" si="41"/>
        <v>Oui</v>
      </c>
      <c r="G57" s="142" t="str">
        <f t="shared" si="41"/>
        <v>Oui</v>
      </c>
      <c r="H57" s="142" t="str">
        <f t="shared" si="41"/>
        <v>Oui</v>
      </c>
      <c r="I57" s="142" t="str">
        <f t="shared" si="41"/>
        <v>Oui</v>
      </c>
      <c r="J57" s="142" t="str">
        <f t="shared" si="41"/>
        <v>Oui</v>
      </c>
      <c r="K57" s="142" t="str">
        <f t="shared" si="41"/>
        <v>Oui</v>
      </c>
      <c r="L57" s="142" t="str">
        <f t="shared" si="41"/>
        <v>Oui</v>
      </c>
      <c r="M57" s="142" t="str">
        <f t="shared" si="41"/>
        <v>Oui</v>
      </c>
      <c r="N57" s="142"/>
      <c r="O57" s="142" t="str">
        <f t="shared" si="41"/>
        <v>Oui</v>
      </c>
      <c r="P57" s="142" t="str">
        <f t="shared" si="41"/>
        <v>Oui</v>
      </c>
      <c r="Q57" s="142" t="str">
        <f t="shared" si="41"/>
        <v>Non</v>
      </c>
      <c r="R57" s="142" t="str">
        <f t="shared" si="41"/>
        <v>Oui</v>
      </c>
      <c r="S57" s="142" t="str">
        <f t="shared" si="41"/>
        <v>Oui</v>
      </c>
      <c r="T57" s="142" t="str">
        <f t="shared" si="41"/>
        <v>Oui</v>
      </c>
      <c r="U57" s="142" t="str">
        <f t="shared" si="41"/>
        <v>Oui</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T-Test Welch</v>
      </c>
      <c r="D59" s="151" t="str">
        <f t="shared" si="42"/>
        <v>T-Test Welch</v>
      </c>
      <c r="E59" s="151" t="str">
        <f t="shared" si="42"/>
        <v>MW</v>
      </c>
      <c r="F59" s="151" t="str">
        <f t="shared" si="42"/>
        <v>T-Test Welch</v>
      </c>
      <c r="G59" s="151" t="str">
        <f t="shared" si="42"/>
        <v>T-Test Welch</v>
      </c>
      <c r="H59" s="151" t="str">
        <f t="shared" si="42"/>
        <v>T-Test Welch</v>
      </c>
      <c r="I59" s="151" t="str">
        <f t="shared" si="42"/>
        <v>T-Test Welch</v>
      </c>
      <c r="J59" s="151" t="str">
        <f t="shared" si="42"/>
        <v>T-Test Welch</v>
      </c>
      <c r="K59" s="151" t="str">
        <f t="shared" si="42"/>
        <v>T-Test Welch</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MW</v>
      </c>
      <c r="R59" s="151" t="str">
        <f t="shared" si="43"/>
        <v>T-Test Welch</v>
      </c>
      <c r="S59" s="151" t="str">
        <f t="shared" si="43"/>
        <v>T-Test Welch</v>
      </c>
      <c r="T59" s="151" t="str">
        <f t="shared" si="43"/>
        <v>T-Test Welch</v>
      </c>
      <c r="U59" s="151" t="str">
        <f t="shared" si="43"/>
        <v>T-Test Welch</v>
      </c>
      <c r="V59" s="151" t="str">
        <f t="shared" si="43"/>
        <v>T-Test Welch</v>
      </c>
    </row>
    <row r="60" spans="1:22" s="3" customFormat="1" x14ac:dyDescent="0.35">
      <c r="A60" s="61" t="s">
        <v>83</v>
      </c>
      <c r="B60" s="152"/>
      <c r="C60" s="152">
        <f>IF(C59="MW",[1]!MTEST($B28:$B43,C28:C43,2), IF(C59="T-Test Welch",_xlfn.T.TEST($B28:$B43,C28:C43,2,3),""))</f>
        <v>0.57244208450469913</v>
      </c>
      <c r="D60" s="152">
        <f>IF(D59="MW",[1]!MTEST($B28:$B43,D28:D43,2), IF(D59="T-Test Welch",_xlfn.T.TEST($B28:$B43,D28:D43,2,3),""))</f>
        <v>0.81904357117779725</v>
      </c>
      <c r="E60" s="152">
        <f>IF(E59="MW",[1]!MTEST($B28:$B43,E28:E43,2), IF(E59="T-Test Welch",_xlfn.T.TEST($B28:$B43,E28:E43,2,3),""))</f>
        <v>0.29362154392890583</v>
      </c>
      <c r="F60" s="152">
        <f>IF(F59="MW",[1]!MTEST($B28:$B43,F28:F43,2), IF(F59="T-Test Welch",_xlfn.T.TEST($B28:$B43,F28:F43,2,3),""))</f>
        <v>6.7503656167098598E-3</v>
      </c>
      <c r="G60" s="152">
        <f>IF(G59="MW",[1]!MTEST($B28:$B43,G28:G43,2), IF(G59="T-Test Welch",_xlfn.T.TEST($B28:$B43,G28:G43,2,3),""))</f>
        <v>4.413493981801264E-5</v>
      </c>
      <c r="H60" s="152">
        <f>IF(H59="MW",[1]!MTEST($B28:$B43,H28:H43,2), IF(H59="T-Test Welch",_xlfn.T.TEST($B28:$B43,H28:H43,2,3),""))</f>
        <v>8.1166875551810258E-6</v>
      </c>
      <c r="I60" s="152">
        <f>IF(I59="MW",[1]!MTEST($B28:$B43,I28:I43,2), IF(I59="T-Test Welch",_xlfn.T.TEST($B28:$B43,I28:I43,2,3),""))</f>
        <v>0.84657713904114118</v>
      </c>
      <c r="J60" s="152">
        <f>IF(J59="MW",[1]!MTEST($B28:$B43,J28:J43,2), IF(J59="T-Test Welch",_xlfn.T.TEST($B28:$B43,J28:J43,2,3),""))</f>
        <v>0.62994003452984249</v>
      </c>
      <c r="K60" s="152">
        <f>IF(K59="MW",[1]!MTEST($B28:$B43,K28:K43,2), IF(K59="T-Test Welch",_xlfn.T.TEST($B28:$B43,K28:K43,2,3),""))</f>
        <v>0.54514337196094254</v>
      </c>
      <c r="L60" s="152">
        <f>IF(L59="MW",[1]!MTEST($B28:$B43,L28:L43,2), IF(L59="T-Test Welch",_xlfn.T.TEST($B28:$B43,L28:L43,2,3),""))</f>
        <v>0.80251529895229223</v>
      </c>
      <c r="M60" s="152">
        <f>IF(M59="MW",[1]!MTEST($B28:$B43,M28:M43,2), IF(M59="T-Test Welch",_xlfn.T.TEST($B28:$B43,M28:M43,2,3),""))</f>
        <v>0.52142873930983691</v>
      </c>
      <c r="N60" s="152"/>
      <c r="O60" s="152">
        <f>IF(O59="MW",[1]!MTEST($B28:$B43,O28:O43,2), IF(O59="T-Test Welch",_xlfn.T.TEST($B28:$B43,O28:O43,2,3),""))</f>
        <v>1.0508394687328788E-5</v>
      </c>
      <c r="P60" s="152">
        <f>IF(P59="MW",[1]!MTEST($O28:$O43,P28:P43,2), IF(P59="T-Test Welch",_xlfn.T.TEST($O28:$O43,P28:P43,2,3),""))</f>
        <v>4.4801532828900037E-2</v>
      </c>
      <c r="Q60" s="152">
        <f>IF(Q59="MW",[1]!MTEST($O28:$O43,Q28:Q43,2), IF(Q59="T-Test Welch",_xlfn.T.TEST($O28:$O43,Q28:Q43,2,3),""))</f>
        <v>1.046123397439036E-3</v>
      </c>
      <c r="R60" s="152">
        <f>IF(R59="MW",[1]!MTEST($O28:$O43,R28:R43,2), IF(R59="T-Test Welch",_xlfn.T.TEST($O28:$O43,R28:R43,2,3),""))</f>
        <v>5.3793995754970292E-2</v>
      </c>
      <c r="S60" s="152">
        <f>IF(S59="MW",[1]!MTEST($O28:$O43,S28:S43,2), IF(S59="T-Test Welch",_xlfn.T.TEST($O28:$O43,S28:S43,2,3),""))</f>
        <v>0.5093475794533433</v>
      </c>
      <c r="T60" s="152">
        <f>IF(T59="MW",[1]!MTEST($O28:$O43,T28:T43,2), IF(T59="T-Test Welch",_xlfn.T.TEST($O28:$O43,T28:T43,2,3),""))</f>
        <v>8.1373738436855608E-2</v>
      </c>
      <c r="U60" s="152">
        <f>IF(U59="MW",[1]!MTEST($O28:$O43,U28:U43,2), IF(U59="T-Test Welch",_xlfn.T.TEST($O28:$O43,U28:U43,2,3),""))</f>
        <v>0.4035951976434925</v>
      </c>
      <c r="V60" s="152">
        <f>IF(V59="MW",[1]!MTEST($O28:$O43,V28:V43,2), IF(V59="T-Test Welch",_xlfn.T.TEST($O28:$O43,V28:V43,2,3),""))</f>
        <v>4.7600226568747406E-2</v>
      </c>
    </row>
    <row r="61" spans="1:22" s="3" customFormat="1" ht="15" thickBot="1" x14ac:dyDescent="0.4">
      <c r="A61" s="62" t="s">
        <v>84</v>
      </c>
      <c r="B61" s="143"/>
      <c r="C61" s="143" t="str">
        <f t="shared" ref="C61:O61" si="44">IF(C60&gt;0.05,"NS",IF(C60&gt;0.01,"*",IF(C60&gt;0.001,"**","***")))</f>
        <v>NS</v>
      </c>
      <c r="D61" s="143" t="str">
        <f t="shared" si="44"/>
        <v>NS</v>
      </c>
      <c r="E61" s="143" t="str">
        <f t="shared" si="44"/>
        <v>NS</v>
      </c>
      <c r="F61" s="143" t="str">
        <f t="shared" si="44"/>
        <v>**</v>
      </c>
      <c r="G61" s="143" t="str">
        <f t="shared" si="44"/>
        <v>***</v>
      </c>
      <c r="H61" s="143" t="str">
        <f t="shared" si="44"/>
        <v>***</v>
      </c>
      <c r="I61" s="143" t="str">
        <f t="shared" si="44"/>
        <v>NS</v>
      </c>
      <c r="J61" s="143" t="str">
        <f t="shared" si="44"/>
        <v>NS</v>
      </c>
      <c r="K61" s="143" t="str">
        <f t="shared" si="44"/>
        <v>NS</v>
      </c>
      <c r="L61" s="143" t="str">
        <f t="shared" si="44"/>
        <v>NS</v>
      </c>
      <c r="M61" s="143" t="str">
        <f t="shared" si="44"/>
        <v>NS</v>
      </c>
      <c r="N61" s="143"/>
      <c r="O61" s="143" t="str">
        <f t="shared" si="44"/>
        <v>***</v>
      </c>
      <c r="P61" s="143" t="str">
        <f>IF(P60&gt;0.05,"NS",IF(P60&gt;0.01,"*",IF(P60&gt;0.001,"**","***")))</f>
        <v>*</v>
      </c>
      <c r="Q61" s="143" t="str">
        <f t="shared" ref="Q61:V61" si="45">IF(Q60&gt;0.05,"NS",IF(Q60&gt;0.01,"*",IF(Q60&gt;0.001,"**","***")))</f>
        <v>**</v>
      </c>
      <c r="R61" s="143" t="str">
        <f t="shared" si="45"/>
        <v>NS</v>
      </c>
      <c r="S61" s="143" t="str">
        <f t="shared" si="45"/>
        <v>NS</v>
      </c>
      <c r="T61" s="143" t="str">
        <f t="shared" si="45"/>
        <v>NS</v>
      </c>
      <c r="U61" s="143" t="str">
        <f t="shared" si="45"/>
        <v>NS</v>
      </c>
      <c r="V61" s="143" t="str">
        <f t="shared" si="45"/>
        <v>*</v>
      </c>
    </row>
    <row r="63" spans="1:22" x14ac:dyDescent="0.35">
      <c r="A63" s="2" t="s">
        <v>39</v>
      </c>
    </row>
    <row r="64" spans="1:22" x14ac:dyDescent="0.35">
      <c r="A64" s="1" t="s">
        <v>23</v>
      </c>
      <c r="B64" s="1">
        <f>B46+(3*B47)</f>
        <v>0.25074716306496109</v>
      </c>
    </row>
    <row r="65" spans="1:22" x14ac:dyDescent="0.35">
      <c r="A65" s="1" t="s">
        <v>24</v>
      </c>
      <c r="B65" s="1">
        <f>B46+(10*B47)</f>
        <v>0.61442779618148713</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G73" zoomScale="70" zoomScaleNormal="70" workbookViewId="0">
      <selection activeCell="O94" sqref="O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SAC-0.01mg/L</v>
      </c>
      <c r="J4" s="35" t="str">
        <f>'R1'!J4</f>
        <v>SAC-0.1mg/L</v>
      </c>
      <c r="K4" s="35" t="str">
        <f>'R1'!K4</f>
        <v>SAC-1mg/L</v>
      </c>
      <c r="L4" s="35" t="str">
        <f>'R1'!L4</f>
        <v>SAC-10mg/L</v>
      </c>
      <c r="M4" s="35" t="str">
        <f>'R1'!M4</f>
        <v>SAC-100mg/L</v>
      </c>
      <c r="O4" s="35" t="str">
        <f>'R1'!O4</f>
        <v>Testo -30µg/L</v>
      </c>
      <c r="P4" s="35" t="str">
        <f>'R1'!P4</f>
        <v>Testo 30µg/L + EE2 -64ng/L</v>
      </c>
      <c r="Q4" s="35" t="str">
        <f>'R1'!Q4</f>
        <v>Testo 30µg/L + FAD-10mg/L</v>
      </c>
      <c r="R4" s="35" t="str">
        <f>'R1'!R4</f>
        <v>SAC-0,01mg/L + Testostérone</v>
      </c>
      <c r="S4" s="35" t="str">
        <f>'R1'!S4</f>
        <v>SAC-0,1mg/L + Testostérone</v>
      </c>
      <c r="T4" s="35" t="str">
        <f>'R1'!T4</f>
        <v>SAC-1mg/L + Testostérone</v>
      </c>
      <c r="U4" s="35" t="str">
        <f>'R1'!U4</f>
        <v>SAC-10mg/L + Testostérone</v>
      </c>
      <c r="V4" s="35" t="str">
        <f>'R1'!V4</f>
        <v>SAC-100mg/L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t="str">
        <f>'R1'!B28</f>
        <v/>
      </c>
      <c r="C6" s="53">
        <f>'R1'!C28</f>
        <v>5.3698171345605727E-2</v>
      </c>
      <c r="D6" s="53">
        <f>'R1'!D28</f>
        <v>0.10625810498335699</v>
      </c>
      <c r="E6" s="53">
        <f>'R1'!E28</f>
        <v>0.15911688753043685</v>
      </c>
      <c r="F6" s="53">
        <f>'R1'!F28</f>
        <v>0.48458435816733281</v>
      </c>
      <c r="G6" s="53">
        <f>'R1'!G28</f>
        <v>1.2088998605756596</v>
      </c>
      <c r="H6" s="53">
        <f>'R1'!H28</f>
        <v>2.3685926110909943</v>
      </c>
      <c r="I6" s="53">
        <f>'R1'!I28</f>
        <v>5.3341785977483021E-2</v>
      </c>
      <c r="J6" s="53">
        <f>'R1'!J28</f>
        <v>5.9535661472535507E-2</v>
      </c>
      <c r="K6" s="53">
        <f>'R1'!K28</f>
        <v>8.0667818611342312E-2</v>
      </c>
      <c r="L6" s="53">
        <f>'R1'!L28</f>
        <v>7.0809968426174277E-2</v>
      </c>
      <c r="M6" s="53">
        <f>'R1'!M28</f>
        <v>0.14950867744115509</v>
      </c>
      <c r="N6"/>
      <c r="O6" s="53">
        <f>'R1'!O28</f>
        <v>0.41121553144215744</v>
      </c>
      <c r="P6" s="53">
        <f>'R1'!P28</f>
        <v>2.2276479705708079</v>
      </c>
      <c r="Q6" s="53">
        <f>'R1'!Q28</f>
        <v>3.3888406435727984E-2</v>
      </c>
      <c r="R6" s="53">
        <f>'R1'!R28</f>
        <v>2.1424114921606794</v>
      </c>
      <c r="S6" s="53">
        <f>'R1'!S28</f>
        <v>1.4599791249904557</v>
      </c>
      <c r="T6" s="53">
        <f>'R1'!T28</f>
        <v>0.99226960454049973</v>
      </c>
      <c r="U6" s="53" t="str">
        <f>'R1'!U28</f>
        <v/>
      </c>
      <c r="V6" s="53">
        <f>'R1'!V28</f>
        <v>0.84186021654868304</v>
      </c>
    </row>
    <row r="7" spans="1:22" s="1" customFormat="1" x14ac:dyDescent="0.35">
      <c r="A7" s="228" t="s">
        <v>34</v>
      </c>
      <c r="B7" s="53">
        <f>'R1'!B29</f>
        <v>0.15599742728752738</v>
      </c>
      <c r="C7" s="53">
        <f>'R1'!C29</f>
        <v>0.1239882297312951</v>
      </c>
      <c r="D7" s="53">
        <f>'R1'!D29</f>
        <v>0.76358735303464542</v>
      </c>
      <c r="E7" s="53">
        <f>'R1'!E29</f>
        <v>0.23362338416946543</v>
      </c>
      <c r="F7" s="53">
        <f>'R1'!F29</f>
        <v>1.2847452154696537</v>
      </c>
      <c r="G7" s="53">
        <f>'R1'!G29</f>
        <v>1.3792047503715441</v>
      </c>
      <c r="H7" s="53">
        <f>'R1'!H29</f>
        <v>1.9887435343956454</v>
      </c>
      <c r="I7" s="53">
        <f>'R1'!I29</f>
        <v>9.0848932847893027E-2</v>
      </c>
      <c r="J7" s="53">
        <f>'R1'!J29</f>
        <v>4.7344367206865669E-2</v>
      </c>
      <c r="K7" s="53">
        <f>'R1'!K29</f>
        <v>8.8622044774960565E-2</v>
      </c>
      <c r="L7" s="53">
        <f>'R1'!L29</f>
        <v>0.11525631505062095</v>
      </c>
      <c r="M7" s="53">
        <f>'R1'!M29</f>
        <v>0.1503397385943292</v>
      </c>
      <c r="N7"/>
      <c r="O7" s="53">
        <f>'R1'!O29</f>
        <v>1.1280929324340092</v>
      </c>
      <c r="P7" s="53">
        <f>'R1'!P29</f>
        <v>2.2217694100111207</v>
      </c>
      <c r="Q7" s="53">
        <f>'R1'!Q29</f>
        <v>5.3652937090172208E-2</v>
      </c>
      <c r="R7" s="53">
        <f>'R1'!R29</f>
        <v>2.0155782359537495</v>
      </c>
      <c r="S7" s="53">
        <f>'R1'!S29</f>
        <v>0.89746996103185606</v>
      </c>
      <c r="T7" s="53">
        <f>'R1'!T29</f>
        <v>0.704935557557401</v>
      </c>
      <c r="U7" s="53">
        <f>'R1'!U29</f>
        <v>1.4572896740711652</v>
      </c>
      <c r="V7" s="53">
        <f>'R1'!V29</f>
        <v>1.6611966128614768</v>
      </c>
    </row>
    <row r="8" spans="1:22" s="1" customFormat="1" x14ac:dyDescent="0.35">
      <c r="A8" s="229"/>
      <c r="B8" s="53">
        <f>'R1'!B30</f>
        <v>0.1417961422574055</v>
      </c>
      <c r="C8" s="53">
        <f>'R1'!C30</f>
        <v>7.8485975529176272E-2</v>
      </c>
      <c r="D8" s="53">
        <f>'R1'!D30</f>
        <v>4.4757308472468789E-2</v>
      </c>
      <c r="E8" s="53">
        <f>'R1'!E30</f>
        <v>0.57603931647923479</v>
      </c>
      <c r="F8" s="53">
        <f>'R1'!F30</f>
        <v>0.56751199690368059</v>
      </c>
      <c r="G8" s="53">
        <f>'R1'!G30</f>
        <v>1.9532584912283808</v>
      </c>
      <c r="H8" s="53">
        <f>'R1'!H30</f>
        <v>2.2093673695386506</v>
      </c>
      <c r="I8" s="53">
        <f>'R1'!I30</f>
        <v>0.14416232912531315</v>
      </c>
      <c r="J8" s="53" t="str">
        <f>'R1'!J30</f>
        <v/>
      </c>
      <c r="K8" s="53">
        <f>'R1'!K30</f>
        <v>0.15780301221152668</v>
      </c>
      <c r="L8" s="53">
        <f>'R1'!L30</f>
        <v>0.20586374618331241</v>
      </c>
      <c r="M8" s="53">
        <f>'R1'!M30</f>
        <v>4.8990212751844481E-2</v>
      </c>
      <c r="N8"/>
      <c r="O8" s="53">
        <f>'R1'!O30</f>
        <v>1.9112360571953031</v>
      </c>
      <c r="P8" s="53">
        <f>'R1'!P30</f>
        <v>2.5458243984375546</v>
      </c>
      <c r="Q8" s="53">
        <f>'R1'!Q30</f>
        <v>3.3626464136481127E-2</v>
      </c>
      <c r="R8" s="53">
        <f>'R1'!R30</f>
        <v>0.93618480574294116</v>
      </c>
      <c r="S8" s="53">
        <f>'R1'!S30</f>
        <v>0.23061861831481001</v>
      </c>
      <c r="T8" s="53">
        <f>'R1'!T30</f>
        <v>0.52609104598260159</v>
      </c>
      <c r="U8" s="53">
        <f>'R1'!U30</f>
        <v>1.0615688623939945</v>
      </c>
      <c r="V8" s="53">
        <f>'R1'!V30</f>
        <v>0.38585065928864209</v>
      </c>
    </row>
    <row r="9" spans="1:22" s="1" customFormat="1" x14ac:dyDescent="0.35">
      <c r="A9" s="229"/>
      <c r="B9" s="53">
        <f>'R1'!B31</f>
        <v>8.2767899357327215E-2</v>
      </c>
      <c r="C9" s="53">
        <f>'R1'!C31</f>
        <v>9.7493258250609907E-2</v>
      </c>
      <c r="D9" s="53">
        <f>'R1'!D31</f>
        <v>0.10889853635387209</v>
      </c>
      <c r="E9" s="53">
        <f>'R1'!E31</f>
        <v>0.39565930066036781</v>
      </c>
      <c r="F9" s="53">
        <f>'R1'!F31</f>
        <v>1.9853988491989036</v>
      </c>
      <c r="G9" s="53">
        <f>'R1'!G31</f>
        <v>2.0227218415482389</v>
      </c>
      <c r="H9" s="53">
        <f>'R1'!H31</f>
        <v>2.1338309892136742</v>
      </c>
      <c r="I9" s="53">
        <f>'R1'!I31</f>
        <v>0.13561456896571358</v>
      </c>
      <c r="J9" s="53">
        <f>'R1'!J31</f>
        <v>7.591897884949049E-2</v>
      </c>
      <c r="K9" s="53">
        <f>'R1'!K31</f>
        <v>0.13267509942120279</v>
      </c>
      <c r="L9" s="53">
        <f>'R1'!L31</f>
        <v>1.9405306316315225E-3</v>
      </c>
      <c r="M9" s="53">
        <f>'R1'!M31</f>
        <v>8.3914275445866396E-2</v>
      </c>
      <c r="N9"/>
      <c r="O9" s="53">
        <f>'R1'!O31</f>
        <v>0.96441154892746217</v>
      </c>
      <c r="P9" s="53">
        <f>'R1'!P31</f>
        <v>1.2519028748489094</v>
      </c>
      <c r="Q9" s="53">
        <f>'R1'!Q31</f>
        <v>0.10156244859295631</v>
      </c>
      <c r="R9" s="53">
        <f>'R1'!R31</f>
        <v>0.49546972623011015</v>
      </c>
      <c r="S9" s="53">
        <f>'R1'!S31</f>
        <v>0.48957451037971911</v>
      </c>
      <c r="T9" s="53">
        <f>'R1'!T31</f>
        <v>1.1099204961590912</v>
      </c>
      <c r="U9" s="53">
        <f>'R1'!U31</f>
        <v>0.74675774957270191</v>
      </c>
      <c r="V9" s="53">
        <f>'R1'!V31</f>
        <v>0.18842433196401817</v>
      </c>
    </row>
    <row r="10" spans="1:22" s="1" customFormat="1" x14ac:dyDescent="0.35">
      <c r="A10" s="229"/>
      <c r="B10" s="53">
        <f>'R1'!B32</f>
        <v>1.3546240017337655E-2</v>
      </c>
      <c r="C10" s="53">
        <f>'R1'!C32</f>
        <v>0.14778125882466225</v>
      </c>
      <c r="D10" s="53">
        <f>'R1'!D32</f>
        <v>3.2353091456327331E-2</v>
      </c>
      <c r="E10" s="53">
        <f>'R1'!E32</f>
        <v>0.45398347899888658</v>
      </c>
      <c r="F10" s="53">
        <f>'R1'!F32</f>
        <v>0.85948397455371883</v>
      </c>
      <c r="G10" s="53">
        <f>'R1'!G32</f>
        <v>1.55392726676188</v>
      </c>
      <c r="H10" s="53">
        <f>'R1'!H32</f>
        <v>2.8172660805901191</v>
      </c>
      <c r="I10" s="53">
        <f>'R1'!I32</f>
        <v>9.762025484222453E-2</v>
      </c>
      <c r="J10" s="53">
        <f>'R1'!J32</f>
        <v>3.0424863028056387E-2</v>
      </c>
      <c r="K10" s="53">
        <f>'R1'!K32</f>
        <v>3.8952371868277776E-2</v>
      </c>
      <c r="L10" s="53">
        <f>'R1'!L32</f>
        <v>0.16975261549732784</v>
      </c>
      <c r="M10" s="53">
        <f>'R1'!M32</f>
        <v>6.3318305108913897E-2</v>
      </c>
      <c r="N10"/>
      <c r="O10" s="53">
        <f>'R1'!O32</f>
        <v>0.1094265847750417</v>
      </c>
      <c r="P10" s="53">
        <f>'R1'!P32</f>
        <v>2.670242448227802</v>
      </c>
      <c r="Q10" s="53">
        <f>'R1'!Q32</f>
        <v>8.6706118550050199E-2</v>
      </c>
      <c r="R10" s="53">
        <f>'R1'!R32</f>
        <v>1.5547910707024599</v>
      </c>
      <c r="S10" s="53">
        <f>'R1'!S32</f>
        <v>0.3428209586973332</v>
      </c>
      <c r="T10" s="53">
        <f>'R1'!T32</f>
        <v>1.1216615297817638</v>
      </c>
      <c r="U10" s="53">
        <f>'R1'!U32</f>
        <v>1.6379233045439274</v>
      </c>
      <c r="V10" s="53">
        <f>'R1'!V32</f>
        <v>0.66345763797152923</v>
      </c>
    </row>
    <row r="11" spans="1:22" s="1" customFormat="1" x14ac:dyDescent="0.35">
      <c r="A11" s="229"/>
      <c r="B11" s="53">
        <f>'R1'!B33</f>
        <v>3.4723442146910879E-2</v>
      </c>
      <c r="C11" s="53">
        <f>'R1'!C33</f>
        <v>0.12213778908119645</v>
      </c>
      <c r="D11" s="53" t="str">
        <f>'R1'!D33</f>
        <v/>
      </c>
      <c r="E11" s="53">
        <f>'R1'!E33</f>
        <v>9.2588842932413498E-2</v>
      </c>
      <c r="F11" s="53">
        <f>'R1'!F33</f>
        <v>1.1539286950792342</v>
      </c>
      <c r="G11" s="53">
        <f>'R1'!G33</f>
        <v>2.3314581263500762</v>
      </c>
      <c r="H11" s="53">
        <f>'R1'!H33</f>
        <v>2.7923147517341866</v>
      </c>
      <c r="I11" s="53">
        <f>'R1'!I33</f>
        <v>0.14692559326476698</v>
      </c>
      <c r="J11" s="53" t="str">
        <f>'R1'!J33</f>
        <v/>
      </c>
      <c r="K11" s="53">
        <f>'R1'!K33</f>
        <v>0.36471433832715938</v>
      </c>
      <c r="L11" s="53">
        <f>'R1'!L33</f>
        <v>0.1036012075868054</v>
      </c>
      <c r="M11" s="53">
        <f>'R1'!M33</f>
        <v>9.7812547743983777E-2</v>
      </c>
      <c r="N11"/>
      <c r="O11" s="53">
        <f>'R1'!O33</f>
        <v>0.78150163230365799</v>
      </c>
      <c r="P11" s="53">
        <f>'R1'!P33</f>
        <v>1.8542528190230876</v>
      </c>
      <c r="Q11" s="53">
        <f>'R1'!Q33</f>
        <v>0.15124461296766675</v>
      </c>
      <c r="R11" s="53">
        <f>'R1'!R33</f>
        <v>9.622840248047497E-2</v>
      </c>
      <c r="S11" s="53">
        <f>'R1'!S33</f>
        <v>1.4455486404484927</v>
      </c>
      <c r="T11" s="53">
        <f>'R1'!T33</f>
        <v>1.4336563843568184</v>
      </c>
      <c r="U11" s="53">
        <f>'R1'!U33</f>
        <v>0.53638269078473055</v>
      </c>
      <c r="V11" s="53">
        <f>'R1'!V33</f>
        <v>0.99547518020693326</v>
      </c>
    </row>
    <row r="12" spans="1:22" s="1" customFormat="1" x14ac:dyDescent="0.35">
      <c r="A12" s="229"/>
      <c r="B12" s="53">
        <f>'R1'!B34</f>
        <v>2.4982936055336095E-4</v>
      </c>
      <c r="C12" s="53">
        <f>'R1'!C34</f>
        <v>4.8585186364280691E-2</v>
      </c>
      <c r="D12" s="53">
        <f>'R1'!D34</f>
        <v>8.2051343327740084E-2</v>
      </c>
      <c r="E12" s="53">
        <f>'R1'!E34</f>
        <v>0.56454811221711565</v>
      </c>
      <c r="F12" s="53">
        <f>'R1'!F34</f>
        <v>1.3477648609339061</v>
      </c>
      <c r="G12" s="53">
        <f>'R1'!G34</f>
        <v>2.1249927077900979</v>
      </c>
      <c r="H12" s="53">
        <f>'R1'!H34</f>
        <v>2.342805867994544</v>
      </c>
      <c r="I12" s="53">
        <f>'R1'!I34</f>
        <v>0.13980223898965574</v>
      </c>
      <c r="J12" s="53">
        <f>'R1'!J34</f>
        <v>5.0459852891766334E-2</v>
      </c>
      <c r="K12" s="53" t="str">
        <f>'R1'!K34</f>
        <v/>
      </c>
      <c r="L12" s="53" t="str">
        <f>'R1'!L34</f>
        <v/>
      </c>
      <c r="M12" s="53">
        <f>'R1'!M34</f>
        <v>0.13623270736841606</v>
      </c>
      <c r="N12"/>
      <c r="O12" s="53">
        <f>'R1'!O34</f>
        <v>0.97535407491969939</v>
      </c>
      <c r="P12" s="53">
        <f>'R1'!P34</f>
        <v>2.7262984787959637</v>
      </c>
      <c r="Q12" s="53">
        <f>'R1'!Q34</f>
        <v>4.0282713213224422E-2</v>
      </c>
      <c r="R12" s="53">
        <f>'R1'!R34</f>
        <v>0.28255643899184996</v>
      </c>
      <c r="S12" s="53">
        <f>'R1'!S34</f>
        <v>0.60764708367657794</v>
      </c>
      <c r="T12" s="53">
        <f>'R1'!T34</f>
        <v>1.4146080312026272</v>
      </c>
      <c r="U12" s="53">
        <f>'R1'!U34</f>
        <v>1.3741614147877066</v>
      </c>
      <c r="V12" s="53">
        <f>'R1'!V34</f>
        <v>1.2605265301400104</v>
      </c>
    </row>
    <row r="13" spans="1:22" s="1" customFormat="1" x14ac:dyDescent="0.35">
      <c r="A13" s="229"/>
      <c r="B13" s="53">
        <f>'R1'!B35</f>
        <v>0.10764995734510655</v>
      </c>
      <c r="C13" s="53">
        <f>'R1'!C35</f>
        <v>0.11498169201867935</v>
      </c>
      <c r="D13" s="53">
        <f>'R1'!D35</f>
        <v>3.4723442146910879E-2</v>
      </c>
      <c r="E13" s="53">
        <f>'R1'!E35</f>
        <v>4.2462758281053122E-2</v>
      </c>
      <c r="F13" s="53">
        <f>'R1'!F35</f>
        <v>1.5241207314011931</v>
      </c>
      <c r="G13" s="53" t="str">
        <f>'R1'!G35</f>
        <v/>
      </c>
      <c r="H13" s="53">
        <f>'R1'!H35</f>
        <v>1.173099691737697</v>
      </c>
      <c r="I13" s="53">
        <f>'R1'!I35</f>
        <v>8.0254464578426749E-2</v>
      </c>
      <c r="J13" s="53">
        <f>'R1'!J35</f>
        <v>0.19045258676884402</v>
      </c>
      <c r="K13" s="53">
        <f>'R1'!K35</f>
        <v>1.7680915934495778E-2</v>
      </c>
      <c r="L13" s="53">
        <f>'R1'!L35</f>
        <v>6.236043662879226E-2</v>
      </c>
      <c r="M13" s="53">
        <f>'R1'!M35</f>
        <v>5.6968854057516817E-2</v>
      </c>
      <c r="N13"/>
      <c r="O13" s="53" t="str">
        <f>'R1'!O35</f>
        <v/>
      </c>
      <c r="P13" s="53">
        <f>'R1'!P35</f>
        <v>1.3829550297498507</v>
      </c>
      <c r="Q13" s="53">
        <f>'R1'!Q35</f>
        <v>7.8170849858478289E-2</v>
      </c>
      <c r="R13" s="53">
        <f>'R1'!R35</f>
        <v>1.6238121094953384</v>
      </c>
      <c r="S13" s="53">
        <f>'R1'!S35</f>
        <v>7.5395094250996789E-2</v>
      </c>
      <c r="T13" s="53">
        <f>'R1'!T35</f>
        <v>1.4673437917161014</v>
      </c>
      <c r="U13" s="53">
        <f>'R1'!U35</f>
        <v>0.1123700288775613</v>
      </c>
      <c r="V13" s="53">
        <f>'R1'!V35</f>
        <v>1.5708181919759594</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1.5442414581590931</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1.3142161845755973</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1.4519923453040986</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1.4934908947386827</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1.2453752311134509</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0.80343191854356599</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0.17703949444480127</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0.68897411112338047</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0.14485651336956043</v>
      </c>
      <c r="C22" s="54">
        <f>'R2'!C28</f>
        <v>0.18259300718614116</v>
      </c>
      <c r="D22" s="54">
        <f>'R2'!D28</f>
        <v>0.24719396296432428</v>
      </c>
      <c r="E22" s="54">
        <f>'R2'!E28</f>
        <v>0.32357370233314492</v>
      </c>
      <c r="F22" s="54">
        <f>'R2'!F28</f>
        <v>1.0073238556959048</v>
      </c>
      <c r="G22" s="54">
        <f>'R2'!G28</f>
        <v>1.4792785778683377</v>
      </c>
      <c r="H22" s="54">
        <f>'R2'!H28</f>
        <v>3.1241096883894808</v>
      </c>
      <c r="I22" s="54">
        <f>'R2'!I28</f>
        <v>0.18283073497516289</v>
      </c>
      <c r="J22" s="54">
        <f>'R2'!J28</f>
        <v>0.20036918115466515</v>
      </c>
      <c r="K22" s="54">
        <f>'R2'!K28</f>
        <v>6.2182965695022061E-2</v>
      </c>
      <c r="L22" s="54">
        <f>'R2'!L28</f>
        <v>3.454645568438117E-4</v>
      </c>
      <c r="M22" s="54">
        <f>'R2'!M28</f>
        <v>0.10652155468028644</v>
      </c>
      <c r="O22" s="54">
        <f>'R2'!O28</f>
        <v>0.11746802919460229</v>
      </c>
      <c r="P22" s="54">
        <f>'R2'!P28</f>
        <v>1.1242918623621665</v>
      </c>
      <c r="Q22" s="54">
        <f>'R2'!Q28</f>
        <v>6.9471102768808482E-2</v>
      </c>
      <c r="R22" s="54">
        <f>'R2'!R28</f>
        <v>1.3564616734207462</v>
      </c>
      <c r="S22" s="54">
        <f>'R2'!S28</f>
        <v>1.4238581997810635</v>
      </c>
      <c r="T22" s="54">
        <f>'R2'!T28</f>
        <v>1.0976302195568366</v>
      </c>
      <c r="U22" s="54">
        <f>'R2'!U28</f>
        <v>1.0202959908970723</v>
      </c>
      <c r="V22" s="54">
        <f>'R2'!V28</f>
        <v>0.48781672489994782</v>
      </c>
    </row>
    <row r="23" spans="1:22" x14ac:dyDescent="0.35">
      <c r="A23" s="228" t="s">
        <v>34</v>
      </c>
      <c r="B23" s="54">
        <f>'R2'!B29</f>
        <v>7.7589061678833227E-2</v>
      </c>
      <c r="C23" s="54">
        <f>'R2'!C29</f>
        <v>0.12366361333492208</v>
      </c>
      <c r="D23" s="54">
        <f>'R2'!D29</f>
        <v>0.22897584570519597</v>
      </c>
      <c r="E23" s="54">
        <f>'R2'!E29</f>
        <v>0.35753316935784907</v>
      </c>
      <c r="F23" s="54">
        <f>'R2'!F29</f>
        <v>1.3752260671466079</v>
      </c>
      <c r="G23" s="54">
        <f>'R2'!G29</f>
        <v>1.3510080722695097</v>
      </c>
      <c r="H23" s="54">
        <f>'R2'!H29</f>
        <v>2.7145939867332851</v>
      </c>
      <c r="I23" s="54">
        <f>'R2'!I29</f>
        <v>6.6212076451138427E-2</v>
      </c>
      <c r="J23" s="54">
        <f>'R2'!J29</f>
        <v>0.11234012558691538</v>
      </c>
      <c r="K23" s="54">
        <f>'R2'!K29</f>
        <v>1.5850657421871639E-2</v>
      </c>
      <c r="L23" s="54">
        <f>'R2'!L29</f>
        <v>0.10319454380033742</v>
      </c>
      <c r="M23" s="54">
        <f>'R2'!M29</f>
        <v>0.10289725315668743</v>
      </c>
      <c r="O23" s="54">
        <f>'R2'!O29</f>
        <v>1.2481364769578929</v>
      </c>
      <c r="P23" s="54">
        <f>'R2'!P29</f>
        <v>1.8230467060679132</v>
      </c>
      <c r="Q23" s="54">
        <f>'R2'!Q29</f>
        <v>0.14891211105077523</v>
      </c>
      <c r="R23" s="54">
        <f>'R2'!R29</f>
        <v>1.4076440998564823</v>
      </c>
      <c r="S23" s="54">
        <f>'R2'!S29</f>
        <v>0.41405775113476989</v>
      </c>
      <c r="T23" s="54">
        <f>'R2'!T29</f>
        <v>0.8037871088413725</v>
      </c>
      <c r="U23" s="54">
        <f>'R2'!U29</f>
        <v>0.48442090037769209</v>
      </c>
      <c r="V23" s="54">
        <f>'R2'!V29</f>
        <v>0.15037591729352912</v>
      </c>
    </row>
    <row r="24" spans="1:22" x14ac:dyDescent="0.35">
      <c r="A24" s="229"/>
      <c r="B24" s="54">
        <f>'R2'!B30</f>
        <v>5.1782636740066716E-2</v>
      </c>
      <c r="C24" s="54">
        <f>'R2'!C30</f>
        <v>0.25869443748036919</v>
      </c>
      <c r="D24" s="54">
        <f>'R2'!D30</f>
        <v>0.1030047281097639</v>
      </c>
      <c r="E24" s="54">
        <f>'R2'!E30</f>
        <v>1.5924199438484279</v>
      </c>
      <c r="F24" s="54">
        <f>'R2'!F30</f>
        <v>1.6384322272308505</v>
      </c>
      <c r="G24" s="54">
        <f>'R2'!G30</f>
        <v>1.7224941348656138</v>
      </c>
      <c r="H24" s="54">
        <f>'R2'!H30</f>
        <v>2.4671536560933336</v>
      </c>
      <c r="I24" s="54">
        <f>'R2'!I30</f>
        <v>7.7632435655024049E-2</v>
      </c>
      <c r="J24" s="54">
        <f>'R2'!J30</f>
        <v>3.2732079497243909E-3</v>
      </c>
      <c r="K24" s="54">
        <f>'R2'!K30</f>
        <v>5.7878862184424222E-2</v>
      </c>
      <c r="L24" s="54">
        <f>'R2'!L30</f>
        <v>0.10283297763663805</v>
      </c>
      <c r="M24" s="54">
        <f>'R2'!M30</f>
        <v>8.563907966236993E-2</v>
      </c>
      <c r="O24" s="54">
        <f>'R2'!O30</f>
        <v>0.94461830776862798</v>
      </c>
      <c r="P24" s="54">
        <f>'R2'!P30</f>
        <v>1.7400664860546735</v>
      </c>
      <c r="Q24" s="54">
        <f>'R2'!Q30</f>
        <v>8.8714093849661002E-2</v>
      </c>
      <c r="R24" s="54">
        <f>'R2'!R30</f>
        <v>1.296107876445989</v>
      </c>
      <c r="S24" s="54">
        <f>'R2'!S30</f>
        <v>1.7298701107865551</v>
      </c>
      <c r="T24" s="54">
        <f>'R2'!T30</f>
        <v>0.90715431946644531</v>
      </c>
      <c r="U24" s="54">
        <f>'R2'!U30</f>
        <v>1.0072936597285769</v>
      </c>
      <c r="V24" s="54">
        <f>'R2'!V30</f>
        <v>0.97877753944423918</v>
      </c>
    </row>
    <row r="25" spans="1:22" x14ac:dyDescent="0.35">
      <c r="A25" s="229"/>
      <c r="B25" s="54">
        <f>'R2'!B31</f>
        <v>0.18140934272119921</v>
      </c>
      <c r="C25" s="54">
        <f>'R2'!C31</f>
        <v>0.23882688732384338</v>
      </c>
      <c r="D25" s="54">
        <f>'R2'!D31</f>
        <v>9.624598045161839E-2</v>
      </c>
      <c r="E25" s="54">
        <f>'R2'!E31</f>
        <v>0.57540309536864742</v>
      </c>
      <c r="F25" s="54">
        <f>'R2'!F31</f>
        <v>1.2717994245742796</v>
      </c>
      <c r="G25" s="54">
        <f>'R2'!G31</f>
        <v>1.57146983335456</v>
      </c>
      <c r="H25" s="54">
        <f>'R2'!H31</f>
        <v>2.2903653436323039</v>
      </c>
      <c r="I25" s="54">
        <f>'R2'!I31</f>
        <v>0.26202550648887529</v>
      </c>
      <c r="J25" s="54" t="str">
        <f>'R2'!J31</f>
        <v/>
      </c>
      <c r="K25" s="54">
        <f>'R2'!K31</f>
        <v>9.1733428767717159E-2</v>
      </c>
      <c r="L25" s="54">
        <f>'R2'!L31</f>
        <v>3.9227834243415478E-2</v>
      </c>
      <c r="M25" s="54">
        <f>'R2'!M31</f>
        <v>0.16496122404982583</v>
      </c>
      <c r="O25" s="54">
        <f>'R2'!O31</f>
        <v>1.2846197072229881</v>
      </c>
      <c r="P25" s="54">
        <f>'R2'!P31</f>
        <v>1.8023738137538645</v>
      </c>
      <c r="Q25" s="54">
        <f>'R2'!Q31</f>
        <v>0.12442248337509774</v>
      </c>
      <c r="R25" s="54">
        <f>'R2'!R31</f>
        <v>1.3318982139868043</v>
      </c>
      <c r="S25" s="54">
        <f>'R2'!S31</f>
        <v>1.5130867159700743</v>
      </c>
      <c r="T25" s="54">
        <f>'R2'!T31</f>
        <v>0.77954646698877827</v>
      </c>
      <c r="U25" s="54">
        <f>'R2'!U31</f>
        <v>0.46352153830868315</v>
      </c>
      <c r="V25" s="54">
        <f>'R2'!V31</f>
        <v>0.9558140299207728</v>
      </c>
    </row>
    <row r="26" spans="1:22" x14ac:dyDescent="0.35">
      <c r="A26" s="229"/>
      <c r="B26" s="54">
        <f>'R2'!B32</f>
        <v>0.13842132510120866</v>
      </c>
      <c r="C26" s="54">
        <f>'R2'!C32</f>
        <v>0.12393350070186397</v>
      </c>
      <c r="D26" s="54">
        <f>'R2'!D32</f>
        <v>0.20379528891583085</v>
      </c>
      <c r="E26" s="54">
        <f>'R2'!E32</f>
        <v>0.54137097475203411</v>
      </c>
      <c r="F26" s="54">
        <f>'R2'!F32</f>
        <v>1.1062002888967539</v>
      </c>
      <c r="G26" s="54">
        <f>'R2'!G32</f>
        <v>1.2258184716897493</v>
      </c>
      <c r="H26" s="54">
        <f>'R2'!H32</f>
        <v>2.4315981663793385</v>
      </c>
      <c r="I26" s="54">
        <f>'R2'!I32</f>
        <v>6.3102982711126007E-2</v>
      </c>
      <c r="J26" s="54">
        <f>'R2'!J32</f>
        <v>1.9356313229914456E-2</v>
      </c>
      <c r="K26" s="54">
        <f>'R2'!K32</f>
        <v>9.7443652005450909E-2</v>
      </c>
      <c r="L26" s="54">
        <f>'R2'!L32</f>
        <v>0.13492727641355493</v>
      </c>
      <c r="M26" s="54">
        <f>'R2'!M32</f>
        <v>7.7059541355819494E-2</v>
      </c>
      <c r="O26" s="54">
        <f>'R2'!O32</f>
        <v>0.33394488257975474</v>
      </c>
      <c r="P26" s="54">
        <f>'R2'!P32</f>
        <v>2.5251147281078823</v>
      </c>
      <c r="Q26" s="54">
        <f>'R2'!Q32</f>
        <v>0.21675223886175232</v>
      </c>
      <c r="R26" s="54">
        <f>'R2'!R32</f>
        <v>0.84839196342293099</v>
      </c>
      <c r="S26" s="54">
        <f>'R2'!S32</f>
        <v>1.0592659376160534</v>
      </c>
      <c r="T26" s="54">
        <f>'R2'!T32</f>
        <v>7.0584077252433375E-2</v>
      </c>
      <c r="U26" s="54">
        <f>'R2'!U32</f>
        <v>0.96399403892550917</v>
      </c>
      <c r="V26" s="54">
        <f>'R2'!V32</f>
        <v>0.32039422406235202</v>
      </c>
    </row>
    <row r="27" spans="1:22" x14ac:dyDescent="0.35">
      <c r="A27" s="229"/>
      <c r="B27" s="54">
        <f>'R2'!B33</f>
        <v>0.16634020231499927</v>
      </c>
      <c r="C27" s="54">
        <f>'R2'!C33</f>
        <v>0.44516191017954798</v>
      </c>
      <c r="D27" s="54">
        <f>'R2'!D33</f>
        <v>0.18465715464059859</v>
      </c>
      <c r="E27" s="54">
        <f>'R2'!E33</f>
        <v>5.0038557812128064E-2</v>
      </c>
      <c r="F27" s="54">
        <f>'R2'!F33</f>
        <v>1.9053757928087993</v>
      </c>
      <c r="G27" s="54">
        <f>'R2'!G33</f>
        <v>1.853066384800548</v>
      </c>
      <c r="H27" s="54">
        <f>'R2'!H33</f>
        <v>3.4263257219414114</v>
      </c>
      <c r="I27" s="54">
        <f>'R2'!I33</f>
        <v>5.98127568029364E-2</v>
      </c>
      <c r="J27" s="54">
        <f>'R2'!J33</f>
        <v>0.18843156328501898</v>
      </c>
      <c r="K27" s="54">
        <f>'R2'!K33</f>
        <v>0.11031581760958289</v>
      </c>
      <c r="L27" s="54">
        <f>'R2'!L33</f>
        <v>0.10903026357280436</v>
      </c>
      <c r="M27" s="54">
        <f>'R2'!M33</f>
        <v>5.657083571531344E-2</v>
      </c>
      <c r="O27" s="54">
        <f>'R2'!O33</f>
        <v>1.7677852058954386</v>
      </c>
      <c r="P27" s="54">
        <f>'R2'!P33</f>
        <v>1.7398851793433325</v>
      </c>
      <c r="Q27" s="54">
        <f>'R2'!Q33</f>
        <v>0.27697578300056441</v>
      </c>
      <c r="R27" s="54">
        <f>'R2'!R33</f>
        <v>0.93510422172759178</v>
      </c>
      <c r="S27" s="54">
        <f>'R2'!S33</f>
        <v>0.77872240507694357</v>
      </c>
      <c r="T27" s="54">
        <f>'R2'!T33</f>
        <v>0.13218633784167325</v>
      </c>
      <c r="U27" s="54">
        <f>'R2'!U33</f>
        <v>0.61325286769849918</v>
      </c>
      <c r="V27" s="54">
        <f>'R2'!V33</f>
        <v>8.6999119994276952E-2</v>
      </c>
    </row>
    <row r="28" spans="1:22" x14ac:dyDescent="0.35">
      <c r="A28" s="229"/>
      <c r="B28" s="54">
        <f>'R2'!B34</f>
        <v>0.15612392912621384</v>
      </c>
      <c r="C28" s="54">
        <f>'R2'!C34</f>
        <v>0.15714605389310904</v>
      </c>
      <c r="D28" s="54">
        <f>'R2'!D34</f>
        <v>5.7338083827348896E-2</v>
      </c>
      <c r="E28" s="54">
        <f>'R2'!E34</f>
        <v>0.12281677354021855</v>
      </c>
      <c r="F28" s="54">
        <f>'R2'!F34</f>
        <v>0.44572245554991752</v>
      </c>
      <c r="G28" s="54">
        <f>'R2'!G34</f>
        <v>1.5139617008499318</v>
      </c>
      <c r="H28" s="54">
        <f>'R2'!H34</f>
        <v>2.3959014276100814</v>
      </c>
      <c r="I28" s="54">
        <f>'R2'!I34</f>
        <v>5.452069534974658E-2</v>
      </c>
      <c r="J28" s="54">
        <f>'R2'!J34</f>
        <v>2.908539281289451E-2</v>
      </c>
      <c r="K28" s="54">
        <f>'R2'!K34</f>
        <v>8.3495733247362827E-2</v>
      </c>
      <c r="L28" s="54">
        <f>'R2'!L34</f>
        <v>9.5807048030588718E-2</v>
      </c>
      <c r="M28" s="54">
        <f>'R2'!M34</f>
        <v>3.1316447167683857E-2</v>
      </c>
      <c r="O28" s="54">
        <f>'R2'!O34</f>
        <v>1.1615883764987351</v>
      </c>
      <c r="P28" s="54">
        <f>'R2'!P34</f>
        <v>1.3516510892847491</v>
      </c>
      <c r="Q28" s="54">
        <f>'R2'!Q34</f>
        <v>0.11874607787533975</v>
      </c>
      <c r="R28" s="54">
        <f>'R2'!R34</f>
        <v>0.45594435775573372</v>
      </c>
      <c r="S28" s="54">
        <f>'R2'!S34</f>
        <v>1.1699694592281065</v>
      </c>
      <c r="T28" s="54">
        <f>'R2'!T34</f>
        <v>0.92765166499355689</v>
      </c>
      <c r="U28" s="54">
        <f>'R2'!U34</f>
        <v>0.1310765051349958</v>
      </c>
      <c r="V28" s="54">
        <f>'R2'!V34</f>
        <v>0.17672600055157278</v>
      </c>
    </row>
    <row r="29" spans="1:22" x14ac:dyDescent="0.35">
      <c r="A29" s="229"/>
      <c r="B29" s="54">
        <f>'R2'!B35</f>
        <v>9.6585815991431401E-2</v>
      </c>
      <c r="C29" s="54">
        <f>'R2'!C35</f>
        <v>0.21700698460923928</v>
      </c>
      <c r="D29" s="54">
        <f>'R2'!D35</f>
        <v>0.1702163696238834</v>
      </c>
      <c r="E29" s="54">
        <f>'R2'!E35</f>
        <v>0.13510282320049224</v>
      </c>
      <c r="F29" s="54">
        <f>'R2'!F35</f>
        <v>1.5981172072562534E-2</v>
      </c>
      <c r="G29" s="54">
        <f>'R2'!G35</f>
        <v>1.3777942079863812</v>
      </c>
      <c r="H29" s="54">
        <f>'R2'!H35</f>
        <v>3.123741707764514</v>
      </c>
      <c r="I29" s="54">
        <f>'R2'!I35</f>
        <v>0.11694426879599218</v>
      </c>
      <c r="J29" s="54">
        <f>'R2'!J35</f>
        <v>6.5102069201297227E-2</v>
      </c>
      <c r="K29" s="54">
        <f>'R2'!K35</f>
        <v>8.4234574459498668E-2</v>
      </c>
      <c r="L29" s="54">
        <f>'R2'!L35</f>
        <v>0.14653640404903159</v>
      </c>
      <c r="M29" s="54">
        <f>'R2'!M35</f>
        <v>0.1573896725139072</v>
      </c>
      <c r="O29" s="54">
        <f>'R2'!O35</f>
        <v>2.0266212851531877</v>
      </c>
      <c r="P29" s="54">
        <f>'R2'!P35</f>
        <v>2.238877117573685</v>
      </c>
      <c r="Q29" s="54">
        <f>'R2'!Q35</f>
        <v>6.6379070623052192E-2</v>
      </c>
      <c r="R29" s="54" t="str">
        <f>'R2'!R35</f>
        <v/>
      </c>
      <c r="S29" s="54">
        <f>'R2'!S35</f>
        <v>1.2316683294584796</v>
      </c>
      <c r="T29" s="54">
        <f>'R2'!T35</f>
        <v>1.4187747610443409</v>
      </c>
      <c r="U29" s="54">
        <f>'R2'!U35</f>
        <v>0.69985647288372821</v>
      </c>
      <c r="V29" s="54">
        <f>'R2'!V35</f>
        <v>0.86674884249723716</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0.36486895671533809</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0.20580576434743647</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1.2740296498490411</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0.57988632380103933</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1.0919247089845241</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1.0741851890803866</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1.3317170381828363</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1.1928000977681714</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9.9955237952721196E-2</v>
      </c>
      <c r="C38" s="156">
        <f>'R3'!C28</f>
        <v>0.23045360425970771</v>
      </c>
      <c r="D38" s="156">
        <f>'R3'!D28</f>
        <v>1.7007281095573763E-3</v>
      </c>
      <c r="E38" s="156">
        <f>'R3'!E28</f>
        <v>0.2545820352283758</v>
      </c>
      <c r="F38" s="156">
        <f>'R3'!F28</f>
        <v>1.0635622005493026</v>
      </c>
      <c r="G38" s="156" t="str">
        <f>'R3'!G28</f>
        <v/>
      </c>
      <c r="H38" s="156">
        <f>'R3'!H28</f>
        <v>1.700482981836245</v>
      </c>
      <c r="I38" s="156">
        <f>'R3'!I28</f>
        <v>8.8778600768657026E-2</v>
      </c>
      <c r="J38" s="156" t="str">
        <f>'R3'!J28</f>
        <v/>
      </c>
      <c r="K38" s="156">
        <f>'R3'!K28</f>
        <v>6.8666753182117471E-2</v>
      </c>
      <c r="L38" s="156">
        <f>'R3'!L28</f>
        <v>0.12362745441686279</v>
      </c>
      <c r="M38" s="156">
        <f>'R3'!M28</f>
        <v>0.1796431774506938</v>
      </c>
      <c r="N38"/>
      <c r="O38" s="156">
        <f>'R3'!O28</f>
        <v>0.25939936367129479</v>
      </c>
      <c r="P38" s="156">
        <f>'R3'!P28</f>
        <v>1.6033660822173763</v>
      </c>
      <c r="Q38" s="156">
        <f>'R3'!Q28</f>
        <v>7.8086449376391738E-3</v>
      </c>
      <c r="R38" s="156">
        <f>'R3'!R28</f>
        <v>0.11342951479860672</v>
      </c>
      <c r="S38" s="156">
        <f>'R3'!S28</f>
        <v>0.16187578611831002</v>
      </c>
      <c r="T38" s="156">
        <f>'R3'!T28</f>
        <v>0.87928352106887608</v>
      </c>
      <c r="U38" s="156">
        <f>'R3'!U28</f>
        <v>1.7302843804116061</v>
      </c>
      <c r="V38" s="156" t="str">
        <f>'R3'!V28</f>
        <v/>
      </c>
    </row>
    <row r="39" spans="1:22" s="1" customFormat="1" x14ac:dyDescent="0.35">
      <c r="A39" s="228" t="s">
        <v>34</v>
      </c>
      <c r="B39" s="156">
        <f>'R3'!B29</f>
        <v>1.2616989210550324E-2</v>
      </c>
      <c r="C39" s="156">
        <f>'R3'!C29</f>
        <v>0.11355809558037028</v>
      </c>
      <c r="D39" s="156">
        <f>'R3'!D29</f>
        <v>1.8264900049515143E-2</v>
      </c>
      <c r="E39" s="156">
        <f>'R3'!E29</f>
        <v>0.10035120082169055</v>
      </c>
      <c r="F39" s="156">
        <f>'R3'!F29</f>
        <v>0.20925599087946845</v>
      </c>
      <c r="G39" s="156">
        <f>'R3'!G29</f>
        <v>1.0532681550390364</v>
      </c>
      <c r="H39" s="156">
        <f>'R3'!H29</f>
        <v>1.7273321326928834</v>
      </c>
      <c r="I39" s="156">
        <f>'R3'!I29</f>
        <v>8.1602804063313161E-2</v>
      </c>
      <c r="J39" s="156">
        <f>'R3'!J29</f>
        <v>6.7213130959564698E-3</v>
      </c>
      <c r="K39" s="156">
        <f>'R3'!K29</f>
        <v>0.13804680000871056</v>
      </c>
      <c r="L39" s="156">
        <f>'R3'!L29</f>
        <v>0.12889728830329589</v>
      </c>
      <c r="M39" s="156">
        <f>'R3'!M29</f>
        <v>7.9916417656337113E-2</v>
      </c>
      <c r="N39"/>
      <c r="O39" s="156">
        <f>'R3'!O29</f>
        <v>1.63168781271952</v>
      </c>
      <c r="P39" s="156">
        <f>'R3'!P29</f>
        <v>1.5661337035390175</v>
      </c>
      <c r="Q39" s="156">
        <f>'R3'!Q29</f>
        <v>4.5779044333889768E-2</v>
      </c>
      <c r="R39" s="156">
        <f>'R3'!R29</f>
        <v>0.36492412764025184</v>
      </c>
      <c r="S39" s="156">
        <f>'R3'!S29</f>
        <v>1.2836399126857367</v>
      </c>
      <c r="T39" s="156">
        <f>'R3'!T29</f>
        <v>0.46701512534749717</v>
      </c>
      <c r="U39" s="156">
        <f>'R3'!U29</f>
        <v>0.64587412487658935</v>
      </c>
      <c r="V39" s="156">
        <f>'R3'!V29</f>
        <v>9.2510245841454383E-2</v>
      </c>
    </row>
    <row r="40" spans="1:22" s="1" customFormat="1" x14ac:dyDescent="0.35">
      <c r="A40" s="229"/>
      <c r="B40" s="156">
        <f>'R3'!B30</f>
        <v>0.16094522392208521</v>
      </c>
      <c r="C40" s="156">
        <f>'R3'!C30</f>
        <v>2.2549112789583638E-2</v>
      </c>
      <c r="D40" s="156">
        <f>'R3'!D30</f>
        <v>3.7314307714944171E-2</v>
      </c>
      <c r="E40" s="156">
        <f>'R3'!E30</f>
        <v>0.12788479707048581</v>
      </c>
      <c r="F40" s="156">
        <f>'R3'!F30</f>
        <v>0.71537863130604329</v>
      </c>
      <c r="G40" s="156">
        <f>'R3'!G30</f>
        <v>1.2875797597166974</v>
      </c>
      <c r="H40" s="156" t="str">
        <f>'R3'!H30</f>
        <v/>
      </c>
      <c r="I40" s="156">
        <f>'R3'!I30</f>
        <v>0.13968323772738614</v>
      </c>
      <c r="J40" s="156">
        <f>'R3'!J30</f>
        <v>3.5474283758476263E-2</v>
      </c>
      <c r="K40" s="156">
        <f>'R3'!K30</f>
        <v>0.21894908608214642</v>
      </c>
      <c r="L40" s="156" t="str">
        <f>'R3'!L30</f>
        <v/>
      </c>
      <c r="M40" s="156">
        <f>'R3'!M30</f>
        <v>0.11730177449556346</v>
      </c>
      <c r="N40"/>
      <c r="O40" s="156">
        <f>'R3'!O30</f>
        <v>1.4222714255571591</v>
      </c>
      <c r="P40" s="156">
        <f>'R3'!P30</f>
        <v>1.4962152659005785</v>
      </c>
      <c r="Q40" s="156">
        <f>'R3'!Q30</f>
        <v>7.2048757436811578E-2</v>
      </c>
      <c r="R40" s="156">
        <f>'R3'!R30</f>
        <v>0.66915400510919598</v>
      </c>
      <c r="S40" s="156">
        <f>'R3'!S30</f>
        <v>1.1014150639232489</v>
      </c>
      <c r="T40" s="156">
        <f>'R3'!T30</f>
        <v>1.2661789722165562</v>
      </c>
      <c r="U40" s="156">
        <f>'R3'!U30</f>
        <v>0.17663216172081883</v>
      </c>
      <c r="V40" s="156">
        <f>'R3'!V30</f>
        <v>0.66436536007143965</v>
      </c>
    </row>
    <row r="41" spans="1:22" s="1" customFormat="1" x14ac:dyDescent="0.35">
      <c r="A41" s="229"/>
      <c r="B41" s="156">
        <f>'R3'!B31</f>
        <v>0.12237774812641455</v>
      </c>
      <c r="C41" s="156">
        <f>'R3'!C31</f>
        <v>0.17211279451256351</v>
      </c>
      <c r="D41" s="156">
        <f>'R3'!D31</f>
        <v>0.19485428393332416</v>
      </c>
      <c r="E41" s="156">
        <f>'R3'!E31</f>
        <v>0.10054357745286759</v>
      </c>
      <c r="F41" s="156">
        <f>'R3'!F31</f>
        <v>1.5980888302089185</v>
      </c>
      <c r="G41" s="156">
        <f>'R3'!G31</f>
        <v>0.82885842448726266</v>
      </c>
      <c r="H41" s="156">
        <f>'R3'!H31</f>
        <v>2.6184642079541161</v>
      </c>
      <c r="I41" s="156">
        <f>'R3'!I31</f>
        <v>9.5213079812987073E-2</v>
      </c>
      <c r="J41" s="156">
        <f>'R3'!J31</f>
        <v>9.1921906341307993E-2</v>
      </c>
      <c r="K41" s="156" t="str">
        <f>'R3'!K31</f>
        <v/>
      </c>
      <c r="L41" s="156">
        <f>'R3'!L31</f>
        <v>4.8485340095700706E-2</v>
      </c>
      <c r="M41" s="156">
        <f>'R3'!M31</f>
        <v>1.7682000505520292E-2</v>
      </c>
      <c r="N41"/>
      <c r="O41" s="156">
        <f>'R3'!O31</f>
        <v>0.57389476809249884</v>
      </c>
      <c r="P41" s="156">
        <f>'R3'!P31</f>
        <v>1.3743101345707232</v>
      </c>
      <c r="Q41" s="156">
        <f>'R3'!Q31</f>
        <v>2.929515295895618E-2</v>
      </c>
      <c r="R41" s="156" t="str">
        <f>'R3'!R31</f>
        <v/>
      </c>
      <c r="S41" s="156">
        <f>'R3'!S31</f>
        <v>0.75005093365005826</v>
      </c>
      <c r="T41" s="156">
        <f>'R3'!T31</f>
        <v>0.74910256796097396</v>
      </c>
      <c r="U41" s="156">
        <f>'R3'!U31</f>
        <v>0.47470606941567589</v>
      </c>
      <c r="V41" s="156">
        <f>'R3'!V31</f>
        <v>0.32888276966476704</v>
      </c>
    </row>
    <row r="42" spans="1:22" s="1" customFormat="1" x14ac:dyDescent="0.35">
      <c r="A42" s="229"/>
      <c r="B42" s="156">
        <f>'R3'!B32</f>
        <v>0.10500417664997073</v>
      </c>
      <c r="C42" s="156" t="str">
        <f>'R3'!C32</f>
        <v/>
      </c>
      <c r="D42" s="156">
        <f>'R3'!D32</f>
        <v>7.2207505248142762E-2</v>
      </c>
      <c r="E42" s="156">
        <f>'R3'!E32</f>
        <v>8.5336097607671593E-2</v>
      </c>
      <c r="F42" s="156">
        <f>'R3'!F32</f>
        <v>0.64495757468863368</v>
      </c>
      <c r="G42" s="156">
        <f>'R3'!G32</f>
        <v>1.2895340227523475</v>
      </c>
      <c r="H42" s="156">
        <f>'R3'!H32</f>
        <v>1.8205663872439604</v>
      </c>
      <c r="I42" s="156">
        <f>'R3'!I32</f>
        <v>3.5549289214505009E-2</v>
      </c>
      <c r="J42" s="156">
        <f>'R3'!J32</f>
        <v>0.11832531048783269</v>
      </c>
      <c r="K42" s="156">
        <f>'R3'!K32</f>
        <v>0.20172198130390379</v>
      </c>
      <c r="L42" s="156">
        <f>'R3'!L32</f>
        <v>0.16723842895363145</v>
      </c>
      <c r="M42" s="156">
        <f>'R3'!M32</f>
        <v>0.19944692570246914</v>
      </c>
      <c r="N42"/>
      <c r="O42" s="156">
        <f>'R3'!O32</f>
        <v>1.1289951470700665</v>
      </c>
      <c r="P42" s="156">
        <f>'R3'!P32</f>
        <v>1.6836281843600702</v>
      </c>
      <c r="Q42" s="156">
        <f>'R3'!Q32</f>
        <v>3.5545662577070654E-2</v>
      </c>
      <c r="R42" s="156">
        <f>'R3'!R32</f>
        <v>0.94443111716241834</v>
      </c>
      <c r="S42" s="156" t="str">
        <f>'R3'!S32</f>
        <v/>
      </c>
      <c r="T42" s="156">
        <f>'R3'!T32</f>
        <v>6.8064236826545874E-2</v>
      </c>
      <c r="U42" s="156">
        <f>'R3'!U32</f>
        <v>0.51412778317429375</v>
      </c>
      <c r="V42" s="156">
        <f>'R3'!V32</f>
        <v>1.2367054546346921</v>
      </c>
    </row>
    <row r="43" spans="1:22" s="1" customFormat="1" x14ac:dyDescent="0.35">
      <c r="A43" s="229"/>
      <c r="B43" s="156">
        <f>'R3'!B33</f>
        <v>2.5055778645348824E-2</v>
      </c>
      <c r="C43" s="156">
        <f>'R3'!C33</f>
        <v>7.1979191936934375E-2</v>
      </c>
      <c r="D43" s="156">
        <f>'R3'!D33</f>
        <v>5.4015632488783084E-2</v>
      </c>
      <c r="E43" s="156">
        <f>'R3'!E33</f>
        <v>0.86843690789133843</v>
      </c>
      <c r="F43" s="156">
        <f>'R3'!F33</f>
        <v>0.94234514124903856</v>
      </c>
      <c r="G43" s="156">
        <f>'R3'!G33</f>
        <v>0.97094513375069091</v>
      </c>
      <c r="H43" s="156">
        <f>'R3'!H33</f>
        <v>2.56501911147262</v>
      </c>
      <c r="I43" s="156">
        <f>'R3'!I33</f>
        <v>0.17032651072898652</v>
      </c>
      <c r="J43" s="156">
        <f>'R3'!J33</f>
        <v>0.15676272187733484</v>
      </c>
      <c r="K43" s="156">
        <f>'R3'!K33</f>
        <v>7.1825884081754734E-2</v>
      </c>
      <c r="L43" s="156">
        <f>'R3'!L33</f>
        <v>7.621889594485394E-2</v>
      </c>
      <c r="M43" s="156">
        <f>'R3'!M33</f>
        <v>0.12838032762174389</v>
      </c>
      <c r="N43"/>
      <c r="O43" s="156">
        <f>'R3'!O33</f>
        <v>1.6754900099573727E-2</v>
      </c>
      <c r="P43" s="156">
        <f>'R3'!P33</f>
        <v>2.3196540104365071</v>
      </c>
      <c r="Q43" s="156">
        <f>'R3'!Q33</f>
        <v>4.2274064100739729E-2</v>
      </c>
      <c r="R43" s="156">
        <f>'R3'!R33</f>
        <v>0.10368482243606722</v>
      </c>
      <c r="S43" s="156">
        <f>'R3'!S33</f>
        <v>0.28536600527771361</v>
      </c>
      <c r="T43" s="156" t="str">
        <f>'R3'!T33</f>
        <v/>
      </c>
      <c r="U43" s="156">
        <f>'R3'!U33</f>
        <v>1.2771718048215608</v>
      </c>
      <c r="V43" s="156">
        <f>'R3'!V33</f>
        <v>0.98616332866103384</v>
      </c>
    </row>
    <row r="44" spans="1:22" s="1" customFormat="1" x14ac:dyDescent="0.35">
      <c r="A44" s="229"/>
      <c r="B44" s="156">
        <f>'R3'!B34</f>
        <v>9.3501471791126625E-2</v>
      </c>
      <c r="C44" s="156">
        <f>'R3'!C34</f>
        <v>5.8586844127634104E-2</v>
      </c>
      <c r="D44" s="156">
        <f>'R3'!D34</f>
        <v>0.24802144810962379</v>
      </c>
      <c r="E44" s="156">
        <f>'R3'!E34</f>
        <v>7.3787070697961379E-2</v>
      </c>
      <c r="F44" s="156">
        <f>'R3'!F34</f>
        <v>0.12004384209024964</v>
      </c>
      <c r="G44" s="156">
        <f>'R3'!G34</f>
        <v>1.2998813138940366</v>
      </c>
      <c r="H44" s="156">
        <f>'R3'!H34</f>
        <v>2.3356067642744631</v>
      </c>
      <c r="I44" s="156">
        <f>'R3'!I34</f>
        <v>5.3352452379764055E-2</v>
      </c>
      <c r="J44" s="156">
        <f>'R3'!J34</f>
        <v>0.11306240018195611</v>
      </c>
      <c r="K44" s="156" t="str">
        <f>'R3'!K34</f>
        <v/>
      </c>
      <c r="L44" s="156">
        <f>'R3'!L34</f>
        <v>6.9447634160597002E-2</v>
      </c>
      <c r="M44" s="156">
        <f>'R3'!M34</f>
        <v>0.1469465682726229</v>
      </c>
      <c r="N44"/>
      <c r="O44" s="156">
        <f>'R3'!O34</f>
        <v>1.74643330236533</v>
      </c>
      <c r="P44" s="156" t="str">
        <f>'R3'!P34</f>
        <v/>
      </c>
      <c r="Q44" s="156">
        <f>'R3'!Q34</f>
        <v>0.16473538973530061</v>
      </c>
      <c r="R44" s="156">
        <f>'R3'!R34</f>
        <v>1.1517971353971186</v>
      </c>
      <c r="S44" s="156">
        <f>'R3'!S34</f>
        <v>1.2235054834565688</v>
      </c>
      <c r="T44" s="156">
        <f>'R3'!T34</f>
        <v>0.53998208144382553</v>
      </c>
      <c r="U44" s="156">
        <f>'R3'!U34</f>
        <v>0.19351012022242653</v>
      </c>
      <c r="V44" s="156">
        <f>'R3'!V34</f>
        <v>0.29729113097408227</v>
      </c>
    </row>
    <row r="45" spans="1:22" s="1" customFormat="1" x14ac:dyDescent="0.35">
      <c r="A45" s="229"/>
      <c r="B45" s="156">
        <f>'R3'!B35</f>
        <v>0.1396156503933822</v>
      </c>
      <c r="C45" s="156">
        <f>'R3'!C35</f>
        <v>0.12754240952725129</v>
      </c>
      <c r="D45" s="156">
        <f>'R3'!D35</f>
        <v>0.20530163729877035</v>
      </c>
      <c r="E45" s="156">
        <f>'R3'!E35</f>
        <v>0.21754236287550613</v>
      </c>
      <c r="F45" s="156">
        <f>'R3'!F35</f>
        <v>0.564595575169339</v>
      </c>
      <c r="G45" s="156">
        <f>'R3'!G35</f>
        <v>1.7302845452587623</v>
      </c>
      <c r="H45" s="156">
        <f>'R3'!H35</f>
        <v>2.3932628813587162</v>
      </c>
      <c r="I45" s="156">
        <f>'R3'!I35</f>
        <v>5.6058748141574986E-2</v>
      </c>
      <c r="J45" s="156">
        <f>'R3'!J35</f>
        <v>4.7804356493822107E-2</v>
      </c>
      <c r="K45" s="156">
        <f>'R3'!K35</f>
        <v>1.3838094519413972E-2</v>
      </c>
      <c r="L45" s="156">
        <f>'R3'!L35</f>
        <v>0</v>
      </c>
      <c r="M45" s="156">
        <f>'R3'!M35</f>
        <v>4.2837346833157826E-2</v>
      </c>
      <c r="N45"/>
      <c r="O45" s="156">
        <f>'R3'!O35</f>
        <v>1.1426301498931564</v>
      </c>
      <c r="P45" s="156">
        <f>'R3'!P35</f>
        <v>0.61394026348982611</v>
      </c>
      <c r="Q45" s="156" t="str">
        <f>'R3'!Q35</f>
        <v/>
      </c>
      <c r="R45" s="156">
        <f>'R3'!R35</f>
        <v>0.66885085118911491</v>
      </c>
      <c r="S45" s="156">
        <f>'R3'!S35</f>
        <v>1.1427691160457547</v>
      </c>
      <c r="T45" s="156">
        <f>'R3'!T35</f>
        <v>0.45512717268483072</v>
      </c>
      <c r="U45" s="156">
        <f>'R3'!U35</f>
        <v>1.2992642909887278</v>
      </c>
      <c r="V45" s="156">
        <f>'R3'!V35</f>
        <v>3.3752290365781062E-2</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0.87751504077815867</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1.63148455617604</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t="str">
        <f>'R3'!O38</f>
        <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1.0573509245543418</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1.2188203624328477</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1.1697216260692722</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0.27109823664590638</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0.8519423838748359</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SAC-0.01mg/L</v>
      </c>
      <c r="J55" s="15" t="str">
        <f t="shared" si="0"/>
        <v>SAC-0.1mg/L</v>
      </c>
      <c r="K55" s="15" t="str">
        <f t="shared" si="0"/>
        <v>SAC-1mg/L</v>
      </c>
      <c r="L55" s="15" t="str">
        <f t="shared" si="0"/>
        <v>SAC-10mg/L</v>
      </c>
      <c r="M55" s="15" t="str">
        <f t="shared" si="0"/>
        <v>SAC-100mg/L</v>
      </c>
      <c r="O55" s="15" t="str">
        <f t="shared" ref="O55:V55" si="1">O4</f>
        <v>Testo -30µg/L</v>
      </c>
      <c r="P55" s="15" t="str">
        <f t="shared" si="1"/>
        <v>Testo 30µg/L + EE2 -64ng/L</v>
      </c>
      <c r="Q55" s="15" t="str">
        <f t="shared" si="1"/>
        <v>Testo 30µg/L + FAD-10mg/L</v>
      </c>
      <c r="R55" s="15" t="str">
        <f t="shared" si="1"/>
        <v>SAC-0,01mg/L + Testostérone</v>
      </c>
      <c r="S55" s="15" t="str">
        <f t="shared" si="1"/>
        <v>SAC-0,1mg/L + Testostérone</v>
      </c>
      <c r="T55" s="15" t="str">
        <f t="shared" si="1"/>
        <v>SAC-1mg/L + Testostérone</v>
      </c>
      <c r="U55" s="15" t="str">
        <f t="shared" si="1"/>
        <v>SAC-10mg/L + Testostérone</v>
      </c>
      <c r="V55" s="15" t="str">
        <f t="shared" si="1"/>
        <v>SAC-100mg/L + Testostérone</v>
      </c>
    </row>
    <row r="56" spans="1:24" x14ac:dyDescent="0.35">
      <c r="A56" t="s">
        <v>48</v>
      </c>
      <c r="B56" s="9">
        <f t="shared" ref="B56:V56" si="2">AVERAGE(B6:B53)</f>
        <v>0.10038748006553394</v>
      </c>
      <c r="C56" s="9">
        <f t="shared" si="2"/>
        <v>0.14482434819950377</v>
      </c>
      <c r="D56" s="9">
        <f t="shared" si="2"/>
        <v>0.14329291465071942</v>
      </c>
      <c r="E56" s="9">
        <f t="shared" si="2"/>
        <v>0.33519771546365895</v>
      </c>
      <c r="F56" s="9">
        <f t="shared" si="2"/>
        <v>0.99299282299267888</v>
      </c>
      <c r="G56" s="9">
        <f t="shared" si="2"/>
        <v>1.5058957174186063</v>
      </c>
      <c r="H56" s="9">
        <f t="shared" si="2"/>
        <v>2.3895889157248815</v>
      </c>
      <c r="I56" s="9">
        <f t="shared" si="2"/>
        <v>0.10384234786077719</v>
      </c>
      <c r="J56" s="9">
        <f t="shared" si="2"/>
        <v>8.2108322783733756E-2</v>
      </c>
      <c r="K56" s="9">
        <f t="shared" si="2"/>
        <v>0.10463332817704488</v>
      </c>
      <c r="L56" s="9">
        <f t="shared" si="2"/>
        <v>9.4336439735582769E-2</v>
      </c>
      <c r="M56" s="9">
        <f t="shared" si="2"/>
        <v>0.1033998110563345</v>
      </c>
      <c r="N56" s="9"/>
      <c r="O56" s="9">
        <f t="shared" si="2"/>
        <v>1</v>
      </c>
      <c r="P56" s="9">
        <f t="shared" si="2"/>
        <v>1.8210194807272808</v>
      </c>
      <c r="Q56" s="9">
        <f t="shared" si="2"/>
        <v>9.0738879492618094E-2</v>
      </c>
      <c r="R56" s="9">
        <f t="shared" si="2"/>
        <v>0.94522073918666605</v>
      </c>
      <c r="S56" s="9">
        <f t="shared" si="2"/>
        <v>0.90513805226085564</v>
      </c>
      <c r="T56" s="9">
        <f t="shared" si="2"/>
        <v>0.84054587281875859</v>
      </c>
      <c r="U56" s="9">
        <f t="shared" si="2"/>
        <v>0.80964071454861941</v>
      </c>
      <c r="V56" s="9">
        <f t="shared" si="2"/>
        <v>0.66221444955801878</v>
      </c>
    </row>
    <row r="57" spans="1:24" x14ac:dyDescent="0.35">
      <c r="A57" t="s">
        <v>1</v>
      </c>
      <c r="B57" s="3">
        <f>STDEV(B6:B53)</f>
        <v>5.4991623971899793E-2</v>
      </c>
      <c r="C57" s="3">
        <f t="shared" ref="C57:V57" si="3">STDEV(C6:C53)</f>
        <v>9.1149554481399664E-2</v>
      </c>
      <c r="D57" s="3">
        <f t="shared" si="3"/>
        <v>0.15634167220124937</v>
      </c>
      <c r="E57" s="3">
        <f t="shared" si="3"/>
        <v>0.34583232022449406</v>
      </c>
      <c r="F57" s="3">
        <f t="shared" si="3"/>
        <v>0.54504995530373268</v>
      </c>
      <c r="G57" s="3">
        <f t="shared" si="3"/>
        <v>0.38214248021711578</v>
      </c>
      <c r="H57" s="3">
        <f t="shared" si="3"/>
        <v>0.5083880070562804</v>
      </c>
      <c r="I57" s="3">
        <f t="shared" si="3"/>
        <v>5.3022754937027093E-2</v>
      </c>
      <c r="J57" s="3">
        <f t="shared" si="3"/>
        <v>6.2238681648759994E-2</v>
      </c>
      <c r="K57" s="3">
        <f t="shared" si="3"/>
        <v>8.0984268245928651E-2</v>
      </c>
      <c r="L57" s="3">
        <f t="shared" si="3"/>
        <v>5.5502605639407343E-2</v>
      </c>
      <c r="M57" s="3">
        <f t="shared" si="3"/>
        <v>4.9770130487559849E-2</v>
      </c>
      <c r="N57" s="3"/>
      <c r="O57" s="3">
        <f t="shared" si="3"/>
        <v>0.51965028570765393</v>
      </c>
      <c r="P57" s="3">
        <f t="shared" si="3"/>
        <v>0.54106026548749953</v>
      </c>
      <c r="Q57" s="3">
        <f t="shared" si="3"/>
        <v>6.5774361695759329E-2</v>
      </c>
      <c r="R57" s="3">
        <f t="shared" si="3"/>
        <v>0.60197290844418794</v>
      </c>
      <c r="S57" s="3">
        <f t="shared" si="3"/>
        <v>0.49532024511453016</v>
      </c>
      <c r="T57" s="3">
        <f t="shared" si="3"/>
        <v>0.42876147140379772</v>
      </c>
      <c r="U57" s="3">
        <f t="shared" si="3"/>
        <v>0.48658895169250538</v>
      </c>
      <c r="V57" s="3">
        <f t="shared" si="3"/>
        <v>0.48750485395871823</v>
      </c>
      <c r="W57" s="3"/>
      <c r="X57" s="3"/>
    </row>
    <row r="58" spans="1:24" x14ac:dyDescent="0.35">
      <c r="A58" t="s">
        <v>2</v>
      </c>
      <c r="B58" s="3">
        <f xml:space="preserve"> B57/SQRT(COUNT(B6:B53))</f>
        <v>1.1466546250547672E-2</v>
      </c>
      <c r="C58" s="3">
        <f t="shared" ref="C58:V58" si="4" xml:space="preserve"> C57/SQRT(COUNT(C6:C53))</f>
        <v>1.9005995944252466E-2</v>
      </c>
      <c r="D58" s="3">
        <f t="shared" si="4"/>
        <v>3.259949217174677E-2</v>
      </c>
      <c r="E58" s="3">
        <f t="shared" si="4"/>
        <v>7.0592726759400481E-2</v>
      </c>
      <c r="F58" s="3">
        <f t="shared" si="4"/>
        <v>0.11125785623507692</v>
      </c>
      <c r="G58" s="3">
        <f t="shared" si="4"/>
        <v>8.1473050532198762E-2</v>
      </c>
      <c r="H58" s="3">
        <f t="shared" si="4"/>
        <v>0.1060062274049843</v>
      </c>
      <c r="I58" s="3">
        <f t="shared" si="4"/>
        <v>1.0823224529362832E-2</v>
      </c>
      <c r="J58" s="3">
        <f t="shared" si="4"/>
        <v>1.3916992299659602E-2</v>
      </c>
      <c r="K58" s="3">
        <f t="shared" si="4"/>
        <v>1.7672216158932223E-2</v>
      </c>
      <c r="L58" s="3">
        <f t="shared" si="4"/>
        <v>1.1833195281924589E-2</v>
      </c>
      <c r="M58" s="3">
        <f t="shared" si="4"/>
        <v>1.015928534385485E-2</v>
      </c>
      <c r="N58" s="3"/>
      <c r="O58" s="3">
        <f t="shared" si="4"/>
        <v>7.6618254641187683E-2</v>
      </c>
      <c r="P58" s="3">
        <f t="shared" si="4"/>
        <v>0.11281886422769129</v>
      </c>
      <c r="Q58" s="3">
        <f t="shared" si="4"/>
        <v>1.3714902488969361E-2</v>
      </c>
      <c r="R58" s="3">
        <f t="shared" si="4"/>
        <v>0.12834105530697115</v>
      </c>
      <c r="S58" s="3">
        <f t="shared" si="4"/>
        <v>0.10328141068066292</v>
      </c>
      <c r="T58" s="3">
        <f t="shared" si="4"/>
        <v>8.940294698001211E-2</v>
      </c>
      <c r="U58" s="3">
        <f t="shared" si="4"/>
        <v>0.10146081014880902</v>
      </c>
      <c r="V58" s="3">
        <f t="shared" si="4"/>
        <v>0.10165178897318194</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SAC-0.01mg/L</v>
      </c>
      <c r="J62" s="3" t="str">
        <f t="shared" si="6"/>
        <v>SAC-0.1mg/L</v>
      </c>
      <c r="K62" s="3" t="str">
        <f t="shared" si="6"/>
        <v>SAC-1mg/L</v>
      </c>
      <c r="L62" s="3" t="str">
        <f t="shared" si="6"/>
        <v>SAC-10mg/L</v>
      </c>
      <c r="M62" s="3" t="str">
        <f t="shared" si="6"/>
        <v>SAC-100mg/L</v>
      </c>
      <c r="N62" s="3"/>
      <c r="O62" s="3" t="str">
        <f t="shared" si="6"/>
        <v>Testo -30µg/L</v>
      </c>
      <c r="P62" s="3" t="str">
        <f t="shared" si="6"/>
        <v>Testo 30µg/L + EE2 -64ng/L</v>
      </c>
      <c r="Q62" s="3" t="str">
        <f t="shared" si="6"/>
        <v>Testo 30µg/L + FAD-10mg/L</v>
      </c>
      <c r="R62" s="3" t="str">
        <f t="shared" si="6"/>
        <v>SAC-0,01mg/L + Testostérone</v>
      </c>
      <c r="S62" s="3" t="str">
        <f t="shared" si="6"/>
        <v>SAC-0,1mg/L + Testostérone</v>
      </c>
      <c r="T62" s="3" t="str">
        <f t="shared" si="6"/>
        <v>SAC-1mg/L + Testostérone</v>
      </c>
      <c r="U62" s="3" t="str">
        <f t="shared" si="6"/>
        <v>SAC-10mg/L + Testostérone</v>
      </c>
      <c r="V62" s="3" t="str">
        <f t="shared" si="6"/>
        <v>SAC-100mg/L + Testostérone</v>
      </c>
    </row>
    <row r="63" spans="1:24" s="1" customFormat="1" x14ac:dyDescent="0.35">
      <c r="A63" s="1" t="s">
        <v>49</v>
      </c>
      <c r="B63" s="3">
        <f>COUNT(B6:B53)</f>
        <v>23</v>
      </c>
      <c r="C63" s="3">
        <f t="shared" ref="C63:V63" si="7">COUNT(C6:C53)</f>
        <v>23</v>
      </c>
      <c r="D63" s="3">
        <f t="shared" si="7"/>
        <v>23</v>
      </c>
      <c r="E63" s="3">
        <f t="shared" si="7"/>
        <v>24</v>
      </c>
      <c r="F63" s="3">
        <f t="shared" si="7"/>
        <v>24</v>
      </c>
      <c r="G63" s="3">
        <f t="shared" si="7"/>
        <v>22</v>
      </c>
      <c r="H63" s="3">
        <f t="shared" si="7"/>
        <v>23</v>
      </c>
      <c r="I63" s="3">
        <f t="shared" si="7"/>
        <v>24</v>
      </c>
      <c r="J63" s="3">
        <f t="shared" si="7"/>
        <v>20</v>
      </c>
      <c r="K63" s="3">
        <f t="shared" si="7"/>
        <v>21</v>
      </c>
      <c r="L63" s="3">
        <f t="shared" si="7"/>
        <v>22</v>
      </c>
      <c r="M63" s="3">
        <f t="shared" si="7"/>
        <v>24</v>
      </c>
      <c r="N63" s="3"/>
      <c r="O63" s="3">
        <f t="shared" si="7"/>
        <v>46</v>
      </c>
      <c r="P63" s="3">
        <f t="shared" si="7"/>
        <v>23</v>
      </c>
      <c r="Q63" s="3">
        <f t="shared" si="7"/>
        <v>23</v>
      </c>
      <c r="R63" s="3">
        <f t="shared" si="7"/>
        <v>22</v>
      </c>
      <c r="S63" s="3">
        <f t="shared" si="7"/>
        <v>23</v>
      </c>
      <c r="T63" s="3">
        <f t="shared" si="7"/>
        <v>23</v>
      </c>
      <c r="U63" s="3">
        <f t="shared" si="7"/>
        <v>23</v>
      </c>
      <c r="V63" s="3">
        <f t="shared" si="7"/>
        <v>23</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ATTENTION</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SAC-0.01mg/L</v>
      </c>
      <c r="J74" s="46" t="str">
        <f t="shared" si="9"/>
        <v>SAC-0.1mg/L</v>
      </c>
      <c r="K74" s="46" t="str">
        <f t="shared" si="9"/>
        <v>SAC-1mg/L</v>
      </c>
      <c r="L74" s="46" t="str">
        <f t="shared" si="9"/>
        <v>SAC-10mg/L</v>
      </c>
      <c r="M74" s="46" t="str">
        <f t="shared" si="9"/>
        <v>SAC-100mg/L</v>
      </c>
      <c r="N74" s="46"/>
      <c r="O74" s="46" t="str">
        <f t="shared" ref="O74:V74" si="10">O4</f>
        <v>Testo -30µg/L</v>
      </c>
      <c r="P74" s="46" t="str">
        <f t="shared" si="10"/>
        <v>Testo 30µg/L + EE2 -64ng/L</v>
      </c>
      <c r="Q74" s="46" t="str">
        <f t="shared" si="10"/>
        <v>Testo 30µg/L + FAD-10mg/L</v>
      </c>
      <c r="R74" s="46" t="str">
        <f t="shared" si="10"/>
        <v>SAC-0,01mg/L + Testostérone</v>
      </c>
      <c r="S74" s="46" t="str">
        <f t="shared" si="10"/>
        <v>SAC-0,1mg/L + Testostérone</v>
      </c>
      <c r="T74" s="46" t="str">
        <f t="shared" si="10"/>
        <v>SAC-1mg/L + Testostérone</v>
      </c>
      <c r="U74" s="46" t="str">
        <f t="shared" si="10"/>
        <v>SAC-10mg/L + Testostérone</v>
      </c>
      <c r="V74" s="46" t="str">
        <f t="shared" si="10"/>
        <v>SAC-100mg/L + Testostérone</v>
      </c>
    </row>
    <row r="75" spans="1:22" s="3" customFormat="1" x14ac:dyDescent="0.35">
      <c r="A75" s="61" t="s">
        <v>32</v>
      </c>
      <c r="B75" s="142">
        <f>B56</f>
        <v>0.10038748006553394</v>
      </c>
      <c r="C75" s="142">
        <f t="shared" ref="C75:V75" si="11">C56</f>
        <v>0.14482434819950377</v>
      </c>
      <c r="D75" s="142">
        <f t="shared" si="11"/>
        <v>0.14329291465071942</v>
      </c>
      <c r="E75" s="142">
        <f t="shared" si="11"/>
        <v>0.33519771546365895</v>
      </c>
      <c r="F75" s="142">
        <f t="shared" si="11"/>
        <v>0.99299282299267888</v>
      </c>
      <c r="G75" s="142">
        <f t="shared" si="11"/>
        <v>1.5058957174186063</v>
      </c>
      <c r="H75" s="142">
        <f t="shared" si="11"/>
        <v>2.3895889157248815</v>
      </c>
      <c r="I75" s="142">
        <f t="shared" si="11"/>
        <v>0.10384234786077719</v>
      </c>
      <c r="J75" s="142">
        <f t="shared" si="11"/>
        <v>8.2108322783733756E-2</v>
      </c>
      <c r="K75" s="142">
        <f t="shared" si="11"/>
        <v>0.10463332817704488</v>
      </c>
      <c r="L75" s="142">
        <f t="shared" si="11"/>
        <v>9.4336439735582769E-2</v>
      </c>
      <c r="M75" s="142">
        <f t="shared" si="11"/>
        <v>0.1033998110563345</v>
      </c>
      <c r="N75" s="142"/>
      <c r="O75" s="142">
        <f t="shared" si="11"/>
        <v>1</v>
      </c>
      <c r="P75" s="142">
        <f t="shared" si="11"/>
        <v>1.8210194807272808</v>
      </c>
      <c r="Q75" s="142">
        <f t="shared" si="11"/>
        <v>9.0738879492618094E-2</v>
      </c>
      <c r="R75" s="142">
        <f t="shared" si="11"/>
        <v>0.94522073918666605</v>
      </c>
      <c r="S75" s="142">
        <f t="shared" si="11"/>
        <v>0.90513805226085564</v>
      </c>
      <c r="T75" s="142">
        <f t="shared" si="11"/>
        <v>0.84054587281875859</v>
      </c>
      <c r="U75" s="142">
        <f t="shared" si="11"/>
        <v>0.80964071454861941</v>
      </c>
      <c r="V75" s="142">
        <f t="shared" si="11"/>
        <v>0.66221444955801878</v>
      </c>
    </row>
    <row r="76" spans="1:22" s="3" customFormat="1" x14ac:dyDescent="0.35">
      <c r="A76" s="61" t="s">
        <v>2</v>
      </c>
      <c r="B76" s="142">
        <f>B58</f>
        <v>1.1466546250547672E-2</v>
      </c>
      <c r="C76" s="142">
        <f t="shared" ref="C76:V76" si="12">C58</f>
        <v>1.9005995944252466E-2</v>
      </c>
      <c r="D76" s="142">
        <f t="shared" si="12"/>
        <v>3.259949217174677E-2</v>
      </c>
      <c r="E76" s="142">
        <f t="shared" si="12"/>
        <v>7.0592726759400481E-2</v>
      </c>
      <c r="F76" s="142">
        <f t="shared" si="12"/>
        <v>0.11125785623507692</v>
      </c>
      <c r="G76" s="142">
        <f t="shared" si="12"/>
        <v>8.1473050532198762E-2</v>
      </c>
      <c r="H76" s="142">
        <f t="shared" si="12"/>
        <v>0.1060062274049843</v>
      </c>
      <c r="I76" s="142">
        <f t="shared" si="12"/>
        <v>1.0823224529362832E-2</v>
      </c>
      <c r="J76" s="142">
        <f t="shared" si="12"/>
        <v>1.3916992299659602E-2</v>
      </c>
      <c r="K76" s="142">
        <f t="shared" si="12"/>
        <v>1.7672216158932223E-2</v>
      </c>
      <c r="L76" s="142">
        <f t="shared" si="12"/>
        <v>1.1833195281924589E-2</v>
      </c>
      <c r="M76" s="142">
        <f t="shared" si="12"/>
        <v>1.015928534385485E-2</v>
      </c>
      <c r="N76" s="142"/>
      <c r="O76" s="142">
        <f t="shared" si="12"/>
        <v>7.6618254641187683E-2</v>
      </c>
      <c r="P76" s="142">
        <f t="shared" si="12"/>
        <v>0.11281886422769129</v>
      </c>
      <c r="Q76" s="142">
        <f t="shared" si="12"/>
        <v>1.3714902488969361E-2</v>
      </c>
      <c r="R76" s="142">
        <f t="shared" si="12"/>
        <v>0.12834105530697115</v>
      </c>
      <c r="S76" s="142">
        <f t="shared" si="12"/>
        <v>0.10328141068066292</v>
      </c>
      <c r="T76" s="142">
        <f t="shared" si="12"/>
        <v>8.940294698001211E-2</v>
      </c>
      <c r="U76" s="142">
        <f t="shared" si="12"/>
        <v>0.10146081014880902</v>
      </c>
      <c r="V76" s="142">
        <f t="shared" si="12"/>
        <v>0.10165178897318194</v>
      </c>
    </row>
    <row r="77" spans="1:22" s="3" customFormat="1" x14ac:dyDescent="0.35">
      <c r="A77" s="61" t="s">
        <v>79</v>
      </c>
      <c r="B77" s="142">
        <f>(B75*100/$B$75)-100</f>
        <v>0</v>
      </c>
      <c r="C77" s="142">
        <f t="shared" ref="C77:M77" si="13">(C75*100/$B$75)-100</f>
        <v>44.26534873169544</v>
      </c>
      <c r="D77" s="142">
        <f t="shared" si="13"/>
        <v>42.73982627831316</v>
      </c>
      <c r="E77" s="142">
        <f t="shared" si="13"/>
        <v>233.90390439608461</v>
      </c>
      <c r="F77" s="142">
        <f t="shared" si="13"/>
        <v>889.16002507926623</v>
      </c>
      <c r="G77" s="142">
        <f t="shared" si="13"/>
        <v>1400.0831940751402</v>
      </c>
      <c r="H77" s="142">
        <f t="shared" si="13"/>
        <v>2280.3654740261777</v>
      </c>
      <c r="I77" s="142">
        <f t="shared" si="13"/>
        <v>3.441532542691462</v>
      </c>
      <c r="J77" s="142">
        <f t="shared" si="13"/>
        <v>-18.208602576603539</v>
      </c>
      <c r="K77" s="142">
        <f t="shared" si="13"/>
        <v>4.2294597979142594</v>
      </c>
      <c r="L77" s="142">
        <f t="shared" si="13"/>
        <v>-6.0276842550495218</v>
      </c>
      <c r="M77" s="142">
        <f t="shared" si="13"/>
        <v>3.0007038615114965</v>
      </c>
      <c r="N77" s="142"/>
      <c r="O77" s="142">
        <f t="shared" ref="O77:V77" si="14">(O75*100/$O$75)-100</f>
        <v>0</v>
      </c>
      <c r="P77" s="142">
        <f t="shared" si="14"/>
        <v>82.101948072728078</v>
      </c>
      <c r="Q77" s="142">
        <f t="shared" si="14"/>
        <v>-90.926112050738197</v>
      </c>
      <c r="R77" s="142">
        <f t="shared" si="14"/>
        <v>-5.4779260813333934</v>
      </c>
      <c r="S77" s="142">
        <f t="shared" si="14"/>
        <v>-9.4861947739144341</v>
      </c>
      <c r="T77" s="142">
        <f t="shared" si="14"/>
        <v>-15.945412718124146</v>
      </c>
      <c r="U77" s="142">
        <f t="shared" si="14"/>
        <v>-19.035928545138063</v>
      </c>
      <c r="V77" s="142">
        <f t="shared" si="14"/>
        <v>-33.778555044198129</v>
      </c>
    </row>
    <row r="78" spans="1:22" s="3" customFormat="1" x14ac:dyDescent="0.35">
      <c r="A78" s="61" t="s">
        <v>81</v>
      </c>
      <c r="B78" s="142">
        <f>[1]!DPTEST(B6:B53)</f>
        <v>0.25361640901849702</v>
      </c>
      <c r="C78" s="142">
        <f>[1]!DPTEST(C6:C53)</f>
        <v>2.246877813161241E-4</v>
      </c>
      <c r="D78" s="142">
        <f>[1]!DPTEST(D6:D53)</f>
        <v>1.0013599838210041E-8</v>
      </c>
      <c r="E78" s="142">
        <f>[1]!DPTEST(E6:E53)</f>
        <v>1.5142635320097853E-6</v>
      </c>
      <c r="F78" s="142">
        <f>[1]!DPTEST(F6:F53)</f>
        <v>0.68138826635794325</v>
      </c>
      <c r="G78" s="142">
        <f>[1]!DPTEST(G6:G53)</f>
        <v>0.66686086996599014</v>
      </c>
      <c r="H78" s="142">
        <f>[1]!DPTEST(H6:H53)</f>
        <v>0.61643485057411518</v>
      </c>
      <c r="I78" s="142">
        <f>[1]!DPTEST(I6:I53)</f>
        <v>9.0696808118321259E-3</v>
      </c>
      <c r="J78" s="142">
        <f>[1]!DPTEST(J6:J53)</f>
        <v>0.30290679314662883</v>
      </c>
      <c r="K78" s="142">
        <f>[1]!DPTEST(K6:K53)</f>
        <v>1.653926916257431E-4</v>
      </c>
      <c r="L78" s="142">
        <f>[1]!DPTEST(L6:L53)</f>
        <v>0.96797711962297905</v>
      </c>
      <c r="M78" s="142">
        <f>[1]!DPTEST(M6:M53)</f>
        <v>0.42862912846873658</v>
      </c>
      <c r="N78" s="142"/>
      <c r="O78" s="142">
        <f>[1]!DPTEST(O6:O53)</f>
        <v>0.37294219324686273</v>
      </c>
      <c r="P78" s="142">
        <f>[1]!DPTEST(P6:P53)</f>
        <v>0.96816883891819738</v>
      </c>
      <c r="Q78" s="142">
        <f>[1]!DPTEST(Q6:Q53)</f>
        <v>9.5604466772031271E-3</v>
      </c>
      <c r="R78" s="142">
        <f>[1]!DPTEST(R6:R53)</f>
        <v>0.60805513480413209</v>
      </c>
      <c r="S78" s="142">
        <f>[1]!DPTEST(S6:S53)</f>
        <v>0.11885168552897796</v>
      </c>
      <c r="T78" s="142">
        <f>[1]!DPTEST(T6:T53)</f>
        <v>0.61067658668921743</v>
      </c>
      <c r="U78" s="142">
        <f>[1]!DPTEST(U6:U53)</f>
        <v>0.38049839882259173</v>
      </c>
      <c r="V78" s="142">
        <f>[1]!DPTEST(V6:V53)</f>
        <v>0.37908580118133883</v>
      </c>
    </row>
    <row r="79" spans="1:22" s="3" customFormat="1" x14ac:dyDescent="0.35">
      <c r="A79" s="61" t="s">
        <v>85</v>
      </c>
      <c r="B79" s="142" t="str">
        <f>IF(B78&gt;0.05,"Oui","Non")</f>
        <v>Oui</v>
      </c>
      <c r="C79" s="142" t="str">
        <f t="shared" ref="C79:V79" si="15">IF(C78&gt;0.05,"Oui","Non")</f>
        <v>Non</v>
      </c>
      <c r="D79" s="142" t="str">
        <f t="shared" si="15"/>
        <v>Non</v>
      </c>
      <c r="E79" s="142" t="str">
        <f t="shared" si="15"/>
        <v>Non</v>
      </c>
      <c r="F79" s="142" t="str">
        <f t="shared" si="15"/>
        <v>Oui</v>
      </c>
      <c r="G79" s="142" t="str">
        <f t="shared" si="15"/>
        <v>Oui</v>
      </c>
      <c r="H79" s="142" t="str">
        <f t="shared" si="15"/>
        <v>Oui</v>
      </c>
      <c r="I79" s="142" t="str">
        <f t="shared" si="15"/>
        <v>Non</v>
      </c>
      <c r="J79" s="142" t="str">
        <f t="shared" si="15"/>
        <v>Oui</v>
      </c>
      <c r="K79" s="142" t="str">
        <f t="shared" si="15"/>
        <v>Non</v>
      </c>
      <c r="L79" s="142" t="str">
        <f t="shared" si="15"/>
        <v>Oui</v>
      </c>
      <c r="M79" s="142" t="str">
        <f t="shared" si="15"/>
        <v>Oui</v>
      </c>
      <c r="N79" s="142"/>
      <c r="O79" s="142" t="str">
        <f t="shared" si="15"/>
        <v>Oui</v>
      </c>
      <c r="P79" s="142" t="str">
        <f t="shared" si="15"/>
        <v>Oui</v>
      </c>
      <c r="Q79" s="142" t="str">
        <f t="shared" si="15"/>
        <v>Non</v>
      </c>
      <c r="R79" s="142" t="str">
        <f t="shared" si="15"/>
        <v>Oui</v>
      </c>
      <c r="S79" s="142" t="str">
        <f t="shared" si="15"/>
        <v>Oui</v>
      </c>
      <c r="T79" s="142" t="str">
        <f t="shared" si="15"/>
        <v>Oui</v>
      </c>
      <c r="U79" s="142" t="str">
        <f t="shared" si="15"/>
        <v>Oui</v>
      </c>
      <c r="V79" s="142" t="str">
        <f t="shared" si="15"/>
        <v>Oui</v>
      </c>
    </row>
    <row r="80" spans="1:22" s="3" customFormat="1" x14ac:dyDescent="0.35">
      <c r="A80" s="61" t="s">
        <v>122</v>
      </c>
      <c r="B80" s="142"/>
      <c r="C80" s="142"/>
      <c r="D80" s="142"/>
      <c r="E80" s="142"/>
      <c r="F80" s="142"/>
      <c r="G80" s="142"/>
      <c r="H80" s="142"/>
      <c r="I80" s="142"/>
      <c r="J80" s="142" t="str">
        <f>IF(COUNTIF(J79:M79, "Non")&gt;0, "Oui","Non")</f>
        <v>Oui</v>
      </c>
      <c r="K80" s="142"/>
      <c r="L80" s="142"/>
      <c r="M80" s="142"/>
      <c r="N80" s="142"/>
      <c r="O80" s="142"/>
      <c r="P80" s="142"/>
      <c r="Q80" s="142"/>
      <c r="R80" s="142"/>
      <c r="S80" s="142"/>
      <c r="T80" s="142"/>
      <c r="U80" s="142"/>
      <c r="V80" s="142"/>
    </row>
    <row r="81" spans="1:22" s="3" customFormat="1" x14ac:dyDescent="0.35">
      <c r="A81" s="61" t="s">
        <v>82</v>
      </c>
      <c r="B81" s="142"/>
      <c r="C81" s="142" t="s">
        <v>171</v>
      </c>
      <c r="D81" s="142" t="s">
        <v>171</v>
      </c>
      <c r="E81" s="142" t="s">
        <v>171</v>
      </c>
      <c r="F81" s="142" t="s">
        <v>171</v>
      </c>
      <c r="G81" s="142" t="s">
        <v>171</v>
      </c>
      <c r="H81" s="142" t="s">
        <v>171</v>
      </c>
      <c r="I81" s="142" t="s">
        <v>171</v>
      </c>
      <c r="J81" s="142" t="s">
        <v>171</v>
      </c>
      <c r="K81" s="142" t="s">
        <v>171</v>
      </c>
      <c r="L81" s="142" t="s">
        <v>171</v>
      </c>
      <c r="M81" s="142" t="s">
        <v>171</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Mann Withney</v>
      </c>
      <c r="R81" s="142" t="s">
        <v>172</v>
      </c>
      <c r="S81" s="142" t="s">
        <v>172</v>
      </c>
      <c r="T81" s="142" t="s">
        <v>172</v>
      </c>
      <c r="U81" s="142" t="s">
        <v>172</v>
      </c>
      <c r="V81" s="142" t="s">
        <v>172</v>
      </c>
    </row>
    <row r="82" spans="1:22" s="3" customFormat="1" x14ac:dyDescent="0.35">
      <c r="A82" s="61" t="s">
        <v>83</v>
      </c>
      <c r="B82" s="142"/>
      <c r="C82" s="142" t="s">
        <v>167</v>
      </c>
      <c r="D82" s="142" t="s">
        <v>167</v>
      </c>
      <c r="E82" s="142">
        <v>0.21</v>
      </c>
      <c r="F82" s="142" t="s">
        <v>170</v>
      </c>
      <c r="G82" s="142" t="s">
        <v>170</v>
      </c>
      <c r="H82" s="142" t="s">
        <v>170</v>
      </c>
      <c r="I82" s="142" t="s">
        <v>167</v>
      </c>
      <c r="J82" s="142">
        <v>0.81</v>
      </c>
      <c r="K82" s="142" t="s">
        <v>167</v>
      </c>
      <c r="L82" s="142" t="s">
        <v>167</v>
      </c>
      <c r="M82" s="142" t="s">
        <v>167</v>
      </c>
      <c r="N82" s="142"/>
      <c r="O82" s="142">
        <f>IF(O81="Mann Withney",[1]!MTEST($B6:$B37,O6:O53,2), IF(O81="T-Test Welch",_xlfn.T.TEST($B6:$B37,O6:O53,2,3),""))</f>
        <v>2.0619614198026915E-15</v>
      </c>
      <c r="P82" s="142">
        <f>IF(P81="Mann Withney",[1]!MTEST($O6:$O53,P6:P53,2), IF(P81="T-Test Welch",_xlfn.T.TEST($O6:$O53,P6:P53,2,3),""))</f>
        <v>3.546769634515784E-7</v>
      </c>
      <c r="Q82" s="142">
        <f>IF(Q81="Mann Withney",[1]!MTEST($O6:$O53,Q6:Q53,2), IF(Q81="T-Test Welch",_xlfn.T.TEST($O6:$O53,Q6:Q53,2,3),""))</f>
        <v>5.6791638058939498E-10</v>
      </c>
      <c r="R82" s="142" t="s">
        <v>167</v>
      </c>
      <c r="S82" s="142">
        <v>0.92</v>
      </c>
      <c r="T82" s="142">
        <v>0.61</v>
      </c>
      <c r="U82" s="142">
        <v>0.44</v>
      </c>
      <c r="V82" s="142">
        <v>0.04</v>
      </c>
    </row>
    <row r="83" spans="1:22" s="3" customFormat="1" ht="15" thickBot="1" x14ac:dyDescent="0.4">
      <c r="A83" s="62" t="s">
        <v>84</v>
      </c>
      <c r="B83" s="143"/>
      <c r="C83" s="143" t="s">
        <v>166</v>
      </c>
      <c r="D83" s="143" t="s">
        <v>166</v>
      </c>
      <c r="E83" s="143" t="s">
        <v>166</v>
      </c>
      <c r="F83" s="143" t="s">
        <v>169</v>
      </c>
      <c r="G83" s="143" t="s">
        <v>169</v>
      </c>
      <c r="H83" s="143" t="s">
        <v>169</v>
      </c>
      <c r="I83" s="143" t="s">
        <v>166</v>
      </c>
      <c r="J83" s="143" t="s">
        <v>166</v>
      </c>
      <c r="K83" s="143" t="s">
        <v>166</v>
      </c>
      <c r="L83" s="143" t="s">
        <v>166</v>
      </c>
      <c r="M83" s="143" t="s">
        <v>166</v>
      </c>
      <c r="N83" s="143"/>
      <c r="O83" s="143" t="str">
        <f t="shared" ref="O83" si="16">IF(O82&gt;0.05,"NS",IF(O82&gt;0.01,"*",IF(O82&gt;0.001,"**","***")))</f>
        <v>***</v>
      </c>
      <c r="P83" s="143" t="str">
        <f t="shared" ref="P83" si="17">IF(P82&gt;0.05,"NS",IF(P82&gt;0.01,"*",IF(P82&gt;0.001,"**","***")))</f>
        <v>***</v>
      </c>
      <c r="Q83" s="143" t="str">
        <f t="shared" ref="Q83" si="18">IF(Q82&gt;0.05,"NS",IF(Q82&gt;0.01,"*",IF(Q82&gt;0.001,"**","***")))</f>
        <v>***</v>
      </c>
      <c r="R83" s="143" t="s">
        <v>166</v>
      </c>
      <c r="S83" s="143" t="s">
        <v>166</v>
      </c>
      <c r="T83" s="143" t="s">
        <v>166</v>
      </c>
      <c r="U83" s="143" t="s">
        <v>166</v>
      </c>
      <c r="V83" s="143" t="s">
        <v>168</v>
      </c>
    </row>
    <row r="84" spans="1:22" s="1" customFormat="1" x14ac:dyDescent="0.35"/>
    <row r="85" spans="1:22" s="1" customFormat="1" x14ac:dyDescent="0.35">
      <c r="A85" s="2" t="s">
        <v>39</v>
      </c>
    </row>
    <row r="86" spans="1:22" x14ac:dyDescent="0.35">
      <c r="A86" s="1" t="s">
        <v>23</v>
      </c>
      <c r="B86" s="1">
        <f>B56+(3*B57)</f>
        <v>0.26536235198123331</v>
      </c>
    </row>
    <row r="87" spans="1:22" x14ac:dyDescent="0.35">
      <c r="A87" s="1" t="s">
        <v>24</v>
      </c>
      <c r="B87" s="1">
        <f>B56+(10*B57)</f>
        <v>0.65030371978453183</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1.4426534873169543</v>
      </c>
      <c r="D94" s="1">
        <f t="shared" si="19"/>
        <v>1.4273982627831316</v>
      </c>
      <c r="E94" s="1">
        <f t="shared" si="19"/>
        <v>3.3390390439608462</v>
      </c>
      <c r="F94" s="1">
        <f t="shared" si="19"/>
        <v>9.8916002507926617</v>
      </c>
      <c r="G94" s="1">
        <f t="shared" si="19"/>
        <v>15.000831940751404</v>
      </c>
      <c r="H94" s="1">
        <f>H75/$B$75</f>
        <v>23.803654740261777</v>
      </c>
      <c r="I94" s="1">
        <f t="shared" si="19"/>
        <v>1.0344153254269146</v>
      </c>
      <c r="J94" s="1">
        <f t="shared" si="19"/>
        <v>0.8179139742339645</v>
      </c>
      <c r="K94" s="1">
        <f t="shared" si="19"/>
        <v>1.0422945979791425</v>
      </c>
      <c r="L94" s="1">
        <f t="shared" si="19"/>
        <v>0.93972315744950474</v>
      </c>
      <c r="M94" s="1">
        <f t="shared" si="19"/>
        <v>1.030007038615115</v>
      </c>
      <c r="N94" s="1">
        <f t="shared" si="19"/>
        <v>0</v>
      </c>
      <c r="O94" s="1">
        <f t="shared" si="19"/>
        <v>9.961401554727642</v>
      </c>
      <c r="P94" s="1">
        <f t="shared" si="19"/>
        <v>18.139906286506058</v>
      </c>
      <c r="Q94" s="1">
        <f t="shared" si="19"/>
        <v>0.90388641525201008</v>
      </c>
      <c r="R94" s="1">
        <f t="shared" si="19"/>
        <v>9.415723340894866</v>
      </c>
      <c r="S94" s="1">
        <f t="shared" si="19"/>
        <v>9.0164436010344371</v>
      </c>
      <c r="T94" s="1">
        <f t="shared" si="19"/>
        <v>8.3730149643166847</v>
      </c>
      <c r="U94" s="1">
        <f t="shared" si="19"/>
        <v>8.0651562726754165</v>
      </c>
      <c r="V94" s="1">
        <f t="shared" si="19"/>
        <v>6.5965840473903583</v>
      </c>
    </row>
    <row r="97" spans="5:25" x14ac:dyDescent="0.35">
      <c r="T97" s="1"/>
      <c r="U97" s="1"/>
    </row>
    <row r="98" spans="5:25" x14ac:dyDescent="0.35">
      <c r="H98" s="1"/>
      <c r="I98" s="1"/>
      <c r="J98" s="1"/>
      <c r="K98" s="1"/>
      <c r="L98" s="1"/>
      <c r="M98" s="1"/>
      <c r="N98" s="1"/>
      <c r="O98" s="1"/>
      <c r="P98" s="1"/>
      <c r="Q98" s="1"/>
      <c r="R98" s="1"/>
      <c r="T98" s="1"/>
      <c r="U98" s="1"/>
      <c r="V98" s="1"/>
      <c r="W98" s="1"/>
      <c r="X98" s="1"/>
      <c r="Y98" s="1"/>
    </row>
    <row r="99" spans="5:25" x14ac:dyDescent="0.35">
      <c r="H99" s="1"/>
      <c r="I99" s="1"/>
      <c r="J99" s="1"/>
      <c r="K99" s="1"/>
      <c r="L99" s="1"/>
      <c r="M99" s="1"/>
      <c r="N99" s="1"/>
      <c r="O99" s="1"/>
      <c r="P99" s="1"/>
      <c r="Q99" s="1"/>
      <c r="R99" s="1"/>
      <c r="T99" s="1"/>
      <c r="U99" s="1"/>
      <c r="V99" s="1"/>
      <c r="W99" s="1"/>
      <c r="X99" s="1"/>
      <c r="Y99" s="1"/>
    </row>
    <row r="100" spans="5:25" x14ac:dyDescent="0.35">
      <c r="E100" s="1"/>
      <c r="F100" s="1"/>
      <c r="H100" s="1"/>
      <c r="I100" s="1"/>
      <c r="J100" s="1"/>
      <c r="K100" s="1"/>
      <c r="L100" s="1"/>
      <c r="M100" s="1"/>
      <c r="N100" s="1"/>
      <c r="O100" s="1"/>
      <c r="P100" s="1"/>
      <c r="Q100" s="1"/>
      <c r="T100" s="1"/>
      <c r="U100" s="1"/>
    </row>
    <row r="101" spans="5:25" x14ac:dyDescent="0.35">
      <c r="E101" s="1"/>
      <c r="F101" s="1"/>
      <c r="T101" s="1"/>
      <c r="U101" s="1"/>
    </row>
    <row r="102" spans="5:25" x14ac:dyDescent="0.35">
      <c r="E102" s="1"/>
      <c r="F102" s="1"/>
      <c r="G102" s="1"/>
      <c r="S102" s="1"/>
      <c r="T102" s="1"/>
    </row>
    <row r="103" spans="5:25" x14ac:dyDescent="0.35">
      <c r="E103" s="1"/>
      <c r="F103" s="1"/>
      <c r="G103" s="1"/>
      <c r="S103" s="1"/>
      <c r="T103" s="1"/>
    </row>
    <row r="104" spans="5:25" x14ac:dyDescent="0.35">
      <c r="E104" s="1"/>
      <c r="F104" s="1"/>
      <c r="G104" s="1"/>
    </row>
    <row r="105" spans="5:25" x14ac:dyDescent="0.35">
      <c r="E105" s="1"/>
      <c r="F105" s="1"/>
      <c r="G105" s="1"/>
    </row>
    <row r="106" spans="5:25" x14ac:dyDescent="0.35">
      <c r="E106" s="1"/>
      <c r="F106" s="1"/>
      <c r="G106" s="1"/>
    </row>
    <row r="107" spans="5:25" x14ac:dyDescent="0.35">
      <c r="E107" s="1"/>
      <c r="F107" s="1"/>
      <c r="G107" s="1"/>
      <c r="S107" s="1"/>
      <c r="T107" s="1"/>
      <c r="U107" s="1"/>
      <c r="V107" s="1"/>
      <c r="W107" s="1"/>
    </row>
    <row r="108" spans="5:25" x14ac:dyDescent="0.35">
      <c r="E108" s="1"/>
      <c r="F108" s="1"/>
      <c r="G108" s="1"/>
      <c r="S108" s="1"/>
      <c r="T108" s="1"/>
      <c r="U108" s="1"/>
      <c r="V108" s="1"/>
      <c r="W108" s="1"/>
    </row>
    <row r="109" spans="5:25" x14ac:dyDescent="0.35">
      <c r="E109" s="1"/>
      <c r="F109" s="1"/>
      <c r="G109" s="1"/>
    </row>
    <row r="110" spans="5:25" x14ac:dyDescent="0.35">
      <c r="E110" s="1"/>
      <c r="F110" s="1"/>
      <c r="G110" s="1"/>
    </row>
    <row r="111" spans="5:25" x14ac:dyDescent="0.35">
      <c r="F111" s="1"/>
      <c r="G111" s="1"/>
    </row>
    <row r="112" spans="5:25" x14ac:dyDescent="0.35">
      <c r="F112" s="1"/>
      <c r="G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SAC-0.01mg/L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SAC-0,01mg/L : 0%</v>
      </c>
      <c r="O7"/>
    </row>
    <row r="8" spans="1:15" s="77" customFormat="1" ht="15.5" x14ac:dyDescent="0.35">
      <c r="A8" s="80" t="str">
        <f>'Page de garde'!A16</f>
        <v>SAC-0.1mg/L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SAC-0,1mg/L : 0%</v>
      </c>
      <c r="O8"/>
    </row>
    <row r="9" spans="1:15" s="77" customFormat="1" ht="15.5" x14ac:dyDescent="0.35">
      <c r="A9" s="80" t="str">
        <f>'Page de garde'!A17</f>
        <v>SAC-1mg/L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SAC-1mg/L : 0%</v>
      </c>
      <c r="O9"/>
    </row>
    <row r="10" spans="1:15" s="77" customFormat="1" ht="15.5" x14ac:dyDescent="0.35">
      <c r="A10" s="80" t="str">
        <f>'Page de garde'!A18</f>
        <v>SAC-10mg/L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SAC-10mg/L : 0%</v>
      </c>
      <c r="O10"/>
    </row>
    <row r="11" spans="1:15" s="77" customFormat="1" ht="15.5" x14ac:dyDescent="0.35">
      <c r="A11" s="80" t="str">
        <f>'Page de garde'!A19</f>
        <v>SAC-100mg/L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SAC-100mg/L : 0%</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SAC-0,01mg/L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SAC-0,01mg/L : 0%</v>
      </c>
    </row>
    <row r="33" spans="1:14" s="77" customFormat="1" ht="15.5" x14ac:dyDescent="0.35">
      <c r="A33" s="128" t="str">
        <f>'Page de garde'!A40</f>
        <v>SAC-0,1mg/L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SAC-0,1mg/L : 0%</v>
      </c>
    </row>
    <row r="34" spans="1:14" s="77" customFormat="1" ht="15.5" x14ac:dyDescent="0.35">
      <c r="A34" s="128" t="str">
        <f>'Page de garde'!A41</f>
        <v>SAC-1mg/L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SAC-1mg/L : 0%</v>
      </c>
    </row>
    <row r="35" spans="1:14" s="77" customFormat="1" ht="15.5" x14ac:dyDescent="0.35">
      <c r="A35" s="128" t="str">
        <f>'Page de garde'!A42</f>
        <v>SAC-10mg/L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SAC-10mg/L : 0%</v>
      </c>
    </row>
    <row r="36" spans="1:14" s="77" customFormat="1" ht="15.5" x14ac:dyDescent="0.35">
      <c r="A36" s="128" t="str">
        <f>'Page de garde'!A43</f>
        <v>SAC-100mg/L + Testostérone</v>
      </c>
      <c r="B36" s="99"/>
      <c r="C36" s="87"/>
      <c r="D36" s="87"/>
      <c r="E36" s="82"/>
      <c r="F36" s="94" t="str">
        <f>HLOOKUP(A36,'pooled normalised values'!$B$74:$V$83,10,FALSE)</f>
        <v>*</v>
      </c>
      <c r="G36" s="133" t="e">
        <f t="shared" si="6"/>
        <v>#NUM!</v>
      </c>
      <c r="H36" s="124" t="str">
        <f>IF(VLOOKUP(A36,liste_groupe[],4,FALSE)="%",VLOOKUP(A36,liste_groupe[],3,FALSE)/100,IF(ISBLANK(VLOOKUP(A36,liste_groupe[],4,FALSE)),"Non","Non"))</f>
        <v>Non</v>
      </c>
      <c r="I36" s="133" t="e">
        <f t="shared" si="7"/>
        <v>#NUM!</v>
      </c>
      <c r="J36" s="138" t="e">
        <f t="shared" si="8"/>
        <v>#NUM!</v>
      </c>
      <c r="K36" s="139" t="e">
        <f t="shared" si="9"/>
        <v>#NUM!</v>
      </c>
      <c r="L36" s="140"/>
      <c r="M36" s="132" t="e">
        <f t="shared" si="10"/>
        <v>#NUM!</v>
      </c>
      <c r="N36" s="141" t="e">
        <f>IF(H36="Non",CONCATENATE(VLOOKUP(A36,liste_groupe[],5,FALSE),"-",VLOOKUP(A36,liste_groupe[],3,FALSE),VLOOKUP(A36,liste_groupe[],4,FALSE)," : ",ROUND(K36,0),"%"),CONCATENATE(VLOOKUP(A36,liste_groupe[],5,FALSE)," : ",ROUND(K36,0),"%"))</f>
        <v>#NUM!</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0.10038748006553394</v>
      </c>
      <c r="D2" s="17" t="s">
        <v>9</v>
      </c>
      <c r="E2" s="18"/>
      <c r="F2" s="19" t="str">
        <f>'pooled normalised values'!J74</f>
        <v>SAC-0.1mg/L</v>
      </c>
      <c r="G2" s="19" t="str">
        <f>'pooled normalised values'!K74</f>
        <v>SAC-1mg/L</v>
      </c>
      <c r="H2" s="19" t="str">
        <f>'pooled normalised values'!L74</f>
        <v>SAC-10mg/L</v>
      </c>
      <c r="I2" s="19" t="str">
        <f>'pooled normalised values'!M74</f>
        <v>SAC-100mg/L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SAC-0,01mg/L + Testostérone</v>
      </c>
      <c r="W2" s="19" t="str">
        <f>'pooled normalised values'!S74</f>
        <v>SAC-0,1mg/L + Testostérone</v>
      </c>
      <c r="X2" s="19" t="str">
        <f>'pooled normalised values'!T74</f>
        <v>SAC-1mg/L + Testostérone</v>
      </c>
      <c r="Y2" s="19" t="str">
        <f>'pooled normalised values'!U74</f>
        <v>SAC-10mg/L + Testostérone</v>
      </c>
      <c r="Z2" s="19" t="str">
        <f>'pooled normalised values'!V74</f>
        <v>SAC-100mg/L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8.2108322783733756E-2</v>
      </c>
      <c r="G3" s="19">
        <f>HLOOKUP(G2,'pooled normalised values'!C74:W83,2,FALSE)</f>
        <v>0.10463332817704488</v>
      </c>
      <c r="H3" s="19">
        <f>HLOOKUP(H2,'pooled normalised values'!C74:X83,2,FALSE)</f>
        <v>9.4336439735582769E-2</v>
      </c>
      <c r="I3" s="19">
        <f>HLOOKUP(I2,'pooled normalised values'!D74:Y83,2,FALSE)</f>
        <v>0.1033998110563345</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0.94522073918666605</v>
      </c>
      <c r="W3" s="19">
        <f>HLOOKUP(W2,'pooled normalised values'!N74:AM83,2,FALSE)</f>
        <v>0.90513805226085564</v>
      </c>
      <c r="X3" s="19">
        <f>HLOOKUP(X2,'pooled normalised values'!N74:AN83,2,FALSE)</f>
        <v>0.84054587281875859</v>
      </c>
      <c r="Y3" s="19">
        <f>HLOOKUP(Y2,'pooled normalised values'!N74:AO83,2,FALSE)</f>
        <v>0.80964071454861941</v>
      </c>
      <c r="Z3" s="19">
        <f>HLOOKUP(Z2,'pooled normalised values'!N74:AP83,2,FALSE)</f>
        <v>0.66221444955801878</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1.3916992299659602E-2</v>
      </c>
      <c r="G4" s="19">
        <f>HLOOKUP(G2,'pooled normalised values'!C74:W83,3,FALSE)</f>
        <v>1.7672216158932223E-2</v>
      </c>
      <c r="H4" s="19">
        <f>HLOOKUP(H2,'pooled normalised values'!C74:X83,3,FALSE)</f>
        <v>1.1833195281924589E-2</v>
      </c>
      <c r="I4" s="19">
        <f>HLOOKUP(I2,'pooled normalised values'!D74:Y83,3,FALSE)</f>
        <v>1.015928534385485E-2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0.12834105530697115</v>
      </c>
      <c r="W4" s="19">
        <f>HLOOKUP(W2,'pooled normalised values'!N74:AM83,3,FALSE)</f>
        <v>0.10328141068066292</v>
      </c>
      <c r="X4" s="19">
        <f>HLOOKUP(X2,'pooled normalised values'!N74:AN83,3,FALSE)</f>
        <v>8.940294698001211E-2</v>
      </c>
      <c r="Y4" s="19">
        <f>HLOOKUP(Y2,'pooled normalised values'!N74:AO83,3,FALSE)</f>
        <v>0.10146081014880902</v>
      </c>
      <c r="Z4" s="19">
        <f>HLOOKUP(Z2,'pooled normalised values'!N74:AP83,3,FALSE)</f>
        <v>0.10165178897318194</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1.8210194807272808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9.0738879492618094E-2</v>
      </c>
      <c r="D6" s="21" t="s">
        <v>12</v>
      </c>
      <c r="E6" s="24">
        <f>$B$2</f>
        <v>0.10038748006553394</v>
      </c>
      <c r="F6" s="24">
        <f>$B$2</f>
        <v>0.10038748006553394</v>
      </c>
      <c r="G6" s="24">
        <f t="shared" ref="G6:R6" si="0">$B$2</f>
        <v>0.10038748006553394</v>
      </c>
      <c r="H6" s="24">
        <f t="shared" si="0"/>
        <v>0.10038748006553394</v>
      </c>
      <c r="I6" s="24">
        <f t="shared" si="0"/>
        <v>0.10038748006553394</v>
      </c>
      <c r="J6" s="24">
        <f t="shared" si="0"/>
        <v>0.10038748006553394</v>
      </c>
      <c r="K6" s="24">
        <f t="shared" si="0"/>
        <v>0.10038748006553394</v>
      </c>
      <c r="L6" s="24">
        <f t="shared" si="0"/>
        <v>0.10038748006553394</v>
      </c>
      <c r="M6" s="24">
        <f t="shared" si="0"/>
        <v>0.10038748006553394</v>
      </c>
      <c r="N6" s="24">
        <f t="shared" si="0"/>
        <v>0.10038748006553394</v>
      </c>
      <c r="O6" s="24">
        <f t="shared" si="0"/>
        <v>0.10038748006553394</v>
      </c>
      <c r="P6" s="24">
        <f t="shared" si="0"/>
        <v>0.10038748006553394</v>
      </c>
      <c r="Q6" s="24">
        <f t="shared" si="0"/>
        <v>0.10038748006553394</v>
      </c>
      <c r="R6" s="24">
        <f t="shared" si="0"/>
        <v>0.10038748006553394</v>
      </c>
      <c r="S6" s="24">
        <f>$B$2</f>
        <v>0.10038748006553394</v>
      </c>
      <c r="T6" s="24">
        <f>$B$2</f>
        <v>0.10038748006553394</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9.0738879492618094E-2</v>
      </c>
      <c r="V8" s="25">
        <f t="shared" ref="V8:AJ8" si="2">$B$6</f>
        <v>9.0738879492618094E-2</v>
      </c>
      <c r="W8" s="25">
        <f t="shared" si="2"/>
        <v>9.0738879492618094E-2</v>
      </c>
      <c r="X8" s="25">
        <f t="shared" si="2"/>
        <v>9.0738879492618094E-2</v>
      </c>
      <c r="Y8" s="25">
        <f t="shared" si="2"/>
        <v>9.0738879492618094E-2</v>
      </c>
      <c r="Z8" s="25">
        <f t="shared" si="2"/>
        <v>9.0738879492618094E-2</v>
      </c>
      <c r="AA8" s="25">
        <f t="shared" si="2"/>
        <v>9.0738879492618094E-2</v>
      </c>
      <c r="AB8" s="25">
        <f t="shared" si="2"/>
        <v>9.0738879492618094E-2</v>
      </c>
      <c r="AC8" s="25">
        <f t="shared" si="2"/>
        <v>9.0738879492618094E-2</v>
      </c>
      <c r="AD8" s="25">
        <f t="shared" si="2"/>
        <v>9.0738879492618094E-2</v>
      </c>
      <c r="AE8" s="25">
        <f t="shared" si="2"/>
        <v>9.0738879492618094E-2</v>
      </c>
      <c r="AF8" s="25">
        <f t="shared" si="2"/>
        <v>9.0738879492618094E-2</v>
      </c>
      <c r="AG8" s="25">
        <f t="shared" si="2"/>
        <v>9.0738879492618094E-2</v>
      </c>
      <c r="AH8" s="25">
        <f t="shared" si="2"/>
        <v>9.0738879492618094E-2</v>
      </c>
      <c r="AI8" s="25">
        <f t="shared" si="2"/>
        <v>9.0738879492618094E-2</v>
      </c>
      <c r="AJ8" s="25">
        <f t="shared" si="2"/>
        <v>9.0738879492618094E-2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1.7302806012346628</v>
      </c>
      <c r="V9" s="25">
        <f>$B$5-V8</f>
        <v>1.7302806012346628</v>
      </c>
      <c r="W9" s="25">
        <f t="shared" ref="W9:AH9" si="4">$B$5-W8</f>
        <v>1.7302806012346628</v>
      </c>
      <c r="X9" s="25">
        <f t="shared" si="4"/>
        <v>1.7302806012346628</v>
      </c>
      <c r="Y9" s="25">
        <f t="shared" si="4"/>
        <v>1.7302806012346628</v>
      </c>
      <c r="Z9" s="25">
        <f t="shared" si="4"/>
        <v>1.7302806012346628</v>
      </c>
      <c r="AA9" s="25">
        <f t="shared" si="4"/>
        <v>1.7302806012346628</v>
      </c>
      <c r="AB9" s="25">
        <f t="shared" si="4"/>
        <v>1.7302806012346628</v>
      </c>
      <c r="AC9" s="25">
        <f t="shared" si="4"/>
        <v>1.7302806012346628</v>
      </c>
      <c r="AD9" s="25">
        <f t="shared" si="4"/>
        <v>1.7302806012346628</v>
      </c>
      <c r="AE9" s="25">
        <f t="shared" si="4"/>
        <v>1.7302806012346628</v>
      </c>
      <c r="AF9" s="25">
        <f t="shared" si="4"/>
        <v>1.7302806012346628</v>
      </c>
      <c r="AG9" s="25">
        <f t="shared" si="4"/>
        <v>1.7302806012346628</v>
      </c>
      <c r="AH9" s="25">
        <f t="shared" si="4"/>
        <v>1.7302806012346628</v>
      </c>
      <c r="AI9" s="25">
        <f>$B$5-AI8</f>
        <v>1.7302806012346628</v>
      </c>
      <c r="AJ9" s="25">
        <f>$B$5-AJ8</f>
        <v>1.7302806012346628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0.76971939876533724</v>
      </c>
      <c r="V10" s="25">
        <f>2.5-V9</f>
        <v>0.76971939876533724</v>
      </c>
      <c r="W10" s="25">
        <f t="shared" ref="W10:AH10" si="6">2.5-W9</f>
        <v>0.76971939876533724</v>
      </c>
      <c r="X10" s="25">
        <f t="shared" si="6"/>
        <v>0.76971939876533724</v>
      </c>
      <c r="Y10" s="25">
        <f t="shared" si="6"/>
        <v>0.76971939876533724</v>
      </c>
      <c r="Z10" s="25">
        <f t="shared" si="6"/>
        <v>0.76971939876533724</v>
      </c>
      <c r="AA10" s="25">
        <f t="shared" si="6"/>
        <v>0.76971939876533724</v>
      </c>
      <c r="AB10" s="25">
        <f t="shared" si="6"/>
        <v>0.76971939876533724</v>
      </c>
      <c r="AC10" s="25">
        <f t="shared" si="6"/>
        <v>0.76971939876533724</v>
      </c>
      <c r="AD10" s="25">
        <f t="shared" si="6"/>
        <v>0.76971939876533724</v>
      </c>
      <c r="AE10" s="25">
        <f t="shared" si="6"/>
        <v>0.76971939876533724</v>
      </c>
      <c r="AF10" s="25">
        <f t="shared" si="6"/>
        <v>0.76971939876533724</v>
      </c>
      <c r="AG10" s="25">
        <f t="shared" si="6"/>
        <v>0.76971939876533724</v>
      </c>
      <c r="AH10" s="25">
        <f t="shared" si="6"/>
        <v>0.76971939876533724</v>
      </c>
      <c r="AI10" s="25">
        <f>2.5-AI9</f>
        <v>0.76971939876533724</v>
      </c>
      <c r="AJ10" s="25">
        <f>2.5-AJ9</f>
        <v>0.76971939876533724</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0.10038748006553394</v>
      </c>
      <c r="D2" s="17" t="s">
        <v>9</v>
      </c>
      <c r="E2" s="18"/>
      <c r="F2" s="19" t="str">
        <f>'pooled normalised values'!J74</f>
        <v>SAC-0.1mg/L</v>
      </c>
      <c r="G2" s="18"/>
      <c r="H2" s="20"/>
      <c r="I2" s="19" t="str">
        <f>'pooled normalised values'!R74</f>
        <v>SAC-0,01mg/L + Testostérone</v>
      </c>
      <c r="J2" s="20"/>
      <c r="K2" s="17" t="s">
        <v>9</v>
      </c>
    </row>
    <row r="3" spans="1:11" x14ac:dyDescent="0.25">
      <c r="A3" s="17" t="s">
        <v>71</v>
      </c>
      <c r="B3" s="63">
        <f>'summary results'!E6</f>
        <v>0</v>
      </c>
      <c r="D3" s="21" t="s">
        <v>10</v>
      </c>
      <c r="E3" s="22"/>
      <c r="F3" s="19">
        <f>HLOOKUP(F2,'pooled normalised values'!B74:V83,2,FALSE)</f>
        <v>8.2108322783733756E-2</v>
      </c>
      <c r="G3" s="22"/>
      <c r="H3" s="20"/>
      <c r="I3" s="19">
        <f>HLOOKUP(I2,'pooled normalised values'!N74:AL83,2,FALSE)</f>
        <v>0.94522073918666605</v>
      </c>
      <c r="J3" s="20"/>
      <c r="K3" s="21" t="s">
        <v>10</v>
      </c>
    </row>
    <row r="4" spans="1:11" x14ac:dyDescent="0.25">
      <c r="A4" s="17" t="s">
        <v>72</v>
      </c>
      <c r="B4" s="63">
        <f>'pooled normalised values'!O75</f>
        <v>1</v>
      </c>
      <c r="D4" s="21" t="s">
        <v>2</v>
      </c>
      <c r="E4" s="22"/>
      <c r="F4" s="19">
        <f>HLOOKUP(F2,'pooled normalised values'!B74:V83,3,FALSE)</f>
        <v>1.3916992299659602E-2</v>
      </c>
      <c r="G4" s="22"/>
      <c r="H4" s="20"/>
      <c r="I4" s="19">
        <f>HLOOKUP(I2,'pooled normalised values'!N74:AL83,3,FALSE)</f>
        <v>0.12834105530697115</v>
      </c>
      <c r="J4" s="20"/>
      <c r="K4" s="21" t="s">
        <v>2</v>
      </c>
    </row>
    <row r="5" spans="1:11" x14ac:dyDescent="0.25">
      <c r="A5" s="17" t="s">
        <v>73</v>
      </c>
      <c r="B5" s="63">
        <f>'pooled normalised values'!P75</f>
        <v>1.8210194807272808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9.0738879492618094E-2</v>
      </c>
      <c r="D6" s="21" t="s">
        <v>12</v>
      </c>
      <c r="E6" s="24">
        <f>$B$2</f>
        <v>0.10038748006553394</v>
      </c>
      <c r="F6" s="24">
        <f>$B$2</f>
        <v>0.10038748006553394</v>
      </c>
      <c r="G6" s="24">
        <f>$B$2</f>
        <v>0.10038748006553394</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9.0738879492618094E-2</v>
      </c>
      <c r="I8" s="25">
        <f t="shared" ref="I8:J8" si="1">$B$6</f>
        <v>9.0738879492618094E-2</v>
      </c>
      <c r="J8" s="25">
        <f t="shared" si="1"/>
        <v>9.0738879492618094E-2</v>
      </c>
      <c r="K8" s="28" t="s">
        <v>14</v>
      </c>
    </row>
    <row r="9" spans="1:11" x14ac:dyDescent="0.25">
      <c r="D9" s="28" t="s">
        <v>15</v>
      </c>
      <c r="E9" s="29">
        <f>$B$3-E8</f>
        <v>0</v>
      </c>
      <c r="F9" s="29">
        <f>$B$3-F8</f>
        <v>0</v>
      </c>
      <c r="G9" s="29">
        <f>$B$3-G8</f>
        <v>0</v>
      </c>
      <c r="H9" s="25">
        <f>$B$5-H8</f>
        <v>1.7302806012346628</v>
      </c>
      <c r="I9" s="25">
        <f>$B$5-I8</f>
        <v>1.7302806012346628</v>
      </c>
      <c r="J9" s="25">
        <f>$B$5-J8</f>
        <v>1.7302806012346628</v>
      </c>
      <c r="K9" s="28" t="s">
        <v>15</v>
      </c>
    </row>
    <row r="10" spans="1:11" x14ac:dyDescent="0.25">
      <c r="D10" s="28" t="s">
        <v>16</v>
      </c>
      <c r="E10" s="27">
        <f t="shared" ref="E10:J10" si="2">2.5-E9</f>
        <v>2.5</v>
      </c>
      <c r="F10" s="27">
        <f t="shared" si="2"/>
        <v>2.5</v>
      </c>
      <c r="G10" s="27">
        <f t="shared" si="2"/>
        <v>2.5</v>
      </c>
      <c r="H10" s="25">
        <f t="shared" si="2"/>
        <v>0.76971939876533724</v>
      </c>
      <c r="I10" s="25">
        <f t="shared" si="2"/>
        <v>0.76971939876533724</v>
      </c>
      <c r="J10" s="25">
        <f t="shared" si="2"/>
        <v>0.76971939876533724</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0DF47A-BBAE-4F84-A35F-A09F1995E9C7}"/>
</file>

<file path=customXml/itemProps2.xml><?xml version="1.0" encoding="utf-8"?>
<ds:datastoreItem xmlns:ds="http://schemas.openxmlformats.org/officeDocument/2006/customXml" ds:itemID="{FE3F0CFD-89E2-403C-B4DC-76395F2F20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2022-10-05T14:00:31Z</dcterms:modified>
</cp:coreProperties>
</file>