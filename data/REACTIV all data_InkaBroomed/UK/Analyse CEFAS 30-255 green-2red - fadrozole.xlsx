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drawings/drawing15.xml" ContentType="application/vnd.openxmlformats-officedocument.drawingml.chartshapes+xml"/>
  <Override PartName="/xl/drawings/drawing10.xml" ContentType="application/vnd.openxmlformats-officedocument.drawingml.chartshapes+xml"/>
  <Override PartName="/xl/drawings/drawing4.xml" ContentType="application/vnd.openxmlformats-officedocument.drawingml.chartshapes+xml"/>
  <Override PartName="/xl/drawings/drawing13.xml" ContentType="application/vnd.openxmlformats-officedocument.drawingml.chartshapes+xml"/>
  <Override PartName="/xl/drawings/drawing18.xml" ContentType="application/vnd.openxmlformats-officedocument.drawingml.chartshapes+xml"/>
  <Override PartName="/xl/drawings/drawing17.xml" ContentType="application/vnd.openxmlformats-officedocument.drawingml.chartshapes+xml"/>
  <Override PartName="/xl/drawings/drawing16.xml" ContentType="application/vnd.openxmlformats-officedocument.drawingml.chartshapes+xml"/>
  <Override PartName="/xl/drawings/drawing12.xml" ContentType="application/vnd.openxmlformats-officedocument.drawingml.chartshapes+xml"/>
  <Override PartName="/xl/drawings/drawing11.xml" ContentType="application/vnd.openxmlformats-officedocument.drawingml.chartshapes+xml"/>
  <Override PartName="/xl/drawings/drawing2.xml" ContentType="application/vnd.openxmlformats-officedocument.drawingml.chartshapes+xml"/>
  <Override PartName="/xl/drawings/drawing6.xml" ContentType="application/vnd.openxmlformats-officedocument.drawingml.chartshap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chartsheets/sheet1.xml" ContentType="application/vnd.openxmlformats-officedocument.spreadsheetml.chartsheet+xml"/>
  <Override PartName="/xl/worksheets/sheet5.xml" ContentType="application/vnd.openxmlformats-officedocument.spreadsheetml.worksheet+xml"/>
  <Override PartName="/xl/worksheets/sheet6.xml" ContentType="application/vnd.openxmlformats-officedocument.spreadsheetml.worksheet+xml"/>
  <Override PartName="/xl/chartsheets/sheet2.xml" ContentType="application/vnd.openxmlformats-officedocument.spreadsheetml.chartsheet+xml"/>
  <Override PartName="/xl/worksheets/sheet7.xml" ContentType="application/vnd.openxmlformats-officedocument.spreadsheetml.worksheet+xml"/>
  <Override PartName="/xl/worksheets/sheet8.xml" ContentType="application/vnd.openxmlformats-officedocument.spreadsheetml.worksheet+xml"/>
  <Override PartName="/xl/chartsheets/sheet3.xml" ContentType="application/vnd.openxmlformats-officedocument.spreadsheetml.chartsheet+xml"/>
  <Override PartName="/xl/worksheets/sheet9.xml" ContentType="application/vnd.openxmlformats-officedocument.spreadsheetml.worksheet+xml"/>
  <Override PartName="/xl/chartsheets/sheet4.xml" ContentType="application/vnd.openxmlformats-officedocument.spreadsheetml.chart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pivotTables/pivotTable2.xml" ContentType="application/vnd.openxmlformats-officedocument.spreadsheetml.pivotTable+xml"/>
  <Override PartName="/xl/drawings/drawing3.xml" ContentType="application/vnd.openxmlformats-officedocument.drawing+xml"/>
  <Override PartName="/xl/charts/chart2.xml" ContentType="application/vnd.openxmlformats-officedocument.drawingml.chart+xml"/>
  <Override PartName="/xl/pivotTables/pivotTable3.xml" ContentType="application/vnd.openxmlformats-officedocument.spreadsheetml.pivotTable+xml"/>
  <Override PartName="/xl/drawings/drawing5.xml" ContentType="application/vnd.openxmlformats-officedocument.drawing+xml"/>
  <Override PartName="/xl/charts/chart3.xml" ContentType="application/vnd.openxmlformats-officedocument.drawingml.chart+xml"/>
  <Override PartName="/xl/drawings/drawing7.xml" ContentType="application/vnd.openxmlformats-officedocument.drawing+xml"/>
  <Override PartName="/xl/charts/chart4.xml" ContentType="application/vnd.openxmlformats-officedocument.drawingml.chart+xml"/>
  <Override PartName="/xl/drawings/drawing8.xml" ContentType="application/vnd.openxmlformats-officedocument.drawing+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charts/chart8.xml" ContentType="application/vnd.openxmlformats-officedocument.drawingml.chart+xml"/>
  <Override PartName="/xl/drawings/drawing9.xml" ContentType="application/vnd.openxmlformats-officedocument.drawing+xml"/>
  <Override PartName="/xl/charts/chart9.xml" ContentType="application/vnd.openxmlformats-officedocument.drawingml.chart+xml"/>
  <Override PartName="/xl/charts/chart10.xml" ContentType="application/vnd.openxmlformats-officedocument.drawingml.chart+xml"/>
  <Override PartName="/xl/charts/chart11.xml" ContentType="application/vnd.openxmlformats-officedocument.drawingml.chart+xml"/>
  <Override PartName="/xl/charts/chart12.xml" ContentType="application/vnd.openxmlformats-officedocument.drawingml.chart+xml"/>
  <Override PartName="/xl/drawings/drawing14.xml" ContentType="application/vnd.openxmlformats-officedocument.drawing+xml"/>
  <Override PartName="/xl/charts/chart13.xml" ContentType="application/vnd.openxmlformats-officedocument.drawingml.chart+xml"/>
  <Override PartName="/xl/charts/chart14.xml" ContentType="application/vnd.openxmlformats-officedocument.drawingml.chart+xml"/>
  <Override PartName="/xl/charts/chart15.xml" ContentType="application/vnd.openxmlformats-officedocument.drawingml.chart+xml"/>
  <Override PartName="/xl/charts/chart16.xml" ContentType="application/vnd.openxmlformats-officedocument.drawingml.chart+xml"/>
  <Override PartName="/xl/pivotTables/pivotTable4.xml" ContentType="application/vnd.openxmlformats-officedocument.spreadsheetml.pivotTable+xml"/>
  <Override PartName="/xl/pivotTables/pivotTable5.xml" ContentType="application/vnd.openxmlformats-officedocument.spreadsheetml.pivotTable+xml"/>
  <Override PartName="/xl/externalLinks/externalLink1.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pivotCache/pivotCacheDefinition4.xml" ContentType="application/vnd.openxmlformats-officedocument.spreadsheetml.pivotCacheDefinition+xml"/>
  <Override PartName="/xl/pivotCache/pivotCacheRecords4.xml" ContentType="application/vnd.openxmlformats-officedocument.spreadsheetml.pivotCacheRecord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7.xml" ContentType="application/vnd.openxmlformats-officedocument.spreadsheetml.table+xml"/>
  <Override PartName="/xl/calcChain.xml" ContentType="application/vnd.openxmlformats-officedocument.spreadsheetml.calcChain+xml"/>
  <Override PartName="/xl/tables/table4.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Override PartName="/xl/comments1.xml" ContentType="application/vnd.openxmlformats-officedocument.spreadsheetml.comments+xml"/>
  <Override PartName="/xl/tables/table6.xml" ContentType="application/vnd.openxmlformats-officedocument.spreadsheetml.table+xml"/>
  <Override PartName="/xl/tables/table5.xml" ContentType="application/vnd.openxmlformats-officedocument.spreadsheetml.table+xml"/>
  <Override PartName="/customXml/itemProps1.xml" ContentType="application/vnd.openxmlformats-officedocument.customXmlProperties+xml"/>
  <Override PartName="/customXml/itemProps2.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5629"/>
  <workbookPr filterPrivacy="1" hidePivotFieldList="1" defaultThemeVersion="124226"/>
  <xr:revisionPtr revIDLastSave="0" documentId="13_ncr:1_{5CC98515-89AD-4852-81BB-87E62BC13BC5}" xr6:coauthVersionLast="47" xr6:coauthVersionMax="47" xr10:uidLastSave="{00000000-0000-0000-0000-000000000000}"/>
  <bookViews>
    <workbookView xWindow="-110" yWindow="-110" windowWidth="19420" windowHeight="10420" firstSheet="8" activeTab="11" xr2:uid="{00000000-000D-0000-FFFF-FFFF00000000}"/>
  </bookViews>
  <sheets>
    <sheet name="Page de garde" sheetId="10" r:id="rId1"/>
    <sheet name="Feuil1" sheetId="39" r:id="rId2"/>
    <sheet name="Raw data R1" sheetId="35" r:id="rId3"/>
    <sheet name="R1" sheetId="1" r:id="rId4"/>
    <sheet name="Graph R1" sheetId="8" r:id="rId5"/>
    <sheet name="Raw data R2" sheetId="36" r:id="rId6"/>
    <sheet name="R2" sheetId="23" r:id="rId7"/>
    <sheet name="Graph R2" sheetId="19" r:id="rId8"/>
    <sheet name="Raw data R3" sheetId="37" r:id="rId9"/>
    <sheet name="R3" sheetId="33" r:id="rId10"/>
    <sheet name="Graph R3" sheetId="34" r:id="rId11"/>
    <sheet name="pooled normalised values" sheetId="4" r:id="rId12"/>
    <sheet name="pooled normalised graphe" sheetId="5" r:id="rId13"/>
    <sheet name="summary results" sheetId="22" r:id="rId14"/>
    <sheet name="Notice" sheetId="38" r:id="rId15"/>
    <sheet name="Graph format rapport CHG" sheetId="12" r:id="rId16"/>
    <sheet name="Graph format rapport CHG 1éch" sheetId="27" r:id="rId17"/>
    <sheet name="Récap" sheetId="28" r:id="rId18"/>
  </sheets>
  <externalReferences>
    <externalReference r:id="rId19"/>
  </externalReferences>
  <definedNames>
    <definedName name="_xlnm.Print_Area" localSheetId="0">'Page de garde'!$A$1:$I$52</definedName>
  </definedNames>
  <calcPr calcId="181029"/>
  <pivotCaches>
    <pivotCache cacheId="28" r:id="rId20"/>
    <pivotCache cacheId="29" r:id="rId21"/>
    <pivotCache cacheId="30" r:id="rId22"/>
    <pivotCache cacheId="31" r:id="rId23"/>
  </pivotCaches>
  <extLst>
    <ext xmlns:xcalcf="http://schemas.microsoft.com/office/spreadsheetml/2018/calcfeatures" uri="{B58B0392-4F1F-4190-BB64-5DF3571DCE5F}">
      <xcalcf:calcFeatures>
        <xcalcf:feature name="microsoft.com:RD"/>
        <xcalcf:feature name="microsoft.com:FV"/>
        <xcalcf:feature name="microsoft.com:LET_WF"/>
      </xcalcf:calcFeatures>
    </ext>
  </extLst>
</workbook>
</file>

<file path=xl/calcChain.xml><?xml version="1.0" encoding="utf-8"?>
<calcChain xmlns="http://schemas.openxmlformats.org/spreadsheetml/2006/main">
  <c r="V94" i="4" l="1"/>
  <c r="U94" i="4"/>
  <c r="T94" i="4"/>
  <c r="S94" i="4"/>
  <c r="R94" i="4"/>
  <c r="Q94" i="4"/>
  <c r="P94" i="4"/>
  <c r="O94" i="4"/>
  <c r="N94" i="4"/>
  <c r="M94" i="4"/>
  <c r="L94" i="4"/>
  <c r="K94" i="4"/>
  <c r="J94" i="4"/>
  <c r="I94" i="4"/>
  <c r="H94" i="4"/>
  <c r="G94" i="4"/>
  <c r="F94" i="4"/>
  <c r="E94" i="4"/>
  <c r="D94" i="4"/>
  <c r="C94" i="4"/>
  <c r="B94" i="4"/>
  <c r="A1011" i="37"/>
  <c r="B1011" i="37"/>
  <c r="A1012" i="37"/>
  <c r="B1012" i="37"/>
  <c r="A1013" i="37"/>
  <c r="B1013" i="37"/>
  <c r="A1014" i="37"/>
  <c r="B1014" i="37"/>
  <c r="A1015" i="37"/>
  <c r="B1015" i="37"/>
  <c r="A1016" i="37"/>
  <c r="B1016" i="37"/>
  <c r="A1017" i="37"/>
  <c r="B1017" i="37"/>
  <c r="A1018" i="37"/>
  <c r="B1018" i="37"/>
  <c r="A1019" i="37"/>
  <c r="B1019" i="37"/>
  <c r="A1020" i="37"/>
  <c r="B1020" i="37"/>
  <c r="A1021" i="37"/>
  <c r="B1021" i="37"/>
  <c r="A1022" i="37"/>
  <c r="B1022" i="37"/>
  <c r="A1023" i="37"/>
  <c r="B1023" i="37"/>
  <c r="A1024" i="37"/>
  <c r="B1024" i="37"/>
  <c r="A1025" i="37"/>
  <c r="B1025" i="37"/>
  <c r="A1026" i="37"/>
  <c r="B1026" i="37"/>
  <c r="A1027" i="37"/>
  <c r="B1027" i="37"/>
  <c r="A1028" i="37"/>
  <c r="B1028" i="37"/>
  <c r="A1029" i="37"/>
  <c r="B1029" i="37"/>
  <c r="A1030" i="37"/>
  <c r="B1030" i="37"/>
  <c r="A1031" i="37"/>
  <c r="B1031" i="37"/>
  <c r="A1032" i="37"/>
  <c r="B1032" i="37"/>
  <c r="A1033" i="37"/>
  <c r="B1033" i="37"/>
  <c r="A1034" i="37"/>
  <c r="B1034" i="37"/>
  <c r="A1035" i="37"/>
  <c r="B1035" i="37"/>
  <c r="A1036" i="37"/>
  <c r="B1036" i="37"/>
  <c r="A1037" i="37"/>
  <c r="B1037" i="37"/>
  <c r="A1038" i="37"/>
  <c r="B1038" i="37"/>
  <c r="A1039" i="37"/>
  <c r="B1039" i="37"/>
  <c r="A1040" i="37"/>
  <c r="B1040" i="37"/>
  <c r="A1041" i="37"/>
  <c r="B1041" i="37"/>
  <c r="A1042" i="37"/>
  <c r="B1042" i="37"/>
  <c r="A1043" i="37"/>
  <c r="B1043" i="37"/>
  <c r="A1044" i="37"/>
  <c r="B1044" i="37"/>
  <c r="A1045" i="37"/>
  <c r="B1045" i="37"/>
  <c r="A1046" i="37"/>
  <c r="B1046" i="37"/>
  <c r="A1047" i="37"/>
  <c r="B1047" i="37"/>
  <c r="A1048" i="37"/>
  <c r="B1048" i="37"/>
  <c r="A1049" i="37"/>
  <c r="B1049" i="37"/>
  <c r="A1050" i="37"/>
  <c r="B1050" i="37"/>
  <c r="A1051" i="37"/>
  <c r="B1051" i="37"/>
  <c r="A1052" i="37"/>
  <c r="B1052" i="37"/>
  <c r="A1053" i="37"/>
  <c r="B1053" i="37"/>
  <c r="A1054" i="37"/>
  <c r="B1054" i="37"/>
  <c r="A1055" i="37"/>
  <c r="B1055" i="37"/>
  <c r="A1056" i="37"/>
  <c r="B1056" i="37"/>
  <c r="A1057" i="37"/>
  <c r="B1057" i="37"/>
  <c r="A1058" i="37"/>
  <c r="B1058" i="37"/>
  <c r="A1059" i="37"/>
  <c r="B1059" i="37"/>
  <c r="A1060" i="37"/>
  <c r="B1060" i="37"/>
  <c r="A1061" i="37"/>
  <c r="B1061" i="37"/>
  <c r="A1062" i="37"/>
  <c r="B1062" i="37"/>
  <c r="A1063" i="37"/>
  <c r="B1063" i="37"/>
  <c r="A1064" i="37"/>
  <c r="B1064" i="37"/>
  <c r="A1065" i="37"/>
  <c r="B1065" i="37"/>
  <c r="A1066" i="37"/>
  <c r="B1066" i="37"/>
  <c r="A1067" i="37"/>
  <c r="B1067" i="37"/>
  <c r="A1068" i="37"/>
  <c r="B1068" i="37"/>
  <c r="A1069" i="37"/>
  <c r="B1069" i="37"/>
  <c r="A1070" i="37"/>
  <c r="B1070" i="37"/>
  <c r="A1071" i="37"/>
  <c r="B1071" i="37"/>
  <c r="A1072" i="37"/>
  <c r="B1072" i="37"/>
  <c r="A1073" i="37"/>
  <c r="B1073" i="37"/>
  <c r="A1074" i="37"/>
  <c r="B1074" i="37"/>
  <c r="A1075" i="37"/>
  <c r="B1075" i="37"/>
  <c r="A1076" i="37"/>
  <c r="B1076" i="37"/>
  <c r="A1077" i="37"/>
  <c r="B1077" i="37"/>
  <c r="A1078" i="37"/>
  <c r="B1078" i="37"/>
  <c r="A1079" i="37"/>
  <c r="B1079" i="37"/>
  <c r="A1080" i="37"/>
  <c r="B1080" i="37"/>
  <c r="A1081" i="37"/>
  <c r="B1081" i="37"/>
  <c r="A1082" i="37"/>
  <c r="B1082" i="37"/>
  <c r="A1083" i="37"/>
  <c r="B1083" i="37"/>
  <c r="A1084" i="37"/>
  <c r="B1084" i="37"/>
  <c r="A1085" i="37"/>
  <c r="B1085" i="37"/>
  <c r="A1086" i="37"/>
  <c r="B1086" i="37"/>
  <c r="A1087" i="37"/>
  <c r="B1087" i="37"/>
  <c r="A1088" i="37"/>
  <c r="B1088" i="37"/>
  <c r="A1089" i="37"/>
  <c r="B1089" i="37"/>
  <c r="A1090" i="37"/>
  <c r="B1090" i="37"/>
  <c r="A1091" i="37"/>
  <c r="B1091" i="37"/>
  <c r="A1092" i="37"/>
  <c r="B1092" i="37"/>
  <c r="A1093" i="37"/>
  <c r="B1093" i="37"/>
  <c r="A1094" i="37"/>
  <c r="B1094" i="37"/>
  <c r="A1095" i="37"/>
  <c r="B1095" i="37"/>
  <c r="A1096" i="37"/>
  <c r="B1096" i="37"/>
  <c r="A1097" i="37"/>
  <c r="B1097" i="37"/>
  <c r="A1098" i="37"/>
  <c r="B1098" i="37"/>
  <c r="A1099" i="37"/>
  <c r="B1099" i="37"/>
  <c r="A1100" i="37"/>
  <c r="B1100" i="37"/>
  <c r="A1101" i="37"/>
  <c r="B1101" i="37"/>
  <c r="A1102" i="37"/>
  <c r="B1102" i="37"/>
  <c r="A1103" i="37"/>
  <c r="B1103" i="37"/>
  <c r="A1104" i="37"/>
  <c r="B1104" i="37"/>
  <c r="A1105" i="37"/>
  <c r="B1105" i="37"/>
  <c r="A1106" i="37"/>
  <c r="B1106" i="37"/>
  <c r="A1107" i="37"/>
  <c r="B1107" i="37"/>
  <c r="A1108" i="37"/>
  <c r="B1108" i="37"/>
  <c r="A1109" i="37"/>
  <c r="B1109" i="37"/>
  <c r="A1110" i="37"/>
  <c r="B1110" i="37"/>
  <c r="A1111" i="37"/>
  <c r="B1111" i="37"/>
  <c r="A1112" i="37"/>
  <c r="B1112" i="37"/>
  <c r="A1113" i="37"/>
  <c r="B1113" i="37"/>
  <c r="A1114" i="37"/>
  <c r="B1114" i="37"/>
  <c r="A1115" i="37"/>
  <c r="B1115" i="37"/>
  <c r="A1116" i="37"/>
  <c r="B1116" i="37"/>
  <c r="A1117" i="37"/>
  <c r="B1117" i="37"/>
  <c r="A1118" i="37"/>
  <c r="B1118" i="37"/>
  <c r="A1119" i="37"/>
  <c r="B1119" i="37"/>
  <c r="A1120" i="37"/>
  <c r="B1120" i="37"/>
  <c r="A1121" i="37"/>
  <c r="B1121" i="37"/>
  <c r="A1122" i="37"/>
  <c r="B1122" i="37"/>
  <c r="A1123" i="37"/>
  <c r="B1123" i="37"/>
  <c r="A1124" i="37"/>
  <c r="B1124" i="37"/>
  <c r="A1125" i="37"/>
  <c r="B1125" i="37"/>
  <c r="A1126" i="37"/>
  <c r="B1126" i="37"/>
  <c r="A1127" i="37"/>
  <c r="B1127" i="37"/>
  <c r="A1128" i="37"/>
  <c r="B1128" i="37"/>
  <c r="A1129" i="37"/>
  <c r="B1129" i="37"/>
  <c r="A1130" i="37"/>
  <c r="B1130" i="37"/>
  <c r="A1131" i="37"/>
  <c r="B1131" i="37"/>
  <c r="A1132" i="37"/>
  <c r="B1132" i="37"/>
  <c r="A1133" i="37"/>
  <c r="B1133" i="37"/>
  <c r="A1134" i="37"/>
  <c r="B1134" i="37"/>
  <c r="A1135" i="37"/>
  <c r="B1135" i="37"/>
  <c r="A1136" i="37"/>
  <c r="B1136" i="37"/>
  <c r="A1137" i="37"/>
  <c r="B1137" i="37"/>
  <c r="A1138" i="37"/>
  <c r="B1138" i="37"/>
  <c r="A1139" i="37"/>
  <c r="B1139" i="37"/>
  <c r="A1140" i="37"/>
  <c r="B1140" i="37"/>
  <c r="A1141" i="37"/>
  <c r="B1141" i="37"/>
  <c r="A1142" i="37"/>
  <c r="B1142" i="37"/>
  <c r="A1143" i="37"/>
  <c r="B1143" i="37"/>
  <c r="A1144" i="37"/>
  <c r="B1144" i="37"/>
  <c r="A1145" i="37"/>
  <c r="B1145" i="37"/>
  <c r="A1146" i="37"/>
  <c r="B1146" i="37"/>
  <c r="A1147" i="37"/>
  <c r="B1147" i="37"/>
  <c r="A1148" i="37"/>
  <c r="B1148" i="37"/>
  <c r="A1149" i="37"/>
  <c r="B1149" i="37"/>
  <c r="A1150" i="37"/>
  <c r="B1150" i="37"/>
  <c r="A1151" i="37"/>
  <c r="B1151" i="37"/>
  <c r="A1152" i="37"/>
  <c r="B1152" i="37"/>
  <c r="A1153" i="37"/>
  <c r="B1153" i="37"/>
  <c r="A1154" i="37"/>
  <c r="B1154" i="37"/>
  <c r="A1155" i="37"/>
  <c r="B1155" i="37"/>
  <c r="A1156" i="37"/>
  <c r="B1156" i="37"/>
  <c r="A1157" i="37"/>
  <c r="B1157" i="37"/>
  <c r="A1158" i="37"/>
  <c r="B1158" i="37"/>
  <c r="A1159" i="37"/>
  <c r="B1159" i="37"/>
  <c r="A1160" i="37"/>
  <c r="B1160" i="37"/>
  <c r="A1161" i="37"/>
  <c r="B1161" i="37"/>
  <c r="A1162" i="37"/>
  <c r="B1162" i="37"/>
  <c r="A1163" i="37"/>
  <c r="B1163" i="37"/>
  <c r="A1164" i="37"/>
  <c r="B1164" i="37"/>
  <c r="A1165" i="37"/>
  <c r="B1165" i="37"/>
  <c r="A1166" i="37"/>
  <c r="B1166" i="37"/>
  <c r="A1167" i="37"/>
  <c r="B1167" i="37"/>
  <c r="A1168" i="37"/>
  <c r="B1168" i="37"/>
  <c r="A1169" i="37"/>
  <c r="B1169" i="37"/>
  <c r="A1170" i="37"/>
  <c r="B1170" i="37"/>
  <c r="A1171" i="37"/>
  <c r="B1171" i="37"/>
  <c r="A1172" i="37"/>
  <c r="B1172" i="37"/>
  <c r="A1173" i="37"/>
  <c r="B1173" i="37"/>
  <c r="A1174" i="37"/>
  <c r="B1174" i="37"/>
  <c r="A1175" i="37"/>
  <c r="B1175" i="37"/>
  <c r="A1176" i="37"/>
  <c r="B1176" i="37"/>
  <c r="A1177" i="37"/>
  <c r="B1177" i="37"/>
  <c r="A1178" i="37"/>
  <c r="B1178" i="37"/>
  <c r="A1179" i="37"/>
  <c r="B1179" i="37"/>
  <c r="A1180" i="37"/>
  <c r="B1180" i="37"/>
  <c r="A1181" i="37"/>
  <c r="B1181" i="37"/>
  <c r="A1182" i="37"/>
  <c r="B1182" i="37"/>
  <c r="A1183" i="37"/>
  <c r="B1183" i="37"/>
  <c r="A1184" i="37"/>
  <c r="B1184" i="37"/>
  <c r="A1185" i="37"/>
  <c r="B1185" i="37"/>
  <c r="A1186" i="37"/>
  <c r="B1186" i="37"/>
  <c r="A1187" i="37"/>
  <c r="B1187" i="37"/>
  <c r="A1188" i="37"/>
  <c r="B1188" i="37"/>
  <c r="A1189" i="37"/>
  <c r="B1189" i="37"/>
  <c r="A1190" i="37"/>
  <c r="B1190" i="37"/>
  <c r="A1191" i="37"/>
  <c r="B1191" i="37"/>
  <c r="A1192" i="37"/>
  <c r="B1192" i="37"/>
  <c r="A1193" i="37"/>
  <c r="B1193" i="37"/>
  <c r="A1194" i="37"/>
  <c r="B1194" i="37"/>
  <c r="A1195" i="37"/>
  <c r="B1195" i="37"/>
  <c r="A1196" i="37"/>
  <c r="B1196" i="37"/>
  <c r="A1197" i="37"/>
  <c r="B1197" i="37"/>
  <c r="A1198" i="37"/>
  <c r="B1198" i="37"/>
  <c r="A1199" i="37"/>
  <c r="B1199" i="37"/>
  <c r="A1200" i="37"/>
  <c r="B1200" i="37"/>
  <c r="A1201" i="37"/>
  <c r="B1201" i="37"/>
  <c r="A1202" i="37"/>
  <c r="B1202" i="37"/>
  <c r="A1203" i="37"/>
  <c r="B1203" i="37"/>
  <c r="A1204" i="37"/>
  <c r="B1204" i="37"/>
  <c r="A1205" i="37"/>
  <c r="B1205" i="37"/>
  <c r="A1206" i="37"/>
  <c r="B1206" i="37"/>
  <c r="A1207" i="37"/>
  <c r="B1207" i="37"/>
  <c r="A1208" i="37"/>
  <c r="B1208" i="37"/>
  <c r="A1209" i="37"/>
  <c r="B1209" i="37"/>
  <c r="A1210" i="37"/>
  <c r="B1210" i="37"/>
  <c r="A1211" i="37"/>
  <c r="B1211" i="37"/>
  <c r="A1212" i="37"/>
  <c r="B1212" i="37"/>
  <c r="A1213" i="37"/>
  <c r="B1213" i="37"/>
  <c r="A1214" i="37"/>
  <c r="B1214" i="37"/>
  <c r="A1215" i="37"/>
  <c r="B1215" i="37"/>
  <c r="A1216" i="37"/>
  <c r="B1216" i="37"/>
  <c r="A1217" i="37"/>
  <c r="B1217" i="37"/>
  <c r="A1218" i="37"/>
  <c r="B1218" i="37"/>
  <c r="A1219" i="37"/>
  <c r="B1219" i="37"/>
  <c r="A1220" i="37"/>
  <c r="B1220" i="37"/>
  <c r="A1221" i="37"/>
  <c r="B1221" i="37"/>
  <c r="A1222" i="37"/>
  <c r="B1222" i="37"/>
  <c r="A1223" i="37"/>
  <c r="B1223" i="37"/>
  <c r="A1224" i="37"/>
  <c r="B1224" i="37"/>
  <c r="A1225" i="37"/>
  <c r="B1225" i="37"/>
  <c r="A1226" i="37"/>
  <c r="B1226" i="37"/>
  <c r="A1227" i="37"/>
  <c r="B1227" i="37"/>
  <c r="A1228" i="37"/>
  <c r="B1228" i="37"/>
  <c r="A1229" i="37"/>
  <c r="B1229" i="37"/>
  <c r="A1230" i="37"/>
  <c r="B1230" i="37"/>
  <c r="A1231" i="37"/>
  <c r="B1231" i="37"/>
  <c r="A1232" i="37"/>
  <c r="B1232" i="37"/>
  <c r="A1233" i="37"/>
  <c r="B1233" i="37"/>
  <c r="A1234" i="37"/>
  <c r="B1234" i="37"/>
  <c r="A1235" i="37"/>
  <c r="B1235" i="37"/>
  <c r="A1236" i="37"/>
  <c r="B1236" i="37"/>
  <c r="A1237" i="37"/>
  <c r="B1237" i="37"/>
  <c r="A1238" i="37"/>
  <c r="B1238" i="37"/>
  <c r="A1239" i="37"/>
  <c r="B1239" i="37"/>
  <c r="A1240" i="37"/>
  <c r="B1240" i="37"/>
  <c r="A1241" i="37"/>
  <c r="B1241" i="37"/>
  <c r="A1242" i="37"/>
  <c r="B1242" i="37"/>
  <c r="A1243" i="37"/>
  <c r="B1243" i="37"/>
  <c r="A1244" i="37"/>
  <c r="B1244" i="37"/>
  <c r="A1245" i="37"/>
  <c r="B1245" i="37"/>
  <c r="A1246" i="37"/>
  <c r="B1246" i="37"/>
  <c r="A1247" i="37"/>
  <c r="B1247" i="37"/>
  <c r="A1248" i="37"/>
  <c r="B1248" i="37"/>
  <c r="A1249" i="37"/>
  <c r="B1249" i="37"/>
  <c r="A1250" i="37"/>
  <c r="B1250" i="37"/>
  <c r="A1251" i="37"/>
  <c r="B1251" i="37"/>
  <c r="A1252" i="37"/>
  <c r="B1252" i="37"/>
  <c r="A1253" i="37"/>
  <c r="B1253" i="37"/>
  <c r="A1254" i="37"/>
  <c r="B1254" i="37"/>
  <c r="A1255" i="37"/>
  <c r="B1255" i="37"/>
  <c r="A1256" i="37"/>
  <c r="B1256" i="37"/>
  <c r="A1257" i="37"/>
  <c r="B1257" i="37"/>
  <c r="A1258" i="37"/>
  <c r="B1258" i="37"/>
  <c r="A1259" i="37"/>
  <c r="B1259" i="37"/>
  <c r="A1260" i="37"/>
  <c r="B1260" i="37"/>
  <c r="A1261" i="37"/>
  <c r="B1261" i="37"/>
  <c r="A1262" i="37"/>
  <c r="B1262" i="37"/>
  <c r="A1263" i="37"/>
  <c r="B1263" i="37"/>
  <c r="A1264" i="37"/>
  <c r="B1264" i="37"/>
  <c r="A1265" i="37"/>
  <c r="B1265" i="37"/>
  <c r="A1266" i="37"/>
  <c r="B1266" i="37"/>
  <c r="A1267" i="37"/>
  <c r="B1267" i="37"/>
  <c r="A1268" i="37"/>
  <c r="B1268" i="37"/>
  <c r="A1269" i="37"/>
  <c r="B1269" i="37"/>
  <c r="A1270" i="37"/>
  <c r="B1270" i="37"/>
  <c r="A1271" i="37"/>
  <c r="B1271" i="37"/>
  <c r="A1272" i="37"/>
  <c r="B1272" i="37"/>
  <c r="A1273" i="37"/>
  <c r="B1273" i="37"/>
  <c r="A1274" i="37"/>
  <c r="B1274" i="37"/>
  <c r="A1275" i="37"/>
  <c r="B1275" i="37"/>
  <c r="A1276" i="37"/>
  <c r="B1276" i="37"/>
  <c r="A1277" i="37"/>
  <c r="B1277" i="37"/>
  <c r="A1278" i="37"/>
  <c r="B1278" i="37"/>
  <c r="A1279" i="37"/>
  <c r="B1279" i="37"/>
  <c r="A1280" i="37"/>
  <c r="B1280" i="37"/>
  <c r="A1281" i="37"/>
  <c r="B1281" i="37"/>
  <c r="A1282" i="37"/>
  <c r="B1282" i="37"/>
  <c r="A1283" i="37"/>
  <c r="B1283" i="37"/>
  <c r="A1284" i="37"/>
  <c r="B1284" i="37"/>
  <c r="A1285" i="37"/>
  <c r="B1285" i="37"/>
  <c r="A1286" i="37"/>
  <c r="B1286" i="37"/>
  <c r="A1287" i="37"/>
  <c r="B1287" i="37"/>
  <c r="A1288" i="37"/>
  <c r="B1288" i="37"/>
  <c r="A1289" i="37"/>
  <c r="B1289" i="37"/>
  <c r="A1290" i="37"/>
  <c r="B1290" i="37"/>
  <c r="A1291" i="37"/>
  <c r="B1291" i="37"/>
  <c r="A1292" i="37"/>
  <c r="B1292" i="37"/>
  <c r="A1293" i="37"/>
  <c r="B1293" i="37"/>
  <c r="A1294" i="37"/>
  <c r="B1294" i="37"/>
  <c r="A1295" i="37"/>
  <c r="B1295" i="37"/>
  <c r="A1296" i="37"/>
  <c r="B1296" i="37"/>
  <c r="A1297" i="37"/>
  <c r="B1297" i="37"/>
  <c r="A1298" i="37"/>
  <c r="B1298" i="37"/>
  <c r="A1299" i="37"/>
  <c r="B1299" i="37"/>
  <c r="A1300" i="37"/>
  <c r="B1300" i="37"/>
  <c r="A1301" i="37"/>
  <c r="B1301" i="37"/>
  <c r="A1302" i="37"/>
  <c r="B1302" i="37"/>
  <c r="A1303" i="37"/>
  <c r="B1303" i="37"/>
  <c r="A1304" i="37"/>
  <c r="B1304" i="37"/>
  <c r="A1305" i="37"/>
  <c r="B1305" i="37"/>
  <c r="A1306" i="37"/>
  <c r="B1306" i="37"/>
  <c r="A1307" i="37"/>
  <c r="B1307" i="37"/>
  <c r="A1308" i="37"/>
  <c r="B1308" i="37"/>
  <c r="A1309" i="37"/>
  <c r="B1309" i="37"/>
  <c r="A1310" i="37"/>
  <c r="B1310" i="37"/>
  <c r="A1311" i="37"/>
  <c r="B1311" i="37"/>
  <c r="A1312" i="37"/>
  <c r="B1312" i="37"/>
  <c r="A1313" i="37"/>
  <c r="B1313" i="37"/>
  <c r="A1314" i="37"/>
  <c r="B1314" i="37"/>
  <c r="A1315" i="37"/>
  <c r="B1315" i="37"/>
  <c r="A1316" i="37"/>
  <c r="B1316" i="37"/>
  <c r="A1317" i="37"/>
  <c r="B1317" i="37"/>
  <c r="A1318" i="37"/>
  <c r="B1318" i="37"/>
  <c r="A1319" i="37"/>
  <c r="B1319" i="37"/>
  <c r="A1320" i="37"/>
  <c r="B1320" i="37"/>
  <c r="A1321" i="37"/>
  <c r="B1321" i="37"/>
  <c r="A1322" i="37"/>
  <c r="B1322" i="37"/>
  <c r="A1323" i="37"/>
  <c r="B1323" i="37"/>
  <c r="A1324" i="37"/>
  <c r="B1324" i="37"/>
  <c r="A1325" i="37"/>
  <c r="B1325" i="37"/>
  <c r="A1326" i="37"/>
  <c r="B1326" i="37"/>
  <c r="A1327" i="37"/>
  <c r="B1327" i="37"/>
  <c r="A1328" i="37"/>
  <c r="B1328" i="37"/>
  <c r="A1329" i="37"/>
  <c r="B1329" i="37"/>
  <c r="A1330" i="37"/>
  <c r="B1330" i="37"/>
  <c r="A1331" i="37"/>
  <c r="B1331" i="37"/>
  <c r="A1332" i="37"/>
  <c r="B1332" i="37"/>
  <c r="A1333" i="37"/>
  <c r="B1333" i="37"/>
  <c r="A1334" i="37"/>
  <c r="B1334" i="37"/>
  <c r="A1335" i="37"/>
  <c r="B1335" i="37"/>
  <c r="A1336" i="37"/>
  <c r="B1336" i="37"/>
  <c r="A1337" i="37"/>
  <c r="B1337" i="37"/>
  <c r="A1338" i="37"/>
  <c r="B1338" i="37"/>
  <c r="A1339" i="37"/>
  <c r="B1339" i="37"/>
  <c r="A1340" i="37"/>
  <c r="B1340" i="37"/>
  <c r="A1341" i="37"/>
  <c r="B1341" i="37"/>
  <c r="A1342" i="37"/>
  <c r="B1342" i="37"/>
  <c r="A1343" i="37"/>
  <c r="B1343" i="37"/>
  <c r="A1344" i="37"/>
  <c r="B1344" i="37"/>
  <c r="A1345" i="37"/>
  <c r="B1345" i="37"/>
  <c r="A1346" i="37"/>
  <c r="B1346" i="37"/>
  <c r="A1347" i="37"/>
  <c r="B1347" i="37"/>
  <c r="A1348" i="37"/>
  <c r="B1348" i="37"/>
  <c r="A1349" i="37"/>
  <c r="B1349" i="37"/>
  <c r="A1350" i="37"/>
  <c r="B1350" i="37"/>
  <c r="A1351" i="37"/>
  <c r="B1351" i="37"/>
  <c r="A1352" i="37"/>
  <c r="B1352" i="37"/>
  <c r="A1353" i="37"/>
  <c r="B1353" i="37"/>
  <c r="A1354" i="37"/>
  <c r="B1354" i="37"/>
  <c r="A1355" i="37"/>
  <c r="B1355" i="37"/>
  <c r="A1356" i="37"/>
  <c r="B1356" i="37"/>
  <c r="A1357" i="37"/>
  <c r="B1357" i="37"/>
  <c r="A1358" i="37"/>
  <c r="B1358" i="37"/>
  <c r="A1359" i="37"/>
  <c r="B1359" i="37"/>
  <c r="A1360" i="37"/>
  <c r="B1360" i="37"/>
  <c r="A1361" i="37"/>
  <c r="B1361" i="37"/>
  <c r="A1362" i="37"/>
  <c r="B1362" i="37"/>
  <c r="A1363" i="37"/>
  <c r="B1363" i="37"/>
  <c r="A1364" i="37"/>
  <c r="B1364" i="37"/>
  <c r="A1365" i="37"/>
  <c r="B1365" i="37"/>
  <c r="A1366" i="37"/>
  <c r="B1366" i="37"/>
  <c r="A1367" i="37"/>
  <c r="B1367" i="37"/>
  <c r="A1368" i="37"/>
  <c r="B1368" i="37"/>
  <c r="A1369" i="37"/>
  <c r="B1369" i="37"/>
  <c r="A1370" i="37"/>
  <c r="B1370" i="37"/>
  <c r="A1371" i="37"/>
  <c r="B1371" i="37"/>
  <c r="A1372" i="37"/>
  <c r="B1372" i="37"/>
  <c r="A1373" i="37"/>
  <c r="B1373" i="37"/>
  <c r="A1374" i="37"/>
  <c r="B1374" i="37"/>
  <c r="A1375" i="37"/>
  <c r="B1375" i="37"/>
  <c r="A1376" i="37"/>
  <c r="B1376" i="37"/>
  <c r="A1377" i="37"/>
  <c r="B1377" i="37"/>
  <c r="A1378" i="37"/>
  <c r="B1378" i="37"/>
  <c r="A1379" i="37"/>
  <c r="B1379" i="37"/>
  <c r="A1380" i="37"/>
  <c r="B1380" i="37"/>
  <c r="A1381" i="37"/>
  <c r="B1381" i="37"/>
  <c r="A1382" i="37"/>
  <c r="B1382" i="37"/>
  <c r="A1383" i="37"/>
  <c r="B1383" i="37"/>
  <c r="A1384" i="37"/>
  <c r="B1384" i="37"/>
  <c r="A1385" i="37"/>
  <c r="B1385" i="37"/>
  <c r="A1386" i="37"/>
  <c r="B1386" i="37"/>
  <c r="A1387" i="37"/>
  <c r="B1387" i="37"/>
  <c r="A1388" i="37"/>
  <c r="B1388" i="37"/>
  <c r="A1389" i="37"/>
  <c r="B1389" i="37"/>
  <c r="A1390" i="37"/>
  <c r="B1390" i="37"/>
  <c r="A1391" i="37"/>
  <c r="B1391" i="37"/>
  <c r="A1392" i="37"/>
  <c r="B1392" i="37"/>
  <c r="A1393" i="37"/>
  <c r="B1393" i="37"/>
  <c r="A1394" i="37"/>
  <c r="B1394" i="37"/>
  <c r="A1395" i="37"/>
  <c r="B1395" i="37"/>
  <c r="A1396" i="37"/>
  <c r="B1396" i="37"/>
  <c r="A1397" i="37"/>
  <c r="B1397" i="37"/>
  <c r="A1398" i="37"/>
  <c r="B1398" i="37"/>
  <c r="A1399" i="37"/>
  <c r="B1399" i="37"/>
  <c r="A1400" i="37"/>
  <c r="B1400" i="37"/>
  <c r="A1401" i="37"/>
  <c r="B1401" i="37"/>
  <c r="A1402" i="37"/>
  <c r="B1402" i="37"/>
  <c r="A1403" i="37"/>
  <c r="B1403" i="37"/>
  <c r="A1404" i="37"/>
  <c r="B1404" i="37"/>
  <c r="A1405" i="37"/>
  <c r="B1405" i="37"/>
  <c r="A1406" i="37"/>
  <c r="B1406" i="37"/>
  <c r="A1407" i="37"/>
  <c r="B1407" i="37"/>
  <c r="A1408" i="37"/>
  <c r="B1408" i="37"/>
  <c r="A1409" i="37"/>
  <c r="B1409" i="37"/>
  <c r="A1410" i="37"/>
  <c r="B1410" i="37"/>
  <c r="A1411" i="37"/>
  <c r="B1411" i="37"/>
  <c r="A1412" i="37"/>
  <c r="B1412" i="37"/>
  <c r="A1413" i="37"/>
  <c r="B1413" i="37"/>
  <c r="A1414" i="37"/>
  <c r="B1414" i="37"/>
  <c r="A1415" i="37"/>
  <c r="B1415" i="37"/>
  <c r="A1416" i="37"/>
  <c r="B1416" i="37"/>
  <c r="A1417" i="37"/>
  <c r="B1417" i="37"/>
  <c r="A1418" i="37"/>
  <c r="B1418" i="37"/>
  <c r="A1419" i="37"/>
  <c r="B1419" i="37"/>
  <c r="A1420" i="37"/>
  <c r="B1420" i="37"/>
  <c r="A1421" i="37"/>
  <c r="B1421" i="37"/>
  <c r="A1422" i="37"/>
  <c r="B1422" i="37"/>
  <c r="A1423" i="37"/>
  <c r="B1423" i="37"/>
  <c r="A1424" i="37"/>
  <c r="B1424" i="37"/>
  <c r="A1425" i="37"/>
  <c r="B1425" i="37"/>
  <c r="A1426" i="37"/>
  <c r="B1426" i="37"/>
  <c r="A1427" i="37"/>
  <c r="B1427" i="37"/>
  <c r="A1428" i="37"/>
  <c r="B1428" i="37"/>
  <c r="A1429" i="37"/>
  <c r="B1429" i="37"/>
  <c r="A1430" i="37"/>
  <c r="B1430" i="37"/>
  <c r="A1431" i="37"/>
  <c r="B1431" i="37"/>
  <c r="A1432" i="37"/>
  <c r="B1432" i="37"/>
  <c r="A1433" i="37"/>
  <c r="B1433" i="37"/>
  <c r="A1434" i="37"/>
  <c r="B1434" i="37"/>
  <c r="A1435" i="37"/>
  <c r="B1435" i="37"/>
  <c r="A1436" i="37"/>
  <c r="B1436" i="37"/>
  <c r="A1437" i="37"/>
  <c r="B1437" i="37"/>
  <c r="A1438" i="37"/>
  <c r="B1438" i="37"/>
  <c r="A1439" i="37"/>
  <c r="B1439" i="37"/>
  <c r="A1440" i="37"/>
  <c r="B1440" i="37"/>
  <c r="A1441" i="37"/>
  <c r="B1441" i="37"/>
  <c r="A1442" i="37"/>
  <c r="B1442" i="37"/>
  <c r="A1443" i="37"/>
  <c r="B1443" i="37"/>
  <c r="A1444" i="37"/>
  <c r="B1444" i="37"/>
  <c r="A1445" i="37"/>
  <c r="B1445" i="37"/>
  <c r="A1446" i="37"/>
  <c r="B1446" i="37"/>
  <c r="A1447" i="37"/>
  <c r="B1447" i="37"/>
  <c r="A1448" i="37"/>
  <c r="B1448" i="37"/>
  <c r="A1449" i="37"/>
  <c r="B1449" i="37"/>
  <c r="A1450" i="37"/>
  <c r="B1450" i="37"/>
  <c r="A1451" i="37"/>
  <c r="B1451" i="37"/>
  <c r="A1452" i="37"/>
  <c r="B1452" i="37"/>
  <c r="A1453" i="37"/>
  <c r="B1453" i="37"/>
  <c r="A1454" i="37"/>
  <c r="B1454" i="37"/>
  <c r="A1455" i="37"/>
  <c r="B1455" i="37"/>
  <c r="A1456" i="37"/>
  <c r="B1456" i="37"/>
  <c r="A1457" i="37"/>
  <c r="B1457" i="37"/>
  <c r="A1458" i="37"/>
  <c r="B1458" i="37"/>
  <c r="A1459" i="37"/>
  <c r="B1459" i="37"/>
  <c r="A1460" i="37"/>
  <c r="B1460" i="37"/>
  <c r="A1461" i="37"/>
  <c r="B1461" i="37"/>
  <c r="A1462" i="37"/>
  <c r="B1462" i="37"/>
  <c r="A1463" i="37"/>
  <c r="B1463" i="37"/>
  <c r="A1464" i="37"/>
  <c r="B1464" i="37"/>
  <c r="A1465" i="37"/>
  <c r="B1465" i="37"/>
  <c r="A1466" i="37"/>
  <c r="B1466" i="37"/>
  <c r="A1467" i="37"/>
  <c r="B1467" i="37"/>
  <c r="A1468" i="37"/>
  <c r="B1468" i="37"/>
  <c r="A1469" i="37"/>
  <c r="B1469" i="37"/>
  <c r="A1470" i="37"/>
  <c r="B1470" i="37"/>
  <c r="A1471" i="37"/>
  <c r="B1471" i="37"/>
  <c r="A1472" i="37"/>
  <c r="B1472" i="37"/>
  <c r="A1473" i="37"/>
  <c r="B1473" i="37"/>
  <c r="A1474" i="37"/>
  <c r="B1474" i="37"/>
  <c r="A1475" i="37"/>
  <c r="B1475" i="37"/>
  <c r="A1476" i="37"/>
  <c r="B1476" i="37"/>
  <c r="A1477" i="37"/>
  <c r="B1477" i="37"/>
  <c r="A1478" i="37"/>
  <c r="B1478" i="37"/>
  <c r="A1479" i="37"/>
  <c r="B1479" i="37"/>
  <c r="A1480" i="37"/>
  <c r="B1480" i="37"/>
  <c r="A1481" i="37"/>
  <c r="B1481" i="37"/>
  <c r="A1482" i="37"/>
  <c r="B1482" i="37"/>
  <c r="A1483" i="37"/>
  <c r="B1483" i="37"/>
  <c r="A1484" i="37"/>
  <c r="B1484" i="37"/>
  <c r="A1485" i="37"/>
  <c r="B1485" i="37"/>
  <c r="A1486" i="37"/>
  <c r="B1486" i="37"/>
  <c r="A1487" i="37"/>
  <c r="B1487" i="37"/>
  <c r="A1488" i="37"/>
  <c r="B1488" i="37"/>
  <c r="A1489" i="37"/>
  <c r="B1489" i="37"/>
  <c r="A1490" i="37"/>
  <c r="B1490" i="37"/>
  <c r="A1491" i="37"/>
  <c r="B1491" i="37"/>
  <c r="A1492" i="37"/>
  <c r="B1492" i="37"/>
  <c r="A1493" i="37"/>
  <c r="B1493" i="37"/>
  <c r="A1494" i="37"/>
  <c r="B1494" i="37"/>
  <c r="A1495" i="37"/>
  <c r="B1495" i="37"/>
  <c r="A1496" i="37"/>
  <c r="B1496" i="37"/>
  <c r="A1497" i="37"/>
  <c r="B1497" i="37"/>
  <c r="A1498" i="37"/>
  <c r="B1498" i="37"/>
  <c r="A1499" i="37"/>
  <c r="B1499" i="37"/>
  <c r="A1500" i="37"/>
  <c r="B1500" i="37"/>
  <c r="A1501" i="37"/>
  <c r="B1501" i="37"/>
  <c r="A1502" i="37"/>
  <c r="B1502" i="37"/>
  <c r="A1503" i="37"/>
  <c r="B1503" i="37"/>
  <c r="A1504" i="37"/>
  <c r="B1504" i="37"/>
  <c r="A1505" i="37"/>
  <c r="B1505" i="37"/>
  <c r="A1506" i="37"/>
  <c r="B1506" i="37"/>
  <c r="A1507" i="37"/>
  <c r="B1507" i="37"/>
  <c r="A1508" i="37"/>
  <c r="B1508" i="37"/>
  <c r="A1509" i="37"/>
  <c r="B1509" i="37"/>
  <c r="A1510" i="37"/>
  <c r="B1510" i="37"/>
  <c r="A1511" i="37"/>
  <c r="B1511" i="37"/>
  <c r="A1512" i="37"/>
  <c r="B1512" i="37"/>
  <c r="A1513" i="37"/>
  <c r="B1513" i="37"/>
  <c r="A1514" i="37"/>
  <c r="B1514" i="37"/>
  <c r="A1515" i="37"/>
  <c r="B1515" i="37"/>
  <c r="A1516" i="37"/>
  <c r="B1516" i="37"/>
  <c r="A1517" i="37"/>
  <c r="B1517" i="37"/>
  <c r="A1518" i="37"/>
  <c r="B1518" i="37"/>
  <c r="A1519" i="37"/>
  <c r="B1519" i="37"/>
  <c r="A1520" i="37"/>
  <c r="B1520" i="37"/>
  <c r="A1521" i="37"/>
  <c r="B1521" i="37"/>
  <c r="A1522" i="37"/>
  <c r="B1522" i="37"/>
  <c r="A1523" i="37"/>
  <c r="B1523" i="37"/>
  <c r="A1524" i="37"/>
  <c r="B1524" i="37"/>
  <c r="A1525" i="37"/>
  <c r="B1525" i="37"/>
  <c r="A1526" i="37"/>
  <c r="B1526" i="37"/>
  <c r="A1527" i="37"/>
  <c r="B1527" i="37"/>
  <c r="A1528" i="37"/>
  <c r="B1528" i="37"/>
  <c r="A1529" i="37"/>
  <c r="B1529" i="37"/>
  <c r="A1530" i="37"/>
  <c r="B1530" i="37"/>
  <c r="A1531" i="37"/>
  <c r="B1531" i="37"/>
  <c r="A1532" i="37"/>
  <c r="B1532" i="37"/>
  <c r="A1533" i="37"/>
  <c r="B1533" i="37"/>
  <c r="A1534" i="37"/>
  <c r="B1534" i="37"/>
  <c r="A1535" i="37"/>
  <c r="B1535" i="37"/>
  <c r="A1536" i="37"/>
  <c r="B1536" i="37"/>
  <c r="A1537" i="37"/>
  <c r="B1537" i="37"/>
  <c r="A1538" i="37"/>
  <c r="B1538" i="37"/>
  <c r="A1539" i="37"/>
  <c r="B1539" i="37"/>
  <c r="A1540" i="37"/>
  <c r="B1540" i="37"/>
  <c r="A1541" i="37"/>
  <c r="B1541" i="37"/>
  <c r="A1542" i="37"/>
  <c r="B1542" i="37"/>
  <c r="A1543" i="37"/>
  <c r="B1543" i="37"/>
  <c r="A1544" i="37"/>
  <c r="B1544" i="37"/>
  <c r="A1545" i="37"/>
  <c r="B1545" i="37"/>
  <c r="A1546" i="37"/>
  <c r="B1546" i="37"/>
  <c r="A1547" i="37"/>
  <c r="B1547" i="37"/>
  <c r="A1548" i="37"/>
  <c r="B1548" i="37"/>
  <c r="A1549" i="37"/>
  <c r="B1549" i="37"/>
  <c r="A1550" i="37"/>
  <c r="B1550" i="37"/>
  <c r="A1551" i="37"/>
  <c r="B1551" i="37"/>
  <c r="A1552" i="37"/>
  <c r="B1552" i="37"/>
  <c r="A1553" i="37"/>
  <c r="B1553" i="37"/>
  <c r="A1554" i="37"/>
  <c r="B1554" i="37"/>
  <c r="A1555" i="37"/>
  <c r="B1555" i="37"/>
  <c r="A1556" i="37"/>
  <c r="B1556" i="37"/>
  <c r="A1557" i="37"/>
  <c r="B1557" i="37"/>
  <c r="A1558" i="37"/>
  <c r="B1558" i="37"/>
  <c r="A1559" i="37"/>
  <c r="B1559" i="37"/>
  <c r="A1560" i="37"/>
  <c r="B1560" i="37"/>
  <c r="A1561" i="37"/>
  <c r="B1561" i="37"/>
  <c r="A1562" i="37"/>
  <c r="B1562" i="37"/>
  <c r="A1563" i="37"/>
  <c r="B1563" i="37"/>
  <c r="A1564" i="37"/>
  <c r="B1564" i="37"/>
  <c r="A1565" i="37"/>
  <c r="B1565" i="37"/>
  <c r="A1566" i="37"/>
  <c r="B1566" i="37"/>
  <c r="A1567" i="37"/>
  <c r="B1567" i="37"/>
  <c r="A1568" i="37"/>
  <c r="B1568" i="37"/>
  <c r="A1569" i="37"/>
  <c r="B1569" i="37"/>
  <c r="A1570" i="37"/>
  <c r="B1570" i="37"/>
  <c r="A1571" i="37"/>
  <c r="B1571" i="37"/>
  <c r="A1572" i="37"/>
  <c r="B1572" i="37"/>
  <c r="A1573" i="37"/>
  <c r="B1573" i="37"/>
  <c r="A1574" i="37"/>
  <c r="B1574" i="37"/>
  <c r="A1575" i="37"/>
  <c r="B1575" i="37"/>
  <c r="A1576" i="37"/>
  <c r="B1576" i="37"/>
  <c r="A1577" i="37"/>
  <c r="B1577" i="37"/>
  <c r="A1578" i="37"/>
  <c r="B1578" i="37"/>
  <c r="A1579" i="37"/>
  <c r="B1579" i="37"/>
  <c r="A1580" i="37"/>
  <c r="B1580" i="37"/>
  <c r="A1581" i="37"/>
  <c r="B1581" i="37"/>
  <c r="A1582" i="37"/>
  <c r="B1582" i="37"/>
  <c r="A1583" i="37"/>
  <c r="B1583" i="37"/>
  <c r="A1584" i="37"/>
  <c r="B1584" i="37"/>
  <c r="A1585" i="37"/>
  <c r="B1585" i="37"/>
  <c r="A1586" i="37"/>
  <c r="B1586" i="37"/>
  <c r="A1587" i="37"/>
  <c r="B1587" i="37"/>
  <c r="A1588" i="37"/>
  <c r="B1588" i="37"/>
  <c r="A1589" i="37"/>
  <c r="B1589" i="37"/>
  <c r="A1590" i="37"/>
  <c r="B1590" i="37"/>
  <c r="A1591" i="37"/>
  <c r="B1591" i="37"/>
  <c r="A1592" i="37"/>
  <c r="B1592" i="37"/>
  <c r="A1593" i="37"/>
  <c r="B1593" i="37"/>
  <c r="A1594" i="37"/>
  <c r="B1594" i="37"/>
  <c r="A1595" i="37"/>
  <c r="B1595" i="37"/>
  <c r="A1596" i="37"/>
  <c r="B1596" i="37"/>
  <c r="A1597" i="37"/>
  <c r="B1597" i="37"/>
  <c r="A1598" i="37"/>
  <c r="B1598" i="37"/>
  <c r="A1599" i="37"/>
  <c r="B1599" i="37"/>
  <c r="A1600" i="37"/>
  <c r="B1600" i="37"/>
  <c r="A1601" i="37"/>
  <c r="B1601" i="37"/>
  <c r="A1602" i="37"/>
  <c r="B1602" i="37"/>
  <c r="A1603" i="37"/>
  <c r="B1603" i="37"/>
  <c r="A1604" i="37"/>
  <c r="B1604" i="37"/>
  <c r="A1605" i="37"/>
  <c r="B1605" i="37"/>
  <c r="A1606" i="37"/>
  <c r="B1606" i="37"/>
  <c r="A1607" i="37"/>
  <c r="B1607" i="37"/>
  <c r="A1608" i="37"/>
  <c r="B1608" i="37"/>
  <c r="A1609" i="37"/>
  <c r="B1609" i="37"/>
  <c r="A1610" i="37"/>
  <c r="B1610" i="37"/>
  <c r="A1611" i="37"/>
  <c r="B1611" i="37"/>
  <c r="A1612" i="37"/>
  <c r="B1612" i="37"/>
  <c r="A1613" i="37"/>
  <c r="B1613" i="37"/>
  <c r="A1614" i="37"/>
  <c r="B1614" i="37"/>
  <c r="A1615" i="37"/>
  <c r="B1615" i="37"/>
  <c r="A1616" i="37"/>
  <c r="B1616" i="37"/>
  <c r="A1617" i="37"/>
  <c r="B1617" i="37"/>
  <c r="A1618" i="37"/>
  <c r="B1618" i="37"/>
  <c r="A1619" i="37"/>
  <c r="B1619" i="37"/>
  <c r="A1620" i="37"/>
  <c r="B1620" i="37"/>
  <c r="A1621" i="37"/>
  <c r="B1621" i="37"/>
  <c r="A1622" i="37"/>
  <c r="B1622" i="37"/>
  <c r="A1623" i="37"/>
  <c r="B1623" i="37"/>
  <c r="A1624" i="37"/>
  <c r="B1624" i="37"/>
  <c r="A1625" i="37"/>
  <c r="B1625" i="37"/>
  <c r="A1626" i="37"/>
  <c r="B1626" i="37"/>
  <c r="A1627" i="37"/>
  <c r="B1627" i="37"/>
  <c r="A1628" i="37"/>
  <c r="B1628" i="37"/>
  <c r="A1629" i="37"/>
  <c r="B1629" i="37"/>
  <c r="A1630" i="37"/>
  <c r="B1630" i="37"/>
  <c r="A1631" i="37"/>
  <c r="B1631" i="37"/>
  <c r="A1632" i="37"/>
  <c r="B1632" i="37"/>
  <c r="A1633" i="37"/>
  <c r="B1633" i="37"/>
  <c r="A1634" i="37"/>
  <c r="B1634" i="37"/>
  <c r="A1635" i="37"/>
  <c r="B1635" i="37"/>
  <c r="A1636" i="37"/>
  <c r="B1636" i="37"/>
  <c r="A1637" i="37"/>
  <c r="B1637" i="37"/>
  <c r="A1638" i="37"/>
  <c r="B1638" i="37"/>
  <c r="A1639" i="37"/>
  <c r="B1639" i="37"/>
  <c r="A1640" i="37"/>
  <c r="B1640" i="37"/>
  <c r="A1641" i="37"/>
  <c r="B1641" i="37"/>
  <c r="A1642" i="37"/>
  <c r="B1642" i="37"/>
  <c r="A1643" i="37"/>
  <c r="B1643" i="37"/>
  <c r="A1644" i="37"/>
  <c r="B1644" i="37"/>
  <c r="A1645" i="37"/>
  <c r="B1645" i="37"/>
  <c r="A1646" i="37"/>
  <c r="B1646" i="37"/>
  <c r="A1647" i="37"/>
  <c r="B1647" i="37"/>
  <c r="A1648" i="37"/>
  <c r="B1648" i="37"/>
  <c r="A1649" i="37"/>
  <c r="B1649" i="37"/>
  <c r="A1650" i="37"/>
  <c r="B1650" i="37"/>
  <c r="A1651" i="37"/>
  <c r="B1651" i="37"/>
  <c r="A1652" i="37"/>
  <c r="B1652" i="37"/>
  <c r="A1653" i="37"/>
  <c r="B1653" i="37"/>
  <c r="A1654" i="37"/>
  <c r="B1654" i="37"/>
  <c r="A1655" i="37"/>
  <c r="B1655" i="37"/>
  <c r="A1656" i="37"/>
  <c r="B1656" i="37"/>
  <c r="A1657" i="37"/>
  <c r="B1657" i="37"/>
  <c r="A1658" i="37"/>
  <c r="B1658" i="37"/>
  <c r="A1659" i="37"/>
  <c r="B1659" i="37"/>
  <c r="A1660" i="37"/>
  <c r="B1660" i="37"/>
  <c r="A1661" i="37"/>
  <c r="B1661" i="37"/>
  <c r="A1662" i="37"/>
  <c r="B1662" i="37"/>
  <c r="A1663" i="37"/>
  <c r="B1663" i="37"/>
  <c r="A1664" i="37"/>
  <c r="B1664" i="37"/>
  <c r="A1665" i="37"/>
  <c r="B1665" i="37"/>
  <c r="A1666" i="37"/>
  <c r="B1666" i="37"/>
  <c r="A1667" i="37"/>
  <c r="B1667" i="37"/>
  <c r="A1668" i="37"/>
  <c r="B1668" i="37"/>
  <c r="A1669" i="37"/>
  <c r="B1669" i="37"/>
  <c r="A1670" i="37"/>
  <c r="B1670" i="37"/>
  <c r="A1671" i="37"/>
  <c r="B1671" i="37"/>
  <c r="A1672" i="37"/>
  <c r="B1672" i="37"/>
  <c r="A1673" i="37"/>
  <c r="B1673" i="37"/>
  <c r="A1674" i="37"/>
  <c r="B1674" i="37"/>
  <c r="A1675" i="37"/>
  <c r="B1675" i="37"/>
  <c r="A1676" i="37"/>
  <c r="B1676" i="37"/>
  <c r="A1677" i="37"/>
  <c r="B1677" i="37"/>
  <c r="A1678" i="37"/>
  <c r="B1678" i="37"/>
  <c r="A1679" i="37"/>
  <c r="B1679" i="37"/>
  <c r="A1680" i="37"/>
  <c r="B1680" i="37"/>
  <c r="A1681" i="37"/>
  <c r="B1681" i="37"/>
  <c r="A1682" i="37"/>
  <c r="B1682" i="37"/>
  <c r="A1683" i="37"/>
  <c r="B1683" i="37"/>
  <c r="A1684" i="37"/>
  <c r="B1684" i="37"/>
  <c r="A1685" i="37"/>
  <c r="B1685" i="37"/>
  <c r="A1686" i="37"/>
  <c r="B1686" i="37"/>
  <c r="A1687" i="37"/>
  <c r="B1687" i="37"/>
  <c r="A1688" i="37"/>
  <c r="B1688" i="37"/>
  <c r="A1689" i="37"/>
  <c r="B1689" i="37"/>
  <c r="A1690" i="37"/>
  <c r="B1690" i="37"/>
  <c r="A1691" i="37"/>
  <c r="B1691" i="37"/>
  <c r="A1692" i="37"/>
  <c r="B1692" i="37"/>
  <c r="A1693" i="37"/>
  <c r="B1693" i="37"/>
  <c r="A1694" i="37"/>
  <c r="B1694" i="37"/>
  <c r="A1695" i="37"/>
  <c r="B1695" i="37"/>
  <c r="A1696" i="37"/>
  <c r="B1696" i="37"/>
  <c r="A1697" i="37"/>
  <c r="B1697" i="37"/>
  <c r="A1698" i="37"/>
  <c r="B1698" i="37"/>
  <c r="A1699" i="37"/>
  <c r="B1699" i="37"/>
  <c r="A1700" i="37"/>
  <c r="B1700" i="37"/>
  <c r="A1701" i="37"/>
  <c r="B1701" i="37"/>
  <c r="A1702" i="37"/>
  <c r="B1702" i="37"/>
  <c r="A1703" i="37"/>
  <c r="B1703" i="37"/>
  <c r="A1704" i="37"/>
  <c r="B1704" i="37"/>
  <c r="A1705" i="37"/>
  <c r="B1705" i="37"/>
  <c r="A1706" i="37"/>
  <c r="B1706" i="37"/>
  <c r="A1707" i="37"/>
  <c r="B1707" i="37"/>
  <c r="A1708" i="37"/>
  <c r="B1708" i="37"/>
  <c r="A1709" i="37"/>
  <c r="B1709" i="37"/>
  <c r="A1710" i="37"/>
  <c r="B1710" i="37"/>
  <c r="A1711" i="37"/>
  <c r="B1711" i="37"/>
  <c r="B1011" i="36"/>
  <c r="B1012" i="36"/>
  <c r="B1013" i="36"/>
  <c r="B1014" i="36"/>
  <c r="B1015" i="36"/>
  <c r="B1016" i="36"/>
  <c r="B1017" i="36"/>
  <c r="B1018" i="36"/>
  <c r="B1019" i="36"/>
  <c r="B1020" i="36"/>
  <c r="B1021" i="36"/>
  <c r="B1022" i="36"/>
  <c r="B1023" i="36"/>
  <c r="B1024" i="36"/>
  <c r="B1025" i="36"/>
  <c r="B1026" i="36"/>
  <c r="B1027" i="36"/>
  <c r="B1028" i="36"/>
  <c r="B1029" i="36"/>
  <c r="B1030" i="36"/>
  <c r="B1031" i="36"/>
  <c r="B1032" i="36"/>
  <c r="B1033" i="36"/>
  <c r="B1034" i="36"/>
  <c r="B1035" i="36"/>
  <c r="B1036" i="36"/>
  <c r="B1037" i="36"/>
  <c r="B1038" i="36"/>
  <c r="B1039" i="36"/>
  <c r="B1040" i="36"/>
  <c r="B1041" i="36"/>
  <c r="B1042" i="36"/>
  <c r="B1043" i="36"/>
  <c r="B1044" i="36"/>
  <c r="B1045" i="36"/>
  <c r="B1046" i="36"/>
  <c r="B1047" i="36"/>
  <c r="B1048" i="36"/>
  <c r="B1049" i="36"/>
  <c r="B1050" i="36"/>
  <c r="B1051" i="36"/>
  <c r="B1052" i="36"/>
  <c r="B1053" i="36"/>
  <c r="B1054" i="36"/>
  <c r="B1055" i="36"/>
  <c r="B1056" i="36"/>
  <c r="B1057" i="36"/>
  <c r="B1058" i="36"/>
  <c r="B1059" i="36"/>
  <c r="B1060" i="36"/>
  <c r="B1061" i="36"/>
  <c r="B1062" i="36"/>
  <c r="B1063" i="36"/>
  <c r="B1064" i="36"/>
  <c r="B1065" i="36"/>
  <c r="B1066" i="36"/>
  <c r="B1067" i="36"/>
  <c r="B1068" i="36"/>
  <c r="B1069" i="36"/>
  <c r="B1070" i="36"/>
  <c r="B1071" i="36"/>
  <c r="B1072" i="36"/>
  <c r="B1073" i="36"/>
  <c r="B1074" i="36"/>
  <c r="B1075" i="36"/>
  <c r="B1076" i="36"/>
  <c r="B1077" i="36"/>
  <c r="B1078" i="36"/>
  <c r="B1079" i="36"/>
  <c r="B1080" i="36"/>
  <c r="B1081" i="36"/>
  <c r="B1082" i="36"/>
  <c r="B1083" i="36"/>
  <c r="B1084" i="36"/>
  <c r="B1085" i="36"/>
  <c r="B1086" i="36"/>
  <c r="B1087" i="36"/>
  <c r="B1088" i="36"/>
  <c r="B1089" i="36"/>
  <c r="B1090" i="36"/>
  <c r="B1091" i="36"/>
  <c r="B1092" i="36"/>
  <c r="B1093" i="36"/>
  <c r="B1094" i="36"/>
  <c r="B1095" i="36"/>
  <c r="B1096" i="36"/>
  <c r="B1097" i="36"/>
  <c r="B1098" i="36"/>
  <c r="B1099" i="36"/>
  <c r="B1100" i="36"/>
  <c r="B1101" i="36"/>
  <c r="B1102" i="36"/>
  <c r="B1103" i="36"/>
  <c r="B1104" i="36"/>
  <c r="B1105" i="36"/>
  <c r="B1106" i="36"/>
  <c r="B1107" i="36"/>
  <c r="B1108" i="36"/>
  <c r="B1109" i="36"/>
  <c r="B1110" i="36"/>
  <c r="B1111" i="36"/>
  <c r="B1112" i="36"/>
  <c r="B1113" i="36"/>
  <c r="B1114" i="36"/>
  <c r="B1115" i="36"/>
  <c r="B1116" i="36"/>
  <c r="B1117" i="36"/>
  <c r="B1118" i="36"/>
  <c r="B1119" i="36"/>
  <c r="B1120" i="36"/>
  <c r="B1121" i="36"/>
  <c r="B1122" i="36"/>
  <c r="B1123" i="36"/>
  <c r="B1124" i="36"/>
  <c r="B1125" i="36"/>
  <c r="B1126" i="36"/>
  <c r="B1127" i="36"/>
  <c r="B1128" i="36"/>
  <c r="B1129" i="36"/>
  <c r="B1130" i="36"/>
  <c r="B1131" i="36"/>
  <c r="B1132" i="36"/>
  <c r="B1133" i="36"/>
  <c r="B1134" i="36"/>
  <c r="B1135" i="36"/>
  <c r="B1136" i="36"/>
  <c r="B1137" i="36"/>
  <c r="B1138" i="36"/>
  <c r="B1139" i="36"/>
  <c r="B1140" i="36"/>
  <c r="B1141" i="36"/>
  <c r="B1142" i="36"/>
  <c r="B1143" i="36"/>
  <c r="B1144" i="36"/>
  <c r="B1145" i="36"/>
  <c r="B1146" i="36"/>
  <c r="B1147" i="36"/>
  <c r="B1148" i="36"/>
  <c r="B1149" i="36"/>
  <c r="B1150" i="36"/>
  <c r="B1151" i="36"/>
  <c r="B1152" i="36"/>
  <c r="B1153" i="36"/>
  <c r="B1154" i="36"/>
  <c r="B1155" i="36"/>
  <c r="B1156" i="36"/>
  <c r="B1157" i="36"/>
  <c r="B1158" i="36"/>
  <c r="B1159" i="36"/>
  <c r="B1160" i="36"/>
  <c r="B1161" i="36"/>
  <c r="B1162" i="36"/>
  <c r="B1163" i="36"/>
  <c r="B1164" i="36"/>
  <c r="B1165" i="36"/>
  <c r="B1166" i="36"/>
  <c r="B1167" i="36"/>
  <c r="B1168" i="36"/>
  <c r="B1169" i="36"/>
  <c r="B1170" i="36"/>
  <c r="B1171" i="36"/>
  <c r="B1172" i="36"/>
  <c r="B1173" i="36"/>
  <c r="B1174" i="36"/>
  <c r="B1175" i="36"/>
  <c r="B1176" i="36"/>
  <c r="B1177" i="36"/>
  <c r="B1178" i="36"/>
  <c r="B1179" i="36"/>
  <c r="B1180" i="36"/>
  <c r="B1181" i="36"/>
  <c r="B1182" i="36"/>
  <c r="B1183" i="36"/>
  <c r="B1184" i="36"/>
  <c r="B1185" i="36"/>
  <c r="B1186" i="36"/>
  <c r="B1187" i="36"/>
  <c r="B1188" i="36"/>
  <c r="B1189" i="36"/>
  <c r="B1190" i="36"/>
  <c r="B1191" i="36"/>
  <c r="B1192" i="36"/>
  <c r="B1193" i="36"/>
  <c r="B1194" i="36"/>
  <c r="B1195" i="36"/>
  <c r="B1196" i="36"/>
  <c r="B1197" i="36"/>
  <c r="B1198" i="36"/>
  <c r="B1199" i="36"/>
  <c r="B1200" i="36"/>
  <c r="B1201" i="36"/>
  <c r="B1202" i="36"/>
  <c r="B1203" i="36"/>
  <c r="B1204" i="36"/>
  <c r="B1205" i="36"/>
  <c r="B1206" i="36"/>
  <c r="B1207" i="36"/>
  <c r="B1208" i="36"/>
  <c r="B1209" i="36"/>
  <c r="B1210" i="36"/>
  <c r="B1211" i="36"/>
  <c r="B1212" i="36"/>
  <c r="B1213" i="36"/>
  <c r="B1214" i="36"/>
  <c r="B1215" i="36"/>
  <c r="B1216" i="36"/>
  <c r="B1217" i="36"/>
  <c r="B1218" i="36"/>
  <c r="B1219" i="36"/>
  <c r="B1220" i="36"/>
  <c r="B1221" i="36"/>
  <c r="B1222" i="36"/>
  <c r="B1223" i="36"/>
  <c r="B1224" i="36"/>
  <c r="B1225" i="36"/>
  <c r="B1226" i="36"/>
  <c r="B1227" i="36"/>
  <c r="B1228" i="36"/>
  <c r="B1229" i="36"/>
  <c r="B1230" i="36"/>
  <c r="B1231" i="36"/>
  <c r="B1232" i="36"/>
  <c r="B1233" i="36"/>
  <c r="B1234" i="36"/>
  <c r="B1235" i="36"/>
  <c r="B1236" i="36"/>
  <c r="B1237" i="36"/>
  <c r="B1238" i="36"/>
  <c r="B1239" i="36"/>
  <c r="B1240" i="36"/>
  <c r="B1241" i="36"/>
  <c r="B1242" i="36"/>
  <c r="B1243" i="36"/>
  <c r="B1244" i="36"/>
  <c r="B1245" i="36"/>
  <c r="B1246" i="36"/>
  <c r="B1247" i="36"/>
  <c r="B1248" i="36"/>
  <c r="B1249" i="36"/>
  <c r="B1250" i="36"/>
  <c r="B1251" i="36"/>
  <c r="B1252" i="36"/>
  <c r="B1253" i="36"/>
  <c r="B1254" i="36"/>
  <c r="B1255" i="36"/>
  <c r="B1256" i="36"/>
  <c r="B1257" i="36"/>
  <c r="B1258" i="36"/>
  <c r="B1259" i="36"/>
  <c r="B1260" i="36"/>
  <c r="B1261" i="36"/>
  <c r="B1262" i="36"/>
  <c r="B1263" i="36"/>
  <c r="B1264" i="36"/>
  <c r="B1265" i="36"/>
  <c r="B1266" i="36"/>
  <c r="B1267" i="36"/>
  <c r="B1268" i="36"/>
  <c r="B1269" i="36"/>
  <c r="B1270" i="36"/>
  <c r="B1271" i="36"/>
  <c r="B1272" i="36"/>
  <c r="B1273" i="36"/>
  <c r="B1274" i="36"/>
  <c r="B1275" i="36"/>
  <c r="B1276" i="36"/>
  <c r="B1277" i="36"/>
  <c r="B1278" i="36"/>
  <c r="B1279" i="36"/>
  <c r="B1280" i="36"/>
  <c r="B1281" i="36"/>
  <c r="B1282" i="36"/>
  <c r="B1283" i="36"/>
  <c r="B1284" i="36"/>
  <c r="B1285" i="36"/>
  <c r="B1286" i="36"/>
  <c r="B1287" i="36"/>
  <c r="B1288" i="36"/>
  <c r="B1289" i="36"/>
  <c r="B1290" i="36"/>
  <c r="B1291" i="36"/>
  <c r="B1292" i="36"/>
  <c r="B1293" i="36"/>
  <c r="B1294" i="36"/>
  <c r="B1295" i="36"/>
  <c r="B1296" i="36"/>
  <c r="B1297" i="36"/>
  <c r="B1298" i="36"/>
  <c r="B1299" i="36"/>
  <c r="B1300" i="36"/>
  <c r="B1301" i="36"/>
  <c r="B1302" i="36"/>
  <c r="B1303" i="36"/>
  <c r="B1304" i="36"/>
  <c r="B1305" i="36"/>
  <c r="B1306" i="36"/>
  <c r="B1307" i="36"/>
  <c r="B1308" i="36"/>
  <c r="B1309" i="36"/>
  <c r="B1310" i="36"/>
  <c r="B1311" i="36"/>
  <c r="B1312" i="36"/>
  <c r="B1313" i="36"/>
  <c r="B1314" i="36"/>
  <c r="B1315" i="36"/>
  <c r="B1316" i="36"/>
  <c r="B1317" i="36"/>
  <c r="B1318" i="36"/>
  <c r="B1319" i="36"/>
  <c r="B1320" i="36"/>
  <c r="B1321" i="36"/>
  <c r="B1322" i="36"/>
  <c r="B1323" i="36"/>
  <c r="B1324" i="36"/>
  <c r="B1325" i="36"/>
  <c r="B1326" i="36"/>
  <c r="B1327" i="36"/>
  <c r="B1328" i="36"/>
  <c r="B1329" i="36"/>
  <c r="B1330" i="36"/>
  <c r="B1331" i="36"/>
  <c r="B1332" i="36"/>
  <c r="B1333" i="36"/>
  <c r="B1334" i="36"/>
  <c r="B1335" i="36"/>
  <c r="B1336" i="36"/>
  <c r="B1337" i="36"/>
  <c r="B1338" i="36"/>
  <c r="B1339" i="36"/>
  <c r="B1340" i="36"/>
  <c r="B1341" i="36"/>
  <c r="B1342" i="36"/>
  <c r="B1343" i="36"/>
  <c r="B1344" i="36"/>
  <c r="B1345" i="36"/>
  <c r="B1346" i="36"/>
  <c r="B1347" i="36"/>
  <c r="B1348" i="36"/>
  <c r="B1349" i="36"/>
  <c r="B1350" i="36"/>
  <c r="B1351" i="36"/>
  <c r="B1352" i="36"/>
  <c r="B1353" i="36"/>
  <c r="B1354" i="36"/>
  <c r="B1355" i="36"/>
  <c r="B1356" i="36"/>
  <c r="B1357" i="36"/>
  <c r="B1358" i="36"/>
  <c r="B1359" i="36"/>
  <c r="B1360" i="36"/>
  <c r="B1361" i="36"/>
  <c r="B1362" i="36"/>
  <c r="B1363" i="36"/>
  <c r="B1364" i="36"/>
  <c r="B1365" i="36"/>
  <c r="B1366" i="36"/>
  <c r="B1367" i="36"/>
  <c r="B1368" i="36"/>
  <c r="B1369" i="36"/>
  <c r="B1370" i="36"/>
  <c r="B1371" i="36"/>
  <c r="B1372" i="36"/>
  <c r="B1373" i="36"/>
  <c r="B1374" i="36"/>
  <c r="B1375" i="36"/>
  <c r="B1376" i="36"/>
  <c r="B1377" i="36"/>
  <c r="B1378" i="36"/>
  <c r="B1379" i="36"/>
  <c r="B1380" i="36"/>
  <c r="B1381" i="36"/>
  <c r="B1382" i="36"/>
  <c r="B1383" i="36"/>
  <c r="B1384" i="36"/>
  <c r="B1385" i="36"/>
  <c r="B1386" i="36"/>
  <c r="B1387" i="36"/>
  <c r="B1388" i="36"/>
  <c r="B1389" i="36"/>
  <c r="B1390" i="36"/>
  <c r="B1391" i="36"/>
  <c r="B1392" i="36"/>
  <c r="B1393" i="36"/>
  <c r="B1394" i="36"/>
  <c r="B1395" i="36"/>
  <c r="B1396" i="36"/>
  <c r="B1397" i="36"/>
  <c r="B1398" i="36"/>
  <c r="B1399" i="36"/>
  <c r="B1400" i="36"/>
  <c r="B1401" i="36"/>
  <c r="B1402" i="36"/>
  <c r="B1403" i="36"/>
  <c r="B1404" i="36"/>
  <c r="B1405" i="36"/>
  <c r="B1406" i="36"/>
  <c r="B1407" i="36"/>
  <c r="B1408" i="36"/>
  <c r="B1409" i="36"/>
  <c r="B1410" i="36"/>
  <c r="B1411" i="36"/>
  <c r="B1412" i="36"/>
  <c r="B1413" i="36"/>
  <c r="B1414" i="36"/>
  <c r="B1415" i="36"/>
  <c r="B1416" i="36"/>
  <c r="B1417" i="36"/>
  <c r="B1418" i="36"/>
  <c r="B1419" i="36"/>
  <c r="B1420" i="36"/>
  <c r="B1421" i="36"/>
  <c r="B1422" i="36"/>
  <c r="B1423" i="36"/>
  <c r="B1424" i="36"/>
  <c r="B1425" i="36"/>
  <c r="B1426" i="36"/>
  <c r="B1427" i="36"/>
  <c r="B1428" i="36"/>
  <c r="B1429" i="36"/>
  <c r="B1430" i="36"/>
  <c r="B1431" i="36"/>
  <c r="B1432" i="36"/>
  <c r="B1433" i="36"/>
  <c r="B1434" i="36"/>
  <c r="B1435" i="36"/>
  <c r="B1436" i="36"/>
  <c r="B1437" i="36"/>
  <c r="B1438" i="36"/>
  <c r="B1439" i="36"/>
  <c r="B1440" i="36"/>
  <c r="B1441" i="36"/>
  <c r="B1442" i="36"/>
  <c r="B1443" i="36"/>
  <c r="B1444" i="36"/>
  <c r="B1445" i="36"/>
  <c r="B1446" i="36"/>
  <c r="B1447" i="36"/>
  <c r="B1448" i="36"/>
  <c r="B1449" i="36"/>
  <c r="B1450" i="36"/>
  <c r="B1451" i="36"/>
  <c r="B1452" i="36"/>
  <c r="B1453" i="36"/>
  <c r="B1454" i="36"/>
  <c r="B1455" i="36"/>
  <c r="B1456" i="36"/>
  <c r="B1457" i="36"/>
  <c r="B1458" i="36"/>
  <c r="B1459" i="36"/>
  <c r="B1460" i="36"/>
  <c r="B1461" i="36"/>
  <c r="B1462" i="36"/>
  <c r="B1463" i="36"/>
  <c r="B1464" i="36"/>
  <c r="B1465" i="36"/>
  <c r="B1466" i="36"/>
  <c r="B1467" i="36"/>
  <c r="B1468" i="36"/>
  <c r="B1469" i="36"/>
  <c r="B1470" i="36"/>
  <c r="B1471" i="36"/>
  <c r="B1472" i="36"/>
  <c r="B1473" i="36"/>
  <c r="B1474" i="36"/>
  <c r="B1475" i="36"/>
  <c r="B1476" i="36"/>
  <c r="B1477" i="36"/>
  <c r="B1478" i="36"/>
  <c r="B1479" i="36"/>
  <c r="B1480" i="36"/>
  <c r="B1481" i="36"/>
  <c r="B1482" i="36"/>
  <c r="B1483" i="36"/>
  <c r="B1484" i="36"/>
  <c r="B1485" i="36"/>
  <c r="B1486" i="36"/>
  <c r="B1487" i="36"/>
  <c r="B1488" i="36"/>
  <c r="B1489" i="36"/>
  <c r="B1490" i="36"/>
  <c r="B1491" i="36"/>
  <c r="B1492" i="36"/>
  <c r="B1493" i="36"/>
  <c r="B1494" i="36"/>
  <c r="B1495" i="36"/>
  <c r="B1496" i="36"/>
  <c r="B1497" i="36"/>
  <c r="B1498" i="36"/>
  <c r="B1499" i="36"/>
  <c r="B1500" i="36"/>
  <c r="B1501" i="36"/>
  <c r="B1502" i="36"/>
  <c r="B1503" i="36"/>
  <c r="B1504" i="36"/>
  <c r="B1505" i="36"/>
  <c r="B1506" i="36"/>
  <c r="B1507" i="36"/>
  <c r="B1508" i="36"/>
  <c r="B1509" i="36"/>
  <c r="B1510" i="36"/>
  <c r="B1511" i="36"/>
  <c r="B1512" i="36"/>
  <c r="B1513" i="36"/>
  <c r="B1514" i="36"/>
  <c r="B1515" i="36"/>
  <c r="B1516" i="36"/>
  <c r="B1517" i="36"/>
  <c r="B1518" i="36"/>
  <c r="B1519" i="36"/>
  <c r="B1520" i="36"/>
  <c r="B1521" i="36"/>
  <c r="B1522" i="36"/>
  <c r="B1523" i="36"/>
  <c r="B1524" i="36"/>
  <c r="B1525" i="36"/>
  <c r="B1526" i="36"/>
  <c r="B1527" i="36"/>
  <c r="B1528" i="36"/>
  <c r="B1529" i="36"/>
  <c r="B1530" i="36"/>
  <c r="B1531" i="36"/>
  <c r="A1011" i="36"/>
  <c r="A1012" i="36"/>
  <c r="A1013" i="36"/>
  <c r="A1014" i="36"/>
  <c r="A1015" i="36"/>
  <c r="A1016" i="36"/>
  <c r="A1017" i="36"/>
  <c r="A1018" i="36"/>
  <c r="A1019" i="36"/>
  <c r="A1020" i="36"/>
  <c r="A1021" i="36"/>
  <c r="A1022" i="36"/>
  <c r="A1023" i="36"/>
  <c r="A1024" i="36"/>
  <c r="A1025" i="36"/>
  <c r="A1026" i="36"/>
  <c r="A1027" i="36"/>
  <c r="A1028" i="36"/>
  <c r="A1029" i="36"/>
  <c r="A1030" i="36"/>
  <c r="A1031" i="36"/>
  <c r="A1032" i="36"/>
  <c r="A1033" i="36"/>
  <c r="A1034" i="36"/>
  <c r="A1035" i="36"/>
  <c r="A1036" i="36"/>
  <c r="A1037" i="36"/>
  <c r="A1038" i="36"/>
  <c r="A1039" i="36"/>
  <c r="A1040" i="36"/>
  <c r="A1041" i="36"/>
  <c r="A1042" i="36"/>
  <c r="A1043" i="36"/>
  <c r="A1044" i="36"/>
  <c r="A1045" i="36"/>
  <c r="A1046" i="36"/>
  <c r="A1047" i="36"/>
  <c r="A1048" i="36"/>
  <c r="A1049" i="36"/>
  <c r="A1050" i="36"/>
  <c r="A1051" i="36"/>
  <c r="A1052" i="36"/>
  <c r="A1053" i="36"/>
  <c r="A1054" i="36"/>
  <c r="A1055" i="36"/>
  <c r="A1056" i="36"/>
  <c r="A1057" i="36"/>
  <c r="A1058" i="36"/>
  <c r="A1059" i="36"/>
  <c r="A1060" i="36"/>
  <c r="A1061" i="36"/>
  <c r="A1062" i="36"/>
  <c r="A1063" i="36"/>
  <c r="A1064" i="36"/>
  <c r="A1065" i="36"/>
  <c r="A1066" i="36"/>
  <c r="A1067" i="36"/>
  <c r="A1068" i="36"/>
  <c r="A1069" i="36"/>
  <c r="A1070" i="36"/>
  <c r="A1071" i="36"/>
  <c r="A1072" i="36"/>
  <c r="A1073" i="36"/>
  <c r="A1074" i="36"/>
  <c r="A1075" i="36"/>
  <c r="A1076" i="36"/>
  <c r="A1077" i="36"/>
  <c r="A1078" i="36"/>
  <c r="A1079" i="36"/>
  <c r="A1080" i="36"/>
  <c r="A1081" i="36"/>
  <c r="A1082" i="36"/>
  <c r="A1083" i="36"/>
  <c r="A1084" i="36"/>
  <c r="A1085" i="36"/>
  <c r="A1086" i="36"/>
  <c r="A1087" i="36"/>
  <c r="A1088" i="36"/>
  <c r="A1089" i="36"/>
  <c r="A1090" i="36"/>
  <c r="A1091" i="36"/>
  <c r="A1092" i="36"/>
  <c r="A1093" i="36"/>
  <c r="A1094" i="36"/>
  <c r="A1095" i="36"/>
  <c r="A1096" i="36"/>
  <c r="A1097" i="36"/>
  <c r="A1098" i="36"/>
  <c r="A1099" i="36"/>
  <c r="A1100" i="36"/>
  <c r="A1101" i="36"/>
  <c r="A1102" i="36"/>
  <c r="A1103" i="36"/>
  <c r="A1104" i="36"/>
  <c r="A1105" i="36"/>
  <c r="A1106" i="36"/>
  <c r="A1107" i="36"/>
  <c r="A1108" i="36"/>
  <c r="A1109" i="36"/>
  <c r="A1110" i="36"/>
  <c r="A1111" i="36"/>
  <c r="A1112" i="36"/>
  <c r="A1113" i="36"/>
  <c r="A1114" i="36"/>
  <c r="A1115" i="36"/>
  <c r="A1116" i="36"/>
  <c r="A1117" i="36"/>
  <c r="A1118" i="36"/>
  <c r="A1119" i="36"/>
  <c r="A1120" i="36"/>
  <c r="A1121" i="36"/>
  <c r="A1122" i="36"/>
  <c r="A1123" i="36"/>
  <c r="A1124" i="36"/>
  <c r="A1125" i="36"/>
  <c r="A1126" i="36"/>
  <c r="A1127" i="36"/>
  <c r="A1128" i="36"/>
  <c r="A1129" i="36"/>
  <c r="A1130" i="36"/>
  <c r="A1131" i="36"/>
  <c r="A1132" i="36"/>
  <c r="A1133" i="36"/>
  <c r="A1134" i="36"/>
  <c r="A1135" i="36"/>
  <c r="A1136" i="36"/>
  <c r="A1137" i="36"/>
  <c r="A1138" i="36"/>
  <c r="A1139" i="36"/>
  <c r="A1140" i="36"/>
  <c r="A1141" i="36"/>
  <c r="A1142" i="36"/>
  <c r="A1143" i="36"/>
  <c r="A1144" i="36"/>
  <c r="A1145" i="36"/>
  <c r="A1146" i="36"/>
  <c r="A1147" i="36"/>
  <c r="A1148" i="36"/>
  <c r="A1149" i="36"/>
  <c r="A1150" i="36"/>
  <c r="A1151" i="36"/>
  <c r="A1152" i="36"/>
  <c r="A1153" i="36"/>
  <c r="A1154" i="36"/>
  <c r="A1155" i="36"/>
  <c r="A1156" i="36"/>
  <c r="A1157" i="36"/>
  <c r="A1158" i="36"/>
  <c r="A1159" i="36"/>
  <c r="A1160" i="36"/>
  <c r="A1161" i="36"/>
  <c r="A1162" i="36"/>
  <c r="A1163" i="36"/>
  <c r="A1164" i="36"/>
  <c r="A1165" i="36"/>
  <c r="A1166" i="36"/>
  <c r="A1167" i="36"/>
  <c r="A1168" i="36"/>
  <c r="A1169" i="36"/>
  <c r="A1170" i="36"/>
  <c r="A1171" i="36"/>
  <c r="A1172" i="36"/>
  <c r="A1173" i="36"/>
  <c r="A1174" i="36"/>
  <c r="A1175" i="36"/>
  <c r="A1176" i="36"/>
  <c r="A1177" i="36"/>
  <c r="A1178" i="36"/>
  <c r="A1179" i="36"/>
  <c r="A1180" i="36"/>
  <c r="A1181" i="36"/>
  <c r="A1182" i="36"/>
  <c r="A1183" i="36"/>
  <c r="A1184" i="36"/>
  <c r="A1185" i="36"/>
  <c r="A1186" i="36"/>
  <c r="A1187" i="36"/>
  <c r="A1188" i="36"/>
  <c r="A1189" i="36"/>
  <c r="A1190" i="36"/>
  <c r="A1191" i="36"/>
  <c r="A1192" i="36"/>
  <c r="A1193" i="36"/>
  <c r="A1194" i="36"/>
  <c r="A1195" i="36"/>
  <c r="A1196" i="36"/>
  <c r="A1197" i="36"/>
  <c r="A1198" i="36"/>
  <c r="A1199" i="36"/>
  <c r="A1200" i="36"/>
  <c r="A1201" i="36"/>
  <c r="A1202" i="36"/>
  <c r="A1203" i="36"/>
  <c r="A1204" i="36"/>
  <c r="A1205" i="36"/>
  <c r="A1206" i="36"/>
  <c r="A1207" i="36"/>
  <c r="A1208" i="36"/>
  <c r="A1209" i="36"/>
  <c r="A1210" i="36"/>
  <c r="A1211" i="36"/>
  <c r="A1212" i="36"/>
  <c r="A1213" i="36"/>
  <c r="A1214" i="36"/>
  <c r="A1215" i="36"/>
  <c r="A1216" i="36"/>
  <c r="A1217" i="36"/>
  <c r="A1218" i="36"/>
  <c r="A1219" i="36"/>
  <c r="A1220" i="36"/>
  <c r="A1221" i="36"/>
  <c r="A1222" i="36"/>
  <c r="A1223" i="36"/>
  <c r="A1224" i="36"/>
  <c r="A1225" i="36"/>
  <c r="A1226" i="36"/>
  <c r="A1227" i="36"/>
  <c r="A1228" i="36"/>
  <c r="A1229" i="36"/>
  <c r="A1230" i="36"/>
  <c r="A1231" i="36"/>
  <c r="A1232" i="36"/>
  <c r="A1233" i="36"/>
  <c r="A1234" i="36"/>
  <c r="A1235" i="36"/>
  <c r="A1236" i="36"/>
  <c r="A1237" i="36"/>
  <c r="A1238" i="36"/>
  <c r="A1239" i="36"/>
  <c r="A1240" i="36"/>
  <c r="A1241" i="36"/>
  <c r="A1242" i="36"/>
  <c r="A1243" i="36"/>
  <c r="A1244" i="36"/>
  <c r="A1245" i="36"/>
  <c r="A1246" i="36"/>
  <c r="A1247" i="36"/>
  <c r="A1248" i="36"/>
  <c r="A1249" i="36"/>
  <c r="A1250" i="36"/>
  <c r="A1251" i="36"/>
  <c r="A1252" i="36"/>
  <c r="A1253" i="36"/>
  <c r="A1254" i="36"/>
  <c r="A1255" i="36"/>
  <c r="A1256" i="36"/>
  <c r="A1257" i="36"/>
  <c r="A1258" i="36"/>
  <c r="A1259" i="36"/>
  <c r="A1260" i="36"/>
  <c r="A1261" i="36"/>
  <c r="A1262" i="36"/>
  <c r="A1263" i="36"/>
  <c r="A1264" i="36"/>
  <c r="A1265" i="36"/>
  <c r="A1266" i="36"/>
  <c r="A1267" i="36"/>
  <c r="A1268" i="36"/>
  <c r="A1269" i="36"/>
  <c r="A1270" i="36"/>
  <c r="A1271" i="36"/>
  <c r="A1272" i="36"/>
  <c r="A1273" i="36"/>
  <c r="A1274" i="36"/>
  <c r="A1275" i="36"/>
  <c r="A1276" i="36"/>
  <c r="A1277" i="36"/>
  <c r="A1278" i="36"/>
  <c r="A1279" i="36"/>
  <c r="A1280" i="36"/>
  <c r="A1281" i="36"/>
  <c r="A1282" i="36"/>
  <c r="A1283" i="36"/>
  <c r="A1284" i="36"/>
  <c r="A1285" i="36"/>
  <c r="A1286" i="36"/>
  <c r="A1287" i="36"/>
  <c r="A1288" i="36"/>
  <c r="A1289" i="36"/>
  <c r="A1290" i="36"/>
  <c r="A1291" i="36"/>
  <c r="A1292" i="36"/>
  <c r="A1293" i="36"/>
  <c r="A1294" i="36"/>
  <c r="A1295" i="36"/>
  <c r="A1296" i="36"/>
  <c r="A1297" i="36"/>
  <c r="A1298" i="36"/>
  <c r="A1299" i="36"/>
  <c r="A1300" i="36"/>
  <c r="A1301" i="36"/>
  <c r="A1302" i="36"/>
  <c r="A1303" i="36"/>
  <c r="A1304" i="36"/>
  <c r="A1305" i="36"/>
  <c r="A1306" i="36"/>
  <c r="A1307" i="36"/>
  <c r="A1308" i="36"/>
  <c r="A1309" i="36"/>
  <c r="A1310" i="36"/>
  <c r="A1311" i="36"/>
  <c r="A1312" i="36"/>
  <c r="A1313" i="36"/>
  <c r="A1314" i="36"/>
  <c r="A1315" i="36"/>
  <c r="A1316" i="36"/>
  <c r="A1317" i="36"/>
  <c r="A1318" i="36"/>
  <c r="A1319" i="36"/>
  <c r="A1320" i="36"/>
  <c r="A1321" i="36"/>
  <c r="A1322" i="36"/>
  <c r="A1323" i="36"/>
  <c r="A1324" i="36"/>
  <c r="A1325" i="36"/>
  <c r="A1326" i="36"/>
  <c r="A1327" i="36"/>
  <c r="A1328" i="36"/>
  <c r="A1329" i="36"/>
  <c r="A1330" i="36"/>
  <c r="A1331" i="36"/>
  <c r="A1332" i="36"/>
  <c r="A1333" i="36"/>
  <c r="A1334" i="36"/>
  <c r="A1335" i="36"/>
  <c r="A1336" i="36"/>
  <c r="A1337" i="36"/>
  <c r="A1338" i="36"/>
  <c r="A1339" i="36"/>
  <c r="A1340" i="36"/>
  <c r="A1341" i="36"/>
  <c r="A1342" i="36"/>
  <c r="A1343" i="36"/>
  <c r="A1344" i="36"/>
  <c r="A1345" i="36"/>
  <c r="A1346" i="36"/>
  <c r="A1347" i="36"/>
  <c r="A1348" i="36"/>
  <c r="A1349" i="36"/>
  <c r="A1350" i="36"/>
  <c r="A1351" i="36"/>
  <c r="A1352" i="36"/>
  <c r="A1353" i="36"/>
  <c r="A1354" i="36"/>
  <c r="A1355" i="36"/>
  <c r="A1356" i="36"/>
  <c r="A1357" i="36"/>
  <c r="A1358" i="36"/>
  <c r="A1359" i="36"/>
  <c r="A1360" i="36"/>
  <c r="A1361" i="36"/>
  <c r="A1362" i="36"/>
  <c r="A1363" i="36"/>
  <c r="A1364" i="36"/>
  <c r="A1365" i="36"/>
  <c r="A1366" i="36"/>
  <c r="A1367" i="36"/>
  <c r="A1368" i="36"/>
  <c r="A1369" i="36"/>
  <c r="A1370" i="36"/>
  <c r="A1371" i="36"/>
  <c r="A1372" i="36"/>
  <c r="A1373" i="36"/>
  <c r="A1374" i="36"/>
  <c r="A1375" i="36"/>
  <c r="A1376" i="36"/>
  <c r="A1377" i="36"/>
  <c r="A1378" i="36"/>
  <c r="A1379" i="36"/>
  <c r="A1380" i="36"/>
  <c r="A1381" i="36"/>
  <c r="A1382" i="36"/>
  <c r="A1383" i="36"/>
  <c r="A1384" i="36"/>
  <c r="A1385" i="36"/>
  <c r="A1386" i="36"/>
  <c r="A1387" i="36"/>
  <c r="A1388" i="36"/>
  <c r="A1389" i="36"/>
  <c r="A1390" i="36"/>
  <c r="A1391" i="36"/>
  <c r="A1392" i="36"/>
  <c r="A1393" i="36"/>
  <c r="A1394" i="36"/>
  <c r="A1395" i="36"/>
  <c r="A1396" i="36"/>
  <c r="A1397" i="36"/>
  <c r="A1398" i="36"/>
  <c r="A1399" i="36"/>
  <c r="A1400" i="36"/>
  <c r="A1401" i="36"/>
  <c r="A1402" i="36"/>
  <c r="A1403" i="36"/>
  <c r="A1404" i="36"/>
  <c r="A1405" i="36"/>
  <c r="A1406" i="36"/>
  <c r="A1407" i="36"/>
  <c r="A1408" i="36"/>
  <c r="A1409" i="36"/>
  <c r="A1410" i="36"/>
  <c r="A1411" i="36"/>
  <c r="A1412" i="36"/>
  <c r="A1413" i="36"/>
  <c r="A1414" i="36"/>
  <c r="A1415" i="36"/>
  <c r="A1416" i="36"/>
  <c r="A1417" i="36"/>
  <c r="A1418" i="36"/>
  <c r="A1419" i="36"/>
  <c r="A1420" i="36"/>
  <c r="A1421" i="36"/>
  <c r="A1422" i="36"/>
  <c r="A1423" i="36"/>
  <c r="A1424" i="36"/>
  <c r="A1425" i="36"/>
  <c r="A1426" i="36"/>
  <c r="A1427" i="36"/>
  <c r="A1428" i="36"/>
  <c r="A1429" i="36"/>
  <c r="A1430" i="36"/>
  <c r="A1431" i="36"/>
  <c r="A1432" i="36"/>
  <c r="A1433" i="36"/>
  <c r="A1434" i="36"/>
  <c r="A1435" i="36"/>
  <c r="A1436" i="36"/>
  <c r="A1437" i="36"/>
  <c r="A1438" i="36"/>
  <c r="A1439" i="36"/>
  <c r="A1440" i="36"/>
  <c r="A1441" i="36"/>
  <c r="A1442" i="36"/>
  <c r="A1443" i="36"/>
  <c r="A1444" i="36"/>
  <c r="A1445" i="36"/>
  <c r="A1446" i="36"/>
  <c r="A1447" i="36"/>
  <c r="A1448" i="36"/>
  <c r="A1449" i="36"/>
  <c r="A1450" i="36"/>
  <c r="A1451" i="36"/>
  <c r="A1452" i="36"/>
  <c r="A1453" i="36"/>
  <c r="A1454" i="36"/>
  <c r="A1455" i="36"/>
  <c r="A1456" i="36"/>
  <c r="A1457" i="36"/>
  <c r="A1458" i="36"/>
  <c r="A1459" i="36"/>
  <c r="A1460" i="36"/>
  <c r="A1461" i="36"/>
  <c r="A1462" i="36"/>
  <c r="A1463" i="36"/>
  <c r="A1464" i="36"/>
  <c r="A1465" i="36"/>
  <c r="A1466" i="36"/>
  <c r="A1467" i="36"/>
  <c r="A1468" i="36"/>
  <c r="A1469" i="36"/>
  <c r="A1470" i="36"/>
  <c r="A1471" i="36"/>
  <c r="A1472" i="36"/>
  <c r="A1473" i="36"/>
  <c r="A1474" i="36"/>
  <c r="A1475" i="36"/>
  <c r="A1476" i="36"/>
  <c r="A1477" i="36"/>
  <c r="A1478" i="36"/>
  <c r="A1479" i="36"/>
  <c r="A1480" i="36"/>
  <c r="A1481" i="36"/>
  <c r="A1482" i="36"/>
  <c r="A1483" i="36"/>
  <c r="A1484" i="36"/>
  <c r="A1485" i="36"/>
  <c r="A1486" i="36"/>
  <c r="A1487" i="36"/>
  <c r="A1488" i="36"/>
  <c r="A1489" i="36"/>
  <c r="A1490" i="36"/>
  <c r="A1491" i="36"/>
  <c r="A1492" i="36"/>
  <c r="A1493" i="36"/>
  <c r="A1494" i="36"/>
  <c r="A1495" i="36"/>
  <c r="A1496" i="36"/>
  <c r="A1497" i="36"/>
  <c r="A1498" i="36"/>
  <c r="A1499" i="36"/>
  <c r="A1500" i="36"/>
  <c r="A1501" i="36"/>
  <c r="A1502" i="36"/>
  <c r="A1503" i="36"/>
  <c r="A1504" i="36"/>
  <c r="A1505" i="36"/>
  <c r="A1506" i="36"/>
  <c r="A1507" i="36"/>
  <c r="A1508" i="36"/>
  <c r="A1509" i="36"/>
  <c r="A1510" i="36"/>
  <c r="A1511" i="36"/>
  <c r="A1512" i="36"/>
  <c r="A1513" i="36"/>
  <c r="A1514" i="36"/>
  <c r="A1515" i="36"/>
  <c r="A1516" i="36"/>
  <c r="A1517" i="36"/>
  <c r="A1518" i="36"/>
  <c r="A1519" i="36"/>
  <c r="A1520" i="36"/>
  <c r="A1521" i="36"/>
  <c r="A1522" i="36"/>
  <c r="A1523" i="36"/>
  <c r="A1524" i="36"/>
  <c r="A1525" i="36"/>
  <c r="A1526" i="36"/>
  <c r="A1527" i="36"/>
  <c r="A1528" i="36"/>
  <c r="A1529" i="36"/>
  <c r="A1530" i="36"/>
  <c r="A1531" i="36"/>
  <c r="A3" i="36"/>
  <c r="A4" i="36"/>
  <c r="A5" i="36"/>
  <c r="A6" i="36"/>
  <c r="A7" i="36"/>
  <c r="A8" i="36"/>
  <c r="A9" i="36"/>
  <c r="A10" i="36"/>
  <c r="A11" i="36"/>
  <c r="A12" i="36"/>
  <c r="A13" i="36"/>
  <c r="A14" i="36"/>
  <c r="A15" i="36"/>
  <c r="A16" i="36"/>
  <c r="A17" i="36"/>
  <c r="A18" i="36"/>
  <c r="A19" i="36"/>
  <c r="A20" i="36"/>
  <c r="A21" i="36"/>
  <c r="A22" i="36"/>
  <c r="A23" i="36"/>
  <c r="A24" i="36"/>
  <c r="A25" i="36"/>
  <c r="A26" i="36"/>
  <c r="A27" i="36"/>
  <c r="A28" i="36"/>
  <c r="A29" i="36"/>
  <c r="A30" i="36"/>
  <c r="A31" i="36"/>
  <c r="A32" i="36"/>
  <c r="A33" i="36"/>
  <c r="A34" i="36"/>
  <c r="A35" i="36"/>
  <c r="A36" i="36"/>
  <c r="A37" i="36"/>
  <c r="A38" i="36"/>
  <c r="A39" i="36"/>
  <c r="A40" i="36"/>
  <c r="A41" i="36"/>
  <c r="A42" i="36"/>
  <c r="A43" i="36"/>
  <c r="A44" i="36"/>
  <c r="A45" i="36"/>
  <c r="A46" i="36"/>
  <c r="A47" i="36"/>
  <c r="A48" i="36"/>
  <c r="A49" i="36"/>
  <c r="A50" i="36"/>
  <c r="A51" i="36"/>
  <c r="A52" i="36"/>
  <c r="A53" i="36"/>
  <c r="A54" i="36"/>
  <c r="A55" i="36"/>
  <c r="A56" i="36"/>
  <c r="A57" i="36"/>
  <c r="A58" i="36"/>
  <c r="A59" i="36"/>
  <c r="A60" i="36"/>
  <c r="A61" i="36"/>
  <c r="A62" i="36"/>
  <c r="A63" i="36"/>
  <c r="A64" i="36"/>
  <c r="A65" i="36"/>
  <c r="A66" i="36"/>
  <c r="A67" i="36"/>
  <c r="A68" i="36"/>
  <c r="A69" i="36"/>
  <c r="A70" i="36"/>
  <c r="A71" i="36"/>
  <c r="A72" i="36"/>
  <c r="A73" i="36"/>
  <c r="A74" i="36"/>
  <c r="A75" i="36"/>
  <c r="A76" i="36"/>
  <c r="A77" i="36"/>
  <c r="A78" i="36"/>
  <c r="A79" i="36"/>
  <c r="A80" i="36"/>
  <c r="A81" i="36"/>
  <c r="A82" i="36"/>
  <c r="A83" i="36"/>
  <c r="A84" i="36"/>
  <c r="A85" i="36"/>
  <c r="A86" i="36"/>
  <c r="A87" i="36"/>
  <c r="A88" i="36"/>
  <c r="A89" i="36"/>
  <c r="A90" i="36"/>
  <c r="A91" i="36"/>
  <c r="A92" i="36"/>
  <c r="A93" i="36"/>
  <c r="A94" i="36"/>
  <c r="A95" i="36"/>
  <c r="A96" i="36"/>
  <c r="A97" i="36"/>
  <c r="A98" i="36"/>
  <c r="A99" i="36"/>
  <c r="A100" i="36"/>
  <c r="A101" i="36"/>
  <c r="A102" i="36"/>
  <c r="A103" i="36"/>
  <c r="A104" i="36"/>
  <c r="A105" i="36"/>
  <c r="A106" i="36"/>
  <c r="A107" i="36"/>
  <c r="A108" i="36"/>
  <c r="A109" i="36"/>
  <c r="A110" i="36"/>
  <c r="A111" i="36"/>
  <c r="A112" i="36"/>
  <c r="A113" i="36"/>
  <c r="A114" i="36"/>
  <c r="A115" i="36"/>
  <c r="A116" i="36"/>
  <c r="A117" i="36"/>
  <c r="A118" i="36"/>
  <c r="A119" i="36"/>
  <c r="A120" i="36"/>
  <c r="A121" i="36"/>
  <c r="A122" i="36"/>
  <c r="A123" i="36"/>
  <c r="A124" i="36"/>
  <c r="A125" i="36"/>
  <c r="A126" i="36"/>
  <c r="A127" i="36"/>
  <c r="A128" i="36"/>
  <c r="A129" i="36"/>
  <c r="A130" i="36"/>
  <c r="A131" i="36"/>
  <c r="A132" i="36"/>
  <c r="A133" i="36"/>
  <c r="A134" i="36"/>
  <c r="A135" i="36"/>
  <c r="A136" i="36"/>
  <c r="A137" i="36"/>
  <c r="A138" i="36"/>
  <c r="A139" i="36"/>
  <c r="A140" i="36"/>
  <c r="A141" i="36"/>
  <c r="A142" i="36"/>
  <c r="A143" i="36"/>
  <c r="A144" i="36"/>
  <c r="A145" i="36"/>
  <c r="A146" i="36"/>
  <c r="A147" i="36"/>
  <c r="A148" i="36"/>
  <c r="A149" i="36"/>
  <c r="A150" i="36"/>
  <c r="A151" i="36"/>
  <c r="A152" i="36"/>
  <c r="A153" i="36"/>
  <c r="A154" i="36"/>
  <c r="A155" i="36"/>
  <c r="A156" i="36"/>
  <c r="A157" i="36"/>
  <c r="A158" i="36"/>
  <c r="A159" i="36"/>
  <c r="A160" i="36"/>
  <c r="A161" i="36"/>
  <c r="A162" i="36"/>
  <c r="A163" i="36"/>
  <c r="A164" i="36"/>
  <c r="A165" i="36"/>
  <c r="A166" i="36"/>
  <c r="A167" i="36"/>
  <c r="A168" i="36"/>
  <c r="A169" i="36"/>
  <c r="A170" i="36"/>
  <c r="A171" i="36"/>
  <c r="A172" i="36"/>
  <c r="A173" i="36"/>
  <c r="A174" i="36"/>
  <c r="A175" i="36"/>
  <c r="A176" i="36"/>
  <c r="A177" i="36"/>
  <c r="A178" i="36"/>
  <c r="A179" i="36"/>
  <c r="A180" i="36"/>
  <c r="A181" i="36"/>
  <c r="A182" i="36"/>
  <c r="A183" i="36"/>
  <c r="A184" i="36"/>
  <c r="A185" i="36"/>
  <c r="A186" i="36"/>
  <c r="A187" i="36"/>
  <c r="A188" i="36"/>
  <c r="A189" i="36"/>
  <c r="A190" i="36"/>
  <c r="A191" i="36"/>
  <c r="A192" i="36"/>
  <c r="A193" i="36"/>
  <c r="A194" i="36"/>
  <c r="A195" i="36"/>
  <c r="A196" i="36"/>
  <c r="A197" i="36"/>
  <c r="A198" i="36"/>
  <c r="A199" i="36"/>
  <c r="A200" i="36"/>
  <c r="A201" i="36"/>
  <c r="A202" i="36"/>
  <c r="A203" i="36"/>
  <c r="A204" i="36"/>
  <c r="A205" i="36"/>
  <c r="A206" i="36"/>
  <c r="A207" i="36"/>
  <c r="A208" i="36"/>
  <c r="A209" i="36"/>
  <c r="A210" i="36"/>
  <c r="A211" i="36"/>
  <c r="A212" i="36"/>
  <c r="A213" i="36"/>
  <c r="A214" i="36"/>
  <c r="A215" i="36"/>
  <c r="A216" i="36"/>
  <c r="A217" i="36"/>
  <c r="A218" i="36"/>
  <c r="A219" i="36"/>
  <c r="A220" i="36"/>
  <c r="A221" i="36"/>
  <c r="A222" i="36"/>
  <c r="A223" i="36"/>
  <c r="A224" i="36"/>
  <c r="A225" i="36"/>
  <c r="A226" i="36"/>
  <c r="A227" i="36"/>
  <c r="A228" i="36"/>
  <c r="A229" i="36"/>
  <c r="A230" i="36"/>
  <c r="A231" i="36"/>
  <c r="A232" i="36"/>
  <c r="A233" i="36"/>
  <c r="A234" i="36"/>
  <c r="A235" i="36"/>
  <c r="A236" i="36"/>
  <c r="A237" i="36"/>
  <c r="A238" i="36"/>
  <c r="A239" i="36"/>
  <c r="A240" i="36"/>
  <c r="A241" i="36"/>
  <c r="A242" i="36"/>
  <c r="A243" i="36"/>
  <c r="A244" i="36"/>
  <c r="A245" i="36"/>
  <c r="A246" i="36"/>
  <c r="A247" i="36"/>
  <c r="A248" i="36"/>
  <c r="A249" i="36"/>
  <c r="A250" i="36"/>
  <c r="A251" i="36"/>
  <c r="A252" i="36"/>
  <c r="A253" i="36"/>
  <c r="A254" i="36"/>
  <c r="A255" i="36"/>
  <c r="A256" i="36"/>
  <c r="A257" i="36"/>
  <c r="A258" i="36"/>
  <c r="A259" i="36"/>
  <c r="A260" i="36"/>
  <c r="A261" i="36"/>
  <c r="A262" i="36"/>
  <c r="A263" i="36"/>
  <c r="A264" i="36"/>
  <c r="A265" i="36"/>
  <c r="A266" i="36"/>
  <c r="A267" i="36"/>
  <c r="A268" i="36"/>
  <c r="A269" i="36"/>
  <c r="A270" i="36"/>
  <c r="A271" i="36"/>
  <c r="A272" i="36"/>
  <c r="A273" i="36"/>
  <c r="A274" i="36"/>
  <c r="A275" i="36"/>
  <c r="A276" i="36"/>
  <c r="A277" i="36"/>
  <c r="A278" i="36"/>
  <c r="A279" i="36"/>
  <c r="A280" i="36"/>
  <c r="A281" i="36"/>
  <c r="A282" i="36"/>
  <c r="A283" i="36"/>
  <c r="A284" i="36"/>
  <c r="A285" i="36"/>
  <c r="A286" i="36"/>
  <c r="A287" i="36"/>
  <c r="A288" i="36"/>
  <c r="A289" i="36"/>
  <c r="A290" i="36"/>
  <c r="A291" i="36"/>
  <c r="A292" i="36"/>
  <c r="A293" i="36"/>
  <c r="A294" i="36"/>
  <c r="A295" i="36"/>
  <c r="A296" i="36"/>
  <c r="A297" i="36"/>
  <c r="A298" i="36"/>
  <c r="A299" i="36"/>
  <c r="A300" i="36"/>
  <c r="A301" i="36"/>
  <c r="A302" i="36"/>
  <c r="A303" i="36"/>
  <c r="A304" i="36"/>
  <c r="A305" i="36"/>
  <c r="A306" i="36"/>
  <c r="A307" i="36"/>
  <c r="A308" i="36"/>
  <c r="A309" i="36"/>
  <c r="A310" i="36"/>
  <c r="A311" i="36"/>
  <c r="A312" i="36"/>
  <c r="A313" i="36"/>
  <c r="A314" i="36"/>
  <c r="A315" i="36"/>
  <c r="A316" i="36"/>
  <c r="A317" i="36"/>
  <c r="A318" i="36"/>
  <c r="A319" i="36"/>
  <c r="A320" i="36"/>
  <c r="A321" i="36"/>
  <c r="A322" i="36"/>
  <c r="A323" i="36"/>
  <c r="A324" i="36"/>
  <c r="A325" i="36"/>
  <c r="A326" i="36"/>
  <c r="A327" i="36"/>
  <c r="A328" i="36"/>
  <c r="A329" i="36"/>
  <c r="A330" i="36"/>
  <c r="A331" i="36"/>
  <c r="A332" i="36"/>
  <c r="A333" i="36"/>
  <c r="A334" i="36"/>
  <c r="A335" i="36"/>
  <c r="A336" i="36"/>
  <c r="A337" i="36"/>
  <c r="A338" i="36"/>
  <c r="A339" i="36"/>
  <c r="A340" i="36"/>
  <c r="A341" i="36"/>
  <c r="A342" i="36"/>
  <c r="A343" i="36"/>
  <c r="A344" i="36"/>
  <c r="A345" i="36"/>
  <c r="A346" i="36"/>
  <c r="A347" i="36"/>
  <c r="A348" i="36"/>
  <c r="A349" i="36"/>
  <c r="A350" i="36"/>
  <c r="A351" i="36"/>
  <c r="A352" i="36"/>
  <c r="A353" i="36"/>
  <c r="A354" i="36"/>
  <c r="A355" i="36"/>
  <c r="A356" i="36"/>
  <c r="A357" i="36"/>
  <c r="A358" i="36"/>
  <c r="A359" i="36"/>
  <c r="A360" i="36"/>
  <c r="A361" i="36"/>
  <c r="A362" i="36"/>
  <c r="A363" i="36"/>
  <c r="A364" i="36"/>
  <c r="A365" i="36"/>
  <c r="A366" i="36"/>
  <c r="A367" i="36"/>
  <c r="A368" i="36"/>
  <c r="A369" i="36"/>
  <c r="A370" i="36"/>
  <c r="A371" i="36"/>
  <c r="A372" i="36"/>
  <c r="A373" i="36"/>
  <c r="A374" i="36"/>
  <c r="A375" i="36"/>
  <c r="A376" i="36"/>
  <c r="A377" i="36"/>
  <c r="A378" i="36"/>
  <c r="A379" i="36"/>
  <c r="A380" i="36"/>
  <c r="A381" i="36"/>
  <c r="A382" i="36"/>
  <c r="A383" i="36"/>
  <c r="A384" i="36"/>
  <c r="A385" i="36"/>
  <c r="A386" i="36"/>
  <c r="A387" i="36"/>
  <c r="A388" i="36"/>
  <c r="A389" i="36"/>
  <c r="A390" i="36"/>
  <c r="A391" i="36"/>
  <c r="A392" i="36"/>
  <c r="A393" i="36"/>
  <c r="A394" i="36"/>
  <c r="A395" i="36"/>
  <c r="A396" i="36"/>
  <c r="A397" i="36"/>
  <c r="A398" i="36"/>
  <c r="A399" i="36"/>
  <c r="A400" i="36"/>
  <c r="A401" i="36"/>
  <c r="A402" i="36"/>
  <c r="A403" i="36"/>
  <c r="A404" i="36"/>
  <c r="A405" i="36"/>
  <c r="A406" i="36"/>
  <c r="A407" i="36"/>
  <c r="A408" i="36"/>
  <c r="A409" i="36"/>
  <c r="A410" i="36"/>
  <c r="A411" i="36"/>
  <c r="A412" i="36"/>
  <c r="A413" i="36"/>
  <c r="A414" i="36"/>
  <c r="A415" i="36"/>
  <c r="A416" i="36"/>
  <c r="A417" i="36"/>
  <c r="A418" i="36"/>
  <c r="A419" i="36"/>
  <c r="A420" i="36"/>
  <c r="A421" i="36"/>
  <c r="A422" i="36"/>
  <c r="A423" i="36"/>
  <c r="A424" i="36"/>
  <c r="A425" i="36"/>
  <c r="A426" i="36"/>
  <c r="A427" i="36"/>
  <c r="A428" i="36"/>
  <c r="A429" i="36"/>
  <c r="A430" i="36"/>
  <c r="A431" i="36"/>
  <c r="A432" i="36"/>
  <c r="A433" i="36"/>
  <c r="A434" i="36"/>
  <c r="A435" i="36"/>
  <c r="A436" i="36"/>
  <c r="A437" i="36"/>
  <c r="A438" i="36"/>
  <c r="A439" i="36"/>
  <c r="A440" i="36"/>
  <c r="A441" i="36"/>
  <c r="A442" i="36"/>
  <c r="A443" i="36"/>
  <c r="A444" i="36"/>
  <c r="A445" i="36"/>
  <c r="A446" i="36"/>
  <c r="A447" i="36"/>
  <c r="A448" i="36"/>
  <c r="A449" i="36"/>
  <c r="A450" i="36"/>
  <c r="A451" i="36"/>
  <c r="A452" i="36"/>
  <c r="A453" i="36"/>
  <c r="A454" i="36"/>
  <c r="A455" i="36"/>
  <c r="A456" i="36"/>
  <c r="A457" i="36"/>
  <c r="A458" i="36"/>
  <c r="A459" i="36"/>
  <c r="A460" i="36"/>
  <c r="A461" i="36"/>
  <c r="A462" i="36"/>
  <c r="A463" i="36"/>
  <c r="A464" i="36"/>
  <c r="A465" i="36"/>
  <c r="A466" i="36"/>
  <c r="A467" i="36"/>
  <c r="A468" i="36"/>
  <c r="A469" i="36"/>
  <c r="A470" i="36"/>
  <c r="A471" i="36"/>
  <c r="A472" i="36"/>
  <c r="A473" i="36"/>
  <c r="A474" i="36"/>
  <c r="A475" i="36"/>
  <c r="A476" i="36"/>
  <c r="A477" i="36"/>
  <c r="A478" i="36"/>
  <c r="A479" i="36"/>
  <c r="A480" i="36"/>
  <c r="A481" i="36"/>
  <c r="A482" i="36"/>
  <c r="A483" i="36"/>
  <c r="A484" i="36"/>
  <c r="A485" i="36"/>
  <c r="A486" i="36"/>
  <c r="A487" i="36"/>
  <c r="A488" i="36"/>
  <c r="A489" i="36"/>
  <c r="A490" i="36"/>
  <c r="A491" i="36"/>
  <c r="A492" i="36"/>
  <c r="A493" i="36"/>
  <c r="A494" i="36"/>
  <c r="A495" i="36"/>
  <c r="A496" i="36"/>
  <c r="A497" i="36"/>
  <c r="A498" i="36"/>
  <c r="A499" i="36"/>
  <c r="A500" i="36"/>
  <c r="A501" i="36"/>
  <c r="A502" i="36"/>
  <c r="A503" i="36"/>
  <c r="A504" i="36"/>
  <c r="A505" i="36"/>
  <c r="A506" i="36"/>
  <c r="A507" i="36"/>
  <c r="A508" i="36"/>
  <c r="A509" i="36"/>
  <c r="A510" i="36"/>
  <c r="A511" i="36"/>
  <c r="A512" i="36"/>
  <c r="A513" i="36"/>
  <c r="A514" i="36"/>
  <c r="A515" i="36"/>
  <c r="A516" i="36"/>
  <c r="A517" i="36"/>
  <c r="A518" i="36"/>
  <c r="A519" i="36"/>
  <c r="A520" i="36"/>
  <c r="A521" i="36"/>
  <c r="A522" i="36"/>
  <c r="A523" i="36"/>
  <c r="A524" i="36"/>
  <c r="A525" i="36"/>
  <c r="A526" i="36"/>
  <c r="A527" i="36"/>
  <c r="A528" i="36"/>
  <c r="A529" i="36"/>
  <c r="A530" i="36"/>
  <c r="A531" i="36"/>
  <c r="A532" i="36"/>
  <c r="A533" i="36"/>
  <c r="A534" i="36"/>
  <c r="A535" i="36"/>
  <c r="A536" i="36"/>
  <c r="A537" i="36"/>
  <c r="A538" i="36"/>
  <c r="A539" i="36"/>
  <c r="A540" i="36"/>
  <c r="A541" i="36"/>
  <c r="A542" i="36"/>
  <c r="A543" i="36"/>
  <c r="A544" i="36"/>
  <c r="A545" i="36"/>
  <c r="A546" i="36"/>
  <c r="A547" i="36"/>
  <c r="A548" i="36"/>
  <c r="A549" i="36"/>
  <c r="A550" i="36"/>
  <c r="A551" i="36"/>
  <c r="A552" i="36"/>
  <c r="A553" i="36"/>
  <c r="A554" i="36"/>
  <c r="A555" i="36"/>
  <c r="A556" i="36"/>
  <c r="A557" i="36"/>
  <c r="A558" i="36"/>
  <c r="A559" i="36"/>
  <c r="A560" i="36"/>
  <c r="A561" i="36"/>
  <c r="A562" i="36"/>
  <c r="A563" i="36"/>
  <c r="A564" i="36"/>
  <c r="A565" i="36"/>
  <c r="A566" i="36"/>
  <c r="A567" i="36"/>
  <c r="A568" i="36"/>
  <c r="A569" i="36"/>
  <c r="A570" i="36"/>
  <c r="A571" i="36"/>
  <c r="A572" i="36"/>
  <c r="A573" i="36"/>
  <c r="A574" i="36"/>
  <c r="A575" i="36"/>
  <c r="A576" i="36"/>
  <c r="A577" i="36"/>
  <c r="A578" i="36"/>
  <c r="A579" i="36"/>
  <c r="A580" i="36"/>
  <c r="A581" i="36"/>
  <c r="A582" i="36"/>
  <c r="A583" i="36"/>
  <c r="A584" i="36"/>
  <c r="A585" i="36"/>
  <c r="A586" i="36"/>
  <c r="A587" i="36"/>
  <c r="A588" i="36"/>
  <c r="A589" i="36"/>
  <c r="A590" i="36"/>
  <c r="A591" i="36"/>
  <c r="A592" i="36"/>
  <c r="A593" i="36"/>
  <c r="A594" i="36"/>
  <c r="A595" i="36"/>
  <c r="A596" i="36"/>
  <c r="A597" i="36"/>
  <c r="A598" i="36"/>
  <c r="A599" i="36"/>
  <c r="A600" i="36"/>
  <c r="A601" i="36"/>
  <c r="A602" i="36"/>
  <c r="A603" i="36"/>
  <c r="A604" i="36"/>
  <c r="A605" i="36"/>
  <c r="A606" i="36"/>
  <c r="A607" i="36"/>
  <c r="A608" i="36"/>
  <c r="A609" i="36"/>
  <c r="A610" i="36"/>
  <c r="A611" i="36"/>
  <c r="A612" i="36"/>
  <c r="A613" i="36"/>
  <c r="A614" i="36"/>
  <c r="A615" i="36"/>
  <c r="A616" i="36"/>
  <c r="A617" i="36"/>
  <c r="A618" i="36"/>
  <c r="A619" i="36"/>
  <c r="A620" i="36"/>
  <c r="A621" i="36"/>
  <c r="A622" i="36"/>
  <c r="A623" i="36"/>
  <c r="A624" i="36"/>
  <c r="A625" i="36"/>
  <c r="A626" i="36"/>
  <c r="A627" i="36"/>
  <c r="A628" i="36"/>
  <c r="A629" i="36"/>
  <c r="A630" i="36"/>
  <c r="A631" i="36"/>
  <c r="A632" i="36"/>
  <c r="A633" i="36"/>
  <c r="A634" i="36"/>
  <c r="A635" i="36"/>
  <c r="A636" i="36"/>
  <c r="A637" i="36"/>
  <c r="A638" i="36"/>
  <c r="A639" i="36"/>
  <c r="A640" i="36"/>
  <c r="A641" i="36"/>
  <c r="A642" i="36"/>
  <c r="A643" i="36"/>
  <c r="A644" i="36"/>
  <c r="A645" i="36"/>
  <c r="A646" i="36"/>
  <c r="A647" i="36"/>
  <c r="A648" i="36"/>
  <c r="A649" i="36"/>
  <c r="A650" i="36"/>
  <c r="A651" i="36"/>
  <c r="A652" i="36"/>
  <c r="A653" i="36"/>
  <c r="A654" i="36"/>
  <c r="A655" i="36"/>
  <c r="A656" i="36"/>
  <c r="A657" i="36"/>
  <c r="A658" i="36"/>
  <c r="A659" i="36"/>
  <c r="A660" i="36"/>
  <c r="A661" i="36"/>
  <c r="A662" i="36"/>
  <c r="A663" i="36"/>
  <c r="A664" i="36"/>
  <c r="A665" i="36"/>
  <c r="A666" i="36"/>
  <c r="A667" i="36"/>
  <c r="A668" i="36"/>
  <c r="A669" i="36"/>
  <c r="A670" i="36"/>
  <c r="A671" i="36"/>
  <c r="A672" i="36"/>
  <c r="A673" i="36"/>
  <c r="A674" i="36"/>
  <c r="A675" i="36"/>
  <c r="A676" i="36"/>
  <c r="A677" i="36"/>
  <c r="A678" i="36"/>
  <c r="A679" i="36"/>
  <c r="A680" i="36"/>
  <c r="A681" i="36"/>
  <c r="A682" i="36"/>
  <c r="A683" i="36"/>
  <c r="A684" i="36"/>
  <c r="A685" i="36"/>
  <c r="A686" i="36"/>
  <c r="A687" i="36"/>
  <c r="A688" i="36"/>
  <c r="A689" i="36"/>
  <c r="A690" i="36"/>
  <c r="A691" i="36"/>
  <c r="A692" i="36"/>
  <c r="A693" i="36"/>
  <c r="A694" i="36"/>
  <c r="A695" i="36"/>
  <c r="A696" i="36"/>
  <c r="A697" i="36"/>
  <c r="A698" i="36"/>
  <c r="A699" i="36"/>
  <c r="A700" i="36"/>
  <c r="A701" i="36"/>
  <c r="A702" i="36"/>
  <c r="A703" i="36"/>
  <c r="A704" i="36"/>
  <c r="A705" i="36"/>
  <c r="A706" i="36"/>
  <c r="A707" i="36"/>
  <c r="A708" i="36"/>
  <c r="A709" i="36"/>
  <c r="A710" i="36"/>
  <c r="A711" i="36"/>
  <c r="A712" i="36"/>
  <c r="A713" i="36"/>
  <c r="A714" i="36"/>
  <c r="A715" i="36"/>
  <c r="A716" i="36"/>
  <c r="A717" i="36"/>
  <c r="A718" i="36"/>
  <c r="A719" i="36"/>
  <c r="A720" i="36"/>
  <c r="A721" i="36"/>
  <c r="A722" i="36"/>
  <c r="A723" i="36"/>
  <c r="A724" i="36"/>
  <c r="A725" i="36"/>
  <c r="A726" i="36"/>
  <c r="A727" i="36"/>
  <c r="A728" i="36"/>
  <c r="A729" i="36"/>
  <c r="A730" i="36"/>
  <c r="A731" i="36"/>
  <c r="A732" i="36"/>
  <c r="A733" i="36"/>
  <c r="A734" i="36"/>
  <c r="A735" i="36"/>
  <c r="A736" i="36"/>
  <c r="A737" i="36"/>
  <c r="A738" i="36"/>
  <c r="A739" i="36"/>
  <c r="A740" i="36"/>
  <c r="A741" i="36"/>
  <c r="A742" i="36"/>
  <c r="A743" i="36"/>
  <c r="A744" i="36"/>
  <c r="A745" i="36"/>
  <c r="A746" i="36"/>
  <c r="A747" i="36"/>
  <c r="A748" i="36"/>
  <c r="A749" i="36"/>
  <c r="A750" i="36"/>
  <c r="A751" i="36"/>
  <c r="A752" i="36"/>
  <c r="A753" i="36"/>
  <c r="A754" i="36"/>
  <c r="A755" i="36"/>
  <c r="A756" i="36"/>
  <c r="A757" i="36"/>
  <c r="A758" i="36"/>
  <c r="A759" i="36"/>
  <c r="A760" i="36"/>
  <c r="A761" i="36"/>
  <c r="A762" i="36"/>
  <c r="A763" i="36"/>
  <c r="A764" i="36"/>
  <c r="A765" i="36"/>
  <c r="A766" i="36"/>
  <c r="A767" i="36"/>
  <c r="A768" i="36"/>
  <c r="A769" i="36"/>
  <c r="A770" i="36"/>
  <c r="A771" i="36"/>
  <c r="A772" i="36"/>
  <c r="A773" i="36"/>
  <c r="A774" i="36"/>
  <c r="A775" i="36"/>
  <c r="A776" i="36"/>
  <c r="A777" i="36"/>
  <c r="A778" i="36"/>
  <c r="A779" i="36"/>
  <c r="A780" i="36"/>
  <c r="A781" i="36"/>
  <c r="A782" i="36"/>
  <c r="A783" i="36"/>
  <c r="A784" i="36"/>
  <c r="A785" i="36"/>
  <c r="A786" i="36"/>
  <c r="A787" i="36"/>
  <c r="A788" i="36"/>
  <c r="A789" i="36"/>
  <c r="A790" i="36"/>
  <c r="A791" i="36"/>
  <c r="A792" i="36"/>
  <c r="A793" i="36"/>
  <c r="A794" i="36"/>
  <c r="A795" i="36"/>
  <c r="A796" i="36"/>
  <c r="A797" i="36"/>
  <c r="A798" i="36"/>
  <c r="A799" i="36"/>
  <c r="A800" i="36"/>
  <c r="A801" i="36"/>
  <c r="A802" i="36"/>
  <c r="A803" i="36"/>
  <c r="A804" i="36"/>
  <c r="A805" i="36"/>
  <c r="A806" i="36"/>
  <c r="A807" i="36"/>
  <c r="A808" i="36"/>
  <c r="A809" i="36"/>
  <c r="A810" i="36"/>
  <c r="A811" i="36"/>
  <c r="A812" i="36"/>
  <c r="A813" i="36"/>
  <c r="A814" i="36"/>
  <c r="A815" i="36"/>
  <c r="A816" i="36"/>
  <c r="A817" i="36"/>
  <c r="A818" i="36"/>
  <c r="A819" i="36"/>
  <c r="A820" i="36"/>
  <c r="A821" i="36"/>
  <c r="A822" i="36"/>
  <c r="A823" i="36"/>
  <c r="A824" i="36"/>
  <c r="A825" i="36"/>
  <c r="A826" i="36"/>
  <c r="A827" i="36"/>
  <c r="A828" i="36"/>
  <c r="A829" i="36"/>
  <c r="A830" i="36"/>
  <c r="A831" i="36"/>
  <c r="A832" i="36"/>
  <c r="A833" i="36"/>
  <c r="A834" i="36"/>
  <c r="A835" i="36"/>
  <c r="A836" i="36"/>
  <c r="A837" i="36"/>
  <c r="A838" i="36"/>
  <c r="A839" i="36"/>
  <c r="A840" i="36"/>
  <c r="A841" i="36"/>
  <c r="A842" i="36"/>
  <c r="A843" i="36"/>
  <c r="A844" i="36"/>
  <c r="A845" i="36"/>
  <c r="A846" i="36"/>
  <c r="A847" i="36"/>
  <c r="A848" i="36"/>
  <c r="A849" i="36"/>
  <c r="A850" i="36"/>
  <c r="A851" i="36"/>
  <c r="A852" i="36"/>
  <c r="A853" i="36"/>
  <c r="A854" i="36"/>
  <c r="A855" i="36"/>
  <c r="A856" i="36"/>
  <c r="A857" i="36"/>
  <c r="A858" i="36"/>
  <c r="A859" i="36"/>
  <c r="A860" i="36"/>
  <c r="A861" i="36"/>
  <c r="A862" i="36"/>
  <c r="A863" i="36"/>
  <c r="A864" i="36"/>
  <c r="A865" i="36"/>
  <c r="A866" i="36"/>
  <c r="A867" i="36"/>
  <c r="A868" i="36"/>
  <c r="A869" i="36"/>
  <c r="A870" i="36"/>
  <c r="A871" i="36"/>
  <c r="A872" i="36"/>
  <c r="A873" i="36"/>
  <c r="A874" i="36"/>
  <c r="A875" i="36"/>
  <c r="A876" i="36"/>
  <c r="A877" i="36"/>
  <c r="A878" i="36"/>
  <c r="A879" i="36"/>
  <c r="A880" i="36"/>
  <c r="A881" i="36"/>
  <c r="A882" i="36"/>
  <c r="A883" i="36"/>
  <c r="A884" i="36"/>
  <c r="A885" i="36"/>
  <c r="A886" i="36"/>
  <c r="A887" i="36"/>
  <c r="A888" i="36"/>
  <c r="A889" i="36"/>
  <c r="A890" i="36"/>
  <c r="A891" i="36"/>
  <c r="A892" i="36"/>
  <c r="A893" i="36"/>
  <c r="A894" i="36"/>
  <c r="A895" i="36"/>
  <c r="A896" i="36"/>
  <c r="A897" i="36"/>
  <c r="A898" i="36"/>
  <c r="A899" i="36"/>
  <c r="A900" i="36"/>
  <c r="A901" i="36"/>
  <c r="A902" i="36"/>
  <c r="A903" i="36"/>
  <c r="A904" i="36"/>
  <c r="A905" i="36"/>
  <c r="A906" i="36"/>
  <c r="A907" i="36"/>
  <c r="A908" i="36"/>
  <c r="A909" i="36"/>
  <c r="A910" i="36"/>
  <c r="A911" i="36"/>
  <c r="A912" i="36"/>
  <c r="A913" i="36"/>
  <c r="A914" i="36"/>
  <c r="A915" i="36"/>
  <c r="A916" i="36"/>
  <c r="A917" i="36"/>
  <c r="A918" i="36"/>
  <c r="A919" i="36"/>
  <c r="A920" i="36"/>
  <c r="A921" i="36"/>
  <c r="A922" i="36"/>
  <c r="A923" i="36"/>
  <c r="A924" i="36"/>
  <c r="A925" i="36"/>
  <c r="A926" i="36"/>
  <c r="A927" i="36"/>
  <c r="A928" i="36"/>
  <c r="A929" i="36"/>
  <c r="A930" i="36"/>
  <c r="A931" i="36"/>
  <c r="A932" i="36"/>
  <c r="A933" i="36"/>
  <c r="A934" i="36"/>
  <c r="A935" i="36"/>
  <c r="A936" i="36"/>
  <c r="A937" i="36"/>
  <c r="A938" i="36"/>
  <c r="A939" i="36"/>
  <c r="A940" i="36"/>
  <c r="A941" i="36"/>
  <c r="A942" i="36"/>
  <c r="A943" i="36"/>
  <c r="A944" i="36"/>
  <c r="A945" i="36"/>
  <c r="A946" i="36"/>
  <c r="A947" i="36"/>
  <c r="A948" i="36"/>
  <c r="A949" i="36"/>
  <c r="A950" i="36"/>
  <c r="A951" i="36"/>
  <c r="A952" i="36"/>
  <c r="A953" i="36"/>
  <c r="A954" i="36"/>
  <c r="A955" i="36"/>
  <c r="A956" i="36"/>
  <c r="A957" i="36"/>
  <c r="A958" i="36"/>
  <c r="A959" i="36"/>
  <c r="A960" i="36"/>
  <c r="A961" i="36"/>
  <c r="A962" i="36"/>
  <c r="A963" i="36"/>
  <c r="A964" i="36"/>
  <c r="A965" i="36"/>
  <c r="A966" i="36"/>
  <c r="A967" i="36"/>
  <c r="A968" i="36"/>
  <c r="A969" i="36"/>
  <c r="A970" i="36"/>
  <c r="A971" i="36"/>
  <c r="A972" i="36"/>
  <c r="A973" i="36"/>
  <c r="A974" i="36"/>
  <c r="A975" i="36"/>
  <c r="A976" i="36"/>
  <c r="A977" i="36"/>
  <c r="A978" i="36"/>
  <c r="A979" i="36"/>
  <c r="A980" i="36"/>
  <c r="A981" i="36"/>
  <c r="A982" i="36"/>
  <c r="A983" i="36"/>
  <c r="A984" i="36"/>
  <c r="A985" i="36"/>
  <c r="A986" i="36"/>
  <c r="A987" i="36"/>
  <c r="A988" i="36"/>
  <c r="A989" i="36"/>
  <c r="A990" i="36"/>
  <c r="A991" i="36"/>
  <c r="A992" i="36"/>
  <c r="A993" i="36"/>
  <c r="A994" i="36"/>
  <c r="A995" i="36"/>
  <c r="A996" i="36"/>
  <c r="A997" i="36"/>
  <c r="A998" i="36"/>
  <c r="A999" i="36"/>
  <c r="A1000" i="36"/>
  <c r="A1001" i="36"/>
  <c r="A1002" i="36"/>
  <c r="A1003" i="36"/>
  <c r="A1004" i="36"/>
  <c r="A1005" i="36"/>
  <c r="A1006" i="36"/>
  <c r="A1007" i="36"/>
  <c r="A1008" i="36"/>
  <c r="A1009" i="36"/>
  <c r="A1010" i="36"/>
  <c r="A3" i="35"/>
  <c r="A4" i="35"/>
  <c r="A5" i="35"/>
  <c r="A6" i="35"/>
  <c r="A7" i="35"/>
  <c r="A8" i="35"/>
  <c r="A9" i="35"/>
  <c r="A10" i="35"/>
  <c r="A11" i="35"/>
  <c r="A12" i="35"/>
  <c r="A13" i="35"/>
  <c r="A14" i="35"/>
  <c r="A15" i="35"/>
  <c r="A16" i="35"/>
  <c r="A17" i="35"/>
  <c r="A18" i="35"/>
  <c r="A19" i="35"/>
  <c r="A20" i="35"/>
  <c r="A21" i="35"/>
  <c r="A22" i="35"/>
  <c r="A23" i="35"/>
  <c r="A24" i="35"/>
  <c r="A25" i="35"/>
  <c r="A26" i="35"/>
  <c r="A27" i="35"/>
  <c r="A28" i="35"/>
  <c r="A29" i="35"/>
  <c r="A30" i="35"/>
  <c r="A31" i="35"/>
  <c r="A32" i="35"/>
  <c r="A33" i="35"/>
  <c r="A34" i="35"/>
  <c r="A35" i="35"/>
  <c r="A36" i="35"/>
  <c r="A37" i="35"/>
  <c r="A38" i="35"/>
  <c r="A39" i="35"/>
  <c r="A40" i="35"/>
  <c r="A41" i="35"/>
  <c r="A42" i="35"/>
  <c r="A43" i="35"/>
  <c r="A44" i="35"/>
  <c r="A45" i="35"/>
  <c r="A46" i="35"/>
  <c r="A47" i="35"/>
  <c r="A48" i="35"/>
  <c r="A49" i="35"/>
  <c r="A50" i="35"/>
  <c r="A51" i="35"/>
  <c r="A52" i="35"/>
  <c r="A53" i="35"/>
  <c r="A54" i="35"/>
  <c r="A55" i="35"/>
  <c r="A56" i="35"/>
  <c r="A57" i="35"/>
  <c r="A58" i="35"/>
  <c r="A59" i="35"/>
  <c r="A60" i="35"/>
  <c r="A61" i="35"/>
  <c r="A62" i="35"/>
  <c r="A63" i="35"/>
  <c r="A64" i="35"/>
  <c r="A65" i="35"/>
  <c r="A66" i="35"/>
  <c r="A67" i="35"/>
  <c r="A68" i="35"/>
  <c r="A69" i="35"/>
  <c r="A70" i="35"/>
  <c r="A71" i="35"/>
  <c r="A72" i="35"/>
  <c r="A73" i="35"/>
  <c r="A74" i="35"/>
  <c r="A75" i="35"/>
  <c r="A76" i="35"/>
  <c r="A77" i="35"/>
  <c r="A78" i="35"/>
  <c r="A79" i="35"/>
  <c r="A80" i="35"/>
  <c r="A81" i="35"/>
  <c r="A82" i="35"/>
  <c r="A83" i="35"/>
  <c r="A84" i="35"/>
  <c r="A85" i="35"/>
  <c r="A86" i="35"/>
  <c r="A87" i="35"/>
  <c r="A88" i="35"/>
  <c r="A89" i="35"/>
  <c r="A90" i="35"/>
  <c r="A91" i="35"/>
  <c r="A92" i="35"/>
  <c r="A93" i="35"/>
  <c r="A94" i="35"/>
  <c r="A95" i="35"/>
  <c r="A96" i="35"/>
  <c r="A97" i="35"/>
  <c r="A98" i="35"/>
  <c r="A99" i="35"/>
  <c r="A100" i="35"/>
  <c r="A101" i="35"/>
  <c r="A102" i="35"/>
  <c r="A103" i="35"/>
  <c r="A104" i="35"/>
  <c r="A105" i="35"/>
  <c r="A106" i="35"/>
  <c r="A107" i="35"/>
  <c r="A108" i="35"/>
  <c r="A109" i="35"/>
  <c r="A110" i="35"/>
  <c r="A111" i="35"/>
  <c r="A112" i="35"/>
  <c r="A113" i="35"/>
  <c r="A114" i="35"/>
  <c r="A115" i="35"/>
  <c r="A116" i="35"/>
  <c r="A117" i="35"/>
  <c r="A118" i="35"/>
  <c r="A119" i="35"/>
  <c r="A120" i="35"/>
  <c r="A121" i="35"/>
  <c r="A122" i="35"/>
  <c r="A123" i="35"/>
  <c r="A124" i="35"/>
  <c r="A125" i="35"/>
  <c r="A126" i="35"/>
  <c r="A127" i="35"/>
  <c r="A128" i="35"/>
  <c r="A129" i="35"/>
  <c r="A130" i="35"/>
  <c r="A131" i="35"/>
  <c r="A132" i="35"/>
  <c r="A133" i="35"/>
  <c r="A134" i="35"/>
  <c r="A135" i="35"/>
  <c r="A136" i="35"/>
  <c r="A137" i="35"/>
  <c r="A138" i="35"/>
  <c r="A139" i="35"/>
  <c r="A140" i="35"/>
  <c r="A141" i="35"/>
  <c r="A142" i="35"/>
  <c r="A143" i="35"/>
  <c r="A144" i="35"/>
  <c r="A145" i="35"/>
  <c r="A146" i="35"/>
  <c r="A147" i="35"/>
  <c r="A148" i="35"/>
  <c r="A149" i="35"/>
  <c r="A150" i="35"/>
  <c r="A151" i="35"/>
  <c r="A152" i="35"/>
  <c r="A153" i="35"/>
  <c r="A154" i="35"/>
  <c r="A155" i="35"/>
  <c r="A156" i="35"/>
  <c r="A157" i="35"/>
  <c r="A158" i="35"/>
  <c r="A159" i="35"/>
  <c r="A160" i="35"/>
  <c r="A161" i="35"/>
  <c r="A162" i="35"/>
  <c r="A163" i="35"/>
  <c r="A164" i="35"/>
  <c r="A165" i="35"/>
  <c r="A166" i="35"/>
  <c r="A167" i="35"/>
  <c r="A168" i="35"/>
  <c r="A169" i="35"/>
  <c r="A170" i="35"/>
  <c r="A171" i="35"/>
  <c r="A172" i="35"/>
  <c r="A173" i="35"/>
  <c r="A174" i="35"/>
  <c r="A175" i="35"/>
  <c r="A176" i="35"/>
  <c r="A177" i="35"/>
  <c r="A178" i="35"/>
  <c r="A179" i="35"/>
  <c r="A180" i="35"/>
  <c r="A181" i="35"/>
  <c r="A182" i="35"/>
  <c r="A183" i="35"/>
  <c r="A184" i="35"/>
  <c r="A185" i="35"/>
  <c r="A186" i="35"/>
  <c r="A187" i="35"/>
  <c r="A188" i="35"/>
  <c r="A189" i="35"/>
  <c r="A190" i="35"/>
  <c r="A191" i="35"/>
  <c r="A192" i="35"/>
  <c r="A193" i="35"/>
  <c r="A194" i="35"/>
  <c r="A195" i="35"/>
  <c r="A196" i="35"/>
  <c r="A197" i="35"/>
  <c r="A198" i="35"/>
  <c r="A199" i="35"/>
  <c r="A200" i="35"/>
  <c r="A201" i="35"/>
  <c r="A202" i="35"/>
  <c r="A203" i="35"/>
  <c r="A204" i="35"/>
  <c r="A205" i="35"/>
  <c r="A206" i="35"/>
  <c r="A207" i="35"/>
  <c r="A208" i="35"/>
  <c r="A209" i="35"/>
  <c r="A210" i="35"/>
  <c r="A211" i="35"/>
  <c r="A212" i="35"/>
  <c r="A213" i="35"/>
  <c r="A214" i="35"/>
  <c r="A215" i="35"/>
  <c r="A216" i="35"/>
  <c r="A217" i="35"/>
  <c r="A218" i="35"/>
  <c r="A219" i="35"/>
  <c r="A220" i="35"/>
  <c r="A221" i="35"/>
  <c r="A222" i="35"/>
  <c r="A223" i="35"/>
  <c r="A224" i="35"/>
  <c r="A225" i="35"/>
  <c r="A226" i="35"/>
  <c r="A227" i="35"/>
  <c r="A228" i="35"/>
  <c r="A229" i="35"/>
  <c r="A230" i="35"/>
  <c r="A231" i="35"/>
  <c r="A232" i="35"/>
  <c r="A233" i="35"/>
  <c r="A234" i="35"/>
  <c r="A235" i="35"/>
  <c r="A236" i="35"/>
  <c r="A237" i="35"/>
  <c r="A238" i="35"/>
  <c r="A239" i="35"/>
  <c r="A240" i="35"/>
  <c r="A241" i="35"/>
  <c r="A242" i="35"/>
  <c r="A243" i="35"/>
  <c r="A244" i="35"/>
  <c r="A245" i="35"/>
  <c r="A246" i="35"/>
  <c r="A247" i="35"/>
  <c r="A248" i="35"/>
  <c r="A249" i="35"/>
  <c r="A250" i="35"/>
  <c r="A251" i="35"/>
  <c r="A252" i="35"/>
  <c r="A253" i="35"/>
  <c r="A254" i="35"/>
  <c r="A255" i="35"/>
  <c r="A256" i="35"/>
  <c r="A257" i="35"/>
  <c r="A258" i="35"/>
  <c r="A259" i="35"/>
  <c r="A260" i="35"/>
  <c r="A261" i="35"/>
  <c r="A262" i="35"/>
  <c r="A263" i="35"/>
  <c r="A264" i="35"/>
  <c r="A265" i="35"/>
  <c r="A266" i="35"/>
  <c r="A267" i="35"/>
  <c r="A268" i="35"/>
  <c r="A269" i="35"/>
  <c r="A270" i="35"/>
  <c r="A271" i="35"/>
  <c r="A272" i="35"/>
  <c r="A273" i="35"/>
  <c r="A274" i="35"/>
  <c r="A275" i="35"/>
  <c r="A276" i="35"/>
  <c r="A277" i="35"/>
  <c r="A278" i="35"/>
  <c r="A279" i="35"/>
  <c r="A280" i="35"/>
  <c r="A281" i="35"/>
  <c r="A282" i="35"/>
  <c r="A283" i="35"/>
  <c r="A284" i="35"/>
  <c r="A285" i="35"/>
  <c r="A286" i="35"/>
  <c r="A287" i="35"/>
  <c r="A288" i="35"/>
  <c r="A289" i="35"/>
  <c r="A290" i="35"/>
  <c r="A291" i="35"/>
  <c r="A292" i="35"/>
  <c r="A293" i="35"/>
  <c r="A294" i="35"/>
  <c r="A295" i="35"/>
  <c r="A296" i="35"/>
  <c r="A297" i="35"/>
  <c r="A298" i="35"/>
  <c r="A299" i="35"/>
  <c r="A300" i="35"/>
  <c r="A301" i="35"/>
  <c r="A302" i="35"/>
  <c r="A303" i="35"/>
  <c r="A304" i="35"/>
  <c r="A305" i="35"/>
  <c r="A306" i="35"/>
  <c r="A307" i="35"/>
  <c r="A308" i="35"/>
  <c r="A309" i="35"/>
  <c r="A310" i="35"/>
  <c r="A311" i="35"/>
  <c r="A312" i="35"/>
  <c r="A313" i="35"/>
  <c r="A314" i="35"/>
  <c r="A315" i="35"/>
  <c r="A316" i="35"/>
  <c r="A317" i="35"/>
  <c r="A318" i="35"/>
  <c r="A319" i="35"/>
  <c r="A320" i="35"/>
  <c r="A321" i="35"/>
  <c r="A322" i="35"/>
  <c r="A323" i="35"/>
  <c r="A324" i="35"/>
  <c r="A325" i="35"/>
  <c r="A326" i="35"/>
  <c r="A327" i="35"/>
  <c r="A328" i="35"/>
  <c r="A329" i="35"/>
  <c r="A330" i="35"/>
  <c r="A331" i="35"/>
  <c r="A332" i="35"/>
  <c r="A333" i="35"/>
  <c r="A334" i="35"/>
  <c r="A335" i="35"/>
  <c r="A336" i="35"/>
  <c r="A337" i="35"/>
  <c r="A338" i="35"/>
  <c r="A339" i="35"/>
  <c r="A340" i="35"/>
  <c r="A341" i="35"/>
  <c r="A342" i="35"/>
  <c r="A343" i="35"/>
  <c r="A344" i="35"/>
  <c r="A345" i="35"/>
  <c r="A346" i="35"/>
  <c r="A347" i="35"/>
  <c r="A348" i="35"/>
  <c r="A349" i="35"/>
  <c r="A350" i="35"/>
  <c r="A351" i="35"/>
  <c r="A352" i="35"/>
  <c r="A353" i="35"/>
  <c r="A354" i="35"/>
  <c r="A355" i="35"/>
  <c r="A356" i="35"/>
  <c r="A357" i="35"/>
  <c r="A358" i="35"/>
  <c r="A359" i="35"/>
  <c r="A360" i="35"/>
  <c r="A361" i="35"/>
  <c r="A362" i="35"/>
  <c r="A363" i="35"/>
  <c r="A364" i="35"/>
  <c r="A365" i="35"/>
  <c r="A366" i="35"/>
  <c r="A367" i="35"/>
  <c r="A368" i="35"/>
  <c r="A369" i="35"/>
  <c r="A370" i="35"/>
  <c r="A371" i="35"/>
  <c r="A372" i="35"/>
  <c r="A373" i="35"/>
  <c r="A374" i="35"/>
  <c r="A375" i="35"/>
  <c r="A376" i="35"/>
  <c r="A377" i="35"/>
  <c r="A378" i="35"/>
  <c r="A379" i="35"/>
  <c r="A380" i="35"/>
  <c r="A381" i="35"/>
  <c r="A382" i="35"/>
  <c r="A383" i="35"/>
  <c r="A384" i="35"/>
  <c r="A385" i="35"/>
  <c r="A386" i="35"/>
  <c r="A387" i="35"/>
  <c r="A388" i="35"/>
  <c r="A389" i="35"/>
  <c r="A390" i="35"/>
  <c r="A391" i="35"/>
  <c r="A392" i="35"/>
  <c r="A393" i="35"/>
  <c r="A394" i="35"/>
  <c r="A395" i="35"/>
  <c r="A396" i="35"/>
  <c r="A397" i="35"/>
  <c r="A398" i="35"/>
  <c r="A399" i="35"/>
  <c r="A400" i="35"/>
  <c r="A401" i="35"/>
  <c r="A402" i="35"/>
  <c r="A403" i="35"/>
  <c r="A404" i="35"/>
  <c r="A405" i="35"/>
  <c r="A406" i="35"/>
  <c r="A407" i="35"/>
  <c r="A408" i="35"/>
  <c r="A409" i="35"/>
  <c r="A410" i="35"/>
  <c r="A411" i="35"/>
  <c r="A412" i="35"/>
  <c r="A413" i="35"/>
  <c r="A414" i="35"/>
  <c r="A415" i="35"/>
  <c r="A416" i="35"/>
  <c r="A417" i="35"/>
  <c r="A418" i="35"/>
  <c r="A419" i="35"/>
  <c r="A420" i="35"/>
  <c r="A421" i="35"/>
  <c r="A422" i="35"/>
  <c r="A423" i="35"/>
  <c r="A424" i="35"/>
  <c r="A425" i="35"/>
  <c r="A426" i="35"/>
  <c r="A427" i="35"/>
  <c r="A428" i="35"/>
  <c r="A429" i="35"/>
  <c r="A430" i="35"/>
  <c r="A431" i="35"/>
  <c r="A432" i="35"/>
  <c r="A433" i="35"/>
  <c r="A434" i="35"/>
  <c r="A435" i="35"/>
  <c r="A436" i="35"/>
  <c r="A437" i="35"/>
  <c r="A438" i="35"/>
  <c r="A439" i="35"/>
  <c r="A440" i="35"/>
  <c r="A441" i="35"/>
  <c r="A442" i="35"/>
  <c r="A443" i="35"/>
  <c r="A444" i="35"/>
  <c r="A445" i="35"/>
  <c r="A446" i="35"/>
  <c r="A447" i="35"/>
  <c r="A448" i="35"/>
  <c r="A449" i="35"/>
  <c r="A450" i="35"/>
  <c r="A451" i="35"/>
  <c r="A452" i="35"/>
  <c r="A453" i="35"/>
  <c r="A454" i="35"/>
  <c r="A455" i="35"/>
  <c r="A456" i="35"/>
  <c r="A457" i="35"/>
  <c r="A458" i="35"/>
  <c r="A459" i="35"/>
  <c r="A460" i="35"/>
  <c r="A461" i="35"/>
  <c r="A462" i="35"/>
  <c r="A463" i="35"/>
  <c r="A464" i="35"/>
  <c r="A465" i="35"/>
  <c r="A466" i="35"/>
  <c r="A467" i="35"/>
  <c r="A468" i="35"/>
  <c r="A469" i="35"/>
  <c r="A470" i="35"/>
  <c r="A471" i="35"/>
  <c r="A472" i="35"/>
  <c r="A473" i="35"/>
  <c r="A474" i="35"/>
  <c r="A475" i="35"/>
  <c r="A476" i="35"/>
  <c r="A477" i="35"/>
  <c r="A478" i="35"/>
  <c r="A479" i="35"/>
  <c r="A480" i="35"/>
  <c r="A481" i="35"/>
  <c r="A482" i="35"/>
  <c r="A483" i="35"/>
  <c r="A484" i="35"/>
  <c r="A485" i="35"/>
  <c r="A486" i="35"/>
  <c r="A487" i="35"/>
  <c r="A488" i="35"/>
  <c r="A489" i="35"/>
  <c r="A490" i="35"/>
  <c r="A491" i="35"/>
  <c r="A492" i="35"/>
  <c r="A493" i="35"/>
  <c r="A494" i="35"/>
  <c r="A495" i="35"/>
  <c r="A496" i="35"/>
  <c r="A497" i="35"/>
  <c r="A498" i="35"/>
  <c r="A499" i="35"/>
  <c r="A500" i="35"/>
  <c r="A501" i="35"/>
  <c r="A502" i="35"/>
  <c r="A503" i="35"/>
  <c r="A504" i="35"/>
  <c r="A505" i="35"/>
  <c r="A506" i="35"/>
  <c r="A507" i="35"/>
  <c r="A508" i="35"/>
  <c r="A509" i="35"/>
  <c r="A510" i="35"/>
  <c r="A511" i="35"/>
  <c r="A512" i="35"/>
  <c r="A513" i="35"/>
  <c r="A514" i="35"/>
  <c r="A515" i="35"/>
  <c r="A516" i="35"/>
  <c r="A517" i="35"/>
  <c r="A518" i="35"/>
  <c r="A519" i="35"/>
  <c r="A520" i="35"/>
  <c r="A521" i="35"/>
  <c r="A522" i="35"/>
  <c r="A523" i="35"/>
  <c r="A524" i="35"/>
  <c r="A525" i="35"/>
  <c r="A526" i="35"/>
  <c r="A527" i="35"/>
  <c r="A528" i="35"/>
  <c r="A529" i="35"/>
  <c r="A530" i="35"/>
  <c r="A531" i="35"/>
  <c r="A532" i="35"/>
  <c r="A533" i="35"/>
  <c r="A534" i="35"/>
  <c r="A535" i="35"/>
  <c r="A536" i="35"/>
  <c r="A537" i="35"/>
  <c r="A538" i="35"/>
  <c r="A539" i="35"/>
  <c r="A540" i="35"/>
  <c r="A541" i="35"/>
  <c r="A542" i="35"/>
  <c r="A543" i="35"/>
  <c r="A544" i="35"/>
  <c r="A545" i="35"/>
  <c r="A546" i="35"/>
  <c r="A547" i="35"/>
  <c r="A548" i="35"/>
  <c r="A549" i="35"/>
  <c r="A550" i="35"/>
  <c r="A551" i="35"/>
  <c r="A552" i="35"/>
  <c r="A553" i="35"/>
  <c r="A554" i="35"/>
  <c r="A555" i="35"/>
  <c r="A556" i="35"/>
  <c r="A557" i="35"/>
  <c r="A558" i="35"/>
  <c r="A559" i="35"/>
  <c r="A560" i="35"/>
  <c r="A561" i="35"/>
  <c r="A562" i="35"/>
  <c r="A563" i="35"/>
  <c r="A564" i="35"/>
  <c r="A565" i="35"/>
  <c r="A566" i="35"/>
  <c r="A567" i="35"/>
  <c r="A568" i="35"/>
  <c r="A569" i="35"/>
  <c r="A570" i="35"/>
  <c r="A571" i="35"/>
  <c r="A572" i="35"/>
  <c r="A573" i="35"/>
  <c r="A574" i="35"/>
  <c r="A575" i="35"/>
  <c r="A576" i="35"/>
  <c r="A577" i="35"/>
  <c r="A578" i="35"/>
  <c r="A579" i="35"/>
  <c r="A580" i="35"/>
  <c r="A581" i="35"/>
  <c r="A582" i="35"/>
  <c r="A583" i="35"/>
  <c r="A584" i="35"/>
  <c r="A585" i="35"/>
  <c r="A586" i="35"/>
  <c r="A587" i="35"/>
  <c r="A588" i="35"/>
  <c r="A589" i="35"/>
  <c r="A590" i="35"/>
  <c r="A591" i="35"/>
  <c r="A592" i="35"/>
  <c r="A593" i="35"/>
  <c r="A594" i="35"/>
  <c r="A595" i="35"/>
  <c r="A596" i="35"/>
  <c r="A597" i="35"/>
  <c r="A598" i="35"/>
  <c r="A599" i="35"/>
  <c r="A600" i="35"/>
  <c r="A601" i="35"/>
  <c r="A602" i="35"/>
  <c r="A603" i="35"/>
  <c r="A604" i="35"/>
  <c r="A605" i="35"/>
  <c r="A606" i="35"/>
  <c r="A607" i="35"/>
  <c r="A608" i="35"/>
  <c r="A609" i="35"/>
  <c r="A610" i="35"/>
  <c r="A611" i="35"/>
  <c r="A612" i="35"/>
  <c r="A613" i="35"/>
  <c r="A614" i="35"/>
  <c r="A615" i="35"/>
  <c r="A616" i="35"/>
  <c r="A617" i="35"/>
  <c r="A618" i="35"/>
  <c r="A619" i="35"/>
  <c r="A620" i="35"/>
  <c r="A621" i="35"/>
  <c r="A622" i="35"/>
  <c r="A623" i="35"/>
  <c r="A624" i="35"/>
  <c r="A625" i="35"/>
  <c r="A626" i="35"/>
  <c r="A627" i="35"/>
  <c r="A628" i="35"/>
  <c r="A629" i="35"/>
  <c r="A630" i="35"/>
  <c r="A631" i="35"/>
  <c r="A632" i="35"/>
  <c r="A633" i="35"/>
  <c r="A634" i="35"/>
  <c r="A635" i="35"/>
  <c r="A636" i="35"/>
  <c r="A637" i="35"/>
  <c r="A638" i="35"/>
  <c r="A639" i="35"/>
  <c r="A640" i="35"/>
  <c r="A641" i="35"/>
  <c r="A642" i="35"/>
  <c r="A643" i="35"/>
  <c r="A644" i="35"/>
  <c r="A645" i="35"/>
  <c r="A646" i="35"/>
  <c r="A647" i="35"/>
  <c r="A648" i="35"/>
  <c r="A649" i="35"/>
  <c r="A650" i="35"/>
  <c r="A651" i="35"/>
  <c r="A652" i="35"/>
  <c r="A653" i="35"/>
  <c r="A654" i="35"/>
  <c r="A655" i="35"/>
  <c r="A656" i="35"/>
  <c r="A657" i="35"/>
  <c r="A658" i="35"/>
  <c r="A659" i="35"/>
  <c r="A660" i="35"/>
  <c r="A661" i="35"/>
  <c r="A662" i="35"/>
  <c r="A663" i="35"/>
  <c r="A664" i="35"/>
  <c r="A665" i="35"/>
  <c r="A666" i="35"/>
  <c r="A667" i="35"/>
  <c r="A668" i="35"/>
  <c r="A669" i="35"/>
  <c r="A670" i="35"/>
  <c r="A671" i="35"/>
  <c r="A672" i="35"/>
  <c r="A673" i="35"/>
  <c r="A674" i="35"/>
  <c r="A675" i="35"/>
  <c r="A676" i="35"/>
  <c r="A677" i="35"/>
  <c r="A678" i="35"/>
  <c r="A679" i="35"/>
  <c r="A680" i="35"/>
  <c r="A681" i="35"/>
  <c r="A682" i="35"/>
  <c r="A683" i="35"/>
  <c r="A684" i="35"/>
  <c r="A685" i="35"/>
  <c r="A686" i="35"/>
  <c r="A687" i="35"/>
  <c r="A688" i="35"/>
  <c r="A689" i="35"/>
  <c r="A690" i="35"/>
  <c r="A691" i="35"/>
  <c r="A692" i="35"/>
  <c r="A693" i="35"/>
  <c r="A694" i="35"/>
  <c r="A695" i="35"/>
  <c r="A696" i="35"/>
  <c r="A697" i="35"/>
  <c r="A698" i="35"/>
  <c r="A699" i="35"/>
  <c r="A700" i="35"/>
  <c r="A701" i="35"/>
  <c r="A702" i="35"/>
  <c r="A703" i="35"/>
  <c r="A704" i="35"/>
  <c r="A705" i="35"/>
  <c r="A706" i="35"/>
  <c r="A707" i="35"/>
  <c r="A708" i="35"/>
  <c r="A709" i="35"/>
  <c r="A710" i="35"/>
  <c r="A711" i="35"/>
  <c r="A712" i="35"/>
  <c r="A713" i="35"/>
  <c r="A714" i="35"/>
  <c r="A715" i="35"/>
  <c r="A716" i="35"/>
  <c r="A717" i="35"/>
  <c r="A718" i="35"/>
  <c r="A719" i="35"/>
  <c r="A720" i="35"/>
  <c r="A721" i="35"/>
  <c r="A722" i="35"/>
  <c r="A723" i="35"/>
  <c r="A724" i="35"/>
  <c r="A725" i="35"/>
  <c r="A726" i="35"/>
  <c r="A727" i="35"/>
  <c r="A728" i="35"/>
  <c r="A729" i="35"/>
  <c r="A730" i="35"/>
  <c r="A731" i="35"/>
  <c r="A732" i="35"/>
  <c r="A733" i="35"/>
  <c r="A734" i="35"/>
  <c r="A735" i="35"/>
  <c r="A736" i="35"/>
  <c r="A737" i="35"/>
  <c r="A738" i="35"/>
  <c r="A739" i="35"/>
  <c r="A740" i="35"/>
  <c r="A741" i="35"/>
  <c r="A742" i="35"/>
  <c r="A743" i="35"/>
  <c r="A744" i="35"/>
  <c r="A745" i="35"/>
  <c r="A746" i="35"/>
  <c r="A747" i="35"/>
  <c r="A748" i="35"/>
  <c r="A749" i="35"/>
  <c r="A750" i="35"/>
  <c r="A751" i="35"/>
  <c r="A752" i="35"/>
  <c r="A753" i="35"/>
  <c r="A754" i="35"/>
  <c r="A755" i="35"/>
  <c r="A756" i="35"/>
  <c r="A757" i="35"/>
  <c r="A758" i="35"/>
  <c r="A759" i="35"/>
  <c r="A760" i="35"/>
  <c r="A761" i="35"/>
  <c r="A762" i="35"/>
  <c r="A763" i="35"/>
  <c r="A764" i="35"/>
  <c r="A765" i="35"/>
  <c r="A766" i="35"/>
  <c r="A767" i="35"/>
  <c r="A768" i="35"/>
  <c r="A769" i="35"/>
  <c r="A770" i="35"/>
  <c r="A771" i="35"/>
  <c r="A772" i="35"/>
  <c r="A773" i="35"/>
  <c r="A774" i="35"/>
  <c r="A775" i="35"/>
  <c r="A776" i="35"/>
  <c r="A777" i="35"/>
  <c r="A778" i="35"/>
  <c r="A779" i="35"/>
  <c r="A780" i="35"/>
  <c r="A781" i="35"/>
  <c r="A782" i="35"/>
  <c r="A783" i="35"/>
  <c r="A784" i="35"/>
  <c r="A785" i="35"/>
  <c r="A786" i="35"/>
  <c r="A787" i="35"/>
  <c r="A788" i="35"/>
  <c r="A789" i="35"/>
  <c r="A790" i="35"/>
  <c r="A791" i="35"/>
  <c r="A792" i="35"/>
  <c r="A793" i="35"/>
  <c r="A794" i="35"/>
  <c r="A795" i="35"/>
  <c r="A796" i="35"/>
  <c r="A797" i="35"/>
  <c r="A798" i="35"/>
  <c r="A799" i="35"/>
  <c r="A800" i="35"/>
  <c r="A801" i="35"/>
  <c r="A802" i="35"/>
  <c r="A803" i="35"/>
  <c r="A804" i="35"/>
  <c r="A805" i="35"/>
  <c r="A806" i="35"/>
  <c r="A807" i="35"/>
  <c r="A808" i="35"/>
  <c r="A809" i="35"/>
  <c r="A810" i="35"/>
  <c r="A811" i="35"/>
  <c r="A812" i="35"/>
  <c r="A813" i="35"/>
  <c r="A814" i="35"/>
  <c r="A815" i="35"/>
  <c r="A816" i="35"/>
  <c r="A817" i="35"/>
  <c r="A818" i="35"/>
  <c r="A819" i="35"/>
  <c r="A820" i="35"/>
  <c r="A821" i="35"/>
  <c r="A822" i="35"/>
  <c r="A823" i="35"/>
  <c r="A824" i="35"/>
  <c r="A825" i="35"/>
  <c r="A826" i="35"/>
  <c r="A827" i="35"/>
  <c r="A828" i="35"/>
  <c r="A829" i="35"/>
  <c r="A830" i="35"/>
  <c r="A831" i="35"/>
  <c r="A832" i="35"/>
  <c r="A833" i="35"/>
  <c r="A834" i="35"/>
  <c r="A835" i="35"/>
  <c r="A836" i="35"/>
  <c r="A837" i="35"/>
  <c r="A838" i="35"/>
  <c r="A839" i="35"/>
  <c r="A840" i="35"/>
  <c r="A841" i="35"/>
  <c r="A842" i="35"/>
  <c r="A843" i="35"/>
  <c r="A844" i="35"/>
  <c r="A845" i="35"/>
  <c r="A846" i="35"/>
  <c r="A847" i="35"/>
  <c r="A848" i="35"/>
  <c r="A849" i="35"/>
  <c r="A850" i="35"/>
  <c r="A851" i="35"/>
  <c r="A852" i="35"/>
  <c r="A853" i="35"/>
  <c r="A854" i="35"/>
  <c r="A855" i="35"/>
  <c r="A856" i="35"/>
  <c r="A857" i="35"/>
  <c r="A858" i="35"/>
  <c r="A859" i="35"/>
  <c r="A860" i="35"/>
  <c r="A861" i="35"/>
  <c r="A862" i="35"/>
  <c r="A863" i="35"/>
  <c r="A864" i="35"/>
  <c r="A865" i="35"/>
  <c r="A866" i="35"/>
  <c r="A867" i="35"/>
  <c r="A868" i="35"/>
  <c r="A869" i="35"/>
  <c r="A870" i="35"/>
  <c r="A871" i="35"/>
  <c r="A872" i="35"/>
  <c r="A873" i="35"/>
  <c r="A874" i="35"/>
  <c r="A875" i="35"/>
  <c r="A876" i="35"/>
  <c r="A877" i="35"/>
  <c r="A878" i="35"/>
  <c r="A879" i="35"/>
  <c r="A880" i="35"/>
  <c r="A881" i="35"/>
  <c r="A882" i="35"/>
  <c r="A883" i="35"/>
  <c r="A884" i="35"/>
  <c r="A885" i="35"/>
  <c r="A886" i="35"/>
  <c r="A887" i="35"/>
  <c r="A888" i="35"/>
  <c r="A889" i="35"/>
  <c r="A890" i="35"/>
  <c r="A891" i="35"/>
  <c r="A892" i="35"/>
  <c r="A893" i="35"/>
  <c r="A894" i="35"/>
  <c r="A895" i="35"/>
  <c r="A896" i="35"/>
  <c r="A897" i="35"/>
  <c r="A898" i="35"/>
  <c r="A899" i="35"/>
  <c r="A900" i="35"/>
  <c r="A901" i="35"/>
  <c r="A902" i="35"/>
  <c r="A903" i="35"/>
  <c r="A904" i="35"/>
  <c r="A905" i="35"/>
  <c r="A906" i="35"/>
  <c r="A907" i="35"/>
  <c r="A908" i="35"/>
  <c r="A909" i="35"/>
  <c r="A910" i="35"/>
  <c r="A911" i="35"/>
  <c r="A912" i="35"/>
  <c r="A913" i="35"/>
  <c r="A914" i="35"/>
  <c r="A915" i="35"/>
  <c r="A916" i="35"/>
  <c r="A917" i="35"/>
  <c r="A918" i="35"/>
  <c r="A919" i="35"/>
  <c r="A920" i="35"/>
  <c r="A921" i="35"/>
  <c r="A922" i="35"/>
  <c r="A923" i="35"/>
  <c r="A924" i="35"/>
  <c r="A925" i="35"/>
  <c r="A926" i="35"/>
  <c r="A927" i="35"/>
  <c r="A928" i="35"/>
  <c r="A929" i="35"/>
  <c r="A930" i="35"/>
  <c r="A931" i="35"/>
  <c r="A932" i="35"/>
  <c r="A933" i="35"/>
  <c r="A934" i="35"/>
  <c r="A935" i="35"/>
  <c r="A936" i="35"/>
  <c r="A937" i="35"/>
  <c r="A938" i="35"/>
  <c r="A939" i="35"/>
  <c r="A940" i="35"/>
  <c r="A941" i="35"/>
  <c r="A942" i="35"/>
  <c r="A943" i="35"/>
  <c r="A944" i="35"/>
  <c r="A945" i="35"/>
  <c r="A946" i="35"/>
  <c r="A947" i="35"/>
  <c r="A948" i="35"/>
  <c r="A949" i="35"/>
  <c r="A950" i="35"/>
  <c r="A951" i="35"/>
  <c r="A952" i="35"/>
  <c r="A953" i="35"/>
  <c r="A954" i="35"/>
  <c r="A955" i="35"/>
  <c r="A956" i="35"/>
  <c r="A957" i="35"/>
  <c r="A958" i="35"/>
  <c r="A959" i="35"/>
  <c r="A960" i="35"/>
  <c r="A961" i="35"/>
  <c r="A962" i="35"/>
  <c r="A963" i="35"/>
  <c r="A964" i="35"/>
  <c r="A965" i="35"/>
  <c r="A966" i="35"/>
  <c r="A967" i="35"/>
  <c r="A968" i="35"/>
  <c r="A969" i="35"/>
  <c r="A970" i="35"/>
  <c r="A971" i="35"/>
  <c r="A972" i="35"/>
  <c r="A973" i="35"/>
  <c r="A974" i="35"/>
  <c r="A975" i="35"/>
  <c r="A976" i="35"/>
  <c r="A977" i="35"/>
  <c r="A978" i="35"/>
  <c r="A979" i="35"/>
  <c r="A980" i="35"/>
  <c r="A981" i="35"/>
  <c r="A982" i="35"/>
  <c r="A983" i="35"/>
  <c r="A984" i="35"/>
  <c r="A985" i="35"/>
  <c r="A986" i="35"/>
  <c r="A987" i="35"/>
  <c r="A988" i="35"/>
  <c r="A989" i="35"/>
  <c r="A990" i="35"/>
  <c r="A991" i="35"/>
  <c r="A992" i="35"/>
  <c r="A993" i="35"/>
  <c r="A994" i="35"/>
  <c r="A995" i="35"/>
  <c r="A996" i="35"/>
  <c r="A997" i="35"/>
  <c r="A998" i="35"/>
  <c r="A999" i="35"/>
  <c r="A1000" i="35"/>
  <c r="A1001" i="35"/>
  <c r="A1002" i="35"/>
  <c r="A1003" i="35"/>
  <c r="A1004" i="35"/>
  <c r="A1005" i="35"/>
  <c r="A1006" i="35"/>
  <c r="A1007" i="35"/>
  <c r="A1008" i="35"/>
  <c r="A1009" i="35"/>
  <c r="A1010" i="35"/>
  <c r="A1011" i="35"/>
  <c r="A1012" i="35"/>
  <c r="A1013" i="35"/>
  <c r="A1014" i="35"/>
  <c r="A1015" i="35"/>
  <c r="A1016" i="35"/>
  <c r="A1017" i="35"/>
  <c r="A1018" i="35"/>
  <c r="A1019" i="35"/>
  <c r="A1020" i="35"/>
  <c r="A1021" i="35"/>
  <c r="A1022" i="35"/>
  <c r="A1023" i="35"/>
  <c r="A1024" i="35"/>
  <c r="A1025" i="35"/>
  <c r="A1026" i="35"/>
  <c r="A1027" i="35"/>
  <c r="A1028" i="35"/>
  <c r="A1029" i="35"/>
  <c r="A1030" i="35"/>
  <c r="A1031" i="35"/>
  <c r="A1032" i="35"/>
  <c r="A1033" i="35"/>
  <c r="A1034" i="35"/>
  <c r="A1035" i="35"/>
  <c r="A1036" i="35"/>
  <c r="A1037" i="35"/>
  <c r="A1038" i="35"/>
  <c r="A1039" i="35"/>
  <c r="A1040" i="35"/>
  <c r="A1041" i="35"/>
  <c r="A1042" i="35"/>
  <c r="A1043" i="35"/>
  <c r="A1044" i="35"/>
  <c r="A1045" i="35"/>
  <c r="A1046" i="35"/>
  <c r="A1047" i="35"/>
  <c r="A1048" i="35"/>
  <c r="A1049" i="35"/>
  <c r="A1050" i="35"/>
  <c r="A1051" i="35"/>
  <c r="A1052" i="35"/>
  <c r="A1053" i="35"/>
  <c r="A1054" i="35"/>
  <c r="A1055" i="35"/>
  <c r="A1056" i="35"/>
  <c r="A1057" i="35"/>
  <c r="A1058" i="35"/>
  <c r="A1059" i="35"/>
  <c r="A1060" i="35"/>
  <c r="A1061" i="35"/>
  <c r="A1062" i="35"/>
  <c r="A1063" i="35"/>
  <c r="A1064" i="35"/>
  <c r="A1065" i="35"/>
  <c r="A1066" i="35"/>
  <c r="A1067" i="35"/>
  <c r="A1068" i="35"/>
  <c r="A1069" i="35"/>
  <c r="A1070" i="35"/>
  <c r="A1071" i="35"/>
  <c r="A1072" i="35"/>
  <c r="A1073" i="35"/>
  <c r="A1074" i="35"/>
  <c r="A1075" i="35"/>
  <c r="A1076" i="35"/>
  <c r="A1077" i="35"/>
  <c r="A1078" i="35"/>
  <c r="A1079" i="35"/>
  <c r="A1080" i="35"/>
  <c r="A1081" i="35"/>
  <c r="A1082" i="35"/>
  <c r="A1083" i="35"/>
  <c r="A1084" i="35"/>
  <c r="A1085" i="35"/>
  <c r="A1086" i="35"/>
  <c r="A1087" i="35"/>
  <c r="A1088" i="35"/>
  <c r="A1089" i="35"/>
  <c r="A1090" i="35"/>
  <c r="A1091" i="35"/>
  <c r="A1092" i="35"/>
  <c r="A1093" i="35"/>
  <c r="A1094" i="35"/>
  <c r="A1095" i="35"/>
  <c r="A1096" i="35"/>
  <c r="A1097" i="35"/>
  <c r="A1098" i="35"/>
  <c r="A1099" i="35"/>
  <c r="A1100" i="35"/>
  <c r="A1101" i="35"/>
  <c r="A1102" i="35"/>
  <c r="A1103" i="35"/>
  <c r="A1104" i="35"/>
  <c r="A1105" i="35"/>
  <c r="A1106" i="35"/>
  <c r="A1107" i="35"/>
  <c r="A1108" i="35"/>
  <c r="A1109" i="35"/>
  <c r="A1110" i="35"/>
  <c r="A1111" i="35"/>
  <c r="A1112" i="35"/>
  <c r="A1113" i="35"/>
  <c r="A1114" i="35"/>
  <c r="A1115" i="35"/>
  <c r="A1116" i="35"/>
  <c r="A1117" i="35"/>
  <c r="A1118" i="35"/>
  <c r="A1119" i="35"/>
  <c r="A1120" i="35"/>
  <c r="A1121" i="35"/>
  <c r="A1122" i="35"/>
  <c r="A1123" i="35"/>
  <c r="A1124" i="35"/>
  <c r="A1125" i="35"/>
  <c r="A1126" i="35"/>
  <c r="A1127" i="35"/>
  <c r="A1128" i="35"/>
  <c r="A1129" i="35"/>
  <c r="A1130" i="35"/>
  <c r="A1131" i="35"/>
  <c r="A1132" i="35"/>
  <c r="A1133" i="35"/>
  <c r="A1134" i="35"/>
  <c r="A1135" i="35"/>
  <c r="A1136" i="35"/>
  <c r="A1137" i="35"/>
  <c r="A1138" i="35"/>
  <c r="A1139" i="35"/>
  <c r="A1140" i="35"/>
  <c r="A1141" i="35"/>
  <c r="A1142" i="35"/>
  <c r="A1143" i="35"/>
  <c r="A1144" i="35"/>
  <c r="A1145" i="35"/>
  <c r="A1146" i="35"/>
  <c r="A1147" i="35"/>
  <c r="A1148" i="35"/>
  <c r="A1149" i="35"/>
  <c r="A1150" i="35"/>
  <c r="A1151" i="35"/>
  <c r="A1152" i="35"/>
  <c r="A1153" i="35"/>
  <c r="A1154" i="35"/>
  <c r="A1155" i="35"/>
  <c r="A1156" i="35"/>
  <c r="A1157" i="35"/>
  <c r="A1158" i="35"/>
  <c r="A1159" i="35"/>
  <c r="A1160" i="35"/>
  <c r="A1161" i="35"/>
  <c r="A1162" i="35"/>
  <c r="A1163" i="35"/>
  <c r="A1164" i="35"/>
  <c r="A1165" i="35"/>
  <c r="A1166" i="35"/>
  <c r="A1167" i="35"/>
  <c r="A1168" i="35"/>
  <c r="A1169" i="35"/>
  <c r="A1170" i="35"/>
  <c r="A1171" i="35"/>
  <c r="A1172" i="35"/>
  <c r="A1173" i="35"/>
  <c r="A1174" i="35"/>
  <c r="A1175" i="35"/>
  <c r="A1176" i="35"/>
  <c r="A1177" i="35"/>
  <c r="A1178" i="35"/>
  <c r="A1179" i="35"/>
  <c r="A1180" i="35"/>
  <c r="A1181" i="35"/>
  <c r="A1182" i="35"/>
  <c r="A1183" i="35"/>
  <c r="A1184" i="35"/>
  <c r="A1185" i="35"/>
  <c r="A1186" i="35"/>
  <c r="A1187" i="35"/>
  <c r="A1188" i="35"/>
  <c r="A1189" i="35"/>
  <c r="A1190" i="35"/>
  <c r="A1191" i="35"/>
  <c r="A1192" i="35"/>
  <c r="A1193" i="35"/>
  <c r="A1194" i="35"/>
  <c r="A1195" i="35"/>
  <c r="A1196" i="35"/>
  <c r="A1197" i="35"/>
  <c r="A1198" i="35"/>
  <c r="A1199" i="35"/>
  <c r="A1200" i="35"/>
  <c r="A1201" i="35"/>
  <c r="A1202" i="35"/>
  <c r="A1203" i="35"/>
  <c r="A1204" i="35"/>
  <c r="A1205" i="35"/>
  <c r="A1206" i="35"/>
  <c r="A1207" i="35"/>
  <c r="A1208" i="35"/>
  <c r="A1209" i="35"/>
  <c r="A1210" i="35"/>
  <c r="A1211" i="35"/>
  <c r="A1212" i="35"/>
  <c r="A1213" i="35"/>
  <c r="A1214" i="35"/>
  <c r="A1215" i="35"/>
  <c r="A1216" i="35"/>
  <c r="A1217" i="35"/>
  <c r="A1218" i="35"/>
  <c r="A1219" i="35"/>
  <c r="A1220" i="35"/>
  <c r="A1221" i="35"/>
  <c r="A1222" i="35"/>
  <c r="A1223" i="35"/>
  <c r="A1224" i="35"/>
  <c r="A1225" i="35"/>
  <c r="A1226" i="35"/>
  <c r="A1227" i="35"/>
  <c r="A1228" i="35"/>
  <c r="A1229" i="35"/>
  <c r="A1230" i="35"/>
  <c r="A1231" i="35"/>
  <c r="A1232" i="35"/>
  <c r="A1233" i="35"/>
  <c r="A1234" i="35"/>
  <c r="A1235" i="35"/>
  <c r="A1236" i="35"/>
  <c r="A1237" i="35"/>
  <c r="A1238" i="35"/>
  <c r="A1239" i="35"/>
  <c r="A1240" i="35"/>
  <c r="A1241" i="35"/>
  <c r="A1242" i="35"/>
  <c r="A1243" i="35"/>
  <c r="A1244" i="35"/>
  <c r="A1245" i="35"/>
  <c r="A1246" i="35"/>
  <c r="A1247" i="35"/>
  <c r="A1248" i="35"/>
  <c r="A1249" i="35"/>
  <c r="A1250" i="35"/>
  <c r="A1251" i="35"/>
  <c r="A1252" i="35"/>
  <c r="A1253" i="35"/>
  <c r="A1254" i="35"/>
  <c r="A1255" i="35"/>
  <c r="A1256" i="35"/>
  <c r="A1257" i="35"/>
  <c r="A1258" i="35"/>
  <c r="A1259" i="35"/>
  <c r="A1260" i="35"/>
  <c r="A1261" i="35"/>
  <c r="A1262" i="35"/>
  <c r="A1263" i="35"/>
  <c r="A1264" i="35"/>
  <c r="A1265" i="35"/>
  <c r="A1266" i="35"/>
  <c r="A1267" i="35"/>
  <c r="A1268" i="35"/>
  <c r="A1269" i="35"/>
  <c r="A1270" i="35"/>
  <c r="A1271" i="35"/>
  <c r="A1272" i="35"/>
  <c r="A1273" i="35"/>
  <c r="A1274" i="35"/>
  <c r="A1275" i="35"/>
  <c r="A1276" i="35"/>
  <c r="A1277" i="35"/>
  <c r="A1278" i="35"/>
  <c r="A1279" i="35"/>
  <c r="A1280" i="35"/>
  <c r="A1281" i="35"/>
  <c r="A1282" i="35"/>
  <c r="A1283" i="35"/>
  <c r="A1284" i="35"/>
  <c r="A1285" i="35"/>
  <c r="A1286" i="35"/>
  <c r="A1287" i="35"/>
  <c r="A1288" i="35"/>
  <c r="A1289" i="35"/>
  <c r="A1290" i="35"/>
  <c r="A1291" i="35"/>
  <c r="A1292" i="35"/>
  <c r="A1293" i="35"/>
  <c r="A1294" i="35"/>
  <c r="A1295" i="35"/>
  <c r="A1296" i="35"/>
  <c r="A1297" i="35"/>
  <c r="A1298" i="35"/>
  <c r="A1299" i="35"/>
  <c r="A1300" i="35"/>
  <c r="A1301" i="35"/>
  <c r="A1302" i="35"/>
  <c r="A1303" i="35"/>
  <c r="A1304" i="35"/>
  <c r="A1305" i="35"/>
  <c r="A1306" i="35"/>
  <c r="A1307" i="35"/>
  <c r="A1308" i="35"/>
  <c r="A1309" i="35"/>
  <c r="A1310" i="35"/>
  <c r="A1311" i="35"/>
  <c r="A1312" i="35"/>
  <c r="A1313" i="35"/>
  <c r="A1314" i="35"/>
  <c r="A1315" i="35"/>
  <c r="A1316" i="35"/>
  <c r="A1317" i="35"/>
  <c r="A1318" i="35"/>
  <c r="A1319" i="35"/>
  <c r="A1320" i="35"/>
  <c r="A1321" i="35"/>
  <c r="A1322" i="35"/>
  <c r="A1323" i="35"/>
  <c r="A1324" i="35"/>
  <c r="A1325" i="35"/>
  <c r="A1326" i="35"/>
  <c r="A1327" i="35"/>
  <c r="A1328" i="35"/>
  <c r="A1329" i="35"/>
  <c r="A1330" i="35"/>
  <c r="A1331" i="35"/>
  <c r="A1332" i="35"/>
  <c r="A1333" i="35"/>
  <c r="A1334" i="35"/>
  <c r="A1335" i="35"/>
  <c r="A1336" i="35"/>
  <c r="A1337" i="35"/>
  <c r="A1338" i="35"/>
  <c r="A1339" i="35"/>
  <c r="A1340" i="35"/>
  <c r="A1341" i="35"/>
  <c r="A1342" i="35"/>
  <c r="A1343" i="35"/>
  <c r="A1344" i="35"/>
  <c r="A1345" i="35"/>
  <c r="A1346" i="35"/>
  <c r="A1347" i="35"/>
  <c r="A1348" i="35"/>
  <c r="A1349" i="35"/>
  <c r="A1350" i="35"/>
  <c r="A1351" i="35"/>
  <c r="A1352" i="35"/>
  <c r="A1353" i="35"/>
  <c r="A1354" i="35"/>
  <c r="A1355" i="35"/>
  <c r="A1356" i="35"/>
  <c r="A1357" i="35"/>
  <c r="A1358" i="35"/>
  <c r="A1359" i="35"/>
  <c r="A1360" i="35"/>
  <c r="A1361" i="35"/>
  <c r="A1362" i="35"/>
  <c r="A1363" i="35"/>
  <c r="A1364" i="35"/>
  <c r="A1365" i="35"/>
  <c r="A1366" i="35"/>
  <c r="A1367" i="35"/>
  <c r="A1368" i="35"/>
  <c r="A1369" i="35"/>
  <c r="A1370" i="35"/>
  <c r="A1371" i="35"/>
  <c r="A1372" i="35"/>
  <c r="A1373" i="35"/>
  <c r="A1374" i="35"/>
  <c r="A1375" i="35"/>
  <c r="A1376" i="35"/>
  <c r="A1377" i="35"/>
  <c r="A1378" i="35"/>
  <c r="A1379" i="35"/>
  <c r="A1380" i="35"/>
  <c r="A1381" i="35"/>
  <c r="A1382" i="35"/>
  <c r="A1383" i="35"/>
  <c r="A1384" i="35"/>
  <c r="A1385" i="35"/>
  <c r="A1386" i="35"/>
  <c r="A1387" i="35"/>
  <c r="A1388" i="35"/>
  <c r="A1389" i="35"/>
  <c r="A1390" i="35"/>
  <c r="A1391" i="35"/>
  <c r="A1392" i="35"/>
  <c r="A1393" i="35"/>
  <c r="A1394" i="35"/>
  <c r="A1395" i="35"/>
  <c r="A1396" i="35"/>
  <c r="A1397" i="35"/>
  <c r="A1398" i="35"/>
  <c r="A1399" i="35"/>
  <c r="A1400" i="35"/>
  <c r="A1401" i="35"/>
  <c r="A1402" i="35"/>
  <c r="A1403" i="35"/>
  <c r="A1404" i="35"/>
  <c r="A1405" i="35"/>
  <c r="A1406" i="35"/>
  <c r="A1407" i="35"/>
  <c r="A1408" i="35"/>
  <c r="A1409" i="35"/>
  <c r="A1410" i="35"/>
  <c r="A1411" i="35"/>
  <c r="A1412" i="35"/>
  <c r="A1413" i="35"/>
  <c r="A1414" i="35"/>
  <c r="A1415" i="35"/>
  <c r="A1416" i="35"/>
  <c r="A1417" i="35"/>
  <c r="A1418" i="35"/>
  <c r="A1419" i="35"/>
  <c r="A1420" i="35"/>
  <c r="A1421" i="35"/>
  <c r="A1422" i="35"/>
  <c r="A1423" i="35"/>
  <c r="A1424" i="35"/>
  <c r="A1425" i="35"/>
  <c r="A1426" i="35"/>
  <c r="A1427" i="35"/>
  <c r="A1428" i="35"/>
  <c r="A1429" i="35"/>
  <c r="A1430" i="35"/>
  <c r="A1431" i="35"/>
  <c r="A1432" i="35"/>
  <c r="A1433" i="35"/>
  <c r="A1434" i="35"/>
  <c r="A1435" i="35"/>
  <c r="A1436" i="35"/>
  <c r="A1437" i="35"/>
  <c r="A1438" i="35"/>
  <c r="A1439" i="35"/>
  <c r="A1440" i="35"/>
  <c r="A1441" i="35"/>
  <c r="A1442" i="35"/>
  <c r="A1443" i="35"/>
  <c r="A1444" i="35"/>
  <c r="A1445" i="35"/>
  <c r="A1446" i="35"/>
  <c r="A1447" i="35"/>
  <c r="A1448" i="35"/>
  <c r="A1449" i="35"/>
  <c r="A1450" i="35"/>
  <c r="A1451" i="35"/>
  <c r="A1452" i="35"/>
  <c r="A1453" i="35"/>
  <c r="A1454" i="35"/>
  <c r="A1455" i="35"/>
  <c r="A1456" i="35"/>
  <c r="A1457" i="35"/>
  <c r="A1458" i="35"/>
  <c r="A1459" i="35"/>
  <c r="A1460" i="35"/>
  <c r="A1461" i="35"/>
  <c r="A1462" i="35"/>
  <c r="A1463" i="35"/>
  <c r="A1464" i="35"/>
  <c r="A1465" i="35"/>
  <c r="A1466" i="35"/>
  <c r="A1467" i="35"/>
  <c r="A1468" i="35"/>
  <c r="A1469" i="35"/>
  <c r="A1470" i="35"/>
  <c r="A1471" i="35"/>
  <c r="A1472" i="35"/>
  <c r="A1473" i="35"/>
  <c r="A1474" i="35"/>
  <c r="A1475" i="35"/>
  <c r="A1476" i="35"/>
  <c r="A1477" i="35"/>
  <c r="A1478" i="35"/>
  <c r="A1479" i="35"/>
  <c r="A1480" i="35"/>
  <c r="A1481" i="35"/>
  <c r="A1482" i="35"/>
  <c r="A1483" i="35"/>
  <c r="A1484" i="35"/>
  <c r="A1485" i="35"/>
  <c r="A1486" i="35"/>
  <c r="A1487" i="35"/>
  <c r="A1488" i="35"/>
  <c r="A1489" i="35"/>
  <c r="A1490" i="35"/>
  <c r="A1491" i="35"/>
  <c r="A1492" i="35"/>
  <c r="A1493" i="35"/>
  <c r="A1494" i="35"/>
  <c r="A1495" i="35"/>
  <c r="A1496" i="35"/>
  <c r="A1497" i="35"/>
  <c r="A1498" i="35"/>
  <c r="A1499" i="35"/>
  <c r="A1500" i="35"/>
  <c r="A1501" i="35"/>
  <c r="A1502" i="35"/>
  <c r="A1503" i="35"/>
  <c r="A1504" i="35"/>
  <c r="A1505" i="35"/>
  <c r="A1506" i="35"/>
  <c r="A1507" i="35"/>
  <c r="A1508" i="35"/>
  <c r="A1509" i="35"/>
  <c r="A1510" i="35"/>
  <c r="A1511" i="35"/>
  <c r="A1512" i="35"/>
  <c r="A1513" i="35"/>
  <c r="A1514" i="35"/>
  <c r="A1515" i="35"/>
  <c r="A1516" i="35"/>
  <c r="A1517" i="35"/>
  <c r="A1518" i="35"/>
  <c r="A1519" i="35"/>
  <c r="A1520" i="35"/>
  <c r="A1521" i="35"/>
  <c r="A1522" i="35"/>
  <c r="A1523" i="35"/>
  <c r="A1524" i="35"/>
  <c r="A1525" i="35"/>
  <c r="A1526" i="35"/>
  <c r="A1527" i="35"/>
  <c r="A1528" i="35"/>
  <c r="A1529" i="35"/>
  <c r="A1530" i="35"/>
  <c r="A1531" i="35"/>
  <c r="A1532" i="35"/>
  <c r="A1533" i="35"/>
  <c r="A1534" i="35"/>
  <c r="A1535" i="35"/>
  <c r="A1536" i="35"/>
  <c r="A1537" i="35"/>
  <c r="A1538" i="35"/>
  <c r="A1539" i="35"/>
  <c r="A1540" i="35"/>
  <c r="A1541" i="35"/>
  <c r="A1542" i="35"/>
  <c r="A1543" i="35"/>
  <c r="A1544" i="35"/>
  <c r="A1545" i="35"/>
  <c r="A1546" i="35"/>
  <c r="A1547" i="35"/>
  <c r="A1548" i="35"/>
  <c r="A1549" i="35"/>
  <c r="A1550" i="35"/>
  <c r="A1551" i="35"/>
  <c r="A1552" i="35"/>
  <c r="A1553" i="35"/>
  <c r="A1554" i="35"/>
  <c r="A1555" i="35"/>
  <c r="A1556" i="35"/>
  <c r="A1557" i="35"/>
  <c r="B40" i="10" l="1"/>
  <c r="C40" i="10"/>
  <c r="D40" i="10"/>
  <c r="E40" i="10"/>
  <c r="B41" i="10"/>
  <c r="C41" i="10"/>
  <c r="D41" i="10"/>
  <c r="E41" i="10"/>
  <c r="B42" i="10"/>
  <c r="C42" i="10"/>
  <c r="D42" i="10"/>
  <c r="E42" i="10"/>
  <c r="B43" i="10"/>
  <c r="C43" i="10"/>
  <c r="D43" i="10"/>
  <c r="E43" i="10"/>
  <c r="B44" i="10"/>
  <c r="C44" i="10"/>
  <c r="D44" i="10"/>
  <c r="E44" i="10"/>
  <c r="B45" i="10"/>
  <c r="C45" i="10"/>
  <c r="D45" i="10"/>
  <c r="E45" i="10"/>
  <c r="B46" i="10"/>
  <c r="C46" i="10"/>
  <c r="D46" i="10"/>
  <c r="E46" i="10"/>
  <c r="B47" i="10"/>
  <c r="C47" i="10"/>
  <c r="D47" i="10"/>
  <c r="E47" i="10"/>
  <c r="B48" i="10"/>
  <c r="C48" i="10"/>
  <c r="D48" i="10"/>
  <c r="E48" i="10"/>
  <c r="B49" i="10"/>
  <c r="C49" i="10"/>
  <c r="D49" i="10"/>
  <c r="E49" i="10"/>
  <c r="B50" i="10"/>
  <c r="C50" i="10"/>
  <c r="D50" i="10"/>
  <c r="E50" i="10"/>
  <c r="B51" i="10"/>
  <c r="C51" i="10"/>
  <c r="D51" i="10"/>
  <c r="E51" i="10"/>
  <c r="B52" i="10"/>
  <c r="C52" i="10"/>
  <c r="D52" i="10"/>
  <c r="E52" i="10"/>
  <c r="B53" i="10"/>
  <c r="C53" i="10"/>
  <c r="D53" i="10"/>
  <c r="E53" i="10"/>
  <c r="B54" i="10"/>
  <c r="C54" i="10"/>
  <c r="D54" i="10"/>
  <c r="E54" i="10"/>
  <c r="B55" i="10"/>
  <c r="C55" i="10"/>
  <c r="D55" i="10"/>
  <c r="E55" i="10"/>
  <c r="B56" i="10"/>
  <c r="C56" i="10"/>
  <c r="D56" i="10"/>
  <c r="E56" i="10"/>
  <c r="B57" i="10"/>
  <c r="C57" i="10"/>
  <c r="D57" i="10"/>
  <c r="E57" i="10"/>
  <c r="B58" i="10"/>
  <c r="C58" i="10"/>
  <c r="D58" i="10"/>
  <c r="E58" i="10"/>
  <c r="C39" i="10"/>
  <c r="D39" i="10"/>
  <c r="E39" i="10"/>
  <c r="B39" i="10"/>
  <c r="A7" i="10" l="1"/>
  <c r="A8" i="10"/>
  <c r="A9" i="10"/>
  <c r="A10" i="10"/>
  <c r="A11" i="10"/>
  <c r="A12" i="10"/>
  <c r="A13" i="10"/>
  <c r="A14" i="10"/>
  <c r="A7" i="22"/>
  <c r="A8" i="22"/>
  <c r="A9" i="22"/>
  <c r="A10" i="22"/>
  <c r="A11" i="22"/>
  <c r="A20" i="10"/>
  <c r="A12" i="22" s="1"/>
  <c r="A21" i="10"/>
  <c r="A13" i="22" s="1"/>
  <c r="A22" i="10"/>
  <c r="A14" i="22" s="1"/>
  <c r="A23" i="10"/>
  <c r="A15" i="22" s="1"/>
  <c r="A24" i="10"/>
  <c r="A16" i="22" s="1"/>
  <c r="A25" i="10"/>
  <c r="A17" i="22" s="1"/>
  <c r="A26" i="10"/>
  <c r="A18" i="22" s="1"/>
  <c r="A27" i="10"/>
  <c r="A19" i="22" s="1"/>
  <c r="A28" i="10"/>
  <c r="A20" i="22" s="1"/>
  <c r="A29" i="10"/>
  <c r="A21" i="22" s="1"/>
  <c r="A30" i="10"/>
  <c r="A22" i="22" s="1"/>
  <c r="A31" i="10"/>
  <c r="A23" i="22" s="1"/>
  <c r="A32" i="10"/>
  <c r="A24" i="22" s="1"/>
  <c r="A33" i="10"/>
  <c r="A25" i="22" s="1"/>
  <c r="A34" i="10"/>
  <c r="A26" i="22" s="1"/>
  <c r="A35" i="10"/>
  <c r="A36" i="10"/>
  <c r="A37" i="10"/>
  <c r="A38" i="10"/>
  <c r="A39" i="10"/>
  <c r="A40" i="10"/>
  <c r="A41" i="10"/>
  <c r="A42" i="10"/>
  <c r="A43" i="10"/>
  <c r="A44" i="10"/>
  <c r="A45" i="10"/>
  <c r="A46" i="10"/>
  <c r="A47" i="10"/>
  <c r="A48" i="10"/>
  <c r="A49" i="10"/>
  <c r="A50" i="10"/>
  <c r="A51" i="10"/>
  <c r="A52" i="10"/>
  <c r="A53" i="10"/>
  <c r="A54" i="10"/>
  <c r="A55" i="10"/>
  <c r="A56" i="10"/>
  <c r="A57" i="10"/>
  <c r="A58" i="10"/>
  <c r="B2" i="37" l="1"/>
  <c r="B3" i="37"/>
  <c r="B4" i="37"/>
  <c r="B5" i="37"/>
  <c r="B6" i="37"/>
  <c r="B7" i="37"/>
  <c r="B8" i="37"/>
  <c r="B9" i="37"/>
  <c r="B10" i="37"/>
  <c r="B11" i="37"/>
  <c r="B12" i="37"/>
  <c r="B13" i="37"/>
  <c r="B14" i="37"/>
  <c r="B15" i="37"/>
  <c r="B16" i="37"/>
  <c r="B17" i="37"/>
  <c r="B18" i="37"/>
  <c r="B19" i="37"/>
  <c r="B20" i="37"/>
  <c r="B21" i="37"/>
  <c r="B22" i="37"/>
  <c r="B23" i="37"/>
  <c r="B24" i="37"/>
  <c r="B25" i="37"/>
  <c r="B26" i="37"/>
  <c r="B27" i="37"/>
  <c r="B28" i="37"/>
  <c r="B29" i="37"/>
  <c r="B30" i="37"/>
  <c r="B31" i="37"/>
  <c r="B32" i="37"/>
  <c r="B33" i="37"/>
  <c r="B34" i="37"/>
  <c r="B35" i="37"/>
  <c r="B36" i="37"/>
  <c r="B37" i="37"/>
  <c r="B38" i="37"/>
  <c r="B39" i="37"/>
  <c r="B40" i="37"/>
  <c r="B41" i="37"/>
  <c r="B42" i="37"/>
  <c r="B43" i="37"/>
  <c r="B44" i="37"/>
  <c r="B45" i="37"/>
  <c r="B46" i="37"/>
  <c r="B47" i="37"/>
  <c r="B48" i="37"/>
  <c r="B49" i="37"/>
  <c r="B50" i="37"/>
  <c r="B51" i="37"/>
  <c r="B52" i="37"/>
  <c r="B53" i="37"/>
  <c r="B54" i="37"/>
  <c r="B55" i="37"/>
  <c r="B56" i="37"/>
  <c r="B57" i="37"/>
  <c r="B58" i="37"/>
  <c r="B59" i="37"/>
  <c r="B60" i="37"/>
  <c r="B61" i="37"/>
  <c r="B62" i="37"/>
  <c r="B63" i="37"/>
  <c r="B64" i="37"/>
  <c r="B65" i="37"/>
  <c r="B66" i="37"/>
  <c r="B67" i="37"/>
  <c r="B68" i="37"/>
  <c r="B69" i="37"/>
  <c r="B70" i="37"/>
  <c r="B71" i="37"/>
  <c r="B72" i="37"/>
  <c r="B73" i="37"/>
  <c r="B74" i="37"/>
  <c r="B75" i="37"/>
  <c r="B76" i="37"/>
  <c r="B77" i="37"/>
  <c r="B78" i="37"/>
  <c r="B79" i="37"/>
  <c r="B80" i="37"/>
  <c r="B81" i="37"/>
  <c r="B82" i="37"/>
  <c r="B83" i="37"/>
  <c r="B84" i="37"/>
  <c r="B85" i="37"/>
  <c r="B86" i="37"/>
  <c r="B87" i="37"/>
  <c r="B88" i="37"/>
  <c r="B89" i="37"/>
  <c r="B90" i="37"/>
  <c r="B91" i="37"/>
  <c r="B92" i="37"/>
  <c r="B93" i="37"/>
  <c r="B94" i="37"/>
  <c r="B95" i="37"/>
  <c r="B96" i="37"/>
  <c r="B97" i="37"/>
  <c r="B98" i="37"/>
  <c r="B99" i="37"/>
  <c r="B100" i="37"/>
  <c r="B101" i="37"/>
  <c r="B102" i="37"/>
  <c r="B103" i="37"/>
  <c r="B104" i="37"/>
  <c r="B105" i="37"/>
  <c r="B106" i="37"/>
  <c r="B107" i="37"/>
  <c r="B108" i="37"/>
  <c r="B109" i="37"/>
  <c r="B110" i="37"/>
  <c r="B111" i="37"/>
  <c r="B112" i="37"/>
  <c r="B113" i="37"/>
  <c r="B114" i="37"/>
  <c r="B115" i="37"/>
  <c r="B116" i="37"/>
  <c r="B117" i="37"/>
  <c r="B118" i="37"/>
  <c r="B119" i="37"/>
  <c r="B120" i="37"/>
  <c r="B121" i="37"/>
  <c r="B122" i="37"/>
  <c r="B123" i="37"/>
  <c r="B124" i="37"/>
  <c r="B125" i="37"/>
  <c r="B126" i="37"/>
  <c r="B127" i="37"/>
  <c r="B128" i="37"/>
  <c r="B129" i="37"/>
  <c r="B130" i="37"/>
  <c r="B131" i="37"/>
  <c r="B132" i="37"/>
  <c r="B133" i="37"/>
  <c r="B134" i="37"/>
  <c r="B135" i="37"/>
  <c r="B136" i="37"/>
  <c r="B137" i="37"/>
  <c r="B138" i="37"/>
  <c r="B139" i="37"/>
  <c r="B140" i="37"/>
  <c r="B141" i="37"/>
  <c r="B142" i="37"/>
  <c r="B143" i="37"/>
  <c r="B144" i="37"/>
  <c r="B145" i="37"/>
  <c r="B146" i="37"/>
  <c r="B147" i="37"/>
  <c r="B148" i="37"/>
  <c r="B149" i="37"/>
  <c r="B150" i="37"/>
  <c r="B151" i="37"/>
  <c r="B152" i="37"/>
  <c r="B153" i="37"/>
  <c r="B154" i="37"/>
  <c r="B155" i="37"/>
  <c r="B156" i="37"/>
  <c r="B157" i="37"/>
  <c r="B158" i="37"/>
  <c r="B159" i="37"/>
  <c r="B160" i="37"/>
  <c r="B161" i="37"/>
  <c r="B162" i="37"/>
  <c r="B163" i="37"/>
  <c r="B164" i="37"/>
  <c r="B165" i="37"/>
  <c r="B166" i="37"/>
  <c r="B167" i="37"/>
  <c r="B168" i="37"/>
  <c r="B169" i="37"/>
  <c r="B170" i="37"/>
  <c r="B171" i="37"/>
  <c r="B172" i="37"/>
  <c r="B173" i="37"/>
  <c r="B174" i="37"/>
  <c r="B175" i="37"/>
  <c r="B176" i="37"/>
  <c r="B177" i="37"/>
  <c r="B178" i="37"/>
  <c r="B179" i="37"/>
  <c r="B180" i="37"/>
  <c r="B181" i="37"/>
  <c r="B182" i="37"/>
  <c r="B183" i="37"/>
  <c r="B184" i="37"/>
  <c r="B185" i="37"/>
  <c r="B186" i="37"/>
  <c r="B187" i="37"/>
  <c r="B188" i="37"/>
  <c r="B189" i="37"/>
  <c r="B190" i="37"/>
  <c r="B191" i="37"/>
  <c r="B192" i="37"/>
  <c r="B193" i="37"/>
  <c r="B194" i="37"/>
  <c r="B195" i="37"/>
  <c r="B196" i="37"/>
  <c r="B197" i="37"/>
  <c r="B198" i="37"/>
  <c r="B199" i="37"/>
  <c r="B200" i="37"/>
  <c r="B201" i="37"/>
  <c r="B202" i="37"/>
  <c r="B203" i="37"/>
  <c r="B204" i="37"/>
  <c r="B205" i="37"/>
  <c r="B206" i="37"/>
  <c r="B207" i="37"/>
  <c r="B208" i="37"/>
  <c r="B209" i="37"/>
  <c r="B210" i="37"/>
  <c r="B211" i="37"/>
  <c r="B212" i="37"/>
  <c r="B213" i="37"/>
  <c r="B214" i="37"/>
  <c r="B215" i="37"/>
  <c r="B216" i="37"/>
  <c r="B217" i="37"/>
  <c r="B218" i="37"/>
  <c r="B219" i="37"/>
  <c r="B220" i="37"/>
  <c r="B221" i="37"/>
  <c r="B222" i="37"/>
  <c r="B223" i="37"/>
  <c r="B224" i="37"/>
  <c r="B225" i="37"/>
  <c r="B226" i="37"/>
  <c r="B227" i="37"/>
  <c r="B228" i="37"/>
  <c r="B229" i="37"/>
  <c r="B230" i="37"/>
  <c r="B231" i="37"/>
  <c r="B232" i="37"/>
  <c r="B233" i="37"/>
  <c r="B234" i="37"/>
  <c r="B235" i="37"/>
  <c r="B236" i="37"/>
  <c r="B237" i="37"/>
  <c r="B238" i="37"/>
  <c r="B239" i="37"/>
  <c r="B240" i="37"/>
  <c r="B241" i="37"/>
  <c r="B242" i="37"/>
  <c r="B243" i="37"/>
  <c r="B244" i="37"/>
  <c r="B245" i="37"/>
  <c r="B246" i="37"/>
  <c r="B247" i="37"/>
  <c r="B248" i="37"/>
  <c r="B249" i="37"/>
  <c r="B250" i="37"/>
  <c r="B251" i="37"/>
  <c r="B252" i="37"/>
  <c r="B253" i="37"/>
  <c r="B254" i="37"/>
  <c r="B255" i="37"/>
  <c r="B256" i="37"/>
  <c r="B257" i="37"/>
  <c r="B258" i="37"/>
  <c r="B259" i="37"/>
  <c r="B260" i="37"/>
  <c r="B261" i="37"/>
  <c r="B262" i="37"/>
  <c r="B263" i="37"/>
  <c r="B264" i="37"/>
  <c r="B265" i="37"/>
  <c r="B266" i="37"/>
  <c r="B267" i="37"/>
  <c r="B268" i="37"/>
  <c r="B269" i="37"/>
  <c r="B270" i="37"/>
  <c r="B271" i="37"/>
  <c r="B272" i="37"/>
  <c r="B273" i="37"/>
  <c r="B274" i="37"/>
  <c r="B275" i="37"/>
  <c r="B276" i="37"/>
  <c r="B277" i="37"/>
  <c r="B278" i="37"/>
  <c r="B279" i="37"/>
  <c r="B280" i="37"/>
  <c r="B281" i="37"/>
  <c r="B282" i="37"/>
  <c r="B283" i="37"/>
  <c r="B284" i="37"/>
  <c r="B285" i="37"/>
  <c r="B286" i="37"/>
  <c r="B287" i="37"/>
  <c r="B288" i="37"/>
  <c r="B289" i="37"/>
  <c r="B290" i="37"/>
  <c r="B291" i="37"/>
  <c r="B292" i="37"/>
  <c r="B293" i="37"/>
  <c r="B294" i="37"/>
  <c r="B295" i="37"/>
  <c r="B296" i="37"/>
  <c r="B297" i="37"/>
  <c r="B298" i="37"/>
  <c r="B299" i="37"/>
  <c r="B300" i="37"/>
  <c r="B301" i="37"/>
  <c r="B302" i="37"/>
  <c r="B303" i="37"/>
  <c r="B304" i="37"/>
  <c r="B305" i="37"/>
  <c r="B306" i="37"/>
  <c r="B307" i="37"/>
  <c r="B308" i="37"/>
  <c r="B309" i="37"/>
  <c r="B310" i="37"/>
  <c r="B311" i="37"/>
  <c r="B312" i="37"/>
  <c r="B313" i="37"/>
  <c r="B314" i="37"/>
  <c r="B315" i="37"/>
  <c r="B316" i="37"/>
  <c r="B317" i="37"/>
  <c r="B318" i="37"/>
  <c r="B319" i="37"/>
  <c r="B320" i="37"/>
  <c r="B321" i="37"/>
  <c r="B322" i="37"/>
  <c r="B323" i="37"/>
  <c r="B324" i="37"/>
  <c r="B325" i="37"/>
  <c r="B326" i="37"/>
  <c r="B327" i="37"/>
  <c r="B328" i="37"/>
  <c r="B329" i="37"/>
  <c r="B330" i="37"/>
  <c r="B331" i="37"/>
  <c r="B332" i="37"/>
  <c r="B333" i="37"/>
  <c r="B334" i="37"/>
  <c r="B335" i="37"/>
  <c r="B336" i="37"/>
  <c r="B337" i="37"/>
  <c r="B338" i="37"/>
  <c r="B339" i="37"/>
  <c r="B340" i="37"/>
  <c r="B341" i="37"/>
  <c r="B342" i="37"/>
  <c r="B343" i="37"/>
  <c r="B344" i="37"/>
  <c r="B345" i="37"/>
  <c r="B346" i="37"/>
  <c r="B347" i="37"/>
  <c r="B348" i="37"/>
  <c r="B349" i="37"/>
  <c r="B350" i="37"/>
  <c r="B351" i="37"/>
  <c r="B352" i="37"/>
  <c r="B353" i="37"/>
  <c r="B354" i="37"/>
  <c r="B355" i="37"/>
  <c r="B356" i="37"/>
  <c r="B357" i="37"/>
  <c r="B358" i="37"/>
  <c r="B359" i="37"/>
  <c r="B360" i="37"/>
  <c r="B361" i="37"/>
  <c r="B362" i="37"/>
  <c r="B363" i="37"/>
  <c r="B364" i="37"/>
  <c r="B365" i="37"/>
  <c r="B366" i="37"/>
  <c r="B367" i="37"/>
  <c r="B368" i="37"/>
  <c r="B369" i="37"/>
  <c r="B370" i="37"/>
  <c r="B371" i="37"/>
  <c r="B372" i="37"/>
  <c r="B373" i="37"/>
  <c r="B374" i="37"/>
  <c r="B375" i="37"/>
  <c r="B376" i="37"/>
  <c r="B377" i="37"/>
  <c r="B378" i="37"/>
  <c r="B379" i="37"/>
  <c r="B380" i="37"/>
  <c r="B381" i="37"/>
  <c r="B382" i="37"/>
  <c r="B383" i="37"/>
  <c r="B384" i="37"/>
  <c r="B385" i="37"/>
  <c r="B386" i="37"/>
  <c r="B387" i="37"/>
  <c r="B388" i="37"/>
  <c r="B389" i="37"/>
  <c r="B390" i="37"/>
  <c r="B391" i="37"/>
  <c r="B392" i="37"/>
  <c r="B393" i="37"/>
  <c r="B394" i="37"/>
  <c r="B395" i="37"/>
  <c r="B396" i="37"/>
  <c r="B397" i="37"/>
  <c r="B398" i="37"/>
  <c r="B399" i="37"/>
  <c r="B400" i="37"/>
  <c r="B401" i="37"/>
  <c r="B402" i="37"/>
  <c r="B403" i="37"/>
  <c r="B404" i="37"/>
  <c r="B405" i="37"/>
  <c r="B406" i="37"/>
  <c r="B407" i="37"/>
  <c r="B408" i="37"/>
  <c r="B409" i="37"/>
  <c r="B410" i="37"/>
  <c r="B411" i="37"/>
  <c r="B412" i="37"/>
  <c r="B413" i="37"/>
  <c r="B414" i="37"/>
  <c r="B415" i="37"/>
  <c r="B416" i="37"/>
  <c r="B417" i="37"/>
  <c r="B418" i="37"/>
  <c r="B419" i="37"/>
  <c r="B420" i="37"/>
  <c r="B421" i="37"/>
  <c r="B422" i="37"/>
  <c r="B423" i="37"/>
  <c r="B424" i="37"/>
  <c r="B425" i="37"/>
  <c r="B426" i="37"/>
  <c r="B427" i="37"/>
  <c r="B428" i="37"/>
  <c r="B429" i="37"/>
  <c r="B430" i="37"/>
  <c r="B431" i="37"/>
  <c r="B432" i="37"/>
  <c r="B433" i="37"/>
  <c r="B434" i="37"/>
  <c r="B435" i="37"/>
  <c r="B436" i="37"/>
  <c r="B437" i="37"/>
  <c r="B438" i="37"/>
  <c r="B439" i="37"/>
  <c r="B440" i="37"/>
  <c r="B441" i="37"/>
  <c r="B442" i="37"/>
  <c r="B443" i="37"/>
  <c r="B444" i="37"/>
  <c r="B445" i="37"/>
  <c r="B446" i="37"/>
  <c r="B447" i="37"/>
  <c r="B448" i="37"/>
  <c r="B449" i="37"/>
  <c r="B450" i="37"/>
  <c r="B451" i="37"/>
  <c r="B452" i="37"/>
  <c r="B453" i="37"/>
  <c r="B454" i="37"/>
  <c r="B455" i="37"/>
  <c r="B456" i="37"/>
  <c r="B457" i="37"/>
  <c r="B458" i="37"/>
  <c r="B459" i="37"/>
  <c r="B460" i="37"/>
  <c r="B461" i="37"/>
  <c r="B462" i="37"/>
  <c r="B463" i="37"/>
  <c r="B464" i="37"/>
  <c r="B465" i="37"/>
  <c r="B466" i="37"/>
  <c r="B467" i="37"/>
  <c r="B468" i="37"/>
  <c r="B469" i="37"/>
  <c r="B470" i="37"/>
  <c r="B471" i="37"/>
  <c r="B472" i="37"/>
  <c r="B473" i="37"/>
  <c r="B474" i="37"/>
  <c r="B475" i="37"/>
  <c r="B476" i="37"/>
  <c r="B477" i="37"/>
  <c r="B478" i="37"/>
  <c r="B479" i="37"/>
  <c r="B480" i="37"/>
  <c r="B481" i="37"/>
  <c r="B482" i="37"/>
  <c r="B483" i="37"/>
  <c r="B484" i="37"/>
  <c r="B485" i="37"/>
  <c r="B486" i="37"/>
  <c r="B487" i="37"/>
  <c r="B488" i="37"/>
  <c r="B489" i="37"/>
  <c r="B490" i="37"/>
  <c r="B491" i="37"/>
  <c r="B492" i="37"/>
  <c r="B493" i="37"/>
  <c r="B494" i="37"/>
  <c r="B495" i="37"/>
  <c r="B496" i="37"/>
  <c r="B497" i="37"/>
  <c r="B498" i="37"/>
  <c r="B499" i="37"/>
  <c r="B500" i="37"/>
  <c r="B501" i="37"/>
  <c r="B502" i="37"/>
  <c r="B503" i="37"/>
  <c r="B504" i="37"/>
  <c r="B505" i="37"/>
  <c r="B506" i="37"/>
  <c r="B507" i="37"/>
  <c r="B508" i="37"/>
  <c r="B509" i="37"/>
  <c r="B510" i="37"/>
  <c r="B511" i="37"/>
  <c r="B512" i="37"/>
  <c r="B513" i="37"/>
  <c r="B514" i="37"/>
  <c r="B515" i="37"/>
  <c r="B516" i="37"/>
  <c r="B517" i="37"/>
  <c r="B518" i="37"/>
  <c r="B519" i="37"/>
  <c r="B520" i="37"/>
  <c r="B521" i="37"/>
  <c r="B522" i="37"/>
  <c r="B523" i="37"/>
  <c r="B524" i="37"/>
  <c r="B525" i="37"/>
  <c r="B526" i="37"/>
  <c r="B527" i="37"/>
  <c r="B528" i="37"/>
  <c r="B529" i="37"/>
  <c r="B530" i="37"/>
  <c r="B531" i="37"/>
  <c r="B532" i="37"/>
  <c r="B533" i="37"/>
  <c r="B534" i="37"/>
  <c r="B535" i="37"/>
  <c r="B536" i="37"/>
  <c r="B537" i="37"/>
  <c r="B538" i="37"/>
  <c r="B539" i="37"/>
  <c r="B540" i="37"/>
  <c r="B541" i="37"/>
  <c r="B542" i="37"/>
  <c r="B543" i="37"/>
  <c r="B544" i="37"/>
  <c r="B545" i="37"/>
  <c r="B546" i="37"/>
  <c r="B547" i="37"/>
  <c r="B548" i="37"/>
  <c r="B549" i="37"/>
  <c r="B550" i="37"/>
  <c r="B551" i="37"/>
  <c r="B552" i="37"/>
  <c r="B553" i="37"/>
  <c r="B554" i="37"/>
  <c r="B555" i="37"/>
  <c r="B556" i="37"/>
  <c r="B557" i="37"/>
  <c r="B558" i="37"/>
  <c r="B559" i="37"/>
  <c r="B560" i="37"/>
  <c r="B561" i="37"/>
  <c r="B562" i="37"/>
  <c r="B563" i="37"/>
  <c r="B564" i="37"/>
  <c r="B565" i="37"/>
  <c r="B566" i="37"/>
  <c r="B567" i="37"/>
  <c r="B568" i="37"/>
  <c r="B569" i="37"/>
  <c r="B570" i="37"/>
  <c r="B571" i="37"/>
  <c r="B572" i="37"/>
  <c r="B573" i="37"/>
  <c r="B574" i="37"/>
  <c r="B575" i="37"/>
  <c r="B576" i="37"/>
  <c r="B577" i="37"/>
  <c r="B578" i="37"/>
  <c r="B579" i="37"/>
  <c r="B580" i="37"/>
  <c r="B581" i="37"/>
  <c r="B582" i="37"/>
  <c r="B583" i="37"/>
  <c r="B584" i="37"/>
  <c r="B585" i="37"/>
  <c r="B586" i="37"/>
  <c r="B587" i="37"/>
  <c r="B588" i="37"/>
  <c r="B589" i="37"/>
  <c r="B590" i="37"/>
  <c r="B591" i="37"/>
  <c r="B592" i="37"/>
  <c r="B593" i="37"/>
  <c r="B594" i="37"/>
  <c r="B595" i="37"/>
  <c r="B596" i="37"/>
  <c r="B597" i="37"/>
  <c r="B598" i="37"/>
  <c r="B599" i="37"/>
  <c r="B600" i="37"/>
  <c r="B601" i="37"/>
  <c r="B602" i="37"/>
  <c r="B603" i="37"/>
  <c r="B604" i="37"/>
  <c r="B605" i="37"/>
  <c r="B606" i="37"/>
  <c r="B607" i="37"/>
  <c r="B608" i="37"/>
  <c r="B609" i="37"/>
  <c r="B610" i="37"/>
  <c r="B611" i="37"/>
  <c r="B612" i="37"/>
  <c r="B613" i="37"/>
  <c r="B614" i="37"/>
  <c r="B615" i="37"/>
  <c r="B616" i="37"/>
  <c r="B617" i="37"/>
  <c r="B618" i="37"/>
  <c r="B619" i="37"/>
  <c r="B620" i="37"/>
  <c r="B621" i="37"/>
  <c r="B622" i="37"/>
  <c r="B623" i="37"/>
  <c r="B624" i="37"/>
  <c r="B625" i="37"/>
  <c r="B626" i="37"/>
  <c r="B627" i="37"/>
  <c r="B628" i="37"/>
  <c r="B629" i="37"/>
  <c r="B630" i="37"/>
  <c r="B631" i="37"/>
  <c r="B632" i="37"/>
  <c r="B633" i="37"/>
  <c r="B634" i="37"/>
  <c r="B635" i="37"/>
  <c r="B636" i="37"/>
  <c r="B637" i="37"/>
  <c r="B638" i="37"/>
  <c r="B639" i="37"/>
  <c r="B640" i="37"/>
  <c r="B641" i="37"/>
  <c r="B642" i="37"/>
  <c r="B643" i="37"/>
  <c r="B644" i="37"/>
  <c r="B645" i="37"/>
  <c r="B646" i="37"/>
  <c r="B647" i="37"/>
  <c r="B648" i="37"/>
  <c r="B649" i="37"/>
  <c r="B650" i="37"/>
  <c r="B651" i="37"/>
  <c r="B652" i="37"/>
  <c r="B653" i="37"/>
  <c r="B654" i="37"/>
  <c r="B655" i="37"/>
  <c r="B656" i="37"/>
  <c r="B657" i="37"/>
  <c r="B658" i="37"/>
  <c r="B659" i="37"/>
  <c r="B660" i="37"/>
  <c r="B661" i="37"/>
  <c r="B662" i="37"/>
  <c r="B663" i="37"/>
  <c r="B664" i="37"/>
  <c r="B665" i="37"/>
  <c r="B666" i="37"/>
  <c r="B667" i="37"/>
  <c r="B668" i="37"/>
  <c r="B669" i="37"/>
  <c r="B670" i="37"/>
  <c r="B671" i="37"/>
  <c r="B672" i="37"/>
  <c r="B673" i="37"/>
  <c r="B674" i="37"/>
  <c r="B675" i="37"/>
  <c r="B676" i="37"/>
  <c r="B677" i="37"/>
  <c r="B678" i="37"/>
  <c r="B679" i="37"/>
  <c r="B680" i="37"/>
  <c r="B681" i="37"/>
  <c r="B682" i="37"/>
  <c r="B683" i="37"/>
  <c r="B684" i="37"/>
  <c r="B685" i="37"/>
  <c r="B686" i="37"/>
  <c r="B687" i="37"/>
  <c r="B688" i="37"/>
  <c r="B689" i="37"/>
  <c r="B690" i="37"/>
  <c r="B691" i="37"/>
  <c r="B692" i="37"/>
  <c r="B693" i="37"/>
  <c r="B694" i="37"/>
  <c r="B695" i="37"/>
  <c r="B696" i="37"/>
  <c r="B697" i="37"/>
  <c r="B698" i="37"/>
  <c r="B699" i="37"/>
  <c r="B700" i="37"/>
  <c r="B701" i="37"/>
  <c r="B702" i="37"/>
  <c r="B703" i="37"/>
  <c r="B704" i="37"/>
  <c r="B705" i="37"/>
  <c r="B706" i="37"/>
  <c r="B707" i="37"/>
  <c r="B708" i="37"/>
  <c r="B709" i="37"/>
  <c r="B710" i="37"/>
  <c r="B711" i="37"/>
  <c r="B712" i="37"/>
  <c r="B713" i="37"/>
  <c r="B714" i="37"/>
  <c r="B715" i="37"/>
  <c r="B716" i="37"/>
  <c r="B717" i="37"/>
  <c r="B718" i="37"/>
  <c r="B719" i="37"/>
  <c r="B720" i="37"/>
  <c r="B721" i="37"/>
  <c r="B722" i="37"/>
  <c r="B723" i="37"/>
  <c r="B724" i="37"/>
  <c r="B725" i="37"/>
  <c r="B726" i="37"/>
  <c r="B727" i="37"/>
  <c r="B728" i="37"/>
  <c r="B729" i="37"/>
  <c r="B730" i="37"/>
  <c r="B731" i="37"/>
  <c r="B732" i="37"/>
  <c r="B733" i="37"/>
  <c r="B734" i="37"/>
  <c r="B735" i="37"/>
  <c r="B736" i="37"/>
  <c r="B737" i="37"/>
  <c r="B738" i="37"/>
  <c r="B739" i="37"/>
  <c r="B740" i="37"/>
  <c r="B741" i="37"/>
  <c r="B742" i="37"/>
  <c r="B743" i="37"/>
  <c r="B744" i="37"/>
  <c r="B745" i="37"/>
  <c r="B746" i="37"/>
  <c r="B747" i="37"/>
  <c r="B748" i="37"/>
  <c r="B749" i="37"/>
  <c r="B750" i="37"/>
  <c r="B751" i="37"/>
  <c r="B752" i="37"/>
  <c r="B753" i="37"/>
  <c r="B754" i="37"/>
  <c r="B755" i="37"/>
  <c r="B756" i="37"/>
  <c r="B757" i="37"/>
  <c r="B758" i="37"/>
  <c r="B759" i="37"/>
  <c r="B760" i="37"/>
  <c r="B761" i="37"/>
  <c r="B762" i="37"/>
  <c r="B763" i="37"/>
  <c r="B764" i="37"/>
  <c r="B765" i="37"/>
  <c r="B766" i="37"/>
  <c r="B767" i="37"/>
  <c r="B768" i="37"/>
  <c r="B769" i="37"/>
  <c r="B770" i="37"/>
  <c r="B771" i="37"/>
  <c r="B772" i="37"/>
  <c r="B773" i="37"/>
  <c r="B774" i="37"/>
  <c r="B775" i="37"/>
  <c r="B776" i="37"/>
  <c r="B777" i="37"/>
  <c r="B778" i="37"/>
  <c r="B779" i="37"/>
  <c r="B780" i="37"/>
  <c r="B781" i="37"/>
  <c r="B782" i="37"/>
  <c r="B783" i="37"/>
  <c r="B784" i="37"/>
  <c r="B785" i="37"/>
  <c r="B786" i="37"/>
  <c r="B787" i="37"/>
  <c r="B788" i="37"/>
  <c r="B789" i="37"/>
  <c r="B790" i="37"/>
  <c r="B791" i="37"/>
  <c r="B792" i="37"/>
  <c r="B793" i="37"/>
  <c r="B794" i="37"/>
  <c r="B795" i="37"/>
  <c r="B796" i="37"/>
  <c r="B797" i="37"/>
  <c r="B798" i="37"/>
  <c r="B799" i="37"/>
  <c r="B800" i="37"/>
  <c r="B801" i="37"/>
  <c r="B802" i="37"/>
  <c r="B803" i="37"/>
  <c r="B804" i="37"/>
  <c r="B805" i="37"/>
  <c r="B806" i="37"/>
  <c r="B807" i="37"/>
  <c r="B808" i="37"/>
  <c r="B809" i="37"/>
  <c r="B810" i="37"/>
  <c r="B811" i="37"/>
  <c r="B812" i="37"/>
  <c r="B813" i="37"/>
  <c r="B814" i="37"/>
  <c r="B815" i="37"/>
  <c r="B816" i="37"/>
  <c r="B817" i="37"/>
  <c r="B818" i="37"/>
  <c r="B819" i="37"/>
  <c r="B820" i="37"/>
  <c r="B821" i="37"/>
  <c r="B822" i="37"/>
  <c r="B823" i="37"/>
  <c r="B824" i="37"/>
  <c r="B825" i="37"/>
  <c r="B826" i="37"/>
  <c r="B827" i="37"/>
  <c r="B828" i="37"/>
  <c r="B829" i="37"/>
  <c r="B830" i="37"/>
  <c r="B831" i="37"/>
  <c r="B832" i="37"/>
  <c r="B833" i="37"/>
  <c r="B834" i="37"/>
  <c r="B835" i="37"/>
  <c r="B836" i="37"/>
  <c r="B837" i="37"/>
  <c r="B838" i="37"/>
  <c r="B839" i="37"/>
  <c r="B840" i="37"/>
  <c r="B841" i="37"/>
  <c r="B842" i="37"/>
  <c r="B843" i="37"/>
  <c r="B844" i="37"/>
  <c r="B845" i="37"/>
  <c r="B846" i="37"/>
  <c r="B847" i="37"/>
  <c r="B848" i="37"/>
  <c r="B849" i="37"/>
  <c r="B850" i="37"/>
  <c r="B851" i="37"/>
  <c r="B852" i="37"/>
  <c r="B853" i="37"/>
  <c r="B854" i="37"/>
  <c r="B855" i="37"/>
  <c r="B856" i="37"/>
  <c r="B857" i="37"/>
  <c r="B858" i="37"/>
  <c r="B859" i="37"/>
  <c r="B860" i="37"/>
  <c r="B861" i="37"/>
  <c r="B862" i="37"/>
  <c r="B863" i="37"/>
  <c r="B864" i="37"/>
  <c r="B865" i="37"/>
  <c r="B866" i="37"/>
  <c r="B867" i="37"/>
  <c r="B868" i="37"/>
  <c r="B869" i="37"/>
  <c r="B870" i="37"/>
  <c r="B871" i="37"/>
  <c r="B872" i="37"/>
  <c r="B873" i="37"/>
  <c r="B874" i="37"/>
  <c r="B875" i="37"/>
  <c r="B876" i="37"/>
  <c r="B877" i="37"/>
  <c r="B878" i="37"/>
  <c r="B879" i="37"/>
  <c r="B880" i="37"/>
  <c r="B881" i="37"/>
  <c r="B882" i="37"/>
  <c r="B883" i="37"/>
  <c r="B884" i="37"/>
  <c r="B885" i="37"/>
  <c r="B886" i="37"/>
  <c r="B887" i="37"/>
  <c r="B888" i="37"/>
  <c r="B889" i="37"/>
  <c r="B890" i="37"/>
  <c r="B891" i="37"/>
  <c r="B892" i="37"/>
  <c r="B893" i="37"/>
  <c r="B894" i="37"/>
  <c r="B895" i="37"/>
  <c r="B896" i="37"/>
  <c r="B897" i="37"/>
  <c r="B898" i="37"/>
  <c r="B899" i="37"/>
  <c r="B900" i="37"/>
  <c r="B901" i="37"/>
  <c r="B902" i="37"/>
  <c r="B903" i="37"/>
  <c r="B904" i="37"/>
  <c r="B905" i="37"/>
  <c r="B906" i="37"/>
  <c r="B907" i="37"/>
  <c r="B908" i="37"/>
  <c r="B909" i="37"/>
  <c r="B910" i="37"/>
  <c r="B911" i="37"/>
  <c r="B912" i="37"/>
  <c r="B913" i="37"/>
  <c r="B914" i="37"/>
  <c r="B915" i="37"/>
  <c r="B916" i="37"/>
  <c r="B917" i="37"/>
  <c r="B918" i="37"/>
  <c r="B919" i="37"/>
  <c r="B920" i="37"/>
  <c r="B921" i="37"/>
  <c r="B922" i="37"/>
  <c r="B923" i="37"/>
  <c r="B924" i="37"/>
  <c r="B925" i="37"/>
  <c r="B926" i="37"/>
  <c r="B927" i="37"/>
  <c r="B928" i="37"/>
  <c r="B929" i="37"/>
  <c r="B930" i="37"/>
  <c r="B931" i="37"/>
  <c r="B932" i="37"/>
  <c r="B933" i="37"/>
  <c r="B934" i="37"/>
  <c r="B935" i="37"/>
  <c r="B936" i="37"/>
  <c r="B937" i="37"/>
  <c r="B938" i="37"/>
  <c r="B939" i="37"/>
  <c r="B940" i="37"/>
  <c r="B941" i="37"/>
  <c r="B942" i="37"/>
  <c r="B943" i="37"/>
  <c r="B944" i="37"/>
  <c r="B945" i="37"/>
  <c r="B946" i="37"/>
  <c r="B947" i="37"/>
  <c r="B948" i="37"/>
  <c r="B949" i="37"/>
  <c r="B950" i="37"/>
  <c r="B951" i="37"/>
  <c r="B952" i="37"/>
  <c r="B953" i="37"/>
  <c r="B954" i="37"/>
  <c r="B955" i="37"/>
  <c r="B956" i="37"/>
  <c r="B957" i="37"/>
  <c r="B958" i="37"/>
  <c r="B959" i="37"/>
  <c r="B960" i="37"/>
  <c r="B961" i="37"/>
  <c r="B962" i="37"/>
  <c r="B963" i="37"/>
  <c r="B964" i="37"/>
  <c r="B965" i="37"/>
  <c r="B966" i="37"/>
  <c r="B967" i="37"/>
  <c r="B968" i="37"/>
  <c r="B969" i="37"/>
  <c r="B970" i="37"/>
  <c r="B971" i="37"/>
  <c r="B972" i="37"/>
  <c r="B973" i="37"/>
  <c r="B974" i="37"/>
  <c r="B975" i="37"/>
  <c r="B976" i="37"/>
  <c r="B977" i="37"/>
  <c r="B978" i="37"/>
  <c r="B979" i="37"/>
  <c r="B980" i="37"/>
  <c r="B981" i="37"/>
  <c r="B982" i="37"/>
  <c r="B983" i="37"/>
  <c r="B984" i="37"/>
  <c r="B985" i="37"/>
  <c r="B986" i="37"/>
  <c r="B987" i="37"/>
  <c r="B988" i="37"/>
  <c r="B989" i="37"/>
  <c r="B990" i="37"/>
  <c r="B991" i="37"/>
  <c r="B992" i="37"/>
  <c r="B993" i="37"/>
  <c r="B994" i="37"/>
  <c r="B995" i="37"/>
  <c r="B996" i="37"/>
  <c r="B997" i="37"/>
  <c r="B998" i="37"/>
  <c r="B999" i="37"/>
  <c r="B1000" i="37"/>
  <c r="B1001" i="37"/>
  <c r="B1002" i="37"/>
  <c r="B1003" i="37"/>
  <c r="B1004" i="37"/>
  <c r="B1005" i="37"/>
  <c r="B1006" i="37"/>
  <c r="B1007" i="37"/>
  <c r="B1008" i="37"/>
  <c r="B1009" i="37"/>
  <c r="B1010" i="37"/>
  <c r="B2" i="36"/>
  <c r="B3" i="36"/>
  <c r="B4" i="36"/>
  <c r="B5" i="36"/>
  <c r="B6" i="36"/>
  <c r="B7" i="36"/>
  <c r="B8" i="36"/>
  <c r="B9" i="36"/>
  <c r="B10" i="36"/>
  <c r="B11" i="36"/>
  <c r="B12" i="36"/>
  <c r="B13" i="36"/>
  <c r="B14" i="36"/>
  <c r="B15" i="36"/>
  <c r="B16" i="36"/>
  <c r="B17" i="36"/>
  <c r="B18" i="36"/>
  <c r="B19" i="36"/>
  <c r="B20" i="36"/>
  <c r="B21" i="36"/>
  <c r="B22" i="36"/>
  <c r="B23" i="36"/>
  <c r="B24" i="36"/>
  <c r="B25" i="36"/>
  <c r="B26" i="36"/>
  <c r="B27" i="36"/>
  <c r="B28" i="36"/>
  <c r="B29" i="36"/>
  <c r="B30" i="36"/>
  <c r="B31" i="36"/>
  <c r="B32" i="36"/>
  <c r="B33" i="36"/>
  <c r="B34" i="36"/>
  <c r="B35" i="36"/>
  <c r="B36" i="36"/>
  <c r="B37" i="36"/>
  <c r="B38" i="36"/>
  <c r="B39" i="36"/>
  <c r="B40" i="36"/>
  <c r="B41" i="36"/>
  <c r="B42" i="36"/>
  <c r="B43" i="36"/>
  <c r="B44" i="36"/>
  <c r="B45" i="36"/>
  <c r="B46" i="36"/>
  <c r="B47" i="36"/>
  <c r="B48" i="36"/>
  <c r="B49" i="36"/>
  <c r="B50" i="36"/>
  <c r="B51" i="36"/>
  <c r="B52" i="36"/>
  <c r="B53" i="36"/>
  <c r="B54" i="36"/>
  <c r="B55" i="36"/>
  <c r="B56" i="36"/>
  <c r="B57" i="36"/>
  <c r="B58" i="36"/>
  <c r="B59" i="36"/>
  <c r="B60" i="36"/>
  <c r="B61" i="36"/>
  <c r="B62" i="36"/>
  <c r="B63" i="36"/>
  <c r="B64" i="36"/>
  <c r="B65" i="36"/>
  <c r="B66" i="36"/>
  <c r="B67" i="36"/>
  <c r="B68" i="36"/>
  <c r="B69" i="36"/>
  <c r="B70" i="36"/>
  <c r="B71" i="36"/>
  <c r="B72" i="36"/>
  <c r="B73" i="36"/>
  <c r="B74" i="36"/>
  <c r="B75" i="36"/>
  <c r="B76" i="36"/>
  <c r="B77" i="36"/>
  <c r="B78" i="36"/>
  <c r="B79" i="36"/>
  <c r="B80" i="36"/>
  <c r="B81" i="36"/>
  <c r="B82" i="36"/>
  <c r="B83" i="36"/>
  <c r="B84" i="36"/>
  <c r="B85" i="36"/>
  <c r="B86" i="36"/>
  <c r="B87" i="36"/>
  <c r="B88" i="36"/>
  <c r="B89" i="36"/>
  <c r="B90" i="36"/>
  <c r="B91" i="36"/>
  <c r="B92" i="36"/>
  <c r="B93" i="36"/>
  <c r="B94" i="36"/>
  <c r="B95" i="36"/>
  <c r="B96" i="36"/>
  <c r="B97" i="36"/>
  <c r="B98" i="36"/>
  <c r="B99" i="36"/>
  <c r="B100" i="36"/>
  <c r="B101" i="36"/>
  <c r="B102" i="36"/>
  <c r="B103" i="36"/>
  <c r="B104" i="36"/>
  <c r="B105" i="36"/>
  <c r="B106" i="36"/>
  <c r="B107" i="36"/>
  <c r="B108" i="36"/>
  <c r="B109" i="36"/>
  <c r="B110" i="36"/>
  <c r="B111" i="36"/>
  <c r="B112" i="36"/>
  <c r="B113" i="36"/>
  <c r="B114" i="36"/>
  <c r="B115" i="36"/>
  <c r="B116" i="36"/>
  <c r="B117" i="36"/>
  <c r="B118" i="36"/>
  <c r="B119" i="36"/>
  <c r="B120" i="36"/>
  <c r="B121" i="36"/>
  <c r="B122" i="36"/>
  <c r="B123" i="36"/>
  <c r="B124" i="36"/>
  <c r="B125" i="36"/>
  <c r="B126" i="36"/>
  <c r="B127" i="36"/>
  <c r="B128" i="36"/>
  <c r="B129" i="36"/>
  <c r="B130" i="36"/>
  <c r="B131" i="36"/>
  <c r="B132" i="36"/>
  <c r="B133" i="36"/>
  <c r="B134" i="36"/>
  <c r="B135" i="36"/>
  <c r="B136" i="36"/>
  <c r="B137" i="36"/>
  <c r="B138" i="36"/>
  <c r="B139" i="36"/>
  <c r="B140" i="36"/>
  <c r="B141" i="36"/>
  <c r="B142" i="36"/>
  <c r="B143" i="36"/>
  <c r="B144" i="36"/>
  <c r="B145" i="36"/>
  <c r="B146" i="36"/>
  <c r="B147" i="36"/>
  <c r="B148" i="36"/>
  <c r="B149" i="36"/>
  <c r="B150" i="36"/>
  <c r="B151" i="36"/>
  <c r="B152" i="36"/>
  <c r="B153" i="36"/>
  <c r="B154" i="36"/>
  <c r="B155" i="36"/>
  <c r="B156" i="36"/>
  <c r="B157" i="36"/>
  <c r="B158" i="36"/>
  <c r="B159" i="36"/>
  <c r="B160" i="36"/>
  <c r="B161" i="36"/>
  <c r="B162" i="36"/>
  <c r="B163" i="36"/>
  <c r="B164" i="36"/>
  <c r="B165" i="36"/>
  <c r="B166" i="36"/>
  <c r="B167" i="36"/>
  <c r="B168" i="36"/>
  <c r="B169" i="36"/>
  <c r="B170" i="36"/>
  <c r="B171" i="36"/>
  <c r="B172" i="36"/>
  <c r="B173" i="36"/>
  <c r="B174" i="36"/>
  <c r="B175" i="36"/>
  <c r="B176" i="36"/>
  <c r="B177" i="36"/>
  <c r="B178" i="36"/>
  <c r="B179" i="36"/>
  <c r="B180" i="36"/>
  <c r="B181" i="36"/>
  <c r="B182" i="36"/>
  <c r="B183" i="36"/>
  <c r="B184" i="36"/>
  <c r="B185" i="36"/>
  <c r="B186" i="36"/>
  <c r="B187" i="36"/>
  <c r="B188" i="36"/>
  <c r="B189" i="36"/>
  <c r="B190" i="36"/>
  <c r="B191" i="36"/>
  <c r="B192" i="36"/>
  <c r="B193" i="36"/>
  <c r="B194" i="36"/>
  <c r="B195" i="36"/>
  <c r="B196" i="36"/>
  <c r="B197" i="36"/>
  <c r="B198" i="36"/>
  <c r="B199" i="36"/>
  <c r="B200" i="36"/>
  <c r="B201" i="36"/>
  <c r="B202" i="36"/>
  <c r="B203" i="36"/>
  <c r="B204" i="36"/>
  <c r="B205" i="36"/>
  <c r="B206" i="36"/>
  <c r="B207" i="36"/>
  <c r="B208" i="36"/>
  <c r="B209" i="36"/>
  <c r="B210" i="36"/>
  <c r="B211" i="36"/>
  <c r="B212" i="36"/>
  <c r="B213" i="36"/>
  <c r="B214" i="36"/>
  <c r="B215" i="36"/>
  <c r="B216" i="36"/>
  <c r="B217" i="36"/>
  <c r="B218" i="36"/>
  <c r="B219" i="36"/>
  <c r="B220" i="36"/>
  <c r="B221" i="36"/>
  <c r="B222" i="36"/>
  <c r="B223" i="36"/>
  <c r="B224" i="36"/>
  <c r="B225" i="36"/>
  <c r="B226" i="36"/>
  <c r="B227" i="36"/>
  <c r="B228" i="36"/>
  <c r="B229" i="36"/>
  <c r="B230" i="36"/>
  <c r="B231" i="36"/>
  <c r="B232" i="36"/>
  <c r="B233" i="36"/>
  <c r="B234" i="36"/>
  <c r="B235" i="36"/>
  <c r="B236" i="36"/>
  <c r="B237" i="36"/>
  <c r="B238" i="36"/>
  <c r="B239" i="36"/>
  <c r="B240" i="36"/>
  <c r="B241" i="36"/>
  <c r="B242" i="36"/>
  <c r="B243" i="36"/>
  <c r="B244" i="36"/>
  <c r="B245" i="36"/>
  <c r="B246" i="36"/>
  <c r="B247" i="36"/>
  <c r="B248" i="36"/>
  <c r="B249" i="36"/>
  <c r="B250" i="36"/>
  <c r="B251" i="36"/>
  <c r="B252" i="36"/>
  <c r="B253" i="36"/>
  <c r="B254" i="36"/>
  <c r="B255" i="36"/>
  <c r="B256" i="36"/>
  <c r="B257" i="36"/>
  <c r="B258" i="36"/>
  <c r="B259" i="36"/>
  <c r="B260" i="36"/>
  <c r="B261" i="36"/>
  <c r="B262" i="36"/>
  <c r="B263" i="36"/>
  <c r="B264" i="36"/>
  <c r="B265" i="36"/>
  <c r="B266" i="36"/>
  <c r="B267" i="36"/>
  <c r="B268" i="36"/>
  <c r="B269" i="36"/>
  <c r="B270" i="36"/>
  <c r="B271" i="36"/>
  <c r="B272" i="36"/>
  <c r="B273" i="36"/>
  <c r="B274" i="36"/>
  <c r="B275" i="36"/>
  <c r="B276" i="36"/>
  <c r="B277" i="36"/>
  <c r="B278" i="36"/>
  <c r="B279" i="36"/>
  <c r="B280" i="36"/>
  <c r="B281" i="36"/>
  <c r="B282" i="36"/>
  <c r="B283" i="36"/>
  <c r="B284" i="36"/>
  <c r="B285" i="36"/>
  <c r="B286" i="36"/>
  <c r="B287" i="36"/>
  <c r="B288" i="36"/>
  <c r="B289" i="36"/>
  <c r="B290" i="36"/>
  <c r="B291" i="36"/>
  <c r="B292" i="36"/>
  <c r="B293" i="36"/>
  <c r="B294" i="36"/>
  <c r="B295" i="36"/>
  <c r="B296" i="36"/>
  <c r="B297" i="36"/>
  <c r="B298" i="36"/>
  <c r="B299" i="36"/>
  <c r="B300" i="36"/>
  <c r="B301" i="36"/>
  <c r="B302" i="36"/>
  <c r="B303" i="36"/>
  <c r="B304" i="36"/>
  <c r="B305" i="36"/>
  <c r="B306" i="36"/>
  <c r="B307" i="36"/>
  <c r="B308" i="36"/>
  <c r="B309" i="36"/>
  <c r="B310" i="36"/>
  <c r="B311" i="36"/>
  <c r="B312" i="36"/>
  <c r="B313" i="36"/>
  <c r="B314" i="36"/>
  <c r="B315" i="36"/>
  <c r="B316" i="36"/>
  <c r="B317" i="36"/>
  <c r="B318" i="36"/>
  <c r="B319" i="36"/>
  <c r="B320" i="36"/>
  <c r="B321" i="36"/>
  <c r="B322" i="36"/>
  <c r="B323" i="36"/>
  <c r="B324" i="36"/>
  <c r="B325" i="36"/>
  <c r="B326" i="36"/>
  <c r="B327" i="36"/>
  <c r="B328" i="36"/>
  <c r="B329" i="36"/>
  <c r="B330" i="36"/>
  <c r="B331" i="36"/>
  <c r="B332" i="36"/>
  <c r="B333" i="36"/>
  <c r="B334" i="36"/>
  <c r="B335" i="36"/>
  <c r="B336" i="36"/>
  <c r="B337" i="36"/>
  <c r="B338" i="36"/>
  <c r="B339" i="36"/>
  <c r="B340" i="36"/>
  <c r="B341" i="36"/>
  <c r="B342" i="36"/>
  <c r="B343" i="36"/>
  <c r="B344" i="36"/>
  <c r="B345" i="36"/>
  <c r="B346" i="36"/>
  <c r="B347" i="36"/>
  <c r="B348" i="36"/>
  <c r="B349" i="36"/>
  <c r="B350" i="36"/>
  <c r="B351" i="36"/>
  <c r="B352" i="36"/>
  <c r="B353" i="36"/>
  <c r="B354" i="36"/>
  <c r="B355" i="36"/>
  <c r="B356" i="36"/>
  <c r="B357" i="36"/>
  <c r="B358" i="36"/>
  <c r="B359" i="36"/>
  <c r="B360" i="36"/>
  <c r="B361" i="36"/>
  <c r="B362" i="36"/>
  <c r="B363" i="36"/>
  <c r="B364" i="36"/>
  <c r="B365" i="36"/>
  <c r="B366" i="36"/>
  <c r="B367" i="36"/>
  <c r="B368" i="36"/>
  <c r="B369" i="36"/>
  <c r="B370" i="36"/>
  <c r="B371" i="36"/>
  <c r="B372" i="36"/>
  <c r="B373" i="36"/>
  <c r="B374" i="36"/>
  <c r="B375" i="36"/>
  <c r="B376" i="36"/>
  <c r="B377" i="36"/>
  <c r="B378" i="36"/>
  <c r="B379" i="36"/>
  <c r="B380" i="36"/>
  <c r="B381" i="36"/>
  <c r="B382" i="36"/>
  <c r="B383" i="36"/>
  <c r="B384" i="36"/>
  <c r="B385" i="36"/>
  <c r="B386" i="36"/>
  <c r="B387" i="36"/>
  <c r="B388" i="36"/>
  <c r="B389" i="36"/>
  <c r="B390" i="36"/>
  <c r="B391" i="36"/>
  <c r="B392" i="36"/>
  <c r="B393" i="36"/>
  <c r="B394" i="36"/>
  <c r="B395" i="36"/>
  <c r="B396" i="36"/>
  <c r="B397" i="36"/>
  <c r="B398" i="36"/>
  <c r="B399" i="36"/>
  <c r="B400" i="36"/>
  <c r="B401" i="36"/>
  <c r="B402" i="36"/>
  <c r="B403" i="36"/>
  <c r="B404" i="36"/>
  <c r="B405" i="36"/>
  <c r="B406" i="36"/>
  <c r="B407" i="36"/>
  <c r="B408" i="36"/>
  <c r="B409" i="36"/>
  <c r="B410" i="36"/>
  <c r="B411" i="36"/>
  <c r="B412" i="36"/>
  <c r="B413" i="36"/>
  <c r="B414" i="36"/>
  <c r="B415" i="36"/>
  <c r="B416" i="36"/>
  <c r="B417" i="36"/>
  <c r="B418" i="36"/>
  <c r="B419" i="36"/>
  <c r="B420" i="36"/>
  <c r="B421" i="36"/>
  <c r="B422" i="36"/>
  <c r="B423" i="36"/>
  <c r="B424" i="36"/>
  <c r="B425" i="36"/>
  <c r="B426" i="36"/>
  <c r="B427" i="36"/>
  <c r="B428" i="36"/>
  <c r="B429" i="36"/>
  <c r="B430" i="36"/>
  <c r="B431" i="36"/>
  <c r="B432" i="36"/>
  <c r="B433" i="36"/>
  <c r="B434" i="36"/>
  <c r="B435" i="36"/>
  <c r="B436" i="36"/>
  <c r="B437" i="36"/>
  <c r="B438" i="36"/>
  <c r="B439" i="36"/>
  <c r="B440" i="36"/>
  <c r="B441" i="36"/>
  <c r="B442" i="36"/>
  <c r="B443" i="36"/>
  <c r="B444" i="36"/>
  <c r="B445" i="36"/>
  <c r="B446" i="36"/>
  <c r="B447" i="36"/>
  <c r="B448" i="36"/>
  <c r="B449" i="36"/>
  <c r="B450" i="36"/>
  <c r="B451" i="36"/>
  <c r="B452" i="36"/>
  <c r="B453" i="36"/>
  <c r="B454" i="36"/>
  <c r="B455" i="36"/>
  <c r="B456" i="36"/>
  <c r="B457" i="36"/>
  <c r="B458" i="36"/>
  <c r="B459" i="36"/>
  <c r="B460" i="36"/>
  <c r="B461" i="36"/>
  <c r="B462" i="36"/>
  <c r="B463" i="36"/>
  <c r="B464" i="36"/>
  <c r="B465" i="36"/>
  <c r="B466" i="36"/>
  <c r="B467" i="36"/>
  <c r="B468" i="36"/>
  <c r="B469" i="36"/>
  <c r="B470" i="36"/>
  <c r="B471" i="36"/>
  <c r="B472" i="36"/>
  <c r="B473" i="36"/>
  <c r="B474" i="36"/>
  <c r="B475" i="36"/>
  <c r="B476" i="36"/>
  <c r="B477" i="36"/>
  <c r="B478" i="36"/>
  <c r="B479" i="36"/>
  <c r="B480" i="36"/>
  <c r="B481" i="36"/>
  <c r="B482" i="36"/>
  <c r="B483" i="36"/>
  <c r="B484" i="36"/>
  <c r="B485" i="36"/>
  <c r="B486" i="36"/>
  <c r="B487" i="36"/>
  <c r="B488" i="36"/>
  <c r="B489" i="36"/>
  <c r="B490" i="36"/>
  <c r="B491" i="36"/>
  <c r="B492" i="36"/>
  <c r="B493" i="36"/>
  <c r="B494" i="36"/>
  <c r="B495" i="36"/>
  <c r="B496" i="36"/>
  <c r="B497" i="36"/>
  <c r="B498" i="36"/>
  <c r="B499" i="36"/>
  <c r="B500" i="36"/>
  <c r="B501" i="36"/>
  <c r="B502" i="36"/>
  <c r="B503" i="36"/>
  <c r="B504" i="36"/>
  <c r="B505" i="36"/>
  <c r="B506" i="36"/>
  <c r="B507" i="36"/>
  <c r="B508" i="36"/>
  <c r="B509" i="36"/>
  <c r="B510" i="36"/>
  <c r="B511" i="36"/>
  <c r="B512" i="36"/>
  <c r="B513" i="36"/>
  <c r="B514" i="36"/>
  <c r="B515" i="36"/>
  <c r="B516" i="36"/>
  <c r="B517" i="36"/>
  <c r="B518" i="36"/>
  <c r="B519" i="36"/>
  <c r="B520" i="36"/>
  <c r="B521" i="36"/>
  <c r="B522" i="36"/>
  <c r="B523" i="36"/>
  <c r="B524" i="36"/>
  <c r="B525" i="36"/>
  <c r="B526" i="36"/>
  <c r="B527" i="36"/>
  <c r="B528" i="36"/>
  <c r="B529" i="36"/>
  <c r="B530" i="36"/>
  <c r="B531" i="36"/>
  <c r="B532" i="36"/>
  <c r="B533" i="36"/>
  <c r="B534" i="36"/>
  <c r="B535" i="36"/>
  <c r="B536" i="36"/>
  <c r="B537" i="36"/>
  <c r="B538" i="36"/>
  <c r="B539" i="36"/>
  <c r="B540" i="36"/>
  <c r="B541" i="36"/>
  <c r="B542" i="36"/>
  <c r="B543" i="36"/>
  <c r="B544" i="36"/>
  <c r="B545" i="36"/>
  <c r="B546" i="36"/>
  <c r="B547" i="36"/>
  <c r="B548" i="36"/>
  <c r="B549" i="36"/>
  <c r="B550" i="36"/>
  <c r="B551" i="36"/>
  <c r="B552" i="36"/>
  <c r="B553" i="36"/>
  <c r="B554" i="36"/>
  <c r="B555" i="36"/>
  <c r="B556" i="36"/>
  <c r="B557" i="36"/>
  <c r="B558" i="36"/>
  <c r="B559" i="36"/>
  <c r="B560" i="36"/>
  <c r="B561" i="36"/>
  <c r="B562" i="36"/>
  <c r="B563" i="36"/>
  <c r="B564" i="36"/>
  <c r="B565" i="36"/>
  <c r="B566" i="36"/>
  <c r="B567" i="36"/>
  <c r="B568" i="36"/>
  <c r="B569" i="36"/>
  <c r="B570" i="36"/>
  <c r="B571" i="36"/>
  <c r="B572" i="36"/>
  <c r="B573" i="36"/>
  <c r="B574" i="36"/>
  <c r="B575" i="36"/>
  <c r="B576" i="36"/>
  <c r="B577" i="36"/>
  <c r="B578" i="36"/>
  <c r="B579" i="36"/>
  <c r="B580" i="36"/>
  <c r="B581" i="36"/>
  <c r="B582" i="36"/>
  <c r="B583" i="36"/>
  <c r="B584" i="36"/>
  <c r="B585" i="36"/>
  <c r="B586" i="36"/>
  <c r="B587" i="36"/>
  <c r="B588" i="36"/>
  <c r="B589" i="36"/>
  <c r="B590" i="36"/>
  <c r="B591" i="36"/>
  <c r="B592" i="36"/>
  <c r="B593" i="36"/>
  <c r="B594" i="36"/>
  <c r="B595" i="36"/>
  <c r="B596" i="36"/>
  <c r="B597" i="36"/>
  <c r="B598" i="36"/>
  <c r="B599" i="36"/>
  <c r="B600" i="36"/>
  <c r="B601" i="36"/>
  <c r="B602" i="36"/>
  <c r="B603" i="36"/>
  <c r="B604" i="36"/>
  <c r="B605" i="36"/>
  <c r="B606" i="36"/>
  <c r="B607" i="36"/>
  <c r="B608" i="36"/>
  <c r="B609" i="36"/>
  <c r="B610" i="36"/>
  <c r="B611" i="36"/>
  <c r="B612" i="36"/>
  <c r="B613" i="36"/>
  <c r="B614" i="36"/>
  <c r="B615" i="36"/>
  <c r="B616" i="36"/>
  <c r="B617" i="36"/>
  <c r="B618" i="36"/>
  <c r="B619" i="36"/>
  <c r="B620" i="36"/>
  <c r="B621" i="36"/>
  <c r="B622" i="36"/>
  <c r="B623" i="36"/>
  <c r="B624" i="36"/>
  <c r="B625" i="36"/>
  <c r="B626" i="36"/>
  <c r="B627" i="36"/>
  <c r="B628" i="36"/>
  <c r="B629" i="36"/>
  <c r="B630" i="36"/>
  <c r="B631" i="36"/>
  <c r="B632" i="36"/>
  <c r="B633" i="36"/>
  <c r="B634" i="36"/>
  <c r="B635" i="36"/>
  <c r="B636" i="36"/>
  <c r="B637" i="36"/>
  <c r="B638" i="36"/>
  <c r="B639" i="36"/>
  <c r="B640" i="36"/>
  <c r="B641" i="36"/>
  <c r="B642" i="36"/>
  <c r="B643" i="36"/>
  <c r="B644" i="36"/>
  <c r="B645" i="36"/>
  <c r="B646" i="36"/>
  <c r="B647" i="36"/>
  <c r="B648" i="36"/>
  <c r="B649" i="36"/>
  <c r="B650" i="36"/>
  <c r="B651" i="36"/>
  <c r="B652" i="36"/>
  <c r="B653" i="36"/>
  <c r="B654" i="36"/>
  <c r="B655" i="36"/>
  <c r="B656" i="36"/>
  <c r="B657" i="36"/>
  <c r="B658" i="36"/>
  <c r="B659" i="36"/>
  <c r="B660" i="36"/>
  <c r="B661" i="36"/>
  <c r="B662" i="36"/>
  <c r="B663" i="36"/>
  <c r="B664" i="36"/>
  <c r="B665" i="36"/>
  <c r="B666" i="36"/>
  <c r="B667" i="36"/>
  <c r="B668" i="36"/>
  <c r="B669" i="36"/>
  <c r="B670" i="36"/>
  <c r="B671" i="36"/>
  <c r="B672" i="36"/>
  <c r="B673" i="36"/>
  <c r="B674" i="36"/>
  <c r="B675" i="36"/>
  <c r="B676" i="36"/>
  <c r="B677" i="36"/>
  <c r="B678" i="36"/>
  <c r="B679" i="36"/>
  <c r="B680" i="36"/>
  <c r="B681" i="36"/>
  <c r="B682" i="36"/>
  <c r="B683" i="36"/>
  <c r="B684" i="36"/>
  <c r="B685" i="36"/>
  <c r="B686" i="36"/>
  <c r="B687" i="36"/>
  <c r="B688" i="36"/>
  <c r="B689" i="36"/>
  <c r="B690" i="36"/>
  <c r="B691" i="36"/>
  <c r="B692" i="36"/>
  <c r="B693" i="36"/>
  <c r="B694" i="36"/>
  <c r="B695" i="36"/>
  <c r="B696" i="36"/>
  <c r="B697" i="36"/>
  <c r="B698" i="36"/>
  <c r="B699" i="36"/>
  <c r="B700" i="36"/>
  <c r="B701" i="36"/>
  <c r="B702" i="36"/>
  <c r="B703" i="36"/>
  <c r="B704" i="36"/>
  <c r="B705" i="36"/>
  <c r="B706" i="36"/>
  <c r="B707" i="36"/>
  <c r="B708" i="36"/>
  <c r="B709" i="36"/>
  <c r="B710" i="36"/>
  <c r="B711" i="36"/>
  <c r="B712" i="36"/>
  <c r="B713" i="36"/>
  <c r="B714" i="36"/>
  <c r="B715" i="36"/>
  <c r="B716" i="36"/>
  <c r="B717" i="36"/>
  <c r="B718" i="36"/>
  <c r="B719" i="36"/>
  <c r="B720" i="36"/>
  <c r="B721" i="36"/>
  <c r="B722" i="36"/>
  <c r="B723" i="36"/>
  <c r="B724" i="36"/>
  <c r="B725" i="36"/>
  <c r="B726" i="36"/>
  <c r="B727" i="36"/>
  <c r="B728" i="36"/>
  <c r="B729" i="36"/>
  <c r="B730" i="36"/>
  <c r="B731" i="36"/>
  <c r="B732" i="36"/>
  <c r="B733" i="36"/>
  <c r="B734" i="36"/>
  <c r="B735" i="36"/>
  <c r="B736" i="36"/>
  <c r="B737" i="36"/>
  <c r="B738" i="36"/>
  <c r="B739" i="36"/>
  <c r="B740" i="36"/>
  <c r="B741" i="36"/>
  <c r="B742" i="36"/>
  <c r="B743" i="36"/>
  <c r="B744" i="36"/>
  <c r="B745" i="36"/>
  <c r="B746" i="36"/>
  <c r="B747" i="36"/>
  <c r="B748" i="36"/>
  <c r="B749" i="36"/>
  <c r="B750" i="36"/>
  <c r="B751" i="36"/>
  <c r="B752" i="36"/>
  <c r="B753" i="36"/>
  <c r="B754" i="36"/>
  <c r="B755" i="36"/>
  <c r="B756" i="36"/>
  <c r="B757" i="36"/>
  <c r="B758" i="36"/>
  <c r="B759" i="36"/>
  <c r="B760" i="36"/>
  <c r="B761" i="36"/>
  <c r="B762" i="36"/>
  <c r="B763" i="36"/>
  <c r="B764" i="36"/>
  <c r="B765" i="36"/>
  <c r="B766" i="36"/>
  <c r="B767" i="36"/>
  <c r="B768" i="36"/>
  <c r="B769" i="36"/>
  <c r="B770" i="36"/>
  <c r="B771" i="36"/>
  <c r="B772" i="36"/>
  <c r="B773" i="36"/>
  <c r="B774" i="36"/>
  <c r="B775" i="36"/>
  <c r="B776" i="36"/>
  <c r="B777" i="36"/>
  <c r="B778" i="36"/>
  <c r="B779" i="36"/>
  <c r="B780" i="36"/>
  <c r="B781" i="36"/>
  <c r="B782" i="36"/>
  <c r="B783" i="36"/>
  <c r="B784" i="36"/>
  <c r="B785" i="36"/>
  <c r="B786" i="36"/>
  <c r="B787" i="36"/>
  <c r="B788" i="36"/>
  <c r="B789" i="36"/>
  <c r="B790" i="36"/>
  <c r="B791" i="36"/>
  <c r="B792" i="36"/>
  <c r="B793" i="36"/>
  <c r="B794" i="36"/>
  <c r="B795" i="36"/>
  <c r="B796" i="36"/>
  <c r="B797" i="36"/>
  <c r="B798" i="36"/>
  <c r="B799" i="36"/>
  <c r="B800" i="36"/>
  <c r="B801" i="36"/>
  <c r="B802" i="36"/>
  <c r="B803" i="36"/>
  <c r="B804" i="36"/>
  <c r="B805" i="36"/>
  <c r="B806" i="36"/>
  <c r="B807" i="36"/>
  <c r="B808" i="36"/>
  <c r="B809" i="36"/>
  <c r="B810" i="36"/>
  <c r="B811" i="36"/>
  <c r="B812" i="36"/>
  <c r="B813" i="36"/>
  <c r="B814" i="36"/>
  <c r="B815" i="36"/>
  <c r="B816" i="36"/>
  <c r="B817" i="36"/>
  <c r="B818" i="36"/>
  <c r="B819" i="36"/>
  <c r="B820" i="36"/>
  <c r="B821" i="36"/>
  <c r="B822" i="36"/>
  <c r="B823" i="36"/>
  <c r="B824" i="36"/>
  <c r="B825" i="36"/>
  <c r="B826" i="36"/>
  <c r="B827" i="36"/>
  <c r="B828" i="36"/>
  <c r="B829" i="36"/>
  <c r="B830" i="36"/>
  <c r="B831" i="36"/>
  <c r="B832" i="36"/>
  <c r="B833" i="36"/>
  <c r="B834" i="36"/>
  <c r="B835" i="36"/>
  <c r="B836" i="36"/>
  <c r="B837" i="36"/>
  <c r="B838" i="36"/>
  <c r="B839" i="36"/>
  <c r="B840" i="36"/>
  <c r="B841" i="36"/>
  <c r="B842" i="36"/>
  <c r="B843" i="36"/>
  <c r="B844" i="36"/>
  <c r="B845" i="36"/>
  <c r="B846" i="36"/>
  <c r="B847" i="36"/>
  <c r="B848" i="36"/>
  <c r="B849" i="36"/>
  <c r="B850" i="36"/>
  <c r="B851" i="36"/>
  <c r="B852" i="36"/>
  <c r="B853" i="36"/>
  <c r="B854" i="36"/>
  <c r="B855" i="36"/>
  <c r="B856" i="36"/>
  <c r="B857" i="36"/>
  <c r="B858" i="36"/>
  <c r="B859" i="36"/>
  <c r="B860" i="36"/>
  <c r="B861" i="36"/>
  <c r="B862" i="36"/>
  <c r="B863" i="36"/>
  <c r="B864" i="36"/>
  <c r="B865" i="36"/>
  <c r="B866" i="36"/>
  <c r="B867" i="36"/>
  <c r="B868" i="36"/>
  <c r="B869" i="36"/>
  <c r="B870" i="36"/>
  <c r="B871" i="36"/>
  <c r="B872" i="36"/>
  <c r="B873" i="36"/>
  <c r="B874" i="36"/>
  <c r="B875" i="36"/>
  <c r="B876" i="36"/>
  <c r="B877" i="36"/>
  <c r="B878" i="36"/>
  <c r="B879" i="36"/>
  <c r="B880" i="36"/>
  <c r="B881" i="36"/>
  <c r="B882" i="36"/>
  <c r="B883" i="36"/>
  <c r="B884" i="36"/>
  <c r="B885" i="36"/>
  <c r="B886" i="36"/>
  <c r="B887" i="36"/>
  <c r="B888" i="36"/>
  <c r="B889" i="36"/>
  <c r="B890" i="36"/>
  <c r="B891" i="36"/>
  <c r="B892" i="36"/>
  <c r="B893" i="36"/>
  <c r="B894" i="36"/>
  <c r="B895" i="36"/>
  <c r="B896" i="36"/>
  <c r="B897" i="36"/>
  <c r="B898" i="36"/>
  <c r="B899" i="36"/>
  <c r="B900" i="36"/>
  <c r="B901" i="36"/>
  <c r="B902" i="36"/>
  <c r="B903" i="36"/>
  <c r="B904" i="36"/>
  <c r="B905" i="36"/>
  <c r="B906" i="36"/>
  <c r="B907" i="36"/>
  <c r="B908" i="36"/>
  <c r="B909" i="36"/>
  <c r="B910" i="36"/>
  <c r="B911" i="36"/>
  <c r="B912" i="36"/>
  <c r="B913" i="36"/>
  <c r="B914" i="36"/>
  <c r="B915" i="36"/>
  <c r="B916" i="36"/>
  <c r="B917" i="36"/>
  <c r="B918" i="36"/>
  <c r="B919" i="36"/>
  <c r="B920" i="36"/>
  <c r="B921" i="36"/>
  <c r="B922" i="36"/>
  <c r="B923" i="36"/>
  <c r="B924" i="36"/>
  <c r="B925" i="36"/>
  <c r="B926" i="36"/>
  <c r="B927" i="36"/>
  <c r="B928" i="36"/>
  <c r="B929" i="36"/>
  <c r="B930" i="36"/>
  <c r="B931" i="36"/>
  <c r="B932" i="36"/>
  <c r="B933" i="36"/>
  <c r="B934" i="36"/>
  <c r="B935" i="36"/>
  <c r="B936" i="36"/>
  <c r="B937" i="36"/>
  <c r="B938" i="36"/>
  <c r="B939" i="36"/>
  <c r="B940" i="36"/>
  <c r="B941" i="36"/>
  <c r="B942" i="36"/>
  <c r="B943" i="36"/>
  <c r="B944" i="36"/>
  <c r="B945" i="36"/>
  <c r="B946" i="36"/>
  <c r="B947" i="36"/>
  <c r="B948" i="36"/>
  <c r="B949" i="36"/>
  <c r="B950" i="36"/>
  <c r="B951" i="36"/>
  <c r="B952" i="36"/>
  <c r="B953" i="36"/>
  <c r="B954" i="36"/>
  <c r="B955" i="36"/>
  <c r="B956" i="36"/>
  <c r="B957" i="36"/>
  <c r="B958" i="36"/>
  <c r="B959" i="36"/>
  <c r="B960" i="36"/>
  <c r="B961" i="36"/>
  <c r="B962" i="36"/>
  <c r="B963" i="36"/>
  <c r="B964" i="36"/>
  <c r="B965" i="36"/>
  <c r="B966" i="36"/>
  <c r="B967" i="36"/>
  <c r="B968" i="36"/>
  <c r="B969" i="36"/>
  <c r="B970" i="36"/>
  <c r="B971" i="36"/>
  <c r="B972" i="36"/>
  <c r="B973" i="36"/>
  <c r="B974" i="36"/>
  <c r="B975" i="36"/>
  <c r="B976" i="36"/>
  <c r="B977" i="36"/>
  <c r="B978" i="36"/>
  <c r="B979" i="36"/>
  <c r="B980" i="36"/>
  <c r="B981" i="36"/>
  <c r="B982" i="36"/>
  <c r="B983" i="36"/>
  <c r="B984" i="36"/>
  <c r="B985" i="36"/>
  <c r="B986" i="36"/>
  <c r="B987" i="36"/>
  <c r="B988" i="36"/>
  <c r="B989" i="36"/>
  <c r="B990" i="36"/>
  <c r="B991" i="36"/>
  <c r="B992" i="36"/>
  <c r="B993" i="36"/>
  <c r="B994" i="36"/>
  <c r="B995" i="36"/>
  <c r="B996" i="36"/>
  <c r="B997" i="36"/>
  <c r="B998" i="36"/>
  <c r="B999" i="36"/>
  <c r="B1000" i="36"/>
  <c r="B1001" i="36"/>
  <c r="B1002" i="36"/>
  <c r="B1003" i="36"/>
  <c r="B1004" i="36"/>
  <c r="B1005" i="36"/>
  <c r="B1006" i="36"/>
  <c r="B1007" i="36"/>
  <c r="B1008" i="36"/>
  <c r="B1009" i="36"/>
  <c r="B1010" i="36"/>
  <c r="B2" i="35" l="1"/>
  <c r="B3" i="35"/>
  <c r="B4" i="35"/>
  <c r="B5" i="35"/>
  <c r="B6" i="35"/>
  <c r="B7" i="35"/>
  <c r="B8" i="35"/>
  <c r="B9" i="35"/>
  <c r="B10" i="35"/>
  <c r="B11" i="35"/>
  <c r="B12" i="35"/>
  <c r="B13" i="35"/>
  <c r="B14" i="35"/>
  <c r="B15" i="35"/>
  <c r="B16" i="35"/>
  <c r="B17" i="35"/>
  <c r="B18" i="35"/>
  <c r="B19" i="35"/>
  <c r="B20" i="35"/>
  <c r="B21" i="35"/>
  <c r="B22" i="35"/>
  <c r="B23" i="35"/>
  <c r="B24" i="35"/>
  <c r="B25" i="35"/>
  <c r="B26" i="35"/>
  <c r="B27" i="35"/>
  <c r="B28" i="35"/>
  <c r="B29" i="35"/>
  <c r="B30" i="35"/>
  <c r="B31" i="35"/>
  <c r="B32" i="35"/>
  <c r="B33" i="35"/>
  <c r="B34" i="35"/>
  <c r="B35" i="35"/>
  <c r="B36" i="35"/>
  <c r="B37" i="35"/>
  <c r="B38" i="35"/>
  <c r="B39" i="35"/>
  <c r="B40" i="35"/>
  <c r="B41" i="35"/>
  <c r="B42" i="35"/>
  <c r="B43" i="35"/>
  <c r="B44" i="35"/>
  <c r="B45" i="35"/>
  <c r="B46" i="35"/>
  <c r="B47" i="35"/>
  <c r="B48" i="35"/>
  <c r="B49" i="35"/>
  <c r="B50" i="35"/>
  <c r="B51" i="35"/>
  <c r="B52" i="35"/>
  <c r="B53" i="35"/>
  <c r="B54" i="35"/>
  <c r="B55" i="35"/>
  <c r="B56" i="35"/>
  <c r="B57" i="35"/>
  <c r="B58" i="35"/>
  <c r="B59" i="35"/>
  <c r="B60" i="35"/>
  <c r="B61" i="35"/>
  <c r="B62" i="35"/>
  <c r="B63" i="35"/>
  <c r="B64" i="35"/>
  <c r="B65" i="35"/>
  <c r="B66" i="35"/>
  <c r="B67" i="35"/>
  <c r="B68" i="35"/>
  <c r="B69" i="35"/>
  <c r="B70" i="35"/>
  <c r="B71" i="35"/>
  <c r="B72" i="35"/>
  <c r="B73" i="35"/>
  <c r="B74" i="35"/>
  <c r="B75" i="35"/>
  <c r="B76" i="35"/>
  <c r="B77" i="35"/>
  <c r="B78" i="35"/>
  <c r="B79" i="35"/>
  <c r="B80" i="35"/>
  <c r="B81" i="35"/>
  <c r="B82" i="35"/>
  <c r="B83" i="35"/>
  <c r="B84" i="35"/>
  <c r="B85" i="35"/>
  <c r="B86" i="35"/>
  <c r="B87" i="35"/>
  <c r="B88" i="35"/>
  <c r="B89" i="35"/>
  <c r="B90" i="35"/>
  <c r="B91" i="35"/>
  <c r="B92" i="35"/>
  <c r="B93" i="35"/>
  <c r="B94" i="35"/>
  <c r="B95" i="35"/>
  <c r="B96" i="35"/>
  <c r="B97" i="35"/>
  <c r="B98" i="35"/>
  <c r="B99" i="35"/>
  <c r="B100" i="35"/>
  <c r="B101" i="35"/>
  <c r="B102" i="35"/>
  <c r="B103" i="35"/>
  <c r="B104" i="35"/>
  <c r="B105" i="35"/>
  <c r="B106" i="35"/>
  <c r="B107" i="35"/>
  <c r="B108" i="35"/>
  <c r="B109" i="35"/>
  <c r="B110" i="35"/>
  <c r="B111" i="35"/>
  <c r="B112" i="35"/>
  <c r="B113" i="35"/>
  <c r="B114" i="35"/>
  <c r="B115" i="35"/>
  <c r="B116" i="35"/>
  <c r="B117" i="35"/>
  <c r="B118" i="35"/>
  <c r="B119" i="35"/>
  <c r="B120" i="35"/>
  <c r="B121" i="35"/>
  <c r="B122" i="35"/>
  <c r="B123" i="35"/>
  <c r="B124" i="35"/>
  <c r="B125" i="35"/>
  <c r="B126" i="35"/>
  <c r="B127" i="35"/>
  <c r="B128" i="35"/>
  <c r="B129" i="35"/>
  <c r="B130" i="35"/>
  <c r="B131" i="35"/>
  <c r="B132" i="35"/>
  <c r="B133" i="35"/>
  <c r="B134" i="35"/>
  <c r="B135" i="35"/>
  <c r="B136" i="35"/>
  <c r="B137" i="35"/>
  <c r="B138" i="35"/>
  <c r="B139" i="35"/>
  <c r="B140" i="35"/>
  <c r="B141" i="35"/>
  <c r="B142" i="35"/>
  <c r="B143" i="35"/>
  <c r="B144" i="35"/>
  <c r="B145" i="35"/>
  <c r="B146" i="35"/>
  <c r="B147" i="35"/>
  <c r="B148" i="35"/>
  <c r="B149" i="35"/>
  <c r="B150" i="35"/>
  <c r="B151" i="35"/>
  <c r="B152" i="35"/>
  <c r="B153" i="35"/>
  <c r="B154" i="35"/>
  <c r="B155" i="35"/>
  <c r="B156" i="35"/>
  <c r="B157" i="35"/>
  <c r="B158" i="35"/>
  <c r="B159" i="35"/>
  <c r="B160" i="35"/>
  <c r="B161" i="35"/>
  <c r="B162" i="35"/>
  <c r="B163" i="35"/>
  <c r="B164" i="35"/>
  <c r="B165" i="35"/>
  <c r="B166" i="35"/>
  <c r="B167" i="35"/>
  <c r="B168" i="35"/>
  <c r="B169" i="35"/>
  <c r="B170" i="35"/>
  <c r="B171" i="35"/>
  <c r="B172" i="35"/>
  <c r="B173" i="35"/>
  <c r="B174" i="35"/>
  <c r="B175" i="35"/>
  <c r="B176" i="35"/>
  <c r="B177" i="35"/>
  <c r="B178" i="35"/>
  <c r="B179" i="35"/>
  <c r="B180" i="35"/>
  <c r="B181" i="35"/>
  <c r="B182" i="35"/>
  <c r="B183" i="35"/>
  <c r="B184" i="35"/>
  <c r="B185" i="35"/>
  <c r="B186" i="35"/>
  <c r="B187" i="35"/>
  <c r="B188" i="35"/>
  <c r="B189" i="35"/>
  <c r="B190" i="35"/>
  <c r="B191" i="35"/>
  <c r="B192" i="35"/>
  <c r="B193" i="35"/>
  <c r="B194" i="35"/>
  <c r="B195" i="35"/>
  <c r="B196" i="35"/>
  <c r="B197" i="35"/>
  <c r="B198" i="35"/>
  <c r="B199" i="35"/>
  <c r="B200" i="35"/>
  <c r="B201" i="35"/>
  <c r="B202" i="35"/>
  <c r="B203" i="35"/>
  <c r="B204" i="35"/>
  <c r="B205" i="35"/>
  <c r="B206" i="35"/>
  <c r="B207" i="35"/>
  <c r="B208" i="35"/>
  <c r="B209" i="35"/>
  <c r="B210" i="35"/>
  <c r="B211" i="35"/>
  <c r="B212" i="35"/>
  <c r="B213" i="35"/>
  <c r="B214" i="35"/>
  <c r="B215" i="35"/>
  <c r="B216" i="35"/>
  <c r="B217" i="35"/>
  <c r="B218" i="35"/>
  <c r="B219" i="35"/>
  <c r="B220" i="35"/>
  <c r="B221" i="35"/>
  <c r="B222" i="35"/>
  <c r="B223" i="35"/>
  <c r="B224" i="35"/>
  <c r="B225" i="35"/>
  <c r="B226" i="35"/>
  <c r="B227" i="35"/>
  <c r="B228" i="35"/>
  <c r="B229" i="35"/>
  <c r="B230" i="35"/>
  <c r="B231" i="35"/>
  <c r="B232" i="35"/>
  <c r="B233" i="35"/>
  <c r="B234" i="35"/>
  <c r="B235" i="35"/>
  <c r="B236" i="35"/>
  <c r="B237" i="35"/>
  <c r="B238" i="35"/>
  <c r="B239" i="35"/>
  <c r="B240" i="35"/>
  <c r="B241" i="35"/>
  <c r="B242" i="35"/>
  <c r="B243" i="35"/>
  <c r="B244" i="35"/>
  <c r="B245" i="35"/>
  <c r="B246" i="35"/>
  <c r="B247" i="35"/>
  <c r="B248" i="35"/>
  <c r="B249" i="35"/>
  <c r="B250" i="35"/>
  <c r="B251" i="35"/>
  <c r="B252" i="35"/>
  <c r="B253" i="35"/>
  <c r="B254" i="35"/>
  <c r="B255" i="35"/>
  <c r="B256" i="35"/>
  <c r="B257" i="35"/>
  <c r="B258" i="35"/>
  <c r="B259" i="35"/>
  <c r="B260" i="35"/>
  <c r="B261" i="35"/>
  <c r="B262" i="35"/>
  <c r="B263" i="35"/>
  <c r="B264" i="35"/>
  <c r="B265" i="35"/>
  <c r="B266" i="35"/>
  <c r="B267" i="35"/>
  <c r="B268" i="35"/>
  <c r="B269" i="35"/>
  <c r="B270" i="35"/>
  <c r="B271" i="35"/>
  <c r="B272" i="35"/>
  <c r="B273" i="35"/>
  <c r="B274" i="35"/>
  <c r="B275" i="35"/>
  <c r="B276" i="35"/>
  <c r="B277" i="35"/>
  <c r="B278" i="35"/>
  <c r="B279" i="35"/>
  <c r="B280" i="35"/>
  <c r="B281" i="35"/>
  <c r="B282" i="35"/>
  <c r="B283" i="35"/>
  <c r="B284" i="35"/>
  <c r="B285" i="35"/>
  <c r="B286" i="35"/>
  <c r="B287" i="35"/>
  <c r="B288" i="35"/>
  <c r="B289" i="35"/>
  <c r="B290" i="35"/>
  <c r="B291" i="35"/>
  <c r="B292" i="35"/>
  <c r="B293" i="35"/>
  <c r="B294" i="35"/>
  <c r="B295" i="35"/>
  <c r="B296" i="35"/>
  <c r="B297" i="35"/>
  <c r="B298" i="35"/>
  <c r="B299" i="35"/>
  <c r="B300" i="35"/>
  <c r="B301" i="35"/>
  <c r="B302" i="35"/>
  <c r="B303" i="35"/>
  <c r="B304" i="35"/>
  <c r="B305" i="35"/>
  <c r="B306" i="35"/>
  <c r="B307" i="35"/>
  <c r="B308" i="35"/>
  <c r="B309" i="35"/>
  <c r="B310" i="35"/>
  <c r="B311" i="35"/>
  <c r="B312" i="35"/>
  <c r="B313" i="35"/>
  <c r="B314" i="35"/>
  <c r="B315" i="35"/>
  <c r="B316" i="35"/>
  <c r="B317" i="35"/>
  <c r="B318" i="35"/>
  <c r="B319" i="35"/>
  <c r="B320" i="35"/>
  <c r="B321" i="35"/>
  <c r="B322" i="35"/>
  <c r="B323" i="35"/>
  <c r="B324" i="35"/>
  <c r="B325" i="35"/>
  <c r="B326" i="35"/>
  <c r="B327" i="35"/>
  <c r="B328" i="35"/>
  <c r="B329" i="35"/>
  <c r="B330" i="35"/>
  <c r="B331" i="35"/>
  <c r="B332" i="35"/>
  <c r="B333" i="35"/>
  <c r="B334" i="35"/>
  <c r="B335" i="35"/>
  <c r="B336" i="35"/>
  <c r="B337" i="35"/>
  <c r="B338" i="35"/>
  <c r="B339" i="35"/>
  <c r="B340" i="35"/>
  <c r="B341" i="35"/>
  <c r="B342" i="35"/>
  <c r="B343" i="35"/>
  <c r="B344" i="35"/>
  <c r="B345" i="35"/>
  <c r="B346" i="35"/>
  <c r="B347" i="35"/>
  <c r="B348" i="35"/>
  <c r="B349" i="35"/>
  <c r="B350" i="35"/>
  <c r="B351" i="35"/>
  <c r="B352" i="35"/>
  <c r="B353" i="35"/>
  <c r="B354" i="35"/>
  <c r="B355" i="35"/>
  <c r="B356" i="35"/>
  <c r="B357" i="35"/>
  <c r="B358" i="35"/>
  <c r="B359" i="35"/>
  <c r="B360" i="35"/>
  <c r="B361" i="35"/>
  <c r="B362" i="35"/>
  <c r="B363" i="35"/>
  <c r="B364" i="35"/>
  <c r="B365" i="35"/>
  <c r="B366" i="35"/>
  <c r="B367" i="35"/>
  <c r="B368" i="35"/>
  <c r="B369" i="35"/>
  <c r="B370" i="35"/>
  <c r="B371" i="35"/>
  <c r="B372" i="35"/>
  <c r="B373" i="35"/>
  <c r="B374" i="35"/>
  <c r="B375" i="35"/>
  <c r="B376" i="35"/>
  <c r="B377" i="35"/>
  <c r="B378" i="35"/>
  <c r="B379" i="35"/>
  <c r="B380" i="35"/>
  <c r="B381" i="35"/>
  <c r="B382" i="35"/>
  <c r="B383" i="35"/>
  <c r="B384" i="35"/>
  <c r="B385" i="35"/>
  <c r="B386" i="35"/>
  <c r="B387" i="35"/>
  <c r="B388" i="35"/>
  <c r="B389" i="35"/>
  <c r="B390" i="35"/>
  <c r="B391" i="35"/>
  <c r="B392" i="35"/>
  <c r="B393" i="35"/>
  <c r="B394" i="35"/>
  <c r="B395" i="35"/>
  <c r="B396" i="35"/>
  <c r="B397" i="35"/>
  <c r="B398" i="35"/>
  <c r="B399" i="35"/>
  <c r="B400" i="35"/>
  <c r="B401" i="35"/>
  <c r="B402" i="35"/>
  <c r="B403" i="35"/>
  <c r="B404" i="35"/>
  <c r="B405" i="35"/>
  <c r="B406" i="35"/>
  <c r="B407" i="35"/>
  <c r="B408" i="35"/>
  <c r="B409" i="35"/>
  <c r="B410" i="35"/>
  <c r="B411" i="35"/>
  <c r="B412" i="35"/>
  <c r="B413" i="35"/>
  <c r="B414" i="35"/>
  <c r="B415" i="35"/>
  <c r="B416" i="35"/>
  <c r="B417" i="35"/>
  <c r="B418" i="35"/>
  <c r="B419" i="35"/>
  <c r="B420" i="35"/>
  <c r="B421" i="35"/>
  <c r="B422" i="35"/>
  <c r="B423" i="35"/>
  <c r="B424" i="35"/>
  <c r="B425" i="35"/>
  <c r="B426" i="35"/>
  <c r="B427" i="35"/>
  <c r="B428" i="35"/>
  <c r="B429" i="35"/>
  <c r="B430" i="35"/>
  <c r="B431" i="35"/>
  <c r="B432" i="35"/>
  <c r="B433" i="35"/>
  <c r="B434" i="35"/>
  <c r="B435" i="35"/>
  <c r="B436" i="35"/>
  <c r="B437" i="35"/>
  <c r="B438" i="35"/>
  <c r="B439" i="35"/>
  <c r="B440" i="35"/>
  <c r="B441" i="35"/>
  <c r="B442" i="35"/>
  <c r="B443" i="35"/>
  <c r="B444" i="35"/>
  <c r="B445" i="35"/>
  <c r="B446" i="35"/>
  <c r="B447" i="35"/>
  <c r="B448" i="35"/>
  <c r="B449" i="35"/>
  <c r="B450" i="35"/>
  <c r="B451" i="35"/>
  <c r="B452" i="35"/>
  <c r="B453" i="35"/>
  <c r="B454" i="35"/>
  <c r="B455" i="35"/>
  <c r="B456" i="35"/>
  <c r="B457" i="35"/>
  <c r="B458" i="35"/>
  <c r="B459" i="35"/>
  <c r="B460" i="35"/>
  <c r="B461" i="35"/>
  <c r="B462" i="35"/>
  <c r="B463" i="35"/>
  <c r="B464" i="35"/>
  <c r="B465" i="35"/>
  <c r="B466" i="35"/>
  <c r="B467" i="35"/>
  <c r="B468" i="35"/>
  <c r="B469" i="35"/>
  <c r="B470" i="35"/>
  <c r="B471" i="35"/>
  <c r="B472" i="35"/>
  <c r="B473" i="35"/>
  <c r="B474" i="35"/>
  <c r="B475" i="35"/>
  <c r="B476" i="35"/>
  <c r="B477" i="35"/>
  <c r="B478" i="35"/>
  <c r="B479" i="35"/>
  <c r="B480" i="35"/>
  <c r="B481" i="35"/>
  <c r="B482" i="35"/>
  <c r="B483" i="35"/>
  <c r="B484" i="35"/>
  <c r="B485" i="35"/>
  <c r="B486" i="35"/>
  <c r="B487" i="35"/>
  <c r="B488" i="35"/>
  <c r="B489" i="35"/>
  <c r="B490" i="35"/>
  <c r="B491" i="35"/>
  <c r="B492" i="35"/>
  <c r="B493" i="35"/>
  <c r="B494" i="35"/>
  <c r="B495" i="35"/>
  <c r="B496" i="35"/>
  <c r="B497" i="35"/>
  <c r="B498" i="35"/>
  <c r="B499" i="35"/>
  <c r="B500" i="35"/>
  <c r="B501" i="35"/>
  <c r="B502" i="35"/>
  <c r="B503" i="35"/>
  <c r="B504" i="35"/>
  <c r="B505" i="35"/>
  <c r="B506" i="35"/>
  <c r="B507" i="35"/>
  <c r="B508" i="35"/>
  <c r="B509" i="35"/>
  <c r="B510" i="35"/>
  <c r="B511" i="35"/>
  <c r="B512" i="35"/>
  <c r="B513" i="35"/>
  <c r="B514" i="35"/>
  <c r="B515" i="35"/>
  <c r="B516" i="35"/>
  <c r="B517" i="35"/>
  <c r="B518" i="35"/>
  <c r="B519" i="35"/>
  <c r="B520" i="35"/>
  <c r="B521" i="35"/>
  <c r="B522" i="35"/>
  <c r="B523" i="35"/>
  <c r="B524" i="35"/>
  <c r="B525" i="35"/>
  <c r="B526" i="35"/>
  <c r="B527" i="35"/>
  <c r="B528" i="35"/>
  <c r="B529" i="35"/>
  <c r="B530" i="35"/>
  <c r="B531" i="35"/>
  <c r="B532" i="35"/>
  <c r="B533" i="35"/>
  <c r="B534" i="35"/>
  <c r="B535" i="35"/>
  <c r="B536" i="35"/>
  <c r="B537" i="35"/>
  <c r="B538" i="35"/>
  <c r="B539" i="35"/>
  <c r="B540" i="35"/>
  <c r="B541" i="35"/>
  <c r="B542" i="35"/>
  <c r="B543" i="35"/>
  <c r="B544" i="35"/>
  <c r="B545" i="35"/>
  <c r="B546" i="35"/>
  <c r="B547" i="35"/>
  <c r="B548" i="35"/>
  <c r="B549" i="35"/>
  <c r="B550" i="35"/>
  <c r="B551" i="35"/>
  <c r="B552" i="35"/>
  <c r="B553" i="35"/>
  <c r="B554" i="35"/>
  <c r="B555" i="35"/>
  <c r="B556" i="35"/>
  <c r="B557" i="35"/>
  <c r="B558" i="35"/>
  <c r="B559" i="35"/>
  <c r="B560" i="35"/>
  <c r="B561" i="35"/>
  <c r="B562" i="35"/>
  <c r="B563" i="35"/>
  <c r="B564" i="35"/>
  <c r="B565" i="35"/>
  <c r="B566" i="35"/>
  <c r="B567" i="35"/>
  <c r="B568" i="35"/>
  <c r="B569" i="35"/>
  <c r="B570" i="35"/>
  <c r="B571" i="35"/>
  <c r="B572" i="35"/>
  <c r="B573" i="35"/>
  <c r="B574" i="35"/>
  <c r="B575" i="35"/>
  <c r="B576" i="35"/>
  <c r="B577" i="35"/>
  <c r="B578" i="35"/>
  <c r="B579" i="35"/>
  <c r="B580" i="35"/>
  <c r="B581" i="35"/>
  <c r="B582" i="35"/>
  <c r="B583" i="35"/>
  <c r="B584" i="35"/>
  <c r="B585" i="35"/>
  <c r="B586" i="35"/>
  <c r="B587" i="35"/>
  <c r="B588" i="35"/>
  <c r="B589" i="35"/>
  <c r="B590" i="35"/>
  <c r="B591" i="35"/>
  <c r="B592" i="35"/>
  <c r="B593" i="35"/>
  <c r="B594" i="35"/>
  <c r="B595" i="35"/>
  <c r="B596" i="35"/>
  <c r="B597" i="35"/>
  <c r="B598" i="35"/>
  <c r="B599" i="35"/>
  <c r="B600" i="35"/>
  <c r="B601" i="35"/>
  <c r="B602" i="35"/>
  <c r="B603" i="35"/>
  <c r="B604" i="35"/>
  <c r="B605" i="35"/>
  <c r="B606" i="35"/>
  <c r="B607" i="35"/>
  <c r="B608" i="35"/>
  <c r="B609" i="35"/>
  <c r="B610" i="35"/>
  <c r="B611" i="35"/>
  <c r="B612" i="35"/>
  <c r="B613" i="35"/>
  <c r="B614" i="35"/>
  <c r="B615" i="35"/>
  <c r="B616" i="35"/>
  <c r="B617" i="35"/>
  <c r="B618" i="35"/>
  <c r="B619" i="35"/>
  <c r="B620" i="35"/>
  <c r="B621" i="35"/>
  <c r="B622" i="35"/>
  <c r="B623" i="35"/>
  <c r="B624" i="35"/>
  <c r="B625" i="35"/>
  <c r="B626" i="35"/>
  <c r="B627" i="35"/>
  <c r="B628" i="35"/>
  <c r="B629" i="35"/>
  <c r="B630" i="35"/>
  <c r="B631" i="35"/>
  <c r="B632" i="35"/>
  <c r="B633" i="35"/>
  <c r="B634" i="35"/>
  <c r="B635" i="35"/>
  <c r="B636" i="35"/>
  <c r="B637" i="35"/>
  <c r="B638" i="35"/>
  <c r="B639" i="35"/>
  <c r="B640" i="35"/>
  <c r="B641" i="35"/>
  <c r="B642" i="35"/>
  <c r="B643" i="35"/>
  <c r="B644" i="35"/>
  <c r="B645" i="35"/>
  <c r="B646" i="35"/>
  <c r="B647" i="35"/>
  <c r="B648" i="35"/>
  <c r="B649" i="35"/>
  <c r="B650" i="35"/>
  <c r="B651" i="35"/>
  <c r="B652" i="35"/>
  <c r="B653" i="35"/>
  <c r="B654" i="35"/>
  <c r="B655" i="35"/>
  <c r="B656" i="35"/>
  <c r="B657" i="35"/>
  <c r="B658" i="35"/>
  <c r="B659" i="35"/>
  <c r="B660" i="35"/>
  <c r="B661" i="35"/>
  <c r="B662" i="35"/>
  <c r="B663" i="35"/>
  <c r="B664" i="35"/>
  <c r="B665" i="35"/>
  <c r="B666" i="35"/>
  <c r="B667" i="35"/>
  <c r="B668" i="35"/>
  <c r="B669" i="35"/>
  <c r="B670" i="35"/>
  <c r="B671" i="35"/>
  <c r="B672" i="35"/>
  <c r="B673" i="35"/>
  <c r="B674" i="35"/>
  <c r="B675" i="35"/>
  <c r="B676" i="35"/>
  <c r="B677" i="35"/>
  <c r="B678" i="35"/>
  <c r="B679" i="35"/>
  <c r="B680" i="35"/>
  <c r="B681" i="35"/>
  <c r="B682" i="35"/>
  <c r="B683" i="35"/>
  <c r="B684" i="35"/>
  <c r="B685" i="35"/>
  <c r="B686" i="35"/>
  <c r="B687" i="35"/>
  <c r="B688" i="35"/>
  <c r="B689" i="35"/>
  <c r="B690" i="35"/>
  <c r="B691" i="35"/>
  <c r="B692" i="35"/>
  <c r="B693" i="35"/>
  <c r="B694" i="35"/>
  <c r="B695" i="35"/>
  <c r="B696" i="35"/>
  <c r="B697" i="35"/>
  <c r="B698" i="35"/>
  <c r="B699" i="35"/>
  <c r="B700" i="35"/>
  <c r="B701" i="35"/>
  <c r="B702" i="35"/>
  <c r="B703" i="35"/>
  <c r="B704" i="35"/>
  <c r="B705" i="35"/>
  <c r="B706" i="35"/>
  <c r="B707" i="35"/>
  <c r="B708" i="35"/>
  <c r="B709" i="35"/>
  <c r="B710" i="35"/>
  <c r="B711" i="35"/>
  <c r="B712" i="35"/>
  <c r="B713" i="35"/>
  <c r="B714" i="35"/>
  <c r="B715" i="35"/>
  <c r="B716" i="35"/>
  <c r="B717" i="35"/>
  <c r="B718" i="35"/>
  <c r="B719" i="35"/>
  <c r="B720" i="35"/>
  <c r="B721" i="35"/>
  <c r="B722" i="35"/>
  <c r="B723" i="35"/>
  <c r="B724" i="35"/>
  <c r="B725" i="35"/>
  <c r="B726" i="35"/>
  <c r="B727" i="35"/>
  <c r="B728" i="35"/>
  <c r="B729" i="35"/>
  <c r="B730" i="35"/>
  <c r="B731" i="35"/>
  <c r="B732" i="35"/>
  <c r="B733" i="35"/>
  <c r="B734" i="35"/>
  <c r="B735" i="35"/>
  <c r="B736" i="35"/>
  <c r="B737" i="35"/>
  <c r="B738" i="35"/>
  <c r="B739" i="35"/>
  <c r="B740" i="35"/>
  <c r="B741" i="35"/>
  <c r="B742" i="35"/>
  <c r="B743" i="35"/>
  <c r="B744" i="35"/>
  <c r="B745" i="35"/>
  <c r="B746" i="35"/>
  <c r="B747" i="35"/>
  <c r="B748" i="35"/>
  <c r="B749" i="35"/>
  <c r="B750" i="35"/>
  <c r="B751" i="35"/>
  <c r="B752" i="35"/>
  <c r="B753" i="35"/>
  <c r="B754" i="35"/>
  <c r="B755" i="35"/>
  <c r="B756" i="35"/>
  <c r="B757" i="35"/>
  <c r="B758" i="35"/>
  <c r="B759" i="35"/>
  <c r="B760" i="35"/>
  <c r="B761" i="35"/>
  <c r="B762" i="35"/>
  <c r="B763" i="35"/>
  <c r="B764" i="35"/>
  <c r="B765" i="35"/>
  <c r="B766" i="35"/>
  <c r="B767" i="35"/>
  <c r="B768" i="35"/>
  <c r="B769" i="35"/>
  <c r="B770" i="35"/>
  <c r="B771" i="35"/>
  <c r="B772" i="35"/>
  <c r="B773" i="35"/>
  <c r="B774" i="35"/>
  <c r="B775" i="35"/>
  <c r="B776" i="35"/>
  <c r="B777" i="35"/>
  <c r="B778" i="35"/>
  <c r="B779" i="35"/>
  <c r="B780" i="35"/>
  <c r="B781" i="35"/>
  <c r="B782" i="35"/>
  <c r="B783" i="35"/>
  <c r="B784" i="35"/>
  <c r="B785" i="35"/>
  <c r="B786" i="35"/>
  <c r="B787" i="35"/>
  <c r="B788" i="35"/>
  <c r="B789" i="35"/>
  <c r="B790" i="35"/>
  <c r="B791" i="35"/>
  <c r="B792" i="35"/>
  <c r="B793" i="35"/>
  <c r="B794" i="35"/>
  <c r="B795" i="35"/>
  <c r="B796" i="35"/>
  <c r="B797" i="35"/>
  <c r="B798" i="35"/>
  <c r="B799" i="35"/>
  <c r="B800" i="35"/>
  <c r="B801" i="35"/>
  <c r="B802" i="35"/>
  <c r="B803" i="35"/>
  <c r="B804" i="35"/>
  <c r="B805" i="35"/>
  <c r="B806" i="35"/>
  <c r="B807" i="35"/>
  <c r="B808" i="35"/>
  <c r="B809" i="35"/>
  <c r="B810" i="35"/>
  <c r="B811" i="35"/>
  <c r="B812" i="35"/>
  <c r="B813" i="35"/>
  <c r="B814" i="35"/>
  <c r="B815" i="35"/>
  <c r="B816" i="35"/>
  <c r="B817" i="35"/>
  <c r="B818" i="35"/>
  <c r="B819" i="35"/>
  <c r="B820" i="35"/>
  <c r="B821" i="35"/>
  <c r="B822" i="35"/>
  <c r="B823" i="35"/>
  <c r="B824" i="35"/>
  <c r="B825" i="35"/>
  <c r="B826" i="35"/>
  <c r="B827" i="35"/>
  <c r="B828" i="35"/>
  <c r="B829" i="35"/>
  <c r="B830" i="35"/>
  <c r="B831" i="35"/>
  <c r="B832" i="35"/>
  <c r="B833" i="35"/>
  <c r="B834" i="35"/>
  <c r="B835" i="35"/>
  <c r="B836" i="35"/>
  <c r="B837" i="35"/>
  <c r="B838" i="35"/>
  <c r="B839" i="35"/>
  <c r="B840" i="35"/>
  <c r="B841" i="35"/>
  <c r="B842" i="35"/>
  <c r="B843" i="35"/>
  <c r="B844" i="35"/>
  <c r="B845" i="35"/>
  <c r="B846" i="35"/>
  <c r="B847" i="35"/>
  <c r="B848" i="35"/>
  <c r="B849" i="35"/>
  <c r="B850" i="35"/>
  <c r="B851" i="35"/>
  <c r="B852" i="35"/>
  <c r="B853" i="35"/>
  <c r="B854" i="35"/>
  <c r="B855" i="35"/>
  <c r="B856" i="35"/>
  <c r="B857" i="35"/>
  <c r="B858" i="35"/>
  <c r="B859" i="35"/>
  <c r="B860" i="35"/>
  <c r="B861" i="35"/>
  <c r="B862" i="35"/>
  <c r="B863" i="35"/>
  <c r="B864" i="35"/>
  <c r="B865" i="35"/>
  <c r="B866" i="35"/>
  <c r="B867" i="35"/>
  <c r="B868" i="35"/>
  <c r="B869" i="35"/>
  <c r="B870" i="35"/>
  <c r="B871" i="35"/>
  <c r="B872" i="35"/>
  <c r="B873" i="35"/>
  <c r="B874" i="35"/>
  <c r="B875" i="35"/>
  <c r="B876" i="35"/>
  <c r="B877" i="35"/>
  <c r="B878" i="35"/>
  <c r="B879" i="35"/>
  <c r="B880" i="35"/>
  <c r="B881" i="35"/>
  <c r="B882" i="35"/>
  <c r="B883" i="35"/>
  <c r="B884" i="35"/>
  <c r="B885" i="35"/>
  <c r="B886" i="35"/>
  <c r="B887" i="35"/>
  <c r="B888" i="35"/>
  <c r="B889" i="35"/>
  <c r="B890" i="35"/>
  <c r="B891" i="35"/>
  <c r="B892" i="35"/>
  <c r="B893" i="35"/>
  <c r="B894" i="35"/>
  <c r="B895" i="35"/>
  <c r="B896" i="35"/>
  <c r="B897" i="35"/>
  <c r="B898" i="35"/>
  <c r="B899" i="35"/>
  <c r="B900" i="35"/>
  <c r="B901" i="35"/>
  <c r="B902" i="35"/>
  <c r="B903" i="35"/>
  <c r="B904" i="35"/>
  <c r="B905" i="35"/>
  <c r="B906" i="35"/>
  <c r="B907" i="35"/>
  <c r="B908" i="35"/>
  <c r="B909" i="35"/>
  <c r="B910" i="35"/>
  <c r="B911" i="35"/>
  <c r="B912" i="35"/>
  <c r="B913" i="35"/>
  <c r="B914" i="35"/>
  <c r="B915" i="35"/>
  <c r="B916" i="35"/>
  <c r="B917" i="35"/>
  <c r="B918" i="35"/>
  <c r="B919" i="35"/>
  <c r="B920" i="35"/>
  <c r="B921" i="35"/>
  <c r="B922" i="35"/>
  <c r="B923" i="35"/>
  <c r="B924" i="35"/>
  <c r="B925" i="35"/>
  <c r="B926" i="35"/>
  <c r="B927" i="35"/>
  <c r="B928" i="35"/>
  <c r="B929" i="35"/>
  <c r="B930" i="35"/>
  <c r="B931" i="35"/>
  <c r="B932" i="35"/>
  <c r="B933" i="35"/>
  <c r="B934" i="35"/>
  <c r="B935" i="35"/>
  <c r="B936" i="35"/>
  <c r="B937" i="35"/>
  <c r="B938" i="35"/>
  <c r="B939" i="35"/>
  <c r="B940" i="35"/>
  <c r="B941" i="35"/>
  <c r="B942" i="35"/>
  <c r="B943" i="35"/>
  <c r="B944" i="35"/>
  <c r="B945" i="35"/>
  <c r="B946" i="35"/>
  <c r="B947" i="35"/>
  <c r="B948" i="35"/>
  <c r="B949" i="35"/>
  <c r="B950" i="35"/>
  <c r="B951" i="35"/>
  <c r="B952" i="35"/>
  <c r="B953" i="35"/>
  <c r="B954" i="35"/>
  <c r="B955" i="35"/>
  <c r="B956" i="35"/>
  <c r="B957" i="35"/>
  <c r="B958" i="35"/>
  <c r="B959" i="35"/>
  <c r="B960" i="35"/>
  <c r="B961" i="35"/>
  <c r="B962" i="35"/>
  <c r="B963" i="35"/>
  <c r="B964" i="35"/>
  <c r="B965" i="35"/>
  <c r="B966" i="35"/>
  <c r="B967" i="35"/>
  <c r="B968" i="35"/>
  <c r="B969" i="35"/>
  <c r="B970" i="35"/>
  <c r="B971" i="35"/>
  <c r="B972" i="35"/>
  <c r="B973" i="35"/>
  <c r="B974" i="35"/>
  <c r="B975" i="35"/>
  <c r="B976" i="35"/>
  <c r="B977" i="35"/>
  <c r="B978" i="35"/>
  <c r="B979" i="35"/>
  <c r="B980" i="35"/>
  <c r="B981" i="35"/>
  <c r="B982" i="35"/>
  <c r="B983" i="35"/>
  <c r="B984" i="35"/>
  <c r="B985" i="35"/>
  <c r="B986" i="35"/>
  <c r="B987" i="35"/>
  <c r="B988" i="35"/>
  <c r="B989" i="35"/>
  <c r="B990" i="35"/>
  <c r="B991" i="35"/>
  <c r="B992" i="35"/>
  <c r="B993" i="35"/>
  <c r="B994" i="35"/>
  <c r="B995" i="35"/>
  <c r="B996" i="35"/>
  <c r="B997" i="35"/>
  <c r="B998" i="35"/>
  <c r="B999" i="35"/>
  <c r="B1000" i="35"/>
  <c r="B1001" i="35"/>
  <c r="B1002" i="35"/>
  <c r="B1003" i="35"/>
  <c r="B1004" i="35"/>
  <c r="B1005" i="35"/>
  <c r="B1006" i="35"/>
  <c r="B1007" i="35"/>
  <c r="B1008" i="35"/>
  <c r="B1009" i="35"/>
  <c r="B1010" i="35"/>
  <c r="B1011" i="35"/>
  <c r="B1012" i="35"/>
  <c r="B1013" i="35"/>
  <c r="B1014" i="35"/>
  <c r="B1015" i="35"/>
  <c r="B1016" i="35"/>
  <c r="B1017" i="35"/>
  <c r="B1018" i="35"/>
  <c r="B1019" i="35"/>
  <c r="B1020" i="35"/>
  <c r="B1021" i="35"/>
  <c r="B1022" i="35"/>
  <c r="B1023" i="35"/>
  <c r="B1024" i="35"/>
  <c r="B1025" i="35"/>
  <c r="B1026" i="35"/>
  <c r="B1027" i="35"/>
  <c r="B1028" i="35"/>
  <c r="B1029" i="35"/>
  <c r="B1030" i="35"/>
  <c r="B1031" i="35"/>
  <c r="B1032" i="35"/>
  <c r="B1033" i="35"/>
  <c r="B1034" i="35"/>
  <c r="B1035" i="35"/>
  <c r="B1036" i="35"/>
  <c r="B1037" i="35"/>
  <c r="B1038" i="35"/>
  <c r="B1039" i="35"/>
  <c r="B1040" i="35"/>
  <c r="B1041" i="35"/>
  <c r="B1042" i="35"/>
  <c r="B1043" i="35"/>
  <c r="B1044" i="35"/>
  <c r="B1045" i="35"/>
  <c r="B1046" i="35"/>
  <c r="B1047" i="35"/>
  <c r="B1048" i="35"/>
  <c r="B1049" i="35"/>
  <c r="B1050" i="35"/>
  <c r="B1051" i="35"/>
  <c r="B1052" i="35"/>
  <c r="B1053" i="35"/>
  <c r="B1054" i="35"/>
  <c r="B1055" i="35"/>
  <c r="B1056" i="35"/>
  <c r="B1057" i="35"/>
  <c r="B1058" i="35"/>
  <c r="B1059" i="35"/>
  <c r="B1060" i="35"/>
  <c r="B1061" i="35"/>
  <c r="B1062" i="35"/>
  <c r="B1063" i="35"/>
  <c r="B1064" i="35"/>
  <c r="B1065" i="35"/>
  <c r="B1066" i="35"/>
  <c r="B1067" i="35"/>
  <c r="B1068" i="35"/>
  <c r="B1069" i="35"/>
  <c r="B1070" i="35"/>
  <c r="B1071" i="35"/>
  <c r="B1072" i="35"/>
  <c r="B1073" i="35"/>
  <c r="B1074" i="35"/>
  <c r="B1075" i="35"/>
  <c r="B1076" i="35"/>
  <c r="B1077" i="35"/>
  <c r="B1078" i="35"/>
  <c r="B1079" i="35"/>
  <c r="B1080" i="35"/>
  <c r="B1081" i="35"/>
  <c r="B1082" i="35"/>
  <c r="B1083" i="35"/>
  <c r="B1084" i="35"/>
  <c r="B1085" i="35"/>
  <c r="B1086" i="35"/>
  <c r="B1087" i="35"/>
  <c r="B1088" i="35"/>
  <c r="B1089" i="35"/>
  <c r="B1090" i="35"/>
  <c r="B1091" i="35"/>
  <c r="B1092" i="35"/>
  <c r="B1093" i="35"/>
  <c r="B1094" i="35"/>
  <c r="B1095" i="35"/>
  <c r="B1096" i="35"/>
  <c r="B1097" i="35"/>
  <c r="B1098" i="35"/>
  <c r="B1099" i="35"/>
  <c r="B1100" i="35"/>
  <c r="B1101" i="35"/>
  <c r="B1102" i="35"/>
  <c r="B1103" i="35"/>
  <c r="B1104" i="35"/>
  <c r="B1105" i="35"/>
  <c r="B1106" i="35"/>
  <c r="B1107" i="35"/>
  <c r="B1108" i="35"/>
  <c r="B1109" i="35"/>
  <c r="B1110" i="35"/>
  <c r="B1111" i="35"/>
  <c r="B1112" i="35"/>
  <c r="B1113" i="35"/>
  <c r="B1114" i="35"/>
  <c r="B1115" i="35"/>
  <c r="B1116" i="35"/>
  <c r="B1117" i="35"/>
  <c r="B1118" i="35"/>
  <c r="B1119" i="35"/>
  <c r="B1120" i="35"/>
  <c r="B1121" i="35"/>
  <c r="B1122" i="35"/>
  <c r="B1123" i="35"/>
  <c r="B1124" i="35"/>
  <c r="B1125" i="35"/>
  <c r="B1126" i="35"/>
  <c r="B1127" i="35"/>
  <c r="B1128" i="35"/>
  <c r="B1129" i="35"/>
  <c r="B1130" i="35"/>
  <c r="B1131" i="35"/>
  <c r="B1132" i="35"/>
  <c r="B1133" i="35"/>
  <c r="B1134" i="35"/>
  <c r="B1135" i="35"/>
  <c r="B1136" i="35"/>
  <c r="B1137" i="35"/>
  <c r="B1138" i="35"/>
  <c r="B1139" i="35"/>
  <c r="B1140" i="35"/>
  <c r="B1141" i="35"/>
  <c r="B1142" i="35"/>
  <c r="B1143" i="35"/>
  <c r="B1144" i="35"/>
  <c r="B1145" i="35"/>
  <c r="B1146" i="35"/>
  <c r="B1147" i="35"/>
  <c r="B1148" i="35"/>
  <c r="B1149" i="35"/>
  <c r="B1150" i="35"/>
  <c r="B1151" i="35"/>
  <c r="B1152" i="35"/>
  <c r="B1153" i="35"/>
  <c r="B1154" i="35"/>
  <c r="B1155" i="35"/>
  <c r="B1156" i="35"/>
  <c r="B1157" i="35"/>
  <c r="B1158" i="35"/>
  <c r="B1159" i="35"/>
  <c r="B1160" i="35"/>
  <c r="B1161" i="35"/>
  <c r="B1162" i="35"/>
  <c r="B1163" i="35"/>
  <c r="B1164" i="35"/>
  <c r="B1165" i="35"/>
  <c r="B1166" i="35"/>
  <c r="B1167" i="35"/>
  <c r="B1168" i="35"/>
  <c r="B1169" i="35"/>
  <c r="B1170" i="35"/>
  <c r="B1171" i="35"/>
  <c r="B1172" i="35"/>
  <c r="B1173" i="35"/>
  <c r="B1174" i="35"/>
  <c r="B1175" i="35"/>
  <c r="B1176" i="35"/>
  <c r="B1177" i="35"/>
  <c r="B1178" i="35"/>
  <c r="B1179" i="35"/>
  <c r="B1180" i="35"/>
  <c r="B1181" i="35"/>
  <c r="B1182" i="35"/>
  <c r="B1183" i="35"/>
  <c r="B1184" i="35"/>
  <c r="B1185" i="35"/>
  <c r="B1186" i="35"/>
  <c r="B1187" i="35"/>
  <c r="B1188" i="35"/>
  <c r="B1189" i="35"/>
  <c r="B1190" i="35"/>
  <c r="B1191" i="35"/>
  <c r="B1192" i="35"/>
  <c r="B1193" i="35"/>
  <c r="B1194" i="35"/>
  <c r="B1195" i="35"/>
  <c r="B1196" i="35"/>
  <c r="B1197" i="35"/>
  <c r="B1198" i="35"/>
  <c r="B1199" i="35"/>
  <c r="B1200" i="35"/>
  <c r="B1201" i="35"/>
  <c r="B1202" i="35"/>
  <c r="B1203" i="35"/>
  <c r="B1204" i="35"/>
  <c r="B1205" i="35"/>
  <c r="B1206" i="35"/>
  <c r="B1207" i="35"/>
  <c r="B1208" i="35"/>
  <c r="B1209" i="35"/>
  <c r="B1210" i="35"/>
  <c r="B1211" i="35"/>
  <c r="B1212" i="35"/>
  <c r="B1213" i="35"/>
  <c r="B1214" i="35"/>
  <c r="B1215" i="35"/>
  <c r="B1216" i="35"/>
  <c r="B1217" i="35"/>
  <c r="B1218" i="35"/>
  <c r="B1219" i="35"/>
  <c r="B1220" i="35"/>
  <c r="B1221" i="35"/>
  <c r="B1222" i="35"/>
  <c r="B1223" i="35"/>
  <c r="B1224" i="35"/>
  <c r="B1225" i="35"/>
  <c r="B1226" i="35"/>
  <c r="B1227" i="35"/>
  <c r="B1228" i="35"/>
  <c r="B1229" i="35"/>
  <c r="B1230" i="35"/>
  <c r="B1231" i="35"/>
  <c r="B1232" i="35"/>
  <c r="B1233" i="35"/>
  <c r="B1234" i="35"/>
  <c r="B1235" i="35"/>
  <c r="B1236" i="35"/>
  <c r="B1237" i="35"/>
  <c r="B1238" i="35"/>
  <c r="B1239" i="35"/>
  <c r="B1240" i="35"/>
  <c r="B1241" i="35"/>
  <c r="B1242" i="35"/>
  <c r="B1243" i="35"/>
  <c r="B1244" i="35"/>
  <c r="B1245" i="35"/>
  <c r="B1246" i="35"/>
  <c r="B1247" i="35"/>
  <c r="B1248" i="35"/>
  <c r="B1249" i="35"/>
  <c r="B1250" i="35"/>
  <c r="B1251" i="35"/>
  <c r="B1252" i="35"/>
  <c r="B1253" i="35"/>
  <c r="B1254" i="35"/>
  <c r="B1255" i="35"/>
  <c r="B1256" i="35"/>
  <c r="B1257" i="35"/>
  <c r="B1258" i="35"/>
  <c r="B1259" i="35"/>
  <c r="B1260" i="35"/>
  <c r="B1261" i="35"/>
  <c r="B1262" i="35"/>
  <c r="B1263" i="35"/>
  <c r="B1264" i="35"/>
  <c r="B1265" i="35"/>
  <c r="B1266" i="35"/>
  <c r="B1267" i="35"/>
  <c r="B1268" i="35"/>
  <c r="B1269" i="35"/>
  <c r="B1270" i="35"/>
  <c r="B1271" i="35"/>
  <c r="B1272" i="35"/>
  <c r="B1273" i="35"/>
  <c r="B1274" i="35"/>
  <c r="B1275" i="35"/>
  <c r="B1276" i="35"/>
  <c r="B1277" i="35"/>
  <c r="B1278" i="35"/>
  <c r="B1279" i="35"/>
  <c r="B1280" i="35"/>
  <c r="B1281" i="35"/>
  <c r="B1282" i="35"/>
  <c r="B1283" i="35"/>
  <c r="B1284" i="35"/>
  <c r="B1285" i="35"/>
  <c r="B1286" i="35"/>
  <c r="B1287" i="35"/>
  <c r="B1288" i="35"/>
  <c r="B1289" i="35"/>
  <c r="B1290" i="35"/>
  <c r="B1291" i="35"/>
  <c r="B1292" i="35"/>
  <c r="B1293" i="35"/>
  <c r="B1294" i="35"/>
  <c r="B1295" i="35"/>
  <c r="B1296" i="35"/>
  <c r="B1297" i="35"/>
  <c r="B1298" i="35"/>
  <c r="B1299" i="35"/>
  <c r="B1300" i="35"/>
  <c r="B1301" i="35"/>
  <c r="B1302" i="35"/>
  <c r="B1303" i="35"/>
  <c r="B1304" i="35"/>
  <c r="B1305" i="35"/>
  <c r="B1306" i="35"/>
  <c r="B1307" i="35"/>
  <c r="B1308" i="35"/>
  <c r="B1309" i="35"/>
  <c r="B1310" i="35"/>
  <c r="B1311" i="35"/>
  <c r="B1312" i="35"/>
  <c r="B1313" i="35"/>
  <c r="B1314" i="35"/>
  <c r="B1315" i="35"/>
  <c r="B1316" i="35"/>
  <c r="B1317" i="35"/>
  <c r="B1318" i="35"/>
  <c r="B1319" i="35"/>
  <c r="B1320" i="35"/>
  <c r="B1321" i="35"/>
  <c r="B1322" i="35"/>
  <c r="B1323" i="35"/>
  <c r="B1324" i="35"/>
  <c r="B1325" i="35"/>
  <c r="B1326" i="35"/>
  <c r="B1327" i="35"/>
  <c r="B1328" i="35"/>
  <c r="B1329" i="35"/>
  <c r="B1330" i="35"/>
  <c r="B1331" i="35"/>
  <c r="B1332" i="35"/>
  <c r="B1333" i="35"/>
  <c r="B1334" i="35"/>
  <c r="B1335" i="35"/>
  <c r="B1336" i="35"/>
  <c r="B1337" i="35"/>
  <c r="B1338" i="35"/>
  <c r="B1339" i="35"/>
  <c r="B1340" i="35"/>
  <c r="B1341" i="35"/>
  <c r="B1342" i="35"/>
  <c r="B1343" i="35"/>
  <c r="B1344" i="35"/>
  <c r="B1345" i="35"/>
  <c r="B1346" i="35"/>
  <c r="B1347" i="35"/>
  <c r="B1348" i="35"/>
  <c r="B1349" i="35"/>
  <c r="B1350" i="35"/>
  <c r="B1351" i="35"/>
  <c r="B1352" i="35"/>
  <c r="B1353" i="35"/>
  <c r="B1354" i="35"/>
  <c r="B1355" i="35"/>
  <c r="B1356" i="35"/>
  <c r="B1357" i="35"/>
  <c r="B1358" i="35"/>
  <c r="B1359" i="35"/>
  <c r="B1360" i="35"/>
  <c r="B1361" i="35"/>
  <c r="B1362" i="35"/>
  <c r="B1363" i="35"/>
  <c r="B1364" i="35"/>
  <c r="B1365" i="35"/>
  <c r="B1366" i="35"/>
  <c r="B1367" i="35"/>
  <c r="B1368" i="35"/>
  <c r="B1369" i="35"/>
  <c r="B1370" i="35"/>
  <c r="B1371" i="35"/>
  <c r="B1372" i="35"/>
  <c r="B1373" i="35"/>
  <c r="B1374" i="35"/>
  <c r="B1375" i="35"/>
  <c r="B1376" i="35"/>
  <c r="B1377" i="35"/>
  <c r="B1378" i="35"/>
  <c r="B1379" i="35"/>
  <c r="B1380" i="35"/>
  <c r="B1381" i="35"/>
  <c r="B1382" i="35"/>
  <c r="B1383" i="35"/>
  <c r="B1384" i="35"/>
  <c r="B1385" i="35"/>
  <c r="B1386" i="35"/>
  <c r="B1387" i="35"/>
  <c r="B1388" i="35"/>
  <c r="B1389" i="35"/>
  <c r="B1390" i="35"/>
  <c r="B1391" i="35"/>
  <c r="B1392" i="35"/>
  <c r="B1393" i="35"/>
  <c r="B1394" i="35"/>
  <c r="B1395" i="35"/>
  <c r="B1396" i="35"/>
  <c r="B1397" i="35"/>
  <c r="B1398" i="35"/>
  <c r="B1399" i="35"/>
  <c r="B1400" i="35"/>
  <c r="B1401" i="35"/>
  <c r="B1402" i="35"/>
  <c r="B1403" i="35"/>
  <c r="B1404" i="35"/>
  <c r="B1405" i="35"/>
  <c r="B1406" i="35"/>
  <c r="B1407" i="35"/>
  <c r="B1408" i="35"/>
  <c r="B1409" i="35"/>
  <c r="B1410" i="35"/>
  <c r="B1411" i="35"/>
  <c r="B1412" i="35"/>
  <c r="B1413" i="35"/>
  <c r="B1414" i="35"/>
  <c r="B1415" i="35"/>
  <c r="B1416" i="35"/>
  <c r="B1417" i="35"/>
  <c r="B1418" i="35"/>
  <c r="B1419" i="35"/>
  <c r="B1420" i="35"/>
  <c r="B1421" i="35"/>
  <c r="B1422" i="35"/>
  <c r="B1423" i="35"/>
  <c r="B1424" i="35"/>
  <c r="B1425" i="35"/>
  <c r="B1426" i="35"/>
  <c r="B1427" i="35"/>
  <c r="B1428" i="35"/>
  <c r="B1429" i="35"/>
  <c r="B1430" i="35"/>
  <c r="B1431" i="35"/>
  <c r="B1432" i="35"/>
  <c r="B1433" i="35"/>
  <c r="B1434" i="35"/>
  <c r="B1435" i="35"/>
  <c r="B1436" i="35"/>
  <c r="B1437" i="35"/>
  <c r="B1438" i="35"/>
  <c r="B1439" i="35"/>
  <c r="B1440" i="35"/>
  <c r="B1441" i="35"/>
  <c r="B1442" i="35"/>
  <c r="B1443" i="35"/>
  <c r="B1444" i="35"/>
  <c r="B1445" i="35"/>
  <c r="B1446" i="35"/>
  <c r="B1447" i="35"/>
  <c r="B1448" i="35"/>
  <c r="B1449" i="35"/>
  <c r="B1450" i="35"/>
  <c r="B1451" i="35"/>
  <c r="B1452" i="35"/>
  <c r="B1453" i="35"/>
  <c r="B1454" i="35"/>
  <c r="B1455" i="35"/>
  <c r="B1456" i="35"/>
  <c r="B1457" i="35"/>
  <c r="B1458" i="35"/>
  <c r="B1459" i="35"/>
  <c r="B1460" i="35"/>
  <c r="B1461" i="35"/>
  <c r="B1462" i="35"/>
  <c r="B1463" i="35"/>
  <c r="B1464" i="35"/>
  <c r="B1465" i="35"/>
  <c r="B1466" i="35"/>
  <c r="B1467" i="35"/>
  <c r="B1468" i="35"/>
  <c r="B1469" i="35"/>
  <c r="B1470" i="35"/>
  <c r="B1471" i="35"/>
  <c r="B1472" i="35"/>
  <c r="B1473" i="35"/>
  <c r="B1474" i="35"/>
  <c r="B1475" i="35"/>
  <c r="B1476" i="35"/>
  <c r="B1477" i="35"/>
  <c r="B1478" i="35"/>
  <c r="B1479" i="35"/>
  <c r="B1480" i="35"/>
  <c r="B1481" i="35"/>
  <c r="B1482" i="35"/>
  <c r="B1483" i="35"/>
  <c r="B1484" i="35"/>
  <c r="B1485" i="35"/>
  <c r="B1486" i="35"/>
  <c r="B1487" i="35"/>
  <c r="B1488" i="35"/>
  <c r="B1489" i="35"/>
  <c r="B1490" i="35"/>
  <c r="B1491" i="35"/>
  <c r="B1492" i="35"/>
  <c r="B1493" i="35"/>
  <c r="B1494" i="35"/>
  <c r="B1495" i="35"/>
  <c r="B1496" i="35"/>
  <c r="B1497" i="35"/>
  <c r="B1498" i="35"/>
  <c r="B1499" i="35"/>
  <c r="B1500" i="35"/>
  <c r="B1501" i="35"/>
  <c r="B1502" i="35"/>
  <c r="B1503" i="35"/>
  <c r="B1504" i="35"/>
  <c r="B1505" i="35"/>
  <c r="B1506" i="35"/>
  <c r="B1507" i="35"/>
  <c r="B1508" i="35"/>
  <c r="B1509" i="35"/>
  <c r="B1510" i="35"/>
  <c r="B1511" i="35"/>
  <c r="B1512" i="35"/>
  <c r="B1513" i="35"/>
  <c r="B1514" i="35"/>
  <c r="B1515" i="35"/>
  <c r="B1516" i="35"/>
  <c r="B1517" i="35"/>
  <c r="B1518" i="35"/>
  <c r="B1519" i="35"/>
  <c r="B1520" i="35"/>
  <c r="B1521" i="35"/>
  <c r="B1522" i="35"/>
  <c r="B1523" i="35"/>
  <c r="B1524" i="35"/>
  <c r="B1525" i="35"/>
  <c r="B1526" i="35"/>
  <c r="B1527" i="35"/>
  <c r="B1528" i="35"/>
  <c r="B1529" i="35"/>
  <c r="B1530" i="35"/>
  <c r="B1531" i="35"/>
  <c r="B1532" i="35"/>
  <c r="B1533" i="35"/>
  <c r="B1534" i="35"/>
  <c r="B1535" i="35"/>
  <c r="B1536" i="35"/>
  <c r="B1537" i="35"/>
  <c r="B1538" i="35"/>
  <c r="B1539" i="35"/>
  <c r="B1540" i="35"/>
  <c r="B1541" i="35"/>
  <c r="B1542" i="35"/>
  <c r="B1543" i="35"/>
  <c r="B1544" i="35"/>
  <c r="B1545" i="35"/>
  <c r="B1546" i="35"/>
  <c r="B1547" i="35"/>
  <c r="B1548" i="35"/>
  <c r="B1549" i="35"/>
  <c r="B1550" i="35"/>
  <c r="B1551" i="35"/>
  <c r="B1552" i="35"/>
  <c r="B1553" i="35"/>
  <c r="B1554" i="35"/>
  <c r="B1555" i="35"/>
  <c r="B1556" i="35"/>
  <c r="B1557" i="35"/>
  <c r="B4" i="33" l="1"/>
  <c r="B4" i="23" l="1"/>
  <c r="B4" i="1"/>
  <c r="H4" i="33" l="1"/>
  <c r="H4" i="23"/>
  <c r="H4" i="1"/>
  <c r="G4" i="33"/>
  <c r="G4" i="23"/>
  <c r="G4" i="1"/>
  <c r="C4" i="33"/>
  <c r="C4" i="23"/>
  <c r="C4" i="1"/>
  <c r="D4" i="33"/>
  <c r="D4" i="23"/>
  <c r="D4" i="1"/>
  <c r="F4" i="33" l="1"/>
  <c r="F4" i="23"/>
  <c r="F4" i="1"/>
  <c r="E4" i="33"/>
  <c r="E4" i="23"/>
  <c r="E4" i="1"/>
  <c r="I4" i="33"/>
  <c r="I4" i="23"/>
  <c r="I4" i="1"/>
  <c r="A1010" i="37"/>
  <c r="A1009" i="37"/>
  <c r="A1008" i="37"/>
  <c r="A1007" i="37"/>
  <c r="A1006" i="37"/>
  <c r="A1005" i="37"/>
  <c r="A1004" i="37"/>
  <c r="A1003" i="37"/>
  <c r="A1002" i="37"/>
  <c r="A1001" i="37"/>
  <c r="A1000" i="37"/>
  <c r="A999" i="37"/>
  <c r="A998" i="37"/>
  <c r="A997" i="37"/>
  <c r="A996" i="37"/>
  <c r="A995" i="37"/>
  <c r="A994" i="37"/>
  <c r="A993" i="37"/>
  <c r="A992" i="37"/>
  <c r="A991" i="37"/>
  <c r="A990" i="37"/>
  <c r="A989" i="37"/>
  <c r="A988" i="37"/>
  <c r="A987" i="37"/>
  <c r="A986" i="37"/>
  <c r="A985" i="37"/>
  <c r="A984" i="37"/>
  <c r="A983" i="37"/>
  <c r="A982" i="37"/>
  <c r="A981" i="37"/>
  <c r="A980" i="37"/>
  <c r="A979" i="37"/>
  <c r="A978" i="37"/>
  <c r="A977" i="37"/>
  <c r="A976" i="37"/>
  <c r="A975" i="37"/>
  <c r="A974" i="37"/>
  <c r="A973" i="37"/>
  <c r="A972" i="37"/>
  <c r="A971" i="37"/>
  <c r="A970" i="37"/>
  <c r="A969" i="37"/>
  <c r="A968" i="37"/>
  <c r="A967" i="37"/>
  <c r="A966" i="37"/>
  <c r="A965" i="37"/>
  <c r="A964" i="37"/>
  <c r="A963" i="37"/>
  <c r="A962" i="37"/>
  <c r="A961" i="37"/>
  <c r="A960" i="37"/>
  <c r="A959" i="37"/>
  <c r="A958" i="37"/>
  <c r="A957" i="37"/>
  <c r="A956" i="37"/>
  <c r="A955" i="37"/>
  <c r="A954" i="37"/>
  <c r="A953" i="37"/>
  <c r="A952" i="37"/>
  <c r="A951" i="37"/>
  <c r="A950" i="37"/>
  <c r="A949" i="37"/>
  <c r="A948" i="37"/>
  <c r="A947" i="37"/>
  <c r="A946" i="37"/>
  <c r="A945" i="37"/>
  <c r="A944" i="37"/>
  <c r="A943" i="37"/>
  <c r="A942" i="37"/>
  <c r="A941" i="37"/>
  <c r="A940" i="37"/>
  <c r="A939" i="37"/>
  <c r="A938" i="37"/>
  <c r="A937" i="37"/>
  <c r="A936" i="37"/>
  <c r="A935" i="37"/>
  <c r="A934" i="37"/>
  <c r="A933" i="37"/>
  <c r="A932" i="37"/>
  <c r="A931" i="37"/>
  <c r="A930" i="37"/>
  <c r="A929" i="37"/>
  <c r="A928" i="37"/>
  <c r="A927" i="37"/>
  <c r="A926" i="37"/>
  <c r="A925" i="37"/>
  <c r="A924" i="37"/>
  <c r="A923" i="37"/>
  <c r="A922" i="37"/>
  <c r="A921" i="37"/>
  <c r="A920" i="37"/>
  <c r="A919" i="37"/>
  <c r="A918" i="37"/>
  <c r="A917" i="37"/>
  <c r="A916" i="37"/>
  <c r="A915" i="37"/>
  <c r="A914" i="37"/>
  <c r="A913" i="37"/>
  <c r="A912" i="37"/>
  <c r="A911" i="37"/>
  <c r="A910" i="37"/>
  <c r="A909" i="37"/>
  <c r="A908" i="37"/>
  <c r="A907" i="37"/>
  <c r="A906" i="37"/>
  <c r="A905" i="37"/>
  <c r="A904" i="37"/>
  <c r="A903" i="37"/>
  <c r="A902" i="37"/>
  <c r="A901" i="37"/>
  <c r="A900" i="37"/>
  <c r="A899" i="37"/>
  <c r="A898" i="37"/>
  <c r="A897" i="37"/>
  <c r="A896" i="37"/>
  <c r="A895" i="37"/>
  <c r="A894" i="37"/>
  <c r="A893" i="37"/>
  <c r="A892" i="37"/>
  <c r="A891" i="37"/>
  <c r="A890" i="37"/>
  <c r="A889" i="37"/>
  <c r="A888" i="37"/>
  <c r="A887" i="37"/>
  <c r="A886" i="37"/>
  <c r="A885" i="37"/>
  <c r="A884" i="37"/>
  <c r="A883" i="37"/>
  <c r="A882" i="37"/>
  <c r="A881" i="37"/>
  <c r="A880" i="37"/>
  <c r="A879" i="37"/>
  <c r="A878" i="37"/>
  <c r="A877" i="37"/>
  <c r="A876" i="37"/>
  <c r="A875" i="37"/>
  <c r="A874" i="37"/>
  <c r="A873" i="37"/>
  <c r="A872" i="37"/>
  <c r="A871" i="37"/>
  <c r="A870" i="37"/>
  <c r="A869" i="37"/>
  <c r="A868" i="37"/>
  <c r="A867" i="37"/>
  <c r="A866" i="37"/>
  <c r="A865" i="37"/>
  <c r="A864" i="37"/>
  <c r="A863" i="37"/>
  <c r="A862" i="37"/>
  <c r="A861" i="37"/>
  <c r="A860" i="37"/>
  <c r="A859" i="37"/>
  <c r="A858" i="37"/>
  <c r="A857" i="37"/>
  <c r="A856" i="37"/>
  <c r="A855" i="37"/>
  <c r="A854" i="37"/>
  <c r="A853" i="37"/>
  <c r="A852" i="37"/>
  <c r="A851" i="37"/>
  <c r="A850" i="37"/>
  <c r="A849" i="37"/>
  <c r="A848" i="37"/>
  <c r="A847" i="37"/>
  <c r="A846" i="37"/>
  <c r="A845" i="37"/>
  <c r="A844" i="37"/>
  <c r="A843" i="37"/>
  <c r="A842" i="37"/>
  <c r="A841" i="37"/>
  <c r="A840" i="37"/>
  <c r="A839" i="37"/>
  <c r="A838" i="37"/>
  <c r="A837" i="37"/>
  <c r="A836" i="37"/>
  <c r="A835" i="37"/>
  <c r="A834" i="37"/>
  <c r="A833" i="37"/>
  <c r="A832" i="37"/>
  <c r="A831" i="37"/>
  <c r="A830" i="37"/>
  <c r="A829" i="37"/>
  <c r="A828" i="37"/>
  <c r="A827" i="37"/>
  <c r="A826" i="37"/>
  <c r="A825" i="37"/>
  <c r="A824" i="37"/>
  <c r="A823" i="37"/>
  <c r="A822" i="37"/>
  <c r="A821" i="37"/>
  <c r="A820" i="37"/>
  <c r="A819" i="37"/>
  <c r="A818" i="37"/>
  <c r="A817" i="37"/>
  <c r="A816" i="37"/>
  <c r="A815" i="37"/>
  <c r="A814" i="37"/>
  <c r="A813" i="37"/>
  <c r="A812" i="37"/>
  <c r="A811" i="37"/>
  <c r="A810" i="37"/>
  <c r="A809" i="37"/>
  <c r="A808" i="37"/>
  <c r="A807" i="37"/>
  <c r="A806" i="37"/>
  <c r="A805" i="37"/>
  <c r="A804" i="37"/>
  <c r="A803" i="37"/>
  <c r="A802" i="37"/>
  <c r="A801" i="37"/>
  <c r="A800" i="37"/>
  <c r="A799" i="37"/>
  <c r="A798" i="37"/>
  <c r="A797" i="37"/>
  <c r="A796" i="37"/>
  <c r="A795" i="37"/>
  <c r="A794" i="37"/>
  <c r="A793" i="37"/>
  <c r="A792" i="37"/>
  <c r="A791" i="37"/>
  <c r="A790" i="37"/>
  <c r="A789" i="37"/>
  <c r="A788" i="37"/>
  <c r="A787" i="37"/>
  <c r="A786" i="37"/>
  <c r="A785" i="37"/>
  <c r="A784" i="37"/>
  <c r="A783" i="37"/>
  <c r="A782" i="37"/>
  <c r="A781" i="37"/>
  <c r="A780" i="37"/>
  <c r="A779" i="37"/>
  <c r="A778" i="37"/>
  <c r="A777" i="37"/>
  <c r="A776" i="37"/>
  <c r="A775" i="37"/>
  <c r="A774" i="37"/>
  <c r="A773" i="37"/>
  <c r="A772" i="37"/>
  <c r="A771" i="37"/>
  <c r="A770" i="37"/>
  <c r="A769" i="37"/>
  <c r="A768" i="37"/>
  <c r="A767" i="37"/>
  <c r="A766" i="37"/>
  <c r="A765" i="37"/>
  <c r="A764" i="37"/>
  <c r="A763" i="37"/>
  <c r="A762" i="37"/>
  <c r="A761" i="37"/>
  <c r="A760" i="37"/>
  <c r="A759" i="37"/>
  <c r="A758" i="37"/>
  <c r="A757" i="37"/>
  <c r="A756" i="37"/>
  <c r="A755" i="37"/>
  <c r="A754" i="37"/>
  <c r="A753" i="37"/>
  <c r="A752" i="37"/>
  <c r="A751" i="37"/>
  <c r="A750" i="37"/>
  <c r="A749" i="37"/>
  <c r="A748" i="37"/>
  <c r="A747" i="37"/>
  <c r="A746" i="37"/>
  <c r="A745" i="37"/>
  <c r="A744" i="37"/>
  <c r="A743" i="37"/>
  <c r="A742" i="37"/>
  <c r="A741" i="37"/>
  <c r="A740" i="37"/>
  <c r="A739" i="37"/>
  <c r="A738" i="37"/>
  <c r="A737" i="37"/>
  <c r="A736" i="37"/>
  <c r="A735" i="37"/>
  <c r="A734" i="37"/>
  <c r="A733" i="37"/>
  <c r="A732" i="37"/>
  <c r="A731" i="37"/>
  <c r="A730" i="37"/>
  <c r="A729" i="37"/>
  <c r="A728" i="37"/>
  <c r="A727" i="37"/>
  <c r="A726" i="37"/>
  <c r="A725" i="37"/>
  <c r="A724" i="37"/>
  <c r="A723" i="37"/>
  <c r="A722" i="37"/>
  <c r="A721" i="37"/>
  <c r="A720" i="37"/>
  <c r="A719" i="37"/>
  <c r="A718" i="37"/>
  <c r="A717" i="37"/>
  <c r="A716" i="37"/>
  <c r="A715" i="37"/>
  <c r="A714" i="37"/>
  <c r="A713" i="37"/>
  <c r="A712" i="37"/>
  <c r="A711" i="37"/>
  <c r="A710" i="37"/>
  <c r="A709" i="37"/>
  <c r="A708" i="37"/>
  <c r="A707" i="37"/>
  <c r="A706" i="37"/>
  <c r="A705" i="37"/>
  <c r="A704" i="37"/>
  <c r="A703" i="37"/>
  <c r="A702" i="37"/>
  <c r="A701" i="37"/>
  <c r="A700" i="37"/>
  <c r="A699" i="37"/>
  <c r="A698" i="37"/>
  <c r="A697" i="37"/>
  <c r="A696" i="37"/>
  <c r="A695" i="37"/>
  <c r="A694" i="37"/>
  <c r="A693" i="37"/>
  <c r="A692" i="37"/>
  <c r="A691" i="37"/>
  <c r="A690" i="37"/>
  <c r="A689" i="37"/>
  <c r="A688" i="37"/>
  <c r="A687" i="37"/>
  <c r="A686" i="37"/>
  <c r="A685" i="37"/>
  <c r="A684" i="37"/>
  <c r="A683" i="37"/>
  <c r="A682" i="37"/>
  <c r="A681" i="37"/>
  <c r="A680" i="37"/>
  <c r="A679" i="37"/>
  <c r="A678" i="37"/>
  <c r="A677" i="37"/>
  <c r="A676" i="37"/>
  <c r="A675" i="37"/>
  <c r="A674" i="37"/>
  <c r="A673" i="37"/>
  <c r="A672" i="37"/>
  <c r="A671" i="37"/>
  <c r="A670" i="37"/>
  <c r="A669" i="37"/>
  <c r="A668" i="37"/>
  <c r="A667" i="37"/>
  <c r="A666" i="37"/>
  <c r="A665" i="37"/>
  <c r="A664" i="37"/>
  <c r="A663" i="37"/>
  <c r="A662" i="37"/>
  <c r="A661" i="37"/>
  <c r="A660" i="37"/>
  <c r="A659" i="37"/>
  <c r="A658" i="37"/>
  <c r="A657" i="37"/>
  <c r="A656" i="37"/>
  <c r="A655" i="37"/>
  <c r="A654" i="37"/>
  <c r="A653" i="37"/>
  <c r="A652" i="37"/>
  <c r="A651" i="37"/>
  <c r="A650" i="37"/>
  <c r="A649" i="37"/>
  <c r="A648" i="37"/>
  <c r="A647" i="37"/>
  <c r="A646" i="37"/>
  <c r="A645" i="37"/>
  <c r="A644" i="37"/>
  <c r="A643" i="37"/>
  <c r="A642" i="37"/>
  <c r="A641" i="37"/>
  <c r="A640" i="37"/>
  <c r="A639" i="37"/>
  <c r="A638" i="37"/>
  <c r="A637" i="37"/>
  <c r="A636" i="37"/>
  <c r="A635" i="37"/>
  <c r="A634" i="37"/>
  <c r="A633" i="37"/>
  <c r="A632" i="37"/>
  <c r="A631" i="37"/>
  <c r="A630" i="37"/>
  <c r="A629" i="37"/>
  <c r="A628" i="37"/>
  <c r="A627" i="37"/>
  <c r="A626" i="37"/>
  <c r="A625" i="37"/>
  <c r="A624" i="37"/>
  <c r="A623" i="37"/>
  <c r="A622" i="37"/>
  <c r="A621" i="37"/>
  <c r="A620" i="37"/>
  <c r="A619" i="37"/>
  <c r="A618" i="37"/>
  <c r="A617" i="37"/>
  <c r="A616" i="37"/>
  <c r="A615" i="37"/>
  <c r="A614" i="37"/>
  <c r="A613" i="37"/>
  <c r="A612" i="37"/>
  <c r="A611" i="37"/>
  <c r="A610" i="37"/>
  <c r="A609" i="37"/>
  <c r="A608" i="37"/>
  <c r="A607" i="37"/>
  <c r="A606" i="37"/>
  <c r="A605" i="37"/>
  <c r="A604" i="37"/>
  <c r="A603" i="37"/>
  <c r="A602" i="37"/>
  <c r="A601" i="37"/>
  <c r="A600" i="37"/>
  <c r="A599" i="37"/>
  <c r="A598" i="37"/>
  <c r="A597" i="37"/>
  <c r="A596" i="37"/>
  <c r="A595" i="37"/>
  <c r="A594" i="37"/>
  <c r="A593" i="37"/>
  <c r="A592" i="37"/>
  <c r="A591" i="37"/>
  <c r="A590" i="37"/>
  <c r="A589" i="37"/>
  <c r="A588" i="37"/>
  <c r="A587" i="37"/>
  <c r="A586" i="37"/>
  <c r="A585" i="37"/>
  <c r="A584" i="37"/>
  <c r="A583" i="37"/>
  <c r="A582" i="37"/>
  <c r="A581" i="37"/>
  <c r="A580" i="37"/>
  <c r="A579" i="37"/>
  <c r="A578" i="37"/>
  <c r="A577" i="37"/>
  <c r="A576" i="37"/>
  <c r="A575" i="37"/>
  <c r="A574" i="37"/>
  <c r="A573" i="37"/>
  <c r="A572" i="37"/>
  <c r="A571" i="37"/>
  <c r="A570" i="37"/>
  <c r="A569" i="37"/>
  <c r="A568" i="37"/>
  <c r="A567" i="37"/>
  <c r="A566" i="37"/>
  <c r="A565" i="37"/>
  <c r="A564" i="37"/>
  <c r="A563" i="37"/>
  <c r="A562" i="37"/>
  <c r="A561" i="37"/>
  <c r="A560" i="37"/>
  <c r="A559" i="37"/>
  <c r="A558" i="37"/>
  <c r="A557" i="37"/>
  <c r="A556" i="37"/>
  <c r="A555" i="37"/>
  <c r="A554" i="37"/>
  <c r="A553" i="37"/>
  <c r="A552" i="37"/>
  <c r="A551" i="37"/>
  <c r="A550" i="37"/>
  <c r="A549" i="37"/>
  <c r="A548" i="37"/>
  <c r="A547" i="37"/>
  <c r="A546" i="37"/>
  <c r="A545" i="37"/>
  <c r="A544" i="37"/>
  <c r="A543" i="37"/>
  <c r="A542" i="37"/>
  <c r="A541" i="37"/>
  <c r="A540" i="37"/>
  <c r="A539" i="37"/>
  <c r="A538" i="37"/>
  <c r="A537" i="37"/>
  <c r="A536" i="37"/>
  <c r="A535" i="37"/>
  <c r="A534" i="37"/>
  <c r="A533" i="37"/>
  <c r="A532" i="37"/>
  <c r="A531" i="37"/>
  <c r="A530" i="37"/>
  <c r="A529" i="37"/>
  <c r="A528" i="37"/>
  <c r="A527" i="37"/>
  <c r="A526" i="37"/>
  <c r="A525" i="37"/>
  <c r="A524" i="37"/>
  <c r="A523" i="37"/>
  <c r="A522" i="37"/>
  <c r="A521" i="37"/>
  <c r="A520" i="37"/>
  <c r="A519" i="37"/>
  <c r="A518" i="37"/>
  <c r="A517" i="37"/>
  <c r="A516" i="37"/>
  <c r="A515" i="37"/>
  <c r="A514" i="37"/>
  <c r="A513" i="37"/>
  <c r="A512" i="37"/>
  <c r="A511" i="37"/>
  <c r="A510" i="37"/>
  <c r="A509" i="37"/>
  <c r="A508" i="37"/>
  <c r="A507" i="37"/>
  <c r="A506" i="37"/>
  <c r="A505" i="37"/>
  <c r="A504" i="37"/>
  <c r="A503" i="37"/>
  <c r="A502" i="37"/>
  <c r="A501" i="37"/>
  <c r="A500" i="37"/>
  <c r="A499" i="37"/>
  <c r="A498" i="37"/>
  <c r="A497" i="37"/>
  <c r="A496" i="37"/>
  <c r="A495" i="37"/>
  <c r="A494" i="37"/>
  <c r="A493" i="37"/>
  <c r="A492" i="37"/>
  <c r="A491" i="37"/>
  <c r="A490" i="37"/>
  <c r="A489" i="37"/>
  <c r="A488" i="37"/>
  <c r="A487" i="37"/>
  <c r="A486" i="37"/>
  <c r="A485" i="37"/>
  <c r="A484" i="37"/>
  <c r="A483" i="37"/>
  <c r="A482" i="37"/>
  <c r="A481" i="37"/>
  <c r="A480" i="37"/>
  <c r="A479" i="37"/>
  <c r="A478" i="37"/>
  <c r="A477" i="37"/>
  <c r="A476" i="37"/>
  <c r="A475" i="37"/>
  <c r="A474" i="37"/>
  <c r="A473" i="37"/>
  <c r="A472" i="37"/>
  <c r="A471" i="37"/>
  <c r="A470" i="37"/>
  <c r="A469" i="37"/>
  <c r="A468" i="37"/>
  <c r="A467" i="37"/>
  <c r="A466" i="37"/>
  <c r="A465" i="37"/>
  <c r="A464" i="37"/>
  <c r="A463" i="37"/>
  <c r="A462" i="37"/>
  <c r="A461" i="37"/>
  <c r="A460" i="37"/>
  <c r="A459" i="37"/>
  <c r="A458" i="37"/>
  <c r="A457" i="37"/>
  <c r="A456" i="37"/>
  <c r="A455" i="37"/>
  <c r="A454" i="37"/>
  <c r="A453" i="37"/>
  <c r="A452" i="37"/>
  <c r="A451" i="37"/>
  <c r="A450" i="37"/>
  <c r="A449" i="37"/>
  <c r="A448" i="37"/>
  <c r="A447" i="37"/>
  <c r="A446" i="37"/>
  <c r="A445" i="37"/>
  <c r="A444" i="37"/>
  <c r="A443" i="37"/>
  <c r="A442" i="37"/>
  <c r="A441" i="37"/>
  <c r="A440" i="37"/>
  <c r="A439" i="37"/>
  <c r="A438" i="37"/>
  <c r="A437" i="37"/>
  <c r="A436" i="37"/>
  <c r="A435" i="37"/>
  <c r="A434" i="37"/>
  <c r="A433" i="37"/>
  <c r="A432" i="37"/>
  <c r="A431" i="37"/>
  <c r="A430" i="37"/>
  <c r="A429" i="37"/>
  <c r="A428" i="37"/>
  <c r="A427" i="37"/>
  <c r="A426" i="37"/>
  <c r="A425" i="37"/>
  <c r="A424" i="37"/>
  <c r="A423" i="37"/>
  <c r="A422" i="37"/>
  <c r="A421" i="37"/>
  <c r="A420" i="37"/>
  <c r="A419" i="37"/>
  <c r="A418" i="37"/>
  <c r="A417" i="37"/>
  <c r="A416" i="37"/>
  <c r="A415" i="37"/>
  <c r="A414" i="37"/>
  <c r="A413" i="37"/>
  <c r="A412" i="37"/>
  <c r="A411" i="37"/>
  <c r="A410" i="37"/>
  <c r="A409" i="37"/>
  <c r="A408" i="37"/>
  <c r="A407" i="37"/>
  <c r="A406" i="37"/>
  <c r="A405" i="37"/>
  <c r="A404" i="37"/>
  <c r="A403" i="37"/>
  <c r="A402" i="37"/>
  <c r="A401" i="37"/>
  <c r="A400" i="37"/>
  <c r="A399" i="37"/>
  <c r="A398" i="37"/>
  <c r="A397" i="37"/>
  <c r="A396" i="37"/>
  <c r="A395" i="37"/>
  <c r="A394" i="37"/>
  <c r="A393" i="37"/>
  <c r="A392" i="37"/>
  <c r="A391" i="37"/>
  <c r="A390" i="37"/>
  <c r="A389" i="37"/>
  <c r="A388" i="37"/>
  <c r="A387" i="37"/>
  <c r="A386" i="37"/>
  <c r="A385" i="37"/>
  <c r="A384" i="37"/>
  <c r="A383" i="37"/>
  <c r="A382" i="37"/>
  <c r="A381" i="37"/>
  <c r="A380" i="37"/>
  <c r="A379" i="37"/>
  <c r="A378" i="37"/>
  <c r="A377" i="37"/>
  <c r="A376" i="37"/>
  <c r="A375" i="37"/>
  <c r="A374" i="37"/>
  <c r="A373" i="37"/>
  <c r="A372" i="37"/>
  <c r="A371" i="37"/>
  <c r="A370" i="37"/>
  <c r="A369" i="37"/>
  <c r="A368" i="37"/>
  <c r="A367" i="37"/>
  <c r="A366" i="37"/>
  <c r="A365" i="37"/>
  <c r="A364" i="37"/>
  <c r="A363" i="37"/>
  <c r="A362" i="37"/>
  <c r="A361" i="37"/>
  <c r="A360" i="37"/>
  <c r="A359" i="37"/>
  <c r="A358" i="37"/>
  <c r="A357" i="37"/>
  <c r="A356" i="37"/>
  <c r="A355" i="37"/>
  <c r="A354" i="37"/>
  <c r="A353" i="37"/>
  <c r="A352" i="37"/>
  <c r="A351" i="37"/>
  <c r="A350" i="37"/>
  <c r="A349" i="37"/>
  <c r="A348" i="37"/>
  <c r="A347" i="37"/>
  <c r="A346" i="37"/>
  <c r="A345" i="37"/>
  <c r="A344" i="37"/>
  <c r="A343" i="37"/>
  <c r="A342" i="37"/>
  <c r="A341" i="37"/>
  <c r="A340" i="37"/>
  <c r="A339" i="37"/>
  <c r="A338" i="37"/>
  <c r="A337" i="37"/>
  <c r="A336" i="37"/>
  <c r="A335" i="37"/>
  <c r="A334" i="37"/>
  <c r="A333" i="37"/>
  <c r="A332" i="37"/>
  <c r="A331" i="37"/>
  <c r="A330" i="37"/>
  <c r="A329" i="37"/>
  <c r="A328" i="37"/>
  <c r="A327" i="37"/>
  <c r="A326" i="37"/>
  <c r="A325" i="37"/>
  <c r="A324" i="37"/>
  <c r="A323" i="37"/>
  <c r="A322" i="37"/>
  <c r="A321" i="37"/>
  <c r="A320" i="37"/>
  <c r="A319" i="37"/>
  <c r="A318" i="37"/>
  <c r="A317" i="37"/>
  <c r="A316" i="37"/>
  <c r="A315" i="37"/>
  <c r="A314" i="37"/>
  <c r="A313" i="37"/>
  <c r="A312" i="37"/>
  <c r="A311" i="37"/>
  <c r="A310" i="37"/>
  <c r="A309" i="37"/>
  <c r="A308" i="37"/>
  <c r="A307" i="37"/>
  <c r="A306" i="37"/>
  <c r="A305" i="37"/>
  <c r="A304" i="37"/>
  <c r="A303" i="37"/>
  <c r="A302" i="37"/>
  <c r="A301" i="37"/>
  <c r="A300" i="37"/>
  <c r="A299" i="37"/>
  <c r="A298" i="37"/>
  <c r="A297" i="37"/>
  <c r="A296" i="37"/>
  <c r="A295" i="37"/>
  <c r="A294" i="37"/>
  <c r="A293" i="37"/>
  <c r="A292" i="37"/>
  <c r="A291" i="37"/>
  <c r="A290" i="37"/>
  <c r="A289" i="37"/>
  <c r="A288" i="37"/>
  <c r="A287" i="37"/>
  <c r="A286" i="37"/>
  <c r="A285" i="37"/>
  <c r="A284" i="37"/>
  <c r="A283" i="37"/>
  <c r="A282" i="37"/>
  <c r="A281" i="37"/>
  <c r="A280" i="37"/>
  <c r="A279" i="37"/>
  <c r="A278" i="37"/>
  <c r="A277" i="37"/>
  <c r="A276" i="37"/>
  <c r="A275" i="37"/>
  <c r="A274" i="37"/>
  <c r="A273" i="37"/>
  <c r="A272" i="37"/>
  <c r="A271" i="37"/>
  <c r="A270" i="37"/>
  <c r="A269" i="37"/>
  <c r="A268" i="37"/>
  <c r="A267" i="37"/>
  <c r="A266" i="37"/>
  <c r="A265" i="37"/>
  <c r="A264" i="37"/>
  <c r="A263" i="37"/>
  <c r="A262" i="37"/>
  <c r="A261" i="37"/>
  <c r="A260" i="37"/>
  <c r="A259" i="37"/>
  <c r="A258" i="37"/>
  <c r="A257" i="37"/>
  <c r="A256" i="37"/>
  <c r="A255" i="37"/>
  <c r="A254" i="37"/>
  <c r="A253" i="37"/>
  <c r="A252" i="37"/>
  <c r="A251" i="37"/>
  <c r="A250" i="37"/>
  <c r="A249" i="37"/>
  <c r="A248" i="37"/>
  <c r="A247" i="37"/>
  <c r="A246" i="37"/>
  <c r="A245" i="37"/>
  <c r="A244" i="37"/>
  <c r="A243" i="37"/>
  <c r="A242" i="37"/>
  <c r="A241" i="37"/>
  <c r="A240" i="37"/>
  <c r="A239" i="37"/>
  <c r="A238" i="37"/>
  <c r="A237" i="37"/>
  <c r="A236" i="37"/>
  <c r="A235" i="37"/>
  <c r="A234" i="37"/>
  <c r="A233" i="37"/>
  <c r="A232" i="37"/>
  <c r="A231" i="37"/>
  <c r="A230" i="37"/>
  <c r="A229" i="37"/>
  <c r="A228" i="37"/>
  <c r="A227" i="37"/>
  <c r="A226" i="37"/>
  <c r="A225" i="37"/>
  <c r="A224" i="37"/>
  <c r="A223" i="37"/>
  <c r="A222" i="37"/>
  <c r="A221" i="37"/>
  <c r="A220" i="37"/>
  <c r="A219" i="37"/>
  <c r="A218" i="37"/>
  <c r="A217" i="37"/>
  <c r="A216" i="37"/>
  <c r="A215" i="37"/>
  <c r="A214" i="37"/>
  <c r="A213" i="37"/>
  <c r="A212" i="37"/>
  <c r="A211" i="37"/>
  <c r="A210" i="37"/>
  <c r="A209" i="37"/>
  <c r="A208" i="37"/>
  <c r="A207" i="37"/>
  <c r="A206" i="37"/>
  <c r="A205" i="37"/>
  <c r="A204" i="37"/>
  <c r="A203" i="37"/>
  <c r="A202" i="37"/>
  <c r="A201" i="37"/>
  <c r="A200" i="37"/>
  <c r="A199" i="37"/>
  <c r="A198" i="37"/>
  <c r="A197" i="37"/>
  <c r="A196" i="37"/>
  <c r="A195" i="37"/>
  <c r="A194" i="37"/>
  <c r="A193" i="37"/>
  <c r="A192" i="37"/>
  <c r="A191" i="37"/>
  <c r="A190" i="37"/>
  <c r="A189" i="37"/>
  <c r="A188" i="37"/>
  <c r="A187" i="37"/>
  <c r="A186" i="37"/>
  <c r="A185" i="37"/>
  <c r="A184" i="37"/>
  <c r="A183" i="37"/>
  <c r="A182" i="37"/>
  <c r="A181" i="37"/>
  <c r="A180" i="37"/>
  <c r="A179" i="37"/>
  <c r="A178" i="37"/>
  <c r="A177" i="37"/>
  <c r="A176" i="37"/>
  <c r="A175" i="37"/>
  <c r="A174" i="37"/>
  <c r="A173" i="37"/>
  <c r="A172" i="37"/>
  <c r="A171" i="37"/>
  <c r="A170" i="37"/>
  <c r="A169" i="37"/>
  <c r="A168" i="37"/>
  <c r="A167" i="37"/>
  <c r="A166" i="37"/>
  <c r="A165" i="37"/>
  <c r="A164" i="37"/>
  <c r="A163" i="37"/>
  <c r="A162" i="37"/>
  <c r="A161" i="37"/>
  <c r="A160" i="37"/>
  <c r="A159" i="37"/>
  <c r="A158" i="37"/>
  <c r="A157" i="37"/>
  <c r="A156" i="37"/>
  <c r="A155" i="37"/>
  <c r="A154" i="37"/>
  <c r="A153" i="37"/>
  <c r="A152" i="37"/>
  <c r="A151" i="37"/>
  <c r="A150" i="37"/>
  <c r="A149" i="37"/>
  <c r="A148" i="37"/>
  <c r="A147" i="37"/>
  <c r="A146" i="37"/>
  <c r="A145" i="37"/>
  <c r="A144" i="37"/>
  <c r="A143" i="37"/>
  <c r="A142" i="37"/>
  <c r="A141" i="37"/>
  <c r="A140" i="37"/>
  <c r="A139" i="37"/>
  <c r="A138" i="37"/>
  <c r="A137" i="37"/>
  <c r="A136" i="37"/>
  <c r="A135" i="37"/>
  <c r="A134" i="37"/>
  <c r="A133" i="37"/>
  <c r="A132" i="37"/>
  <c r="A131" i="37"/>
  <c r="A130" i="37"/>
  <c r="A129" i="37"/>
  <c r="A128" i="37"/>
  <c r="A127" i="37"/>
  <c r="A126" i="37"/>
  <c r="A125" i="37"/>
  <c r="A124" i="37"/>
  <c r="A123" i="37"/>
  <c r="A122" i="37"/>
  <c r="A121" i="37"/>
  <c r="A120" i="37"/>
  <c r="A119" i="37"/>
  <c r="A118" i="37"/>
  <c r="A117" i="37"/>
  <c r="A116" i="37"/>
  <c r="A115" i="37"/>
  <c r="A114" i="37"/>
  <c r="A113" i="37"/>
  <c r="A112" i="37"/>
  <c r="A111" i="37"/>
  <c r="A110" i="37"/>
  <c r="A109" i="37"/>
  <c r="A108" i="37"/>
  <c r="A107" i="37"/>
  <c r="A106" i="37"/>
  <c r="A105" i="37"/>
  <c r="A104" i="37"/>
  <c r="A103" i="37"/>
  <c r="A102" i="37"/>
  <c r="A101" i="37"/>
  <c r="A100" i="37"/>
  <c r="A99" i="37"/>
  <c r="A98" i="37"/>
  <c r="A97" i="37"/>
  <c r="A96" i="37"/>
  <c r="A95" i="37"/>
  <c r="A94" i="37"/>
  <c r="A93" i="37"/>
  <c r="A92" i="37"/>
  <c r="A91" i="37"/>
  <c r="A90" i="37"/>
  <c r="A89" i="37"/>
  <c r="A88" i="37"/>
  <c r="A87" i="37"/>
  <c r="A86" i="37"/>
  <c r="A85" i="37"/>
  <c r="A84" i="37"/>
  <c r="A83" i="37"/>
  <c r="A82" i="37"/>
  <c r="A81" i="37"/>
  <c r="A80" i="37"/>
  <c r="A79" i="37"/>
  <c r="A78" i="37"/>
  <c r="A77" i="37"/>
  <c r="A76" i="37"/>
  <c r="A75" i="37"/>
  <c r="A74" i="37"/>
  <c r="A73" i="37"/>
  <c r="A72" i="37"/>
  <c r="A71" i="37"/>
  <c r="A70" i="37"/>
  <c r="A69" i="37"/>
  <c r="A68" i="37"/>
  <c r="A67" i="37"/>
  <c r="A66" i="37"/>
  <c r="A65" i="37"/>
  <c r="A64" i="37"/>
  <c r="A63" i="37"/>
  <c r="A62" i="37"/>
  <c r="A61" i="37"/>
  <c r="A60" i="37"/>
  <c r="A59" i="37"/>
  <c r="A58" i="37"/>
  <c r="A57" i="37"/>
  <c r="A56" i="37"/>
  <c r="A55" i="37"/>
  <c r="A54" i="37"/>
  <c r="A53" i="37"/>
  <c r="A52" i="37"/>
  <c r="A51" i="37"/>
  <c r="A50" i="37"/>
  <c r="A49" i="37"/>
  <c r="A48" i="37"/>
  <c r="A47" i="37"/>
  <c r="A46" i="37"/>
  <c r="A45" i="37"/>
  <c r="A44" i="37"/>
  <c r="A43" i="37"/>
  <c r="A42" i="37"/>
  <c r="A41" i="37"/>
  <c r="A40" i="37"/>
  <c r="A39" i="37"/>
  <c r="A38" i="37"/>
  <c r="A37" i="37"/>
  <c r="A36" i="37"/>
  <c r="A35" i="37"/>
  <c r="A34" i="37"/>
  <c r="A33" i="37"/>
  <c r="A32" i="37"/>
  <c r="A31" i="37"/>
  <c r="A30" i="37"/>
  <c r="A29" i="37"/>
  <c r="A28" i="37"/>
  <c r="A27" i="37"/>
  <c r="A26" i="37"/>
  <c r="A25" i="37"/>
  <c r="A24" i="37"/>
  <c r="A23" i="37"/>
  <c r="A22" i="37"/>
  <c r="A21" i="37"/>
  <c r="A20" i="37"/>
  <c r="A19" i="37"/>
  <c r="A18" i="37"/>
  <c r="A17" i="37"/>
  <c r="A16" i="37"/>
  <c r="A15" i="37"/>
  <c r="A14" i="37"/>
  <c r="A13" i="37"/>
  <c r="A12" i="37"/>
  <c r="A11" i="37"/>
  <c r="A10" i="37"/>
  <c r="A9" i="37"/>
  <c r="A8" i="37"/>
  <c r="A7" i="37"/>
  <c r="A6" i="37"/>
  <c r="A5" i="37"/>
  <c r="A4" i="37"/>
  <c r="A3" i="37"/>
  <c r="A2" i="37"/>
  <c r="A2" i="36"/>
  <c r="A2" i="35"/>
  <c r="A52" i="33" l="1"/>
  <c r="A45" i="33"/>
  <c r="V43" i="33"/>
  <c r="V53" i="4" s="1"/>
  <c r="U43" i="33"/>
  <c r="U53" i="4" s="1"/>
  <c r="T43" i="33"/>
  <c r="T53" i="4" s="1"/>
  <c r="S43" i="33"/>
  <c r="S53" i="4" s="1"/>
  <c r="R43" i="33"/>
  <c r="R53" i="4" s="1"/>
  <c r="Q43" i="33"/>
  <c r="Q53" i="4" s="1"/>
  <c r="P43" i="33"/>
  <c r="P53" i="4" s="1"/>
  <c r="M43" i="33"/>
  <c r="M53" i="4" s="1"/>
  <c r="L43" i="33"/>
  <c r="L53" i="4" s="1"/>
  <c r="K43" i="33"/>
  <c r="K53" i="4" s="1"/>
  <c r="J43" i="33"/>
  <c r="J53" i="4" s="1"/>
  <c r="I43" i="33"/>
  <c r="I53" i="4" s="1"/>
  <c r="H43" i="33"/>
  <c r="H53" i="4" s="1"/>
  <c r="G43" i="33"/>
  <c r="G53" i="4" s="1"/>
  <c r="F43" i="33"/>
  <c r="F53" i="4" s="1"/>
  <c r="E43" i="33"/>
  <c r="E53" i="4" s="1"/>
  <c r="D43" i="33"/>
  <c r="D53" i="4" s="1"/>
  <c r="C43" i="33"/>
  <c r="C53" i="4" s="1"/>
  <c r="B43" i="33"/>
  <c r="B53" i="4" s="1"/>
  <c r="V42" i="33"/>
  <c r="V52" i="4" s="1"/>
  <c r="U42" i="33"/>
  <c r="U52" i="4" s="1"/>
  <c r="T42" i="33"/>
  <c r="T52" i="4" s="1"/>
  <c r="S42" i="33"/>
  <c r="S52" i="4" s="1"/>
  <c r="R42" i="33"/>
  <c r="R52" i="4" s="1"/>
  <c r="Q42" i="33"/>
  <c r="Q52" i="4" s="1"/>
  <c r="P42" i="33"/>
  <c r="P52" i="4" s="1"/>
  <c r="M42" i="33"/>
  <c r="M52" i="4" s="1"/>
  <c r="L42" i="33"/>
  <c r="L52" i="4" s="1"/>
  <c r="K42" i="33"/>
  <c r="K52" i="4" s="1"/>
  <c r="J42" i="33"/>
  <c r="J52" i="4" s="1"/>
  <c r="I42" i="33"/>
  <c r="I52" i="4" s="1"/>
  <c r="H42" i="33"/>
  <c r="H52" i="4" s="1"/>
  <c r="G42" i="33"/>
  <c r="G52" i="4" s="1"/>
  <c r="F42" i="33"/>
  <c r="F52" i="4" s="1"/>
  <c r="E42" i="33"/>
  <c r="E52" i="4" s="1"/>
  <c r="D42" i="33"/>
  <c r="D52" i="4" s="1"/>
  <c r="C42" i="33"/>
  <c r="C52" i="4" s="1"/>
  <c r="B42" i="33"/>
  <c r="B52" i="4" s="1"/>
  <c r="V41" i="33"/>
  <c r="V51" i="4" s="1"/>
  <c r="U41" i="33"/>
  <c r="U51" i="4" s="1"/>
  <c r="T41" i="33"/>
  <c r="T51" i="4" s="1"/>
  <c r="S41" i="33"/>
  <c r="S51" i="4" s="1"/>
  <c r="R41" i="33"/>
  <c r="R51" i="4" s="1"/>
  <c r="Q41" i="33"/>
  <c r="Q51" i="4" s="1"/>
  <c r="P41" i="33"/>
  <c r="P51" i="4" s="1"/>
  <c r="M41" i="33"/>
  <c r="M51" i="4" s="1"/>
  <c r="L41" i="33"/>
  <c r="L51" i="4" s="1"/>
  <c r="K41" i="33"/>
  <c r="K51" i="4" s="1"/>
  <c r="J41" i="33"/>
  <c r="J51" i="4" s="1"/>
  <c r="I41" i="33"/>
  <c r="I51" i="4" s="1"/>
  <c r="H41" i="33"/>
  <c r="H51" i="4" s="1"/>
  <c r="G41" i="33"/>
  <c r="G51" i="4" s="1"/>
  <c r="F41" i="33"/>
  <c r="F51" i="4" s="1"/>
  <c r="E41" i="33"/>
  <c r="E51" i="4" s="1"/>
  <c r="D41" i="33"/>
  <c r="D51" i="4" s="1"/>
  <c r="C41" i="33"/>
  <c r="C51" i="4" s="1"/>
  <c r="B41" i="33"/>
  <c r="B51" i="4" s="1"/>
  <c r="V40" i="33"/>
  <c r="V50" i="4" s="1"/>
  <c r="U40" i="33"/>
  <c r="U50" i="4" s="1"/>
  <c r="T40" i="33"/>
  <c r="T50" i="4" s="1"/>
  <c r="S40" i="33"/>
  <c r="S50" i="4" s="1"/>
  <c r="R40" i="33"/>
  <c r="R50" i="4" s="1"/>
  <c r="Q40" i="33"/>
  <c r="Q50" i="4" s="1"/>
  <c r="P40" i="33"/>
  <c r="P50" i="4" s="1"/>
  <c r="M40" i="33"/>
  <c r="M50" i="4" s="1"/>
  <c r="L40" i="33"/>
  <c r="L50" i="4" s="1"/>
  <c r="K40" i="33"/>
  <c r="K50" i="4" s="1"/>
  <c r="J40" i="33"/>
  <c r="J50" i="4" s="1"/>
  <c r="I40" i="33"/>
  <c r="I50" i="4" s="1"/>
  <c r="H40" i="33"/>
  <c r="H50" i="4" s="1"/>
  <c r="G40" i="33"/>
  <c r="G50" i="4" s="1"/>
  <c r="F40" i="33"/>
  <c r="F50" i="4" s="1"/>
  <c r="E40" i="33"/>
  <c r="E50" i="4" s="1"/>
  <c r="D40" i="33"/>
  <c r="D50" i="4" s="1"/>
  <c r="C40" i="33"/>
  <c r="C50" i="4" s="1"/>
  <c r="B40" i="33"/>
  <c r="B50" i="4" s="1"/>
  <c r="V39" i="33"/>
  <c r="V49" i="4" s="1"/>
  <c r="U39" i="33"/>
  <c r="U49" i="4" s="1"/>
  <c r="T39" i="33"/>
  <c r="T49" i="4" s="1"/>
  <c r="S39" i="33"/>
  <c r="S49" i="4" s="1"/>
  <c r="R39" i="33"/>
  <c r="R49" i="4" s="1"/>
  <c r="Q39" i="33"/>
  <c r="Q49" i="4" s="1"/>
  <c r="P39" i="33"/>
  <c r="P49" i="4" s="1"/>
  <c r="M39" i="33"/>
  <c r="M49" i="4" s="1"/>
  <c r="L39" i="33"/>
  <c r="L49" i="4" s="1"/>
  <c r="K39" i="33"/>
  <c r="K49" i="4" s="1"/>
  <c r="J39" i="33"/>
  <c r="J49" i="4" s="1"/>
  <c r="I39" i="33"/>
  <c r="I49" i="4" s="1"/>
  <c r="H39" i="33"/>
  <c r="H49" i="4" s="1"/>
  <c r="G39" i="33"/>
  <c r="G49" i="4" s="1"/>
  <c r="F39" i="33"/>
  <c r="F49" i="4" s="1"/>
  <c r="E39" i="33"/>
  <c r="E49" i="4" s="1"/>
  <c r="D39" i="33"/>
  <c r="D49" i="4" s="1"/>
  <c r="C39" i="33"/>
  <c r="C49" i="4" s="1"/>
  <c r="B39" i="33"/>
  <c r="B49" i="4" s="1"/>
  <c r="V38" i="33"/>
  <c r="V48" i="4" s="1"/>
  <c r="U38" i="33"/>
  <c r="U48" i="4" s="1"/>
  <c r="T38" i="33"/>
  <c r="T48" i="4" s="1"/>
  <c r="S38" i="33"/>
  <c r="S48" i="4" s="1"/>
  <c r="R38" i="33"/>
  <c r="R48" i="4" s="1"/>
  <c r="Q38" i="33"/>
  <c r="Q48" i="4" s="1"/>
  <c r="P38" i="33"/>
  <c r="P48" i="4" s="1"/>
  <c r="M38" i="33"/>
  <c r="M48" i="4" s="1"/>
  <c r="L38" i="33"/>
  <c r="L48" i="4" s="1"/>
  <c r="K38" i="33"/>
  <c r="K48" i="4" s="1"/>
  <c r="J38" i="33"/>
  <c r="J48" i="4" s="1"/>
  <c r="I38" i="33"/>
  <c r="I48" i="4" s="1"/>
  <c r="H38" i="33"/>
  <c r="H48" i="4" s="1"/>
  <c r="G38" i="33"/>
  <c r="G48" i="4" s="1"/>
  <c r="F38" i="33"/>
  <c r="F48" i="4" s="1"/>
  <c r="E38" i="33"/>
  <c r="E48" i="4" s="1"/>
  <c r="D38" i="33"/>
  <c r="D48" i="4" s="1"/>
  <c r="C38" i="33"/>
  <c r="C48" i="4" s="1"/>
  <c r="B38" i="33"/>
  <c r="B48" i="4" s="1"/>
  <c r="V37" i="33"/>
  <c r="V47" i="4" s="1"/>
  <c r="U37" i="33"/>
  <c r="U47" i="4" s="1"/>
  <c r="T37" i="33"/>
  <c r="T47" i="4" s="1"/>
  <c r="S37" i="33"/>
  <c r="S47" i="4" s="1"/>
  <c r="R37" i="33"/>
  <c r="R47" i="4" s="1"/>
  <c r="Q37" i="33"/>
  <c r="Q47" i="4" s="1"/>
  <c r="P37" i="33"/>
  <c r="P47" i="4" s="1"/>
  <c r="M37" i="33"/>
  <c r="M47" i="4" s="1"/>
  <c r="L37" i="33"/>
  <c r="L47" i="4" s="1"/>
  <c r="K37" i="33"/>
  <c r="K47" i="4" s="1"/>
  <c r="J37" i="33"/>
  <c r="J47" i="4" s="1"/>
  <c r="I37" i="33"/>
  <c r="I47" i="4" s="1"/>
  <c r="H37" i="33"/>
  <c r="H47" i="4" s="1"/>
  <c r="G37" i="33"/>
  <c r="G47" i="4" s="1"/>
  <c r="F37" i="33"/>
  <c r="F47" i="4" s="1"/>
  <c r="E37" i="33"/>
  <c r="E47" i="4" s="1"/>
  <c r="D37" i="33"/>
  <c r="D47" i="4" s="1"/>
  <c r="C37" i="33"/>
  <c r="C47" i="4" s="1"/>
  <c r="B37" i="33"/>
  <c r="B47" i="4" s="1"/>
  <c r="V36" i="33"/>
  <c r="V46" i="4" s="1"/>
  <c r="U36" i="33"/>
  <c r="U46" i="4" s="1"/>
  <c r="T36" i="33"/>
  <c r="T46" i="4" s="1"/>
  <c r="S36" i="33"/>
  <c r="S46" i="4" s="1"/>
  <c r="R36" i="33"/>
  <c r="R46" i="4" s="1"/>
  <c r="Q36" i="33"/>
  <c r="Q46" i="4" s="1"/>
  <c r="P36" i="33"/>
  <c r="P46" i="4" s="1"/>
  <c r="M36" i="33"/>
  <c r="M46" i="4" s="1"/>
  <c r="L36" i="33"/>
  <c r="L46" i="4" s="1"/>
  <c r="K36" i="33"/>
  <c r="K46" i="4" s="1"/>
  <c r="J36" i="33"/>
  <c r="J46" i="4" s="1"/>
  <c r="I36" i="33"/>
  <c r="I46" i="4" s="1"/>
  <c r="H36" i="33"/>
  <c r="H46" i="4" s="1"/>
  <c r="G36" i="33"/>
  <c r="G46" i="4" s="1"/>
  <c r="F36" i="33"/>
  <c r="F46" i="4" s="1"/>
  <c r="E36" i="33"/>
  <c r="E46" i="4" s="1"/>
  <c r="D36" i="33"/>
  <c r="D46" i="4" s="1"/>
  <c r="C36" i="33"/>
  <c r="C46" i="4" s="1"/>
  <c r="B36" i="33"/>
  <c r="B46" i="4" s="1"/>
  <c r="U32" i="33"/>
  <c r="U42" i="4" s="1"/>
  <c r="P31" i="33"/>
  <c r="P41" i="4" s="1"/>
  <c r="S29" i="33"/>
  <c r="S39" i="4" s="1"/>
  <c r="V24" i="33"/>
  <c r="U24" i="33"/>
  <c r="T24" i="33"/>
  <c r="S24" i="33"/>
  <c r="R24" i="33"/>
  <c r="Q24" i="33"/>
  <c r="P24" i="33"/>
  <c r="O24" i="33"/>
  <c r="L24" i="33"/>
  <c r="J24" i="33"/>
  <c r="I24" i="33"/>
  <c r="H24" i="33"/>
  <c r="G24" i="33"/>
  <c r="F24" i="33"/>
  <c r="E24" i="33"/>
  <c r="D24" i="33"/>
  <c r="C24" i="33"/>
  <c r="B24" i="33"/>
  <c r="V23" i="33"/>
  <c r="U23" i="33"/>
  <c r="T23" i="33"/>
  <c r="S23" i="33"/>
  <c r="R23" i="33"/>
  <c r="Q23" i="33"/>
  <c r="P23" i="33"/>
  <c r="O23" i="33"/>
  <c r="B35" i="33" s="1"/>
  <c r="B45" i="4" s="1"/>
  <c r="L23" i="33"/>
  <c r="J23" i="33"/>
  <c r="I23" i="33"/>
  <c r="H23" i="33"/>
  <c r="G23" i="33"/>
  <c r="F23" i="33"/>
  <c r="E23" i="33"/>
  <c r="D23" i="33"/>
  <c r="C23" i="33"/>
  <c r="B23" i="33"/>
  <c r="A22" i="33"/>
  <c r="H22" i="33"/>
  <c r="G45" i="33"/>
  <c r="F27" i="33"/>
  <c r="F52" i="33" s="1"/>
  <c r="E45" i="33"/>
  <c r="D22" i="33"/>
  <c r="C45" i="33"/>
  <c r="B45" i="33"/>
  <c r="F33" i="33" l="1"/>
  <c r="F43" i="4" s="1"/>
  <c r="E30" i="33"/>
  <c r="E40" i="4" s="1"/>
  <c r="M35" i="33"/>
  <c r="M45" i="4" s="1"/>
  <c r="G31" i="33"/>
  <c r="G41" i="4" s="1"/>
  <c r="O30" i="33"/>
  <c r="O40" i="4" s="1"/>
  <c r="P29" i="33"/>
  <c r="P39" i="4" s="1"/>
  <c r="T28" i="33"/>
  <c r="T38" i="4" s="1"/>
  <c r="R31" i="33"/>
  <c r="R41" i="4" s="1"/>
  <c r="S30" i="33"/>
  <c r="S40" i="4" s="1"/>
  <c r="V31" i="33"/>
  <c r="V41" i="4" s="1"/>
  <c r="S33" i="33"/>
  <c r="S43" i="4" s="1"/>
  <c r="P35" i="33"/>
  <c r="P45" i="4" s="1"/>
  <c r="T29" i="33"/>
  <c r="T39" i="4" s="1"/>
  <c r="S32" i="33"/>
  <c r="S42" i="4" s="1"/>
  <c r="P34" i="33"/>
  <c r="P44" i="4" s="1"/>
  <c r="T35" i="33"/>
  <c r="T45" i="4" s="1"/>
  <c r="P28" i="33"/>
  <c r="T34" i="33"/>
  <c r="T44" i="4" s="1"/>
  <c r="Q28" i="33"/>
  <c r="U28" i="33"/>
  <c r="U38" i="4" s="1"/>
  <c r="Q29" i="33"/>
  <c r="Q39" i="4" s="1"/>
  <c r="U29" i="33"/>
  <c r="U39" i="4" s="1"/>
  <c r="P30" i="33"/>
  <c r="T30" i="33"/>
  <c r="M31" i="33"/>
  <c r="M41" i="4" s="1"/>
  <c r="S31" i="33"/>
  <c r="S41" i="4" s="1"/>
  <c r="P32" i="33"/>
  <c r="P42" i="4" s="1"/>
  <c r="T32" i="33"/>
  <c r="T42" i="4" s="1"/>
  <c r="P33" i="33"/>
  <c r="P43" i="4" s="1"/>
  <c r="T33" i="33"/>
  <c r="T43" i="4" s="1"/>
  <c r="Q34" i="33"/>
  <c r="Q44" i="4" s="1"/>
  <c r="U34" i="33"/>
  <c r="U44" i="4" s="1"/>
  <c r="Q35" i="33"/>
  <c r="Q45" i="4" s="1"/>
  <c r="U35" i="33"/>
  <c r="U45" i="4" s="1"/>
  <c r="R28" i="33"/>
  <c r="V28" i="33"/>
  <c r="V38" i="4" s="1"/>
  <c r="R29" i="33"/>
  <c r="R39" i="4" s="1"/>
  <c r="V29" i="33"/>
  <c r="V39" i="4" s="1"/>
  <c r="Q30" i="33"/>
  <c r="Q40" i="4" s="1"/>
  <c r="U30" i="33"/>
  <c r="U40" i="4" s="1"/>
  <c r="T31" i="33"/>
  <c r="T41" i="4" s="1"/>
  <c r="Q32" i="33"/>
  <c r="Q42" i="4" s="1"/>
  <c r="Q33" i="33"/>
  <c r="Q43" i="4" s="1"/>
  <c r="U33" i="33"/>
  <c r="U43" i="4" s="1"/>
  <c r="R34" i="33"/>
  <c r="R44" i="4" s="1"/>
  <c r="V34" i="33"/>
  <c r="V44" i="4" s="1"/>
  <c r="R35" i="33"/>
  <c r="R45" i="4" s="1"/>
  <c r="V35" i="33"/>
  <c r="V45" i="4" s="1"/>
  <c r="S28" i="33"/>
  <c r="S38" i="4" s="1"/>
  <c r="R30" i="33"/>
  <c r="R40" i="4" s="1"/>
  <c r="V30" i="33"/>
  <c r="V40" i="4" s="1"/>
  <c r="Q31" i="33"/>
  <c r="Q41" i="4" s="1"/>
  <c r="U31" i="33"/>
  <c r="U41" i="4" s="1"/>
  <c r="R32" i="33"/>
  <c r="R42" i="4" s="1"/>
  <c r="V32" i="33"/>
  <c r="V42" i="4" s="1"/>
  <c r="R33" i="33"/>
  <c r="R43" i="4" s="1"/>
  <c r="V33" i="33"/>
  <c r="V43" i="4" s="1"/>
  <c r="S34" i="33"/>
  <c r="S44" i="4" s="1"/>
  <c r="S35" i="33"/>
  <c r="S45" i="4" s="1"/>
  <c r="O28" i="33"/>
  <c r="O38" i="4" s="1"/>
  <c r="O29" i="33"/>
  <c r="O39" i="4" s="1"/>
  <c r="O36" i="33"/>
  <c r="O46" i="4" s="1"/>
  <c r="O37" i="33"/>
  <c r="O47" i="4" s="1"/>
  <c r="O38" i="33"/>
  <c r="O48" i="4" s="1"/>
  <c r="O39" i="33"/>
  <c r="O49" i="4" s="1"/>
  <c r="O40" i="33"/>
  <c r="O50" i="4" s="1"/>
  <c r="O41" i="33"/>
  <c r="O51" i="4" s="1"/>
  <c r="O42" i="33"/>
  <c r="O52" i="4" s="1"/>
  <c r="O43" i="33"/>
  <c r="O53" i="4" s="1"/>
  <c r="E31" i="33"/>
  <c r="E41" i="4" s="1"/>
  <c r="O31" i="33"/>
  <c r="O32" i="33"/>
  <c r="O42" i="4" s="1"/>
  <c r="I28" i="33"/>
  <c r="I29" i="33"/>
  <c r="I39" i="4" s="1"/>
  <c r="I30" i="33"/>
  <c r="I40" i="4" s="1"/>
  <c r="O33" i="33"/>
  <c r="O43" i="4" s="1"/>
  <c r="O34" i="33"/>
  <c r="O44" i="4" s="1"/>
  <c r="E28" i="33"/>
  <c r="E29" i="33"/>
  <c r="E39" i="4" s="1"/>
  <c r="M28" i="33"/>
  <c r="M38" i="4" s="1"/>
  <c r="B29" i="33"/>
  <c r="B39" i="4" s="1"/>
  <c r="M29" i="33"/>
  <c r="M39" i="4" s="1"/>
  <c r="B30" i="33"/>
  <c r="B40" i="4" s="1"/>
  <c r="M30" i="33"/>
  <c r="M40" i="4" s="1"/>
  <c r="B31" i="33"/>
  <c r="B41" i="4" s="1"/>
  <c r="I31" i="33"/>
  <c r="I41" i="4" s="1"/>
  <c r="O35" i="33"/>
  <c r="O45" i="4" s="1"/>
  <c r="B28" i="33"/>
  <c r="B38" i="4" s="1"/>
  <c r="J28" i="33"/>
  <c r="J38" i="4" s="1"/>
  <c r="J29" i="33"/>
  <c r="J39" i="4" s="1"/>
  <c r="F30" i="33"/>
  <c r="F40" i="4" s="1"/>
  <c r="J31" i="33"/>
  <c r="J41" i="4" s="1"/>
  <c r="J32" i="33"/>
  <c r="J42" i="4" s="1"/>
  <c r="J33" i="33"/>
  <c r="J43" i="4" s="1"/>
  <c r="J34" i="33"/>
  <c r="J44" i="4" s="1"/>
  <c r="G35" i="33"/>
  <c r="G45" i="4" s="1"/>
  <c r="C28" i="33"/>
  <c r="C38" i="4" s="1"/>
  <c r="G28" i="33"/>
  <c r="G38" i="4" s="1"/>
  <c r="K28" i="33"/>
  <c r="C29" i="33"/>
  <c r="C39" i="4" s="1"/>
  <c r="G29" i="33"/>
  <c r="G39" i="4" s="1"/>
  <c r="K29" i="33"/>
  <c r="K39" i="4" s="1"/>
  <c r="C30" i="33"/>
  <c r="C40" i="4" s="1"/>
  <c r="G30" i="33"/>
  <c r="G40" i="4" s="1"/>
  <c r="K30" i="33"/>
  <c r="K40" i="4" s="1"/>
  <c r="C31" i="33"/>
  <c r="C41" i="4" s="1"/>
  <c r="K31" i="33"/>
  <c r="K41" i="4" s="1"/>
  <c r="C32" i="33"/>
  <c r="C42" i="4" s="1"/>
  <c r="G32" i="33"/>
  <c r="G42" i="4" s="1"/>
  <c r="K32" i="33"/>
  <c r="K42" i="4" s="1"/>
  <c r="C33" i="33"/>
  <c r="C43" i="4" s="1"/>
  <c r="G33" i="33"/>
  <c r="G43" i="4" s="1"/>
  <c r="K33" i="33"/>
  <c r="K43" i="4" s="1"/>
  <c r="C34" i="33"/>
  <c r="C44" i="4" s="1"/>
  <c r="G34" i="33"/>
  <c r="G44" i="4" s="1"/>
  <c r="K34" i="33"/>
  <c r="K44" i="4" s="1"/>
  <c r="D35" i="33"/>
  <c r="D45" i="4" s="1"/>
  <c r="H35" i="33"/>
  <c r="H45" i="4" s="1"/>
  <c r="L35" i="33"/>
  <c r="L45" i="4" s="1"/>
  <c r="F28" i="33"/>
  <c r="F38" i="4" s="1"/>
  <c r="F29" i="33"/>
  <c r="F39" i="4" s="1"/>
  <c r="J30" i="33"/>
  <c r="J40" i="4" s="1"/>
  <c r="F31" i="33"/>
  <c r="F41" i="4" s="1"/>
  <c r="F32" i="33"/>
  <c r="F42" i="4" s="1"/>
  <c r="F34" i="33"/>
  <c r="F44" i="4" s="1"/>
  <c r="C35" i="33"/>
  <c r="C45" i="4" s="1"/>
  <c r="K35" i="33"/>
  <c r="K45" i="4" s="1"/>
  <c r="D28" i="33"/>
  <c r="D38" i="4" s="1"/>
  <c r="H28" i="33"/>
  <c r="H38" i="4" s="1"/>
  <c r="L28" i="33"/>
  <c r="D29" i="33"/>
  <c r="D39" i="4" s="1"/>
  <c r="H29" i="33"/>
  <c r="H39" i="4" s="1"/>
  <c r="L29" i="33"/>
  <c r="L39" i="4" s="1"/>
  <c r="D30" i="33"/>
  <c r="D40" i="4" s="1"/>
  <c r="H30" i="33"/>
  <c r="H40" i="4" s="1"/>
  <c r="L30" i="33"/>
  <c r="L40" i="4" s="1"/>
  <c r="D31" i="33"/>
  <c r="D41" i="4" s="1"/>
  <c r="H31" i="33"/>
  <c r="H41" i="4" s="1"/>
  <c r="L31" i="33"/>
  <c r="L41" i="4" s="1"/>
  <c r="D32" i="33"/>
  <c r="D42" i="4" s="1"/>
  <c r="H32" i="33"/>
  <c r="H42" i="4" s="1"/>
  <c r="L32" i="33"/>
  <c r="L42" i="4" s="1"/>
  <c r="D33" i="33"/>
  <c r="D43" i="4" s="1"/>
  <c r="H33" i="33"/>
  <c r="H43" i="4" s="1"/>
  <c r="L33" i="33"/>
  <c r="L43" i="4" s="1"/>
  <c r="D34" i="33"/>
  <c r="D44" i="4" s="1"/>
  <c r="H34" i="33"/>
  <c r="H44" i="4" s="1"/>
  <c r="L34" i="33"/>
  <c r="L44" i="4" s="1"/>
  <c r="E35" i="33"/>
  <c r="E45" i="4" s="1"/>
  <c r="I35" i="33"/>
  <c r="I45" i="4" s="1"/>
  <c r="B32" i="33"/>
  <c r="B42" i="4" s="1"/>
  <c r="E32" i="33"/>
  <c r="I32" i="33"/>
  <c r="M32" i="33"/>
  <c r="B33" i="33"/>
  <c r="B43" i="4" s="1"/>
  <c r="E33" i="33"/>
  <c r="E43" i="4" s="1"/>
  <c r="I33" i="33"/>
  <c r="I43" i="4" s="1"/>
  <c r="M33" i="33"/>
  <c r="M43" i="4" s="1"/>
  <c r="B34" i="33"/>
  <c r="B44" i="4" s="1"/>
  <c r="E34" i="33"/>
  <c r="E44" i="4" s="1"/>
  <c r="I34" i="33"/>
  <c r="I44" i="4" s="1"/>
  <c r="M34" i="33"/>
  <c r="M44" i="4" s="1"/>
  <c r="F35" i="33"/>
  <c r="F45" i="4" s="1"/>
  <c r="J35" i="33"/>
  <c r="J45" i="4" s="1"/>
  <c r="I38" i="4"/>
  <c r="E38" i="4"/>
  <c r="R38" i="4"/>
  <c r="B22" i="33"/>
  <c r="E22" i="33"/>
  <c r="I45" i="33"/>
  <c r="I52" i="33"/>
  <c r="I27" i="33"/>
  <c r="P38" i="4"/>
  <c r="B27" i="33"/>
  <c r="B52" i="33" s="1"/>
  <c r="Q38" i="4"/>
  <c r="D27" i="33"/>
  <c r="D52" i="33" s="1"/>
  <c r="I22" i="33"/>
  <c r="E27" i="33"/>
  <c r="E52" i="33" s="1"/>
  <c r="D45" i="33"/>
  <c r="F22" i="33"/>
  <c r="F45" i="33"/>
  <c r="G22" i="33"/>
  <c r="G27" i="33"/>
  <c r="G52" i="33" s="1"/>
  <c r="C22" i="33"/>
  <c r="C27" i="33"/>
  <c r="C52" i="33" s="1"/>
  <c r="H27" i="33"/>
  <c r="H52" i="33" s="1"/>
  <c r="H45" i="33"/>
  <c r="J56" i="33"/>
  <c r="V56" i="33"/>
  <c r="O56" i="33"/>
  <c r="D56" i="33"/>
  <c r="I56" i="33"/>
  <c r="L56" i="33"/>
  <c r="Q56" i="33"/>
  <c r="G56" i="33"/>
  <c r="F56" i="33"/>
  <c r="K56" i="33"/>
  <c r="H56" i="33"/>
  <c r="P56" i="33"/>
  <c r="S56" i="33"/>
  <c r="T56" i="33"/>
  <c r="E56" i="33"/>
  <c r="C56" i="33"/>
  <c r="R56" i="33"/>
  <c r="M56" i="33"/>
  <c r="B56" i="33"/>
  <c r="U56" i="33"/>
  <c r="B46" i="33" l="1"/>
  <c r="S47" i="33"/>
  <c r="S48" i="33" s="1"/>
  <c r="S54" i="33" s="1"/>
  <c r="U47" i="33"/>
  <c r="U48" i="33" s="1"/>
  <c r="U54" i="33" s="1"/>
  <c r="J46" i="33"/>
  <c r="J53" i="33" s="1"/>
  <c r="V46" i="33"/>
  <c r="V53" i="33" s="1"/>
  <c r="E47" i="33"/>
  <c r="E48" i="33" s="1"/>
  <c r="E54" i="33" s="1"/>
  <c r="T46" i="33"/>
  <c r="T53" i="33" s="1"/>
  <c r="R46" i="33"/>
  <c r="R53" i="33" s="1"/>
  <c r="R55" i="33" s="1"/>
  <c r="D47" i="33"/>
  <c r="P47" i="33"/>
  <c r="P48" i="33" s="1"/>
  <c r="P54" i="33" s="1"/>
  <c r="M47" i="33"/>
  <c r="M48" i="33" s="1"/>
  <c r="M54" i="33" s="1"/>
  <c r="G46" i="33"/>
  <c r="G53" i="33" s="1"/>
  <c r="L47" i="33"/>
  <c r="P46" i="33"/>
  <c r="P53" i="33" s="1"/>
  <c r="S57" i="33"/>
  <c r="V57" i="33"/>
  <c r="T57" i="33"/>
  <c r="U57" i="33"/>
  <c r="R57" i="33"/>
  <c r="P57" i="33"/>
  <c r="Q57" i="33"/>
  <c r="V47" i="33"/>
  <c r="V48" i="33" s="1"/>
  <c r="V54" i="33" s="1"/>
  <c r="I46" i="33"/>
  <c r="I53" i="33" s="1"/>
  <c r="D46" i="33"/>
  <c r="D53" i="33" s="1"/>
  <c r="O46" i="33"/>
  <c r="O53" i="33" s="1"/>
  <c r="O55" i="33" s="1"/>
  <c r="T40" i="4"/>
  <c r="R47" i="33"/>
  <c r="R48" i="33" s="1"/>
  <c r="R54" i="33" s="1"/>
  <c r="Q46" i="33"/>
  <c r="Q53" i="33" s="1"/>
  <c r="U46" i="33"/>
  <c r="U53" i="33" s="1"/>
  <c r="U55" i="33" s="1"/>
  <c r="S46" i="33"/>
  <c r="S53" i="33" s="1"/>
  <c r="J47" i="33"/>
  <c r="J48" i="33" s="1"/>
  <c r="J54" i="33" s="1"/>
  <c r="Q47" i="33"/>
  <c r="Q48" i="33" s="1"/>
  <c r="Q54" i="33" s="1"/>
  <c r="T47" i="33"/>
  <c r="T48" i="33" s="1"/>
  <c r="T54" i="33" s="1"/>
  <c r="P40" i="4"/>
  <c r="C46" i="33"/>
  <c r="C53" i="33" s="1"/>
  <c r="M46" i="33"/>
  <c r="M53" i="33" s="1"/>
  <c r="L46" i="33"/>
  <c r="L53" i="33" s="1"/>
  <c r="G47" i="33"/>
  <c r="G48" i="33" s="1"/>
  <c r="G54" i="33" s="1"/>
  <c r="F46" i="33"/>
  <c r="F53" i="33" s="1"/>
  <c r="I47" i="33"/>
  <c r="I48" i="33" s="1"/>
  <c r="I54" i="33" s="1"/>
  <c r="O57" i="33"/>
  <c r="B47" i="33"/>
  <c r="B48" i="33" s="1"/>
  <c r="B54" i="33" s="1"/>
  <c r="H47" i="33"/>
  <c r="H48" i="33" s="1"/>
  <c r="H54" i="33" s="1"/>
  <c r="O47" i="33"/>
  <c r="O48" i="33" s="1"/>
  <c r="O54" i="33" s="1"/>
  <c r="L38" i="4"/>
  <c r="C47" i="33"/>
  <c r="C48" i="33" s="1"/>
  <c r="C54" i="33" s="1"/>
  <c r="E46" i="33"/>
  <c r="E53" i="33" s="1"/>
  <c r="H46" i="33"/>
  <c r="H53" i="33" s="1"/>
  <c r="F47" i="33"/>
  <c r="F48" i="33" s="1"/>
  <c r="F54" i="33" s="1"/>
  <c r="O41" i="4"/>
  <c r="K57" i="33"/>
  <c r="M57" i="33"/>
  <c r="L57" i="33"/>
  <c r="G57" i="33"/>
  <c r="I57" i="33"/>
  <c r="H57" i="33"/>
  <c r="C57" i="33"/>
  <c r="J57" i="33"/>
  <c r="E57" i="33"/>
  <c r="D57" i="33"/>
  <c r="F57" i="33"/>
  <c r="B57" i="33"/>
  <c r="K46" i="33"/>
  <c r="K53" i="33" s="1"/>
  <c r="M42" i="4"/>
  <c r="D48" i="33"/>
  <c r="D54" i="33" s="1"/>
  <c r="K38" i="4"/>
  <c r="I42" i="4"/>
  <c r="L48" i="33"/>
  <c r="L54" i="33" s="1"/>
  <c r="K47" i="33"/>
  <c r="K48" i="33" s="1"/>
  <c r="K54" i="33" s="1"/>
  <c r="E42" i="4"/>
  <c r="B53" i="33"/>
  <c r="P59" i="33" l="1"/>
  <c r="P60" i="33" s="1"/>
  <c r="P61" i="33" s="1"/>
  <c r="V55" i="33"/>
  <c r="S55" i="33"/>
  <c r="P55" i="33"/>
  <c r="M55" i="33"/>
  <c r="R59" i="33"/>
  <c r="R60" i="33" s="1"/>
  <c r="R61" i="33" s="1"/>
  <c r="T59" i="33"/>
  <c r="T60" i="33" s="1"/>
  <c r="T61" i="33" s="1"/>
  <c r="V59" i="33"/>
  <c r="T55" i="33"/>
  <c r="Q55" i="33"/>
  <c r="Q59" i="33"/>
  <c r="Q60" i="33" s="1"/>
  <c r="Q61" i="33" s="1"/>
  <c r="M59" i="33"/>
  <c r="M60" i="33" s="1"/>
  <c r="M61" i="33" s="1"/>
  <c r="S59" i="33"/>
  <c r="U59" i="33"/>
  <c r="K59" i="33"/>
  <c r="K60" i="33" s="1"/>
  <c r="K61" i="33" s="1"/>
  <c r="B64" i="33"/>
  <c r="F59" i="33"/>
  <c r="B65" i="33"/>
  <c r="I59" i="33"/>
  <c r="E59" i="33"/>
  <c r="H59" i="33"/>
  <c r="H60" i="33" s="1"/>
  <c r="H61" i="33" s="1"/>
  <c r="J59" i="33"/>
  <c r="J60" i="33" s="1"/>
  <c r="J61" i="33" s="1"/>
  <c r="L59" i="33"/>
  <c r="L60" i="33" s="1"/>
  <c r="L61" i="33" s="1"/>
  <c r="D59" i="33"/>
  <c r="D60" i="33" s="1"/>
  <c r="D61" i="33" s="1"/>
  <c r="O59" i="33"/>
  <c r="O60" i="33" s="1"/>
  <c r="O61" i="33" s="1"/>
  <c r="C59" i="33"/>
  <c r="C60" i="33" s="1"/>
  <c r="C61" i="33" s="1"/>
  <c r="G59" i="33"/>
  <c r="G60" i="33" s="1"/>
  <c r="G61" i="33" s="1"/>
  <c r="V60" i="33"/>
  <c r="V61" i="33" s="1"/>
  <c r="I60" i="33"/>
  <c r="I61" i="33" s="1"/>
  <c r="F60" i="33"/>
  <c r="F61" i="33" s="1"/>
  <c r="D55" i="33"/>
  <c r="B55" i="33"/>
  <c r="K55" i="33"/>
  <c r="L55" i="33"/>
  <c r="G55" i="33"/>
  <c r="F55" i="33"/>
  <c r="C55" i="33"/>
  <c r="J55" i="33"/>
  <c r="H55" i="33"/>
  <c r="I55" i="33"/>
  <c r="E55" i="33"/>
  <c r="S60" i="33"/>
  <c r="U60" i="33"/>
  <c r="E60" i="33"/>
  <c r="U61" i="33" l="1"/>
  <c r="E61" i="33"/>
  <c r="S61" i="33"/>
  <c r="M4" i="33"/>
  <c r="L4" i="33" l="1"/>
  <c r="L22" i="33" s="1"/>
  <c r="K4" i="33"/>
  <c r="K22" i="33" s="1"/>
  <c r="J4" i="33"/>
  <c r="J52" i="33" s="1"/>
  <c r="M45" i="33"/>
  <c r="M52" i="33"/>
  <c r="M27" i="33"/>
  <c r="M22" i="33"/>
  <c r="K52" i="33" l="1"/>
  <c r="K45" i="33"/>
  <c r="K27" i="33"/>
  <c r="O4" i="33"/>
  <c r="O4" i="23"/>
  <c r="O4" i="1"/>
  <c r="Q4" i="1"/>
  <c r="Q4" i="33"/>
  <c r="Q4" i="23"/>
  <c r="P4" i="33"/>
  <c r="P4" i="23"/>
  <c r="P4" i="1"/>
  <c r="J22" i="33"/>
  <c r="L52" i="33"/>
  <c r="J45" i="33"/>
  <c r="L27" i="33"/>
  <c r="J27" i="33"/>
  <c r="L45" i="33"/>
  <c r="A4" i="28"/>
  <c r="A5" i="28"/>
  <c r="A6" i="28"/>
  <c r="A7" i="28"/>
  <c r="A8" i="28"/>
  <c r="A9" i="28"/>
  <c r="A10" i="28"/>
  <c r="A11" i="28"/>
  <c r="A12" i="28"/>
  <c r="A13" i="28"/>
  <c r="A14" i="28"/>
  <c r="A15" i="28"/>
  <c r="B4" i="28"/>
  <c r="B5" i="28"/>
  <c r="B6" i="28"/>
  <c r="B7" i="28"/>
  <c r="B8" i="28"/>
  <c r="B9" i="28"/>
  <c r="B10" i="28"/>
  <c r="B11" i="28"/>
  <c r="B12" i="28"/>
  <c r="B13" i="28"/>
  <c r="B14" i="28"/>
  <c r="B15" i="28"/>
  <c r="A3" i="28"/>
  <c r="B2" i="28"/>
  <c r="B3" i="28"/>
  <c r="A2" i="28"/>
  <c r="D2" i="28" s="1"/>
  <c r="Q22" i="33" l="1"/>
  <c r="Q45" i="33"/>
  <c r="Q27" i="33"/>
  <c r="Q52" i="33" s="1"/>
  <c r="O27" i="33"/>
  <c r="O52" i="33" s="1"/>
  <c r="O22" i="33"/>
  <c r="O45" i="33"/>
  <c r="P22" i="33"/>
  <c r="P45" i="33"/>
  <c r="P27" i="33"/>
  <c r="P52" i="33" s="1"/>
  <c r="B3" i="27"/>
  <c r="G9" i="27" l="1"/>
  <c r="G10" i="27" s="1"/>
  <c r="E9" i="27"/>
  <c r="E10" i="27" s="1"/>
  <c r="F9" i="27"/>
  <c r="F10" i="27" s="1"/>
  <c r="G6" i="22" l="1"/>
  <c r="G31" i="22" l="1"/>
  <c r="G30" i="22"/>
  <c r="M4" i="28" l="1"/>
  <c r="M8" i="28"/>
  <c r="M12" i="28"/>
  <c r="M5" i="28"/>
  <c r="M9" i="28"/>
  <c r="M13" i="28"/>
  <c r="M6" i="28"/>
  <c r="M10" i="28"/>
  <c r="M14" i="28"/>
  <c r="M3" i="28"/>
  <c r="M7" i="28"/>
  <c r="M11" i="28"/>
  <c r="M15" i="28"/>
  <c r="M2" i="28"/>
  <c r="N4" i="28"/>
  <c r="N8" i="28"/>
  <c r="N12" i="28"/>
  <c r="N3" i="28"/>
  <c r="N5" i="28"/>
  <c r="N9" i="28"/>
  <c r="N13" i="28"/>
  <c r="N2" i="28"/>
  <c r="N6" i="28"/>
  <c r="N10" i="28"/>
  <c r="N14" i="28"/>
  <c r="N7" i="28"/>
  <c r="N11" i="28"/>
  <c r="N15" i="28"/>
  <c r="H14" i="22"/>
  <c r="H24" i="22"/>
  <c r="H26" i="22"/>
  <c r="B3" i="12"/>
  <c r="Q9" i="12" s="1"/>
  <c r="Q10" i="12" s="1"/>
  <c r="P22" i="1"/>
  <c r="Q45" i="1"/>
  <c r="P28" i="23"/>
  <c r="Q28" i="23"/>
  <c r="R28" i="23"/>
  <c r="S28" i="23"/>
  <c r="U28" i="23"/>
  <c r="U22" i="4" s="1"/>
  <c r="V28" i="23"/>
  <c r="R29" i="23"/>
  <c r="R23" i="4" s="1"/>
  <c r="V29" i="23"/>
  <c r="V23" i="4" s="1"/>
  <c r="P30" i="23"/>
  <c r="P24" i="4" s="1"/>
  <c r="T30" i="23"/>
  <c r="T24" i="4" s="1"/>
  <c r="Q31" i="23"/>
  <c r="Q25" i="4" s="1"/>
  <c r="U31" i="23"/>
  <c r="U25" i="4" s="1"/>
  <c r="Q32" i="23"/>
  <c r="Q26" i="4" s="1"/>
  <c r="U32" i="23"/>
  <c r="U26" i="4" s="1"/>
  <c r="P33" i="23"/>
  <c r="P27" i="4" s="1"/>
  <c r="T33" i="23"/>
  <c r="R34" i="23"/>
  <c r="R28" i="4" s="1"/>
  <c r="V34" i="23"/>
  <c r="V28" i="4" s="1"/>
  <c r="Q35" i="23"/>
  <c r="Q29" i="4" s="1"/>
  <c r="U35" i="23"/>
  <c r="V35" i="23"/>
  <c r="V29" i="4" s="1"/>
  <c r="P36" i="23"/>
  <c r="P30" i="4" s="1"/>
  <c r="Q36" i="23"/>
  <c r="Q30" i="4" s="1"/>
  <c r="R36" i="23"/>
  <c r="R30" i="4" s="1"/>
  <c r="S36" i="23"/>
  <c r="T36" i="23"/>
  <c r="T30" i="4" s="1"/>
  <c r="U36" i="23"/>
  <c r="U30" i="4" s="1"/>
  <c r="V36" i="23"/>
  <c r="V30" i="4" s="1"/>
  <c r="P37" i="23"/>
  <c r="P31" i="4" s="1"/>
  <c r="Q37" i="23"/>
  <c r="Q31" i="4" s="1"/>
  <c r="R37" i="23"/>
  <c r="R31" i="4" s="1"/>
  <c r="S37" i="23"/>
  <c r="S31" i="4" s="1"/>
  <c r="T37" i="23"/>
  <c r="T31" i="4" s="1"/>
  <c r="U37" i="23"/>
  <c r="U31" i="4" s="1"/>
  <c r="V37" i="23"/>
  <c r="V31" i="4" s="1"/>
  <c r="P38" i="23"/>
  <c r="P32" i="4" s="1"/>
  <c r="Q38" i="23"/>
  <c r="Q32" i="4" s="1"/>
  <c r="R38" i="23"/>
  <c r="R32" i="4" s="1"/>
  <c r="S38" i="23"/>
  <c r="T38" i="23"/>
  <c r="T32" i="4" s="1"/>
  <c r="U38" i="23"/>
  <c r="U32" i="4" s="1"/>
  <c r="V38" i="23"/>
  <c r="V32" i="4" s="1"/>
  <c r="P39" i="23"/>
  <c r="P33" i="4" s="1"/>
  <c r="Q39" i="23"/>
  <c r="Q33" i="4" s="1"/>
  <c r="R39" i="23"/>
  <c r="R33" i="4" s="1"/>
  <c r="S39" i="23"/>
  <c r="S33" i="4" s="1"/>
  <c r="T39" i="23"/>
  <c r="T33" i="4" s="1"/>
  <c r="U39" i="23"/>
  <c r="V39" i="23"/>
  <c r="V33" i="4" s="1"/>
  <c r="P40" i="23"/>
  <c r="P34" i="4" s="1"/>
  <c r="Q40" i="23"/>
  <c r="Q34" i="4" s="1"/>
  <c r="R40" i="23"/>
  <c r="R34" i="4" s="1"/>
  <c r="S40" i="23"/>
  <c r="T40" i="23"/>
  <c r="T34" i="4" s="1"/>
  <c r="U40" i="23"/>
  <c r="U34" i="4" s="1"/>
  <c r="V40" i="23"/>
  <c r="V34" i="4" s="1"/>
  <c r="P41" i="23"/>
  <c r="P35" i="4" s="1"/>
  <c r="Q41" i="23"/>
  <c r="Q35" i="4" s="1"/>
  <c r="R41" i="23"/>
  <c r="R35" i="4" s="1"/>
  <c r="S41" i="23"/>
  <c r="S35" i="4" s="1"/>
  <c r="T41" i="23"/>
  <c r="T35" i="4" s="1"/>
  <c r="U41" i="23"/>
  <c r="U35" i="4" s="1"/>
  <c r="V41" i="23"/>
  <c r="V35" i="4" s="1"/>
  <c r="P42" i="23"/>
  <c r="P36" i="4" s="1"/>
  <c r="Q42" i="23"/>
  <c r="Q36" i="4" s="1"/>
  <c r="R42" i="23"/>
  <c r="R36" i="4" s="1"/>
  <c r="S42" i="23"/>
  <c r="T42" i="23"/>
  <c r="T36" i="4" s="1"/>
  <c r="U42" i="23"/>
  <c r="U36" i="4" s="1"/>
  <c r="V42" i="23"/>
  <c r="V36" i="4" s="1"/>
  <c r="P43" i="23"/>
  <c r="Q43" i="23"/>
  <c r="R43" i="23"/>
  <c r="S43" i="23"/>
  <c r="T43" i="23"/>
  <c r="U43" i="23"/>
  <c r="V43" i="23"/>
  <c r="K36" i="23"/>
  <c r="K30" i="4" s="1"/>
  <c r="L36" i="23"/>
  <c r="L30" i="4" s="1"/>
  <c r="M36" i="23"/>
  <c r="M30" i="4" s="1"/>
  <c r="K37" i="23"/>
  <c r="K31" i="4" s="1"/>
  <c r="L37" i="23"/>
  <c r="L31" i="4" s="1"/>
  <c r="M37" i="23"/>
  <c r="M31" i="4" s="1"/>
  <c r="K38" i="23"/>
  <c r="K32" i="4" s="1"/>
  <c r="L38" i="23"/>
  <c r="L32" i="4" s="1"/>
  <c r="M38" i="23"/>
  <c r="M32" i="4" s="1"/>
  <c r="K39" i="23"/>
  <c r="K33" i="4" s="1"/>
  <c r="L39" i="23"/>
  <c r="L33" i="4" s="1"/>
  <c r="M39" i="23"/>
  <c r="M33" i="4" s="1"/>
  <c r="K40" i="23"/>
  <c r="K34" i="4" s="1"/>
  <c r="L40" i="23"/>
  <c r="L34" i="4" s="1"/>
  <c r="M40" i="23"/>
  <c r="M34" i="4" s="1"/>
  <c r="K41" i="23"/>
  <c r="K35" i="4" s="1"/>
  <c r="L41" i="23"/>
  <c r="L35" i="4" s="1"/>
  <c r="M41" i="23"/>
  <c r="M35" i="4" s="1"/>
  <c r="K42" i="23"/>
  <c r="K36" i="4" s="1"/>
  <c r="L42" i="23"/>
  <c r="L36" i="4" s="1"/>
  <c r="M42" i="23"/>
  <c r="M36" i="4" s="1"/>
  <c r="K43" i="23"/>
  <c r="L43" i="23"/>
  <c r="M43" i="23"/>
  <c r="S36" i="1"/>
  <c r="S14" i="4" s="1"/>
  <c r="T36" i="1"/>
  <c r="T14" i="4" s="1"/>
  <c r="U36" i="1"/>
  <c r="U14" i="4" s="1"/>
  <c r="V36" i="1"/>
  <c r="V14" i="4" s="1"/>
  <c r="S37" i="1"/>
  <c r="S15" i="4" s="1"/>
  <c r="T37" i="1"/>
  <c r="T15" i="4" s="1"/>
  <c r="U37" i="1"/>
  <c r="U15" i="4" s="1"/>
  <c r="V37" i="1"/>
  <c r="V15" i="4" s="1"/>
  <c r="S38" i="1"/>
  <c r="S16" i="4" s="1"/>
  <c r="T38" i="1"/>
  <c r="T16" i="4" s="1"/>
  <c r="U38" i="1"/>
  <c r="U16" i="4" s="1"/>
  <c r="V38" i="1"/>
  <c r="V16" i="4" s="1"/>
  <c r="S39" i="1"/>
  <c r="S17" i="4" s="1"/>
  <c r="T39" i="1"/>
  <c r="T17" i="4" s="1"/>
  <c r="U39" i="1"/>
  <c r="U17" i="4" s="1"/>
  <c r="V39" i="1"/>
  <c r="V17" i="4" s="1"/>
  <c r="S40" i="1"/>
  <c r="S18" i="4" s="1"/>
  <c r="T40" i="1"/>
  <c r="T18" i="4" s="1"/>
  <c r="U40" i="1"/>
  <c r="U18" i="4" s="1"/>
  <c r="V40" i="1"/>
  <c r="V18" i="4" s="1"/>
  <c r="S41" i="1"/>
  <c r="S19" i="4" s="1"/>
  <c r="T41" i="1"/>
  <c r="T19" i="4" s="1"/>
  <c r="U41" i="1"/>
  <c r="U19" i="4" s="1"/>
  <c r="V41" i="1"/>
  <c r="V19" i="4" s="1"/>
  <c r="S42" i="1"/>
  <c r="S20" i="4" s="1"/>
  <c r="T42" i="1"/>
  <c r="T20" i="4" s="1"/>
  <c r="U42" i="1"/>
  <c r="U20" i="4" s="1"/>
  <c r="V42" i="1"/>
  <c r="V20" i="4" s="1"/>
  <c r="S43" i="1"/>
  <c r="S21" i="4" s="1"/>
  <c r="T43" i="1"/>
  <c r="U43" i="1"/>
  <c r="V43" i="1"/>
  <c r="K36" i="1"/>
  <c r="K14" i="4" s="1"/>
  <c r="L36" i="1"/>
  <c r="L14" i="4" s="1"/>
  <c r="M36" i="1"/>
  <c r="M14" i="4" s="1"/>
  <c r="K37" i="1"/>
  <c r="K15" i="4" s="1"/>
  <c r="L37" i="1"/>
  <c r="L15" i="4" s="1"/>
  <c r="M37" i="1"/>
  <c r="M15" i="4" s="1"/>
  <c r="K38" i="1"/>
  <c r="K16" i="4" s="1"/>
  <c r="L38" i="1"/>
  <c r="L16" i="4" s="1"/>
  <c r="M38" i="1"/>
  <c r="M16" i="4" s="1"/>
  <c r="K39" i="1"/>
  <c r="K17" i="4" s="1"/>
  <c r="L39" i="1"/>
  <c r="L17" i="4" s="1"/>
  <c r="M39" i="1"/>
  <c r="M17" i="4" s="1"/>
  <c r="K40" i="1"/>
  <c r="K18" i="4" s="1"/>
  <c r="L40" i="1"/>
  <c r="L18" i="4" s="1"/>
  <c r="M40" i="1"/>
  <c r="M18" i="4" s="1"/>
  <c r="K41" i="1"/>
  <c r="K19" i="4" s="1"/>
  <c r="L41" i="1"/>
  <c r="L19" i="4" s="1"/>
  <c r="M41" i="1"/>
  <c r="M19" i="4" s="1"/>
  <c r="K42" i="1"/>
  <c r="K20" i="4" s="1"/>
  <c r="L42" i="1"/>
  <c r="L20" i="4" s="1"/>
  <c r="M42" i="1"/>
  <c r="M20" i="4" s="1"/>
  <c r="K43" i="1"/>
  <c r="L43" i="1"/>
  <c r="M43" i="1"/>
  <c r="N45" i="1"/>
  <c r="A45" i="1"/>
  <c r="A45" i="23"/>
  <c r="A22" i="23"/>
  <c r="A22" i="1"/>
  <c r="B1" i="4"/>
  <c r="A52" i="23"/>
  <c r="U37" i="4"/>
  <c r="Q37" i="4"/>
  <c r="I43" i="23"/>
  <c r="H43" i="23"/>
  <c r="G43" i="23"/>
  <c r="F43" i="23"/>
  <c r="E43" i="23"/>
  <c r="D43" i="23"/>
  <c r="C43" i="23"/>
  <c r="B43" i="23"/>
  <c r="S36" i="4"/>
  <c r="I42" i="23"/>
  <c r="I36" i="4" s="1"/>
  <c r="H42" i="23"/>
  <c r="H36" i="4" s="1"/>
  <c r="G42" i="23"/>
  <c r="G36" i="4" s="1"/>
  <c r="F42" i="23"/>
  <c r="F36" i="4" s="1"/>
  <c r="E42" i="23"/>
  <c r="E36" i="4" s="1"/>
  <c r="D42" i="23"/>
  <c r="D36" i="4" s="1"/>
  <c r="C42" i="23"/>
  <c r="C36" i="4" s="1"/>
  <c r="B42" i="23"/>
  <c r="B36" i="4" s="1"/>
  <c r="I41" i="23"/>
  <c r="I35" i="4" s="1"/>
  <c r="H41" i="23"/>
  <c r="H35" i="4" s="1"/>
  <c r="G41" i="23"/>
  <c r="G35" i="4" s="1"/>
  <c r="F41" i="23"/>
  <c r="F35" i="4" s="1"/>
  <c r="E41" i="23"/>
  <c r="E35" i="4" s="1"/>
  <c r="D41" i="23"/>
  <c r="D35" i="4" s="1"/>
  <c r="C41" i="23"/>
  <c r="C35" i="4" s="1"/>
  <c r="B41" i="23"/>
  <c r="B35" i="4" s="1"/>
  <c r="S34" i="4"/>
  <c r="I40" i="23"/>
  <c r="I34" i="4" s="1"/>
  <c r="H40" i="23"/>
  <c r="H34" i="4" s="1"/>
  <c r="G40" i="23"/>
  <c r="G34" i="4" s="1"/>
  <c r="F40" i="23"/>
  <c r="F34" i="4" s="1"/>
  <c r="E40" i="23"/>
  <c r="E34" i="4" s="1"/>
  <c r="D40" i="23"/>
  <c r="D34" i="4" s="1"/>
  <c r="C40" i="23"/>
  <c r="C34" i="4" s="1"/>
  <c r="B40" i="23"/>
  <c r="B34" i="4" s="1"/>
  <c r="U33" i="4"/>
  <c r="I39" i="23"/>
  <c r="I33" i="4" s="1"/>
  <c r="H39" i="23"/>
  <c r="H33" i="4" s="1"/>
  <c r="G39" i="23"/>
  <c r="G33" i="4" s="1"/>
  <c r="F39" i="23"/>
  <c r="F33" i="4" s="1"/>
  <c r="E39" i="23"/>
  <c r="E33" i="4" s="1"/>
  <c r="D39" i="23"/>
  <c r="D33" i="4" s="1"/>
  <c r="C39" i="23"/>
  <c r="C33" i="4" s="1"/>
  <c r="B39" i="23"/>
  <c r="B33" i="4" s="1"/>
  <c r="S32" i="4"/>
  <c r="I38" i="23"/>
  <c r="I32" i="4" s="1"/>
  <c r="H38" i="23"/>
  <c r="H32" i="4" s="1"/>
  <c r="G38" i="23"/>
  <c r="G32" i="4" s="1"/>
  <c r="F38" i="23"/>
  <c r="F32" i="4" s="1"/>
  <c r="E38" i="23"/>
  <c r="E32" i="4" s="1"/>
  <c r="D38" i="23"/>
  <c r="D32" i="4" s="1"/>
  <c r="C38" i="23"/>
  <c r="C32" i="4" s="1"/>
  <c r="I37" i="23"/>
  <c r="I31" i="4" s="1"/>
  <c r="H37" i="23"/>
  <c r="H31" i="4" s="1"/>
  <c r="G37" i="23"/>
  <c r="G31" i="4" s="1"/>
  <c r="F37" i="23"/>
  <c r="F31" i="4" s="1"/>
  <c r="E37" i="23"/>
  <c r="E31" i="4" s="1"/>
  <c r="D37" i="23"/>
  <c r="D31" i="4" s="1"/>
  <c r="C37" i="23"/>
  <c r="C31" i="4" s="1"/>
  <c r="B37" i="23"/>
  <c r="B31" i="4" s="1"/>
  <c r="S30" i="4"/>
  <c r="I36" i="23"/>
  <c r="I30" i="4" s="1"/>
  <c r="H36" i="23"/>
  <c r="H30" i="4" s="1"/>
  <c r="G36" i="23"/>
  <c r="G30" i="4" s="1"/>
  <c r="F36" i="23"/>
  <c r="F30" i="4" s="1"/>
  <c r="E36" i="23"/>
  <c r="E30" i="4" s="1"/>
  <c r="D36" i="23"/>
  <c r="D30" i="4" s="1"/>
  <c r="C36" i="23"/>
  <c r="C30" i="4" s="1"/>
  <c r="B36" i="23"/>
  <c r="B30" i="4" s="1"/>
  <c r="S22" i="4"/>
  <c r="V24" i="23"/>
  <c r="U24" i="23"/>
  <c r="T24" i="23"/>
  <c r="S24" i="23"/>
  <c r="R24" i="23"/>
  <c r="Q24" i="23"/>
  <c r="P24" i="23"/>
  <c r="O24" i="23"/>
  <c r="L24" i="23"/>
  <c r="J24" i="23"/>
  <c r="I24" i="23"/>
  <c r="H24" i="23"/>
  <c r="G24" i="23"/>
  <c r="F24" i="23"/>
  <c r="E24" i="23"/>
  <c r="D24" i="23"/>
  <c r="C24" i="23"/>
  <c r="B24" i="23"/>
  <c r="V23" i="23"/>
  <c r="U23" i="23"/>
  <c r="T23" i="23"/>
  <c r="S23" i="23"/>
  <c r="R23" i="23"/>
  <c r="Q23" i="23"/>
  <c r="P23" i="23"/>
  <c r="O23" i="23"/>
  <c r="B32" i="23" s="1"/>
  <c r="B26" i="4" s="1"/>
  <c r="L23" i="23"/>
  <c r="J23" i="23"/>
  <c r="I23" i="23"/>
  <c r="H23" i="23"/>
  <c r="G23" i="23"/>
  <c r="F23" i="23"/>
  <c r="E23" i="23"/>
  <c r="D23" i="23"/>
  <c r="C23" i="23"/>
  <c r="B23" i="23"/>
  <c r="Q45" i="23"/>
  <c r="P45" i="23"/>
  <c r="O45" i="23"/>
  <c r="I22" i="23"/>
  <c r="H27" i="23"/>
  <c r="H52" i="23" s="1"/>
  <c r="G45" i="23"/>
  <c r="F27" i="23"/>
  <c r="F52" i="23" s="1"/>
  <c r="E45" i="23"/>
  <c r="C45" i="23"/>
  <c r="B45" i="23"/>
  <c r="J40" i="23"/>
  <c r="J34" i="4" s="1"/>
  <c r="J36" i="23"/>
  <c r="J30" i="4" s="1"/>
  <c r="J42" i="23"/>
  <c r="J36" i="4" s="1"/>
  <c r="J38" i="23"/>
  <c r="J32" i="4" s="1"/>
  <c r="J41" i="23"/>
  <c r="J35" i="4" s="1"/>
  <c r="J37" i="23"/>
  <c r="J31" i="4" s="1"/>
  <c r="J43" i="23"/>
  <c r="J39" i="23"/>
  <c r="J33" i="4" s="1"/>
  <c r="P22" i="23"/>
  <c r="S23" i="1"/>
  <c r="T23" i="1"/>
  <c r="U23" i="1"/>
  <c r="V23" i="1"/>
  <c r="S24" i="1"/>
  <c r="T24" i="1"/>
  <c r="U24" i="1"/>
  <c r="V24" i="1"/>
  <c r="L23" i="1"/>
  <c r="M23" i="1"/>
  <c r="L24" i="1"/>
  <c r="M24" i="1"/>
  <c r="I23" i="1"/>
  <c r="I24" i="1"/>
  <c r="C36" i="1"/>
  <c r="C14" i="4" s="1"/>
  <c r="D36" i="1"/>
  <c r="D14" i="4" s="1"/>
  <c r="E36" i="1"/>
  <c r="E14" i="4" s="1"/>
  <c r="F36" i="1"/>
  <c r="F14" i="4" s="1"/>
  <c r="G36" i="1"/>
  <c r="G14" i="4" s="1"/>
  <c r="H36" i="1"/>
  <c r="H14" i="4" s="1"/>
  <c r="I36" i="1"/>
  <c r="I14" i="4" s="1"/>
  <c r="J36" i="1"/>
  <c r="J14" i="4" s="1"/>
  <c r="C37" i="1"/>
  <c r="C15" i="4" s="1"/>
  <c r="D37" i="1"/>
  <c r="D15" i="4" s="1"/>
  <c r="E37" i="1"/>
  <c r="E15" i="4" s="1"/>
  <c r="F37" i="1"/>
  <c r="F15" i="4" s="1"/>
  <c r="G37" i="1"/>
  <c r="G15" i="4" s="1"/>
  <c r="H37" i="1"/>
  <c r="H15" i="4" s="1"/>
  <c r="I37" i="1"/>
  <c r="I15" i="4" s="1"/>
  <c r="J37" i="1"/>
  <c r="J15" i="4" s="1"/>
  <c r="C38" i="1"/>
  <c r="C16" i="4" s="1"/>
  <c r="D38" i="1"/>
  <c r="D16" i="4" s="1"/>
  <c r="E38" i="1"/>
  <c r="E16" i="4" s="1"/>
  <c r="F38" i="1"/>
  <c r="F16" i="4" s="1"/>
  <c r="G38" i="1"/>
  <c r="G16" i="4" s="1"/>
  <c r="H38" i="1"/>
  <c r="H16" i="4" s="1"/>
  <c r="I38" i="1"/>
  <c r="I16" i="4" s="1"/>
  <c r="J38" i="1"/>
  <c r="J16" i="4" s="1"/>
  <c r="C39" i="1"/>
  <c r="C17" i="4" s="1"/>
  <c r="D39" i="1"/>
  <c r="E39" i="1"/>
  <c r="E17" i="4" s="1"/>
  <c r="F39" i="1"/>
  <c r="F17" i="4" s="1"/>
  <c r="G39" i="1"/>
  <c r="G17" i="4" s="1"/>
  <c r="H39" i="1"/>
  <c r="H17" i="4" s="1"/>
  <c r="I39" i="1"/>
  <c r="I17" i="4" s="1"/>
  <c r="J39" i="1"/>
  <c r="J17" i="4" s="1"/>
  <c r="C40" i="1"/>
  <c r="C18" i="4" s="1"/>
  <c r="D40" i="1"/>
  <c r="D18" i="4" s="1"/>
  <c r="E40" i="1"/>
  <c r="E18" i="4" s="1"/>
  <c r="F40" i="1"/>
  <c r="F18" i="4" s="1"/>
  <c r="G40" i="1"/>
  <c r="G18" i="4" s="1"/>
  <c r="H40" i="1"/>
  <c r="H18" i="4" s="1"/>
  <c r="I40" i="1"/>
  <c r="I18" i="4" s="1"/>
  <c r="J40" i="1"/>
  <c r="J18" i="4" s="1"/>
  <c r="C41" i="1"/>
  <c r="C19" i="4" s="1"/>
  <c r="D41" i="1"/>
  <c r="D19" i="4" s="1"/>
  <c r="E41" i="1"/>
  <c r="E19" i="4" s="1"/>
  <c r="F41" i="1"/>
  <c r="F19" i="4" s="1"/>
  <c r="G41" i="1"/>
  <c r="G19" i="4" s="1"/>
  <c r="H41" i="1"/>
  <c r="H19" i="4" s="1"/>
  <c r="I41" i="1"/>
  <c r="I19" i="4" s="1"/>
  <c r="J41" i="1"/>
  <c r="J19" i="4" s="1"/>
  <c r="C42" i="1"/>
  <c r="C20" i="4" s="1"/>
  <c r="D42" i="1"/>
  <c r="D20" i="4" s="1"/>
  <c r="E42" i="1"/>
  <c r="E20" i="4" s="1"/>
  <c r="F42" i="1"/>
  <c r="F20" i="4" s="1"/>
  <c r="G42" i="1"/>
  <c r="G20" i="4" s="1"/>
  <c r="H42" i="1"/>
  <c r="H20" i="4" s="1"/>
  <c r="I42" i="1"/>
  <c r="I20" i="4" s="1"/>
  <c r="J42" i="1"/>
  <c r="J20" i="4" s="1"/>
  <c r="C43" i="1"/>
  <c r="D43" i="1"/>
  <c r="E43" i="1"/>
  <c r="F43" i="1"/>
  <c r="G43" i="1"/>
  <c r="H43" i="1"/>
  <c r="I43" i="1"/>
  <c r="J43" i="1"/>
  <c r="I45" i="1"/>
  <c r="Q36" i="1"/>
  <c r="Q14" i="4" s="1"/>
  <c r="R36" i="1"/>
  <c r="R14" i="4" s="1"/>
  <c r="Q37" i="1"/>
  <c r="Q15" i="4" s="1"/>
  <c r="P38" i="1"/>
  <c r="P16" i="4" s="1"/>
  <c r="Q38" i="1"/>
  <c r="Q16" i="4" s="1"/>
  <c r="P39" i="1"/>
  <c r="P17" i="4" s="1"/>
  <c r="Q39" i="1"/>
  <c r="Q17" i="4" s="1"/>
  <c r="R39" i="1"/>
  <c r="R17" i="4" s="1"/>
  <c r="P40" i="1"/>
  <c r="P18" i="4" s="1"/>
  <c r="Q40" i="1"/>
  <c r="Q18" i="4" s="1"/>
  <c r="R40" i="1"/>
  <c r="R18" i="4" s="1"/>
  <c r="P41" i="1"/>
  <c r="P19" i="4" s="1"/>
  <c r="Q41" i="1"/>
  <c r="Q19" i="4" s="1"/>
  <c r="P42" i="1"/>
  <c r="P20" i="4" s="1"/>
  <c r="Q42" i="1"/>
  <c r="Q20" i="4" s="1"/>
  <c r="P43" i="1"/>
  <c r="Q43" i="1"/>
  <c r="R43" i="1"/>
  <c r="B36" i="1"/>
  <c r="B14" i="4" s="1"/>
  <c r="B37" i="1"/>
  <c r="B15" i="4" s="1"/>
  <c r="B38" i="1"/>
  <c r="B16" i="4" s="1"/>
  <c r="B39" i="1"/>
  <c r="B17" i="4" s="1"/>
  <c r="B40" i="1"/>
  <c r="B18" i="4" s="1"/>
  <c r="B41" i="1"/>
  <c r="B19" i="4" s="1"/>
  <c r="B42" i="1"/>
  <c r="B20" i="4" s="1"/>
  <c r="B43" i="1"/>
  <c r="B23" i="1"/>
  <c r="B4" i="4"/>
  <c r="B62" i="4" s="1"/>
  <c r="A52" i="1"/>
  <c r="O22" i="1"/>
  <c r="Q24" i="1"/>
  <c r="P24" i="1"/>
  <c r="O24" i="1"/>
  <c r="Q23" i="1"/>
  <c r="P23" i="1"/>
  <c r="O23" i="1"/>
  <c r="C29" i="1" s="1"/>
  <c r="C7" i="4" s="1"/>
  <c r="H27" i="1"/>
  <c r="H52" i="1" s="1"/>
  <c r="G27" i="1"/>
  <c r="G52" i="1" s="1"/>
  <c r="F27" i="1"/>
  <c r="F52" i="1" s="1"/>
  <c r="E4" i="4"/>
  <c r="D22" i="1"/>
  <c r="C45" i="1"/>
  <c r="P28" i="1"/>
  <c r="Q33" i="1"/>
  <c r="Q11" i="4" s="1"/>
  <c r="Q27" i="1"/>
  <c r="Q52" i="1" s="1"/>
  <c r="K24" i="1"/>
  <c r="J24" i="1"/>
  <c r="H24" i="1"/>
  <c r="G24" i="1"/>
  <c r="F24" i="1"/>
  <c r="E24" i="1"/>
  <c r="D24" i="1"/>
  <c r="C24" i="1"/>
  <c r="B24" i="1"/>
  <c r="K23" i="1"/>
  <c r="J23" i="1"/>
  <c r="H23" i="1"/>
  <c r="G23" i="1"/>
  <c r="F23" i="1"/>
  <c r="E23" i="1"/>
  <c r="D23" i="1"/>
  <c r="C23" i="1"/>
  <c r="R24" i="1"/>
  <c r="R23" i="1"/>
  <c r="K4" i="1"/>
  <c r="K4" i="4" s="1"/>
  <c r="K62" i="4" s="1"/>
  <c r="L4" i="1"/>
  <c r="L4" i="4" s="1"/>
  <c r="K4" i="23"/>
  <c r="K52" i="23" s="1"/>
  <c r="L4" i="23"/>
  <c r="L27" i="23" s="1"/>
  <c r="O9" i="12" l="1"/>
  <c r="O10" i="12" s="1"/>
  <c r="O41" i="23"/>
  <c r="O35" i="4" s="1"/>
  <c r="G29" i="23"/>
  <c r="G23" i="4" s="1"/>
  <c r="H29" i="23"/>
  <c r="H23" i="4" s="1"/>
  <c r="G34" i="23"/>
  <c r="G28" i="4" s="1"/>
  <c r="J29" i="23"/>
  <c r="J23" i="4" s="1"/>
  <c r="L30" i="23"/>
  <c r="L24" i="4" s="1"/>
  <c r="M28" i="23"/>
  <c r="T35" i="23"/>
  <c r="T29" i="4" s="1"/>
  <c r="P35" i="23"/>
  <c r="P29" i="4" s="1"/>
  <c r="U34" i="23"/>
  <c r="U28" i="4" s="1"/>
  <c r="Q34" i="23"/>
  <c r="Q28" i="4" s="1"/>
  <c r="S33" i="23"/>
  <c r="S27" i="4" s="1"/>
  <c r="T32" i="23"/>
  <c r="T26" i="4" s="1"/>
  <c r="P32" i="23"/>
  <c r="P26" i="4" s="1"/>
  <c r="T31" i="23"/>
  <c r="T25" i="4" s="1"/>
  <c r="P31" i="23"/>
  <c r="P25" i="4" s="1"/>
  <c r="S30" i="23"/>
  <c r="S24" i="4" s="1"/>
  <c r="U29" i="23"/>
  <c r="Q29" i="23"/>
  <c r="T28" i="23"/>
  <c r="S35" i="23"/>
  <c r="S29" i="4" s="1"/>
  <c r="T34" i="23"/>
  <c r="T28" i="4" s="1"/>
  <c r="P34" i="23"/>
  <c r="P28" i="4" s="1"/>
  <c r="V33" i="23"/>
  <c r="V27" i="4" s="1"/>
  <c r="R33" i="23"/>
  <c r="R27" i="4" s="1"/>
  <c r="S32" i="23"/>
  <c r="S26" i="4" s="1"/>
  <c r="S31" i="23"/>
  <c r="S25" i="4" s="1"/>
  <c r="V30" i="23"/>
  <c r="R30" i="23"/>
  <c r="T29" i="23"/>
  <c r="T23" i="4" s="1"/>
  <c r="P29" i="23"/>
  <c r="R35" i="23"/>
  <c r="R29" i="4" s="1"/>
  <c r="S34" i="23"/>
  <c r="S28" i="4" s="1"/>
  <c r="U33" i="23"/>
  <c r="U27" i="4" s="1"/>
  <c r="Q33" i="23"/>
  <c r="Q27" i="4" s="1"/>
  <c r="V32" i="23"/>
  <c r="V26" i="4" s="1"/>
  <c r="R32" i="23"/>
  <c r="R26" i="4" s="1"/>
  <c r="V31" i="23"/>
  <c r="V25" i="4" s="1"/>
  <c r="R31" i="23"/>
  <c r="R25" i="4" s="1"/>
  <c r="U30" i="23"/>
  <c r="U24" i="4" s="1"/>
  <c r="Q30" i="23"/>
  <c r="Q24" i="4" s="1"/>
  <c r="S29" i="23"/>
  <c r="J34" i="23"/>
  <c r="J28" i="4" s="1"/>
  <c r="J32" i="23"/>
  <c r="J26" i="4" s="1"/>
  <c r="L34" i="23"/>
  <c r="L28" i="4" s="1"/>
  <c r="O42" i="23"/>
  <c r="O36" i="4" s="1"/>
  <c r="I30" i="23"/>
  <c r="I24" i="4" s="1"/>
  <c r="J31" i="23"/>
  <c r="J25" i="4" s="1"/>
  <c r="J35" i="23"/>
  <c r="J29" i="4" s="1"/>
  <c r="J33" i="23"/>
  <c r="J27" i="4" s="1"/>
  <c r="I32" i="23"/>
  <c r="I26" i="4" s="1"/>
  <c r="E34" i="23"/>
  <c r="E28" i="4" s="1"/>
  <c r="H30" i="23"/>
  <c r="H24" i="4" s="1"/>
  <c r="H34" i="23"/>
  <c r="H28" i="4" s="1"/>
  <c r="K28" i="23"/>
  <c r="K22" i="4" s="1"/>
  <c r="O40" i="23"/>
  <c r="O34" i="4" s="1"/>
  <c r="I31" i="23"/>
  <c r="I25" i="4" s="1"/>
  <c r="J28" i="23"/>
  <c r="J22" i="4" s="1"/>
  <c r="O36" i="23"/>
  <c r="O30" i="4" s="1"/>
  <c r="H32" i="23"/>
  <c r="H26" i="4" s="1"/>
  <c r="I29" i="23"/>
  <c r="I23" i="4" s="1"/>
  <c r="I33" i="23"/>
  <c r="I27" i="4" s="1"/>
  <c r="O33" i="23"/>
  <c r="O27" i="4" s="1"/>
  <c r="I35" i="23"/>
  <c r="I29" i="4" s="1"/>
  <c r="H28" i="23"/>
  <c r="H22" i="4" s="1"/>
  <c r="I28" i="23"/>
  <c r="I22" i="4" s="1"/>
  <c r="D33" i="23"/>
  <c r="D27" i="4" s="1"/>
  <c r="H35" i="23"/>
  <c r="H29" i="4" s="1"/>
  <c r="J30" i="23"/>
  <c r="J24" i="4" s="1"/>
  <c r="F34" i="23"/>
  <c r="F28" i="4" s="1"/>
  <c r="F28" i="23"/>
  <c r="G31" i="23"/>
  <c r="G25" i="4" s="1"/>
  <c r="C35" i="23"/>
  <c r="C29" i="4" s="1"/>
  <c r="K31" i="23"/>
  <c r="K25" i="4" s="1"/>
  <c r="M30" i="23"/>
  <c r="M24" i="4" s="1"/>
  <c r="O43" i="23"/>
  <c r="O37" i="4" s="1"/>
  <c r="O39" i="23"/>
  <c r="O33" i="4" s="1"/>
  <c r="K33" i="23"/>
  <c r="K27" i="4" s="1"/>
  <c r="O29" i="23"/>
  <c r="O23" i="4" s="1"/>
  <c r="H31" i="23"/>
  <c r="F31" i="23"/>
  <c r="F25" i="4" s="1"/>
  <c r="H33" i="23"/>
  <c r="H27" i="4" s="1"/>
  <c r="I34" i="23"/>
  <c r="E33" i="23"/>
  <c r="E27" i="4" s="1"/>
  <c r="E30" i="23"/>
  <c r="E24" i="4" s="1"/>
  <c r="L29" i="23"/>
  <c r="L23" i="4" s="1"/>
  <c r="M35" i="23"/>
  <c r="M29" i="4" s="1"/>
  <c r="O35" i="23"/>
  <c r="O29" i="4" s="1"/>
  <c r="L35" i="23"/>
  <c r="L29" i="4" s="1"/>
  <c r="K34" i="23"/>
  <c r="K28" i="4" s="1"/>
  <c r="M32" i="23"/>
  <c r="M26" i="4" s="1"/>
  <c r="K29" i="23"/>
  <c r="K35" i="23"/>
  <c r="K29" i="4" s="1"/>
  <c r="M33" i="23"/>
  <c r="M27" i="4" s="1"/>
  <c r="L32" i="23"/>
  <c r="L26" i="4" s="1"/>
  <c r="M31" i="23"/>
  <c r="M25" i="4" s="1"/>
  <c r="K30" i="23"/>
  <c r="K24" i="4" s="1"/>
  <c r="M34" i="23"/>
  <c r="M28" i="4" s="1"/>
  <c r="L33" i="23"/>
  <c r="L27" i="4" s="1"/>
  <c r="K32" i="23"/>
  <c r="K26" i="4" s="1"/>
  <c r="L31" i="23"/>
  <c r="L25" i="4" s="1"/>
  <c r="M29" i="23"/>
  <c r="L28" i="23"/>
  <c r="L22" i="4" s="1"/>
  <c r="D35" i="23"/>
  <c r="D29" i="4" s="1"/>
  <c r="D32" i="23"/>
  <c r="D26" i="4" s="1"/>
  <c r="E28" i="23"/>
  <c r="E22" i="4" s="1"/>
  <c r="F35" i="23"/>
  <c r="F29" i="4" s="1"/>
  <c r="F30" i="23"/>
  <c r="F24" i="4" s="1"/>
  <c r="D30" i="23"/>
  <c r="D24" i="4" s="1"/>
  <c r="F32" i="23"/>
  <c r="F26" i="4" s="1"/>
  <c r="G35" i="23"/>
  <c r="G29" i="4" s="1"/>
  <c r="C28" i="23"/>
  <c r="C22" i="4" s="1"/>
  <c r="G32" i="23"/>
  <c r="G26" i="4" s="1"/>
  <c r="G33" i="23"/>
  <c r="G27" i="4" s="1"/>
  <c r="C30" i="23"/>
  <c r="C24" i="4" s="1"/>
  <c r="D28" i="23"/>
  <c r="D22" i="4" s="1"/>
  <c r="C33" i="23"/>
  <c r="C27" i="4" s="1"/>
  <c r="E29" i="23"/>
  <c r="E23" i="4" s="1"/>
  <c r="D34" i="23"/>
  <c r="D28" i="4" s="1"/>
  <c r="D31" i="23"/>
  <c r="D25" i="4" s="1"/>
  <c r="E32" i="23"/>
  <c r="E26" i="4" s="1"/>
  <c r="C32" i="23"/>
  <c r="C26" i="4" s="1"/>
  <c r="G28" i="23"/>
  <c r="F33" i="23"/>
  <c r="F27" i="4" s="1"/>
  <c r="E35" i="23"/>
  <c r="E29" i="4" s="1"/>
  <c r="D29" i="23"/>
  <c r="D23" i="4" s="1"/>
  <c r="G30" i="23"/>
  <c r="G24" i="4" s="1"/>
  <c r="C34" i="23"/>
  <c r="C28" i="4" s="1"/>
  <c r="C29" i="23"/>
  <c r="C23" i="4" s="1"/>
  <c r="E31" i="23"/>
  <c r="E25" i="4" s="1"/>
  <c r="C31" i="23"/>
  <c r="C25" i="4" s="1"/>
  <c r="F29" i="23"/>
  <c r="R33" i="1"/>
  <c r="R11" i="4" s="1"/>
  <c r="T35" i="1"/>
  <c r="T13" i="4" s="1"/>
  <c r="V34" i="1"/>
  <c r="V12" i="4" s="1"/>
  <c r="S33" i="1"/>
  <c r="S11" i="4" s="1"/>
  <c r="V32" i="1"/>
  <c r="V10" i="4" s="1"/>
  <c r="T31" i="1"/>
  <c r="T9" i="4" s="1"/>
  <c r="S30" i="1"/>
  <c r="S8" i="4" s="1"/>
  <c r="U29" i="1"/>
  <c r="U7" i="4" s="1"/>
  <c r="U28" i="1"/>
  <c r="U6" i="4" s="1"/>
  <c r="O43" i="1"/>
  <c r="Q28" i="1"/>
  <c r="Q6" i="4" s="1"/>
  <c r="O32" i="1"/>
  <c r="O10" i="4" s="1"/>
  <c r="S35" i="1"/>
  <c r="S13" i="4" s="1"/>
  <c r="U34" i="1"/>
  <c r="U12" i="4" s="1"/>
  <c r="V33" i="1"/>
  <c r="V11" i="4" s="1"/>
  <c r="U32" i="1"/>
  <c r="U10" i="4" s="1"/>
  <c r="S31" i="1"/>
  <c r="S9" i="4" s="1"/>
  <c r="V30" i="1"/>
  <c r="V8" i="4" s="1"/>
  <c r="T29" i="1"/>
  <c r="T7" i="4" s="1"/>
  <c r="T28" i="1"/>
  <c r="P33" i="1"/>
  <c r="P11" i="4" s="1"/>
  <c r="Q34" i="1"/>
  <c r="Q12" i="4" s="1"/>
  <c r="V35" i="1"/>
  <c r="V13" i="4" s="1"/>
  <c r="T34" i="1"/>
  <c r="T12" i="4" s="1"/>
  <c r="U33" i="1"/>
  <c r="U11" i="4" s="1"/>
  <c r="T32" i="1"/>
  <c r="T10" i="4" s="1"/>
  <c r="V31" i="1"/>
  <c r="V9" i="4" s="1"/>
  <c r="U30" i="1"/>
  <c r="U8" i="4" s="1"/>
  <c r="S29" i="1"/>
  <c r="S7" i="4" s="1"/>
  <c r="S28" i="1"/>
  <c r="Q35" i="1"/>
  <c r="Q13" i="4" s="1"/>
  <c r="P30" i="1"/>
  <c r="P8" i="4" s="1"/>
  <c r="Q31" i="1"/>
  <c r="Q9" i="4" s="1"/>
  <c r="U35" i="1"/>
  <c r="U13" i="4" s="1"/>
  <c r="S34" i="1"/>
  <c r="S12" i="4" s="1"/>
  <c r="T33" i="1"/>
  <c r="T11" i="4" s="1"/>
  <c r="S32" i="1"/>
  <c r="S10" i="4" s="1"/>
  <c r="U31" i="1"/>
  <c r="U9" i="4" s="1"/>
  <c r="T30" i="1"/>
  <c r="T8" i="4" s="1"/>
  <c r="V29" i="1"/>
  <c r="V7" i="4" s="1"/>
  <c r="V28" i="1"/>
  <c r="O38" i="1"/>
  <c r="O16" i="4" s="1"/>
  <c r="O41" i="1"/>
  <c r="O19" i="4" s="1"/>
  <c r="O40" i="1"/>
  <c r="O18" i="4" s="1"/>
  <c r="F29" i="1"/>
  <c r="F7" i="4" s="1"/>
  <c r="E29" i="1"/>
  <c r="E7" i="4" s="1"/>
  <c r="E30" i="1"/>
  <c r="E8" i="4" s="1"/>
  <c r="E35" i="1"/>
  <c r="E13" i="4" s="1"/>
  <c r="E33" i="1"/>
  <c r="E11" i="4" s="1"/>
  <c r="G35" i="1"/>
  <c r="G13" i="4" s="1"/>
  <c r="O42" i="1"/>
  <c r="O20" i="4" s="1"/>
  <c r="O39" i="1"/>
  <c r="O17" i="4" s="1"/>
  <c r="I34" i="1"/>
  <c r="I12" i="4" s="1"/>
  <c r="H30" i="1"/>
  <c r="H8" i="4" s="1"/>
  <c r="G30" i="1"/>
  <c r="G8" i="4" s="1"/>
  <c r="F30" i="1"/>
  <c r="I30" i="1"/>
  <c r="I8" i="4" s="1"/>
  <c r="G29" i="1"/>
  <c r="G7" i="4" s="1"/>
  <c r="J34" i="1"/>
  <c r="J12" i="4" s="1"/>
  <c r="I33" i="1"/>
  <c r="I11" i="4" s="1"/>
  <c r="H35" i="1"/>
  <c r="H13" i="4" s="1"/>
  <c r="M28" i="1"/>
  <c r="M6" i="4" s="1"/>
  <c r="G34" i="1"/>
  <c r="G12" i="4" s="1"/>
  <c r="F34" i="1"/>
  <c r="F12" i="4" s="1"/>
  <c r="I29" i="1"/>
  <c r="H33" i="1"/>
  <c r="H11" i="4" s="1"/>
  <c r="H31" i="1"/>
  <c r="H9" i="4" s="1"/>
  <c r="P34" i="1"/>
  <c r="P12" i="4" s="1"/>
  <c r="F33" i="1"/>
  <c r="F11" i="4" s="1"/>
  <c r="C35" i="1"/>
  <c r="C13" i="4" s="1"/>
  <c r="H32" i="1"/>
  <c r="H10" i="4" s="1"/>
  <c r="F35" i="1"/>
  <c r="F13" i="4" s="1"/>
  <c r="D33" i="1"/>
  <c r="D11" i="4" s="1"/>
  <c r="D35" i="1"/>
  <c r="D13" i="4" s="1"/>
  <c r="H34" i="1"/>
  <c r="H12" i="4" s="1"/>
  <c r="J33" i="1"/>
  <c r="J11" i="4" s="1"/>
  <c r="E32" i="1"/>
  <c r="E10" i="4" s="1"/>
  <c r="F32" i="1"/>
  <c r="F10" i="4" s="1"/>
  <c r="J29" i="1"/>
  <c r="J7" i="4" s="1"/>
  <c r="J28" i="1"/>
  <c r="J6" i="4" s="1"/>
  <c r="M34" i="1"/>
  <c r="M12" i="4" s="1"/>
  <c r="L33" i="1"/>
  <c r="L11" i="4" s="1"/>
  <c r="K30" i="1"/>
  <c r="K8" i="4" s="1"/>
  <c r="J32" i="1"/>
  <c r="M35" i="1"/>
  <c r="M13" i="4" s="1"/>
  <c r="L34" i="1"/>
  <c r="L12" i="4" s="1"/>
  <c r="K33" i="1"/>
  <c r="K11" i="4" s="1"/>
  <c r="M32" i="1"/>
  <c r="M10" i="4" s="1"/>
  <c r="M31" i="1"/>
  <c r="M9" i="4" s="1"/>
  <c r="M29" i="1"/>
  <c r="L28" i="1"/>
  <c r="L6" i="4" s="1"/>
  <c r="J35" i="1"/>
  <c r="J13" i="4" s="1"/>
  <c r="J31" i="1"/>
  <c r="J9" i="4" s="1"/>
  <c r="L35" i="1"/>
  <c r="L13" i="4" s="1"/>
  <c r="K34" i="1"/>
  <c r="K12" i="4" s="1"/>
  <c r="L32" i="1"/>
  <c r="L10" i="4" s="1"/>
  <c r="L31" i="1"/>
  <c r="L9" i="4" s="1"/>
  <c r="M30" i="1"/>
  <c r="M8" i="4" s="1"/>
  <c r="L29" i="1"/>
  <c r="L7" i="4" s="1"/>
  <c r="K28" i="1"/>
  <c r="C33" i="1"/>
  <c r="C11" i="4" s="1"/>
  <c r="J30" i="1"/>
  <c r="K35" i="1"/>
  <c r="K13" i="4" s="1"/>
  <c r="M33" i="1"/>
  <c r="M11" i="4" s="1"/>
  <c r="K32" i="1"/>
  <c r="K10" i="4" s="1"/>
  <c r="K31" i="1"/>
  <c r="K9" i="4" s="1"/>
  <c r="L30" i="1"/>
  <c r="L8" i="4" s="1"/>
  <c r="K29" i="1"/>
  <c r="K7" i="4" s="1"/>
  <c r="B33" i="1"/>
  <c r="B11" i="4" s="1"/>
  <c r="T6" i="4"/>
  <c r="M22" i="4"/>
  <c r="P6" i="4"/>
  <c r="S6" i="4"/>
  <c r="Q22" i="4"/>
  <c r="P22" i="4"/>
  <c r="T4" i="33"/>
  <c r="T22" i="33" s="1"/>
  <c r="Q22" i="1"/>
  <c r="S9" i="12"/>
  <c r="S10" i="12" s="1"/>
  <c r="N9" i="12"/>
  <c r="N10" i="12" s="1"/>
  <c r="M9" i="12"/>
  <c r="M10" i="12" s="1"/>
  <c r="I9" i="12"/>
  <c r="I10" i="12" s="1"/>
  <c r="P9" i="12"/>
  <c r="P10" i="12" s="1"/>
  <c r="R35" i="1"/>
  <c r="R13" i="4" s="1"/>
  <c r="G32" i="1"/>
  <c r="G10" i="4" s="1"/>
  <c r="H29" i="1"/>
  <c r="E28" i="1"/>
  <c r="D34" i="1"/>
  <c r="D12" i="4" s="1"/>
  <c r="I31" i="1"/>
  <c r="I9" i="4" s="1"/>
  <c r="F28" i="1"/>
  <c r="R41" i="1"/>
  <c r="R19" i="4" s="1"/>
  <c r="R37" i="1"/>
  <c r="R15" i="4" s="1"/>
  <c r="Q29" i="1"/>
  <c r="O37" i="1"/>
  <c r="O15" i="4" s="1"/>
  <c r="P29" i="1"/>
  <c r="B34" i="1"/>
  <c r="B12" i="4" s="1"/>
  <c r="B35" i="1"/>
  <c r="B13" i="4" s="1"/>
  <c r="C34" i="1"/>
  <c r="C12" i="4" s="1"/>
  <c r="I28" i="1"/>
  <c r="G31" i="1"/>
  <c r="G9" i="4" s="1"/>
  <c r="H28" i="1"/>
  <c r="E34" i="1"/>
  <c r="F31" i="1"/>
  <c r="G28" i="1"/>
  <c r="I32" i="1"/>
  <c r="I10" i="4" s="1"/>
  <c r="I35" i="1"/>
  <c r="G33" i="1"/>
  <c r="E31" i="1"/>
  <c r="E9" i="4" s="1"/>
  <c r="R42" i="1"/>
  <c r="R20" i="4" s="1"/>
  <c r="R38" i="1"/>
  <c r="R16" i="4" s="1"/>
  <c r="R34" i="1"/>
  <c r="R12" i="4" s="1"/>
  <c r="L74" i="4"/>
  <c r="H2" i="12" s="1"/>
  <c r="L62" i="4"/>
  <c r="E55" i="4"/>
  <c r="E62" i="4"/>
  <c r="K9" i="12"/>
  <c r="K10" i="12" s="1"/>
  <c r="P21" i="4"/>
  <c r="I52" i="23"/>
  <c r="R4" i="33"/>
  <c r="V37" i="4"/>
  <c r="R37" i="4"/>
  <c r="K37" i="4"/>
  <c r="I45" i="23"/>
  <c r="U4" i="33"/>
  <c r="O21" i="4"/>
  <c r="R21" i="4"/>
  <c r="Q21" i="4"/>
  <c r="S4" i="33"/>
  <c r="C27" i="23"/>
  <c r="C52" i="23" s="1"/>
  <c r="I27" i="23"/>
  <c r="V21" i="4"/>
  <c r="T21" i="4"/>
  <c r="B21" i="4"/>
  <c r="O37" i="23"/>
  <c r="O31" i="4" s="1"/>
  <c r="O34" i="23"/>
  <c r="O28" i="4" s="1"/>
  <c r="O38" i="23"/>
  <c r="T37" i="4"/>
  <c r="B38" i="23"/>
  <c r="F37" i="4"/>
  <c r="L37" i="4"/>
  <c r="P37" i="4"/>
  <c r="S37" i="4"/>
  <c r="J37" i="4"/>
  <c r="H37" i="4"/>
  <c r="M37" i="4"/>
  <c r="Q4" i="4"/>
  <c r="Q62" i="4" s="1"/>
  <c r="H7" i="22"/>
  <c r="A44" i="22"/>
  <c r="H22" i="22"/>
  <c r="H19" i="22"/>
  <c r="H15" i="22"/>
  <c r="H25" i="22"/>
  <c r="H21" i="22"/>
  <c r="H18" i="22"/>
  <c r="P27" i="23"/>
  <c r="P52" i="23" s="1"/>
  <c r="H20" i="22"/>
  <c r="H17" i="22"/>
  <c r="H23" i="22"/>
  <c r="H16" i="22"/>
  <c r="A49" i="22"/>
  <c r="J4" i="1"/>
  <c r="J4" i="4" s="1"/>
  <c r="J4" i="23"/>
  <c r="J45" i="23" s="1"/>
  <c r="M4" i="23"/>
  <c r="M27" i="23" s="1"/>
  <c r="H10" i="22"/>
  <c r="M4" i="1"/>
  <c r="M4" i="4" s="1"/>
  <c r="H13" i="22"/>
  <c r="H12" i="22"/>
  <c r="H11" i="22"/>
  <c r="L45" i="1"/>
  <c r="L27" i="1"/>
  <c r="L52" i="1" s="1"/>
  <c r="H9" i="22"/>
  <c r="H8" i="22"/>
  <c r="O32" i="23"/>
  <c r="O31" i="23"/>
  <c r="O25" i="4" s="1"/>
  <c r="O30" i="23"/>
  <c r="O24" i="4" s="1"/>
  <c r="B33" i="23"/>
  <c r="B27" i="4" s="1"/>
  <c r="B28" i="23"/>
  <c r="B30" i="23"/>
  <c r="B24" i="4" s="1"/>
  <c r="B34" i="23"/>
  <c r="B28" i="4" s="1"/>
  <c r="B35" i="23"/>
  <c r="O28" i="23"/>
  <c r="B31" i="23"/>
  <c r="B25" i="4" s="1"/>
  <c r="B29" i="23"/>
  <c r="B23" i="4" s="1"/>
  <c r="Q32" i="1"/>
  <c r="P32" i="1"/>
  <c r="P10" i="4" s="1"/>
  <c r="D4" i="4"/>
  <c r="O29" i="1"/>
  <c r="O7" i="4" s="1"/>
  <c r="B27" i="23"/>
  <c r="B52" i="23" s="1"/>
  <c r="K45" i="23"/>
  <c r="E27" i="23"/>
  <c r="E52" i="23" s="1"/>
  <c r="Q30" i="1"/>
  <c r="Q8" i="4" s="1"/>
  <c r="B29" i="1"/>
  <c r="B7" i="4" s="1"/>
  <c r="P35" i="1"/>
  <c r="P13" i="4" s="1"/>
  <c r="P31" i="1"/>
  <c r="P9" i="4" s="1"/>
  <c r="H22" i="23"/>
  <c r="P37" i="1"/>
  <c r="F22" i="23"/>
  <c r="O36" i="1"/>
  <c r="H45" i="23"/>
  <c r="R31" i="1"/>
  <c r="R9" i="4" s="1"/>
  <c r="R22" i="4"/>
  <c r="V22" i="4"/>
  <c r="U29" i="4"/>
  <c r="T27" i="4"/>
  <c r="J21" i="4"/>
  <c r="E37" i="4"/>
  <c r="M21" i="4"/>
  <c r="R28" i="1"/>
  <c r="R30" i="1"/>
  <c r="R8" i="4" s="1"/>
  <c r="L21" i="4"/>
  <c r="U21" i="4"/>
  <c r="R29" i="1"/>
  <c r="R7" i="4" s="1"/>
  <c r="D21" i="4"/>
  <c r="C37" i="4"/>
  <c r="I37" i="4"/>
  <c r="K21" i="4"/>
  <c r="P36" i="1"/>
  <c r="P14" i="4" s="1"/>
  <c r="R32" i="1"/>
  <c r="C21" i="4"/>
  <c r="B37" i="4"/>
  <c r="D37" i="4"/>
  <c r="G37" i="4"/>
  <c r="O34" i="1"/>
  <c r="O12" i="4" s="1"/>
  <c r="O35" i="1"/>
  <c r="O13" i="4" s="1"/>
  <c r="O33" i="1"/>
  <c r="O11" i="4" s="1"/>
  <c r="O30" i="1"/>
  <c r="O8" i="4" s="1"/>
  <c r="B31" i="1"/>
  <c r="B9" i="4" s="1"/>
  <c r="O31" i="1"/>
  <c r="O9" i="4" s="1"/>
  <c r="B32" i="1"/>
  <c r="D28" i="1"/>
  <c r="C32" i="1"/>
  <c r="B28" i="1"/>
  <c r="D32" i="1"/>
  <c r="B30" i="1"/>
  <c r="B8" i="4" s="1"/>
  <c r="C28" i="1"/>
  <c r="D31" i="1"/>
  <c r="D9" i="4" s="1"/>
  <c r="O28" i="1"/>
  <c r="C30" i="1"/>
  <c r="C8" i="4" s="1"/>
  <c r="C31" i="1"/>
  <c r="C9" i="4" s="1"/>
  <c r="D29" i="1"/>
  <c r="D7" i="4" s="1"/>
  <c r="D30" i="1"/>
  <c r="V6" i="4"/>
  <c r="G21" i="4"/>
  <c r="I21" i="4"/>
  <c r="F21" i="4"/>
  <c r="H21" i="4"/>
  <c r="E21" i="4"/>
  <c r="L52" i="23"/>
  <c r="D17" i="4"/>
  <c r="F8" i="4"/>
  <c r="J10" i="4"/>
  <c r="C4" i="4"/>
  <c r="A47" i="22"/>
  <c r="G27" i="23"/>
  <c r="G52" i="23" s="1"/>
  <c r="A50" i="22"/>
  <c r="H50" i="22" s="1"/>
  <c r="K27" i="23"/>
  <c r="L22" i="1"/>
  <c r="I7" i="4"/>
  <c r="D27" i="1"/>
  <c r="D52" i="1" s="1"/>
  <c r="D45" i="1"/>
  <c r="D22" i="23"/>
  <c r="D45" i="23"/>
  <c r="D27" i="23"/>
  <c r="D52" i="23" s="1"/>
  <c r="F45" i="23"/>
  <c r="E22" i="23"/>
  <c r="G22" i="23"/>
  <c r="K22" i="23"/>
  <c r="L45" i="23"/>
  <c r="O22" i="23"/>
  <c r="Q22" i="23"/>
  <c r="B22" i="23"/>
  <c r="C22" i="23"/>
  <c r="L22" i="23"/>
  <c r="Q27" i="23"/>
  <c r="Q52" i="23" s="1"/>
  <c r="O27" i="23"/>
  <c r="O52" i="23" s="1"/>
  <c r="E45" i="1"/>
  <c r="B27" i="1"/>
  <c r="B52" i="1" s="1"/>
  <c r="K27" i="1"/>
  <c r="K52" i="1" s="1"/>
  <c r="F4" i="4"/>
  <c r="G22" i="1"/>
  <c r="F45" i="1"/>
  <c r="C22" i="1"/>
  <c r="B22" i="1"/>
  <c r="G45" i="1"/>
  <c r="E27" i="1"/>
  <c r="E52" i="1" s="1"/>
  <c r="E22" i="1"/>
  <c r="I22" i="1"/>
  <c r="I27" i="1"/>
  <c r="P27" i="1"/>
  <c r="P52" i="1" s="1"/>
  <c r="H4" i="4"/>
  <c r="F22" i="1"/>
  <c r="I4" i="4"/>
  <c r="G4" i="4"/>
  <c r="C27" i="1"/>
  <c r="C52" i="1" s="1"/>
  <c r="B45" i="1"/>
  <c r="K74" i="4"/>
  <c r="G2" i="12" s="1"/>
  <c r="K22" i="1"/>
  <c r="H22" i="1"/>
  <c r="O4" i="4"/>
  <c r="H45" i="1"/>
  <c r="O45" i="1"/>
  <c r="P4" i="4"/>
  <c r="K45" i="1"/>
  <c r="P45" i="1"/>
  <c r="O27" i="1"/>
  <c r="O52" i="1" s="1"/>
  <c r="I52" i="1"/>
  <c r="K55" i="4"/>
  <c r="B55" i="4"/>
  <c r="H9" i="12"/>
  <c r="H10" i="12" s="1"/>
  <c r="G9" i="12"/>
  <c r="G10" i="12" s="1"/>
  <c r="E9" i="12"/>
  <c r="E10" i="12" s="1"/>
  <c r="L55" i="4"/>
  <c r="E74" i="4"/>
  <c r="B74" i="4"/>
  <c r="T9" i="12"/>
  <c r="T10" i="12" s="1"/>
  <c r="F9" i="12"/>
  <c r="F10" i="12" s="1"/>
  <c r="L9" i="12"/>
  <c r="L10" i="12" s="1"/>
  <c r="J9" i="12"/>
  <c r="J10" i="12" s="1"/>
  <c r="R9" i="12"/>
  <c r="R10" i="12" s="1"/>
  <c r="M56" i="23"/>
  <c r="C56" i="1"/>
  <c r="T56" i="23"/>
  <c r="R56" i="1"/>
  <c r="T56" i="1"/>
  <c r="J56" i="23"/>
  <c r="J56" i="1"/>
  <c r="I56" i="1"/>
  <c r="L56" i="1"/>
  <c r="G56" i="23"/>
  <c r="D56" i="23"/>
  <c r="O56" i="23"/>
  <c r="K56" i="23"/>
  <c r="G56" i="1"/>
  <c r="B56" i="23"/>
  <c r="L56" i="23"/>
  <c r="H56" i="1"/>
  <c r="S56" i="23"/>
  <c r="F56" i="1"/>
  <c r="K56" i="1"/>
  <c r="Q56" i="23"/>
  <c r="R56" i="23"/>
  <c r="U56" i="1"/>
  <c r="L78" i="4"/>
  <c r="S56" i="1"/>
  <c r="V56" i="23"/>
  <c r="E56" i="1"/>
  <c r="F56" i="23"/>
  <c r="D56" i="1"/>
  <c r="I56" i="23"/>
  <c r="O56" i="1"/>
  <c r="P56" i="23"/>
  <c r="M56" i="1"/>
  <c r="Q56" i="1"/>
  <c r="P56" i="1"/>
  <c r="C56" i="23"/>
  <c r="U56" i="23"/>
  <c r="V56" i="1"/>
  <c r="B56" i="1"/>
  <c r="E56" i="23"/>
  <c r="H56" i="23"/>
  <c r="P46" i="23" l="1"/>
  <c r="P53" i="23" s="1"/>
  <c r="T46" i="1"/>
  <c r="T53" i="1" s="1"/>
  <c r="S46" i="1"/>
  <c r="S53" i="1" s="1"/>
  <c r="F47" i="23"/>
  <c r="F48" i="23" s="1"/>
  <c r="F54" i="23" s="1"/>
  <c r="J46" i="23"/>
  <c r="J53" i="23" s="1"/>
  <c r="H46" i="23"/>
  <c r="H53" i="23" s="1"/>
  <c r="S47" i="23"/>
  <c r="S48" i="23" s="1"/>
  <c r="S54" i="23" s="1"/>
  <c r="E46" i="23"/>
  <c r="E53" i="23" s="1"/>
  <c r="Q46" i="23"/>
  <c r="Q53" i="23" s="1"/>
  <c r="R47" i="23"/>
  <c r="R48" i="23" s="1"/>
  <c r="R54" i="23" s="1"/>
  <c r="U47" i="23"/>
  <c r="U48" i="23" s="1"/>
  <c r="U54" i="23" s="1"/>
  <c r="P47" i="23"/>
  <c r="P48" i="23" s="1"/>
  <c r="P54" i="23" s="1"/>
  <c r="V47" i="23"/>
  <c r="V48" i="23" s="1"/>
  <c r="V54" i="23" s="1"/>
  <c r="U46" i="23"/>
  <c r="U53" i="23" s="1"/>
  <c r="S46" i="23"/>
  <c r="S53" i="23" s="1"/>
  <c r="J47" i="23"/>
  <c r="J48" i="23" s="1"/>
  <c r="J54" i="23" s="1"/>
  <c r="Q47" i="23"/>
  <c r="Q48" i="23" s="1"/>
  <c r="Q54" i="23" s="1"/>
  <c r="F22" i="4"/>
  <c r="T47" i="23"/>
  <c r="T48" i="23" s="1"/>
  <c r="T54" i="23" s="1"/>
  <c r="V46" i="23"/>
  <c r="V53" i="23" s="1"/>
  <c r="T46" i="23"/>
  <c r="T53" i="23" s="1"/>
  <c r="P23" i="4"/>
  <c r="R46" i="23"/>
  <c r="R53" i="23" s="1"/>
  <c r="V46" i="1"/>
  <c r="V53" i="1" s="1"/>
  <c r="S47" i="1"/>
  <c r="S48" i="1" s="1"/>
  <c r="S54" i="1" s="1"/>
  <c r="U47" i="1"/>
  <c r="U48" i="1" s="1"/>
  <c r="U54" i="1" s="1"/>
  <c r="V47" i="1"/>
  <c r="V48" i="1" s="1"/>
  <c r="V54" i="1" s="1"/>
  <c r="T47" i="1"/>
  <c r="T48" i="1" s="1"/>
  <c r="T54" i="1" s="1"/>
  <c r="U46" i="1"/>
  <c r="U53" i="1" s="1"/>
  <c r="F46" i="1"/>
  <c r="F53" i="1" s="1"/>
  <c r="P57" i="23"/>
  <c r="Q57" i="23"/>
  <c r="S57" i="23"/>
  <c r="U57" i="23"/>
  <c r="R57" i="23"/>
  <c r="V57" i="23"/>
  <c r="T57" i="23"/>
  <c r="Q23" i="4"/>
  <c r="M47" i="23"/>
  <c r="M48" i="23" s="1"/>
  <c r="M54" i="23" s="1"/>
  <c r="S23" i="4"/>
  <c r="S63" i="4" s="1"/>
  <c r="S64" i="4" s="1"/>
  <c r="U23" i="4"/>
  <c r="U63" i="4" s="1"/>
  <c r="U64" i="4" s="1"/>
  <c r="R24" i="4"/>
  <c r="V24" i="4"/>
  <c r="V57" i="4" s="1"/>
  <c r="V58" i="4" s="1"/>
  <c r="V76" i="4" s="1"/>
  <c r="T22" i="4"/>
  <c r="T63" i="4" s="1"/>
  <c r="T64" i="4" s="1"/>
  <c r="J57" i="23"/>
  <c r="I46" i="23"/>
  <c r="I53" i="23" s="1"/>
  <c r="M46" i="23"/>
  <c r="M53" i="23" s="1"/>
  <c r="F46" i="23"/>
  <c r="F53" i="23" s="1"/>
  <c r="C47" i="23"/>
  <c r="C48" i="23" s="1"/>
  <c r="C54" i="23" s="1"/>
  <c r="C46" i="23"/>
  <c r="C53" i="23" s="1"/>
  <c r="E47" i="23"/>
  <c r="E48" i="23" s="1"/>
  <c r="E54" i="23" s="1"/>
  <c r="H47" i="23"/>
  <c r="H48" i="23" s="1"/>
  <c r="H54" i="23" s="1"/>
  <c r="L46" i="23"/>
  <c r="L53" i="23" s="1"/>
  <c r="I47" i="23"/>
  <c r="I48" i="23" s="1"/>
  <c r="I54" i="23" s="1"/>
  <c r="H57" i="23"/>
  <c r="I57" i="23"/>
  <c r="D46" i="23"/>
  <c r="D53" i="23" s="1"/>
  <c r="L47" i="23"/>
  <c r="L48" i="23" s="1"/>
  <c r="L54" i="23" s="1"/>
  <c r="D47" i="23"/>
  <c r="D48" i="23" s="1"/>
  <c r="D54" i="23" s="1"/>
  <c r="H25" i="4"/>
  <c r="K46" i="23"/>
  <c r="K53" i="23" s="1"/>
  <c r="I28" i="4"/>
  <c r="K47" i="23"/>
  <c r="K48" i="23" s="1"/>
  <c r="K54" i="23" s="1"/>
  <c r="K57" i="23"/>
  <c r="L57" i="23"/>
  <c r="M57" i="23"/>
  <c r="K23" i="4"/>
  <c r="M23" i="4"/>
  <c r="G57" i="23"/>
  <c r="E57" i="23"/>
  <c r="F57" i="23"/>
  <c r="D57" i="23"/>
  <c r="C57" i="23"/>
  <c r="G46" i="23"/>
  <c r="G53" i="23" s="1"/>
  <c r="G47" i="23"/>
  <c r="G48" i="23" s="1"/>
  <c r="G54" i="23" s="1"/>
  <c r="G22" i="4"/>
  <c r="F23" i="4"/>
  <c r="T57" i="1"/>
  <c r="S57" i="1"/>
  <c r="V57" i="1"/>
  <c r="U57" i="1"/>
  <c r="L46" i="1"/>
  <c r="L53" i="1" s="1"/>
  <c r="J47" i="1"/>
  <c r="J48" i="1" s="1"/>
  <c r="J54" i="1" s="1"/>
  <c r="M47" i="1"/>
  <c r="M48" i="1" s="1"/>
  <c r="M54" i="1" s="1"/>
  <c r="L47" i="1"/>
  <c r="L48" i="1" s="1"/>
  <c r="L54" i="1" s="1"/>
  <c r="K46" i="1"/>
  <c r="K53" i="1" s="1"/>
  <c r="J46" i="1"/>
  <c r="J53" i="1" s="1"/>
  <c r="K47" i="1"/>
  <c r="K48" i="1" s="1"/>
  <c r="K54" i="1" s="1"/>
  <c r="M46" i="1"/>
  <c r="M53" i="1" s="1"/>
  <c r="K57" i="1"/>
  <c r="L57" i="1"/>
  <c r="J57" i="1"/>
  <c r="M57" i="1"/>
  <c r="L63" i="4"/>
  <c r="L64" i="4" s="1"/>
  <c r="P47" i="1"/>
  <c r="P48" i="1" s="1"/>
  <c r="P54" i="1" s="1"/>
  <c r="K6" i="4"/>
  <c r="J8" i="4"/>
  <c r="J63" i="4" s="1"/>
  <c r="J64" i="4" s="1"/>
  <c r="M7" i="4"/>
  <c r="D6" i="4"/>
  <c r="R6" i="4"/>
  <c r="C6" i="4"/>
  <c r="B22" i="4"/>
  <c r="I6" i="4"/>
  <c r="P7" i="4"/>
  <c r="E6" i="4"/>
  <c r="H6" i="4"/>
  <c r="F6" i="4"/>
  <c r="O6" i="4"/>
  <c r="B6" i="4"/>
  <c r="G6" i="4"/>
  <c r="Q7" i="4"/>
  <c r="V63" i="4"/>
  <c r="V64" i="4" s="1"/>
  <c r="H47" i="22"/>
  <c r="H49" i="22"/>
  <c r="H44" i="22"/>
  <c r="A46" i="22"/>
  <c r="H46" i="22" s="1"/>
  <c r="T27" i="33"/>
  <c r="T52" i="33" s="1"/>
  <c r="A34" i="22"/>
  <c r="H34" i="22" s="1"/>
  <c r="A35" i="22"/>
  <c r="H35" i="22" s="1"/>
  <c r="T45" i="33"/>
  <c r="A38" i="22"/>
  <c r="H38" i="22" s="1"/>
  <c r="A42" i="22"/>
  <c r="H42" i="22" s="1"/>
  <c r="A40" i="22"/>
  <c r="H40" i="22" s="1"/>
  <c r="I47" i="1"/>
  <c r="I48" i="1" s="1"/>
  <c r="I54" i="1" s="1"/>
  <c r="F47" i="1"/>
  <c r="F48" i="1" s="1"/>
  <c r="F54" i="1" s="1"/>
  <c r="G47" i="1"/>
  <c r="G48" i="1" s="1"/>
  <c r="G54" i="1" s="1"/>
  <c r="E47" i="1"/>
  <c r="E48" i="1" s="1"/>
  <c r="E54" i="1" s="1"/>
  <c r="Q46" i="1"/>
  <c r="Q53" i="1" s="1"/>
  <c r="E46" i="1"/>
  <c r="E53" i="1" s="1"/>
  <c r="Q47" i="1"/>
  <c r="Q48" i="1" s="1"/>
  <c r="Q54" i="1" s="1"/>
  <c r="I46" i="1"/>
  <c r="I53" i="1" s="1"/>
  <c r="Q74" i="4"/>
  <c r="A51" i="22"/>
  <c r="H51" i="22" s="1"/>
  <c r="A45" i="22"/>
  <c r="H45" i="22" s="1"/>
  <c r="H57" i="1"/>
  <c r="G57" i="1"/>
  <c r="F57" i="1"/>
  <c r="I57" i="1"/>
  <c r="E57" i="1"/>
  <c r="H7" i="4"/>
  <c r="G46" i="1"/>
  <c r="G53" i="1" s="1"/>
  <c r="H46" i="1"/>
  <c r="H53" i="1" s="1"/>
  <c r="H47" i="1"/>
  <c r="H48" i="1" s="1"/>
  <c r="H54" i="1" s="1"/>
  <c r="G11" i="4"/>
  <c r="F9" i="4"/>
  <c r="I13" i="4"/>
  <c r="E12" i="4"/>
  <c r="I55" i="4"/>
  <c r="I62" i="4"/>
  <c r="U57" i="4"/>
  <c r="U58" i="4" s="1"/>
  <c r="U76" i="4" s="1"/>
  <c r="L56" i="4"/>
  <c r="L75" i="4" s="1"/>
  <c r="O55" i="4"/>
  <c r="O62" i="4"/>
  <c r="F55" i="4"/>
  <c r="F62" i="4"/>
  <c r="M55" i="4"/>
  <c r="M62" i="4"/>
  <c r="J55" i="4"/>
  <c r="J62" i="4"/>
  <c r="L57" i="4"/>
  <c r="L58" i="4" s="1"/>
  <c r="L76" i="4" s="1"/>
  <c r="P55" i="4"/>
  <c r="P62" i="4"/>
  <c r="G55" i="4"/>
  <c r="G62" i="4"/>
  <c r="H74" i="4"/>
  <c r="H62" i="4"/>
  <c r="U22" i="33"/>
  <c r="U45" i="33"/>
  <c r="U27" i="33"/>
  <c r="U52" i="33" s="1"/>
  <c r="R45" i="33"/>
  <c r="R27" i="33"/>
  <c r="R52" i="33" s="1"/>
  <c r="R22" i="33"/>
  <c r="C74" i="4"/>
  <c r="C62" i="4"/>
  <c r="D55" i="4"/>
  <c r="D62" i="4"/>
  <c r="S27" i="33"/>
  <c r="S52" i="33" s="1"/>
  <c r="S22" i="33"/>
  <c r="S45" i="33"/>
  <c r="A36" i="22"/>
  <c r="H36" i="22" s="1"/>
  <c r="V4" i="33"/>
  <c r="Q55" i="4"/>
  <c r="V4" i="1"/>
  <c r="V45" i="1" s="1"/>
  <c r="O32" i="4"/>
  <c r="Q10" i="4"/>
  <c r="B32" i="4"/>
  <c r="H55" i="4"/>
  <c r="R10" i="4"/>
  <c r="O14" i="4"/>
  <c r="P15" i="4"/>
  <c r="V4" i="23"/>
  <c r="V45" i="23" s="1"/>
  <c r="B10" i="4"/>
  <c r="A32" i="22"/>
  <c r="H32" i="22" s="1"/>
  <c r="D13" i="28"/>
  <c r="D9" i="28"/>
  <c r="D5" i="28"/>
  <c r="D14" i="28"/>
  <c r="D10" i="28"/>
  <c r="D6" i="28"/>
  <c r="D15" i="28"/>
  <c r="D11" i="28"/>
  <c r="D7" i="28"/>
  <c r="D3" i="28"/>
  <c r="D12" i="28"/>
  <c r="D8" i="28"/>
  <c r="D4" i="28"/>
  <c r="L79" i="4"/>
  <c r="O26" i="4"/>
  <c r="P46" i="1"/>
  <c r="P53" i="1" s="1"/>
  <c r="A37" i="22"/>
  <c r="H37" i="22" s="1"/>
  <c r="U4" i="1"/>
  <c r="U22" i="1" s="1"/>
  <c r="M74" i="4"/>
  <c r="I2" i="12" s="1"/>
  <c r="M27" i="1"/>
  <c r="M52" i="1" s="1"/>
  <c r="M22" i="1"/>
  <c r="J52" i="1"/>
  <c r="J74" i="4"/>
  <c r="F2" i="12" s="1"/>
  <c r="J27" i="1"/>
  <c r="J45" i="1"/>
  <c r="A48" i="22"/>
  <c r="H48" i="22" s="1"/>
  <c r="S4" i="1"/>
  <c r="A33" i="22"/>
  <c r="H33" i="22" s="1"/>
  <c r="S4" i="23"/>
  <c r="A43" i="22"/>
  <c r="H43" i="22" s="1"/>
  <c r="A41" i="22"/>
  <c r="H41" i="22" s="1"/>
  <c r="A39" i="22"/>
  <c r="H39" i="22" s="1"/>
  <c r="C55" i="4"/>
  <c r="U4" i="23"/>
  <c r="U22" i="23" s="1"/>
  <c r="J22" i="23"/>
  <c r="J52" i="23"/>
  <c r="J22" i="1"/>
  <c r="J27" i="23"/>
  <c r="R4" i="1"/>
  <c r="R22" i="1" s="1"/>
  <c r="R4" i="23"/>
  <c r="R22" i="23" s="1"/>
  <c r="M52" i="23"/>
  <c r="M22" i="23"/>
  <c r="M45" i="23"/>
  <c r="L2" i="12"/>
  <c r="M45" i="1"/>
  <c r="B46" i="23"/>
  <c r="B53" i="23" s="1"/>
  <c r="B55" i="23" s="1"/>
  <c r="O46" i="23"/>
  <c r="O53" i="23" s="1"/>
  <c r="O55" i="23" s="1"/>
  <c r="O47" i="23"/>
  <c r="O48" i="23" s="1"/>
  <c r="O54" i="23" s="1"/>
  <c r="B47" i="23"/>
  <c r="B48" i="23" s="1"/>
  <c r="B54" i="23" s="1"/>
  <c r="B57" i="23"/>
  <c r="O57" i="23"/>
  <c r="B29" i="4"/>
  <c r="O22" i="4"/>
  <c r="R47" i="1"/>
  <c r="R48" i="1" s="1"/>
  <c r="R54" i="1" s="1"/>
  <c r="Q57" i="1"/>
  <c r="D74" i="4"/>
  <c r="M2" i="12"/>
  <c r="R46" i="1"/>
  <c r="R53" i="1" s="1"/>
  <c r="J2" i="12"/>
  <c r="C47" i="1"/>
  <c r="C48" i="1" s="1"/>
  <c r="C54" i="1" s="1"/>
  <c r="G74" i="4"/>
  <c r="D57" i="1"/>
  <c r="R57" i="1"/>
  <c r="P57" i="1"/>
  <c r="O57" i="1"/>
  <c r="C57" i="1"/>
  <c r="D10" i="4"/>
  <c r="C10" i="4"/>
  <c r="B57" i="1"/>
  <c r="C46" i="1"/>
  <c r="C53" i="1" s="1"/>
  <c r="B46" i="1"/>
  <c r="B53" i="1" s="1"/>
  <c r="B47" i="1"/>
  <c r="B48" i="1" s="1"/>
  <c r="B54" i="1" s="1"/>
  <c r="D46" i="1"/>
  <c r="D53" i="1" s="1"/>
  <c r="O47" i="1"/>
  <c r="O48" i="1" s="1"/>
  <c r="O54" i="1" s="1"/>
  <c r="O46" i="1"/>
  <c r="O53" i="1" s="1"/>
  <c r="O55" i="1" s="1"/>
  <c r="D47" i="1"/>
  <c r="D48" i="1" s="1"/>
  <c r="D54" i="1" s="1"/>
  <c r="D8" i="4"/>
  <c r="T4" i="1"/>
  <c r="T4" i="23"/>
  <c r="F74" i="4"/>
  <c r="I74" i="4"/>
  <c r="O74" i="4"/>
  <c r="P74" i="4"/>
  <c r="AD2" i="12"/>
  <c r="G78" i="4"/>
  <c r="Q78" i="4"/>
  <c r="U78" i="4"/>
  <c r="J78" i="4"/>
  <c r="B78" i="4"/>
  <c r="O78" i="4"/>
  <c r="F78" i="4"/>
  <c r="R78" i="4"/>
  <c r="C78" i="4"/>
  <c r="T78" i="4"/>
  <c r="D78" i="4"/>
  <c r="M78" i="4"/>
  <c r="S78" i="4"/>
  <c r="K78" i="4"/>
  <c r="V78" i="4"/>
  <c r="H78" i="4"/>
  <c r="I78" i="4"/>
  <c r="E78" i="4"/>
  <c r="P78" i="4"/>
  <c r="V56" i="4" l="1"/>
  <c r="V75" i="4" s="1"/>
  <c r="T56" i="4"/>
  <c r="T75" i="4" s="1"/>
  <c r="T57" i="4"/>
  <c r="T58" i="4" s="1"/>
  <c r="T76" i="4" s="1"/>
  <c r="U56" i="4"/>
  <c r="U75" i="4" s="1"/>
  <c r="S57" i="4"/>
  <c r="S58" i="4" s="1"/>
  <c r="S76" i="4" s="1"/>
  <c r="C63" i="4"/>
  <c r="C64" i="4" s="1"/>
  <c r="S56" i="4"/>
  <c r="S75" i="4" s="1"/>
  <c r="K56" i="4"/>
  <c r="K75" i="4" s="1"/>
  <c r="F63" i="4"/>
  <c r="F64" i="4" s="1"/>
  <c r="U79" i="4"/>
  <c r="T79" i="4"/>
  <c r="S79" i="4"/>
  <c r="V79" i="4"/>
  <c r="K57" i="4"/>
  <c r="K58" i="4" s="1"/>
  <c r="K76" i="4" s="1"/>
  <c r="F55" i="23"/>
  <c r="M56" i="4"/>
  <c r="M75" i="4" s="1"/>
  <c r="C55" i="23"/>
  <c r="M57" i="4"/>
  <c r="M58" i="4" s="1"/>
  <c r="M76" i="4" s="1"/>
  <c r="R63" i="4"/>
  <c r="R64" i="4" s="1"/>
  <c r="J56" i="4"/>
  <c r="J75" i="4" s="1"/>
  <c r="J57" i="4"/>
  <c r="J58" i="4" s="1"/>
  <c r="J76" i="4" s="1"/>
  <c r="H56" i="4"/>
  <c r="H75" i="4" s="1"/>
  <c r="I57" i="4"/>
  <c r="I58" i="4" s="1"/>
  <c r="I76" i="4" s="1"/>
  <c r="K79" i="4"/>
  <c r="M79" i="4"/>
  <c r="J79" i="4"/>
  <c r="V4" i="4"/>
  <c r="V55" i="4" s="1"/>
  <c r="K63" i="4"/>
  <c r="K64" i="4" s="1"/>
  <c r="M63" i="4"/>
  <c r="M64" i="4" s="1"/>
  <c r="G55" i="1"/>
  <c r="I63" i="4"/>
  <c r="I64" i="4" s="1"/>
  <c r="P55" i="23"/>
  <c r="V55" i="23"/>
  <c r="Q55" i="23"/>
  <c r="U55" i="23"/>
  <c r="T55" i="1"/>
  <c r="R55" i="23"/>
  <c r="T55" i="23"/>
  <c r="V55" i="1"/>
  <c r="R55" i="1"/>
  <c r="P55" i="1"/>
  <c r="S55" i="1"/>
  <c r="U55" i="1"/>
  <c r="Q55" i="1"/>
  <c r="S55" i="23"/>
  <c r="D63" i="4"/>
  <c r="D64" i="4" s="1"/>
  <c r="B63" i="4"/>
  <c r="B64" i="4" s="1"/>
  <c r="O63" i="4"/>
  <c r="O64" i="4" s="1"/>
  <c r="G56" i="4"/>
  <c r="G75" i="4" s="1"/>
  <c r="H57" i="4"/>
  <c r="H58" i="4" s="1"/>
  <c r="H76" i="4" s="1"/>
  <c r="H63" i="4"/>
  <c r="H64" i="4" s="1"/>
  <c r="P63" i="4"/>
  <c r="P64" i="4" s="1"/>
  <c r="G63" i="4"/>
  <c r="G64" i="4" s="1"/>
  <c r="E63" i="4"/>
  <c r="E64" i="4" s="1"/>
  <c r="Q63" i="4"/>
  <c r="Q64" i="4" s="1"/>
  <c r="V27" i="23"/>
  <c r="V52" i="23" s="1"/>
  <c r="I56" i="4"/>
  <c r="I75" i="4" s="1"/>
  <c r="H3" i="12" s="1"/>
  <c r="J4" i="12"/>
  <c r="M4" i="12"/>
  <c r="L4" i="12"/>
  <c r="U45" i="1"/>
  <c r="V22" i="1"/>
  <c r="V22" i="23"/>
  <c r="V27" i="1"/>
  <c r="V52" i="1" s="1"/>
  <c r="G57" i="4"/>
  <c r="G58" i="4" s="1"/>
  <c r="G76" i="4" s="1"/>
  <c r="F57" i="4"/>
  <c r="F58" i="4" s="1"/>
  <c r="F76" i="4" s="1"/>
  <c r="B56" i="4"/>
  <c r="E79" i="4"/>
  <c r="G79" i="4"/>
  <c r="I79" i="4"/>
  <c r="H79" i="4"/>
  <c r="F79" i="4"/>
  <c r="E57" i="4"/>
  <c r="E58" i="4" s="1"/>
  <c r="E76" i="4" s="1"/>
  <c r="E56" i="4"/>
  <c r="E75" i="4" s="1"/>
  <c r="F56" i="4"/>
  <c r="F75" i="4" s="1"/>
  <c r="P57" i="4"/>
  <c r="P58" i="4" s="1"/>
  <c r="P76" i="4" s="1"/>
  <c r="R56" i="4"/>
  <c r="R75" i="4" s="1"/>
  <c r="D56" i="4"/>
  <c r="D75" i="4" s="1"/>
  <c r="B57" i="4"/>
  <c r="B58" i="4" s="1"/>
  <c r="B76" i="4" s="1"/>
  <c r="V45" i="33"/>
  <c r="V27" i="33"/>
  <c r="V52" i="33" s="1"/>
  <c r="V22" i="33"/>
  <c r="D57" i="4"/>
  <c r="D58" i="4" s="1"/>
  <c r="D76" i="4" s="1"/>
  <c r="O57" i="4"/>
  <c r="O58" i="4" s="1"/>
  <c r="C57" i="4"/>
  <c r="C58" i="4" s="1"/>
  <c r="C76" i="4" s="1"/>
  <c r="Q2" i="12"/>
  <c r="Q4" i="12" s="1"/>
  <c r="P2" i="12"/>
  <c r="P4" i="12" s="1"/>
  <c r="Q56" i="4"/>
  <c r="Q75" i="4" s="1"/>
  <c r="O56" i="4"/>
  <c r="O75" i="4" s="1"/>
  <c r="T77" i="4" s="1"/>
  <c r="C56" i="4"/>
  <c r="C75" i="4" s="1"/>
  <c r="R2" i="12"/>
  <c r="R4" i="12" s="1"/>
  <c r="P56" i="4"/>
  <c r="R57" i="4"/>
  <c r="R58" i="4" s="1"/>
  <c r="R76" i="4" s="1"/>
  <c r="Q57" i="4"/>
  <c r="Q58" i="4" s="1"/>
  <c r="Q76" i="4" s="1"/>
  <c r="Q79" i="4"/>
  <c r="P79" i="4"/>
  <c r="R79" i="4"/>
  <c r="U4" i="4"/>
  <c r="F2" i="27"/>
  <c r="O2" i="12"/>
  <c r="O4" i="12" s="1"/>
  <c r="U27" i="1"/>
  <c r="U52" i="1" s="1"/>
  <c r="C79" i="4"/>
  <c r="D79" i="4"/>
  <c r="K15" i="28"/>
  <c r="K13" i="28"/>
  <c r="K11" i="28"/>
  <c r="K9" i="28"/>
  <c r="K7" i="28"/>
  <c r="K5" i="28"/>
  <c r="L14" i="28"/>
  <c r="L12" i="28"/>
  <c r="L10" i="28"/>
  <c r="L8" i="28"/>
  <c r="L6" i="28"/>
  <c r="L4" i="28"/>
  <c r="L15" i="28"/>
  <c r="L13" i="28"/>
  <c r="L11" i="28"/>
  <c r="L9" i="28"/>
  <c r="L7" i="28"/>
  <c r="L5" i="28"/>
  <c r="K14" i="28"/>
  <c r="K12" i="28"/>
  <c r="K10" i="28"/>
  <c r="K8" i="28"/>
  <c r="K6" i="28"/>
  <c r="K4" i="28"/>
  <c r="L55" i="23"/>
  <c r="D55" i="23"/>
  <c r="H55" i="23"/>
  <c r="K55" i="23"/>
  <c r="J55" i="23"/>
  <c r="M55" i="23"/>
  <c r="G55" i="23"/>
  <c r="E55" i="23"/>
  <c r="I55" i="23"/>
  <c r="R59" i="23"/>
  <c r="R60" i="23" s="1"/>
  <c r="O79" i="4"/>
  <c r="B79" i="4"/>
  <c r="B64" i="23"/>
  <c r="L59" i="23"/>
  <c r="L60" i="23" s="1"/>
  <c r="F59" i="23"/>
  <c r="F60" i="23" s="1"/>
  <c r="Q59" i="23"/>
  <c r="V59" i="23"/>
  <c r="V60" i="23" s="1"/>
  <c r="P59" i="23"/>
  <c r="P60" i="23" s="1"/>
  <c r="T59" i="23"/>
  <c r="U59" i="23"/>
  <c r="U60" i="23" s="1"/>
  <c r="S59" i="23"/>
  <c r="S60" i="23" s="1"/>
  <c r="B65" i="23"/>
  <c r="N2" i="12"/>
  <c r="N4" i="12" s="1"/>
  <c r="R45" i="23"/>
  <c r="S4" i="4"/>
  <c r="S62" i="4" s="1"/>
  <c r="S45" i="1"/>
  <c r="S27" i="1"/>
  <c r="S52" i="1" s="1"/>
  <c r="S22" i="1"/>
  <c r="S2" i="12"/>
  <c r="S4" i="12" s="1"/>
  <c r="U27" i="23"/>
  <c r="U52" i="23" s="1"/>
  <c r="U45" i="23"/>
  <c r="S45" i="23"/>
  <c r="S27" i="23"/>
  <c r="S52" i="23" s="1"/>
  <c r="S22" i="23"/>
  <c r="R45" i="1"/>
  <c r="R4" i="4"/>
  <c r="R62" i="4" s="1"/>
  <c r="R27" i="1"/>
  <c r="R52" i="1" s="1"/>
  <c r="R27" i="23"/>
  <c r="R52" i="23" s="1"/>
  <c r="C59" i="23"/>
  <c r="C60" i="23" s="1"/>
  <c r="E59" i="23"/>
  <c r="J59" i="23"/>
  <c r="J60" i="23" s="1"/>
  <c r="K59" i="23"/>
  <c r="K60" i="23" s="1"/>
  <c r="D59" i="23"/>
  <c r="D60" i="23" s="1"/>
  <c r="I59" i="23"/>
  <c r="I60" i="23" s="1"/>
  <c r="O59" i="23"/>
  <c r="O60" i="23" s="1"/>
  <c r="G59" i="23"/>
  <c r="G60" i="23" s="1"/>
  <c r="H59" i="23"/>
  <c r="H60" i="23" s="1"/>
  <c r="M59" i="23"/>
  <c r="M60" i="23" s="1"/>
  <c r="O76" i="4"/>
  <c r="C55" i="1"/>
  <c r="H55" i="1"/>
  <c r="F55" i="1"/>
  <c r="I55" i="1"/>
  <c r="L55" i="1"/>
  <c r="J55" i="1"/>
  <c r="D55" i="1"/>
  <c r="K55" i="1"/>
  <c r="E55" i="1"/>
  <c r="O59" i="1"/>
  <c r="J59" i="1"/>
  <c r="J60" i="1" s="1"/>
  <c r="F59" i="1"/>
  <c r="F60" i="1" s="1"/>
  <c r="M59" i="1"/>
  <c r="M60" i="1" s="1"/>
  <c r="I59" i="1"/>
  <c r="I60" i="1" s="1"/>
  <c r="E59" i="1"/>
  <c r="E60" i="1" s="1"/>
  <c r="L59" i="1"/>
  <c r="L60" i="1" s="1"/>
  <c r="H59" i="1"/>
  <c r="H60" i="1" s="1"/>
  <c r="D59" i="1"/>
  <c r="K59" i="1"/>
  <c r="K60" i="1" s="1"/>
  <c r="C59" i="1"/>
  <c r="C60" i="1" s="1"/>
  <c r="G59" i="1"/>
  <c r="G60" i="1" s="1"/>
  <c r="M55" i="1"/>
  <c r="T59" i="1"/>
  <c r="T60" i="1" s="1"/>
  <c r="P59" i="1"/>
  <c r="P60" i="1" s="1"/>
  <c r="S59" i="1"/>
  <c r="S60" i="1" s="1"/>
  <c r="V59" i="1"/>
  <c r="V60" i="1" s="1"/>
  <c r="R59" i="1"/>
  <c r="R60" i="1" s="1"/>
  <c r="U59" i="1"/>
  <c r="U60" i="1" s="1"/>
  <c r="Q59" i="1"/>
  <c r="Q60" i="1" s="1"/>
  <c r="B65" i="1"/>
  <c r="B64" i="1"/>
  <c r="B55" i="1"/>
  <c r="T27" i="23"/>
  <c r="T52" i="23" s="1"/>
  <c r="T45" i="23"/>
  <c r="T22" i="23"/>
  <c r="J3" i="12"/>
  <c r="T27" i="1"/>
  <c r="T52" i="1" s="1"/>
  <c r="T45" i="1"/>
  <c r="T4" i="4"/>
  <c r="T62" i="4" s="1"/>
  <c r="T22" i="1"/>
  <c r="O60" i="1"/>
  <c r="T60" i="23"/>
  <c r="Q60" i="23"/>
  <c r="E60" i="23"/>
  <c r="D60" i="1"/>
  <c r="V62" i="4" l="1"/>
  <c r="V74" i="4"/>
  <c r="Z2" i="12" s="1"/>
  <c r="AH2" i="12"/>
  <c r="I3" i="12"/>
  <c r="F3" i="12"/>
  <c r="F4" i="12"/>
  <c r="H4" i="12"/>
  <c r="G3" i="12"/>
  <c r="J80" i="4"/>
  <c r="I4" i="12"/>
  <c r="G4" i="12"/>
  <c r="F4" i="27"/>
  <c r="AA2" i="12"/>
  <c r="P75" i="4"/>
  <c r="B5" i="27" s="1"/>
  <c r="O81" i="4"/>
  <c r="O82" i="4" s="1"/>
  <c r="AE2" i="12"/>
  <c r="U74" i="4"/>
  <c r="Y2" i="12" s="1"/>
  <c r="U62" i="4"/>
  <c r="B6" i="12"/>
  <c r="B6" i="27"/>
  <c r="R61" i="23"/>
  <c r="U55" i="4"/>
  <c r="F3" i="27"/>
  <c r="V77" i="4"/>
  <c r="U77" i="4"/>
  <c r="O77" i="4"/>
  <c r="S77" i="4"/>
  <c r="Q77" i="4"/>
  <c r="R77" i="4"/>
  <c r="P81" i="4"/>
  <c r="P82" i="4" s="1"/>
  <c r="Q81" i="4"/>
  <c r="B86" i="4"/>
  <c r="B87" i="4"/>
  <c r="B75" i="4"/>
  <c r="M61" i="23"/>
  <c r="I61" i="23"/>
  <c r="E61" i="23"/>
  <c r="D61" i="23"/>
  <c r="C61" i="23"/>
  <c r="Q61" i="23"/>
  <c r="U61" i="23"/>
  <c r="P61" i="23"/>
  <c r="F61" i="23"/>
  <c r="H61" i="23"/>
  <c r="K61" i="23"/>
  <c r="G61" i="23"/>
  <c r="J61" i="23"/>
  <c r="S61" i="23"/>
  <c r="T61" i="23"/>
  <c r="V61" i="23"/>
  <c r="L61" i="23"/>
  <c r="D61" i="1"/>
  <c r="U61" i="1"/>
  <c r="S61" i="1"/>
  <c r="G61" i="1"/>
  <c r="M61" i="1"/>
  <c r="L61" i="1"/>
  <c r="T61" i="1"/>
  <c r="E61" i="1"/>
  <c r="F61" i="1"/>
  <c r="K61" i="1"/>
  <c r="I61" i="1"/>
  <c r="J61" i="1"/>
  <c r="V61" i="1"/>
  <c r="H61" i="1"/>
  <c r="O3" i="12"/>
  <c r="R3" i="12"/>
  <c r="S3" i="12"/>
  <c r="N3" i="12"/>
  <c r="M3" i="12"/>
  <c r="L3" i="12"/>
  <c r="AC2" i="12"/>
  <c r="S55" i="4"/>
  <c r="S74" i="4"/>
  <c r="W2" i="12" s="1"/>
  <c r="AG2" i="12"/>
  <c r="R55" i="4"/>
  <c r="R74" i="4"/>
  <c r="AD4" i="12" s="1"/>
  <c r="P3" i="12"/>
  <c r="Q3" i="12"/>
  <c r="K2" i="12"/>
  <c r="K4" i="12" s="1"/>
  <c r="B4" i="27"/>
  <c r="B4" i="12"/>
  <c r="O61" i="1"/>
  <c r="Q61" i="1"/>
  <c r="P61" i="1"/>
  <c r="C61" i="1"/>
  <c r="R61" i="1"/>
  <c r="AB2" i="12"/>
  <c r="AB4" i="12" s="1"/>
  <c r="AF2" i="12"/>
  <c r="T55" i="4"/>
  <c r="T74" i="4"/>
  <c r="Q82" i="4"/>
  <c r="B5" i="12" l="1"/>
  <c r="P77" i="4"/>
  <c r="AE4" i="12"/>
  <c r="Z4" i="12"/>
  <c r="W4" i="12"/>
  <c r="AG4" i="12"/>
  <c r="AC4" i="12"/>
  <c r="AH4" i="12"/>
  <c r="AF4" i="12"/>
  <c r="Y4" i="12"/>
  <c r="AA4" i="12"/>
  <c r="K77" i="4"/>
  <c r="J77" i="4"/>
  <c r="G77" i="4"/>
  <c r="F77" i="4"/>
  <c r="L77" i="4"/>
  <c r="B77" i="4"/>
  <c r="B2" i="27"/>
  <c r="G6" i="27" s="1"/>
  <c r="M77" i="4"/>
  <c r="I77" i="4"/>
  <c r="I3" i="28" s="1"/>
  <c r="B2" i="12"/>
  <c r="E6" i="12" s="1"/>
  <c r="H77" i="4"/>
  <c r="D77" i="4"/>
  <c r="C77" i="4"/>
  <c r="E77" i="4"/>
  <c r="AG8" i="12"/>
  <c r="U8" i="12"/>
  <c r="AJ8" i="12"/>
  <c r="AB8" i="12"/>
  <c r="Z8" i="12"/>
  <c r="AC8" i="12"/>
  <c r="V8" i="12"/>
  <c r="X8" i="12"/>
  <c r="AH8" i="12"/>
  <c r="AD8" i="12"/>
  <c r="AI8" i="12"/>
  <c r="W8" i="12"/>
  <c r="Y8" i="12"/>
  <c r="AE8" i="12"/>
  <c r="AA8" i="12"/>
  <c r="AF8" i="12"/>
  <c r="H8" i="27"/>
  <c r="H9" i="27" s="1"/>
  <c r="H10" i="27" s="1"/>
  <c r="J8" i="27"/>
  <c r="J9" i="27" s="1"/>
  <c r="J10" i="27" s="1"/>
  <c r="I8" i="27"/>
  <c r="I9" i="27" s="1"/>
  <c r="I10" i="27" s="1"/>
  <c r="Q5" i="12"/>
  <c r="R5" i="12"/>
  <c r="P83" i="4"/>
  <c r="S5" i="12"/>
  <c r="Q83" i="4"/>
  <c r="P5" i="12"/>
  <c r="O83" i="4"/>
  <c r="O61" i="23"/>
  <c r="AG3" i="12"/>
  <c r="AD3" i="12"/>
  <c r="AE3" i="12"/>
  <c r="AC3" i="12"/>
  <c r="W3" i="12"/>
  <c r="Y3" i="12"/>
  <c r="I2" i="27"/>
  <c r="I4" i="27" s="1"/>
  <c r="V2" i="12"/>
  <c r="V4" i="12" s="1"/>
  <c r="J2" i="28"/>
  <c r="K3" i="12"/>
  <c r="F2" i="28"/>
  <c r="J3" i="28"/>
  <c r="F3" i="28"/>
  <c r="Z3" i="12"/>
  <c r="AA3" i="12"/>
  <c r="AH3" i="12"/>
  <c r="I2" i="28"/>
  <c r="E3" i="28"/>
  <c r="AH7" i="12"/>
  <c r="AD7" i="12"/>
  <c r="AC7" i="12"/>
  <c r="V7" i="12"/>
  <c r="AI7" i="12"/>
  <c r="AG7" i="12"/>
  <c r="W7" i="12"/>
  <c r="X7" i="12"/>
  <c r="Y7" i="12"/>
  <c r="U7" i="12"/>
  <c r="AA7" i="12"/>
  <c r="AE7" i="12"/>
  <c r="Z7" i="12"/>
  <c r="AF7" i="12"/>
  <c r="AB7" i="12"/>
  <c r="AJ7" i="12"/>
  <c r="I7" i="27"/>
  <c r="H7" i="27"/>
  <c r="J7" i="27"/>
  <c r="AF3" i="12"/>
  <c r="F15" i="28"/>
  <c r="F8" i="28"/>
  <c r="AB3" i="12"/>
  <c r="F9" i="28"/>
  <c r="F13" i="28"/>
  <c r="J13" i="28"/>
  <c r="F5" i="28"/>
  <c r="F4" i="28"/>
  <c r="J11" i="28"/>
  <c r="J9" i="28"/>
  <c r="F14" i="28"/>
  <c r="F12" i="28"/>
  <c r="J6" i="28"/>
  <c r="J7" i="28"/>
  <c r="F11" i="28"/>
  <c r="F6" i="28"/>
  <c r="J14" i="28"/>
  <c r="J5" i="28"/>
  <c r="J8" i="28"/>
  <c r="F10" i="28"/>
  <c r="J10" i="28"/>
  <c r="J4" i="28"/>
  <c r="J12" i="28"/>
  <c r="F7" i="28"/>
  <c r="J15" i="28"/>
  <c r="AI2" i="12"/>
  <c r="AI4" i="12" s="1"/>
  <c r="X2" i="12"/>
  <c r="X4" i="12" s="1"/>
  <c r="E13" i="28" l="1"/>
  <c r="I15" i="28"/>
  <c r="I10" i="28"/>
  <c r="E8" i="28"/>
  <c r="I14" i="28"/>
  <c r="E11" i="28"/>
  <c r="E7" i="28"/>
  <c r="I12" i="28"/>
  <c r="I4" i="28"/>
  <c r="E6" i="28"/>
  <c r="E15" i="28"/>
  <c r="I11" i="28"/>
  <c r="I7" i="28"/>
  <c r="E12" i="28"/>
  <c r="I6" i="28"/>
  <c r="E4" i="28"/>
  <c r="E9" i="28"/>
  <c r="I5" i="28"/>
  <c r="I9" i="28"/>
  <c r="I13" i="28"/>
  <c r="I8" i="28"/>
  <c r="E5" i="28"/>
  <c r="E10" i="28"/>
  <c r="E14" i="28"/>
  <c r="AF9" i="12"/>
  <c r="AF10" i="12" s="1"/>
  <c r="W9" i="12"/>
  <c r="W10" i="12" s="1"/>
  <c r="X9" i="12"/>
  <c r="X10" i="12" s="1"/>
  <c r="AB9" i="12"/>
  <c r="AB10" i="12" s="1"/>
  <c r="AA9" i="12"/>
  <c r="AA10" i="12" s="1"/>
  <c r="AI9" i="12"/>
  <c r="AI10" i="12" s="1"/>
  <c r="V9" i="12"/>
  <c r="V10" i="12" s="1"/>
  <c r="AJ9" i="12"/>
  <c r="AJ10" i="12" s="1"/>
  <c r="AE9" i="12"/>
  <c r="AE10" i="12" s="1"/>
  <c r="AD9" i="12"/>
  <c r="AD10" i="12" s="1"/>
  <c r="AC9" i="12"/>
  <c r="AC10" i="12" s="1"/>
  <c r="U9" i="12"/>
  <c r="U10" i="12" s="1"/>
  <c r="Y9" i="12"/>
  <c r="Y10" i="12" s="1"/>
  <c r="AH9" i="12"/>
  <c r="AH10" i="12" s="1"/>
  <c r="Z9" i="12"/>
  <c r="Z10" i="12" s="1"/>
  <c r="AG9" i="12"/>
  <c r="AG10" i="12" s="1"/>
  <c r="E2" i="28"/>
  <c r="T6" i="12"/>
  <c r="R6" i="12"/>
  <c r="K6" i="12"/>
  <c r="I6" i="12"/>
  <c r="O6" i="12"/>
  <c r="Q6" i="12"/>
  <c r="F6" i="27"/>
  <c r="H6" i="12"/>
  <c r="F6" i="12"/>
  <c r="M6" i="12"/>
  <c r="G6" i="12"/>
  <c r="E6" i="27"/>
  <c r="S6" i="12"/>
  <c r="P6" i="12"/>
  <c r="L6" i="12"/>
  <c r="N6" i="12"/>
  <c r="J6" i="12"/>
  <c r="F49" i="22"/>
  <c r="F40" i="22"/>
  <c r="F44" i="22"/>
  <c r="F43" i="22"/>
  <c r="F47" i="22"/>
  <c r="AG5" i="12"/>
  <c r="AF5" i="12"/>
  <c r="Y5" i="12"/>
  <c r="F42" i="22"/>
  <c r="F37" i="22"/>
  <c r="F41" i="22"/>
  <c r="F48" i="22"/>
  <c r="AA5" i="12"/>
  <c r="Z5" i="12"/>
  <c r="AE5" i="12"/>
  <c r="F36" i="22"/>
  <c r="F35" i="22"/>
  <c r="F46" i="22"/>
  <c r="F34" i="22"/>
  <c r="F45" i="22"/>
  <c r="AH5" i="12"/>
  <c r="AB5" i="12"/>
  <c r="W5" i="12"/>
  <c r="F32" i="22"/>
  <c r="AC5" i="12"/>
  <c r="F33" i="22"/>
  <c r="F51" i="22"/>
  <c r="F39" i="22"/>
  <c r="F50" i="22"/>
  <c r="F38" i="22"/>
  <c r="AD5" i="12"/>
  <c r="O5" i="12"/>
  <c r="V3" i="12"/>
  <c r="V5" i="12"/>
  <c r="I3" i="27"/>
  <c r="I5" i="27"/>
  <c r="X3" i="12"/>
  <c r="X5" i="12"/>
  <c r="AI3" i="12"/>
  <c r="AI5" i="12"/>
  <c r="F26" i="22" l="1"/>
  <c r="G26" i="22" s="1"/>
  <c r="F7" i="22"/>
  <c r="G7" i="22" s="1"/>
  <c r="F19" i="22"/>
  <c r="G19" i="22" s="1"/>
  <c r="F23" i="22"/>
  <c r="G23" i="22" s="1"/>
  <c r="N5" i="12"/>
  <c r="M5" i="12"/>
  <c r="I5" i="12"/>
  <c r="F20" i="22"/>
  <c r="I20" i="22" s="1"/>
  <c r="F9" i="22"/>
  <c r="F12" i="22"/>
  <c r="G12" i="22" s="1"/>
  <c r="F16" i="22"/>
  <c r="G16" i="22" s="1"/>
  <c r="F22" i="22"/>
  <c r="I22" i="22" s="1"/>
  <c r="J5" i="12"/>
  <c r="F15" i="22"/>
  <c r="K15" i="22" s="1"/>
  <c r="M15" i="22" s="1"/>
  <c r="L5" i="12"/>
  <c r="F21" i="22"/>
  <c r="G21" i="22" s="1"/>
  <c r="F5" i="12"/>
  <c r="F24" i="22"/>
  <c r="G24" i="22" s="1"/>
  <c r="F10" i="22"/>
  <c r="F11" i="22"/>
  <c r="F13" i="22"/>
  <c r="I13" i="22" s="1"/>
  <c r="F14" i="22"/>
  <c r="I14" i="22" s="1"/>
  <c r="F18" i="22"/>
  <c r="G18" i="22" s="1"/>
  <c r="F8" i="22"/>
  <c r="G8" i="22" s="1"/>
  <c r="F5" i="27"/>
  <c r="F25" i="22"/>
  <c r="K25" i="22" s="1"/>
  <c r="M25" i="22" s="1"/>
  <c r="G5" i="12"/>
  <c r="H5" i="12"/>
  <c r="F17" i="22"/>
  <c r="K17" i="22" s="1"/>
  <c r="M17" i="22" s="1"/>
  <c r="K5" i="12"/>
  <c r="G51" i="22"/>
  <c r="J51" i="22" s="1"/>
  <c r="G44" i="22"/>
  <c r="J44" i="22" s="1"/>
  <c r="G38" i="22"/>
  <c r="J38" i="22" s="1"/>
  <c r="G33" i="22"/>
  <c r="J33" i="22" s="1"/>
  <c r="G46" i="22"/>
  <c r="J46" i="22" s="1"/>
  <c r="G37" i="22"/>
  <c r="J37" i="22" s="1"/>
  <c r="G40" i="22"/>
  <c r="J40" i="22" s="1"/>
  <c r="G41" i="22"/>
  <c r="J41" i="22" s="1"/>
  <c r="G50" i="22"/>
  <c r="J50" i="22" s="1"/>
  <c r="G35" i="22"/>
  <c r="J35" i="22" s="1"/>
  <c r="G42" i="22"/>
  <c r="J42" i="22" s="1"/>
  <c r="G47" i="22"/>
  <c r="J47" i="22" s="1"/>
  <c r="G49" i="22"/>
  <c r="J49" i="22" s="1"/>
  <c r="G34" i="22"/>
  <c r="J34" i="22" s="1"/>
  <c r="G39" i="22"/>
  <c r="J39" i="22" s="1"/>
  <c r="G32" i="22"/>
  <c r="J32" i="22" s="1"/>
  <c r="G45" i="22"/>
  <c r="J45" i="22" s="1"/>
  <c r="G36" i="22"/>
  <c r="J36" i="22" s="1"/>
  <c r="G48" i="22"/>
  <c r="J48" i="22" s="1"/>
  <c r="G43" i="22"/>
  <c r="J43" i="22" s="1"/>
  <c r="L3" i="28"/>
  <c r="I12" i="22" l="1"/>
  <c r="G13" i="22"/>
  <c r="K26" i="22"/>
  <c r="M26" i="22" s="1"/>
  <c r="I39" i="22"/>
  <c r="M39" i="22" s="1"/>
  <c r="I49" i="22"/>
  <c r="M49" i="22" s="1"/>
  <c r="I51" i="22"/>
  <c r="M51" i="22" s="1"/>
  <c r="I37" i="22"/>
  <c r="M37" i="22" s="1"/>
  <c r="I44" i="22"/>
  <c r="K39" i="22"/>
  <c r="N39" i="22" s="1"/>
  <c r="I38" i="22"/>
  <c r="I15" i="22"/>
  <c r="G15" i="22"/>
  <c r="K12" i="22"/>
  <c r="M12" i="22" s="1"/>
  <c r="K19" i="22"/>
  <c r="M19" i="22" s="1"/>
  <c r="K18" i="22"/>
  <c r="M18" i="22" s="1"/>
  <c r="K24" i="22"/>
  <c r="M24" i="22" s="1"/>
  <c r="G25" i="22"/>
  <c r="K14" i="22"/>
  <c r="M14" i="22" s="1"/>
  <c r="I36" i="22"/>
  <c r="I35" i="22"/>
  <c r="I48" i="22"/>
  <c r="I50" i="22"/>
  <c r="M50" i="22" s="1"/>
  <c r="G14" i="22"/>
  <c r="I41" i="22"/>
  <c r="I40" i="22"/>
  <c r="I43" i="22"/>
  <c r="I32" i="22"/>
  <c r="K2" i="28" s="1"/>
  <c r="K16" i="22"/>
  <c r="M16" i="22" s="1"/>
  <c r="I19" i="22"/>
  <c r="I42" i="22"/>
  <c r="I18" i="22"/>
  <c r="I33" i="22"/>
  <c r="I45" i="22"/>
  <c r="I34" i="22"/>
  <c r="K49" i="22"/>
  <c r="N49" i="22" s="1"/>
  <c r="I47" i="22"/>
  <c r="I46" i="22"/>
  <c r="K51" i="22"/>
  <c r="N51" i="22" s="1"/>
  <c r="G10" i="22"/>
  <c r="I10" i="22" s="1"/>
  <c r="K10" i="22" s="1"/>
  <c r="I25" i="22"/>
  <c r="I24" i="22"/>
  <c r="G9" i="22"/>
  <c r="I9" i="22" s="1"/>
  <c r="K9" i="22" s="1"/>
  <c r="M9" i="22" s="1"/>
  <c r="I7" i="22"/>
  <c r="G3" i="28" s="1"/>
  <c r="G22" i="22"/>
  <c r="K21" i="22"/>
  <c r="M21" i="22" s="1"/>
  <c r="G11" i="22"/>
  <c r="I11" i="22" s="1"/>
  <c r="K11" i="22" s="1"/>
  <c r="M11" i="22" s="1"/>
  <c r="I17" i="22"/>
  <c r="I26" i="22"/>
  <c r="G17" i="22"/>
  <c r="K13" i="22"/>
  <c r="M13" i="22" s="1"/>
  <c r="I16" i="22"/>
  <c r="G20" i="22"/>
  <c r="K23" i="22"/>
  <c r="M23" i="22" s="1"/>
  <c r="I21" i="22"/>
  <c r="K22" i="22"/>
  <c r="M22" i="22" s="1"/>
  <c r="I8" i="22"/>
  <c r="K8" i="22" s="1"/>
  <c r="M8" i="22" s="1"/>
  <c r="I23" i="22"/>
  <c r="K20" i="22"/>
  <c r="M20" i="22" s="1"/>
  <c r="H3" i="28"/>
  <c r="N15" i="22"/>
  <c r="N25" i="22"/>
  <c r="N17" i="22"/>
  <c r="K3" i="28"/>
  <c r="G8" i="28"/>
  <c r="G11" i="28"/>
  <c r="G6" i="28"/>
  <c r="G15" i="28"/>
  <c r="G7" i="28"/>
  <c r="G10" i="28"/>
  <c r="H6" i="28"/>
  <c r="H15" i="28"/>
  <c r="H9" i="28"/>
  <c r="H14" i="28"/>
  <c r="H10" i="28"/>
  <c r="H11" i="28"/>
  <c r="H8" i="28"/>
  <c r="H5" i="28"/>
  <c r="H7" i="28"/>
  <c r="M10" i="22" l="1"/>
  <c r="N10" i="22"/>
  <c r="K7" i="22"/>
  <c r="M7" i="22" s="1"/>
  <c r="N26" i="22"/>
  <c r="G14" i="28"/>
  <c r="G12" i="28"/>
  <c r="G13" i="28"/>
  <c r="K37" i="22"/>
  <c r="N37" i="22" s="1"/>
  <c r="H4" i="28"/>
  <c r="H13" i="28"/>
  <c r="H12" i="28"/>
  <c r="G5" i="28"/>
  <c r="G9" i="28"/>
  <c r="G4" i="28"/>
  <c r="K50" i="22"/>
  <c r="N50" i="22" s="1"/>
  <c r="M44" i="22"/>
  <c r="K44" i="22"/>
  <c r="N44" i="22" s="1"/>
  <c r="M38" i="22"/>
  <c r="K38" i="22"/>
  <c r="N38" i="22" s="1"/>
  <c r="N19" i="22"/>
  <c r="N18" i="22"/>
  <c r="N12" i="22"/>
  <c r="N24" i="22"/>
  <c r="K36" i="22"/>
  <c r="N36" i="22" s="1"/>
  <c r="N14" i="22"/>
  <c r="K35" i="22"/>
  <c r="N35" i="22" s="1"/>
  <c r="M41" i="22"/>
  <c r="K41" i="22"/>
  <c r="N41" i="22" s="1"/>
  <c r="G2" i="28"/>
  <c r="H2" i="28"/>
  <c r="N16" i="22"/>
  <c r="M40" i="22"/>
  <c r="K40" i="22"/>
  <c r="N40" i="22" s="1"/>
  <c r="M48" i="22"/>
  <c r="K48" i="22"/>
  <c r="N48" i="22" s="1"/>
  <c r="M46" i="22"/>
  <c r="K46" i="22"/>
  <c r="N46" i="22" s="1"/>
  <c r="K33" i="22"/>
  <c r="N33" i="22" s="1"/>
  <c r="K34" i="22"/>
  <c r="N34" i="22" s="1"/>
  <c r="K32" i="22"/>
  <c r="M32" i="22" s="1"/>
  <c r="M47" i="22"/>
  <c r="K47" i="22"/>
  <c r="N47" i="22" s="1"/>
  <c r="M45" i="22"/>
  <c r="K45" i="22"/>
  <c r="N45" i="22" s="1"/>
  <c r="M42" i="22"/>
  <c r="K42" i="22"/>
  <c r="N42" i="22" s="1"/>
  <c r="M43" i="22"/>
  <c r="K43" i="22"/>
  <c r="N43" i="22" s="1"/>
  <c r="N20" i="22"/>
  <c r="N13" i="22"/>
  <c r="N7" i="22"/>
  <c r="N8" i="22"/>
  <c r="N21" i="22"/>
  <c r="N11" i="22"/>
  <c r="N9" i="22"/>
  <c r="N23" i="22"/>
  <c r="N22" i="22"/>
  <c r="M33" i="22" l="1"/>
  <c r="M35" i="22"/>
  <c r="M34" i="22"/>
  <c r="M36" i="22"/>
  <c r="L2" i="28"/>
  <c r="N32" i="2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Auteur</author>
  </authors>
  <commentList>
    <comment ref="A68" authorId="0" shapeId="0" xr:uid="{00000000-0006-0000-0B00-000001000000}">
      <text>
        <r>
          <rPr>
            <b/>
            <sz val="9"/>
            <color indexed="81"/>
            <rFont val="Tahoma"/>
            <family val="2"/>
          </rPr>
          <t>A modifier si erreur dans le doc word - peut etre c'est Testo le témoin de référence</t>
        </r>
      </text>
    </comment>
    <comment ref="A69" authorId="0" shapeId="0" xr:uid="{00000000-0006-0000-0B00-000002000000}">
      <text>
        <r>
          <rPr>
            <b/>
            <sz val="9"/>
            <color indexed="81"/>
            <rFont val="Tahoma"/>
            <family val="2"/>
          </rPr>
          <t>A modifier si erreur dans le doc word - peut etre c'est Testo le témoin de référence</t>
        </r>
      </text>
    </comment>
  </commentList>
</comments>
</file>

<file path=xl/sharedStrings.xml><?xml version="1.0" encoding="utf-8"?>
<sst xmlns="http://schemas.openxmlformats.org/spreadsheetml/2006/main" count="7778" uniqueCount="4362">
  <si>
    <t>mean</t>
  </si>
  <si>
    <t>SD</t>
  </si>
  <si>
    <t>SEM</t>
  </si>
  <si>
    <t>avec testo</t>
  </si>
  <si>
    <t>Rep1</t>
  </si>
  <si>
    <t>Rep2</t>
  </si>
  <si>
    <t>Non dopé</t>
  </si>
  <si>
    <t>Code WF</t>
  </si>
  <si>
    <t>N°BDC :</t>
  </si>
  <si>
    <t>Etiquettes</t>
  </si>
  <si>
    <t>Moyenne</t>
  </si>
  <si>
    <t>STAT</t>
  </si>
  <si>
    <t>Témoin Evian</t>
  </si>
  <si>
    <t>Témoin Testo</t>
  </si>
  <si>
    <t>Zone rouge anti</t>
  </si>
  <si>
    <t>Zone verte</t>
  </si>
  <si>
    <t>Zone rouge pro</t>
  </si>
  <si>
    <t>R1</t>
  </si>
  <si>
    <t>R2</t>
  </si>
  <si>
    <t>Concentration</t>
  </si>
  <si>
    <t xml:space="preserve">Testo </t>
  </si>
  <si>
    <t>Date de réalisation :</t>
  </si>
  <si>
    <t>R3</t>
  </si>
  <si>
    <t>LOD</t>
  </si>
  <si>
    <t>LOQ</t>
  </si>
  <si>
    <t>ng/L EE2</t>
  </si>
  <si>
    <t>upper limit</t>
  </si>
  <si>
    <t>lower limit</t>
  </si>
  <si>
    <t>EE2 64ng/L</t>
  </si>
  <si>
    <t>Testosterone</t>
  </si>
  <si>
    <t>Testo+ Fad</t>
  </si>
  <si>
    <t>Testo+ EE2</t>
  </si>
  <si>
    <t>Mean</t>
  </si>
  <si>
    <t>Données brutes</t>
  </si>
  <si>
    <t>Données normalisées sur la moyenne du groupe "Testo"</t>
  </si>
  <si>
    <t>Nom sur le graphique</t>
  </si>
  <si>
    <t>1. Expérimentateur 1 : copier et coller le n° de prestation et renseigner la date de réalisation de chaque réplica ainsi que le visa de l'expérimentateur.</t>
  </si>
  <si>
    <t>2. Expérimentateur 1 : copier et coller la dilution appliquée et le nom donné pour chaque des échantillons par le client. Conserver la mise en forme de l'exemple en italique. Ne pas remplir la colonne "nom sur graphique".</t>
  </si>
  <si>
    <t>4. Expérimentateur 1 : réaliser les tests statistiques avec les données normalisées et renseigner les résultats ainsi que le test statistique utilisé dans le tableau violet.</t>
  </si>
  <si>
    <t>Eléments pour la mise en forme conditionnelles des résutats - calcul équivalent hormonal (eqH)</t>
  </si>
  <si>
    <t>3. Expérimentateur 1 : copier et coller les valeurs des intensités totales de fluorescences obtenues dans le fichier raw data lors du traitement des images.</t>
  </si>
  <si>
    <t>Noms des groupes</t>
  </si>
  <si>
    <t>EqH - testo</t>
  </si>
  <si>
    <t>6. Expérimentateur 2 : copier et coller les valeurs des intensités totales de fluorescences obtenues dans le fichier raw data lors du traitement des images. Ne pas supprimer les colonnes correspondant aux concentrations non lues.</t>
  </si>
  <si>
    <t>7. Expérimentateur 2 : réaliser les tests statistiques avec les données normalisées et renseigner les résultats ainsi que le test statistique utilisé dans le tableau violet.</t>
  </si>
  <si>
    <t>8. Expérimentateur 2 : se reporter à l'onglet "pooled normalised values".</t>
  </si>
  <si>
    <t>9. Expérimentateur 2 : vérifier que le nombre de valeurs est &gt; ou égale à 14. Vérifier que le nombre de valeurs est &gt; ou égale à 27 pour le groupe "Testo".</t>
  </si>
  <si>
    <t>Nom des groupes</t>
  </si>
  <si>
    <t>Moy.</t>
  </si>
  <si>
    <t>Nbre de valeurs</t>
  </si>
  <si>
    <t xml:space="preserve"> + Testostérone</t>
  </si>
  <si>
    <t>Nom de l'échantillon donné par le client</t>
  </si>
  <si>
    <t>5. Expérimentateur 1 : remplissage du suivi qualité (SQ) et transmission à l'expérimenteur 2.</t>
  </si>
  <si>
    <r>
      <t xml:space="preserve">11. Expérimentateur 2 : </t>
    </r>
    <r>
      <rPr>
        <b/>
        <sz val="20"/>
        <color rgb="FFFF0000"/>
        <rFont val="Calibri"/>
        <family val="2"/>
        <scheme val="minor"/>
      </rPr>
      <t>vérifier les valeurs des écarts type. En cas de valeur abbéantes ou incohérent, consulter le référent test.</t>
    </r>
  </si>
  <si>
    <t>12. Expérimentateur 2 : réaliser les tests statistiques avec les données du pool et renseigner les résultats ainsi que le test statistique utilisé dans le tableau violet.</t>
  </si>
  <si>
    <t xml:space="preserve">13. Expérimentateur 2 : masquer les colonnes de la feuille R1 et R2 correspondant au groupe des échantilons n'ayant été lu que sur le réplica 1.  </t>
  </si>
  <si>
    <r>
      <t xml:space="preserve">14. Expérimentateur 2 : vérifier la cohérence des deux réplicas et des réplicas avec le pool à l'aide des graphiques "Graph". En cas de divergences consulter </t>
    </r>
    <r>
      <rPr>
        <b/>
        <sz val="20"/>
        <color rgb="FFFF0000"/>
        <rFont val="Calibri"/>
        <family val="2"/>
        <scheme val="minor"/>
      </rPr>
      <t>le référent test.</t>
    </r>
  </si>
  <si>
    <r>
      <t xml:space="preserve">15. Expérimentateur 2 : réaliser le calcul de l'équivalent hormonal (eqh) à l'aide </t>
    </r>
    <r>
      <rPr>
        <b/>
        <sz val="20"/>
        <color rgb="FFFF0000"/>
        <rFont val="Calibri"/>
        <family val="2"/>
        <scheme val="minor"/>
      </rPr>
      <t>du logiciel et PRISM</t>
    </r>
    <r>
      <rPr>
        <b/>
        <sz val="20"/>
        <color theme="1"/>
        <rFont val="Calibri"/>
        <family val="2"/>
        <scheme val="minor"/>
      </rPr>
      <t>. Seules les moyennes des témoins, des échantillons non dopées apparraissant en vert et les moyennes des échantillons dopées étant statiquement différentes des témoins (*, **, ***) pourrons être calculées en eqh. Se reporter à l'onglet "summary results".</t>
    </r>
  </si>
  <si>
    <t>10. Expérimentateur 2 : vérifier que le calcul des ratio s'affiche en vert.</t>
  </si>
  <si>
    <t>Evian/EE2 488 ng /L &gt;=</t>
  </si>
  <si>
    <t>18. Expérimentateur 2 : transmission des résultats avec le SQ rempli au responsable du laboratoire.</t>
  </si>
  <si>
    <t>Ratio à atteindre</t>
  </si>
  <si>
    <t>Evian/Testo + EE2 64 ng/L &gt;=</t>
  </si>
  <si>
    <t>Evian/ Testo + FAD &lt;=</t>
  </si>
  <si>
    <t>Valeur fluo extrapolée</t>
  </si>
  <si>
    <t>Dilution</t>
  </si>
  <si>
    <t>EqH Extrapolation à 100%</t>
  </si>
  <si>
    <t xml:space="preserve">% atteinte du seuil </t>
  </si>
  <si>
    <t>Valeur échelle</t>
  </si>
  <si>
    <t>Etiquette</t>
  </si>
  <si>
    <t>Evian</t>
  </si>
  <si>
    <t>EE2 64ng/l</t>
  </si>
  <si>
    <t>Testostérone</t>
  </si>
  <si>
    <t>Testostérone+EE2</t>
  </si>
  <si>
    <t>Testostérone+FAD</t>
  </si>
  <si>
    <t>Unité</t>
  </si>
  <si>
    <t>Numéro ligne</t>
  </si>
  <si>
    <t>Valeur du seuil de référence</t>
  </si>
  <si>
    <t>Dopage (+Testostérone / + EE2, ….)</t>
  </si>
  <si>
    <t>% induction</t>
  </si>
  <si>
    <t>Résultat stat si NS</t>
  </si>
  <si>
    <t>Test de normalité : valeur du p</t>
  </si>
  <si>
    <t>Test statistique utilisé</t>
  </si>
  <si>
    <t>Test statistique : valeur du p</t>
  </si>
  <si>
    <t>Annotation</t>
  </si>
  <si>
    <t>Test de normalité : résultat normal?</t>
  </si>
  <si>
    <t>CHG-protocole</t>
  </si>
  <si>
    <t>CHG-dilution</t>
  </si>
  <si>
    <t>CHG-induction ND</t>
  </si>
  <si>
    <t>CHG-test ND</t>
  </si>
  <si>
    <t>CHG-EQH ND</t>
  </si>
  <si>
    <t>CHG-% atteinte du seuil ND</t>
  </si>
  <si>
    <t>CHG-induction D</t>
  </si>
  <si>
    <t>CHG-test D</t>
  </si>
  <si>
    <t>CHG-EQH D</t>
  </si>
  <si>
    <t>CHG-% atteinte seuil D</t>
  </si>
  <si>
    <t>CHG-Testo+EE2</t>
  </si>
  <si>
    <t>CHG-Testo+Fad</t>
  </si>
  <si>
    <t>Liste groupes dopés</t>
  </si>
  <si>
    <t>Liste groupes non dopés</t>
  </si>
  <si>
    <t>Étiquettes de lignes</t>
  </si>
  <si>
    <t>0-00 + Testostérone</t>
  </si>
  <si>
    <t>Nom ND</t>
  </si>
  <si>
    <t>Nom D</t>
  </si>
  <si>
    <t xml:space="preserve">16. Expérimentateur 2 : copier et coller les résultats obtenus dans prisme selon l'ordre défini. </t>
  </si>
  <si>
    <t xml:space="preserve">17. Expérimentateur 2: </t>
  </si>
  <si>
    <t>(vide)</t>
  </si>
  <si>
    <t>Nom groupe</t>
  </si>
  <si>
    <t>N° de valeur</t>
  </si>
  <si>
    <t>file name</t>
  </si>
  <si>
    <t xml:space="preserve"> total area </t>
  </si>
  <si>
    <t xml:space="preserve"> mean intensity </t>
  </si>
  <si>
    <t xml:space="preserve"> </t>
  </si>
  <si>
    <t xml:space="preserve"> total fluorescence</t>
  </si>
  <si>
    <t>Étiquettes de colonnes</t>
  </si>
  <si>
    <t>Numéro d'expérience :</t>
  </si>
  <si>
    <t>Rep3</t>
  </si>
  <si>
    <t xml:space="preserve">         </t>
  </si>
  <si>
    <t>nbre de larves</t>
  </si>
  <si>
    <t>(Tous)</t>
  </si>
  <si>
    <t>Filtre lignes : Enlever (vide) et Néant</t>
  </si>
  <si>
    <t>Filtre colonnes : Enlever (vide) et "    "</t>
  </si>
  <si>
    <t>Tous les groupes du gamme sont normale?</t>
  </si>
  <si>
    <t>Témoin</t>
  </si>
  <si>
    <t>ng/L</t>
  </si>
  <si>
    <t>Témoin solvant</t>
  </si>
  <si>
    <t>EE2</t>
  </si>
  <si>
    <t>µg/L</t>
  </si>
  <si>
    <t xml:space="preserve">Testo 30µg/L + EE2 </t>
  </si>
  <si>
    <t>mg/L</t>
  </si>
  <si>
    <t>Testo 30µg/L + FAD</t>
  </si>
  <si>
    <t>(Plusieurs éléments)</t>
  </si>
  <si>
    <t>Description</t>
  </si>
  <si>
    <t>Problème</t>
  </si>
  <si>
    <t>Diminution de fluo en non dopé</t>
  </si>
  <si>
    <t>Impossible de calculer un EQH et pas de seuil déterminé donc impossible d'évaluer si l'échantillon dépasse un seuil</t>
  </si>
  <si>
    <t>Non calculable</t>
  </si>
  <si>
    <t>% de variation de fluo</t>
  </si>
  <si>
    <t>% atteinte du seuil RAPPORT</t>
  </si>
  <si>
    <t>EqH RAPPORT</t>
  </si>
  <si>
    <t>Valeur échelle sur graphique RAPPORT</t>
  </si>
  <si>
    <t>EqH BASE DE DONNEES</t>
  </si>
  <si>
    <t>% BASE DE DONNEES</t>
  </si>
  <si>
    <t>Mettre le % de variation de fluo avec un renvoi: "*: variation de fluorescence non-calibrée"</t>
  </si>
  <si>
    <t xml:space="preserve">C:\Users\Olympus\Desktop\20190122\plaque1/@01 EE2 0/A1_1.tif </t>
  </si>
  <si>
    <t xml:space="preserve">C:\Users\Olympus\Desktop\20190122\plaque1/@01 EE2 0/A1_2.tif </t>
  </si>
  <si>
    <t xml:space="preserve">C:\Users\Olympus\Desktop\20190122\plaque1/@01 EE2 0/A1_3.tif </t>
  </si>
  <si>
    <t xml:space="preserve"> 4931.616 </t>
  </si>
  <si>
    <t xml:space="preserve"> 73.0526 </t>
  </si>
  <si>
    <t xml:space="preserve"> 5234.4345 </t>
  </si>
  <si>
    <t xml:space="preserve"> 71.1281 </t>
  </si>
  <si>
    <t xml:space="preserve"> 3547.3027 </t>
  </si>
  <si>
    <t xml:space="preserve"> 66.9878 </t>
  </si>
  <si>
    <t>01 EE2 0</t>
  </si>
  <si>
    <t>Moyenne de  total fluorescence</t>
  </si>
  <si>
    <t xml:space="preserve">C:\Users\Olympus\Desktop\20190122\plaque3/@01 EE2 0/A1_1.tif </t>
  </si>
  <si>
    <t xml:space="preserve"> 15984.4921 </t>
  </si>
  <si>
    <t xml:space="preserve"> 69.7767 </t>
  </si>
  <si>
    <t xml:space="preserve">C:\Users\Olympus\Desktop\20190122\plaque3/@01 EE2 0/A1_2.tif </t>
  </si>
  <si>
    <t xml:space="preserve"> 21586.6348 </t>
  </si>
  <si>
    <t xml:space="preserve"> 66.4108 </t>
  </si>
  <si>
    <t xml:space="preserve">C:\Users\Olympus\Desktop\20190122\plaque3/@01 EE2 0/A1_3.tif </t>
  </si>
  <si>
    <t xml:space="preserve"> 21456.8555 </t>
  </si>
  <si>
    <t xml:space="preserve"> 67.0655 </t>
  </si>
  <si>
    <t>A</t>
  </si>
  <si>
    <t>n'utilisez pas cette ligne SVP</t>
  </si>
  <si>
    <t>ns</t>
  </si>
  <si>
    <t>&gt;0,99</t>
  </si>
  <si>
    <t>***</t>
  </si>
  <si>
    <t>&lt;0,001</t>
  </si>
  <si>
    <t>Kruskal-Wallis</t>
  </si>
  <si>
    <t>ANOVA</t>
  </si>
  <si>
    <t xml:space="preserve">file name </t>
  </si>
  <si>
    <t>C:\Users\andre\Desktop\REACTIV CEFAS\Fadrozole\Fadrozole/20201201_Cefas_Test8_Run1/Plate 1/@1/A10_01- exclu.tif</t>
  </si>
  <si>
    <t>C:\Users\andre\Desktop\REACTIV CEFAS\Fadrozole\Fadrozole/20201201_Cefas_Test8_Run1/Plate 1/@1/A10_02- exclu.tif</t>
  </si>
  <si>
    <t>C:\Users\andre\Desktop\REACTIV CEFAS\Fadrozole\Fadrozole/20201201_Cefas_Test8_Run1/Plate 1/@1/A10_03- exclu.tif</t>
  </si>
  <si>
    <t>C:\Users\andre\Desktop\REACTIV CEFAS\Fadrozole\Fadrozole/20201201_Cefas_Test8_Run1/Plate 1/@1/B10_01- exclu.tif</t>
  </si>
  <si>
    <t>C:\Users\andre\Desktop\REACTIV CEFAS\Fadrozole\Fadrozole/20201201_Cefas_Test8_Run1/Plate 1/@1/B10_02- exclu.tif</t>
  </si>
  <si>
    <t xml:space="preserve">C:\Users\andre\Desktop\REACTIV CEFAS\Fadrozole\Fadrozole/20201201_Cefas_Test8_Run1/Plate 1/@1/B10_03.tif </t>
  </si>
  <si>
    <t xml:space="preserve"> 7267.6446 </t>
  </si>
  <si>
    <t xml:space="preserve"> 37.8036 </t>
  </si>
  <si>
    <t xml:space="preserve">C:\Users\andre\Desktop\REACTIV CEFAS\Fadrozole\Fadrozole/20201201_Cefas_Test8_Run1/Plate 1/@1/C10_01.tif </t>
  </si>
  <si>
    <t xml:space="preserve"> 6986.456 </t>
  </si>
  <si>
    <t xml:space="preserve"> 39.4241 </t>
  </si>
  <si>
    <t xml:space="preserve">C:\Users\andre\Desktop\REACTIV CEFAS\Fadrozole\Fadrozole/20201201_Cefas_Test8_Run1/Plate 1/@1/C10_02.tif </t>
  </si>
  <si>
    <t xml:space="preserve"> 6186.1499 </t>
  </si>
  <si>
    <t xml:space="preserve"> 39.8147 </t>
  </si>
  <si>
    <t xml:space="preserve">C:\Users\andre\Desktop\REACTIV CEFAS\Fadrozole\Fadrozole/20201201_Cefas_Test8_Run1/Plate 1/@1/C10_03.tif </t>
  </si>
  <si>
    <t xml:space="preserve"> 5991.4808 </t>
  </si>
  <si>
    <t xml:space="preserve"> 37.9639 </t>
  </si>
  <si>
    <t xml:space="preserve">C:\Users\andre\Desktop\REACTIV CEFAS\Fadrozole\Fadrozole/20201201_Cefas_Test8_Run1/Plate 1/@1/D10_01.tif </t>
  </si>
  <si>
    <t xml:space="preserve"> 3655.4522 </t>
  </si>
  <si>
    <t xml:space="preserve"> 34.5503 </t>
  </si>
  <si>
    <t xml:space="preserve">C:\Users\andre\Desktop\REACTIV CEFAS\Fadrozole\Fadrozole/20201201_Cefas_Test8_Run1/Plate 1/@1/D10_02.tif </t>
  </si>
  <si>
    <t xml:space="preserve"> 7592.093 </t>
  </si>
  <si>
    <t xml:space="preserve"> 32.9202 </t>
  </si>
  <si>
    <t xml:space="preserve">C:\Users\andre\Desktop\REACTIV CEFAS\Fadrozole\Fadrozole/20201201_Cefas_Test8_Run1/Plate 1/@1/D10_03.tif </t>
  </si>
  <si>
    <t xml:space="preserve"> 1838.541 </t>
  </si>
  <si>
    <t xml:space="preserve"> 33.2235 </t>
  </si>
  <si>
    <t xml:space="preserve">C:\Users\andre\Desktop\REACTIV CEFAS\Fadrozole\Fadrozole/20201201_Cefas_Test8_Run1/Plate 1/@1/E10_01.tif </t>
  </si>
  <si>
    <t xml:space="preserve"> 1752.0215 </t>
  </si>
  <si>
    <t xml:space="preserve"> 37.358 </t>
  </si>
  <si>
    <t xml:space="preserve">C:\Users\andre\Desktop\REACTIV CEFAS\Fadrozole\Fadrozole/20201201_Cefas_Test8_Run1/Plate 1/@1/E10_02.tif </t>
  </si>
  <si>
    <t xml:space="preserve"> 194.6691 </t>
  </si>
  <si>
    <t xml:space="preserve"> 31.4444 </t>
  </si>
  <si>
    <t xml:space="preserve">C:\Users\andre\Desktop\REACTIV CEFAS\Fadrozole\Fadrozole/20201201_Cefas_Test8_Run1/Plate 1/@1/E10_03.tif </t>
  </si>
  <si>
    <t xml:space="preserve">C:\Users\andre\Desktop\REACTIV CEFAS\Fadrozole\Fadrozole/20201201_Cefas_Test8_Run1/Plate 1/@1/F10_01.tif </t>
  </si>
  <si>
    <t xml:space="preserve"> 4412.4985 </t>
  </si>
  <si>
    <t xml:space="preserve"> 35.7255 </t>
  </si>
  <si>
    <t xml:space="preserve">C:\Users\andre\Desktop\REACTIV CEFAS\Fadrozole\Fadrozole/20201201_Cefas_Test8_Run1/Plate 1/@1/F10_02.tif </t>
  </si>
  <si>
    <t xml:space="preserve"> 800.3061 </t>
  </si>
  <si>
    <t xml:space="preserve"> 32.2703 </t>
  </si>
  <si>
    <t xml:space="preserve">C:\Users\andre\Desktop\REACTIV CEFAS\Fadrozole\Fadrozole/20201201_Cefas_Test8_Run1/Plate 1/@1/F10_03.tif </t>
  </si>
  <si>
    <t xml:space="preserve">C:\Users\andre\Desktop\REACTIV CEFAS\Fadrozole\Fadrozole/20201201_Cefas_Test8_Run1/Plate 1/@1/G10_01.tif </t>
  </si>
  <si>
    <t xml:space="preserve">C:\Users\andre\Desktop\REACTIV CEFAS\Fadrozole\Fadrozole/20201201_Cefas_Test8_Run1/Plate 1/@1/G10_02.tif </t>
  </si>
  <si>
    <t xml:space="preserve"> 21.6299 </t>
  </si>
  <si>
    <t xml:space="preserve">C:\Users\andre\Desktop\REACTIV CEFAS\Fadrozole\Fadrozole/20201201_Cefas_Test8_Run1/Plate 1/@1/G10_03.tif </t>
  </si>
  <si>
    <t xml:space="preserve">C:\Users\andre\Desktop\REACTIV CEFAS\Fadrozole\Fadrozole/20201201_Cefas_Test8_Run1/Plate 1/@1/H10_01.tif </t>
  </si>
  <si>
    <t xml:space="preserve"> 562.3773 </t>
  </si>
  <si>
    <t xml:space="preserve"> 31.4231 </t>
  </si>
  <si>
    <t xml:space="preserve">C:\Users\andre\Desktop\REACTIV CEFAS\Fadrozole\Fadrozole/20201201_Cefas_Test8_Run1/Plate 1/@1/H10_02.tif </t>
  </si>
  <si>
    <t xml:space="preserve"> 6467.3385 </t>
  </si>
  <si>
    <t xml:space="preserve"> 37.4582 </t>
  </si>
  <si>
    <t xml:space="preserve">C:\Users\andre\Desktop\REACTIV CEFAS\Fadrozole\Fadrozole/20201201_Cefas_Test8_Run1/Plate 1/@1/H10_03.tif </t>
  </si>
  <si>
    <t xml:space="preserve"> 7786.7621 </t>
  </si>
  <si>
    <t xml:space="preserve"> 39.6639 </t>
  </si>
  <si>
    <t xml:space="preserve">group </t>
  </si>
  <si>
    <t xml:space="preserve"> mean of mean fluo </t>
  </si>
  <si>
    <t xml:space="preserve"> SD mean fluo </t>
  </si>
  <si>
    <t xml:space="preserve"> mean of total fluo </t>
  </si>
  <si>
    <t xml:space="preserve"> SD total fluo </t>
  </si>
  <si>
    <t xml:space="preserve">C:\Users\andre\Desktop\REACTIV CEFAS\Fadrozole\Fadrozole/20201201_Cefas_Test8_Run1/Plate 1/@1/ </t>
  </si>
  <si>
    <t xml:space="preserve"> 29.8795 </t>
  </si>
  <si>
    <t xml:space="preserve"> 14.2068 </t>
  </si>
  <si>
    <t xml:space="preserve"> 140170.792 </t>
  </si>
  <si>
    <t xml:space="preserve"> 147850.892 </t>
  </si>
  <si>
    <t xml:space="preserve">C:\Users\andre\Desktop\REACTIV CEFAS\Fadrozole\Fadrozole/20201201_Cefas_Test8_Run1/Plate 1/@13/A8_01.tif </t>
  </si>
  <si>
    <t xml:space="preserve"> 24312.0016 </t>
  </si>
  <si>
    <t xml:space="preserve"> 35.6423 </t>
  </si>
  <si>
    <t xml:space="preserve">C:\Users\andre\Desktop\REACTIV CEFAS\Fadrozole\Fadrozole/20201201_Cefas_Test8_Run1/Plate 1/@13/A8_02.tif </t>
  </si>
  <si>
    <t xml:space="preserve"> 15140.9262 </t>
  </si>
  <si>
    <t xml:space="preserve"> 35.39 </t>
  </si>
  <si>
    <t xml:space="preserve">C:\Users\andre\Desktop\REACTIV CEFAS\Fadrozole\Fadrozole/20201201_Cefas_Test8_Run1/Plate 1/@13/A8_03.tif </t>
  </si>
  <si>
    <t xml:space="preserve"> 21911.0833 </t>
  </si>
  <si>
    <t xml:space="preserve"> 35.157 </t>
  </si>
  <si>
    <t xml:space="preserve">C:\Users\andre\Desktop\REACTIV CEFAS\Fadrozole\Fadrozole/20201201_Cefas_Test8_Run1/Plate 1/@13/B8_01.tif </t>
  </si>
  <si>
    <t xml:space="preserve"> 47239.6899 </t>
  </si>
  <si>
    <t xml:space="preserve"> 36.8214 </t>
  </si>
  <si>
    <t xml:space="preserve">C:\Users\andre\Desktop\REACTIV CEFAS\Fadrozole\Fadrozole/20201201_Cefas_Test8_Run1/Plate 1/@13/B8_02.tif </t>
  </si>
  <si>
    <t xml:space="preserve"> 60217.6266 </t>
  </si>
  <si>
    <t xml:space="preserve"> 38.5862 </t>
  </si>
  <si>
    <t xml:space="preserve">C:\Users\andre\Desktop\REACTIV CEFAS\Fadrozole\Fadrozole/20201201_Cefas_Test8_Run1/Plate 1/@13/B8_03.tif </t>
  </si>
  <si>
    <t xml:space="preserve"> 51046.5513 </t>
  </si>
  <si>
    <t xml:space="preserve"> 37.1699 </t>
  </si>
  <si>
    <t xml:space="preserve">C:\Users\andre\Desktop\REACTIV CEFAS\Fadrozole\Fadrozole/20201201_Cefas_Test8_Run1/Plate 1/@13/C8_01.tif </t>
  </si>
  <si>
    <t xml:space="preserve"> 69756.4102 </t>
  </si>
  <si>
    <t xml:space="preserve"> 42.9181 </t>
  </si>
  <si>
    <t xml:space="preserve">C:\Users\andre\Desktop\REACTIV CEFAS\Fadrozole\Fadrozole/20201201_Cefas_Test8_Run1/Plate 1/@13/C8_02.tif </t>
  </si>
  <si>
    <t xml:space="preserve"> 74644.7664 </t>
  </si>
  <si>
    <t xml:space="preserve"> 47.8621 </t>
  </si>
  <si>
    <t xml:space="preserve">C:\Users\andre\Desktop\REACTIV CEFAS\Fadrozole\Fadrozole/20201201_Cefas_Test8_Run1/Plate 1/@13/C8_03.tif </t>
  </si>
  <si>
    <t xml:space="preserve"> 74298.6881 </t>
  </si>
  <si>
    <t xml:space="preserve"> 47.5345 </t>
  </si>
  <si>
    <t xml:space="preserve">C:\Users\andre\Desktop\REACTIV CEFAS\Fadrozole\Fadrozole/20201201_Cefas_Test8_Run1/Plate 1/@13/D8_01.tif </t>
  </si>
  <si>
    <t xml:space="preserve"> 50895.1421 </t>
  </si>
  <si>
    <t xml:space="preserve"> 39.4717 </t>
  </si>
  <si>
    <t xml:space="preserve">C:\Users\andre\Desktop\REACTIV CEFAS\Fadrozole\Fadrozole/20201201_Cefas_Test8_Run1/Plate 1/@13/D8_02.tif </t>
  </si>
  <si>
    <t xml:space="preserve"> 42459.4832 </t>
  </si>
  <si>
    <t xml:space="preserve"> 36.0683 </t>
  </si>
  <si>
    <t xml:space="preserve">C:\Users\andre\Desktop\REACTIV CEFAS\Fadrozole\Fadrozole/20201201_Cefas_Test8_Run1/Plate 1/@13/D8_03.tif </t>
  </si>
  <si>
    <t xml:space="preserve"> 41507.7678 </t>
  </si>
  <si>
    <t xml:space="preserve"> 37.468 </t>
  </si>
  <si>
    <t xml:space="preserve">C:\Users\andre\Desktop\REACTIV CEFAS\Fadrozole\Fadrozole/20201201_Cefas_Test8_Run1/Plate 1/@13/E8_01.tif </t>
  </si>
  <si>
    <t xml:space="preserve"> 8132.8404 </t>
  </si>
  <si>
    <t xml:space="preserve"> 33.8218 </t>
  </si>
  <si>
    <t xml:space="preserve">C:\Users\andre\Desktop\REACTIV CEFAS\Fadrozole\Fadrozole/20201201_Cefas_Test8_Run1/Plate 1/@13/E8_02.tif </t>
  </si>
  <si>
    <t xml:space="preserve"> 5472.3633 </t>
  </si>
  <si>
    <t xml:space="preserve"> 32.8735 </t>
  </si>
  <si>
    <t xml:space="preserve">C:\Users\andre\Desktop\REACTIV CEFAS\Fadrozole\Fadrozole/20201201_Cefas_Test8_Run1/Plate 1/@13/E8_03.tif </t>
  </si>
  <si>
    <t xml:space="preserve"> 3828.4913 </t>
  </si>
  <si>
    <t xml:space="preserve"> 32.1808 </t>
  </si>
  <si>
    <t xml:space="preserve">C:\Users\andre\Desktop\REACTIV CEFAS\Fadrozole\Fadrozole/20201201_Cefas_Test8_Run1/Plate 1/@13/F8_01.tif </t>
  </si>
  <si>
    <t xml:space="preserve"> 37571.127 </t>
  </si>
  <si>
    <t xml:space="preserve"> 39.4865 </t>
  </si>
  <si>
    <t xml:space="preserve">C:\Users\andre\Desktop\REACTIV CEFAS\Fadrozole\Fadrozole/20201201_Cefas_Test8_Run1/Plate 1/@13/F8_02.tif </t>
  </si>
  <si>
    <t xml:space="preserve"> 29503.1763 </t>
  </si>
  <si>
    <t xml:space="preserve"> 38.5249 </t>
  </si>
  <si>
    <t xml:space="preserve">C:\Users\andre\Desktop\REACTIV CEFAS\Fadrozole\Fadrozole/20201201_Cefas_Test8_Run1/Plate 1/@13/F8_03.tif </t>
  </si>
  <si>
    <t xml:space="preserve"> 38003.7249 </t>
  </si>
  <si>
    <t xml:space="preserve"> 39.7063 </t>
  </si>
  <si>
    <t xml:space="preserve">C:\Users\andre\Desktop\REACTIV CEFAS\Fadrozole\Fadrozole/20201201_Cefas_Test8_Run1/Plate 1/@13/G8_01.tif </t>
  </si>
  <si>
    <t xml:space="preserve"> 51630.5585 </t>
  </si>
  <si>
    <t xml:space="preserve"> 36.4001 </t>
  </si>
  <si>
    <t xml:space="preserve">C:\Users\andre\Desktop\REACTIV CEFAS\Fadrozole\Fadrozole/20201201_Cefas_Test8_Run1/Plate 1/@13/G8_02.tif </t>
  </si>
  <si>
    <t xml:space="preserve"> 42632.5223 </t>
  </si>
  <si>
    <t xml:space="preserve"> 36.1187 </t>
  </si>
  <si>
    <t xml:space="preserve">C:\Users\andre\Desktop\REACTIV CEFAS\Fadrozole\Fadrozole/20201201_Cefas_Test8_Run1/Plate 1/@13/G8_03.tif </t>
  </si>
  <si>
    <t xml:space="preserve"> 47499.2486 </t>
  </si>
  <si>
    <t xml:space="preserve"> 36.51 </t>
  </si>
  <si>
    <t>C:\Users\andre\Desktop\REACTIV CEFAS\Fadrozole\Fadrozole/20201201_Cefas_Test8_Run1/Plate 1/@13/H8_01- exclu.tif</t>
  </si>
  <si>
    <t>C:\Users\andre\Desktop\REACTIV CEFAS\Fadrozole\Fadrozole/20201201_Cefas_Test8_Run1/Plate 1/@13/H8_02- exclu.tif</t>
  </si>
  <si>
    <t>C:\Users\andre\Desktop\REACTIV CEFAS\Fadrozole\Fadrozole/20201201_Cefas_Test8_Run1/Plate 1/@13/H8_03- exclu.tif</t>
  </si>
  <si>
    <t xml:space="preserve">C:\Users\andre\Desktop\REACTIV CEFAS\Fadrozole\Fadrozole/20201201_Cefas_Test8_Run1/Plate 1/@13/ </t>
  </si>
  <si>
    <t xml:space="preserve"> 37.2545 </t>
  </si>
  <si>
    <t xml:space="preserve"> 4.1747 </t>
  </si>
  <si>
    <t xml:space="preserve"> 1401409.88 </t>
  </si>
  <si>
    <t xml:space="preserve"> 1029844.4 </t>
  </si>
  <si>
    <t xml:space="preserve">C:\Users\andre\Desktop\REACTIV CEFAS\Fadrozole\Fadrozole/20201201_Cefas_Test8_Run1/Plate 1/@14/A9_01.tif </t>
  </si>
  <si>
    <t xml:space="preserve"> 53620.5088 </t>
  </si>
  <si>
    <t xml:space="preserve"> 45.5264 </t>
  </si>
  <si>
    <t xml:space="preserve">C:\Users\andre\Desktop\REACTIV CEFAS\Fadrozole\Fadrozole/20201201_Cefas_Test8_Run1/Plate 1/@14/A9_02.tif </t>
  </si>
  <si>
    <t xml:space="preserve"> 56345.8755 </t>
  </si>
  <si>
    <t xml:space="preserve"> 47.2418 </t>
  </si>
  <si>
    <t xml:space="preserve">C:\Users\andre\Desktop\REACTIV CEFAS\Fadrozole\Fadrozole/20201201_Cefas_Test8_Run1/Plate 1/@14/A9_03.tif </t>
  </si>
  <si>
    <t xml:space="preserve"> 63224.182 </t>
  </si>
  <si>
    <t xml:space="preserve"> 48.338 </t>
  </si>
  <si>
    <t xml:space="preserve">C:\Users\andre\Desktop\REACTIV CEFAS\Fadrozole\Fadrozole/20201201_Cefas_Test8_Run1/Plate 1/@14/B9_01.tif </t>
  </si>
  <si>
    <t xml:space="preserve"> 57838.3382 </t>
  </si>
  <si>
    <t xml:space="preserve"> 40.2427 </t>
  </si>
  <si>
    <t xml:space="preserve">C:\Users\andre\Desktop\REACTIV CEFAS\Fadrozole\Fadrozole/20201201_Cefas_Test8_Run1/Plate 1/@14/B9_02.tif </t>
  </si>
  <si>
    <t xml:space="preserve"> 55350.9004 </t>
  </si>
  <si>
    <t xml:space="preserve"> 41.4412 </t>
  </si>
  <si>
    <t xml:space="preserve">C:\Users\andre\Desktop\REACTIV CEFAS\Fadrozole\Fadrozole/20201201_Cefas_Test8_Run1/Plate 1/@14/B9_03.tif </t>
  </si>
  <si>
    <t xml:space="preserve"> 56735.2136 </t>
  </si>
  <si>
    <t xml:space="preserve"> 40.9344 </t>
  </si>
  <si>
    <t xml:space="preserve">C:\Users\andre\Desktop\REACTIV CEFAS\Fadrozole\Fadrozole/20201201_Cefas_Test8_Run1/Plate 1/@14/C9_01.tif </t>
  </si>
  <si>
    <t xml:space="preserve"> 61126.0822 </t>
  </si>
  <si>
    <t xml:space="preserve"> 45.4306 </t>
  </si>
  <si>
    <t xml:space="preserve">C:\Users\andre\Desktop\REACTIV CEFAS\Fadrozole\Fadrozole/20201201_Cefas_Test8_Run1/Plate 1/@14/C9_02.tif </t>
  </si>
  <si>
    <t xml:space="preserve"> 57232.7012 </t>
  </si>
  <si>
    <t xml:space="preserve"> 44.8141 </t>
  </si>
  <si>
    <t xml:space="preserve">C:\Users\andre\Desktop\REACTIV CEFAS\Fadrozole\Fadrozole/20201201_Cefas_Test8_Run1/Plate 1/@14/C9_03.tif </t>
  </si>
  <si>
    <t xml:space="preserve"> 55199.4911 </t>
  </si>
  <si>
    <t xml:space="preserve"> 42.2092 </t>
  </si>
  <si>
    <t xml:space="preserve">C:\Users\andre\Desktop\REACTIV CEFAS\Fadrozole\Fadrozole/20201201_Cefas_Test8_Run1/Plate 1/@14/D9_01.tif </t>
  </si>
  <si>
    <t xml:space="preserve"> 65408.8014 </t>
  </si>
  <si>
    <t xml:space="preserve"> 44.8185 </t>
  </si>
  <si>
    <t xml:space="preserve">C:\Users\andre\Desktop\REACTIV CEFAS\Fadrozole\Fadrozole/20201201_Cefas_Test8_Run1/Plate 1/@14/D9_02.tif </t>
  </si>
  <si>
    <t xml:space="preserve"> 54853.4128 </t>
  </si>
  <si>
    <t xml:space="preserve"> 42.1928 </t>
  </si>
  <si>
    <t xml:space="preserve">C:\Users\andre\Desktop\REACTIV CEFAS\Fadrozole\Fadrozole/20201201_Cefas_Test8_Run1/Plate 1/@14/D9_03.tif </t>
  </si>
  <si>
    <t xml:space="preserve"> 59720.1391 </t>
  </si>
  <si>
    <t xml:space="preserve"> 44.2912 </t>
  </si>
  <si>
    <t xml:space="preserve">C:\Users\andre\Desktop\REACTIV CEFAS\Fadrozole\Fadrozole/20201201_Cefas_Test8_Run1/Plate 1/@14/E9_01.tif </t>
  </si>
  <si>
    <t xml:space="preserve"> 51500.7791 </t>
  </si>
  <si>
    <t xml:space="preserve"> 46.0302 </t>
  </si>
  <si>
    <t>C:\Users\andre\Desktop\REACTIV CEFAS\Fadrozole\Fadrozole/20201201_Cefas_Test8_Run1/Plate 1/@14/E9_02- exclu.tif</t>
  </si>
  <si>
    <t xml:space="preserve">C:\Users\andre\Desktop\REACTIV CEFAS\Fadrozole\Fadrozole/20201201_Cefas_Test8_Run1/Plate 1/@14/E9_03.tif </t>
  </si>
  <si>
    <t xml:space="preserve"> 43995.2057 </t>
  </si>
  <si>
    <t xml:space="preserve"> 45.826 </t>
  </si>
  <si>
    <t xml:space="preserve">C:\Users\andre\Desktop\REACTIV CEFAS\Fadrozole\Fadrozole/20201201_Cefas_Test8_Run1/Plate 1/@14/F9_01.tif </t>
  </si>
  <si>
    <t xml:space="preserve"> 36987.1198 </t>
  </si>
  <si>
    <t xml:space="preserve"> 42.5357 </t>
  </si>
  <si>
    <t xml:space="preserve">C:\Users\andre\Desktop\REACTIV CEFAS\Fadrozole\Fadrozole/20201201_Cefas_Test8_Run1/Plate 1/@14/F9_02.tif </t>
  </si>
  <si>
    <t xml:space="preserve"> 32012.2441 </t>
  </si>
  <si>
    <t xml:space="preserve"> 43.7878 </t>
  </si>
  <si>
    <t xml:space="preserve">C:\Users\andre\Desktop\REACTIV CEFAS\Fadrozole\Fadrozole/20201201_Cefas_Test8_Run1/Plate 1/@14/F9_03.tif </t>
  </si>
  <si>
    <t xml:space="preserve"> 30108.8133 </t>
  </si>
  <si>
    <t xml:space="preserve"> 42.1803 </t>
  </si>
  <si>
    <t xml:space="preserve">C:\Users\andre\Desktop\REACTIV CEFAS\Fadrozole\Fadrozole/20201201_Cefas_Test8_Run1/Plate 1/@14/G9_01.tif </t>
  </si>
  <si>
    <t xml:space="preserve"> 5818.4417 </t>
  </si>
  <si>
    <t xml:space="preserve"> 37.8885 </t>
  </si>
  <si>
    <t xml:space="preserve">C:\Users\andre\Desktop\REACTIV CEFAS\Fadrozole\Fadrozole/20201201_Cefas_Test8_Run1/Plate 1/@14/G9_02.tif </t>
  </si>
  <si>
    <t xml:space="preserve"> 10274.1999 </t>
  </si>
  <si>
    <t xml:space="preserve"> 43.7263 </t>
  </si>
  <si>
    <t xml:space="preserve">C:\Users\andre\Desktop\REACTIV CEFAS\Fadrozole\Fadrozole/20201201_Cefas_Test8_Run1/Plate 1/@14/G9_03.tif </t>
  </si>
  <si>
    <t xml:space="preserve"> 6488.9684 </t>
  </si>
  <si>
    <t xml:space="preserve"> 40.9467 </t>
  </si>
  <si>
    <t xml:space="preserve">C:\Users\andre\Desktop\REACTIV CEFAS\Fadrozole\Fadrozole/20201201_Cefas_Test8_Run1/Plate 1/@14/H9_01.tif </t>
  </si>
  <si>
    <t xml:space="preserve"> 31147.0483 </t>
  </si>
  <si>
    <t xml:space="preserve"> 35.1354 </t>
  </si>
  <si>
    <t xml:space="preserve">C:\Users\andre\Desktop\REACTIV CEFAS\Fadrozole\Fadrozole/20201201_Cefas_Test8_Run1/Plate 1/@14/H9_02.tif </t>
  </si>
  <si>
    <t xml:space="preserve"> 35062.0592 </t>
  </si>
  <si>
    <t xml:space="preserve"> 36.2918 </t>
  </si>
  <si>
    <t xml:space="preserve">C:\Users\andre\Desktop\REACTIV CEFAS\Fadrozole\Fadrozole/20201201_Cefas_Test8_Run1/Plate 1/@14/H9_03.tif </t>
  </si>
  <si>
    <t xml:space="preserve"> 36143.5539 </t>
  </si>
  <si>
    <t xml:space="preserve"> 35.2328 </t>
  </si>
  <si>
    <t xml:space="preserve">C:\Users\andre\Desktop\REACTIV CEFAS\Fadrozole\Fadrozole/20201201_Cefas_Test8_Run1/Plate 1/@14/ </t>
  </si>
  <si>
    <t xml:space="preserve"> 42.6169 </t>
  </si>
  <si>
    <t xml:space="preserve"> 3.6317 </t>
  </si>
  <si>
    <t xml:space="preserve"> 1901017.12 </t>
  </si>
  <si>
    <t xml:space="preserve"> 832858.493 </t>
  </si>
  <si>
    <t xml:space="preserve">C:\Users\andre\Desktop\REACTIV CEFAS\Fadrozole\Fadrozole/20201201_Cefas_Test8_Run1/Plate 1/@15/A11_01.tif </t>
  </si>
  <si>
    <t xml:space="preserve"> 79403.3432 </t>
  </si>
  <si>
    <t xml:space="preserve"> 51.1351 </t>
  </si>
  <si>
    <t xml:space="preserve">C:\Users\andre\Desktop\REACTIV CEFAS\Fadrozole\Fadrozole/20201201_Cefas_Test8_Run1/Plate 1/@15/A11_02.tif </t>
  </si>
  <si>
    <t xml:space="preserve"> 73498.3819 </t>
  </si>
  <si>
    <t xml:space="preserve"> 49.7969 </t>
  </si>
  <si>
    <t xml:space="preserve">C:\Users\andre\Desktop\REACTIV CEFAS\Fadrozole\Fadrozole/20201201_Cefas_Test8_Run1/Plate 1/@15/A11_03.tif </t>
  </si>
  <si>
    <t xml:space="preserve"> 75055.7344 </t>
  </si>
  <si>
    <t xml:space="preserve"> 53.9562 </t>
  </si>
  <si>
    <t xml:space="preserve">C:\Users\andre\Desktop\REACTIV CEFAS\Fadrozole\Fadrozole/20201201_Cefas_Test8_Run1/Plate 1/@15/B11_01.tif </t>
  </si>
  <si>
    <t xml:space="preserve"> 72957.6346 </t>
  </si>
  <si>
    <t xml:space="preserve"> 51.3694 </t>
  </si>
  <si>
    <t xml:space="preserve">C:\Users\andre\Desktop\REACTIV CEFAS\Fadrozole\Fadrozole/20201201_Cefas_Test8_Run1/Plate 1/@15/B11_02.tif </t>
  </si>
  <si>
    <t xml:space="preserve"> 79057.2649 </t>
  </si>
  <si>
    <t xml:space="preserve"> 51.3666 </t>
  </si>
  <si>
    <t xml:space="preserve">C:\Users\andre\Desktop\REACTIV CEFAS\Fadrozole\Fadrozole/20201201_Cefas_Test8_Run1/Plate 1/@15/B11_03.tif </t>
  </si>
  <si>
    <t xml:space="preserve"> 75380.1828 </t>
  </si>
  <si>
    <t xml:space="preserve"> 52.1392 </t>
  </si>
  <si>
    <t xml:space="preserve">C:\Users\andre\Desktop\REACTIV CEFAS\Fadrozole\Fadrozole/20201201_Cefas_Test8_Run1/Plate 1/@15/C11_01.tif </t>
  </si>
  <si>
    <t xml:space="preserve"> 87730.8526 </t>
  </si>
  <si>
    <t xml:space="preserve"> 49.747 </t>
  </si>
  <si>
    <t xml:space="preserve">C:\Users\andre\Desktop\REACTIV CEFAS\Fadrozole\Fadrozole/20201201_Cefas_Test8_Run1/Plate 1/@15/C11_02.tif </t>
  </si>
  <si>
    <t xml:space="preserve"> 85849.0518 </t>
  </si>
  <si>
    <t xml:space="preserve"> 48.5006 </t>
  </si>
  <si>
    <t xml:space="preserve">C:\Users\andre\Desktop\REACTIV CEFAS\Fadrozole\Fadrozole/20201201_Cefas_Test8_Run1/Plate 1/@15/C11_03.tif </t>
  </si>
  <si>
    <t xml:space="preserve"> 93484.4046 </t>
  </si>
  <si>
    <t xml:space="preserve"> 52.6617 </t>
  </si>
  <si>
    <t>C:\Users\andre\Desktop\REACTIV CEFAS\Fadrozole\Fadrozole/20201201_Cefas_Test8_Run1/Plate 1/@15/D11_01- exclu.tif</t>
  </si>
  <si>
    <t xml:space="preserve">C:\Users\andre\Desktop\REACTIV CEFAS\Fadrozole\Fadrozole/20201201_Cefas_Test8_Run1/Plate 1/@15/D11_02.tif </t>
  </si>
  <si>
    <t xml:space="preserve"> 53123.0212 </t>
  </si>
  <si>
    <t xml:space="preserve"> 43.9951 </t>
  </si>
  <si>
    <t xml:space="preserve">C:\Users\andre\Desktop\REACTIV CEFAS\Fadrozole\Fadrozole/20201201_Cefas_Test8_Run1/Plate 1/@15/D11_03.tif </t>
  </si>
  <si>
    <t xml:space="preserve"> 50332.7648 </t>
  </si>
  <si>
    <t xml:space="preserve"> 41.1771 </t>
  </si>
  <si>
    <t xml:space="preserve">C:\Users\andre\Desktop\REACTIV CEFAS\Fadrozole\Fadrozole/20201201_Cefas_Test8_Run1/Plate 1/@15/E11_01.tif </t>
  </si>
  <si>
    <t xml:space="preserve"> 86043.7208 </t>
  </si>
  <si>
    <t xml:space="preserve"> 57.5178 </t>
  </si>
  <si>
    <t xml:space="preserve">C:\Users\andre\Desktop\REACTIV CEFAS\Fadrozole\Fadrozole/20201201_Cefas_Test8_Run1/Plate 1/@15/E11_02.tif </t>
  </si>
  <si>
    <t xml:space="preserve"> 80117.1297 </t>
  </si>
  <si>
    <t xml:space="preserve"> 53.5359 </t>
  </si>
  <si>
    <t xml:space="preserve">C:\Users\andre\Desktop\REACTIV CEFAS\Fadrozole\Fadrozole/20201201_Cefas_Test8_Run1/Plate 1/@15/E11_03.tif </t>
  </si>
  <si>
    <t xml:space="preserve"> 83102.0552 </t>
  </si>
  <si>
    <t xml:space="preserve"> 58.6065 </t>
  </si>
  <si>
    <t xml:space="preserve">C:\Users\andre\Desktop\REACTIV CEFAS\Fadrozole\Fadrozole/20201201_Cefas_Test8_Run1/Plate 1/@15/F11_01.tif </t>
  </si>
  <si>
    <t xml:space="preserve"> 66706.595 </t>
  </si>
  <si>
    <t xml:space="preserve"> 47.4056 </t>
  </si>
  <si>
    <t xml:space="preserve">C:\Users\andre\Desktop\REACTIV CEFAS\Fadrozole\Fadrozole/20201201_Cefas_Test8_Run1/Plate 1/@15/F11_02.tif </t>
  </si>
  <si>
    <t xml:space="preserve"> 66230.7374 </t>
  </si>
  <si>
    <t xml:space="preserve"> 50.87 </t>
  </si>
  <si>
    <t>C:\Users\andre\Desktop\REACTIV CEFAS\Fadrozole\Fadrozole/20201201_Cefas_Test8_Run1/Plate 1/@15/F11_03- exclu.tif</t>
  </si>
  <si>
    <t xml:space="preserve">C:\Users\andre\Desktop\REACTIV CEFAS\Fadrozole\Fadrozole/20201201_Cefas_Test8_Run1/Plate 1/@15/G11_01.tif </t>
  </si>
  <si>
    <t xml:space="preserve"> 94219.821 </t>
  </si>
  <si>
    <t xml:space="preserve"> 52.9431 </t>
  </si>
  <si>
    <t xml:space="preserve">C:\Users\andre\Desktop\REACTIV CEFAS\Fadrozole\Fadrozole/20201201_Cefas_Test8_Run1/Plate 1/@15/G11_02.tif </t>
  </si>
  <si>
    <t xml:space="preserve"> 85978.8311 </t>
  </si>
  <si>
    <t xml:space="preserve"> 50.8503 </t>
  </si>
  <si>
    <t xml:space="preserve">C:\Users\andre\Desktop\REACTIV CEFAS\Fadrozole\Fadrozole/20201201_Cefas_Test8_Run1/Plate 1/@15/G11_03.tif </t>
  </si>
  <si>
    <t xml:space="preserve"> 92186.6109 </t>
  </si>
  <si>
    <t xml:space="preserve"> 54.7189 </t>
  </si>
  <si>
    <t xml:space="preserve">C:\Users\andre\Desktop\REACTIV CEFAS\Fadrozole\Fadrozole/20201201_Cefas_Test8_Run1/Plate 1/@15/H11_01.tif </t>
  </si>
  <si>
    <t xml:space="preserve"> 44773.8819 </t>
  </si>
  <si>
    <t xml:space="preserve"> 51.8604 </t>
  </si>
  <si>
    <t xml:space="preserve">C:\Users\andre\Desktop\REACTIV CEFAS\Fadrozole\Fadrozole/20201201_Cefas_Test8_Run1/Plate 1/@15/H11_02.tif </t>
  </si>
  <si>
    <t xml:space="preserve"> 51608.9286 </t>
  </si>
  <si>
    <t xml:space="preserve"> 49.6551 </t>
  </si>
  <si>
    <t xml:space="preserve">C:\Users\andre\Desktop\REACTIV CEFAS\Fadrozole\Fadrozole/20201201_Cefas_Test8_Run1/Plate 1/@15/H11_03.tif </t>
  </si>
  <si>
    <t xml:space="preserve"> 50376.0246 </t>
  </si>
  <si>
    <t xml:space="preserve"> 48.0854 </t>
  </si>
  <si>
    <t xml:space="preserve">C:\Users\andre\Desktop\REACTIV CEFAS\Fadrozole\Fadrozole/20201201_Cefas_Test8_Run1/Plate 1/@15/ </t>
  </si>
  <si>
    <t xml:space="preserve"> 50.8315 </t>
  </si>
  <si>
    <t xml:space="preserve"> 3.8989 </t>
  </si>
  <si>
    <t xml:space="preserve"> 3690184.42 </t>
  </si>
  <si>
    <t xml:space="preserve"> 1018859.53 </t>
  </si>
  <si>
    <t xml:space="preserve">C:\Users\andre\Desktop\REACTIV CEFAS\Fadrozole\Fadrozole/20201201_Cefas_Test8_Run1/Plate 1/@16/A12_01.tif </t>
  </si>
  <si>
    <t xml:space="preserve"> 4217.8295 </t>
  </si>
  <si>
    <t xml:space="preserve"> 35.1538 </t>
  </si>
  <si>
    <t xml:space="preserve">C:\Users\andre\Desktop\REACTIV CEFAS\Fadrozole\Fadrozole/20201201_Cefas_Test8_Run1/Plate 1/@16/A12_02.tif </t>
  </si>
  <si>
    <t xml:space="preserve"> 757.0463 </t>
  </si>
  <si>
    <t xml:space="preserve"> 31.5143 </t>
  </si>
  <si>
    <t xml:space="preserve">C:\Users\andre\Desktop\REACTIV CEFAS\Fadrozole\Fadrozole/20201201_Cefas_Test8_Run1/Plate 1/@16/A12_03.tif </t>
  </si>
  <si>
    <t xml:space="preserve"> 216.2989 </t>
  </si>
  <si>
    <t xml:space="preserve">C:\Users\andre\Desktop\REACTIV CEFAS\Fadrozole\Fadrozole/20201201_Cefas_Test8_Run1/Plate 1/@16/B12_01.tif </t>
  </si>
  <si>
    <t xml:space="preserve"> 2227.8791 </t>
  </si>
  <si>
    <t xml:space="preserve"> 32.8641 </t>
  </si>
  <si>
    <t xml:space="preserve">C:\Users\andre\Desktop\REACTIV CEFAS\Fadrozole\Fadrozole/20201201_Cefas_Test8_Run1/Plate 1/@16/B12_02.tif </t>
  </si>
  <si>
    <t xml:space="preserve"> 2898.4059 </t>
  </si>
  <si>
    <t xml:space="preserve"> 36.1642 </t>
  </si>
  <si>
    <t xml:space="preserve">C:\Users\andre\Desktop\REACTIV CEFAS\Fadrozole\Fadrozole/20201201_Cefas_Test8_Run1/Plate 1/@16/B12_03.tif </t>
  </si>
  <si>
    <t xml:space="preserve"> 3028.1852 </t>
  </si>
  <si>
    <t xml:space="preserve"> 34.8214 </t>
  </si>
  <si>
    <t xml:space="preserve">C:\Users\andre\Desktop\REACTIV CEFAS\Fadrozole\Fadrozole/20201201_Cefas_Test8_Run1/Plate 1/@16/C12_01.tif </t>
  </si>
  <si>
    <t xml:space="preserve"> 2920.0358 </t>
  </si>
  <si>
    <t xml:space="preserve"> 33.7111 </t>
  </si>
  <si>
    <t>C:\Users\andre\Desktop\REACTIV CEFAS\Fadrozole\Fadrozole/20201201_Cefas_Test8_Run1/Plate 1/@16/C12_02- exclu.tif</t>
  </si>
  <si>
    <t xml:space="preserve">C:\Users\andre\Desktop\REACTIV CEFAS\Fadrozole\Fadrozole/20201201_Cefas_Test8_Run1/Plate 1/@16/C12_03.tif </t>
  </si>
  <si>
    <t xml:space="preserve"> 648.8968 </t>
  </si>
  <si>
    <t xml:space="preserve"> 30.8333 </t>
  </si>
  <si>
    <t xml:space="preserve">C:\Users\andre\Desktop\REACTIV CEFAS\Fadrozole\Fadrozole/20201201_Cefas_Test8_Run1/Plate 1/@16/D12_01.tif </t>
  </si>
  <si>
    <t xml:space="preserve"> 8630.328 </t>
  </si>
  <si>
    <t xml:space="preserve"> 38.4511 </t>
  </si>
  <si>
    <t xml:space="preserve">C:\Users\andre\Desktop\REACTIV CEFAS\Fadrozole\Fadrozole/20201201_Cefas_Test8_Run1/Plate 1/@16/D12_02.tif </t>
  </si>
  <si>
    <t xml:space="preserve"> 2725.3667 </t>
  </si>
  <si>
    <t xml:space="preserve"> 33.7222 </t>
  </si>
  <si>
    <t xml:space="preserve">C:\Users\andre\Desktop\REACTIV CEFAS\Fadrozole\Fadrozole/20201201_Cefas_Test8_Run1/Plate 1/@16/D12_03.tif </t>
  </si>
  <si>
    <t xml:space="preserve"> 3417.5234 </t>
  </si>
  <si>
    <t xml:space="preserve"> 33.0253 </t>
  </si>
  <si>
    <t xml:space="preserve">C:\Users\andre\Desktop\REACTIV CEFAS\Fadrozole\Fadrozole/20201201_Cefas_Test8_Run1/Plate 1/@16/E12_01.tif </t>
  </si>
  <si>
    <t xml:space="preserve"> 4347.6088 </t>
  </si>
  <si>
    <t xml:space="preserve"> 35.1244 </t>
  </si>
  <si>
    <t>C:\Users\andre\Desktop\REACTIV CEFAS\Fadrozole\Fadrozole/20201201_Cefas_Test8_Run1/Plate 1/@16/E12_02- exclu.tif</t>
  </si>
  <si>
    <t>C:\Users\andre\Desktop\REACTIV CEFAS\Fadrozole\Fadrozole/20201201_Cefas_Test8_Run1/Plate 1/@16/E12_03- exclu.tif</t>
  </si>
  <si>
    <t xml:space="preserve">C:\Users\andre\Desktop\REACTIV CEFAS\Fadrozole\Fadrozole/20201201_Cefas_Test8_Run1/Plate 1/@16/F12_01.tif </t>
  </si>
  <si>
    <t xml:space="preserve"> 10555.3886 </t>
  </si>
  <si>
    <t xml:space="preserve"> 39.2766 </t>
  </si>
  <si>
    <t xml:space="preserve">C:\Users\andre\Desktop\REACTIV CEFAS\Fadrozole\Fadrozole/20201201_Cefas_Test8_Run1/Plate 1/@16/F12_02.tif </t>
  </si>
  <si>
    <t xml:space="preserve"> 5840.0715 </t>
  </si>
  <si>
    <t xml:space="preserve"> 37.4815 </t>
  </si>
  <si>
    <t xml:space="preserve">C:\Users\andre\Desktop\REACTIV CEFAS\Fadrozole\Fadrozole/20201201_Cefas_Test8_Run1/Plate 1/@16/F12_03.tif </t>
  </si>
  <si>
    <t xml:space="preserve"> 4650.4273 </t>
  </si>
  <si>
    <t xml:space="preserve"> 35.6186 </t>
  </si>
  <si>
    <t xml:space="preserve">C:\Users\andre\Desktop\REACTIV CEFAS\Fadrozole\Fadrozole/20201201_Cefas_Test8_Run1/Plate 1/@16/G12_01.tif </t>
  </si>
  <si>
    <t xml:space="preserve"> 1795.2813 </t>
  </si>
  <si>
    <t xml:space="preserve"> 31.0843 </t>
  </si>
  <si>
    <t xml:space="preserve">C:\Users\andre\Desktop\REACTIV CEFAS\Fadrozole\Fadrozole/20201201_Cefas_Test8_Run1/Plate 1/@16/G12_02.tif </t>
  </si>
  <si>
    <t xml:space="preserve"> 951.7154 </t>
  </si>
  <si>
    <t xml:space="preserve"> 32.6818 </t>
  </si>
  <si>
    <t xml:space="preserve">C:\Users\andre\Desktop\REACTIV CEFAS\Fadrozole\Fadrozole/20201201_Cefas_Test8_Run1/Plate 1/@16/G12_03.tif </t>
  </si>
  <si>
    <t xml:space="preserve"> 3439.1532 </t>
  </si>
  <si>
    <t xml:space="preserve"> 36.6164 </t>
  </si>
  <si>
    <t xml:space="preserve">C:\Users\andre\Desktop\REACTIV CEFAS\Fadrozole\Fadrozole/20201201_Cefas_Test8_Run1/Plate 1/@16/H12_01.tif </t>
  </si>
  <si>
    <t xml:space="preserve"> 4390.8686 </t>
  </si>
  <si>
    <t xml:space="preserve"> 35.1823 </t>
  </si>
  <si>
    <t xml:space="preserve">C:\Users\andre\Desktop\REACTIV CEFAS\Fadrozole\Fadrozole/20201201_Cefas_Test8_Run1/Plate 1/@16/H12_02.tif </t>
  </si>
  <si>
    <t xml:space="preserve"> 2768.6265 </t>
  </si>
  <si>
    <t xml:space="preserve"> 34.4375 </t>
  </si>
  <si>
    <t xml:space="preserve">C:\Users\andre\Desktop\REACTIV CEFAS\Fadrozole\Fadrozole/20201201_Cefas_Test8_Run1/Plate 1/@16/H12_03.tif </t>
  </si>
  <si>
    <t xml:space="preserve"> 4369.2387 </t>
  </si>
  <si>
    <t xml:space="preserve"> 37.3515 </t>
  </si>
  <si>
    <t xml:space="preserve">C:\Users\andre\Desktop\REACTIV CEFAS\Fadrozole\Fadrozole/20201201_Cefas_Test8_Run1/Plate 1/@16/ </t>
  </si>
  <si>
    <t xml:space="preserve"> 33.6831 </t>
  </si>
  <si>
    <t xml:space="preserve"> 7.7027 </t>
  </si>
  <si>
    <t xml:space="preserve"> 137755.5 </t>
  </si>
  <si>
    <t xml:space="preserve"> 108930.994 </t>
  </si>
  <si>
    <t xml:space="preserve">C:\Users\andre\Desktop\REACTIV CEFAS\Fadrozole\Fadrozole/20201201_Cefas_Test8_Run1/Plate 1/@2/A2_01.tif </t>
  </si>
  <si>
    <t xml:space="preserve"> 2314.3987 </t>
  </si>
  <si>
    <t xml:space="preserve"> 36.0935 </t>
  </si>
  <si>
    <t xml:space="preserve">C:\Users\andre\Desktop\REACTIV CEFAS\Fadrozole\Fadrozole/20201201_Cefas_Test8_Run1/Plate 1/@2/A2_02.tif </t>
  </si>
  <si>
    <t xml:space="preserve"> 3222.8543 </t>
  </si>
  <si>
    <t xml:space="preserve"> 35.3826 </t>
  </si>
  <si>
    <t xml:space="preserve">C:\Users\andre\Desktop\REACTIV CEFAS\Fadrozole\Fadrozole/20201201_Cefas_Test8_Run1/Plate 1/@2/A2_03.tif </t>
  </si>
  <si>
    <t xml:space="preserve"> 2422.5482 </t>
  </si>
  <si>
    <t xml:space="preserve"> 35.5625 </t>
  </si>
  <si>
    <t xml:space="preserve">C:\Users\andre\Desktop\REACTIV CEFAS\Fadrozole\Fadrozole/20201201_Cefas_Test8_Run1/Plate 1/@2/B2_01.tif </t>
  </si>
  <si>
    <t xml:space="preserve"> 6445.7086 </t>
  </si>
  <si>
    <t xml:space="preserve"> 37.4262 </t>
  </si>
  <si>
    <t xml:space="preserve">C:\Users\andre\Desktop\REACTIV CEFAS\Fadrozole\Fadrozole/20201201_Cefas_Test8_Run1/Plate 1/@2/B2_02.tif </t>
  </si>
  <si>
    <t xml:space="preserve"> 5018.1356 </t>
  </si>
  <si>
    <t xml:space="preserve"> 35.8621 </t>
  </si>
  <si>
    <t xml:space="preserve">C:\Users\andre\Desktop\REACTIV CEFAS\Fadrozole\Fadrozole/20201201_Cefas_Test8_Run1/Plate 1/@2/B2_03.tif </t>
  </si>
  <si>
    <t xml:space="preserve"> 6251.0395 </t>
  </si>
  <si>
    <t xml:space="preserve"> 37.4187 </t>
  </si>
  <si>
    <t xml:space="preserve">C:\Users\andre\Desktop\REACTIV CEFAS\Fadrozole\Fadrozole/20201201_Cefas_Test8_Run1/Plate 1/@2/C2_01.tif </t>
  </si>
  <si>
    <t xml:space="preserve"> 302.8185 </t>
  </si>
  <si>
    <t xml:space="preserve"> 31.2857 </t>
  </si>
  <si>
    <t xml:space="preserve">C:\Users\andre\Desktop\REACTIV CEFAS\Fadrozole\Fadrozole/20201201_Cefas_Test8_Run1/Plate 1/@2/C2_02.tif </t>
  </si>
  <si>
    <t xml:space="preserve"> 4174.5697 </t>
  </si>
  <si>
    <t xml:space="preserve"> 37.2124 </t>
  </si>
  <si>
    <t xml:space="preserve">C:\Users\andre\Desktop\REACTIV CEFAS\Fadrozole\Fadrozole/20201201_Cefas_Test8_Run1/Plate 1/@2/C2_03.tif </t>
  </si>
  <si>
    <t xml:space="preserve"> 6121.2602 </t>
  </si>
  <si>
    <t xml:space="preserve"> 40.8198 </t>
  </si>
  <si>
    <t xml:space="preserve">C:\Users\andre\Desktop\REACTIV CEFAS\Fadrozole\Fadrozole/20201201_Cefas_Test8_Run1/Plate 1/@2/D2_01.tif </t>
  </si>
  <si>
    <t xml:space="preserve"> 4261.0892 </t>
  </si>
  <si>
    <t xml:space="preserve"> 33.0558 </t>
  </si>
  <si>
    <t xml:space="preserve">C:\Users\andre\Desktop\REACTIV CEFAS\Fadrozole\Fadrozole/20201201_Cefas_Test8_Run1/Plate 1/@2/D2_02.tif </t>
  </si>
  <si>
    <t xml:space="preserve"> 4499.0181 </t>
  </si>
  <si>
    <t xml:space="preserve"> 37.6875 </t>
  </si>
  <si>
    <t xml:space="preserve">C:\Users\andre\Desktop\REACTIV CEFAS\Fadrozole\Fadrozole/20201201_Cefas_Test8_Run1/Plate 1/@2/D2_03.tif </t>
  </si>
  <si>
    <t xml:space="preserve"> 5147.9149 </t>
  </si>
  <si>
    <t xml:space="preserve"> 39.7647 </t>
  </si>
  <si>
    <t xml:space="preserve">C:\Users\andre\Desktop\REACTIV CEFAS\Fadrozole\Fadrozole/20201201_Cefas_Test8_Run1/Plate 1/@2/E2_01.tif </t>
  </si>
  <si>
    <t xml:space="preserve"> 6510.5983 </t>
  </si>
  <si>
    <t xml:space="preserve"> 38.6279 </t>
  </si>
  <si>
    <t xml:space="preserve">C:\Users\andre\Desktop\REACTIV CEFAS\Fadrozole\Fadrozole/20201201_Cefas_Test8_Run1/Plate 1/@2/E2_02.tif </t>
  </si>
  <si>
    <t xml:space="preserve"> 6078.0004 </t>
  </si>
  <si>
    <t xml:space="preserve"> 41.8221 </t>
  </si>
  <si>
    <t xml:space="preserve">C:\Users\andre\Desktop\REACTIV CEFAS\Fadrozole\Fadrozole/20201201_Cefas_Test8_Run1/Plate 1/@2/E2_03.tif </t>
  </si>
  <si>
    <t xml:space="preserve"> 6964.8261 </t>
  </si>
  <si>
    <t xml:space="preserve"> 39.5031 </t>
  </si>
  <si>
    <t xml:space="preserve">C:\Users\andre\Desktop\REACTIV CEFAS\Fadrozole\Fadrozole/20201201_Cefas_Test8_Run1/Plate 1/@2/F2_01.tif </t>
  </si>
  <si>
    <t xml:space="preserve"> 3309.3739 </t>
  </si>
  <si>
    <t xml:space="preserve"> 37.719 </t>
  </si>
  <si>
    <t xml:space="preserve">C:\Users\andre\Desktop\REACTIV CEFAS\Fadrozole\Fadrozole/20201201_Cefas_Test8_Run1/Plate 1/@2/F2_02.tif </t>
  </si>
  <si>
    <t xml:space="preserve"> 5320.9541 </t>
  </si>
  <si>
    <t xml:space="preserve"> 41.9553 </t>
  </si>
  <si>
    <t xml:space="preserve">C:\Users\andre\Desktop\REACTIV CEFAS\Fadrozole\Fadrozole/20201201_Cefas_Test8_Run1/Plate 1/@2/F2_03.tif </t>
  </si>
  <si>
    <t xml:space="preserve"> 7419.0539 </t>
  </si>
  <si>
    <t xml:space="preserve"> 40.0671 </t>
  </si>
  <si>
    <t xml:space="preserve">C:\Users\andre\Desktop\REACTIV CEFAS\Fadrozole\Fadrozole/20201201_Cefas_Test8_Run1/Plate 1/@2/G2_01.tif </t>
  </si>
  <si>
    <t xml:space="preserve"> 129.7794 </t>
  </si>
  <si>
    <t xml:space="preserve">C:\Users\andre\Desktop\REACTIV CEFAS\Fadrozole\Fadrozole/20201201_Cefas_Test8_Run1/Plate 1/@2/G2_02.tif </t>
  </si>
  <si>
    <t xml:space="preserve"> 35.3672 </t>
  </si>
  <si>
    <t xml:space="preserve">C:\Users\andre\Desktop\REACTIV CEFAS\Fadrozole\Fadrozole/20201201_Cefas_Test8_Run1/Plate 1/@2/G2_03.tif </t>
  </si>
  <si>
    <t xml:space="preserve"> 3871.7511 </t>
  </si>
  <si>
    <t xml:space="preserve"> 39.9777 </t>
  </si>
  <si>
    <t xml:space="preserve">C:\Users\andre\Desktop\REACTIV CEFAS\Fadrozole\Fadrozole/20201201_Cefas_Test8_Run1/Plate 1/@2/H2_01.tif </t>
  </si>
  <si>
    <t xml:space="preserve"> 6402.4488 </t>
  </si>
  <si>
    <t xml:space="preserve"> 34.5304 </t>
  </si>
  <si>
    <t xml:space="preserve">C:\Users\andre\Desktop\REACTIV CEFAS\Fadrozole\Fadrozole/20201201_Cefas_Test8_Run1/Plate 1/@2/H2_02.tif </t>
  </si>
  <si>
    <t xml:space="preserve"> 4542.2779 </t>
  </si>
  <si>
    <t xml:space="preserve"> 36.9857 </t>
  </si>
  <si>
    <t xml:space="preserve">C:\Users\andre\Desktop\REACTIV CEFAS\Fadrozole\Fadrozole/20201201_Cefas_Test8_Run1/Plate 1/@2/H2_03.tif </t>
  </si>
  <si>
    <t xml:space="preserve"> 5493.9932 </t>
  </si>
  <si>
    <t xml:space="preserve"> 39.7598 </t>
  </si>
  <si>
    <t xml:space="preserve">C:\Users\andre\Desktop\REACTIV CEFAS\Fadrozole\Fadrozole/20201201_Cefas_Test8_Run1/Plate 1/@2/ </t>
  </si>
  <si>
    <t xml:space="preserve"> 37.28 </t>
  </si>
  <si>
    <t xml:space="preserve"> 2.9939 </t>
  </si>
  <si>
    <t xml:space="preserve"> 173291.625 </t>
  </si>
  <si>
    <t xml:space="preserve"> 79358.4007 </t>
  </si>
  <si>
    <t xml:space="preserve">C:\Users\andre\Desktop\REACTIV CEFAS\Fadrozole\Fadrozole/20201201_Cefas_Test8_Run1/Plate 1/@3/A3_01.tif </t>
  </si>
  <si>
    <t xml:space="preserve"> 6315.9292 </t>
  </si>
  <si>
    <t xml:space="preserve"> 41.9555 </t>
  </si>
  <si>
    <t xml:space="preserve">C:\Users\andre\Desktop\REACTIV CEFAS\Fadrozole\Fadrozole/20201201_Cefas_Test8_Run1/Plate 1/@3/A3_02.tif </t>
  </si>
  <si>
    <t xml:space="preserve"> 6835.0467 </t>
  </si>
  <si>
    <t xml:space="preserve"> 43.3703 </t>
  </si>
  <si>
    <t xml:space="preserve">C:\Users\andre\Desktop\REACTIV CEFAS\Fadrozole\Fadrozole/20201201_Cefas_Test8_Run1/Plate 1/@3/A3_03.tif </t>
  </si>
  <si>
    <t xml:space="preserve">C:\Users\andre\Desktop\REACTIV CEFAS\Fadrozole\Fadrozole/20201201_Cefas_Test8_Run1/Plate 1/@3/B3_01.tif </t>
  </si>
  <si>
    <t xml:space="preserve"> 40556.0524 </t>
  </si>
  <si>
    <t xml:space="preserve"> 36.832 </t>
  </si>
  <si>
    <t xml:space="preserve">C:\Users\andre\Desktop\REACTIV CEFAS\Fadrozole\Fadrozole/20201201_Cefas_Test8_Run1/Plate 1/@3/B3_02.tif </t>
  </si>
  <si>
    <t xml:space="preserve"> 33461.447 </t>
  </si>
  <si>
    <t xml:space="preserve"> 34.9315 </t>
  </si>
  <si>
    <t xml:space="preserve">C:\Users\andre\Desktop\REACTIV CEFAS\Fadrozole\Fadrozole/20201201_Cefas_Test8_Run1/Plate 1/@3/B3_03.tif </t>
  </si>
  <si>
    <t xml:space="preserve"> 38479.5825 </t>
  </si>
  <si>
    <t xml:space="preserve"> 35.6521 </t>
  </si>
  <si>
    <t xml:space="preserve">C:\Users\andre\Desktop\REACTIV CEFAS\Fadrozole\Fadrozole/20201201_Cefas_Test8_Run1/Plate 1/@3/C3_01.tif </t>
  </si>
  <si>
    <t xml:space="preserve"> 2855.1461 </t>
  </si>
  <si>
    <t xml:space="preserve"> 35.1515 </t>
  </si>
  <si>
    <t xml:space="preserve">C:\Users\andre\Desktop\REACTIV CEFAS\Fadrozole\Fadrozole/20201201_Cefas_Test8_Run1/Plate 1/@3/C3_02.tif </t>
  </si>
  <si>
    <t xml:space="preserve"> 2465.808 </t>
  </si>
  <si>
    <t xml:space="preserve"> 34.6491 </t>
  </si>
  <si>
    <t xml:space="preserve">C:\Users\andre\Desktop\REACTIV CEFAS\Fadrozole\Fadrozole/20201201_Cefas_Test8_Run1/Plate 1/@3/C3_03.tif </t>
  </si>
  <si>
    <t xml:space="preserve"> 1578.9823 </t>
  </si>
  <si>
    <t xml:space="preserve"> 32.0959 </t>
  </si>
  <si>
    <t xml:space="preserve">C:\Users\andre\Desktop\REACTIV CEFAS\Fadrozole\Fadrozole/20201201_Cefas_Test8_Run1/Plate 1/@3/D3_01.tif </t>
  </si>
  <si>
    <t xml:space="preserve"> 5515.6231 </t>
  </si>
  <si>
    <t xml:space="preserve"> 40.0784 </t>
  </si>
  <si>
    <t xml:space="preserve">C:\Users\andre\Desktop\REACTIV CEFAS\Fadrozole\Fadrozole/20201201_Cefas_Test8_Run1/Plate 1/@3/D3_02.tif </t>
  </si>
  <si>
    <t xml:space="preserve"> 36.121 </t>
  </si>
  <si>
    <t xml:space="preserve">C:\Users\andre\Desktop\REACTIV CEFAS\Fadrozole\Fadrozole/20201201_Cefas_Test8_Run1/Plate 1/@3/D3_03.tif </t>
  </si>
  <si>
    <t xml:space="preserve"> 3741.9718 </t>
  </si>
  <si>
    <t xml:space="preserve"> 36.0173 </t>
  </si>
  <si>
    <t xml:space="preserve">C:\Users\andre\Desktop\REACTIV CEFAS\Fadrozole\Fadrozole/20201201_Cefas_Test8_Run1/Plate 1/@3/E3_01.tif </t>
  </si>
  <si>
    <t xml:space="preserve">C:\Users\andre\Desktop\REACTIV CEFAS\Fadrozole\Fadrozole/20201201_Cefas_Test8_Run1/Plate 1/@3/E3_02.tif </t>
  </si>
  <si>
    <t xml:space="preserve"> 1925.0606 </t>
  </si>
  <si>
    <t xml:space="preserve"> 33.0899 </t>
  </si>
  <si>
    <t xml:space="preserve">C:\Users\andre\Desktop\REACTIV CEFAS\Fadrozole\Fadrozole/20201201_Cefas_Test8_Run1/Plate 1/@3/E3_03.tif </t>
  </si>
  <si>
    <t xml:space="preserve"> 2941.6657 </t>
  </si>
  <si>
    <t xml:space="preserve"> 36.4559 </t>
  </si>
  <si>
    <t>C:\Users\andre\Desktop\REACTIV CEFAS\Fadrozole\Fadrozole/20201201_Cefas_Test8_Run1/Plate 1/@3/F3_01- exclu.tif</t>
  </si>
  <si>
    <t>C:\Users\andre\Desktop\REACTIV CEFAS\Fadrozole\Fadrozole/20201201_Cefas_Test8_Run1/Plate 1/@3/F3_02- exclu.tif</t>
  </si>
  <si>
    <t>C:\Users\andre\Desktop\REACTIV CEFAS\Fadrozole\Fadrozole/20201201_Cefas_Test8_Run1/Plate 1/@3/F3_03- exclu.tif</t>
  </si>
  <si>
    <t>C:\Users\andre\Desktop\REACTIV CEFAS\Fadrozole\Fadrozole/20201201_Cefas_Test8_Run1/Plate 1/@3/G3_01- exclu.tif</t>
  </si>
  <si>
    <t xml:space="preserve">C:\Users\andre\Desktop\REACTIV CEFAS\Fadrozole\Fadrozole/20201201_Cefas_Test8_Run1/Plate 1/@3/G3_02.tif </t>
  </si>
  <si>
    <t xml:space="preserve"> 4023.1604 </t>
  </si>
  <si>
    <t xml:space="preserve"> 35.9194 </t>
  </si>
  <si>
    <t>C:\Users\andre\Desktop\REACTIV CEFAS\Fadrozole\Fadrozole/20201201_Cefas_Test8_Run1/Plate 1/@3/G3_03- exclu.tif</t>
  </si>
  <si>
    <t xml:space="preserve">C:\Users\andre\Desktop\REACTIV CEFAS\Fadrozole\Fadrozole/20201201_Cefas_Test8_Run1/Plate 1/@3/H3_01.tif </t>
  </si>
  <si>
    <t xml:space="preserve"> 2119.7297 </t>
  </si>
  <si>
    <t xml:space="preserve"> 31.5204 </t>
  </si>
  <si>
    <t xml:space="preserve">C:\Users\andre\Desktop\REACTIV CEFAS\Fadrozole\Fadrozole/20201201_Cefas_Test8_Run1/Plate 1/@3/H3_02.tif </t>
  </si>
  <si>
    <t xml:space="preserve"> 908.4556 </t>
  </si>
  <si>
    <t xml:space="preserve"> 31.3571 </t>
  </si>
  <si>
    <t xml:space="preserve">C:\Users\andre\Desktop\REACTIV CEFAS\Fadrozole\Fadrozole/20201201_Cefas_Test8_Run1/Plate 1/@3/H3_03.tif </t>
  </si>
  <si>
    <t xml:space="preserve"> 2638.8471 </t>
  </si>
  <si>
    <t xml:space="preserve"> 33.4098 </t>
  </si>
  <si>
    <t xml:space="preserve">C:\Users\andre\Desktop\REACTIV CEFAS\Fadrozole\Fadrozole/20201201_Cefas_Test8_Run1/Plate 1/@3/ </t>
  </si>
  <si>
    <t xml:space="preserve"> 34.0583 </t>
  </si>
  <si>
    <t xml:space="preserve"> 11.4445 </t>
  </si>
  <si>
    <t xml:space="preserve"> 338262.75 </t>
  </si>
  <si>
    <t xml:space="preserve"> 433708.039 </t>
  </si>
  <si>
    <t xml:space="preserve">C:\Users\andre\Desktop\REACTIV CEFAS\Fadrozole\Fadrozole/20201201_Cefas_Test8_Run1/Plate 1/@4/A4_01.tif </t>
  </si>
  <si>
    <t xml:space="preserve"> 8305.8795 </t>
  </si>
  <si>
    <t xml:space="preserve"> 38.7161 </t>
  </si>
  <si>
    <t>C:\Users\andre\Desktop\REACTIV CEFAS\Fadrozole\Fadrozole/20201201_Cefas_Test8_Run1/Plate 1/@4/A4_02- exclu.tif</t>
  </si>
  <si>
    <t xml:space="preserve">C:\Users\andre\Desktop\REACTIV CEFAS\Fadrozole\Fadrozole/20201201_Cefas_Test8_Run1/Plate 1/@4/A4_03.tif </t>
  </si>
  <si>
    <t xml:space="preserve"> 6618.7478 </t>
  </si>
  <si>
    <t xml:space="preserve"> 36.0948 </t>
  </si>
  <si>
    <t xml:space="preserve">C:\Users\andre\Desktop\REACTIV CEFAS\Fadrozole\Fadrozole/20201201_Cefas_Test8_Run1/Plate 1/@4/B4_01.tif </t>
  </si>
  <si>
    <t xml:space="preserve"> 6921.5663 </t>
  </si>
  <si>
    <t xml:space="preserve"> 37.4438 </t>
  </si>
  <si>
    <t xml:space="preserve">C:\Users\andre\Desktop\REACTIV CEFAS\Fadrozole\Fadrozole/20201201_Cefas_Test8_Run1/Plate 1/@4/B4_02.tif </t>
  </si>
  <si>
    <t xml:space="preserve"> 13864.7625 </t>
  </si>
  <si>
    <t xml:space="preserve"> 42.6786 </t>
  </si>
  <si>
    <t xml:space="preserve">C:\Users\andre\Desktop\REACTIV CEFAS\Fadrozole\Fadrozole/20201201_Cefas_Test8_Run1/Plate 1/@4/B4_03.tif </t>
  </si>
  <si>
    <t xml:space="preserve"> 8954.7764 </t>
  </si>
  <si>
    <t xml:space="preserve"> 42.8237 </t>
  </si>
  <si>
    <t xml:space="preserve">C:\Users\andre\Desktop\REACTIV CEFAS\Fadrozole\Fadrozole/20201201_Cefas_Test8_Run1/Plate 1/@4/C4_01.tif </t>
  </si>
  <si>
    <t xml:space="preserve"> 21997.6028 </t>
  </si>
  <si>
    <t xml:space="preserve"> 32.8387 </t>
  </si>
  <si>
    <t xml:space="preserve">C:\Users\andre\Desktop\REACTIV CEFAS\Fadrozole\Fadrozole/20201201_Cefas_Test8_Run1/Plate 1/@4/C4_02.tif </t>
  </si>
  <si>
    <t xml:space="preserve"> 29957.4041 </t>
  </si>
  <si>
    <t xml:space="preserve"> 33.7292 </t>
  </si>
  <si>
    <t xml:space="preserve">C:\Users\andre\Desktop\REACTIV CEFAS\Fadrozole\Fadrozole/20201201_Cefas_Test8_Run1/Plate 1/@4/C4_03.tif </t>
  </si>
  <si>
    <t xml:space="preserve"> 37138.5291 </t>
  </si>
  <si>
    <t xml:space="preserve"> 35.2935 </t>
  </si>
  <si>
    <t xml:space="preserve">C:\Users\andre\Desktop\REACTIV CEFAS\Fadrozole\Fadrozole/20201201_Cefas_Test8_Run1/Plate 1/@4/D4_01.tif </t>
  </si>
  <si>
    <t xml:space="preserve"> 18493.5599 </t>
  </si>
  <si>
    <t xml:space="preserve"> 34.1825 </t>
  </si>
  <si>
    <t xml:space="preserve">C:\Users\andre\Desktop\REACTIV CEFAS\Fadrozole\Fadrozole/20201201_Cefas_Test8_Run1/Plate 1/@4/D4_02.tif </t>
  </si>
  <si>
    <t xml:space="preserve"> 24722.9696 </t>
  </si>
  <si>
    <t xml:space="preserve"> 33.7804 </t>
  </si>
  <si>
    <t xml:space="preserve">C:\Users\andre\Desktop\REACTIV CEFAS\Fadrozole\Fadrozole/20201201_Cefas_Test8_Run1/Plate 1/@4/D4_03.tif </t>
  </si>
  <si>
    <t xml:space="preserve"> 19293.866 </t>
  </si>
  <si>
    <t xml:space="preserve"> 32.3004 </t>
  </si>
  <si>
    <t xml:space="preserve">C:\Users\andre\Desktop\REACTIV CEFAS\Fadrozole\Fadrozole/20201201_Cefas_Test8_Run1/Plate 1/@4/E4_01.tif </t>
  </si>
  <si>
    <t xml:space="preserve"> 27145.5178 </t>
  </si>
  <si>
    <t xml:space="preserve"> 36.4135 </t>
  </si>
  <si>
    <t xml:space="preserve">C:\Users\andre\Desktop\REACTIV CEFAS\Fadrozole\Fadrozole/20201201_Cefas_Test8_Run1/Plate 1/@4/E4_02.tif </t>
  </si>
  <si>
    <t xml:space="preserve"> 23446.8058 </t>
  </si>
  <si>
    <t xml:space="preserve"> 35.8616 </t>
  </si>
  <si>
    <t xml:space="preserve">C:\Users\andre\Desktop\REACTIV CEFAS\Fadrozole\Fadrozole/20201201_Cefas_Test8_Run1/Plate 1/@4/E4_03.tif </t>
  </si>
  <si>
    <t xml:space="preserve"> 16157.5313 </t>
  </si>
  <si>
    <t xml:space="preserve"> 35.2383 </t>
  </si>
  <si>
    <t xml:space="preserve">C:\Users\andre\Desktop\REACTIV CEFAS\Fadrozole\Fadrozole/20201201_Cefas_Test8_Run1/Plate 1/@4/F4_01.tif </t>
  </si>
  <si>
    <t xml:space="preserve"> 3006.5554 </t>
  </si>
  <si>
    <t xml:space="preserve"> 31.7626 </t>
  </si>
  <si>
    <t xml:space="preserve">C:\Users\andre\Desktop\REACTIV CEFAS\Fadrozole\Fadrozole/20201201_Cefas_Test8_Run1/Plate 1/@4/F4_02.tif </t>
  </si>
  <si>
    <t xml:space="preserve"> 32.2624 </t>
  </si>
  <si>
    <t xml:space="preserve">C:\Users\andre\Desktop\REACTIV CEFAS\Fadrozole\Fadrozole/20201201_Cefas_Test8_Run1/Plate 1/@4/F4_03.tif </t>
  </si>
  <si>
    <t xml:space="preserve"> 4758.5768 </t>
  </si>
  <si>
    <t xml:space="preserve"> 32.4364 </t>
  </si>
  <si>
    <t xml:space="preserve">C:\Users\andre\Desktop\REACTIV CEFAS\Fadrozole\Fadrozole/20201201_Cefas_Test8_Run1/Plate 1/@4/G4_01.tif </t>
  </si>
  <si>
    <t xml:space="preserve"> 24095.7026 </t>
  </si>
  <si>
    <t xml:space="preserve"> 33.991 </t>
  </si>
  <si>
    <t xml:space="preserve">C:\Users\andre\Desktop\REACTIV CEFAS\Fadrozole\Fadrozole/20201201_Cefas_Test8_Run1/Plate 1/@4/G4_02.tif </t>
  </si>
  <si>
    <t xml:space="preserve"> 35624.4365 </t>
  </si>
  <si>
    <t xml:space="preserve"> 37.7747 </t>
  </si>
  <si>
    <t xml:space="preserve">C:\Users\andre\Desktop\REACTIV CEFAS\Fadrozole\Fadrozole/20201201_Cefas_Test8_Run1/Plate 1/@4/G4_03.tif </t>
  </si>
  <si>
    <t xml:space="preserve"> 23143.9873 </t>
  </si>
  <si>
    <t xml:space="preserve"> 35.3486 </t>
  </si>
  <si>
    <t xml:space="preserve">C:\Users\andre\Desktop\REACTIV CEFAS\Fadrozole\Fadrozole/20201201_Cefas_Test8_Run1/Plate 1/@4/H4_01.tif </t>
  </si>
  <si>
    <t xml:space="preserve"> 778.6762 </t>
  </si>
  <si>
    <t xml:space="preserve"> 31.0833 </t>
  </si>
  <si>
    <t>C:\Users\andre\Desktop\REACTIV CEFAS\Fadrozole\Fadrozole/20201201_Cefas_Test8_Run1/Plate 1/@4/H4_02- exclu.tif</t>
  </si>
  <si>
    <t xml:space="preserve">C:\Users\andre\Desktop\REACTIV CEFAS\Fadrozole\Fadrozole/20201201_Cefas_Test8_Run1/Plate 1/@4/H4_03.tif </t>
  </si>
  <si>
    <t xml:space="preserve"> 31.1613 </t>
  </si>
  <si>
    <t xml:space="preserve">C:\Users\andre\Desktop\REACTIV CEFAS\Fadrozole\Fadrozole/20201201_Cefas_Test8_Run1/Plate 1/@4/ </t>
  </si>
  <si>
    <t xml:space="preserve"> 33.5251 </t>
  </si>
  <si>
    <t xml:space="preserve"> 7.8271 </t>
  </si>
  <si>
    <t xml:space="preserve"> 544727.375 </t>
  </si>
  <si>
    <t xml:space="preserve"> 397328.388 </t>
  </si>
  <si>
    <t xml:space="preserve">C:\Users\andre\Desktop\REACTIV CEFAS\Fadrozole\Fadrozole/20201201_Cefas_Test8_Run1/Plate 1/@5/A5_01.tif </t>
  </si>
  <si>
    <t xml:space="preserve"> 23079.0976 </t>
  </si>
  <si>
    <t xml:space="preserve"> 36.5492 </t>
  </si>
  <si>
    <t>C:\Users\andre\Desktop\REACTIV CEFAS\Fadrozole\Fadrozole/20201201_Cefas_Test8_Run1/Plate 1/@5/A5_02- exclu.tif</t>
  </si>
  <si>
    <t xml:space="preserve">C:\Users\andre\Desktop\REACTIV CEFAS\Fadrozole\Fadrozole/20201201_Cefas_Test8_Run1/Plate 1/@5/A5_03.tif </t>
  </si>
  <si>
    <t xml:space="preserve"> 23554.9553 </t>
  </si>
  <si>
    <t xml:space="preserve"> 36.6538 </t>
  </si>
  <si>
    <t xml:space="preserve">C:\Users\andre\Desktop\REACTIV CEFAS\Fadrozole\Fadrozole/20201201_Cefas_Test8_Run1/Plate 1/@5/B5_01.tif </t>
  </si>
  <si>
    <t xml:space="preserve"> 53555.6191 </t>
  </si>
  <si>
    <t xml:space="preserve"> 38.2645 </t>
  </si>
  <si>
    <t xml:space="preserve">C:\Users\andre\Desktop\REACTIV CEFAS\Fadrozole\Fadrozole/20201201_Cefas_Test8_Run1/Plate 1/@5/B5_02.tif </t>
  </si>
  <si>
    <t xml:space="preserve"> 53490.7294 </t>
  </si>
  <si>
    <t xml:space="preserve"> 37.4905 </t>
  </si>
  <si>
    <t xml:space="preserve">C:\Users\andre\Desktop\REACTIV CEFAS\Fadrozole\Fadrozole/20201201_Cefas_Test8_Run1/Plate 1/@5/B5_03.tif </t>
  </si>
  <si>
    <t xml:space="preserve"> 67982.7588 </t>
  </si>
  <si>
    <t xml:space="preserve"> 40.2074 </t>
  </si>
  <si>
    <t xml:space="preserve">C:\Users\andre\Desktop\REACTIV CEFAS\Fadrozole\Fadrozole/20201201_Cefas_Test8_Run1/Plate 1/@5/C5_01.tif </t>
  </si>
  <si>
    <t xml:space="preserve"> 28508.2011 </t>
  </si>
  <si>
    <t xml:space="preserve"> 37.717 </t>
  </si>
  <si>
    <t xml:space="preserve">C:\Users\andre\Desktop\REACTIV CEFAS\Fadrozole\Fadrozole/20201201_Cefas_Test8_Run1/Plate 1/@5/C5_02.tif </t>
  </si>
  <si>
    <t xml:space="preserve"> 19812.9835 </t>
  </si>
  <si>
    <t xml:space="preserve"> 37.6299 </t>
  </si>
  <si>
    <t xml:space="preserve">C:\Users\andre\Desktop\REACTIV CEFAS\Fadrozole\Fadrozole/20201201_Cefas_Test8_Run1/Plate 1/@5/C5_03.tif </t>
  </si>
  <si>
    <t xml:space="preserve"> 28767.7599 </t>
  </si>
  <si>
    <t xml:space="preserve"> 40.9383 </t>
  </si>
  <si>
    <t xml:space="preserve">C:\Users\andre\Desktop\REACTIV CEFAS\Fadrozole\Fadrozole/20201201_Cefas_Test8_Run1/Plate 1/@5/D5_01.tif </t>
  </si>
  <si>
    <t xml:space="preserve"> 83988.8808 </t>
  </si>
  <si>
    <t xml:space="preserve"> 43.6902 </t>
  </si>
  <si>
    <t xml:space="preserve">C:\Users\andre\Desktop\REACTIV CEFAS\Fadrozole\Fadrozole/20201201_Cefas_Test8_Run1/Plate 1/@5/D5_02.tif </t>
  </si>
  <si>
    <t xml:space="preserve"> 80246.9091 </t>
  </si>
  <si>
    <t xml:space="preserve"> 42.4073 </t>
  </si>
  <si>
    <t xml:space="preserve">C:\Users\andre\Desktop\REACTIV CEFAS\Fadrozole\Fadrozole/20201201_Cefas_Test8_Run1/Plate 1/@5/D5_03.tif </t>
  </si>
  <si>
    <t xml:space="preserve"> 79122.1546 </t>
  </si>
  <si>
    <t xml:space="preserve"> 43.193 </t>
  </si>
  <si>
    <t xml:space="preserve">C:\Users\andre\Desktop\REACTIV CEFAS\Fadrozole\Fadrozole/20201201_Cefas_Test8_Run1/Plate 1/@5/E5_01.tif </t>
  </si>
  <si>
    <t xml:space="preserve"> 43951.9459 </t>
  </si>
  <si>
    <t xml:space="preserve"> 34.4405 </t>
  </si>
  <si>
    <t>C:\Users\andre\Desktop\REACTIV CEFAS\Fadrozole\Fadrozole/20201201_Cefas_Test8_Run1/Plate 1/@5/E5_02- exclu.tif</t>
  </si>
  <si>
    <t>C:\Users\andre\Desktop\REACTIV CEFAS\Fadrozole\Fadrozole/20201201_Cefas_Test8_Run1/Plate 1/@5/E5_03- exclu.tif</t>
  </si>
  <si>
    <t xml:space="preserve">C:\Users\andre\Desktop\REACTIV CEFAS\Fadrozole\Fadrozole/20201201_Cefas_Test8_Run1/Plate 1/@5/F5_01.tif </t>
  </si>
  <si>
    <t xml:space="preserve"> 50051.5762 </t>
  </si>
  <si>
    <t xml:space="preserve"> 39.0372 </t>
  </si>
  <si>
    <t xml:space="preserve">C:\Users\andre\Desktop\REACTIV CEFAS\Fadrozole\Fadrozole/20201201_Cefas_Test8_Run1/Plate 1/@5/F5_02.tif </t>
  </si>
  <si>
    <t xml:space="preserve"> 44665.7324 </t>
  </si>
  <si>
    <t xml:space="preserve"> 41.247 </t>
  </si>
  <si>
    <t xml:space="preserve">C:\Users\andre\Desktop\REACTIV CEFAS\Fadrozole\Fadrozole/20201201_Cefas_Test8_Run1/Plate 1/@5/F5_03.tif </t>
  </si>
  <si>
    <t xml:space="preserve"> 55545.5694 </t>
  </si>
  <si>
    <t xml:space="preserve"> 41.4202 </t>
  </si>
  <si>
    <t xml:space="preserve">C:\Users\andre\Desktop\REACTIV CEFAS\Fadrozole\Fadrozole/20201201_Cefas_Test8_Run1/Plate 1/@5/G5_01.tif </t>
  </si>
  <si>
    <t xml:space="preserve"> 64651.755 </t>
  </si>
  <si>
    <t xml:space="preserve"> 40.6591 </t>
  </si>
  <si>
    <t xml:space="preserve">C:\Users\andre\Desktop\REACTIV CEFAS\Fadrozole\Fadrozole/20201201_Cefas_Test8_Run1/Plate 1/@5/G5_02.tif </t>
  </si>
  <si>
    <t xml:space="preserve"> 54291.0355 </t>
  </si>
  <si>
    <t xml:space="preserve"> 36.7112 </t>
  </si>
  <si>
    <t xml:space="preserve">C:\Users\andre\Desktop\REACTIV CEFAS\Fadrozole\Fadrozole/20201201_Cefas_Test8_Run1/Plate 1/@5/G5_03.tif </t>
  </si>
  <si>
    <t xml:space="preserve"> 61169.342 </t>
  </si>
  <si>
    <t xml:space="preserve"> 40.8586 </t>
  </si>
  <si>
    <t xml:space="preserve">C:\Users\andre\Desktop\REACTIV CEFAS\Fadrozole\Fadrozole/20201201_Cefas_Test8_Run1/Plate 1/@5/H5_01.tif </t>
  </si>
  <si>
    <t xml:space="preserve"> 66014.4384 </t>
  </si>
  <si>
    <t xml:space="preserve"> 40.7126 </t>
  </si>
  <si>
    <t xml:space="preserve">C:\Users\andre\Desktop\REACTIV CEFAS\Fadrozole\Fadrozole/20201201_Cefas_Test8_Run1/Plate 1/@5/H5_02.tif </t>
  </si>
  <si>
    <t xml:space="preserve"> 71616.5811 </t>
  </si>
  <si>
    <t xml:space="preserve"> 41.396 </t>
  </si>
  <si>
    <t xml:space="preserve">C:\Users\andre\Desktop\REACTIV CEFAS\Fadrozole\Fadrozole/20201201_Cefas_Test8_Run1/Plate 1/@5/H5_03.tif </t>
  </si>
  <si>
    <t xml:space="preserve"> 58400.7155 </t>
  </si>
  <si>
    <t xml:space="preserve"> 41.1056 </t>
  </si>
  <si>
    <t xml:space="preserve">C:\Users\andre\Desktop\REACTIV CEFAS\Fadrozole\Fadrozole/20201201_Cefas_Test8_Run1/Plate 1/@5/ </t>
  </si>
  <si>
    <t xml:space="preserve"> 39.5958 </t>
  </si>
  <si>
    <t xml:space="preserve"> 2.3188 </t>
  </si>
  <si>
    <t xml:space="preserve"> 2007622.04 </t>
  </si>
  <si>
    <t xml:space="preserve"> 883631.368 </t>
  </si>
  <si>
    <t xml:space="preserve">C:\Users\andre\Desktop\REACTIV CEFAS\Fadrozole\Fadrozole/20201201_Cefas_Test8_Run1/Plate 1/@6/A6_01.tif </t>
  </si>
  <si>
    <t xml:space="preserve"> 57254.3311 </t>
  </si>
  <si>
    <t xml:space="preserve"> 41.0363 </t>
  </si>
  <si>
    <t>C:\Users\andre\Desktop\REACTIV CEFAS\Fadrozole\Fadrozole/20201201_Cefas_Test8_Run1/Plate 1/@6/A6_02- exclu.tif</t>
  </si>
  <si>
    <t xml:space="preserve">C:\Users\andre\Desktop\REACTIV CEFAS\Fadrozole\Fadrozole/20201201_Cefas_Test8_Run1/Plate 1/@6/A6_03.tif </t>
  </si>
  <si>
    <t xml:space="preserve"> 46980.1311 </t>
  </si>
  <si>
    <t xml:space="preserve"> 40.6285 </t>
  </si>
  <si>
    <t xml:space="preserve">C:\Users\andre\Desktop\REACTIV CEFAS\Fadrozole\Fadrozole/20201201_Cefas_Test8_Run1/Plate 1/@6/B6_01.tif </t>
  </si>
  <si>
    <t xml:space="preserve"> 56454.025 </t>
  </si>
  <si>
    <t xml:space="preserve"> 44.2326 </t>
  </si>
  <si>
    <t xml:space="preserve">C:\Users\andre\Desktop\REACTIV CEFAS\Fadrozole\Fadrozole/20201201_Cefas_Test8_Run1/Plate 1/@6/B6_02.tif </t>
  </si>
  <si>
    <t xml:space="preserve"> 41.2941 </t>
  </si>
  <si>
    <t xml:space="preserve">C:\Users\andre\Desktop\REACTIV CEFAS\Fadrozole\Fadrozole/20201201_Cefas_Test8_Run1/Plate 1/@6/B6_03.tif </t>
  </si>
  <si>
    <t xml:space="preserve"> 64997.8334 </t>
  </si>
  <si>
    <t xml:space="preserve"> 41.6912 </t>
  </si>
  <si>
    <t xml:space="preserve">C:\Users\andre\Desktop\REACTIV CEFAS\Fadrozole\Fadrozole/20201201_Cefas_Test8_Run1/Plate 1/@6/C6_01.tif </t>
  </si>
  <si>
    <t xml:space="preserve"> 69172.403 </t>
  </si>
  <si>
    <t xml:space="preserve"> 52.2861 </t>
  </si>
  <si>
    <t xml:space="preserve">C:\Users\andre\Desktop\REACTIV CEFAS\Fadrozole\Fadrozole/20201201_Cefas_Test8_Run1/Plate 1/@6/C6_02.tif </t>
  </si>
  <si>
    <t xml:space="preserve"> 63245.8119 </t>
  </si>
  <si>
    <t xml:space="preserve"> 53.6837 </t>
  </si>
  <si>
    <t xml:space="preserve">C:\Users\andre\Desktop\REACTIV CEFAS\Fadrozole\Fadrozole/20201201_Cefas_Test8_Run1/Plate 1/@6/C6_03.tif </t>
  </si>
  <si>
    <t xml:space="preserve"> 65105.9828 </t>
  </si>
  <si>
    <t xml:space="preserve"> 50.813 </t>
  </si>
  <si>
    <t xml:space="preserve">C:\Users\andre\Desktop\REACTIV CEFAS\Fadrozole\Fadrozole/20201201_Cefas_Test8_Run1/Plate 1/@6/D6_01.tif </t>
  </si>
  <si>
    <t xml:space="preserve"> 77716.2114 </t>
  </si>
  <si>
    <t xml:space="preserve"> 51.5853 </t>
  </si>
  <si>
    <t xml:space="preserve">C:\Users\andre\Desktop\REACTIV CEFAS\Fadrozole\Fadrozole/20201201_Cefas_Test8_Run1/Plate 1/@6/D6_02.tif </t>
  </si>
  <si>
    <t xml:space="preserve"> 77045.6847 </t>
  </si>
  <si>
    <t xml:space="preserve"> 46.3857 </t>
  </si>
  <si>
    <t xml:space="preserve">C:\Users\andre\Desktop\REACTIV CEFAS\Fadrozole\Fadrozole/20201201_Cefas_Test8_Run1/Plate 1/@6/D6_03.tif </t>
  </si>
  <si>
    <t xml:space="preserve"> 60109.4772 </t>
  </si>
  <si>
    <t xml:space="preserve"> 51.6463 </t>
  </si>
  <si>
    <t xml:space="preserve">C:\Users\andre\Desktop\REACTIV CEFAS\Fadrozole\Fadrozole/20201201_Cefas_Test8_Run1/Plate 1/@6/E6_01.tif </t>
  </si>
  <si>
    <t xml:space="preserve"> 55696.9787 </t>
  </si>
  <si>
    <t xml:space="preserve"> 45.8804 </t>
  </si>
  <si>
    <t xml:space="preserve">C:\Users\andre\Desktop\REACTIV CEFAS\Fadrozole\Fadrozole/20201201_Cefas_Test8_Run1/Plate 1/@6/E6_02.tif </t>
  </si>
  <si>
    <t xml:space="preserve"> 52949.9821 </t>
  </si>
  <si>
    <t xml:space="preserve"> 49.7177 </t>
  </si>
  <si>
    <t xml:space="preserve">C:\Users\andre\Desktop\REACTIV CEFAS\Fadrozole\Fadrozole/20201201_Cefas_Test8_Run1/Plate 1/@6/E6_03.tif </t>
  </si>
  <si>
    <t xml:space="preserve"> 64543.6056 </t>
  </si>
  <si>
    <t xml:space="preserve"> 46.8271 </t>
  </si>
  <si>
    <t xml:space="preserve">C:\Users\andre\Desktop\REACTIV CEFAS\Fadrozole\Fadrozole/20201201_Cefas_Test8_Run1/Plate 1/@6/F6_01.tif </t>
  </si>
  <si>
    <t xml:space="preserve"> 84745.9272 </t>
  </si>
  <si>
    <t xml:space="preserve"> 46.7483 </t>
  </si>
  <si>
    <t xml:space="preserve">C:\Users\andre\Desktop\REACTIV CEFAS\Fadrozole\Fadrozole/20201201_Cefas_Test8_Run1/Plate 1/@6/F6_02.tif </t>
  </si>
  <si>
    <t xml:space="preserve"> 86822.397 </t>
  </si>
  <si>
    <t xml:space="preserve"> 49.0252 </t>
  </si>
  <si>
    <t xml:space="preserve">C:\Users\andre\Desktop\REACTIV CEFAS\Fadrozole\Fadrozole/20201201_Cefas_Test8_Run1/Plate 1/@6/F6_03.tif </t>
  </si>
  <si>
    <t xml:space="preserve"> 87536.1836 </t>
  </si>
  <si>
    <t xml:space="preserve"> 46.8411 </t>
  </si>
  <si>
    <t xml:space="preserve">C:\Users\andre\Desktop\REACTIV CEFAS\Fadrozole\Fadrozole/20201201_Cefas_Test8_Run1/Plate 1/@6/G6_01.tif </t>
  </si>
  <si>
    <t xml:space="preserve"> 69064.2535 </t>
  </si>
  <si>
    <t xml:space="preserve"> 46.5205 </t>
  </si>
  <si>
    <t xml:space="preserve">C:\Users\andre\Desktop\REACTIV CEFAS\Fadrozole\Fadrozole/20201201_Cefas_Test8_Run1/Plate 1/@6/G6_02.tif </t>
  </si>
  <si>
    <t xml:space="preserve"> 76418.4177 </t>
  </si>
  <si>
    <t xml:space="preserve"> 50.7305 </t>
  </si>
  <si>
    <t xml:space="preserve">C:\Users\andre\Desktop\REACTIV CEFAS\Fadrozole\Fadrozole/20201201_Cefas_Test8_Run1/Plate 1/@6/G6_03.tif </t>
  </si>
  <si>
    <t xml:space="preserve"> 79835.9411 </t>
  </si>
  <si>
    <t xml:space="preserve"> 51.8309 </t>
  </si>
  <si>
    <t>C:\Users\andre\Desktop\REACTIV CEFAS\Fadrozole\Fadrozole/20201201_Cefas_Test8_Run1/Plate 1/@6/H6_01- exclu.tif</t>
  </si>
  <si>
    <t>C:\Users\andre\Desktop\REACTIV CEFAS\Fadrozole\Fadrozole/20201201_Cefas_Test8_Run1/Plate 1/@6/H6_02- exclu.tif</t>
  </si>
  <si>
    <t>C:\Users\andre\Desktop\REACTIV CEFAS\Fadrozole\Fadrozole/20201201_Cefas_Test8_Run1/Plate 1/@6/H6_03- exclu.tif</t>
  </si>
  <si>
    <t xml:space="preserve">C:\Users\andre\Desktop\REACTIV CEFAS\Fadrozole\Fadrozole/20201201_Cefas_Test8_Run1/Plate 1/@6/ </t>
  </si>
  <si>
    <t xml:space="preserve"> 44.1984 </t>
  </si>
  <si>
    <t xml:space="preserve"> 11.013 </t>
  </si>
  <si>
    <t xml:space="preserve"> 2787551.75 </t>
  </si>
  <si>
    <t xml:space="preserve"> 1268150.55 </t>
  </si>
  <si>
    <t xml:space="preserve">C:\Users\andre\Desktop\REACTIV CEFAS\Fadrozole\Fadrozole/20201201_Cefas_Test8_Run1/Plate 1/@7/A7_01.tif </t>
  </si>
  <si>
    <t xml:space="preserve"> 89893.8421 </t>
  </si>
  <si>
    <t xml:space="preserve"> 50.4981 </t>
  </si>
  <si>
    <t xml:space="preserve">C:\Users\andre\Desktop\REACTIV CEFAS\Fadrozole\Fadrozole/20201201_Cefas_Test8_Run1/Plate 1/@7/A7_02.tif </t>
  </si>
  <si>
    <t xml:space="preserve"> 91472.8244 </t>
  </si>
  <si>
    <t xml:space="preserve"> 51.5784 </t>
  </si>
  <si>
    <t xml:space="preserve">C:\Users\andre\Desktop\REACTIV CEFAS\Fadrozole\Fadrozole/20201201_Cefas_Test8_Run1/Plate 1/@7/A7_03.tif </t>
  </si>
  <si>
    <t xml:space="preserve"> 59568.7298 </t>
  </si>
  <si>
    <t xml:space="preserve"> 54.6801 </t>
  </si>
  <si>
    <t xml:space="preserve">C:\Users\andre\Desktop\REACTIV CEFAS\Fadrozole\Fadrozole/20201201_Cefas_Test8_Run1/Plate 1/@7/B7_01.tif </t>
  </si>
  <si>
    <t xml:space="preserve"> 66641.7054 </t>
  </si>
  <si>
    <t xml:space="preserve"> 49.9818 </t>
  </si>
  <si>
    <t xml:space="preserve">C:\Users\andre\Desktop\REACTIV CEFAS\Fadrozole\Fadrozole/20201201_Cefas_Test8_Run1/Plate 1/@7/B7_02.tif </t>
  </si>
  <si>
    <t xml:space="preserve"> 65798.1395 </t>
  </si>
  <si>
    <t xml:space="preserve"> 50.9471 </t>
  </si>
  <si>
    <t xml:space="preserve">C:\Users\andre\Desktop\REACTIV CEFAS\Fadrozole\Fadrozole/20201201_Cefas_Test8_Run1/Plate 1/@7/B7_03.tif </t>
  </si>
  <si>
    <t xml:space="preserve"> 70578.3462 </t>
  </si>
  <si>
    <t xml:space="preserve"> 54.19 </t>
  </si>
  <si>
    <t xml:space="preserve">C:\Users\andre\Desktop\REACTIV CEFAS\Fadrozole\Fadrozole/20201201_Cefas_Test8_Run1/Plate 1/@7/C7_01.tif </t>
  </si>
  <si>
    <t xml:space="preserve"> 68977.734 </t>
  </si>
  <si>
    <t xml:space="preserve"> 53.8272 </t>
  </si>
  <si>
    <t>C:\Users\andre\Desktop\REACTIV CEFAS\Fadrozole\Fadrozole/20201201_Cefas_Test8_Run1/Plate 1/@7/C7_02- exclu.tif</t>
  </si>
  <si>
    <t xml:space="preserve">C:\Users\andre\Desktop\REACTIV CEFAS\Fadrozole\Fadrozole/20201201_Cefas_Test8_Run1/Plate 1/@7/C7_03.tif </t>
  </si>
  <si>
    <t xml:space="preserve"> 71941.0295 </t>
  </si>
  <si>
    <t xml:space="preserve"> 56.5658 </t>
  </si>
  <si>
    <t xml:space="preserve">C:\Users\andre\Desktop\REACTIV CEFAS\Fadrozole\Fadrozole/20201201_Cefas_Test8_Run1/Plate 1/@7/D7_01.tif </t>
  </si>
  <si>
    <t xml:space="preserve"> 71551.6914 </t>
  </si>
  <si>
    <t xml:space="preserve"> 50.8458 </t>
  </si>
  <si>
    <t xml:space="preserve">C:\Users\andre\Desktop\REACTIV CEFAS\Fadrozole\Fadrozole/20201201_Cefas_Test8_Run1/Plate 1/@7/D7_02.tif </t>
  </si>
  <si>
    <t xml:space="preserve"> 72265.478 </t>
  </si>
  <si>
    <t xml:space="preserve"> 52.8578 </t>
  </si>
  <si>
    <t xml:space="preserve">C:\Users\andre\Desktop\REACTIV CEFAS\Fadrozole\Fadrozole/20201201_Cefas_Test8_Run1/Plate 1/@7/D7_03.tif </t>
  </si>
  <si>
    <t xml:space="preserve"> 69691.5205 </t>
  </si>
  <si>
    <t xml:space="preserve"> 54.7616 </t>
  </si>
  <si>
    <t xml:space="preserve">C:\Users\andre\Desktop\REACTIV CEFAS\Fadrozole\Fadrozole/20201201_Cefas_Test8_Run1/Plate 1/@7/E7_01.tif </t>
  </si>
  <si>
    <t xml:space="preserve"> 80766.0265 </t>
  </si>
  <si>
    <t xml:space="preserve"> 60.7469 </t>
  </si>
  <si>
    <t xml:space="preserve">C:\Users\andre\Desktop\REACTIV CEFAS\Fadrozole\Fadrozole/20201201_Cefas_Test8_Run1/Plate 1/@7/E7_02.tif </t>
  </si>
  <si>
    <t xml:space="preserve"> 80852.5461 </t>
  </si>
  <si>
    <t xml:space="preserve"> 63.0516 </t>
  </si>
  <si>
    <t xml:space="preserve">C:\Users\andre\Desktop\REACTIV CEFAS\Fadrozole\Fadrozole/20201201_Cefas_Test8_Run1/Plate 1/@7/E7_03.tif </t>
  </si>
  <si>
    <t xml:space="preserve"> 79684.5318 </t>
  </si>
  <si>
    <t xml:space="preserve"> 61.256 </t>
  </si>
  <si>
    <t xml:space="preserve">C:\Users\andre\Desktop\REACTIV CEFAS\Fadrozole\Fadrozole/20201201_Cefas_Test8_Run1/Plate 1/@7/F7_01.tif </t>
  </si>
  <si>
    <t xml:space="preserve"> 88185.0804 </t>
  </si>
  <si>
    <t xml:space="preserve"> 58.7508 </t>
  </si>
  <si>
    <t xml:space="preserve">C:\Users\andre\Desktop\REACTIV CEFAS\Fadrozole\Fadrozole/20201201_Cefas_Test8_Run1/Plate 1/@7/F7_02.tif </t>
  </si>
  <si>
    <t xml:space="preserve"> 81804.2615 </t>
  </si>
  <si>
    <t xml:space="preserve"> 58.4109 </t>
  </si>
  <si>
    <t xml:space="preserve">C:\Users\andre\Desktop\REACTIV CEFAS\Fadrozole\Fadrozole/20201201_Cefas_Test8_Run1/Plate 1/@7/F7_03.tif </t>
  </si>
  <si>
    <t xml:space="preserve"> 85221.7848 </t>
  </si>
  <si>
    <t xml:space="preserve"> 56.2566 </t>
  </si>
  <si>
    <t xml:space="preserve">C:\Users\andre\Desktop\REACTIV CEFAS\Fadrozole\Fadrozole/20201201_Cefas_Test8_Run1/Plate 1/@7/G7_01.tif </t>
  </si>
  <si>
    <t xml:space="preserve"> 71876.1399 </t>
  </si>
  <si>
    <t xml:space="preserve"> 54.0674 </t>
  </si>
  <si>
    <t xml:space="preserve">C:\Users\andre\Desktop\REACTIV CEFAS\Fadrozole\Fadrozole/20201201_Cefas_Test8_Run1/Plate 1/@7/G7_02.tif </t>
  </si>
  <si>
    <t xml:space="preserve"> 77088.9445 </t>
  </si>
  <si>
    <t xml:space="preserve"> 56.8123 </t>
  </si>
  <si>
    <t xml:space="preserve">C:\Users\andre\Desktop\REACTIV CEFAS\Fadrozole\Fadrozole/20201201_Cefas_Test8_Run1/Plate 1/@7/G7_03.tif </t>
  </si>
  <si>
    <t xml:space="preserve"> 75509.9621 </t>
  </si>
  <si>
    <t xml:space="preserve"> 54.4658 </t>
  </si>
  <si>
    <t xml:space="preserve">C:\Users\andre\Desktop\REACTIV CEFAS\Fadrozole\Fadrozole/20201201_Cefas_Test8_Run1/Plate 1/@7/H7_01.tif </t>
  </si>
  <si>
    <t xml:space="preserve"> 40534.4225 </t>
  </si>
  <si>
    <t xml:space="preserve"> 47.3991 </t>
  </si>
  <si>
    <t xml:space="preserve">C:\Users\andre\Desktop\REACTIV CEFAS\Fadrozole\Fadrozole/20201201_Cefas_Test8_Run1/Plate 1/@7/H7_02.tif </t>
  </si>
  <si>
    <t xml:space="preserve"> 40620.9421 </t>
  </si>
  <si>
    <t xml:space="preserve"> 47.7077 </t>
  </si>
  <si>
    <t xml:space="preserve">C:\Users\andre\Desktop\REACTIV CEFAS\Fadrozole\Fadrozole/20201201_Cefas_Test8_Run1/Plate 1/@7/H7_03.tif </t>
  </si>
  <si>
    <t xml:space="preserve"> 44882.0314 </t>
  </si>
  <si>
    <t xml:space="preserve"> 52.1137 </t>
  </si>
  <si>
    <t xml:space="preserve">C:\Users\andre\Desktop\REACTIV CEFAS\Fadrozole\Fadrozole/20201201_Cefas_Test8_Run1/Plate 1/@7/ </t>
  </si>
  <si>
    <t xml:space="preserve"> 54.3885 </t>
  </si>
  <si>
    <t xml:space="preserve"> 4.0711 </t>
  </si>
  <si>
    <t xml:space="preserve"> 3901850.92 </t>
  </si>
  <si>
    <t xml:space="preserve"> 924744.452 </t>
  </si>
  <si>
    <t>C:\Users\andre\Desktop\REACTIV CEFAS\Fadrozole\Fadrozole/20201201_Cefas_Test8_Run1/Plate 5/@10/A4_01- exclu.tif</t>
  </si>
  <si>
    <t>C:\Users\andre\Desktop\REACTIV CEFAS\Fadrozole\Fadrozole/20201201_Cefas_Test8_Run1/Plate 5/@10/A4_02- exclu.tif</t>
  </si>
  <si>
    <t>C:\Users\andre\Desktop\REACTIV CEFAS\Fadrozole\Fadrozole/20201201_Cefas_Test8_Run1/Plate 5/@10/A4_03- exclu.tif</t>
  </si>
  <si>
    <t xml:space="preserve">C:\Users\andre\Desktop\REACTIV CEFAS\Fadrozole\Fadrozole/20201201_Cefas_Test8_Run1/Plate 5/@10/B4_01.tif </t>
  </si>
  <si>
    <t xml:space="preserve"> 3179.5945 </t>
  </si>
  <si>
    <t xml:space="preserve"> 37.1293 </t>
  </si>
  <si>
    <t xml:space="preserve">C:\Users\andre\Desktop\REACTIV CEFAS\Fadrozole\Fadrozole/20201201_Cefas_Test8_Run1/Plate 5/@10/B4_02.tif </t>
  </si>
  <si>
    <t xml:space="preserve"> 43.2598 </t>
  </si>
  <si>
    <t xml:space="preserve">C:\Users\andre\Desktop\REACTIV CEFAS\Fadrozole\Fadrozole/20201201_Cefas_Test8_Run1/Plate 5/@10/B4_03.tif </t>
  </si>
  <si>
    <t xml:space="preserve"> 5731.9221 </t>
  </si>
  <si>
    <t xml:space="preserve"> 36.5472 </t>
  </si>
  <si>
    <t xml:space="preserve">C:\Users\andre\Desktop\REACTIV CEFAS\Fadrozole\Fadrozole/20201201_Cefas_Test8_Run1/Plate 5/@10/C4_01.tif </t>
  </si>
  <si>
    <t xml:space="preserve"> 5753.552 </t>
  </si>
  <si>
    <t xml:space="preserve"> 38.5414 </t>
  </si>
  <si>
    <t xml:space="preserve">C:\Users\andre\Desktop\REACTIV CEFAS\Fadrozole\Fadrozole/20201201_Cefas_Test8_Run1/Plate 5/@10/C4_02.tif </t>
  </si>
  <si>
    <t xml:space="preserve"> 38.2987 </t>
  </si>
  <si>
    <t xml:space="preserve">C:\Users\andre\Desktop\REACTIV CEFAS\Fadrozole\Fadrozole/20201201_Cefas_Test8_Run1/Plate 5/@10/C4_03.tif </t>
  </si>
  <si>
    <t xml:space="preserve"> 4131.3099 </t>
  </si>
  <si>
    <t xml:space="preserve"> 36.9581 </t>
  </si>
  <si>
    <t xml:space="preserve">C:\Users\andre\Desktop\REACTIV CEFAS\Fadrozole\Fadrozole/20201201_Cefas_Test8_Run1/Plate 5/@10/D4_01.tif </t>
  </si>
  <si>
    <t xml:space="preserve"> 2011.5802 </t>
  </si>
  <si>
    <t xml:space="preserve"> 34.2473 </t>
  </si>
  <si>
    <t xml:space="preserve">C:\Users\andre\Desktop\REACTIV CEFAS\Fadrozole\Fadrozole/20201201_Cefas_Test8_Run1/Plate 5/@10/D4_02.tif </t>
  </si>
  <si>
    <t xml:space="preserve"> 35.3061 </t>
  </si>
  <si>
    <t xml:space="preserve">C:\Users\andre\Desktop\REACTIV CEFAS\Fadrozole\Fadrozole/20201201_Cefas_Test8_Run1/Plate 5/@10/D4_03.tif </t>
  </si>
  <si>
    <t xml:space="preserve"> 33.7865 </t>
  </si>
  <si>
    <t xml:space="preserve">C:\Users\andre\Desktop\REACTIV CEFAS\Fadrozole\Fadrozole/20201201_Cefas_Test8_Run1/Plate 5/@10/E4_01.tif </t>
  </si>
  <si>
    <t xml:space="preserve"> 36.3284 </t>
  </si>
  <si>
    <t xml:space="preserve">C:\Users\andre\Desktop\REACTIV CEFAS\Fadrozole\Fadrozole/20201201_Cefas_Test8_Run1/Plate 5/@10/E4_02.tif </t>
  </si>
  <si>
    <t xml:space="preserve"> 38.0623 </t>
  </si>
  <si>
    <t xml:space="preserve">C:\Users\andre\Desktop\REACTIV CEFAS\Fadrozole\Fadrozole/20201201_Cefas_Test8_Run1/Plate 5/@10/E4_03.tif </t>
  </si>
  <si>
    <t xml:space="preserve"> 7678.6126 </t>
  </si>
  <si>
    <t xml:space="preserve"> 36.2451 </t>
  </si>
  <si>
    <t xml:space="preserve">C:\Users\andre\Desktop\REACTIV CEFAS\Fadrozole\Fadrozole/20201201_Cefas_Test8_Run1/Plate 5/@10/F4_01.tif </t>
  </si>
  <si>
    <t xml:space="preserve"> 237.9288 </t>
  </si>
  <si>
    <t xml:space="preserve"> 31.2727 </t>
  </si>
  <si>
    <t xml:space="preserve">C:\Users\andre\Desktop\REACTIV CEFAS\Fadrozole\Fadrozole/20201201_Cefas_Test8_Run1/Plate 5/@10/F4_02.tif </t>
  </si>
  <si>
    <t xml:space="preserve"> 454.2278 </t>
  </si>
  <si>
    <t xml:space="preserve">C:\Users\andre\Desktop\REACTIV CEFAS\Fadrozole\Fadrozole/20201201_Cefas_Test8_Run1/Plate 5/@10/F4_03.tif </t>
  </si>
  <si>
    <t xml:space="preserve"> 34.8731 </t>
  </si>
  <si>
    <t xml:space="preserve">C:\Users\andre\Desktop\REACTIV CEFAS\Fadrozole\Fadrozole/20201201_Cefas_Test8_Run1/Plate 5/@10/G4_01.tif </t>
  </si>
  <si>
    <t xml:space="preserve"> 432.5979 </t>
  </si>
  <si>
    <t xml:space="preserve"> 32.4 </t>
  </si>
  <si>
    <t xml:space="preserve">C:\Users\andre\Desktop\REACTIV CEFAS\Fadrozole\Fadrozole/20201201_Cefas_Test8_Run1/Plate 5/@10/G4_02.tif </t>
  </si>
  <si>
    <t xml:space="preserve"> 259.5587 </t>
  </si>
  <si>
    <t xml:space="preserve"> 31.9167 </t>
  </si>
  <si>
    <t xml:space="preserve">C:\Users\andre\Desktop\REACTIV CEFAS\Fadrozole\Fadrozole/20201201_Cefas_Test8_Run1/Plate 5/@10/G4_03.tif </t>
  </si>
  <si>
    <t xml:space="preserve"> 8478.9187 </t>
  </si>
  <si>
    <t xml:space="preserve"> 38.5893 </t>
  </si>
  <si>
    <t xml:space="preserve">C:\Users\andre\Desktop\REACTIV CEFAS\Fadrozole\Fadrozole/20201201_Cefas_Test8_Run1/Plate 5/@10/H4_01.tif </t>
  </si>
  <si>
    <t xml:space="preserve"> 173.0392 </t>
  </si>
  <si>
    <t xml:space="preserve"> 30.25 </t>
  </si>
  <si>
    <t xml:space="preserve">C:\Users\andre\Desktop\REACTIV CEFAS\Fadrozole\Fadrozole/20201201_Cefas_Test8_Run1/Plate 5/@10/H4_02.tif </t>
  </si>
  <si>
    <t xml:space="preserve"> 10339.0896 </t>
  </si>
  <si>
    <t xml:space="preserve"> 41.295 </t>
  </si>
  <si>
    <t>C:\Users\andre\Desktop\REACTIV CEFAS\Fadrozole\Fadrozole/20201201_Cefas_Test8_Run1/Plate 5/@10/H4_03- exclu.tif</t>
  </si>
  <si>
    <t xml:space="preserve">C:\Users\andre\Desktop\REACTIV CEFAS\Fadrozole\Fadrozole/20201201_Cefas_Test8_Run1/Plate 5/@10/ </t>
  </si>
  <si>
    <t xml:space="preserve"> 34.033 </t>
  </si>
  <si>
    <t xml:space="preserve"> 7.8081 </t>
  </si>
  <si>
    <t xml:space="preserve"> 136210.583 </t>
  </si>
  <si>
    <t xml:space="preserve"> 122942.717 </t>
  </si>
  <si>
    <t xml:space="preserve">C:\Users\andre\Desktop\REACTIV CEFAS\Fadrozole\Fadrozole/20201201_Cefas_Test8_Run1/Plate 5/@11/A5_01.tif </t>
  </si>
  <si>
    <t xml:space="preserve"> 1557.3524 </t>
  </si>
  <si>
    <t xml:space="preserve"> 32.1806 </t>
  </si>
  <si>
    <t xml:space="preserve">C:\Users\andre\Desktop\REACTIV CEFAS\Fadrozole\Fadrozole/20201201_Cefas_Test8_Run1/Plate 5/@11/A5_02.tif </t>
  </si>
  <si>
    <t xml:space="preserve"> 2746.9966 </t>
  </si>
  <si>
    <t xml:space="preserve"> 32.5276 </t>
  </si>
  <si>
    <t xml:space="preserve">C:\Users\andre\Desktop\REACTIV CEFAS\Fadrozole\Fadrozole/20201201_Cefas_Test8_Run1/Plate 5/@11/A5_03.tif </t>
  </si>
  <si>
    <t xml:space="preserve"> 346.0783 </t>
  </si>
  <si>
    <t xml:space="preserve"> 30.8125 </t>
  </si>
  <si>
    <t xml:space="preserve">C:\Users\andre\Desktop\REACTIV CEFAS\Fadrozole\Fadrozole/20201201_Cefas_Test8_Run1/Plate 5/@11/B5_01.tif </t>
  </si>
  <si>
    <t xml:space="preserve"> 3049.8151 </t>
  </si>
  <si>
    <t xml:space="preserve"> 34.2128 </t>
  </si>
  <si>
    <t xml:space="preserve">C:\Users\andre\Desktop\REACTIV CEFAS\Fadrozole\Fadrozole/20201201_Cefas_Test8_Run1/Plate 5/@11/B5_02.tif </t>
  </si>
  <si>
    <t xml:space="preserve"> 2379.2884 </t>
  </si>
  <si>
    <t xml:space="preserve"> 34.7364 </t>
  </si>
  <si>
    <t xml:space="preserve">C:\Users\andre\Desktop\REACTIV CEFAS\Fadrozole\Fadrozole/20201201_Cefas_Test8_Run1/Plate 5/@11/B5_03.tif </t>
  </si>
  <si>
    <t xml:space="preserve"> 5645.4025 </t>
  </si>
  <si>
    <t xml:space="preserve"> 37.0843 </t>
  </si>
  <si>
    <t xml:space="preserve">C:\Users\andre\Desktop\REACTIV CEFAS\Fadrozole\Fadrozole/20201201_Cefas_Test8_Run1/Plate 5/@11/C5_01.tif </t>
  </si>
  <si>
    <t xml:space="preserve"> 4520.648 </t>
  </si>
  <si>
    <t xml:space="preserve"> 35.2584 </t>
  </si>
  <si>
    <t xml:space="preserve">C:\Users\andre\Desktop\REACTIV CEFAS\Fadrozole\Fadrozole/20201201_Cefas_Test8_Run1/Plate 5/@11/C5_02.tif </t>
  </si>
  <si>
    <t xml:space="preserve"> 5061.3953 </t>
  </si>
  <si>
    <t xml:space="preserve"> 37.0171 </t>
  </si>
  <si>
    <t xml:space="preserve">C:\Users\andre\Desktop\REACTIV CEFAS\Fadrozole\Fadrozole/20201201_Cefas_Test8_Run1/Plate 5/@11/C5_03.tif </t>
  </si>
  <si>
    <t xml:space="preserve"> 4044.7903 </t>
  </si>
  <si>
    <t xml:space="preserve"> 36.0321 </t>
  </si>
  <si>
    <t xml:space="preserve">C:\Users\andre\Desktop\REACTIV CEFAS\Fadrozole\Fadrozole/20201201_Cefas_Test8_Run1/Plate 5/@11/D5_01.tif </t>
  </si>
  <si>
    <t xml:space="preserve"> 410.968 </t>
  </si>
  <si>
    <t xml:space="preserve"> 31.3158 </t>
  </si>
  <si>
    <t xml:space="preserve">C:\Users\andre\Desktop\REACTIV CEFAS\Fadrozole\Fadrozole/20201201_Cefas_Test8_Run1/Plate 5/@11/D5_02.tif </t>
  </si>
  <si>
    <t xml:space="preserve"> 7029.7158 </t>
  </si>
  <si>
    <t xml:space="preserve"> 42.8585 </t>
  </si>
  <si>
    <t xml:space="preserve">C:\Users\andre\Desktop\REACTIV CEFAS\Fadrozole\Fadrozole/20201201_Cefas_Test8_Run1/Plate 5/@11/D5_03.tif </t>
  </si>
  <si>
    <t xml:space="preserve"> 2811.8863 </t>
  </si>
  <si>
    <t xml:space="preserve"> 33.8692 </t>
  </si>
  <si>
    <t xml:space="preserve">C:\Users\andre\Desktop\REACTIV CEFAS\Fadrozole\Fadrozole/20201201_Cefas_Test8_Run1/Plate 5/@11/E5_01.tif </t>
  </si>
  <si>
    <t xml:space="preserve"> 519.1175 </t>
  </si>
  <si>
    <t xml:space="preserve"> 32.5417 </t>
  </si>
  <si>
    <t xml:space="preserve">C:\Users\andre\Desktop\REACTIV CEFAS\Fadrozole\Fadrozole/20201201_Cefas_Test8_Run1/Plate 5/@11/E5_02.tif </t>
  </si>
  <si>
    <t xml:space="preserve"> 1297.7937 </t>
  </si>
  <si>
    <t xml:space="preserve"> 33.3 </t>
  </si>
  <si>
    <t xml:space="preserve">C:\Users\andre\Desktop\REACTIV CEFAS\Fadrozole\Fadrozole/20201201_Cefas_Test8_Run1/Plate 5/@11/E5_03.tif </t>
  </si>
  <si>
    <t xml:space="preserve"> 389.3381 </t>
  </si>
  <si>
    <t xml:space="preserve"> 33.5 </t>
  </si>
  <si>
    <t xml:space="preserve">C:\Users\andre\Desktop\REACTIV CEFAS\Fadrozole\Fadrozole/20201201_Cefas_Test8_Run1/Plate 5/@11/F5_01.tif </t>
  </si>
  <si>
    <t xml:space="preserve"> 5450.7334 </t>
  </si>
  <si>
    <t xml:space="preserve"> 35.6627 </t>
  </si>
  <si>
    <t xml:space="preserve">C:\Users\andre\Desktop\REACTIV CEFAS\Fadrozole\Fadrozole/20201201_Cefas_Test8_Run1/Plate 5/@11/F5_02.tif </t>
  </si>
  <si>
    <t xml:space="preserve"> 7981.4311 </t>
  </si>
  <si>
    <t xml:space="preserve"> 43.103 </t>
  </si>
  <si>
    <t xml:space="preserve">C:\Users\andre\Desktop\REACTIV CEFAS\Fadrozole\Fadrozole/20201201_Cefas_Test8_Run1/Plate 5/@11/F5_03.tif </t>
  </si>
  <si>
    <t xml:space="preserve"> 6597.1179 </t>
  </si>
  <si>
    <t xml:space="preserve"> 37.0721 </t>
  </si>
  <si>
    <t xml:space="preserve">C:\Users\andre\Desktop\REACTIV CEFAS\Fadrozole\Fadrozole/20201201_Cefas_Test8_Run1/Plate 5/@11/G5_01.tif </t>
  </si>
  <si>
    <t xml:space="preserve"> 1903.4307 </t>
  </si>
  <si>
    <t xml:space="preserve"> 34.6023 </t>
  </si>
  <si>
    <t xml:space="preserve">C:\Users\andre\Desktop\REACTIV CEFAS\Fadrozole\Fadrozole/20201201_Cefas_Test8_Run1/Plate 5/@11/G5_02.tif </t>
  </si>
  <si>
    <t xml:space="preserve"> 6813.4168 </t>
  </si>
  <si>
    <t xml:space="preserve"> 40.4667 </t>
  </si>
  <si>
    <t xml:space="preserve">C:\Users\andre\Desktop\REACTIV CEFAS\Fadrozole\Fadrozole/20201201_Cefas_Test8_Run1/Plate 5/@11/G5_03.tif </t>
  </si>
  <si>
    <t xml:space="preserve">C:\Users\andre\Desktop\REACTIV CEFAS\Fadrozole\Fadrozole/20201201_Cefas_Test8_Run1/Plate 5/@11/H5_01.tif </t>
  </si>
  <si>
    <t xml:space="preserve"> 1665.5019 </t>
  </si>
  <si>
    <t xml:space="preserve"> 35.1948 </t>
  </si>
  <si>
    <t xml:space="preserve">C:\Users\andre\Desktop\REACTIV CEFAS\Fadrozole\Fadrozole/20201201_Cefas_Test8_Run1/Plate 5/@11/H5_02.tif </t>
  </si>
  <si>
    <t xml:space="preserve"> 32.7 </t>
  </si>
  <si>
    <t xml:space="preserve">C:\Users\andre\Desktop\REACTIV CEFAS\Fadrozole\Fadrozole/20201201_Cefas_Test8_Run1/Plate 5/@11/H5_03.tif </t>
  </si>
  <si>
    <t xml:space="preserve"> 2249.509 </t>
  </si>
  <si>
    <t xml:space="preserve"> 33.4038 </t>
  </si>
  <si>
    <t xml:space="preserve">C:\Users\andre\Desktop\REACTIV CEFAS\Fadrozole\Fadrozole/20201201_Cefas_Test8_Run1/Plate 5/@11/ </t>
  </si>
  <si>
    <t xml:space="preserve"> 33.7272 </t>
  </si>
  <si>
    <t xml:space="preserve"> 7.8686 </t>
  </si>
  <si>
    <t xml:space="preserve"> 116415.708 </t>
  </si>
  <si>
    <t xml:space="preserve"> 101417.376 </t>
  </si>
  <si>
    <t xml:space="preserve">C:\Users\andre\Desktop\REACTIV CEFAS\Fadrozole\Fadrozole/20201201_Cefas_Test8_Run1/Plate 5/@12/A6_01.tif </t>
  </si>
  <si>
    <t xml:space="preserve"> 5558.8829 </t>
  </si>
  <si>
    <t xml:space="preserve"> 39.7121 </t>
  </si>
  <si>
    <t xml:space="preserve">C:\Users\andre\Desktop\REACTIV CEFAS\Fadrozole\Fadrozole/20201201_Cefas_Test8_Run1/Plate 5/@12/A6_02.tif </t>
  </si>
  <si>
    <t xml:space="preserve"> 30.3333 </t>
  </si>
  <si>
    <t xml:space="preserve">C:\Users\andre\Desktop\REACTIV CEFAS\Fadrozole\Fadrozole/20201201_Cefas_Test8_Run1/Plate 5/@12/A6_03.tif </t>
  </si>
  <si>
    <t xml:space="preserve"> 6899.9364 </t>
  </si>
  <si>
    <t xml:space="preserve"> 39.9467 </t>
  </si>
  <si>
    <t xml:space="preserve">C:\Users\andre\Desktop\REACTIV CEFAS\Fadrozole\Fadrozole/20201201_Cefas_Test8_Run1/Plate 5/@12/B6_01.tif </t>
  </si>
  <si>
    <t xml:space="preserve"> 36.4712 </t>
  </si>
  <si>
    <t xml:space="preserve">C:\Users\andre\Desktop\REACTIV CEFAS\Fadrozole\Fadrozole/20201201_Cefas_Test8_Run1/Plate 5/@12/B6_02.tif </t>
  </si>
  <si>
    <t xml:space="preserve"> 3093.0749 </t>
  </si>
  <si>
    <t xml:space="preserve"> 35.5315 </t>
  </si>
  <si>
    <t xml:space="preserve">C:\Users\andre\Desktop\REACTIV CEFAS\Fadrozole\Fadrozole/20201201_Cefas_Test8_Run1/Plate 5/@12/B6_03.tif </t>
  </si>
  <si>
    <t xml:space="preserve"> 3633.8223 </t>
  </si>
  <si>
    <t xml:space="preserve"> 36.6548 </t>
  </si>
  <si>
    <t xml:space="preserve">C:\Users\andre\Desktop\REACTIV CEFAS\Fadrozole\Fadrozole/20201201_Cefas_Test8_Run1/Plate 5/@12/C6_01.tif </t>
  </si>
  <si>
    <t xml:space="preserve"> 6294.2993 </t>
  </si>
  <si>
    <t xml:space="preserve"> 40.7216 </t>
  </si>
  <si>
    <t xml:space="preserve">C:\Users\andre\Desktop\REACTIV CEFAS\Fadrozole\Fadrozole/20201201_Cefas_Test8_Run1/Plate 5/@12/C6_02.tif </t>
  </si>
  <si>
    <t xml:space="preserve"> 5104.6551 </t>
  </si>
  <si>
    <t xml:space="preserve"> 39.8136 </t>
  </si>
  <si>
    <t xml:space="preserve">C:\Users\andre\Desktop\REACTIV CEFAS\Fadrozole\Fadrozole/20201201_Cefas_Test8_Run1/Plate 5/@12/C6_03.tif </t>
  </si>
  <si>
    <t xml:space="preserve"> 39.1059 </t>
  </si>
  <si>
    <t xml:space="preserve">C:\Users\andre\Desktop\REACTIV CEFAS\Fadrozole\Fadrozole/20201201_Cefas_Test8_Run1/Plate 5/@12/D6_01.tif </t>
  </si>
  <si>
    <t xml:space="preserve"> 5602.1427 </t>
  </si>
  <si>
    <t xml:space="preserve"> 39.1544 </t>
  </si>
  <si>
    <t xml:space="preserve">C:\Users\andre\Desktop\REACTIV CEFAS\Fadrozole\Fadrozole/20201201_Cefas_Test8_Run1/Plate 5/@12/D6_02.tif </t>
  </si>
  <si>
    <t xml:space="preserve"> 4196.1996 </t>
  </si>
  <si>
    <t xml:space="preserve"> 37.5979 </t>
  </si>
  <si>
    <t xml:space="preserve">C:\Users\andre\Desktop\REACTIV CEFAS\Fadrozole\Fadrozole/20201201_Cefas_Test8_Run1/Plate 5/@12/D6_03.tif </t>
  </si>
  <si>
    <t xml:space="preserve"> 34.2131 </t>
  </si>
  <si>
    <t>C:\Users\andre\Desktop\REACTIV CEFAS\Fadrozole\Fadrozole/20201201_Cefas_Test8_Run1/Plate 5/@12/E6_01- exclu.tif</t>
  </si>
  <si>
    <t xml:space="preserve">C:\Users\andre\Desktop\REACTIV CEFAS\Fadrozole\Fadrozole/20201201_Cefas_Test8_Run1/Plate 5/@12/E6_02.tif </t>
  </si>
  <si>
    <t xml:space="preserve"> 33.9123 </t>
  </si>
  <si>
    <t xml:space="preserve">C:\Users\andre\Desktop\REACTIV CEFAS\Fadrozole\Fadrozole/20201201_Cefas_Test8_Run1/Plate 5/@12/E6_03.tif </t>
  </si>
  <si>
    <t xml:space="preserve"> 36.363 </t>
  </si>
  <si>
    <t xml:space="preserve">C:\Users\andre\Desktop\REACTIV CEFAS\Fadrozole\Fadrozole/20201201_Cefas_Test8_Run1/Plate 5/@12/F6_01.tif </t>
  </si>
  <si>
    <t xml:space="preserve"> 3525.6728 </t>
  </si>
  <si>
    <t xml:space="preserve"> 35.681 </t>
  </si>
  <si>
    <t>C:\Users\andre\Desktop\REACTIV CEFAS\Fadrozole\Fadrozole/20201201_Cefas_Test8_Run1/Plate 5/@12/F6_02- exclu.tif</t>
  </si>
  <si>
    <t xml:space="preserve">C:\Users\andre\Desktop\REACTIV CEFAS\Fadrozole\Fadrozole/20201201_Cefas_Test8_Run1/Plate 5/@12/F6_03.tif </t>
  </si>
  <si>
    <t xml:space="preserve"> 34.007 </t>
  </si>
  <si>
    <t xml:space="preserve">C:\Users\andre\Desktop\REACTIV CEFAS\Fadrozole\Fadrozole/20201201_Cefas_Test8_Run1/Plate 5/@12/G6_01.tif </t>
  </si>
  <si>
    <t xml:space="preserve"> 4715.317 </t>
  </si>
  <si>
    <t xml:space="preserve"> 37.633 </t>
  </si>
  <si>
    <t xml:space="preserve">C:\Users\andre\Desktop\REACTIV CEFAS\Fadrozole\Fadrozole/20201201_Cefas_Test8_Run1/Plate 5/@12/G6_02.tif </t>
  </si>
  <si>
    <t xml:space="preserve"> 4455.7583 </t>
  </si>
  <si>
    <t xml:space="preserve"> 39.767 </t>
  </si>
  <si>
    <t xml:space="preserve">C:\Users\andre\Desktop\REACTIV CEFAS\Fadrozole\Fadrozole/20201201_Cefas_Test8_Run1/Plate 5/@12/G6_03.tif </t>
  </si>
  <si>
    <t xml:space="preserve"> 37.8142 </t>
  </si>
  <si>
    <t xml:space="preserve">C:\Users\andre\Desktop\REACTIV CEFAS\Fadrozole\Fadrozole/20201201_Cefas_Test8_Run1/Plate 5/@12/H6_01.tif </t>
  </si>
  <si>
    <t xml:space="preserve"> 8327.5094 </t>
  </si>
  <si>
    <t xml:space="preserve"> 41.2416 </t>
  </si>
  <si>
    <t xml:space="preserve">C:\Users\andre\Desktop\REACTIV CEFAS\Fadrozole\Fadrozole/20201201_Cefas_Test8_Run1/Plate 5/@12/H6_02.tif </t>
  </si>
  <si>
    <t xml:space="preserve"> 40.1693 </t>
  </si>
  <si>
    <t xml:space="preserve">C:\Users\andre\Desktop\REACTIV CEFAS\Fadrozole\Fadrozole/20201201_Cefas_Test8_Run1/Plate 5/@12/H6_03.tif </t>
  </si>
  <si>
    <t xml:space="preserve"> 64.8897 </t>
  </si>
  <si>
    <t xml:space="preserve"> 31.6667 </t>
  </si>
  <si>
    <t xml:space="preserve">C:\Users\andre\Desktop\REACTIV CEFAS\Fadrozole\Fadrozole/20201201_Cefas_Test8_Run1/Plate 5/@12/ </t>
  </si>
  <si>
    <t xml:space="preserve"> 37.2778 </t>
  </si>
  <si>
    <t xml:space="preserve"> 3.6769 </t>
  </si>
  <si>
    <t xml:space="preserve"> 182966.292 </t>
  </si>
  <si>
    <t xml:space="preserve"> 123586.304 </t>
  </si>
  <si>
    <t xml:space="preserve">C:\Users\andre\Desktop\REACTIV CEFAS\Fadrozole\Fadrozole/20201201_Cefas_Test8_Run1/Plate 5/@17/A8_01.tif </t>
  </si>
  <si>
    <t xml:space="preserve"> 10057.901 </t>
  </si>
  <si>
    <t xml:space="preserve"> 37.7978 </t>
  </si>
  <si>
    <t xml:space="preserve">C:\Users\andre\Desktop\REACTIV CEFAS\Fadrozole\Fadrozole/20201201_Cefas_Test8_Run1/Plate 5/@17/A8_02.tif </t>
  </si>
  <si>
    <t xml:space="preserve"> 35.6293 </t>
  </si>
  <si>
    <t xml:space="preserve">C:\Users\andre\Desktop\REACTIV CEFAS\Fadrozole\Fadrozole/20201201_Cefas_Test8_Run1/Plate 5/@17/A8_03.tif </t>
  </si>
  <si>
    <t xml:space="preserve"> 2682.1069 </t>
  </si>
  <si>
    <t xml:space="preserve"> 33.871 </t>
  </si>
  <si>
    <t xml:space="preserve">C:\Users\andre\Desktop\REACTIV CEFAS\Fadrozole\Fadrozole/20201201_Cefas_Test8_Run1/Plate 5/@17/B8_01.tif </t>
  </si>
  <si>
    <t xml:space="preserve"> 36.0112 </t>
  </si>
  <si>
    <t xml:space="preserve">C:\Users\andre\Desktop\REACTIV CEFAS\Fadrozole\Fadrozole/20201201_Cefas_Test8_Run1/Plate 5/@17/B8_02.tif </t>
  </si>
  <si>
    <t xml:space="preserve"> 10490.4989 </t>
  </si>
  <si>
    <t xml:space="preserve"> 40.6515 </t>
  </si>
  <si>
    <t xml:space="preserve">C:\Users\andre\Desktop\REACTIV CEFAS\Fadrozole\Fadrozole/20201201_Cefas_Test8_Run1/Plate 5/@17/B8_03.tif </t>
  </si>
  <si>
    <t xml:space="preserve"> 6943.1962 </t>
  </si>
  <si>
    <t xml:space="preserve"> 35.2617 </t>
  </si>
  <si>
    <t xml:space="preserve">C:\Users\andre\Desktop\REACTIV CEFAS\Fadrozole\Fadrozole/20201201_Cefas_Test8_Run1/Plate 5/@17/C8_01.tif </t>
  </si>
  <si>
    <t xml:space="preserve"> 30.5 </t>
  </si>
  <si>
    <t xml:space="preserve">C:\Users\andre\Desktop\REACTIV CEFAS\Fadrozole\Fadrozole/20201201_Cefas_Test8_Run1/Plate 5/@17/C8_02.tif </t>
  </si>
  <si>
    <t xml:space="preserve"> 31.6757 </t>
  </si>
  <si>
    <t xml:space="preserve">C:\Users\andre\Desktop\REACTIV CEFAS\Fadrozole\Fadrozole/20201201_Cefas_Test8_Run1/Plate 5/@17/C8_03.tif </t>
  </si>
  <si>
    <t xml:space="preserve"> 1081.4947 </t>
  </si>
  <si>
    <t xml:space="preserve"> 31.92 </t>
  </si>
  <si>
    <t xml:space="preserve">C:\Users\andre\Desktop\REACTIV CEFAS\Fadrozole\Fadrozole/20201201_Cefas_Test8_Run1/Plate 5/@17/D8_01.tif </t>
  </si>
  <si>
    <t xml:space="preserve"> 5688.6623 </t>
  </si>
  <si>
    <t xml:space="preserve"> 35.6084 </t>
  </si>
  <si>
    <t xml:space="preserve">C:\Users\andre\Desktop\REACTIV CEFAS\Fadrozole\Fadrozole/20201201_Cefas_Test8_Run1/Plate 5/@17/D8_02.tif </t>
  </si>
  <si>
    <t xml:space="preserve"> 36.5 </t>
  </si>
  <si>
    <t xml:space="preserve">C:\Users\andre\Desktop\REACTIV CEFAS\Fadrozole\Fadrozole/20201201_Cefas_Test8_Run1/Plate 5/@17/D8_03.tif </t>
  </si>
  <si>
    <t xml:space="preserve"> 3806.8615 </t>
  </si>
  <si>
    <t xml:space="preserve"> 33.75 </t>
  </si>
  <si>
    <t xml:space="preserve">C:\Users\andre\Desktop\REACTIV CEFAS\Fadrozole\Fadrozole/20201201_Cefas_Test8_Run1/Plate 5/@17/E8_01.tif </t>
  </si>
  <si>
    <t xml:space="preserve"> 2336.0286 </t>
  </si>
  <si>
    <t xml:space="preserve"> 33.6019 </t>
  </si>
  <si>
    <t xml:space="preserve">C:\Users\andre\Desktop\REACTIV CEFAS\Fadrozole\Fadrozole/20201201_Cefas_Test8_Run1/Plate 5/@17/E8_02.tif </t>
  </si>
  <si>
    <t xml:space="preserve"> 5537.253 </t>
  </si>
  <si>
    <t xml:space="preserve"> 37.668 </t>
  </si>
  <si>
    <t xml:space="preserve">C:\Users\andre\Desktop\REACTIV CEFAS\Fadrozole\Fadrozole/20201201_Cefas_Test8_Run1/Plate 5/@17/E8_03.tif </t>
  </si>
  <si>
    <t xml:space="preserve"> 4325.9789 </t>
  </si>
  <si>
    <t xml:space="preserve"> 34.28 </t>
  </si>
  <si>
    <t xml:space="preserve">C:\Users\andre\Desktop\REACTIV CEFAS\Fadrozole\Fadrozole/20201201_Cefas_Test8_Run1/Plate 5/@17/F8_01.tif </t>
  </si>
  <si>
    <t xml:space="preserve"> 7830.0219 </t>
  </si>
  <si>
    <t xml:space="preserve"> 32.6547 </t>
  </si>
  <si>
    <t xml:space="preserve">C:\Users\andre\Desktop\REACTIV CEFAS\Fadrozole\Fadrozole/20201201_Cefas_Test8_Run1/Plate 5/@17/F8_02.tif </t>
  </si>
  <si>
    <t xml:space="preserve"> 4152.9398 </t>
  </si>
  <si>
    <t xml:space="preserve"> 36.7344 </t>
  </si>
  <si>
    <t xml:space="preserve">C:\Users\andre\Desktop\REACTIV CEFAS\Fadrozole\Fadrozole/20201201_Cefas_Test8_Run1/Plate 5/@17/F8_03.tif </t>
  </si>
  <si>
    <t xml:space="preserve"> 32.1875 </t>
  </si>
  <si>
    <t xml:space="preserve">C:\Users\andre\Desktop\REACTIV CEFAS\Fadrozole\Fadrozole/20201201_Cefas_Test8_Run1/Plate 5/@17/G8_01.tif </t>
  </si>
  <si>
    <t xml:space="preserve"> 10533.7587 </t>
  </si>
  <si>
    <t xml:space="preserve"> 46.8645 </t>
  </si>
  <si>
    <t xml:space="preserve">C:\Users\andre\Desktop\REACTIV CEFAS\Fadrozole\Fadrozole/20201201_Cefas_Test8_Run1/Plate 5/@17/G8_02.tif </t>
  </si>
  <si>
    <t>C:\Users\andre\Desktop\REACTIV CEFAS\Fadrozole\Fadrozole/20201201_Cefas_Test8_Run1/Plate 5/@17/G8_03- exclu.tif</t>
  </si>
  <si>
    <t xml:space="preserve">C:\Users\andre\Desktop\REACTIV CEFAS\Fadrozole\Fadrozole/20201201_Cefas_Test8_Run1/Plate 5/@17/H8_01.tif </t>
  </si>
  <si>
    <t xml:space="preserve"> 35.0082 </t>
  </si>
  <si>
    <t xml:space="preserve">C:\Users\andre\Desktop\REACTIV CEFAS\Fadrozole\Fadrozole/20201201_Cefas_Test8_Run1/Plate 5/@17/H8_02.tif </t>
  </si>
  <si>
    <t xml:space="preserve"> 3157.9646 </t>
  </si>
  <si>
    <t xml:space="preserve"> 35.0068 </t>
  </si>
  <si>
    <t xml:space="preserve">C:\Users\andre\Desktop\REACTIV CEFAS\Fadrozole\Fadrozole/20201201_Cefas_Test8_Run1/Plate 5/@17/H8_03.tif </t>
  </si>
  <si>
    <t xml:space="preserve"> 886.8257 </t>
  </si>
  <si>
    <t xml:space="preserve"> 33.6098 </t>
  </si>
  <si>
    <t xml:space="preserve">C:\Users\andre\Desktop\REACTIV CEFAS\Fadrozole\Fadrozole/20201201_Cefas_Test8_Run1/Plate 5/@17/ </t>
  </si>
  <si>
    <t xml:space="preserve"> 34.0999 </t>
  </si>
  <si>
    <t xml:space="preserve"> 8.0902 </t>
  </si>
  <si>
    <t xml:space="preserve"> 167531.667 </t>
  </si>
  <si>
    <t xml:space="preserve"> 136805.851 </t>
  </si>
  <si>
    <t xml:space="preserve">C:\Users\andre\Desktop\REACTIV CEFAS\Fadrozole\Fadrozole/20201201_Cefas_Test8_Run1/Plate 5/@18/A9_01.tif </t>
  </si>
  <si>
    <t xml:space="preserve"> 6229.4097 </t>
  </si>
  <si>
    <t xml:space="preserve"> 37.4201 </t>
  </si>
  <si>
    <t xml:space="preserve">C:\Users\andre\Desktop\REACTIV CEFAS\Fadrozole\Fadrozole/20201201_Cefas_Test8_Run1/Plate 5/@18/A9_02.tif </t>
  </si>
  <si>
    <t xml:space="preserve"> 4953.2459 </t>
  </si>
  <si>
    <t xml:space="preserve"> 39.6638 </t>
  </si>
  <si>
    <t xml:space="preserve">C:\Users\andre\Desktop\REACTIV CEFAS\Fadrozole\Fadrozole/20201201_Cefas_Test8_Run1/Plate 5/@18/A9_03.tif </t>
  </si>
  <si>
    <t xml:space="preserve"> 7008.0859 </t>
  </si>
  <si>
    <t xml:space="preserve"> 43.929 </t>
  </si>
  <si>
    <t xml:space="preserve">C:\Users\andre\Desktop\REACTIV CEFAS\Fadrozole\Fadrozole/20201201_Cefas_Test8_Run1/Plate 5/@18/B9_01.tif </t>
  </si>
  <si>
    <t xml:space="preserve"> 14427.1397 </t>
  </si>
  <si>
    <t xml:space="preserve"> 39.3118 </t>
  </si>
  <si>
    <t xml:space="preserve">C:\Users\andre\Desktop\REACTIV CEFAS\Fadrozole\Fadrozole/20201201_Cefas_Test8_Run1/Plate 5/@18/B9_02.tif </t>
  </si>
  <si>
    <t xml:space="preserve"> 12545.3389 </t>
  </si>
  <si>
    <t xml:space="preserve"> 38.2776 </t>
  </si>
  <si>
    <t xml:space="preserve">C:\Users\andre\Desktop\REACTIV CEFAS\Fadrozole\Fadrozole/20201201_Cefas_Test8_Run1/Plate 5/@18/B9_03.tif </t>
  </si>
  <si>
    <t xml:space="preserve"> 8500.5486 </t>
  </si>
  <si>
    <t xml:space="preserve"> 39.0025 </t>
  </si>
  <si>
    <t xml:space="preserve">C:\Users\andre\Desktop\REACTIV CEFAS\Fadrozole\Fadrozole/20201201_Cefas_Test8_Run1/Plate 5/@18/C9_01.tif </t>
  </si>
  <si>
    <t xml:space="preserve"> 7721.8724 </t>
  </si>
  <si>
    <t xml:space="preserve"> 37.07 </t>
  </si>
  <si>
    <t xml:space="preserve">C:\Users\andre\Desktop\REACTIV CEFAS\Fadrozole\Fadrozole/20201201_Cefas_Test8_Run1/Plate 5/@18/C9_02.tif </t>
  </si>
  <si>
    <t xml:space="preserve"> 33.7563 </t>
  </si>
  <si>
    <t xml:space="preserve">C:\Users\andre\Desktop\REACTIV CEFAS\Fadrozole\Fadrozole/20201201_Cefas_Test8_Run1/Plate 5/@18/C9_03.tif </t>
  </si>
  <si>
    <t xml:space="preserve"> 31.9 </t>
  </si>
  <si>
    <t xml:space="preserve">C:\Users\andre\Desktop\REACTIV CEFAS\Fadrozole\Fadrozole/20201201_Cefas_Test8_Run1/Plate 5/@18/D9_01.tif </t>
  </si>
  <si>
    <t xml:space="preserve"> 3201.2244 </t>
  </si>
  <si>
    <t xml:space="preserve"> 36.8919 </t>
  </si>
  <si>
    <t>C:\Users\andre\Desktop\REACTIV CEFAS\Fadrozole\Fadrozole/20201201_Cefas_Test8_Run1/Plate 5/@18/D9_02- exclu.tif</t>
  </si>
  <si>
    <t>C:\Users\andre\Desktop\REACTIV CEFAS\Fadrozole\Fadrozole/20201201_Cefas_Test8_Run1/Plate 5/@18/D9_03- exclu.tif</t>
  </si>
  <si>
    <t xml:space="preserve">C:\Users\andre\Desktop\REACTIV CEFAS\Fadrozole\Fadrozole/20201201_Cefas_Test8_Run1/Plate 5/@18/E9_01.tif </t>
  </si>
  <si>
    <t xml:space="preserve"> 6791.7869 </t>
  </si>
  <si>
    <t xml:space="preserve"> 33.8599 </t>
  </si>
  <si>
    <t xml:space="preserve">C:\Users\andre\Desktop\REACTIV CEFAS\Fadrozole\Fadrozole/20201201_Cefas_Test8_Run1/Plate 5/@18/E9_02.tif </t>
  </si>
  <si>
    <t xml:space="preserve"> 13107.7161 </t>
  </si>
  <si>
    <t xml:space="preserve"> 37.0396 </t>
  </si>
  <si>
    <t xml:space="preserve">C:\Users\andre\Desktop\REACTIV CEFAS\Fadrozole\Fadrozole/20201201_Cefas_Test8_Run1/Plate 5/@18/E9_03.tif </t>
  </si>
  <si>
    <t xml:space="preserve"> 7051.3456 </t>
  </si>
  <si>
    <t xml:space="preserve"> 37.681 </t>
  </si>
  <si>
    <t xml:space="preserve">C:\Users\andre\Desktop\REACTIV CEFAS\Fadrozole\Fadrozole/20201201_Cefas_Test8_Run1/Plate 5/@18/F9_01.tif </t>
  </si>
  <si>
    <t xml:space="preserve"> 5385.8438 </t>
  </si>
  <si>
    <t xml:space="preserve"> 36.9839 </t>
  </si>
  <si>
    <t>C:\Users\andre\Desktop\REACTIV CEFAS\Fadrozole\Fadrozole/20201201_Cefas_Test8_Run1/Plate 5/@18/F9_02- exclu.tif</t>
  </si>
  <si>
    <t xml:space="preserve">C:\Users\andre\Desktop\REACTIV CEFAS\Fadrozole\Fadrozole/20201201_Cefas_Test8_Run1/Plate 5/@18/F9_03.tif </t>
  </si>
  <si>
    <t xml:space="preserve"> 34.9459 </t>
  </si>
  <si>
    <t xml:space="preserve">C:\Users\andre\Desktop\REACTIV CEFAS\Fadrozole\Fadrozole/20201201_Cefas_Test8_Run1/Plate 5/@18/G9_01.tif </t>
  </si>
  <si>
    <t xml:space="preserve"> 10014.6412 </t>
  </si>
  <si>
    <t xml:space="preserve"> 45.1425 </t>
  </si>
  <si>
    <t xml:space="preserve">C:\Users\andre\Desktop\REACTIV CEFAS\Fadrozole\Fadrozole/20201201_Cefas_Test8_Run1/Plate 5/@18/G9_02.tif </t>
  </si>
  <si>
    <t xml:space="preserve"> 8889.8867 </t>
  </si>
  <si>
    <t xml:space="preserve"> 43.438 </t>
  </si>
  <si>
    <t xml:space="preserve">C:\Users\andre\Desktop\REACTIV CEFAS\Fadrozole\Fadrozole/20201201_Cefas_Test8_Run1/Plate 5/@18/G9_03.tif </t>
  </si>
  <si>
    <t xml:space="preserve"> 13518.6841 </t>
  </si>
  <si>
    <t xml:space="preserve"> 41.5568 </t>
  </si>
  <si>
    <t xml:space="preserve">C:\Users\andre\Desktop\REACTIV CEFAS\Fadrozole\Fadrozole/20201201_Cefas_Test8_Run1/Plate 5/@18/H9_01.tif </t>
  </si>
  <si>
    <t xml:space="preserve"> 9257.5949 </t>
  </si>
  <si>
    <t xml:space="preserve"> 43.5164 </t>
  </si>
  <si>
    <t xml:space="preserve">C:\Users\andre\Desktop\REACTIV CEFAS\Fadrozole\Fadrozole/20201201_Cefas_Test8_Run1/Plate 5/@18/H9_02.tif </t>
  </si>
  <si>
    <t xml:space="preserve"> 9430.6341 </t>
  </si>
  <si>
    <t xml:space="preserve"> 43.5206 </t>
  </si>
  <si>
    <t xml:space="preserve">C:\Users\andre\Desktop\REACTIV CEFAS\Fadrozole\Fadrozole/20201201_Cefas_Test8_Run1/Plate 5/@18/H9_03.tif </t>
  </si>
  <si>
    <t xml:space="preserve"> 9884.8618 </t>
  </si>
  <si>
    <t xml:space="preserve"> 43.9497 </t>
  </si>
  <si>
    <t xml:space="preserve">C:\Users\andre\Desktop\REACTIV CEFAS\Fadrozole\Fadrozole/20201201_Cefas_Test8_Run1/Plate 5/@18/ </t>
  </si>
  <si>
    <t xml:space="preserve"> 38.9273 </t>
  </si>
  <si>
    <t xml:space="preserve"> 3.6788 </t>
  </si>
  <si>
    <t xml:space="preserve"> 316974.333 </t>
  </si>
  <si>
    <t xml:space="preserve"> 148488.552 </t>
  </si>
  <si>
    <t xml:space="preserve">C:\Users\andre\Desktop\REACTIV CEFAS\Fadrozole\Fadrozole/20201201_Cefas_Test8_Run1/Plate 5/@19/A10_01.tif </t>
  </si>
  <si>
    <t xml:space="preserve"> 3936.6408 </t>
  </si>
  <si>
    <t xml:space="preserve"> 37.6813 </t>
  </si>
  <si>
    <t xml:space="preserve">C:\Users\andre\Desktop\REACTIV CEFAS\Fadrozole\Fadrozole/20201201_Cefas_Test8_Run1/Plate 5/@19/A10_02.tif </t>
  </si>
  <si>
    <t xml:space="preserve"> 2033.2101 </t>
  </si>
  <si>
    <t xml:space="preserve"> 37.1064 </t>
  </si>
  <si>
    <t>C:\Users\andre\Desktop\REACTIV CEFAS\Fadrozole\Fadrozole/20201201_Cefas_Test8_Run1/Plate 5/@19/A10_03- exclu.tif</t>
  </si>
  <si>
    <t xml:space="preserve">C:\Users\andre\Desktop\REACTIV CEFAS\Fadrozole\Fadrozole/20201201_Cefas_Test8_Run1/Plate 5/@19/B10_01.tif </t>
  </si>
  <si>
    <t xml:space="preserve"> 10360.7195 </t>
  </si>
  <si>
    <t xml:space="preserve"> 43.9415 </t>
  </si>
  <si>
    <t xml:space="preserve">C:\Users\andre\Desktop\REACTIV CEFAS\Fadrozole\Fadrozole/20201201_Cefas_Test8_Run1/Plate 5/@19/B10_02.tif </t>
  </si>
  <si>
    <t xml:space="preserve"> 10512.1288 </t>
  </si>
  <si>
    <t xml:space="preserve"> 43.3066 </t>
  </si>
  <si>
    <t xml:space="preserve">C:\Users\andre\Desktop\REACTIV CEFAS\Fadrozole\Fadrozole/20201201_Cefas_Test8_Run1/Plate 5/@19/B10_03.tif </t>
  </si>
  <si>
    <t xml:space="preserve"> 3244.4842 </t>
  </si>
  <si>
    <t xml:space="preserve"> 34.44 </t>
  </si>
  <si>
    <t xml:space="preserve">C:\Users\andre\Desktop\REACTIV CEFAS\Fadrozole\Fadrozole/20201201_Cefas_Test8_Run1/Plate 5/@19/C10_01.tif </t>
  </si>
  <si>
    <t xml:space="preserve"> 151.4093 </t>
  </si>
  <si>
    <t xml:space="preserve"> 30.4286 </t>
  </si>
  <si>
    <t xml:space="preserve">C:\Users\andre\Desktop\REACTIV CEFAS\Fadrozole\Fadrozole/20201201_Cefas_Test8_Run1/Plate 5/@19/C10_02.tif </t>
  </si>
  <si>
    <t xml:space="preserve"> 2703.7368 </t>
  </si>
  <si>
    <t xml:space="preserve"> 34.896 </t>
  </si>
  <si>
    <t xml:space="preserve">C:\Users\andre\Desktop\REACTIV CEFAS\Fadrozole\Fadrozole/20201201_Cefas_Test8_Run1/Plate 5/@19/C10_03.tif </t>
  </si>
  <si>
    <t xml:space="preserve"> 2271.1389 </t>
  </si>
  <si>
    <t xml:space="preserve"> 35.1524 </t>
  </si>
  <si>
    <t>C:\Users\andre\Desktop\REACTIV CEFAS\Fadrozole\Fadrozole/20201201_Cefas_Test8_Run1/Plate 5/@19/D10_01- exclu.tif</t>
  </si>
  <si>
    <t xml:space="preserve">C:\Users\andre\Desktop\REACTIV CEFAS\Fadrozole\Fadrozole/20201201_Cefas_Test8_Run1/Plate 5/@19/D10_02.tif </t>
  </si>
  <si>
    <t xml:space="preserve"> 34.8427 </t>
  </si>
  <si>
    <t xml:space="preserve">C:\Users\andre\Desktop\REACTIV CEFAS\Fadrozole\Fadrozole/20201201_Cefas_Test8_Run1/Plate 5/@19/D10_03.tif </t>
  </si>
  <si>
    <t xml:space="preserve"> 5429.1036 </t>
  </si>
  <si>
    <t xml:space="preserve"> 35.761 </t>
  </si>
  <si>
    <t xml:space="preserve">C:\Users\andre\Desktop\REACTIV CEFAS\Fadrozole\Fadrozole/20201201_Cefas_Test8_Run1/Plate 5/@19/E10_01.tif </t>
  </si>
  <si>
    <t xml:space="preserve"> 4845.0964 </t>
  </si>
  <si>
    <t xml:space="preserve"> 35.933 </t>
  </si>
  <si>
    <t xml:space="preserve">C:\Users\andre\Desktop\REACTIV CEFAS\Fadrozole\Fadrozole/20201201_Cefas_Test8_Run1/Plate 5/@19/E10_02.tif </t>
  </si>
  <si>
    <t xml:space="preserve"> 281.1886 </t>
  </si>
  <si>
    <t xml:space="preserve"> 31.8462 </t>
  </si>
  <si>
    <t xml:space="preserve">C:\Users\andre\Desktop\REACTIV CEFAS\Fadrozole\Fadrozole/20201201_Cefas_Test8_Run1/Plate 5/@19/E10_03.tif </t>
  </si>
  <si>
    <t xml:space="preserve"> 38.4188 </t>
  </si>
  <si>
    <t>C:\Users\andre\Desktop\REACTIV CEFAS\Fadrozole\Fadrozole/20201201_Cefas_Test8_Run1/Plate 5/@19/F10_01- exclu.tif</t>
  </si>
  <si>
    <t xml:space="preserve">C:\Users\andre\Desktop\REACTIV CEFAS\Fadrozole\Fadrozole/20201201_Cefas_Test8_Run1/Plate 5/@19/F10_02.tif </t>
  </si>
  <si>
    <t xml:space="preserve">C:\Users\andre\Desktop\REACTIV CEFAS\Fadrozole\Fadrozole/20201201_Cefas_Test8_Run1/Plate 5/@19/F10_03.tif </t>
  </si>
  <si>
    <t xml:space="preserve">C:\Users\andre\Desktop\REACTIV CEFAS\Fadrozole\Fadrozole/20201201_Cefas_Test8_Run1/Plate 5/@19/G10_01.tif </t>
  </si>
  <si>
    <t xml:space="preserve"> 6705.2673 </t>
  </si>
  <si>
    <t xml:space="preserve"> 37.4935 </t>
  </si>
  <si>
    <t>C:\Users\andre\Desktop\REACTIV CEFAS\Fadrozole\Fadrozole/20201201_Cefas_Test8_Run1/Plate 5/@19/G10_02- exclu.tif</t>
  </si>
  <si>
    <t>C:\Users\andre\Desktop\REACTIV CEFAS\Fadrozole\Fadrozole/20201201_Cefas_Test8_Run1/Plate 5/@19/G10_03- exclu.tif</t>
  </si>
  <si>
    <t xml:space="preserve">C:\Users\andre\Desktop\REACTIV CEFAS\Fadrozole\Fadrozole/20201201_Cefas_Test8_Run1/Plate 5/@19/H10_01.tif </t>
  </si>
  <si>
    <t xml:space="preserve"> 11701.773 </t>
  </si>
  <si>
    <t xml:space="preserve"> 36.8762 </t>
  </si>
  <si>
    <t xml:space="preserve">C:\Users\andre\Desktop\REACTIV CEFAS\Fadrozole\Fadrozole/20201201_Cefas_Test8_Run1/Plate 5/@19/H10_02.tif </t>
  </si>
  <si>
    <t xml:space="preserve"> 7743.5023 </t>
  </si>
  <si>
    <t xml:space="preserve"> 38.6313 </t>
  </si>
  <si>
    <t>C:\Users\andre\Desktop\REACTIV CEFAS\Fadrozole\Fadrozole/20201201_Cefas_Test8_Run1/Plate 5/@19/H10_03- exclu.tif</t>
  </si>
  <si>
    <t xml:space="preserve">C:\Users\andre\Desktop\REACTIV CEFAS\Fadrozole\Fadrozole/20201201_Cefas_Test8_Run1/Plate 5/@19/ </t>
  </si>
  <si>
    <t xml:space="preserve"> 33.5357 </t>
  </si>
  <si>
    <t xml:space="preserve"> 13.6005 </t>
  </si>
  <si>
    <t xml:space="preserve"> 241809.583 </t>
  </si>
  <si>
    <t xml:space="preserve"> 210450.576 </t>
  </si>
  <si>
    <t xml:space="preserve">C:\Users\andre\Desktop\REACTIV CEFAS\Fadrozole\Fadrozole/20201201_Cefas_Test8_Run1/Plate 5/@20/A11_01.tif </t>
  </si>
  <si>
    <t xml:space="preserve"> 36.9725 </t>
  </si>
  <si>
    <t xml:space="preserve">C:\Users\andre\Desktop\REACTIV CEFAS\Fadrozole\Fadrozole/20201201_Cefas_Test8_Run1/Plate 5/@20/A11_02.tif </t>
  </si>
  <si>
    <t xml:space="preserve"> 38.2353 </t>
  </si>
  <si>
    <t>C:\Users\andre\Desktop\REACTIV CEFAS\Fadrozole\Fadrozole/20201201_Cefas_Test8_Run1/Plate 5/@20/A11_03- exclu.tif</t>
  </si>
  <si>
    <t xml:space="preserve">C:\Users\andre\Desktop\REACTIV CEFAS\Fadrozole\Fadrozole/20201201_Cefas_Test8_Run1/Plate 5/@20/B11_01.tif </t>
  </si>
  <si>
    <t xml:space="preserve"> 36.2688 </t>
  </si>
  <si>
    <t xml:space="preserve">C:\Users\andre\Desktop\REACTIV CEFAS\Fadrozole\Fadrozole/20201201_Cefas_Test8_Run1/Plate 5/@20/B11_02.tif </t>
  </si>
  <si>
    <t xml:space="preserve"> 6099.6303 </t>
  </si>
  <si>
    <t xml:space="preserve"> 36.344 </t>
  </si>
  <si>
    <t xml:space="preserve">C:\Users\andre\Desktop\REACTIV CEFAS\Fadrozole\Fadrozole/20201201_Cefas_Test8_Run1/Plate 5/@20/B11_03.tif </t>
  </si>
  <si>
    <t xml:space="preserve"> 7202.7549 </t>
  </si>
  <si>
    <t xml:space="preserve"> 39.7988 </t>
  </si>
  <si>
    <t xml:space="preserve">C:\Users\andre\Desktop\REACTIV CEFAS\Fadrozole\Fadrozole/20201201_Cefas_Test8_Run1/Plate 5/@20/C11_01.tif </t>
  </si>
  <si>
    <t xml:space="preserve"> 32.4286 </t>
  </si>
  <si>
    <t xml:space="preserve">C:\Users\andre\Desktop\REACTIV CEFAS\Fadrozole\Fadrozole/20201201_Cefas_Test8_Run1/Plate 5/@20/C11_02.tif </t>
  </si>
  <si>
    <t xml:space="preserve"> 31.1429 </t>
  </si>
  <si>
    <t xml:space="preserve">C:\Users\andre\Desktop\REACTIV CEFAS\Fadrozole\Fadrozole/20201201_Cefas_Test8_Run1/Plate 5/@20/C11_03.tif </t>
  </si>
  <si>
    <t xml:space="preserve"> 33.6849 </t>
  </si>
  <si>
    <t xml:space="preserve">C:\Users\andre\Desktop\REACTIV CEFAS\Fadrozole\Fadrozole/20201201_Cefas_Test8_Run1/Plate 5/@20/D11_01.tif </t>
  </si>
  <si>
    <t xml:space="preserve"> 38.3389 </t>
  </si>
  <si>
    <t>C:\Users\andre\Desktop\REACTIV CEFAS\Fadrozole\Fadrozole/20201201_Cefas_Test8_Run1/Plate 5/@20/D11_02- exclu.tif</t>
  </si>
  <si>
    <t>C:\Users\andre\Desktop\REACTIV CEFAS\Fadrozole\Fadrozole/20201201_Cefas_Test8_Run1/Plate 5/@20/D11_03- exclu.tif</t>
  </si>
  <si>
    <t xml:space="preserve">C:\Users\andre\Desktop\REACTIV CEFAS\Fadrozole\Fadrozole/20201201_Cefas_Test8_Run1/Plate 5/@20/E11_01.tif </t>
  </si>
  <si>
    <t xml:space="preserve"> 6164.52 </t>
  </si>
  <si>
    <t xml:space="preserve"> 35.4351 </t>
  </si>
  <si>
    <t>C:\Users\andre\Desktop\REACTIV CEFAS\Fadrozole\Fadrozole/20201201_Cefas_Test8_Run1/Plate 5/@20/E11_02- exclu.tif</t>
  </si>
  <si>
    <t xml:space="preserve">C:\Users\andre\Desktop\REACTIV CEFAS\Fadrozole\Fadrozole/20201201_Cefas_Test8_Run1/Plate 5/@20/E11_03.tif </t>
  </si>
  <si>
    <t xml:space="preserve"> 5623.7726 </t>
  </si>
  <si>
    <t xml:space="preserve"> 36.6692 </t>
  </si>
  <si>
    <t xml:space="preserve">C:\Users\andre\Desktop\REACTIV CEFAS\Fadrozole\Fadrozole/20201201_Cefas_Test8_Run1/Plate 5/@20/F11_01.tif </t>
  </si>
  <si>
    <t xml:space="preserve"> 1470.8328 </t>
  </si>
  <si>
    <t xml:space="preserve"> 31.7794 </t>
  </si>
  <si>
    <t>C:\Users\andre\Desktop\REACTIV CEFAS\Fadrozole\Fadrozole/20201201_Cefas_Test8_Run1/Plate 5/@20/F11_02- exclu.tif</t>
  </si>
  <si>
    <t xml:space="preserve">C:\Users\andre\Desktop\REACTIV CEFAS\Fadrozole\Fadrozole/20201201_Cefas_Test8_Run1/Plate 5/@20/F11_03.tif </t>
  </si>
  <si>
    <t xml:space="preserve"> 4088.0501 </t>
  </si>
  <si>
    <t xml:space="preserve"> 35.0794 </t>
  </si>
  <si>
    <t xml:space="preserve">C:\Users\andre\Desktop\REACTIV CEFAS\Fadrozole\Fadrozole/20201201_Cefas_Test8_Run1/Plate 5/@20/G11_01.tif </t>
  </si>
  <si>
    <t xml:space="preserve"> 7916.5414 </t>
  </si>
  <si>
    <t xml:space="preserve"> 40.3852 </t>
  </si>
  <si>
    <t xml:space="preserve">C:\Users\andre\Desktop\REACTIV CEFAS\Fadrozole\Fadrozole/20201201_Cefas_Test8_Run1/Plate 5/@20/G11_02.tif </t>
  </si>
  <si>
    <t xml:space="preserve"> 7072.9755 </t>
  </si>
  <si>
    <t xml:space="preserve"> 36.7462 </t>
  </si>
  <si>
    <t xml:space="preserve">C:\Users\andre\Desktop\REACTIV CEFAS\Fadrozole\Fadrozole/20201201_Cefas_Test8_Run1/Plate 5/@20/G11_03.tif </t>
  </si>
  <si>
    <t xml:space="preserve"> 9906.4917 </t>
  </si>
  <si>
    <t xml:space="preserve"> 40.3559 </t>
  </si>
  <si>
    <t xml:space="preserve">C:\Users\andre\Desktop\REACTIV CEFAS\Fadrozole\Fadrozole/20201201_Cefas_Test8_Run1/Plate 5/@20/H11_01.tif </t>
  </si>
  <si>
    <t xml:space="preserve"> 32.8889 </t>
  </si>
  <si>
    <t xml:space="preserve">C:\Users\andre\Desktop\REACTIV CEFAS\Fadrozole\Fadrozole/20201201_Cefas_Test8_Run1/Plate 5/@20/H11_02.tif </t>
  </si>
  <si>
    <t xml:space="preserve">C:\Users\andre\Desktop\REACTIV CEFAS\Fadrozole\Fadrozole/20201201_Cefas_Test8_Run1/Plate 5/@20/H11_03.tif </t>
  </si>
  <si>
    <t xml:space="preserve">C:\Users\andre\Desktop\REACTIV CEFAS\Fadrozole\Fadrozole/20201201_Cefas_Test8_Run1/Plate 5/@20/ </t>
  </si>
  <si>
    <t xml:space="preserve"> 33.4761 </t>
  </si>
  <si>
    <t xml:space="preserve"> 10.7645 </t>
  </si>
  <si>
    <t xml:space="preserve"> 168878.042 </t>
  </si>
  <si>
    <t xml:space="preserve"> 131207.316 </t>
  </si>
  <si>
    <t xml:space="preserve">C:\Users\andre\Desktop\REACTIV CEFAS\Fadrozole\Fadrozole/20201201_Cefas_Test8_Run1/Plate 5/@21/A12_01.tif </t>
  </si>
  <si>
    <t xml:space="preserve"> 39.9797 </t>
  </si>
  <si>
    <t xml:space="preserve">C:\Users\andre\Desktop\REACTIV CEFAS\Fadrozole\Fadrozole/20201201_Cefas_Test8_Run1/Plate 5/@21/A12_02.tif </t>
  </si>
  <si>
    <t xml:space="preserve"> 5948.221 </t>
  </si>
  <si>
    <t xml:space="preserve"> 40.9673 </t>
  </si>
  <si>
    <t xml:space="preserve">C:\Users\andre\Desktop\REACTIV CEFAS\Fadrozole\Fadrozole/20201201_Cefas_Test8_Run1/Plate 5/@21/A12_03.tif </t>
  </si>
  <si>
    <t xml:space="preserve"> 43.7207 </t>
  </si>
  <si>
    <t xml:space="preserve">C:\Users\andre\Desktop\REACTIV CEFAS\Fadrozole\Fadrozole/20201201_Cefas_Test8_Run1/Plate 5/@21/B12_01.tif </t>
  </si>
  <si>
    <t xml:space="preserve"> 5883.3313 </t>
  </si>
  <si>
    <t xml:space="preserve"> 38.6654 </t>
  </si>
  <si>
    <t xml:space="preserve">C:\Users\andre\Desktop\REACTIV CEFAS\Fadrozole\Fadrozole/20201201_Cefas_Test8_Run1/Plate 5/@21/B12_02.tif </t>
  </si>
  <si>
    <t xml:space="preserve">C:\Users\andre\Desktop\REACTIV CEFAS\Fadrozole\Fadrozole/20201201_Cefas_Test8_Run1/Plate 5/@21/B12_03.tif </t>
  </si>
  <si>
    <t xml:space="preserve">C:\Users\andre\Desktop\REACTIV CEFAS\Fadrozole\Fadrozole/20201201_Cefas_Test8_Run1/Plate 5/@21/C12_01.tif </t>
  </si>
  <si>
    <t xml:space="preserve"> 12372.2997 </t>
  </si>
  <si>
    <t xml:space="preserve"> 39.5105 </t>
  </si>
  <si>
    <t xml:space="preserve">C:\Users\andre\Desktop\REACTIV CEFAS\Fadrozole\Fadrozole/20201201_Cefas_Test8_Run1/Plate 5/@21/C12_02.tif </t>
  </si>
  <si>
    <t xml:space="preserve"> 11896.442 </t>
  </si>
  <si>
    <t xml:space="preserve"> 39.3564 </t>
  </si>
  <si>
    <t xml:space="preserve">C:\Users\andre\Desktop\REACTIV CEFAS\Fadrozole\Fadrozole/20201201_Cefas_Test8_Run1/Plate 5/@21/C12_03.tif </t>
  </si>
  <si>
    <t xml:space="preserve"> 39.5859 </t>
  </si>
  <si>
    <t xml:space="preserve">C:\Users\andre\Desktop\REACTIV CEFAS\Fadrozole\Fadrozole/20201201_Cefas_Test8_Run1/Plate 5/@21/D12_01.tif </t>
  </si>
  <si>
    <t xml:space="preserve"> 34.6838 </t>
  </si>
  <si>
    <t xml:space="preserve">C:\Users\andre\Desktop\REACTIV CEFAS\Fadrozole\Fadrozole/20201201_Cefas_Test8_Run1/Plate 5/@21/D12_02.tif </t>
  </si>
  <si>
    <t xml:space="preserve"> 32.9903 </t>
  </si>
  <si>
    <t xml:space="preserve">C:\Users\andre\Desktop\REACTIV CEFAS\Fadrozole\Fadrozole/20201201_Cefas_Test8_Run1/Plate 5/@21/D12_03.tif </t>
  </si>
  <si>
    <t xml:space="preserve"> 2400.9183 </t>
  </si>
  <si>
    <t xml:space="preserve"> 33.7027 </t>
  </si>
  <si>
    <t>C:\Users\andre\Desktop\REACTIV CEFAS\Fadrozole\Fadrozole/20201201_Cefas_Test8_Run1/Plate 5/@21/E12_01- exclu.tif</t>
  </si>
  <si>
    <t>C:\Users\andre\Desktop\REACTIV CEFAS\Fadrozole\Fadrozole/20201201_Cefas_Test8_Run1/Plate 5/@21/E12_02- exclu.tif</t>
  </si>
  <si>
    <t>C:\Users\andre\Desktop\REACTIV CEFAS\Fadrozole\Fadrozole/20201201_Cefas_Test8_Run1/Plate 5/@21/E12_03- exclu.tif</t>
  </si>
  <si>
    <t xml:space="preserve">C:\Users\andre\Desktop\REACTIV CEFAS\Fadrozole\Fadrozole/20201201_Cefas_Test8_Run1/Plate 5/@21/F12_01.tif </t>
  </si>
  <si>
    <t xml:space="preserve"> 3915.0109 </t>
  </si>
  <si>
    <t xml:space="preserve"> 37.5801 </t>
  </si>
  <si>
    <t xml:space="preserve">C:\Users\andre\Desktop\REACTIV CEFAS\Fadrozole\Fadrozole/20201201_Cefas_Test8_Run1/Plate 5/@21/F12_02.tif </t>
  </si>
  <si>
    <t xml:space="preserve"> 38.053 </t>
  </si>
  <si>
    <t>C:\Users\andre\Desktop\REACTIV CEFAS\Fadrozole\Fadrozole/20201201_Cefas_Test8_Run1/Plate 5/@21/F12_03- exclu.tif</t>
  </si>
  <si>
    <t xml:space="preserve">C:\Users\andre\Desktop\REACTIV CEFAS\Fadrozole\Fadrozole/20201201_Cefas_Test8_Run1/Plate 5/@21/G12_01.tif </t>
  </si>
  <si>
    <t xml:space="preserve"> 6337.5591 </t>
  </si>
  <si>
    <t xml:space="preserve"> 42.3174 </t>
  </si>
  <si>
    <t xml:space="preserve">C:\Users\andre\Desktop\REACTIV CEFAS\Fadrozole\Fadrozole/20201201_Cefas_Test8_Run1/Plate 5/@21/G12_02.tif </t>
  </si>
  <si>
    <t xml:space="preserve"> 8111.2105 </t>
  </si>
  <si>
    <t xml:space="preserve"> 45.1627 </t>
  </si>
  <si>
    <t>C:\Users\andre\Desktop\REACTIV CEFAS\Fadrozole\Fadrozole/20201201_Cefas_Test8_Run1/Plate 5/@21/G12_03- exclu.tif</t>
  </si>
  <si>
    <t xml:space="preserve">C:\Users\andre\Desktop\REACTIV CEFAS\Fadrozole\Fadrozole/20201201_Cefas_Test8_Run1/Plate 5/@21/H12_01.tif </t>
  </si>
  <si>
    <t xml:space="preserve">C:\Users\andre\Desktop\REACTIV CEFAS\Fadrozole\Fadrozole/20201201_Cefas_Test8_Run1/Plate 5/@21/H12_02.tif </t>
  </si>
  <si>
    <t xml:space="preserve"> 33.6113 </t>
  </si>
  <si>
    <t xml:space="preserve">C:\Users\andre\Desktop\REACTIV CEFAS\Fadrozole\Fadrozole/20201201_Cefas_Test8_Run1/Plate 5/@21/H12_03.tif </t>
  </si>
  <si>
    <t xml:space="preserve">C:\Users\andre\Desktop\REACTIV CEFAS\Fadrozole\Fadrozole/20201201_Cefas_Test8_Run1/Plate 5/@21/ </t>
  </si>
  <si>
    <t xml:space="preserve"> 34.9624 </t>
  </si>
  <si>
    <t xml:space="preserve"> 17.4493 </t>
  </si>
  <si>
    <t xml:space="preserve"> 300682.625 </t>
  </si>
  <si>
    <t xml:space="preserve"> 265723.043 </t>
  </si>
  <si>
    <t xml:space="preserve">C:\Users\andre\Desktop\REACTIV CEFAS\Fadrozole\Fadrozole/20201201_Cefas_Test8_Run1/Plate 5/@8/A2_01.tif </t>
  </si>
  <si>
    <t xml:space="preserve"> 540.7474 </t>
  </si>
  <si>
    <t xml:space="preserve"> 32.48 </t>
  </si>
  <si>
    <t xml:space="preserve">C:\Users\andre\Desktop\REACTIV CEFAS\Fadrozole\Fadrozole/20201201_Cefas_Test8_Run1/Plate 5/@8/A2_02.tif </t>
  </si>
  <si>
    <t xml:space="preserve">C:\Users\andre\Desktop\REACTIV CEFAS\Fadrozole\Fadrozole/20201201_Cefas_Test8_Run1/Plate 5/@8/A2_03.tif </t>
  </si>
  <si>
    <t xml:space="preserve"> 108.1495 </t>
  </si>
  <si>
    <t xml:space="preserve">C:\Users\andre\Desktop\REACTIV CEFAS\Fadrozole\Fadrozole/20201201_Cefas_Test8_Run1/Plate 5/@8/B2_01.tif </t>
  </si>
  <si>
    <t xml:space="preserve"> 605.637 </t>
  </si>
  <si>
    <t xml:space="preserve"> 33.0714 </t>
  </si>
  <si>
    <t xml:space="preserve">C:\Users\andre\Desktop\REACTIV CEFAS\Fadrozole\Fadrozole/20201201_Cefas_Test8_Run1/Plate 5/@8/B2_02.tif </t>
  </si>
  <si>
    <t xml:space="preserve"> 35.1128 </t>
  </si>
  <si>
    <t xml:space="preserve">C:\Users\andre\Desktop\REACTIV CEFAS\Fadrozole\Fadrozole/20201201_Cefas_Test8_Run1/Plate 5/@8/B2_03.tif </t>
  </si>
  <si>
    <t xml:space="preserve"> 34.4898 </t>
  </si>
  <si>
    <t xml:space="preserve">C:\Users\andre\Desktop\REACTIV CEFAS\Fadrozole\Fadrozole/20201201_Cefas_Test8_Run1/Plate 5/@8/C2_01.tif </t>
  </si>
  <si>
    <t xml:space="preserve"> 11096.1359 </t>
  </si>
  <si>
    <t xml:space="preserve"> 46.7427 </t>
  </si>
  <si>
    <t xml:space="preserve">C:\Users\andre\Desktop\REACTIV CEFAS\Fadrozole\Fadrozole/20201201_Cefas_Test8_Run1/Plate 5/@8/C2_02.tif </t>
  </si>
  <si>
    <t xml:space="preserve"> 9711.8227 </t>
  </si>
  <si>
    <t xml:space="preserve"> 44.3764 </t>
  </si>
  <si>
    <t xml:space="preserve">C:\Users\andre\Desktop\REACTIV CEFAS\Fadrozole\Fadrozole/20201201_Cefas_Test8_Run1/Plate 5/@8/C2_03.tif </t>
  </si>
  <si>
    <t xml:space="preserve"> 44.2197 </t>
  </si>
  <si>
    <t xml:space="preserve">C:\Users\andre\Desktop\REACTIV CEFAS\Fadrozole\Fadrozole/20201201_Cefas_Test8_Run1/Plate 5/@8/D2_01.tif </t>
  </si>
  <si>
    <t xml:space="preserve"> 32.9474 </t>
  </si>
  <si>
    <t>C:\Users\andre\Desktop\REACTIV CEFAS\Fadrozole\Fadrozole/20201201_Cefas_Test8_Run1/Plate 5/@8/D2_02- exclu.tif</t>
  </si>
  <si>
    <t xml:space="preserve">C:\Users\andre\Desktop\REACTIV CEFAS\Fadrozole\Fadrozole/20201201_Cefas_Test8_Run1/Plate 5/@8/D2_03.tif </t>
  </si>
  <si>
    <t xml:space="preserve">C:\Users\andre\Desktop\REACTIV CEFAS\Fadrozole\Fadrozole/20201201_Cefas_Test8_Run1/Plate 5/@8/E2_01.tif </t>
  </si>
  <si>
    <t xml:space="preserve"> 5191.1747 </t>
  </si>
  <si>
    <t xml:space="preserve"> 41.5083 </t>
  </si>
  <si>
    <t xml:space="preserve">C:\Users\andre\Desktop\REACTIV CEFAS\Fadrozole\Fadrozole/20201201_Cefas_Test8_Run1/Plate 5/@8/E2_02.tif </t>
  </si>
  <si>
    <t xml:space="preserve"> 39.3905 </t>
  </si>
  <si>
    <t xml:space="preserve">C:\Users\andre\Desktop\REACTIV CEFAS\Fadrozole\Fadrozole/20201201_Cefas_Test8_Run1/Plate 5/@8/E2_03.tif </t>
  </si>
  <si>
    <t xml:space="preserve"> 43.6451 </t>
  </si>
  <si>
    <t xml:space="preserve">C:\Users\andre\Desktop\REACTIV CEFAS\Fadrozole\Fadrozole/20201201_Cefas_Test8_Run1/Plate 5/@8/F2_01.tif </t>
  </si>
  <si>
    <t xml:space="preserve">C:\Users\andre\Desktop\REACTIV CEFAS\Fadrozole\Fadrozole/20201201_Cefas_Test8_Run1/Plate 5/@8/F2_02.tif </t>
  </si>
  <si>
    <t xml:space="preserve">C:\Users\andre\Desktop\REACTIV CEFAS\Fadrozole\Fadrozole/20201201_Cefas_Test8_Run1/Plate 5/@8/F2_03.tif </t>
  </si>
  <si>
    <t>C:\Users\andre\Desktop\REACTIV CEFAS\Fadrozole\Fadrozole/20201201_Cefas_Test8_Run1/Plate 5/@8/G2_01- exclu.tif</t>
  </si>
  <si>
    <t xml:space="preserve">C:\Users\andre\Desktop\REACTIV CEFAS\Fadrozole\Fadrozole/20201201_Cefas_Test8_Run1/Plate 5/@8/G2_02.tif </t>
  </si>
  <si>
    <t xml:space="preserve"> 7959.8012 </t>
  </si>
  <si>
    <t xml:space="preserve"> 37.3397 </t>
  </si>
  <si>
    <t xml:space="preserve">C:\Users\andre\Desktop\REACTIV CEFAS\Fadrozole\Fadrozole/20201201_Cefas_Test8_Run1/Plate 5/@8/G2_03.tif </t>
  </si>
  <si>
    <t xml:space="preserve"> 7310.9044 </t>
  </si>
  <si>
    <t xml:space="preserve"> 37.142 </t>
  </si>
  <si>
    <t>C:\Users\andre\Desktop\REACTIV CEFAS\Fadrozole\Fadrozole/20201201_Cefas_Test8_Run1/Plate 5/@8/H2_01- exclu.tif</t>
  </si>
  <si>
    <t>C:\Users\andre\Desktop\REACTIV CEFAS\Fadrozole\Fadrozole/20201201_Cefas_Test8_Run1/Plate 5/@8/H2_02- exclu.tif</t>
  </si>
  <si>
    <t>C:\Users\andre\Desktop\REACTIV CEFAS\Fadrozole\Fadrozole/20201201_Cefas_Test8_Run1/Plate 5/@8/H2_03- exclu.tif</t>
  </si>
  <si>
    <t xml:space="preserve">C:\Users\andre\Desktop\REACTIV CEFAS\Fadrozole\Fadrozole/20201201_Cefas_Test8_Run1/Plate 5/@8/ </t>
  </si>
  <si>
    <t xml:space="preserve"> 37.7293 </t>
  </si>
  <si>
    <t xml:space="preserve"> 6.0053 </t>
  </si>
  <si>
    <t xml:space="preserve"> 208063.333 </t>
  </si>
  <si>
    <t xml:space="preserve"> 194175.842 </t>
  </si>
  <si>
    <t xml:space="preserve">C:\Users\andre\Desktop\REACTIV CEFAS\Fadrozole\Fadrozole/20201201_Cefas_Test8_Run1/Plate 5/@9/A3_01.tif </t>
  </si>
  <si>
    <t xml:space="preserve"> 8803.3671 </t>
  </si>
  <si>
    <t xml:space="preserve"> 39.9926 </t>
  </si>
  <si>
    <t xml:space="preserve">C:\Users\andre\Desktop\REACTIV CEFAS\Fadrozole\Fadrozole/20201201_Cefas_Test8_Run1/Plate 5/@9/A3_02.tif </t>
  </si>
  <si>
    <t xml:space="preserve"> 33.4934 </t>
  </si>
  <si>
    <t xml:space="preserve">C:\Users\andre\Desktop\REACTIV CEFAS\Fadrozole\Fadrozole/20201201_Cefas_Test8_Run1/Plate 5/@9/A3_03.tif </t>
  </si>
  <si>
    <t xml:space="preserve"> 33.6146 </t>
  </si>
  <si>
    <t xml:space="preserve">C:\Users\andre\Desktop\REACTIV CEFAS\Fadrozole\Fadrozole/20201201_Cefas_Test8_Run1/Plate 5/@9/B3_01.tif </t>
  </si>
  <si>
    <t xml:space="preserve"> 3720.3419 </t>
  </si>
  <si>
    <t xml:space="preserve"> 33.7674 </t>
  </si>
  <si>
    <t xml:space="preserve">C:\Users\andre\Desktop\REACTIV CEFAS\Fadrozole\Fadrozole/20201201_Cefas_Test8_Run1/Plate 5/@9/B3_02.tif </t>
  </si>
  <si>
    <t xml:space="preserve"> 6640.3777 </t>
  </si>
  <si>
    <t xml:space="preserve"> 37.3485 </t>
  </si>
  <si>
    <t xml:space="preserve">C:\Users\andre\Desktop\REACTIV CEFAS\Fadrozole\Fadrozole/20201201_Cefas_Test8_Run1/Plate 5/@9/B3_03.tif </t>
  </si>
  <si>
    <t xml:space="preserve"> 4607.1676 </t>
  </si>
  <si>
    <t xml:space="preserve"> 36.0798 </t>
  </si>
  <si>
    <t xml:space="preserve">C:\Users\andre\Desktop\REACTIV CEFAS\Fadrozole\Fadrozole/20201201_Cefas_Test8_Run1/Plate 5/@9/C3_01.tif </t>
  </si>
  <si>
    <t xml:space="preserve"> 4780.2067 </t>
  </si>
  <si>
    <t xml:space="preserve"> 41.267 </t>
  </si>
  <si>
    <t xml:space="preserve">C:\Users\andre\Desktop\REACTIV CEFAS\Fadrozole\Fadrozole/20201201_Cefas_Test8_Run1/Plate 5/@9/C3_02.tif </t>
  </si>
  <si>
    <t xml:space="preserve"> 13691.7233 </t>
  </si>
  <si>
    <t xml:space="preserve"> 38.7741 </t>
  </si>
  <si>
    <t>C:\Users\andre\Desktop\REACTIV CEFAS\Fadrozole\Fadrozole/20201201_Cefas_Test8_Run1/Plate 5/@9/C3_03- exclu.tif</t>
  </si>
  <si>
    <t>C:\Users\andre\Desktop\REACTIV CEFAS\Fadrozole\Fadrozole/20201201_Cefas_Test8_Run1/Plate 5/@9/D3_01- exclu.tif</t>
  </si>
  <si>
    <t>C:\Users\andre\Desktop\REACTIV CEFAS\Fadrozole\Fadrozole/20201201_Cefas_Test8_Run1/Plate 5/@9/D3_02- exclu.tif</t>
  </si>
  <si>
    <t xml:space="preserve">C:\Users\andre\Desktop\REACTIV CEFAS\Fadrozole\Fadrozole/20201201_Cefas_Test8_Run1/Plate 5/@9/D3_03.tif </t>
  </si>
  <si>
    <t xml:space="preserve">C:\Users\andre\Desktop\REACTIV CEFAS\Fadrozole\Fadrozole/20201201_Cefas_Test8_Run1/Plate 5/@9/E3_01.tif </t>
  </si>
  <si>
    <t xml:space="preserve"> 2206.2493 </t>
  </si>
  <si>
    <t xml:space="preserve"> 34.4608 </t>
  </si>
  <si>
    <t xml:space="preserve">C:\Users\andre\Desktop\REACTIV CEFAS\Fadrozole\Fadrozole/20201201_Cefas_Test8_Run1/Plate 5/@9/E3_02.tif </t>
  </si>
  <si>
    <t xml:space="preserve"> 1168.0143 </t>
  </si>
  <si>
    <t xml:space="preserve"> 33.8704 </t>
  </si>
  <si>
    <t xml:space="preserve">C:\Users\andre\Desktop\REACTIV CEFAS\Fadrozole\Fadrozole/20201201_Cefas_Test8_Run1/Plate 5/@9/E3_03.tif </t>
  </si>
  <si>
    <t xml:space="preserve"> 2162.9895 </t>
  </si>
  <si>
    <t>C:\Users\andre\Desktop\REACTIV CEFAS\Fadrozole\Fadrozole/20201201_Cefas_Test8_Run1/Plate 5/@9/F3_01- exclu.tif</t>
  </si>
  <si>
    <t xml:space="preserve">C:\Users\andre\Desktop\REACTIV CEFAS\Fadrozole\Fadrozole/20201201_Cefas_Test8_Run1/Plate 5/@9/F3_02.tif </t>
  </si>
  <si>
    <t xml:space="preserve"> 40.359 </t>
  </si>
  <si>
    <t xml:space="preserve">C:\Users\andre\Desktop\REACTIV CEFAS\Fadrozole\Fadrozole/20201201_Cefas_Test8_Run1/Plate 5/@9/F3_03.tif </t>
  </si>
  <si>
    <t xml:space="preserve"> 9062.9258 </t>
  </si>
  <si>
    <t xml:space="preserve"> 35.2888 </t>
  </si>
  <si>
    <t xml:space="preserve">C:\Users\andre\Desktop\REACTIV CEFAS\Fadrozole\Fadrozole/20201201_Cefas_Test8_Run1/Plate 5/@9/G3_01.tif </t>
  </si>
  <si>
    <t xml:space="preserve"> 36.5169 </t>
  </si>
  <si>
    <t xml:space="preserve">C:\Users\andre\Desktop\REACTIV CEFAS\Fadrozole\Fadrozole/20201201_Cefas_Test8_Run1/Plate 5/@9/G3_02.tif </t>
  </si>
  <si>
    <t xml:space="preserve"> 2292.7688 </t>
  </si>
  <si>
    <t xml:space="preserve"> 34.1509 </t>
  </si>
  <si>
    <t xml:space="preserve">C:\Users\andre\Desktop\REACTIV CEFAS\Fadrozole\Fadrozole/20201201_Cefas_Test8_Run1/Plate 5/@9/G3_03.tif </t>
  </si>
  <si>
    <t xml:space="preserve"> 1514.0926 </t>
  </si>
  <si>
    <t xml:space="preserve"> 33.8429 </t>
  </si>
  <si>
    <t xml:space="preserve">C:\Users\andre\Desktop\REACTIV CEFAS\Fadrozole\Fadrozole/20201201_Cefas_Test8_Run1/Plate 5/@9/H3_01.tif </t>
  </si>
  <si>
    <t xml:space="preserve"> 1384.3133 </t>
  </si>
  <si>
    <t xml:space="preserve"> 33.2031 </t>
  </si>
  <si>
    <t xml:space="preserve">C:\Users\andre\Desktop\REACTIV CEFAS\Fadrozole\Fadrozole/20201201_Cefas_Test8_Run1/Plate 5/@9/H3_02.tif </t>
  </si>
  <si>
    <t xml:space="preserve"> 34.9453 </t>
  </si>
  <si>
    <t xml:space="preserve">C:\Users\andre\Desktop\REACTIV CEFAS\Fadrozole\Fadrozole/20201201_Cefas_Test8_Run1/Plate 5/@9/H3_03.tif </t>
  </si>
  <si>
    <t xml:space="preserve"> 33.768 </t>
  </si>
  <si>
    <t xml:space="preserve">C:\Users\andre\Desktop\REACTIV CEFAS\Fadrozole\Fadrozole/20201201_Cefas_Test8_Run1/Plate 5/@9/ </t>
  </si>
  <si>
    <t xml:space="preserve"> 35.4985 </t>
  </si>
  <si>
    <t xml:space="preserve"> 8.3736 </t>
  </si>
  <si>
    <t xml:space="preserve"> 215284.208 </t>
  </si>
  <si>
    <t xml:space="preserve"> 168226.399 </t>
  </si>
  <si>
    <t>1</t>
  </si>
  <si>
    <t>13</t>
  </si>
  <si>
    <t>14</t>
  </si>
  <si>
    <t>15</t>
  </si>
  <si>
    <t>16</t>
  </si>
  <si>
    <t>2</t>
  </si>
  <si>
    <t>3</t>
  </si>
  <si>
    <t>4</t>
  </si>
  <si>
    <t>5</t>
  </si>
  <si>
    <t>6</t>
  </si>
  <si>
    <t>7</t>
  </si>
  <si>
    <t>10</t>
  </si>
  <si>
    <t>11</t>
  </si>
  <si>
    <t>12</t>
  </si>
  <si>
    <t>17</t>
  </si>
  <si>
    <t>18</t>
  </si>
  <si>
    <t>19</t>
  </si>
  <si>
    <t>20</t>
  </si>
  <si>
    <t>21</t>
  </si>
  <si>
    <t>8</t>
  </si>
  <si>
    <t>9</t>
  </si>
  <si>
    <t>B</t>
  </si>
  <si>
    <t>C</t>
  </si>
  <si>
    <t>D</t>
  </si>
  <si>
    <t>E</t>
  </si>
  <si>
    <t>F</t>
  </si>
  <si>
    <t>G</t>
  </si>
  <si>
    <t>H</t>
  </si>
  <si>
    <t xml:space="preserve">C:\Users\andre\Desktop\REACTIV CEFAS\Fadrozole\Fadrozole/20201203_Cefas_Test8_Run3/Plate 1/@1/A10_01.tif </t>
  </si>
  <si>
    <t xml:space="preserve"> 1643.872 </t>
  </si>
  <si>
    <t xml:space="preserve"> 34.1316 </t>
  </si>
  <si>
    <t xml:space="preserve">C:\Users\andre\Desktop\REACTIV CEFAS\Fadrozole\Fadrozole/20201203_Cefas_Test8_Run3/Plate 1/@1/A10_02.tif </t>
  </si>
  <si>
    <t xml:space="preserve"> 6662.0075 </t>
  </si>
  <si>
    <t xml:space="preserve"> 36.3149 </t>
  </si>
  <si>
    <t xml:space="preserve">C:\Users\andre\Desktop\REACTIV CEFAS\Fadrozole\Fadrozole/20201203_Cefas_Test8_Run3/Plate 1/@1/A10_03.tif </t>
  </si>
  <si>
    <t xml:space="preserve"> 7894.9115 </t>
  </si>
  <si>
    <t xml:space="preserve"> 39.0521 </t>
  </si>
  <si>
    <t xml:space="preserve">C:\Users\andre\Desktop\REACTIV CEFAS\Fadrozole\Fadrozole/20201203_Cefas_Test8_Run3/Plate 1/@1/B10_01.tif </t>
  </si>
  <si>
    <t>C:\Users\andre\Desktop\REACTIV CEFAS\Fadrozole\Fadrozole/20201203_Cefas_Test8_Run3/Plate 1/@1/B10_02- exclu.tif</t>
  </si>
  <si>
    <t xml:space="preserve">C:\Users\andre\Desktop\REACTIV CEFAS\Fadrozole\Fadrozole/20201203_Cefas_Test8_Run3/Plate 1/@1/B10_03.tif </t>
  </si>
  <si>
    <t xml:space="preserve"> 32.3472 </t>
  </si>
  <si>
    <t xml:space="preserve">C:\Users\andre\Desktop\REACTIV CEFAS\Fadrozole\Fadrozole/20201203_Cefas_Test8_Run3/Plate 1/@1/C10_01.tif </t>
  </si>
  <si>
    <t xml:space="preserve"> 8608.6981 </t>
  </si>
  <si>
    <t xml:space="preserve"> 39.2839 </t>
  </si>
  <si>
    <t xml:space="preserve">C:\Users\andre\Desktop\REACTIV CEFAS\Fadrozole\Fadrozole/20201203_Cefas_Test8_Run3/Plate 1/@1/C10_02.tif </t>
  </si>
  <si>
    <t xml:space="preserve"> 2963.2956 </t>
  </si>
  <si>
    <t xml:space="preserve"> 38.3577 </t>
  </si>
  <si>
    <t xml:space="preserve">C:\Users\andre\Desktop\REACTIV CEFAS\Fadrozole\Fadrozole/20201203_Cefas_Test8_Run3/Plate 1/@1/C10_03.tif </t>
  </si>
  <si>
    <t xml:space="preserve"> 13302.3852 </t>
  </si>
  <si>
    <t xml:space="preserve"> 39.4276 </t>
  </si>
  <si>
    <t>C:\Users\andre\Desktop\REACTIV CEFAS\Fadrozole\Fadrozole/20201203_Cefas_Test8_Run3/Plate 1/@1/D10_01- exclu.tif</t>
  </si>
  <si>
    <t xml:space="preserve">C:\Users\andre\Desktop\REACTIV CEFAS\Fadrozole\Fadrozole/20201203_Cefas_Test8_Run3/Plate 1/@1/D10_02.tif </t>
  </si>
  <si>
    <t xml:space="preserve"> 36.56 </t>
  </si>
  <si>
    <t xml:space="preserve">C:\Users\andre\Desktop\REACTIV CEFAS\Fadrozole\Fadrozole/20201203_Cefas_Test8_Run3/Plate 1/@1/D10_03.tif </t>
  </si>
  <si>
    <t xml:space="preserve"> 9084.5557 </t>
  </si>
  <si>
    <t xml:space="preserve"> 43.5976 </t>
  </si>
  <si>
    <t xml:space="preserve">C:\Users\andre\Desktop\REACTIV CEFAS\Fadrozole\Fadrozole/20201203_Cefas_Test8_Run3/Plate 1/@1/E10_01.tif </t>
  </si>
  <si>
    <t xml:space="preserve"> 34.0602 </t>
  </si>
  <si>
    <t xml:space="preserve">C:\Users\andre\Desktop\REACTIV CEFAS\Fadrozole\Fadrozole/20201203_Cefas_Test8_Run3/Plate 1/@1/E10_02.tif </t>
  </si>
  <si>
    <t xml:space="preserve"> 33.6035 </t>
  </si>
  <si>
    <t xml:space="preserve">C:\Users\andre\Desktop\REACTIV CEFAS\Fadrozole\Fadrozole/20201203_Cefas_Test8_Run3/Plate 1/@1/E10_03.tif </t>
  </si>
  <si>
    <t xml:space="preserve"> 7440.6838 </t>
  </si>
  <si>
    <t xml:space="preserve"> 33.1134 </t>
  </si>
  <si>
    <t xml:space="preserve">C:\Users\andre\Desktop\REACTIV CEFAS\Fadrozole\Fadrozole/20201203_Cefas_Test8_Run3/Plate 1/@1/F10_01.tif </t>
  </si>
  <si>
    <t xml:space="preserve"> 1989.9503 </t>
  </si>
  <si>
    <t xml:space="preserve"> 36.4022 </t>
  </si>
  <si>
    <t xml:space="preserve">C:\Users\andre\Desktop\REACTIV CEFAS\Fadrozole\Fadrozole/20201203_Cefas_Test8_Run3/Plate 1/@1/F10_02.tif </t>
  </si>
  <si>
    <t xml:space="preserve"> 2184.6194 </t>
  </si>
  <si>
    <t xml:space="preserve"> 30.6139 </t>
  </si>
  <si>
    <t xml:space="preserve">C:\Users\andre\Desktop\REACTIV CEFAS\Fadrozole\Fadrozole/20201203_Cefas_Test8_Run3/Plate 1/@1/F10_03.tif </t>
  </si>
  <si>
    <t xml:space="preserve"> 30.8421 </t>
  </si>
  <si>
    <t xml:space="preserve">C:\Users\andre\Desktop\REACTIV CEFAS\Fadrozole\Fadrozole/20201203_Cefas_Test8_Run3/Plate 1/@1/G10_01.tif </t>
  </si>
  <si>
    <t xml:space="preserve">C:\Users\andre\Desktop\REACTIV CEFAS\Fadrozole\Fadrozole/20201203_Cefas_Test8_Run3/Plate 1/@1/G10_02.tif </t>
  </si>
  <si>
    <t xml:space="preserve"> 38.8043 </t>
  </si>
  <si>
    <t xml:space="preserve">C:\Users\andre\Desktop\REACTIV CEFAS\Fadrozole\Fadrozole/20201203_Cefas_Test8_Run3/Plate 1/@1/G10_03.tif </t>
  </si>
  <si>
    <t xml:space="preserve"> 7570.4631 </t>
  </si>
  <si>
    <t xml:space="preserve"> 38.6686 </t>
  </si>
  <si>
    <t xml:space="preserve">C:\Users\andre\Desktop\REACTIV CEFAS\Fadrozole\Fadrozole/20201203_Cefas_Test8_Run3/Plate 1/@1/H10_01.tif </t>
  </si>
  <si>
    <t xml:space="preserve">C:\Users\andre\Desktop\REACTIV CEFAS\Fadrozole\Fadrozole/20201203_Cefas_Test8_Run3/Plate 1/@1/H10_02.tif </t>
  </si>
  <si>
    <t xml:space="preserve"> 46.0211 </t>
  </si>
  <si>
    <t xml:space="preserve">C:\Users\andre\Desktop\REACTIV CEFAS\Fadrozole\Fadrozole/20201203_Cefas_Test8_Run3/Plate 1/@1/H10_03.tif </t>
  </si>
  <si>
    <t xml:space="preserve"> 47.2568 </t>
  </si>
  <si>
    <t xml:space="preserve">C:\Users\andre\Desktop\REACTIV CEFAS\Fadrozole\Fadrozole/20201203_Cefas_Test8_Run3/Plate 1/@1/ </t>
  </si>
  <si>
    <t xml:space="preserve"> 32.1702 </t>
  </si>
  <si>
    <t xml:space="preserve"> 13.1971 </t>
  </si>
  <si>
    <t xml:space="preserve"> 180731.333 </t>
  </si>
  <si>
    <t xml:space="preserve"> 163665.138 </t>
  </si>
  <si>
    <t>C:\Users\andre\Desktop\REACTIV CEFAS\Fadrozole\Fadrozole/20201203_Cefas_Test8_Run3/Plate 1/@13/A8_01- exclu.tif</t>
  </si>
  <si>
    <t>C:\Users\andre\Desktop\REACTIV CEFAS\Fadrozole\Fadrozole/20201203_Cefas_Test8_Run3/Plate 1/@13/A8_02- exclu.tif</t>
  </si>
  <si>
    <t xml:space="preserve">C:\Users\andre\Desktop\REACTIV CEFAS\Fadrozole\Fadrozole/20201203_Cefas_Test8_Run3/Plate 1/@13/A8_03.tif </t>
  </si>
  <si>
    <t xml:space="preserve"> 15811.453 </t>
  </si>
  <si>
    <t xml:space="preserve"> 33.1737 </t>
  </si>
  <si>
    <t xml:space="preserve">C:\Users\andre\Desktop\REACTIV CEFAS\Fadrozole\Fadrozole/20201203_Cefas_Test8_Run3/Plate 1/@13/B8_01.tif </t>
  </si>
  <si>
    <t xml:space="preserve"> 72460.147 </t>
  </si>
  <si>
    <t xml:space="preserve"> 50.7788 </t>
  </si>
  <si>
    <t xml:space="preserve">C:\Users\andre\Desktop\REACTIV CEFAS\Fadrozole\Fadrozole/20201203_Cefas_Test8_Run3/Plate 1/@13/B8_02.tif </t>
  </si>
  <si>
    <t xml:space="preserve"> 64197.5273 </t>
  </si>
  <si>
    <t xml:space="preserve"> 48.597 </t>
  </si>
  <si>
    <t xml:space="preserve">C:\Users\andre\Desktop\REACTIV CEFAS\Fadrozole\Fadrozole/20201203_Cefas_Test8_Run3/Plate 1/@13/B8_03.tif </t>
  </si>
  <si>
    <t xml:space="preserve"> 60909.7833 </t>
  </si>
  <si>
    <t xml:space="preserve"> 50.8775 </t>
  </si>
  <si>
    <t xml:space="preserve">C:\Users\andre\Desktop\REACTIV CEFAS\Fadrozole\Fadrozole/20201203_Cefas_Test8_Run3/Plate 1/@13/C8_01.tif </t>
  </si>
  <si>
    <t xml:space="preserve"> 47.7466 </t>
  </si>
  <si>
    <t xml:space="preserve">C:\Users\andre\Desktop\REACTIV CEFAS\Fadrozole\Fadrozole/20201203_Cefas_Test8_Run3/Plate 1/@13/C8_02.tif </t>
  </si>
  <si>
    <t xml:space="preserve"> 68069.2784 </t>
  </si>
  <si>
    <t xml:space="preserve"> 44.2854 </t>
  </si>
  <si>
    <t xml:space="preserve">C:\Users\andre\Desktop\REACTIV CEFAS\Fadrozole\Fadrozole/20201203_Cefas_Test8_Run3/Plate 1/@13/C8_03.tif </t>
  </si>
  <si>
    <t xml:space="preserve"> 74341.9478 </t>
  </si>
  <si>
    <t xml:space="preserve"> 42.7221 </t>
  </si>
  <si>
    <t xml:space="preserve">C:\Users\andre\Desktop\REACTIV CEFAS\Fadrozole\Fadrozole/20201203_Cefas_Test8_Run3/Plate 1/@13/D8_01.tif </t>
  </si>
  <si>
    <t xml:space="preserve"> 33807.5253 </t>
  </si>
  <si>
    <t xml:space="preserve"> 37.1843 </t>
  </si>
  <si>
    <t xml:space="preserve">C:\Users\andre\Desktop\REACTIV CEFAS\Fadrozole\Fadrozole/20201203_Cefas_Test8_Run3/Plate 1/@13/D8_02.tif </t>
  </si>
  <si>
    <t xml:space="preserve"> 30390.002 </t>
  </si>
  <si>
    <t xml:space="preserve"> 35.5922 </t>
  </si>
  <si>
    <t xml:space="preserve">C:\Users\andre\Desktop\REACTIV CEFAS\Fadrozole\Fadrozole/20201203_Cefas_Test8_Run3/Plate 1/@13/D8_03.tif </t>
  </si>
  <si>
    <t xml:space="preserve"> 32250.1729 </t>
  </si>
  <si>
    <t xml:space="preserve"> 35.4299 </t>
  </si>
  <si>
    <t xml:space="preserve">C:\Users\andre\Desktop\REACTIV CEFAS\Fadrozole\Fadrozole/20201203_Cefas_Test8_Run3/Plate 1/@13/E8_01.tif </t>
  </si>
  <si>
    <t xml:space="preserve"> 57730.1888 </t>
  </si>
  <si>
    <t xml:space="preserve"> 38.1135 </t>
  </si>
  <si>
    <t xml:space="preserve">C:\Users\andre\Desktop\REACTIV CEFAS\Fadrozole\Fadrozole/20201203_Cefas_Test8_Run3/Plate 1/@13/E8_02.tif </t>
  </si>
  <si>
    <t xml:space="preserve"> 60455.5555 </t>
  </si>
  <si>
    <t xml:space="preserve"> 40.771 </t>
  </si>
  <si>
    <t xml:space="preserve">C:\Users\andre\Desktop\REACTIV CEFAS\Fadrozole\Fadrozole/20201203_Cefas_Test8_Run3/Plate 1/@13/E8_03.tif </t>
  </si>
  <si>
    <t xml:space="preserve"> 58206.0464 </t>
  </si>
  <si>
    <t xml:space="preserve"> 37.5151 </t>
  </si>
  <si>
    <t xml:space="preserve">C:\Users\andre\Desktop\REACTIV CEFAS\Fadrozole\Fadrozole/20201203_Cefas_Test8_Run3/Plate 1/@13/F8_01.tif </t>
  </si>
  <si>
    <t xml:space="preserve"> 1341.0535 </t>
  </si>
  <si>
    <t xml:space="preserve"> 33.4355 </t>
  </si>
  <si>
    <t xml:space="preserve">C:\Users\andre\Desktop\REACTIV CEFAS\Fadrozole\Fadrozole/20201203_Cefas_Test8_Run3/Plate 1/@13/F8_02.tif </t>
  </si>
  <si>
    <t xml:space="preserve"> 1600.6122 </t>
  </si>
  <si>
    <t xml:space="preserve"> 31.7027 </t>
  </si>
  <si>
    <t xml:space="preserve">C:\Users\andre\Desktop\REACTIV CEFAS\Fadrozole\Fadrozole/20201203_Cefas_Test8_Run3/Plate 1/@13/F8_03.tif </t>
  </si>
  <si>
    <t xml:space="preserve"> 31.1111 </t>
  </si>
  <si>
    <t xml:space="preserve">C:\Users\andre\Desktop\REACTIV CEFAS\Fadrozole\Fadrozole/20201203_Cefas_Test8_Run3/Plate 1/@13/G8_01.tif </t>
  </si>
  <si>
    <t xml:space="preserve"> 73736.3108 </t>
  </si>
  <si>
    <t xml:space="preserve"> 41.9607 </t>
  </si>
  <si>
    <t xml:space="preserve">C:\Users\andre\Desktop\REACTIV CEFAS\Fadrozole\Fadrozole/20201203_Cefas_Test8_Run3/Plate 1/@13/G8_02.tif </t>
  </si>
  <si>
    <t xml:space="preserve"> 44.0905 </t>
  </si>
  <si>
    <t xml:space="preserve">C:\Users\andre\Desktop\REACTIV CEFAS\Fadrozole\Fadrozole/20201203_Cefas_Test8_Run3/Plate 1/@13/G8_03.tif </t>
  </si>
  <si>
    <t xml:space="preserve"> 85438.0838 </t>
  </si>
  <si>
    <t xml:space="preserve"> 49.0529 </t>
  </si>
  <si>
    <t xml:space="preserve">C:\Users\andre\Desktop\REACTIV CEFAS\Fadrozole\Fadrozole/20201203_Cefas_Test8_Run3/Plate 1/@13/H8_01.tif </t>
  </si>
  <si>
    <t xml:space="preserve"> 62012.9079 </t>
  </si>
  <si>
    <t xml:space="preserve"> 41.4077 </t>
  </si>
  <si>
    <t xml:space="preserve">C:\Users\andre\Desktop\REACTIV CEFAS\Fadrozole\Fadrozole/20201203_Cefas_Test8_Run3/Plate 1/@13/H8_02.tif </t>
  </si>
  <si>
    <t xml:space="preserve"> 47520.8785 </t>
  </si>
  <si>
    <t xml:space="preserve"> 38.7633 </t>
  </si>
  <si>
    <t xml:space="preserve">C:\Users\andre\Desktop\REACTIV CEFAS\Fadrozole\Fadrozole/20201203_Cefas_Test8_Run3/Plate 1/@13/H8_03.tif </t>
  </si>
  <si>
    <t xml:space="preserve"> 61277.4915 </t>
  </si>
  <si>
    <t xml:space="preserve"> 41.15 </t>
  </si>
  <si>
    <t xml:space="preserve">C:\Users\andre\Desktop\REACTIV CEFAS\Fadrozole\Fadrozole/20201203_Cefas_Test8_Run3/Plate 1/@13/ </t>
  </si>
  <si>
    <t xml:space="preserve"> 40.4829 </t>
  </si>
  <si>
    <t xml:space="preserve"> 6.0636 </t>
  </si>
  <si>
    <t xml:space="preserve"> 2004108.08 </t>
  </si>
  <si>
    <t xml:space="preserve"> 1264555.13 </t>
  </si>
  <si>
    <t xml:space="preserve">C:\Users\andre\Desktop\REACTIV CEFAS\Fadrozole\Fadrozole/20201203_Cefas_Test8_Run3/Plate 1/@14/A9_01.tif </t>
  </si>
  <si>
    <t xml:space="preserve"> 48861.932 </t>
  </si>
  <si>
    <t xml:space="preserve"> 42.1961 </t>
  </si>
  <si>
    <t xml:space="preserve">C:\Users\andre\Desktop\REACTIV CEFAS\Fadrozole\Fadrozole/20201203_Cefas_Test8_Run3/Plate 1/@14/A9_02.tif </t>
  </si>
  <si>
    <t xml:space="preserve"> 39561.0773 </t>
  </si>
  <si>
    <t xml:space="preserve"> 41.3554 </t>
  </si>
  <si>
    <t xml:space="preserve">C:\Users\andre\Desktop\REACTIV CEFAS\Fadrozole\Fadrozole/20201203_Cefas_Test8_Run3/Plate 1/@14/A9_03.tif </t>
  </si>
  <si>
    <t xml:space="preserve"> 42827.1914 </t>
  </si>
  <si>
    <t xml:space="preserve"> 37.9515 </t>
  </si>
  <si>
    <t xml:space="preserve">C:\Users\andre\Desktop\REACTIV CEFAS\Fadrozole\Fadrozole/20201203_Cefas_Test8_Run3/Plate 1/@14/B9_01.tif </t>
  </si>
  <si>
    <t xml:space="preserve"> 45.2048 </t>
  </si>
  <si>
    <t xml:space="preserve">C:\Users\andre\Desktop\REACTIV CEFAS\Fadrozole\Fadrozole/20201203_Cefas_Test8_Run3/Plate 1/@14/B9_02.tif </t>
  </si>
  <si>
    <t xml:space="preserve"> 73346.9727 </t>
  </si>
  <si>
    <t xml:space="preserve"> 43.2365 </t>
  </si>
  <si>
    <t xml:space="preserve">C:\Users\andre\Desktop\REACTIV CEFAS\Fadrozole\Fadrozole/20201203_Cefas_Test8_Run3/Plate 1/@14/B9_03.tif </t>
  </si>
  <si>
    <t xml:space="preserve"> 75336.923 </t>
  </si>
  <si>
    <t xml:space="preserve"> 47.4574 </t>
  </si>
  <si>
    <t>C:\Users\andre\Desktop\REACTIV CEFAS\Fadrozole\Fadrozole/20201203_Cefas_Test8_Run3/Plate 1/@14/C9_01- exclu.tif</t>
  </si>
  <si>
    <t>C:\Users\andre\Desktop\REACTIV CEFAS\Fadrozole\Fadrozole/20201203_Cefas_Test8_Run3/Plate 1/@14/C9_02- exclu.tif</t>
  </si>
  <si>
    <t>C:\Users\andre\Desktop\REACTIV CEFAS\Fadrozole\Fadrozole/20201203_Cefas_Test8_Run3/Plate 1/@14/C9_03- exclu.tif</t>
  </si>
  <si>
    <t xml:space="preserve">C:\Users\andre\Desktop\REACTIV CEFAS\Fadrozole\Fadrozole/20201203_Cefas_Test8_Run3/Plate 1/@14/D9_01.tif </t>
  </si>
  <si>
    <t xml:space="preserve"> 61190.9719 </t>
  </si>
  <si>
    <t xml:space="preserve"> 38.2683 </t>
  </si>
  <si>
    <t xml:space="preserve">C:\Users\andre\Desktop\REACTIV CEFAS\Fadrozole\Fadrozole/20201203_Cefas_Test8_Run3/Plate 1/@14/D9_02.tif </t>
  </si>
  <si>
    <t xml:space="preserve"> 50722.1029 </t>
  </si>
  <si>
    <t xml:space="preserve"> 38.7416 </t>
  </si>
  <si>
    <t xml:space="preserve">C:\Users\andre\Desktop\REACTIV CEFAS\Fadrozole\Fadrozole/20201203_Cefas_Test8_Run3/Plate 1/@14/D9_03.tif </t>
  </si>
  <si>
    <t xml:space="preserve"> 54247.7757 </t>
  </si>
  <si>
    <t xml:space="preserve"> 38.8477 </t>
  </si>
  <si>
    <t xml:space="preserve">C:\Users\andre\Desktop\REACTIV CEFAS\Fadrozole\Fadrozole/20201203_Cefas_Test8_Run3/Plate 1/@14/E9_01.tif </t>
  </si>
  <si>
    <t xml:space="preserve"> 59525.47 </t>
  </si>
  <si>
    <t xml:space="preserve"> 38.8612 </t>
  </si>
  <si>
    <t xml:space="preserve">C:\Users\andre\Desktop\REACTIV CEFAS\Fadrozole\Fadrozole/20201203_Cefas_Test8_Run3/Plate 1/@14/E9_02.tif </t>
  </si>
  <si>
    <t xml:space="preserve"> 67139.1929 </t>
  </si>
  <si>
    <t xml:space="preserve"> 43.2072 </t>
  </si>
  <si>
    <t xml:space="preserve">C:\Users\andre\Desktop\REACTIV CEFAS\Fadrozole\Fadrozole/20201203_Cefas_Test8_Run3/Plate 1/@14/E9_03.tif </t>
  </si>
  <si>
    <t xml:space="preserve"> 55783.4982 </t>
  </si>
  <si>
    <t xml:space="preserve"> 39.071 </t>
  </si>
  <si>
    <t xml:space="preserve">C:\Users\andre\Desktop\REACTIV CEFAS\Fadrozole\Fadrozole/20201203_Cefas_Test8_Run3/Plate 1/@14/F9_01.tif </t>
  </si>
  <si>
    <t xml:space="preserve"> 59958.0679 </t>
  </si>
  <si>
    <t xml:space="preserve"> 39.825 </t>
  </si>
  <si>
    <t xml:space="preserve">C:\Users\andre\Desktop\REACTIV CEFAS\Fadrozole\Fadrozole/20201203_Cefas_Test8_Run3/Plate 1/@14/F9_02.tif </t>
  </si>
  <si>
    <t xml:space="preserve"> 54983.1921 </t>
  </si>
  <si>
    <t xml:space="preserve"> 40.9603 </t>
  </si>
  <si>
    <t xml:space="preserve">C:\Users\andre\Desktop\REACTIV CEFAS\Fadrozole\Fadrozole/20201203_Cefas_Test8_Run3/Plate 1/@14/F9_03.tif </t>
  </si>
  <si>
    <t xml:space="preserve"> 59633.6195 </t>
  </si>
  <si>
    <t xml:space="preserve"> 41.1821 </t>
  </si>
  <si>
    <t xml:space="preserve">C:\Users\andre\Desktop\REACTIV CEFAS\Fadrozole\Fadrozole/20201203_Cefas_Test8_Run3/Plate 1/@14/G9_01.tif </t>
  </si>
  <si>
    <t xml:space="preserve"> 18082.5919 </t>
  </si>
  <si>
    <t xml:space="preserve"> 32.4318 </t>
  </si>
  <si>
    <t xml:space="preserve">C:\Users\andre\Desktop\REACTIV CEFAS\Fadrozole\Fadrozole/20201203_Cefas_Test8_Run3/Plate 1/@14/G9_02.tif </t>
  </si>
  <si>
    <t xml:space="preserve"> 31.9152 </t>
  </si>
  <si>
    <t xml:space="preserve">C:\Users\andre\Desktop\REACTIV CEFAS\Fadrozole\Fadrozole/20201203_Cefas_Test8_Run3/Plate 1/@14/G9_03.tif </t>
  </si>
  <si>
    <t xml:space="preserve"> 19185.7165 </t>
  </si>
  <si>
    <t xml:space="preserve"> 32.6618 </t>
  </si>
  <si>
    <t xml:space="preserve">C:\Users\andre\Desktop\REACTIV CEFAS\Fadrozole\Fadrozole/20201203_Cefas_Test8_Run3/Plate 1/@14/H9_01.tif </t>
  </si>
  <si>
    <t xml:space="preserve"> 41572.6575 </t>
  </si>
  <si>
    <t xml:space="preserve"> 42.7503 </t>
  </si>
  <si>
    <t xml:space="preserve">C:\Users\andre\Desktop\REACTIV CEFAS\Fadrozole\Fadrozole/20201203_Cefas_Test8_Run3/Plate 1/@14/H9_02.tif </t>
  </si>
  <si>
    <t xml:space="preserve"> 42437.8533 </t>
  </si>
  <si>
    <t xml:space="preserve"> 39.3078 </t>
  </si>
  <si>
    <t>C:\Users\andre\Desktop\REACTIV CEFAS\Fadrozole\Fadrozole/20201203_Cefas_Test8_Run3/Plate 1/@14/H9_03- exclu.tif</t>
  </si>
  <si>
    <t xml:space="preserve">C:\Users\andre\Desktop\REACTIV CEFAS\Fadrozole\Fadrozole/20201203_Cefas_Test8_Run3/Plate 1/@14/ </t>
  </si>
  <si>
    <t xml:space="preserve"> 38.7894 </t>
  </si>
  <si>
    <t xml:space="preserve"> 4.8004 </t>
  </si>
  <si>
    <t xml:space="preserve"> 1033538.59 </t>
  </si>
  <si>
    <t xml:space="preserve">C:\Users\andre\Desktop\REACTIV CEFAS\Fadrozole\Fadrozole/20201203_Cefas_Test8_Run3/Plate 1/@15/A11_01.tif </t>
  </si>
  <si>
    <t xml:space="preserve"> 73044.1542 </t>
  </si>
  <si>
    <t xml:space="preserve"> 47.2926 </t>
  </si>
  <si>
    <t xml:space="preserve">C:\Users\andre\Desktop\REACTIV CEFAS\Fadrozole\Fadrozole/20201203_Cefas_Test8_Run3/Plate 1/@15/A11_02.tif </t>
  </si>
  <si>
    <t xml:space="preserve"> 68090.9083 </t>
  </si>
  <si>
    <t xml:space="preserve"> 45.0753 </t>
  </si>
  <si>
    <t xml:space="preserve">C:\Users\andre\Desktop\REACTIV CEFAS\Fadrozole\Fadrozole/20201203_Cefas_Test8_Run3/Plate 1/@15/A11_03.tif </t>
  </si>
  <si>
    <t xml:space="preserve"> 67442.0115 </t>
  </si>
  <si>
    <t xml:space="preserve"> 47.4885 </t>
  </si>
  <si>
    <t xml:space="preserve">C:\Users\andre\Desktop\REACTIV CEFAS\Fadrozole\Fadrozole/20201203_Cefas_Test8_Run3/Plate 1/@15/B11_01.tif </t>
  </si>
  <si>
    <t xml:space="preserve"> 73390.2325 </t>
  </si>
  <si>
    <t xml:space="preserve"> 40.5385 </t>
  </si>
  <si>
    <t xml:space="preserve">C:\Users\andre\Desktop\REACTIV CEFAS\Fadrozole\Fadrozole/20201203_Cefas_Test8_Run3/Plate 1/@15/B11_02.tif </t>
  </si>
  <si>
    <t xml:space="preserve"> 73952.6097 </t>
  </si>
  <si>
    <t xml:space="preserve"> 40.4899 </t>
  </si>
  <si>
    <t xml:space="preserve">C:\Users\andre\Desktop\REACTIV CEFAS\Fadrozole\Fadrozole/20201203_Cefas_Test8_Run3/Plate 1/@15/B11_03.tif </t>
  </si>
  <si>
    <t xml:space="preserve"> 78105.5495 </t>
  </si>
  <si>
    <t xml:space="preserve"> 45.2088 </t>
  </si>
  <si>
    <t xml:space="preserve">C:\Users\andre\Desktop\REACTIV CEFAS\Fadrozole\Fadrozole/20201203_Cefas_Test8_Run3/Plate 1/@15/C11_01.tif </t>
  </si>
  <si>
    <t xml:space="preserve"> 67831.3496 </t>
  </si>
  <si>
    <t xml:space="preserve"> 45.8029 </t>
  </si>
  <si>
    <t xml:space="preserve">C:\Users\andre\Desktop\REACTIV CEFAS\Fadrozole\Fadrozole/20201203_Cefas_Test8_Run3/Plate 1/@15/C11_02.tif </t>
  </si>
  <si>
    <t xml:space="preserve"> 60433.9256 </t>
  </si>
  <si>
    <t xml:space="preserve"> 46.8096 </t>
  </si>
  <si>
    <t xml:space="preserve">C:\Users\andre\Desktop\REACTIV CEFAS\Fadrozole\Fadrozole/20201203_Cefas_Test8_Run3/Plate 1/@15/C11_03.tif </t>
  </si>
  <si>
    <t xml:space="preserve"> 69626.6308 </t>
  </si>
  <si>
    <t xml:space="preserve"> 45.1066 </t>
  </si>
  <si>
    <t xml:space="preserve">C:\Users\andre\Desktop\REACTIV CEFAS\Fadrozole\Fadrozole/20201203_Cefas_Test8_Run3/Plate 1/@15/D11_01.tif </t>
  </si>
  <si>
    <t xml:space="preserve"> 54658.7437 </t>
  </si>
  <si>
    <t xml:space="preserve"> 48.4044 </t>
  </si>
  <si>
    <t xml:space="preserve">C:\Users\andre\Desktop\REACTIV CEFAS\Fadrozole\Fadrozole/20201203_Cefas_Test8_Run3/Plate 1/@15/D11_02.tif </t>
  </si>
  <si>
    <t xml:space="preserve"> 58249.3062 </t>
  </si>
  <si>
    <t xml:space="preserve"> 45.8147 </t>
  </si>
  <si>
    <t xml:space="preserve">C:\Users\andre\Desktop\REACTIV CEFAS\Fadrozole\Fadrozole/20201203_Cefas_Test8_Run3/Plate 1/@15/D11_03.tif </t>
  </si>
  <si>
    <t xml:space="preserve"> 62726.6944 </t>
  </si>
  <si>
    <t xml:space="preserve"> 48.1848 </t>
  </si>
  <si>
    <t xml:space="preserve">C:\Users\andre\Desktop\REACTIV CEFAS\Fadrozole\Fadrozole/20201203_Cefas_Test8_Run3/Plate 1/@15/E11_01.tif </t>
  </si>
  <si>
    <t xml:space="preserve"> 70318.7874 </t>
  </si>
  <si>
    <t xml:space="preserve"> 45.7032 </t>
  </si>
  <si>
    <t xml:space="preserve">C:\Users\andre\Desktop\REACTIV CEFAS\Fadrozole\Fadrozole/20201203_Cefas_Test8_Run3/Plate 1/@15/E11_02.tif </t>
  </si>
  <si>
    <t xml:space="preserve"> 74385.2076 </t>
  </si>
  <si>
    <t xml:space="preserve"> 50.8587 </t>
  </si>
  <si>
    <t xml:space="preserve">C:\Users\andre\Desktop\REACTIV CEFAS\Fadrozole\Fadrozole/20201203_Cefas_Test8_Run3/Plate 1/@15/E11_03.tif </t>
  </si>
  <si>
    <t xml:space="preserve"> 69215.6628 </t>
  </si>
  <si>
    <t xml:space="preserve"> 46.4684 </t>
  </si>
  <si>
    <t xml:space="preserve">C:\Users\andre\Desktop\REACTIV CEFAS\Fadrozole\Fadrozole/20201203_Cefas_Test8_Run3/Plate 1/@15/F11_01.tif </t>
  </si>
  <si>
    <t xml:space="preserve"> 95322.9456 </t>
  </si>
  <si>
    <t xml:space="preserve"> 49.4329 </t>
  </si>
  <si>
    <t xml:space="preserve">C:\Users\andre\Desktop\REACTIV CEFAS\Fadrozole\Fadrozole/20201203_Cefas_Test8_Run3/Plate 1/@15/F11_02.tif </t>
  </si>
  <si>
    <t xml:space="preserve"> 95604.1343 </t>
  </si>
  <si>
    <t xml:space="preserve"> 49.8353 </t>
  </si>
  <si>
    <t xml:space="preserve">C:\Users\andre\Desktop\REACTIV CEFAS\Fadrozole\Fadrozole/20201203_Cefas_Test8_Run3/Plate 1/@15/F11_03.tif </t>
  </si>
  <si>
    <t xml:space="preserve"> 96923.5578 </t>
  </si>
  <si>
    <t xml:space="preserve"> 47.4084 </t>
  </si>
  <si>
    <t>C:\Users\andre\Desktop\REACTIV CEFAS\Fadrozole\Fadrozole/20201203_Cefas_Test8_Run3/Plate 1/@15/G11_01- exclu.tif</t>
  </si>
  <si>
    <t>C:\Users\andre\Desktop\REACTIV CEFAS\Fadrozole\Fadrozole/20201203_Cefas_Test8_Run3/Plate 1/@15/G11_02- exclu.tif</t>
  </si>
  <si>
    <t>C:\Users\andre\Desktop\REACTIV CEFAS\Fadrozole\Fadrozole/20201203_Cefas_Test8_Run3/Plate 1/@15/G11_03- exclu.tif</t>
  </si>
  <si>
    <t xml:space="preserve">C:\Users\andre\Desktop\REACTIV CEFAS\Fadrozole\Fadrozole/20201203_Cefas_Test8_Run3/Plate 1/@15/H11_01.tif </t>
  </si>
  <si>
    <t xml:space="preserve"> 35710.956 </t>
  </si>
  <si>
    <t xml:space="preserve"> 36.2362 </t>
  </si>
  <si>
    <t xml:space="preserve">C:\Users\andre\Desktop\REACTIV CEFAS\Fadrozole\Fadrozole/20201203_Cefas_Test8_Run3/Plate 1/@15/H11_02.tif </t>
  </si>
  <si>
    <t xml:space="preserve"> 41529.3977 </t>
  </si>
  <si>
    <t xml:space="preserve"> 36.3109 </t>
  </si>
  <si>
    <t xml:space="preserve">C:\Users\andre\Desktop\REACTIV CEFAS\Fadrozole\Fadrozole/20201203_Cefas_Test8_Run3/Plate 1/@15/H11_03.tif </t>
  </si>
  <si>
    <t xml:space="preserve"> 27188.7775 </t>
  </si>
  <si>
    <t xml:space="preserve"> 33.922 </t>
  </si>
  <si>
    <t xml:space="preserve">C:\Users\andre\Desktop\REACTIV CEFAS\Fadrozole\Fadrozole/20201203_Cefas_Test8_Run3/Plate 1/@15/ </t>
  </si>
  <si>
    <t xml:space="preserve"> 39.2664 </t>
  </si>
  <si>
    <t xml:space="preserve"> 15.7769 </t>
  </si>
  <si>
    <t xml:space="preserve"> 2693719.42 </t>
  </si>
  <si>
    <t xml:space="preserve"> 1388268.76 </t>
  </si>
  <si>
    <t xml:space="preserve">C:\Users\andre\Desktop\REACTIV CEFAS\Fadrozole\Fadrozole/20201203_Cefas_Test8_Run3/Plate 1/@16/A12_01.tif </t>
  </si>
  <si>
    <t xml:space="preserve">C:\Users\andre\Desktop\REACTIV CEFAS\Fadrozole\Fadrozole/20201203_Cefas_Test8_Run3/Plate 1/@16/A12_02.tif </t>
  </si>
  <si>
    <t xml:space="preserve"> 31.6364 </t>
  </si>
  <si>
    <t xml:space="preserve">C:\Users\andre\Desktop\REACTIV CEFAS\Fadrozole\Fadrozole/20201203_Cefas_Test8_Run3/Plate 1/@16/A12_03.tif </t>
  </si>
  <si>
    <t xml:space="preserve"> 1254.5339 </t>
  </si>
  <si>
    <t xml:space="preserve"> 31.7586 </t>
  </si>
  <si>
    <t xml:space="preserve">C:\Users\andre\Desktop\REACTIV CEFAS\Fadrozole\Fadrozole/20201203_Cefas_Test8_Run3/Plate 1/@16/B12_01.tif </t>
  </si>
  <si>
    <t xml:space="preserve"> 4477.3882 </t>
  </si>
  <si>
    <t xml:space="preserve"> 34.2222 </t>
  </si>
  <si>
    <t xml:space="preserve">C:\Users\andre\Desktop\REACTIV CEFAS\Fadrozole\Fadrozole/20201203_Cefas_Test8_Run3/Plate 1/@16/B12_02.tif </t>
  </si>
  <si>
    <t xml:space="preserve"> 32.1857 </t>
  </si>
  <si>
    <t xml:space="preserve">C:\Users\andre\Desktop\REACTIV CEFAS\Fadrozole\Fadrozole/20201203_Cefas_Test8_Run3/Plate 1/@16/B12_03.tif </t>
  </si>
  <si>
    <t xml:space="preserve"> 2357.6585 </t>
  </si>
  <si>
    <t xml:space="preserve"> 32.1284 </t>
  </si>
  <si>
    <t xml:space="preserve">C:\Users\andre\Desktop\REACTIV CEFAS\Fadrozole\Fadrozole/20201203_Cefas_Test8_Run3/Plate 1/@16/C12_01.tif </t>
  </si>
  <si>
    <t xml:space="preserve"> 41.7059 </t>
  </si>
  <si>
    <t>C:\Users\andre\Desktop\REACTIV CEFAS\Fadrozole\Fadrozole/20201203_Cefas_Test8_Run3/Plate 1/@16/C12_02- exclu.tif</t>
  </si>
  <si>
    <t xml:space="preserve">C:\Users\andre\Desktop\REACTIV CEFAS\Fadrozole\Fadrozole/20201203_Cefas_Test8_Run3/Plate 1/@16/C12_03.tif </t>
  </si>
  <si>
    <t xml:space="preserve">C:\Users\andre\Desktop\REACTIV CEFAS\Fadrozole\Fadrozole/20201203_Cefas_Test8_Run3/Plate 1/@16/D12_01.tif </t>
  </si>
  <si>
    <t xml:space="preserve">C:\Users\andre\Desktop\REACTIV CEFAS\Fadrozole\Fadrozole/20201203_Cefas_Test8_Run3/Plate 1/@16/D12_02.tif </t>
  </si>
  <si>
    <t xml:space="preserve"> 37.1628 </t>
  </si>
  <si>
    <t xml:space="preserve">C:\Users\andre\Desktop\REACTIV CEFAS\Fadrozole\Fadrozole/20201203_Cefas_Test8_Run3/Plate 1/@16/D12_03.tif </t>
  </si>
  <si>
    <t xml:space="preserve"> 1189.6442 </t>
  </si>
  <si>
    <t xml:space="preserve"> 33.1636 </t>
  </si>
  <si>
    <t xml:space="preserve">C:\Users\andre\Desktop\REACTIV CEFAS\Fadrozole\Fadrozole/20201203_Cefas_Test8_Run3/Plate 1/@16/E12_01.tif </t>
  </si>
  <si>
    <t xml:space="preserve"> 33.7194 </t>
  </si>
  <si>
    <t xml:space="preserve">C:\Users\andre\Desktop\REACTIV CEFAS\Fadrozole\Fadrozole/20201203_Cefas_Test8_Run3/Plate 1/@16/E12_02.tif </t>
  </si>
  <si>
    <t xml:space="preserve"> 33.3421 </t>
  </si>
  <si>
    <t xml:space="preserve">C:\Users\andre\Desktop\REACTIV CEFAS\Fadrozole\Fadrozole/20201203_Cefas_Test8_Run3/Plate 1/@16/E12_03.tif </t>
  </si>
  <si>
    <t xml:space="preserve"> 1860.1709 </t>
  </si>
  <si>
    <t xml:space="preserve"> 31.9535 </t>
  </si>
  <si>
    <t xml:space="preserve">C:\Users\andre\Desktop\REACTIV CEFAS\Fadrozole\Fadrozole/20201203_Cefas_Test8_Run3/Plate 1/@16/F12_01.tif </t>
  </si>
  <si>
    <t xml:space="preserve"> 33.9435 </t>
  </si>
  <si>
    <t xml:space="preserve">C:\Users\andre\Desktop\REACTIV CEFAS\Fadrozole\Fadrozole/20201203_Cefas_Test8_Run3/Plate 1/@16/F12_02.tif </t>
  </si>
  <si>
    <t xml:space="preserve"> 32.6 </t>
  </si>
  <si>
    <t xml:space="preserve">C:\Users\andre\Desktop\REACTIV CEFAS\Fadrozole\Fadrozole/20201203_Cefas_Test8_Run3/Plate 1/@16/F12_03.tif </t>
  </si>
  <si>
    <t xml:space="preserve"> 4304.349 </t>
  </si>
  <si>
    <t xml:space="preserve"> 35.1508 </t>
  </si>
  <si>
    <t xml:space="preserve">C:\Users\andre\Desktop\REACTIV CEFAS\Fadrozole\Fadrozole/20201203_Cefas_Test8_Run3/Plate 1/@16/G12_01.tif </t>
  </si>
  <si>
    <t xml:space="preserve"> 9625.3031 </t>
  </si>
  <si>
    <t xml:space="preserve"> 40.5461 </t>
  </si>
  <si>
    <t xml:space="preserve">C:\Users\andre\Desktop\REACTIV CEFAS\Fadrozole\Fadrozole/20201203_Cefas_Test8_Run3/Plate 1/@16/G12_02.tif </t>
  </si>
  <si>
    <t xml:space="preserve"> 9214.3351 </t>
  </si>
  <si>
    <t xml:space="preserve"> 41.3263 </t>
  </si>
  <si>
    <t xml:space="preserve">C:\Users\andre\Desktop\REACTIV CEFAS\Fadrozole\Fadrozole/20201203_Cefas_Test8_Run3/Plate 1/@16/G12_03.tif </t>
  </si>
  <si>
    <t xml:space="preserve"> 5775.1819 </t>
  </si>
  <si>
    <t xml:space="preserve"> 39.5243 </t>
  </si>
  <si>
    <t>C:\Users\andre\Desktop\REACTIV CEFAS\Fadrozole\Fadrozole/20201203_Cefas_Test8_Run3/Plate 1/@16/H12_01- exclu.tif</t>
  </si>
  <si>
    <t>C:\Users\andre\Desktop\REACTIV CEFAS\Fadrozole\Fadrozole/20201203_Cefas_Test8_Run3/Plate 1/@16/H12_02- exclu.tif</t>
  </si>
  <si>
    <t>C:\Users\andre\Desktop\REACTIV CEFAS\Fadrozole\Fadrozole/20201203_Cefas_Test8_Run3/Plate 1/@16/H12_03- exclu.tif</t>
  </si>
  <si>
    <t xml:space="preserve">C:\Users\andre\Desktop\REACTIV CEFAS\Fadrozole\Fadrozole/20201203_Cefas_Test8_Run3/Plate 1/@16/ </t>
  </si>
  <si>
    <t xml:space="preserve"> 26.1865 </t>
  </si>
  <si>
    <t xml:space="preserve"> 15.7368 </t>
  </si>
  <si>
    <t xml:space="preserve"> 108680.208 </t>
  </si>
  <si>
    <t xml:space="preserve"> 126908.679 </t>
  </si>
  <si>
    <t xml:space="preserve">C:\Users\andre\Desktop\REACTIV CEFAS\Fadrozole\Fadrozole/20201203_Cefas_Test8_Run3/Plate 1/@2/A2_01.tif </t>
  </si>
  <si>
    <t xml:space="preserve"> 8868.2568 </t>
  </si>
  <si>
    <t xml:space="preserve"> 43.5439 </t>
  </si>
  <si>
    <t xml:space="preserve">C:\Users\andre\Desktop\REACTIV CEFAS\Fadrozole\Fadrozole/20201203_Cefas_Test8_Run3/Plate 1/@2/A2_02.tif </t>
  </si>
  <si>
    <t xml:space="preserve"> 11117.7658 </t>
  </si>
  <si>
    <t xml:space="preserve"> 49.0953 </t>
  </si>
  <si>
    <t>C:\Users\andre\Desktop\REACTIV CEFAS\Fadrozole\Fadrozole/20201203_Cefas_Test8_Run3/Plate 1/@2/A2_03- exclu.tif</t>
  </si>
  <si>
    <t xml:space="preserve">C:\Users\andre\Desktop\REACTIV CEFAS\Fadrozole\Fadrozole/20201203_Cefas_Test8_Run3/Plate 1/@2/B2_01.tif </t>
  </si>
  <si>
    <t xml:space="preserve"> 39.9098 </t>
  </si>
  <si>
    <t>C:\Users\andre\Desktop\REACTIV CEFAS\Fadrozole\Fadrozole/20201203_Cefas_Test8_Run3/Plate 1/@2/B2_02- exclu.tif</t>
  </si>
  <si>
    <t>C:\Users\andre\Desktop\REACTIV CEFAS\Fadrozole\Fadrozole/20201203_Cefas_Test8_Run3/Plate 1/@2/B2_03- exclu.tif</t>
  </si>
  <si>
    <t xml:space="preserve">C:\Users\andre\Desktop\REACTIV CEFAS\Fadrozole\Fadrozole/20201203_Cefas_Test8_Run3/Plate 1/@2/C2_01.tif </t>
  </si>
  <si>
    <t xml:space="preserve">C:\Users\andre\Desktop\REACTIV CEFAS\Fadrozole\Fadrozole/20201203_Cefas_Test8_Run3/Plate 1/@2/C2_02.tif </t>
  </si>
  <si>
    <t xml:space="preserve"> 3287.744 </t>
  </si>
  <si>
    <t xml:space="preserve"> 36.1447 </t>
  </si>
  <si>
    <t xml:space="preserve">C:\Users\andre\Desktop\REACTIV CEFAS\Fadrozole\Fadrozole/20201203_Cefas_Test8_Run3/Plate 1/@2/C2_03.tif </t>
  </si>
  <si>
    <t xml:space="preserve"> 33.2 </t>
  </si>
  <si>
    <t xml:space="preserve">C:\Users\andre\Desktop\REACTIV CEFAS\Fadrozole\Fadrozole/20201203_Cefas_Test8_Run3/Plate 1/@2/D2_01.tif </t>
  </si>
  <si>
    <t xml:space="preserve"> 11182.6555 </t>
  </si>
  <si>
    <t xml:space="preserve"> 38.1683 </t>
  </si>
  <si>
    <t xml:space="preserve">C:\Users\andre\Desktop\REACTIV CEFAS\Fadrozole\Fadrozole/20201203_Cefas_Test8_Run3/Plate 1/@2/D2_02.tif </t>
  </si>
  <si>
    <t xml:space="preserve"> 8435.6589 </t>
  </si>
  <si>
    <t xml:space="preserve"> 36.8846 </t>
  </si>
  <si>
    <t xml:space="preserve">C:\Users\andre\Desktop\REACTIV CEFAS\Fadrozole\Fadrozole/20201203_Cefas_Test8_Run3/Plate 1/@2/D2_03.tif </t>
  </si>
  <si>
    <t xml:space="preserve"> 8522.1785 </t>
  </si>
  <si>
    <t xml:space="preserve"> 35.9188 </t>
  </si>
  <si>
    <t>C:\Users\andre\Desktop\REACTIV CEFAS\Fadrozole\Fadrozole/20201203_Cefas_Test8_Run3/Plate 1/@2/E2_01- exclu.tif</t>
  </si>
  <si>
    <t>C:\Users\andre\Desktop\REACTIV CEFAS\Fadrozole\Fadrozole/20201203_Cefas_Test8_Run3/Plate 1/@2/E2_02- exclu.tif</t>
  </si>
  <si>
    <t>C:\Users\andre\Desktop\REACTIV CEFAS\Fadrozole\Fadrozole/20201203_Cefas_Test8_Run3/Plate 1/@2/E2_03- exclu.tif</t>
  </si>
  <si>
    <t xml:space="preserve">C:\Users\andre\Desktop\REACTIV CEFAS\Fadrozole\Fadrozole/20201203_Cefas_Test8_Run3/Plate 1/@2/F2_01.tif </t>
  </si>
  <si>
    <t xml:space="preserve"> 3979.9006 </t>
  </si>
  <si>
    <t xml:space="preserve"> 36.837 </t>
  </si>
  <si>
    <t xml:space="preserve">C:\Users\andre\Desktop\REACTIV CEFAS\Fadrozole\Fadrozole/20201203_Cefas_Test8_Run3/Plate 1/@2/F2_02.tif </t>
  </si>
  <si>
    <t xml:space="preserve"> 39.7838 </t>
  </si>
  <si>
    <t xml:space="preserve">C:\Users\andre\Desktop\REACTIV CEFAS\Fadrozole\Fadrozole/20201203_Cefas_Test8_Run3/Plate 1/@2/F2_03.tif </t>
  </si>
  <si>
    <t xml:space="preserve"> 36.5294 </t>
  </si>
  <si>
    <t xml:space="preserve">C:\Users\andre\Desktop\REACTIV CEFAS\Fadrozole\Fadrozole/20201203_Cefas_Test8_Run3/Plate 1/@2/G2_01.tif </t>
  </si>
  <si>
    <t xml:space="preserve">C:\Users\andre\Desktop\REACTIV CEFAS\Fadrozole\Fadrozole/20201203_Cefas_Test8_Run3/Plate 1/@2/G2_02.tif </t>
  </si>
  <si>
    <t xml:space="preserve"> 32.3333 </t>
  </si>
  <si>
    <t xml:space="preserve">C:\Users\andre\Desktop\REACTIV CEFAS\Fadrozole\Fadrozole/20201203_Cefas_Test8_Run3/Plate 1/@2/G2_03.tif </t>
  </si>
  <si>
    <t xml:space="preserve"> 8846.6269 </t>
  </si>
  <si>
    <t xml:space="preserve"> 38.0782 </t>
  </si>
  <si>
    <t xml:space="preserve">C:\Users\andre\Desktop\REACTIV CEFAS\Fadrozole\Fadrozole/20201203_Cefas_Test8_Run3/Plate 1/@2/H2_01.tif </t>
  </si>
  <si>
    <t xml:space="preserve"> 8673.5877 </t>
  </si>
  <si>
    <t xml:space="preserve"> 37.8928 </t>
  </si>
  <si>
    <t xml:space="preserve">C:\Users\andre\Desktop\REACTIV CEFAS\Fadrozole\Fadrozole/20201203_Cefas_Test8_Run3/Plate 1/@2/H2_02.tif </t>
  </si>
  <si>
    <t xml:space="preserve"> 3850.1212 </t>
  </si>
  <si>
    <t xml:space="preserve"> 37.7697 </t>
  </si>
  <si>
    <t xml:space="preserve">C:\Users\andre\Desktop\REACTIV CEFAS\Fadrozole\Fadrozole/20201203_Cefas_Test8_Run3/Plate 1/@2/H2_03.tif </t>
  </si>
  <si>
    <t xml:space="preserve"> 7765.1322 </t>
  </si>
  <si>
    <t xml:space="preserve"> 38.585 </t>
  </si>
  <si>
    <t xml:space="preserve">C:\Users\andre\Desktop\REACTIV CEFAS\Fadrozole\Fadrozole/20201203_Cefas_Test8_Run3/Plate 1/@2/ </t>
  </si>
  <si>
    <t xml:space="preserve"> 37.7109 </t>
  </si>
  <si>
    <t xml:space="preserve"> 13.863 </t>
  </si>
  <si>
    <t xml:space="preserve"> 332434.333 </t>
  </si>
  <si>
    <t xml:space="preserve"> 346843.6 </t>
  </si>
  <si>
    <t xml:space="preserve">C:\Users\andre\Desktop\REACTIV CEFAS\Fadrozole\Fadrozole/20201203_Cefas_Test8_Run3/Plate 1/@3/A3_01.tif </t>
  </si>
  <si>
    <t xml:space="preserve"> 31.8 </t>
  </si>
  <si>
    <t>C:\Users\andre\Desktop\REACTIV CEFAS\Fadrozole\Fadrozole/20201203_Cefas_Test8_Run3/Plate 1/@3/A3_02- exclu.tif</t>
  </si>
  <si>
    <t>C:\Users\andre\Desktop\REACTIV CEFAS\Fadrozole\Fadrozole/20201203_Cefas_Test8_Run3/Plate 1/@3/A3_03- exclu.tif</t>
  </si>
  <si>
    <t>C:\Users\andre\Desktop\REACTIV CEFAS\Fadrozole\Fadrozole/20201203_Cefas_Test8_Run3/Plate 1/@3/B3_01- exclu.tif</t>
  </si>
  <si>
    <t xml:space="preserve">C:\Users\andre\Desktop\REACTIV CEFAS\Fadrozole\Fadrozole/20201203_Cefas_Test8_Run3/Plate 1/@3/B3_02.tif </t>
  </si>
  <si>
    <t xml:space="preserve"> 34.8469 </t>
  </si>
  <si>
    <t xml:space="preserve">C:\Users\andre\Desktop\REACTIV CEFAS\Fadrozole\Fadrozole/20201203_Cefas_Test8_Run3/Plate 1/@3/B3_03.tif </t>
  </si>
  <si>
    <t xml:space="preserve">C:\Users\andre\Desktop\REACTIV CEFAS\Fadrozole\Fadrozole/20201203_Cefas_Test8_Run3/Plate 1/@3/C3_01.tif </t>
  </si>
  <si>
    <t xml:space="preserve"> 3677.0821 </t>
  </si>
  <si>
    <t xml:space="preserve"> 33.8941 </t>
  </si>
  <si>
    <t xml:space="preserve">C:\Users\andre\Desktop\REACTIV CEFAS\Fadrozole\Fadrozole/20201203_Cefas_Test8_Run3/Plate 1/@3/C3_02.tif </t>
  </si>
  <si>
    <t xml:space="preserve"> 1622.2421 </t>
  </si>
  <si>
    <t xml:space="preserve"> 32.2133 </t>
  </si>
  <si>
    <t xml:space="preserve">C:\Users\andre\Desktop\REACTIV CEFAS\Fadrozole\Fadrozole/20201203_Cefas_Test8_Run3/Plate 1/@3/C3_03.tif </t>
  </si>
  <si>
    <t xml:space="preserve"> 1535.7225 </t>
  </si>
  <si>
    <t xml:space="preserve"> 32.2113 </t>
  </si>
  <si>
    <t xml:space="preserve">C:\Users\andre\Desktop\REACTIV CEFAS\Fadrozole\Fadrozole/20201203_Cefas_Test8_Run3/Plate 1/@3/D3_01.tif </t>
  </si>
  <si>
    <t xml:space="preserve"> 6553.8581 </t>
  </si>
  <si>
    <t xml:space="preserve"> 39.9241 </t>
  </si>
  <si>
    <t xml:space="preserve">C:\Users\andre\Desktop\REACTIV CEFAS\Fadrozole\Fadrozole/20201203_Cefas_Test8_Run3/Plate 1/@3/D3_02.tif </t>
  </si>
  <si>
    <t xml:space="preserve"> 9841.6021 </t>
  </si>
  <si>
    <t xml:space="preserve"> 45.6527 </t>
  </si>
  <si>
    <t xml:space="preserve">C:\Users\andre\Desktop\REACTIV CEFAS\Fadrozole\Fadrozole/20201203_Cefas_Test8_Run3/Plate 1/@3/D3_03.tif </t>
  </si>
  <si>
    <t xml:space="preserve"> 10663.5381 </t>
  </si>
  <si>
    <t xml:space="preserve"> 44.1765 </t>
  </si>
  <si>
    <t xml:space="preserve">C:\Users\andre\Desktop\REACTIV CEFAS\Fadrozole\Fadrozole/20201203_Cefas_Test8_Run3/Plate 1/@3/E3_01.tif </t>
  </si>
  <si>
    <t xml:space="preserve"> 5580.5128 </t>
  </si>
  <si>
    <t xml:space="preserve"> 39.8876 </t>
  </si>
  <si>
    <t xml:space="preserve">C:\Users\andre\Desktop\REACTIV CEFAS\Fadrozole\Fadrozole/20201203_Cefas_Test8_Run3/Plate 1/@3/E3_02.tif </t>
  </si>
  <si>
    <t xml:space="preserve"> 5299.3242 </t>
  </si>
  <si>
    <t xml:space="preserve"> 40.6531 </t>
  </si>
  <si>
    <t xml:space="preserve">C:\Users\andre\Desktop\REACTIV CEFAS\Fadrozole\Fadrozole/20201203_Cefas_Test8_Run3/Plate 1/@3/E3_03.tif </t>
  </si>
  <si>
    <t xml:space="preserve">C:\Users\andre\Desktop\REACTIV CEFAS\Fadrozole\Fadrozole/20201203_Cefas_Test8_Run3/Plate 1/@3/F3_01.tif </t>
  </si>
  <si>
    <t xml:space="preserve"> 3374.2636 </t>
  </si>
  <si>
    <t xml:space="preserve"> 37.0256 </t>
  </si>
  <si>
    <t xml:space="preserve">C:\Users\andre\Desktop\REACTIV CEFAS\Fadrozole\Fadrozole/20201203_Cefas_Test8_Run3/Plate 1/@3/F3_02.tif </t>
  </si>
  <si>
    <t xml:space="preserve"> 34.8776 </t>
  </si>
  <si>
    <t xml:space="preserve">C:\Users\andre\Desktop\REACTIV CEFAS\Fadrozole\Fadrozole/20201203_Cefas_Test8_Run3/Plate 1/@3/F3_03.tif </t>
  </si>
  <si>
    <t xml:space="preserve"> 3612.1924 </t>
  </si>
  <si>
    <t xml:space="preserve"> 35.6587 </t>
  </si>
  <si>
    <t xml:space="preserve">C:\Users\andre\Desktop\REACTIV CEFAS\Fadrozole\Fadrozole/20201203_Cefas_Test8_Run3/Plate 1/@3/G3_01.tif </t>
  </si>
  <si>
    <t xml:space="preserve"> 32.88 </t>
  </si>
  <si>
    <t xml:space="preserve">C:\Users\andre\Desktop\REACTIV CEFAS\Fadrozole\Fadrozole/20201203_Cefas_Test8_Run3/Plate 1/@3/G3_02.tif </t>
  </si>
  <si>
    <t xml:space="preserve"> 22646.4997 </t>
  </si>
  <si>
    <t xml:space="preserve"> 33.8023 </t>
  </si>
  <si>
    <t xml:space="preserve">C:\Users\andre\Desktop\REACTIV CEFAS\Fadrozole\Fadrozole/20201203_Cefas_Test8_Run3/Plate 1/@3/G3_03.tif </t>
  </si>
  <si>
    <t xml:space="preserve"> 32.4238 </t>
  </si>
  <si>
    <t xml:space="preserve">C:\Users\andre\Desktop\REACTIV CEFAS\Fadrozole\Fadrozole/20201203_Cefas_Test8_Run3/Plate 1/@3/H3_01.tif </t>
  </si>
  <si>
    <t xml:space="preserve"> 7548.8332 </t>
  </si>
  <si>
    <t xml:space="preserve"> 37.2521 </t>
  </si>
  <si>
    <t xml:space="preserve">C:\Users\andre\Desktop\REACTIV CEFAS\Fadrozole\Fadrozole/20201203_Cefas_Test8_Run3/Plate 1/@3/H3_02.tif </t>
  </si>
  <si>
    <t xml:space="preserve"> 17974.4424 </t>
  </si>
  <si>
    <t xml:space="preserve"> 35.1023 </t>
  </si>
  <si>
    <t xml:space="preserve">C:\Users\andre\Desktop\REACTIV CEFAS\Fadrozole\Fadrozole/20201203_Cefas_Test8_Run3/Plate 1/@3/H3_03.tif </t>
  </si>
  <si>
    <t xml:space="preserve"> 9582.0433 </t>
  </si>
  <si>
    <t xml:space="preserve"> 34.7788 </t>
  </si>
  <si>
    <t xml:space="preserve">C:\Users\andre\Desktop\REACTIV CEFAS\Fadrozole\Fadrozole/20201203_Cefas_Test8_Run3/Plate 1/@3/ </t>
  </si>
  <si>
    <t xml:space="preserve"> 33.2496 </t>
  </si>
  <si>
    <t xml:space="preserve"> 10.9426 </t>
  </si>
  <si>
    <t xml:space="preserve"> 228032.208 </t>
  </si>
  <si>
    <t xml:space="preserve"> 214814.989 </t>
  </si>
  <si>
    <t xml:space="preserve">C:\Users\andre\Desktop\REACTIV CEFAS\Fadrozole\Fadrozole/20201203_Cefas_Test8_Run3/Plate 1/@4/A4_01.tif </t>
  </si>
  <si>
    <t xml:space="preserve"> 12653.4884 </t>
  </si>
  <si>
    <t xml:space="preserve"> 34.5641 </t>
  </si>
  <si>
    <t xml:space="preserve">C:\Users\andre\Desktop\REACTIV CEFAS\Fadrozole\Fadrozole/20201203_Cefas_Test8_Run3/Plate 1/@4/A4_02.tif </t>
  </si>
  <si>
    <t xml:space="preserve"> 12610.2286 </t>
  </si>
  <si>
    <t xml:space="preserve"> 34.1046 </t>
  </si>
  <si>
    <t xml:space="preserve">C:\Users\andre\Desktop\REACTIV CEFAS\Fadrozole\Fadrozole/20201203_Cefas_Test8_Run3/Plate 1/@4/A4_03.tif </t>
  </si>
  <si>
    <t xml:space="preserve"> 19553.4247 </t>
  </si>
  <si>
    <t xml:space="preserve"> 34.6195 </t>
  </si>
  <si>
    <t xml:space="preserve">C:\Users\andre\Desktop\REACTIV CEFAS\Fadrozole\Fadrozole/20201203_Cefas_Test8_Run3/Plate 1/@4/B4_01.tif </t>
  </si>
  <si>
    <t xml:space="preserve"> 3785.2316 </t>
  </si>
  <si>
    <t xml:space="preserve"> 33.5886 </t>
  </si>
  <si>
    <t xml:space="preserve">C:\Users\andre\Desktop\REACTIV CEFAS\Fadrozole\Fadrozole/20201203_Cefas_Test8_Run3/Plate 1/@4/B4_02.tif </t>
  </si>
  <si>
    <t xml:space="preserve"> 3352.6337 </t>
  </si>
  <si>
    <t xml:space="preserve"> 33.2323 </t>
  </si>
  <si>
    <t xml:space="preserve">C:\Users\andre\Desktop\REACTIV CEFAS\Fadrozole\Fadrozole/20201203_Cefas_Test8_Run3/Plate 1/@4/B4_03.tif </t>
  </si>
  <si>
    <t xml:space="preserve"> 11139.3957 </t>
  </si>
  <si>
    <t xml:space="preserve"> 33.233 </t>
  </si>
  <si>
    <t xml:space="preserve">C:\Users\andre\Desktop\REACTIV CEFAS\Fadrozole\Fadrozole/20201203_Cefas_Test8_Run3/Plate 1/@4/C4_01.tif </t>
  </si>
  <si>
    <t xml:space="preserve"> 11161.0256 </t>
  </si>
  <si>
    <t xml:space="preserve"> 34.7713 </t>
  </si>
  <si>
    <t xml:space="preserve">C:\Users\andre\Desktop\REACTIV CEFAS\Fadrozole\Fadrozole/20201203_Cefas_Test8_Run3/Plate 1/@4/C4_02.tif </t>
  </si>
  <si>
    <t xml:space="preserve"> 86.5196 </t>
  </si>
  <si>
    <t xml:space="preserve">C:\Users\andre\Desktop\REACTIV CEFAS\Fadrozole\Fadrozole/20201203_Cefas_Test8_Run3/Plate 1/@4/C4_03.tif </t>
  </si>
  <si>
    <t xml:space="preserve"> 34.5 </t>
  </si>
  <si>
    <t xml:space="preserve">C:\Users\andre\Desktop\REACTIV CEFAS\Fadrozole\Fadrozole/20201203_Cefas_Test8_Run3/Plate 1/@4/D4_01.tif </t>
  </si>
  <si>
    <t xml:space="preserve"> 5169.5448 </t>
  </si>
  <si>
    <t xml:space="preserve"> 35.9749 </t>
  </si>
  <si>
    <t xml:space="preserve">C:\Users\andre\Desktop\REACTIV CEFAS\Fadrozole\Fadrozole/20201203_Cefas_Test8_Run3/Plate 1/@4/D4_02.tif </t>
  </si>
  <si>
    <t xml:space="preserve"> 33.6459 </t>
  </si>
  <si>
    <t xml:space="preserve">C:\Users\andre\Desktop\REACTIV CEFAS\Fadrozole\Fadrozole/20201203_Cefas_Test8_Run3/Plate 1/@4/D4_03.tif </t>
  </si>
  <si>
    <t xml:space="preserve"> 7116.2353 </t>
  </si>
  <si>
    <t xml:space="preserve"> 33.2918 </t>
  </si>
  <si>
    <t xml:space="preserve">C:\Users\andre\Desktop\REACTIV CEFAS\Fadrozole\Fadrozole/20201203_Cefas_Test8_Run3/Plate 1/@4/E4_01.tif </t>
  </si>
  <si>
    <t xml:space="preserve"> 8067.9507 </t>
  </si>
  <si>
    <t xml:space="preserve"> 37.9115 </t>
  </si>
  <si>
    <t xml:space="preserve">C:\Users\andre\Desktop\REACTIV CEFAS\Fadrozole\Fadrozole/20201203_Cefas_Test8_Run3/Plate 1/@4/E4_02.tif </t>
  </si>
  <si>
    <t xml:space="preserve"> 2595.5874 </t>
  </si>
  <si>
    <t xml:space="preserve"> 33.3417 </t>
  </si>
  <si>
    <t xml:space="preserve">C:\Users\andre\Desktop\REACTIV CEFAS\Fadrozole\Fadrozole/20201203_Cefas_Test8_Run3/Plate 1/@4/E4_03.tif </t>
  </si>
  <si>
    <t xml:space="preserve"> 3698.712 </t>
  </si>
  <si>
    <t xml:space="preserve"> 33.8655 </t>
  </si>
  <si>
    <t xml:space="preserve">C:\Users\andre\Desktop\REACTIV CEFAS\Fadrozole\Fadrozole/20201203_Cefas_Test8_Run3/Plate 1/@4/F4_01.tif </t>
  </si>
  <si>
    <t xml:space="preserve"> 48948.4515 </t>
  </si>
  <si>
    <t xml:space="preserve"> 37.0866 </t>
  </si>
  <si>
    <t xml:space="preserve">C:\Users\andre\Desktop\REACTIV CEFAS\Fadrozole\Fadrozole/20201203_Cefas_Test8_Run3/Plate 1/@4/F4_02.tif </t>
  </si>
  <si>
    <t xml:space="preserve"> 45292.9994 </t>
  </si>
  <si>
    <t xml:space="preserve"> 36.1662 </t>
  </si>
  <si>
    <t xml:space="preserve">C:\Users\andre\Desktop\REACTIV CEFAS\Fadrozole\Fadrozole/20201203_Cefas_Test8_Run3/Plate 1/@4/F4_03.tif </t>
  </si>
  <si>
    <t xml:space="preserve"> 37.1399 </t>
  </si>
  <si>
    <t xml:space="preserve">C:\Users\andre\Desktop\REACTIV CEFAS\Fadrozole\Fadrozole/20201203_Cefas_Test8_Run3/Plate 1/@4/G4_01.tif </t>
  </si>
  <si>
    <t xml:space="preserve"> 34.5625 </t>
  </si>
  <si>
    <t xml:space="preserve">C:\Users\andre\Desktop\REACTIV CEFAS\Fadrozole\Fadrozole/20201203_Cefas_Test8_Run3/Plate 1/@4/G4_02.tif </t>
  </si>
  <si>
    <t xml:space="preserve"> 31.4265 </t>
  </si>
  <si>
    <t xml:space="preserve">C:\Users\andre\Desktop\REACTIV CEFAS\Fadrozole\Fadrozole/20201203_Cefas_Test8_Run3/Plate 1/@4/G4_03.tif </t>
  </si>
  <si>
    <t xml:space="preserve"> 35.2154 </t>
  </si>
  <si>
    <t xml:space="preserve">C:\Users\andre\Desktop\REACTIV CEFAS\Fadrozole\Fadrozole/20201203_Cefas_Test8_Run3/Plate 1/@4/H4_01.tif </t>
  </si>
  <si>
    <t xml:space="preserve"> 10425.6092 </t>
  </si>
  <si>
    <t xml:space="preserve"> 33.8527 </t>
  </si>
  <si>
    <t xml:space="preserve">C:\Users\andre\Desktop\REACTIV CEFAS\Fadrozole\Fadrozole/20201203_Cefas_Test8_Run3/Plate 1/@4/H4_02.tif </t>
  </si>
  <si>
    <t xml:space="preserve"> 17217.3961 </t>
  </si>
  <si>
    <t xml:space="preserve"> 34.7776 </t>
  </si>
  <si>
    <t xml:space="preserve">C:\Users\andre\Desktop\REACTIV CEFAS\Fadrozole\Fadrozole/20201203_Cefas_Test8_Run3/Plate 1/@4/H4_03.tif </t>
  </si>
  <si>
    <t xml:space="preserve"> 10966.3566 </t>
  </si>
  <si>
    <t xml:space="preserve"> 33.5523 </t>
  </si>
  <si>
    <t xml:space="preserve">C:\Users\andre\Desktop\REACTIV CEFAS\Fadrozole\Fadrozole/20201203_Cefas_Test8_Run3/Plate 1/@4/ </t>
  </si>
  <si>
    <t xml:space="preserve"> 34.3718 </t>
  </si>
  <si>
    <t xml:space="preserve"> 1.6867 </t>
  </si>
  <si>
    <t xml:space="preserve"> 462161.458 </t>
  </si>
  <si>
    <t xml:space="preserve"> 527022.614 </t>
  </si>
  <si>
    <t xml:space="preserve">C:\Users\andre\Desktop\REACTIV CEFAS\Fadrozole\Fadrozole/20201203_Cefas_Test8_Run3/Plate 1/@5/A5_01.tif </t>
  </si>
  <si>
    <t xml:space="preserve"> 52192.9357 </t>
  </si>
  <si>
    <t xml:space="preserve"> 38.5446 </t>
  </si>
  <si>
    <t xml:space="preserve">C:\Users\andre\Desktop\REACTIV CEFAS\Fadrozole\Fadrozole/20201203_Cefas_Test8_Run3/Plate 1/@5/A5_02.tif </t>
  </si>
  <si>
    <t xml:space="preserve"> 40.7248 </t>
  </si>
  <si>
    <t xml:space="preserve">C:\Users\andre\Desktop\REACTIV CEFAS\Fadrozole\Fadrozole/20201203_Cefas_Test8_Run3/Plate 1/@5/A5_03.tif </t>
  </si>
  <si>
    <t xml:space="preserve"> 53836.8077 </t>
  </si>
  <si>
    <t xml:space="preserve"> 43.4166 </t>
  </si>
  <si>
    <t xml:space="preserve">C:\Users\andre\Desktop\REACTIV CEFAS\Fadrozole\Fadrozole/20201203_Cefas_Test8_Run3/Plate 1/@5/B5_01.tif </t>
  </si>
  <si>
    <t xml:space="preserve"> 13410.5347 </t>
  </si>
  <si>
    <t xml:space="preserve"> 33.5355 </t>
  </si>
  <si>
    <t xml:space="preserve">C:\Users\andre\Desktop\REACTIV CEFAS\Fadrozole\Fadrozole/20201203_Cefas_Test8_Run3/Plate 1/@5/B5_02.tif </t>
  </si>
  <si>
    <t xml:space="preserve"> 11550.3637 </t>
  </si>
  <si>
    <t xml:space="preserve"> 32.4888 </t>
  </si>
  <si>
    <t xml:space="preserve">C:\Users\andre\Desktop\REACTIV CEFAS\Fadrozole\Fadrozole/20201203_Cefas_Test8_Run3/Plate 1/@5/B5_03.tif </t>
  </si>
  <si>
    <t xml:space="preserve"> 13345.645 </t>
  </si>
  <si>
    <t xml:space="preserve"> 33.2998 </t>
  </si>
  <si>
    <t xml:space="preserve">C:\Users\andre\Desktop\REACTIV CEFAS\Fadrozole\Fadrozole/20201203_Cefas_Test8_Run3/Plate 1/@5/C5_01.tif </t>
  </si>
  <si>
    <t xml:space="preserve"> 38998.7 </t>
  </si>
  <si>
    <t xml:space="preserve"> 36.178 </t>
  </si>
  <si>
    <t xml:space="preserve">C:\Users\andre\Desktop\REACTIV CEFAS\Fadrozole\Fadrozole/20201203_Cefas_Test8_Run3/Plate 1/@5/C5_02.tif </t>
  </si>
  <si>
    <t xml:space="preserve"> 35170.2087 </t>
  </si>
  <si>
    <t xml:space="preserve"> 35.8659 </t>
  </si>
  <si>
    <t xml:space="preserve">C:\Users\andre\Desktop\REACTIV CEFAS\Fadrozole\Fadrozole/20201203_Cefas_Test8_Run3/Plate 1/@5/C5_03.tif </t>
  </si>
  <si>
    <t xml:space="preserve"> 43432.8284 </t>
  </si>
  <si>
    <t xml:space="preserve"> 38.3889 </t>
  </si>
  <si>
    <t xml:space="preserve">C:\Users\andre\Desktop\REACTIV CEFAS\Fadrozole\Fadrozole/20201203_Cefas_Test8_Run3/Plate 1/@5/D5_01.tif </t>
  </si>
  <si>
    <t xml:space="preserve"> 63656.7799 </t>
  </si>
  <si>
    <t xml:space="preserve"> 47.6184 </t>
  </si>
  <si>
    <t xml:space="preserve">C:\Users\andre\Desktop\REACTIV CEFAS\Fadrozole\Fadrozole/20201203_Cefas_Test8_Run3/Plate 1/@5/D5_02.tif </t>
  </si>
  <si>
    <t xml:space="preserve"> 70362.0472 </t>
  </si>
  <si>
    <t xml:space="preserve"> 46.7608 </t>
  </si>
  <si>
    <t xml:space="preserve">C:\Users\andre\Desktop\REACTIV CEFAS\Fadrozole\Fadrozole/20201203_Cefas_Test8_Run3/Plate 1/@5/D5_03.tif </t>
  </si>
  <si>
    <t xml:space="preserve"> 70491.8266 </t>
  </si>
  <si>
    <t xml:space="preserve"> 47.8487 </t>
  </si>
  <si>
    <t xml:space="preserve">C:\Users\andre\Desktop\REACTIV CEFAS\Fadrozole\Fadrozole/20201203_Cefas_Test8_Run3/Plate 1/@5/E5_01.tif </t>
  </si>
  <si>
    <t xml:space="preserve"> 29827.6247 </t>
  </si>
  <si>
    <t xml:space="preserve"> 35.5874 </t>
  </si>
  <si>
    <t xml:space="preserve">C:\Users\andre\Desktop\REACTIV CEFAS\Fadrozole\Fadrozole/20201203_Cefas_Test8_Run3/Plate 1/@5/E5_02.tif </t>
  </si>
  <si>
    <t xml:space="preserve"> 34283.383 </t>
  </si>
  <si>
    <t xml:space="preserve"> 37.3155 </t>
  </si>
  <si>
    <t xml:space="preserve">C:\Users\andre\Desktop\REACTIV CEFAS\Fadrozole\Fadrozole/20201203_Cefas_Test8_Run3/Plate 1/@5/E5_03.tif </t>
  </si>
  <si>
    <t xml:space="preserve"> 42351.3337 </t>
  </si>
  <si>
    <t xml:space="preserve"> 37.1103 </t>
  </si>
  <si>
    <t xml:space="preserve">C:\Users\andre\Desktop\REACTIV CEFAS\Fadrozole\Fadrozole/20201203_Cefas_Test8_Run3/Plate 1/@5/F5_01.tif </t>
  </si>
  <si>
    <t xml:space="preserve"> 42.1723 </t>
  </si>
  <si>
    <t xml:space="preserve">C:\Users\andre\Desktop\REACTIV CEFAS\Fadrozole\Fadrozole/20201203_Cefas_Test8_Run3/Plate 1/@5/F5_02.tif </t>
  </si>
  <si>
    <t xml:space="preserve"> 45660.7076 </t>
  </si>
  <si>
    <t xml:space="preserve"> 39.6774 </t>
  </si>
  <si>
    <t xml:space="preserve">C:\Users\andre\Desktop\REACTIV CEFAS\Fadrozole\Fadrozole/20201203_Cefas_Test8_Run3/Plate 1/@5/F5_03.tif </t>
  </si>
  <si>
    <t xml:space="preserve"> 46114.9353 </t>
  </si>
  <si>
    <t xml:space="preserve"> 38.6454 </t>
  </si>
  <si>
    <t xml:space="preserve">C:\Users\andre\Desktop\REACTIV CEFAS\Fadrozole\Fadrozole/20201203_Cefas_Test8_Run3/Plate 1/@5/G5_01.tif </t>
  </si>
  <si>
    <t xml:space="preserve"> 32.8684 </t>
  </si>
  <si>
    <t xml:space="preserve">C:\Users\andre\Desktop\REACTIV CEFAS\Fadrozole\Fadrozole/20201203_Cefas_Test8_Run3/Plate 1/@5/G5_02.tif </t>
  </si>
  <si>
    <t xml:space="preserve"> 11853.1823 </t>
  </si>
  <si>
    <t xml:space="preserve"> 33.1113 </t>
  </si>
  <si>
    <t xml:space="preserve">C:\Users\andre\Desktop\REACTIV CEFAS\Fadrozole\Fadrozole/20201203_Cefas_Test8_Run3/Plate 1/@5/G5_03.tif </t>
  </si>
  <si>
    <t xml:space="preserve"> 5277.6943 </t>
  </si>
  <si>
    <t xml:space="preserve"> 32.9016 </t>
  </si>
  <si>
    <t xml:space="preserve">C:\Users\andre\Desktop\REACTIV CEFAS\Fadrozole\Fadrozole/20201203_Cefas_Test8_Run3/Plate 1/@5/H5_01.tif </t>
  </si>
  <si>
    <t xml:space="preserve"> 32531.3615 </t>
  </si>
  <si>
    <t xml:space="preserve"> 39.1257 </t>
  </si>
  <si>
    <t xml:space="preserve">C:\Users\andre\Desktop\REACTIV CEFAS\Fadrozole\Fadrozole/20201203_Cefas_Test8_Run3/Plate 1/@5/H5_02.tif </t>
  </si>
  <si>
    <t xml:space="preserve"> 28075.6032 </t>
  </si>
  <si>
    <t xml:space="preserve"> 37.3259 </t>
  </si>
  <si>
    <t xml:space="preserve">C:\Users\andre\Desktop\REACTIV CEFAS\Fadrozole\Fadrozole/20201203_Cefas_Test8_Run3/Plate 1/@5/H5_03.tif </t>
  </si>
  <si>
    <t xml:space="preserve"> 28724.5001 </t>
  </si>
  <si>
    <t xml:space="preserve"> 38.4413 </t>
  </si>
  <si>
    <t xml:space="preserve">C:\Users\andre\Desktop\REACTIV CEFAS\Fadrozole\Fadrozole/20201203_Cefas_Test8_Run3/Plate 1/@5/ </t>
  </si>
  <si>
    <t xml:space="preserve"> 38.2897 </t>
  </si>
  <si>
    <t xml:space="preserve"> 4.6043 </t>
  </si>
  <si>
    <t xml:space="preserve"> 1480722.08 </t>
  </si>
  <si>
    <t xml:space="preserve"> 931316.692 </t>
  </si>
  <si>
    <t>C:\Users\andre\Desktop\REACTIV CEFAS\Fadrozole\Fadrozole/20201203_Cefas_Test8_Run3/Plate 1/@6/A6_01- exclu.tif</t>
  </si>
  <si>
    <t>C:\Users\andre\Desktop\REACTIV CEFAS\Fadrozole\Fadrozole/20201203_Cefas_Test8_Run3/Plate 1/@6/A6_02- exclu.tif</t>
  </si>
  <si>
    <t>C:\Users\andre\Desktop\REACTIV CEFAS\Fadrozole\Fadrozole/20201203_Cefas_Test8_Run3/Plate 1/@6/A6_03- exclu.tif</t>
  </si>
  <si>
    <t xml:space="preserve">C:\Users\andre\Desktop\REACTIV CEFAS\Fadrozole\Fadrozole/20201203_Cefas_Test8_Run3/Plate 1/@6/B6_01.tif </t>
  </si>
  <si>
    <t xml:space="preserve"> 49921.7968 </t>
  </si>
  <si>
    <t xml:space="preserve"> 43.8544 </t>
  </si>
  <si>
    <t xml:space="preserve">C:\Users\andre\Desktop\REACTIV CEFAS\Fadrozole\Fadrozole/20201203_Cefas_Test8_Run3/Plate 1/@6/B6_02.tif </t>
  </si>
  <si>
    <t xml:space="preserve"> 49078.2309 </t>
  </si>
  <si>
    <t xml:space="preserve"> 44.3795 </t>
  </si>
  <si>
    <t xml:space="preserve">C:\Users\andre\Desktop\REACTIV CEFAS\Fadrozole\Fadrozole/20201203_Cefas_Test8_Run3/Plate 1/@6/B6_03.tif </t>
  </si>
  <si>
    <t xml:space="preserve"> 48429.3341 </t>
  </si>
  <si>
    <t xml:space="preserve"> 41.7517 </t>
  </si>
  <si>
    <t xml:space="preserve">C:\Users\andre\Desktop\REACTIV CEFAS\Fadrozole\Fadrozole/20201203_Cefas_Test8_Run3/Plate 1/@6/C6_01.tif </t>
  </si>
  <si>
    <t xml:space="preserve"> 69085.8834 </t>
  </si>
  <si>
    <t xml:space="preserve"> 42.5914 </t>
  </si>
  <si>
    <t xml:space="preserve">C:\Users\andre\Desktop\REACTIV CEFAS\Fadrozole\Fadrozole/20201203_Cefas_Test8_Run3/Plate 1/@6/C6_02.tif </t>
  </si>
  <si>
    <t xml:space="preserve"> 50981.6616 </t>
  </si>
  <si>
    <t xml:space="preserve"> 41.1039 </t>
  </si>
  <si>
    <t xml:space="preserve">C:\Users\andre\Desktop\REACTIV CEFAS\Fadrozole\Fadrozole/20201203_Cefas_Test8_Run3/Plate 1/@6/C6_03.tif </t>
  </si>
  <si>
    <t xml:space="preserve"> 63678.4098 </t>
  </si>
  <si>
    <t xml:space="preserve"> 43.5428 </t>
  </si>
  <si>
    <t xml:space="preserve">C:\Users\andre\Desktop\REACTIV CEFAS\Fadrozole\Fadrozole/20201203_Cefas_Test8_Run3/Plate 1/@6/D6_01.tif </t>
  </si>
  <si>
    <t xml:space="preserve"> 46698.9425 </t>
  </si>
  <si>
    <t xml:space="preserve"> 41.1149 </t>
  </si>
  <si>
    <t xml:space="preserve">C:\Users\andre\Desktop\REACTIV CEFAS\Fadrozole\Fadrozole/20201203_Cefas_Test8_Run3/Plate 1/@6/D6_02.tif </t>
  </si>
  <si>
    <t xml:space="preserve"> 40145.0844 </t>
  </si>
  <si>
    <t xml:space="preserve"> 39.2247 </t>
  </si>
  <si>
    <t xml:space="preserve">C:\Users\andre\Desktop\REACTIV CEFAS\Fadrozole\Fadrozole/20201203_Cefas_Test8_Run3/Plate 1/@6/D6_03.tif </t>
  </si>
  <si>
    <t xml:space="preserve"> 40512.7926 </t>
  </si>
  <si>
    <t xml:space="preserve"> 37.8484 </t>
  </si>
  <si>
    <t xml:space="preserve">C:\Users\andre\Desktop\REACTIV CEFAS\Fadrozole\Fadrozole/20201203_Cefas_Test8_Run3/Plate 1/@6/E6_01.tif </t>
  </si>
  <si>
    <t xml:space="preserve"> 58443.9753 </t>
  </si>
  <si>
    <t xml:space="preserve"> 37.9915 </t>
  </si>
  <si>
    <t xml:space="preserve">C:\Users\andre\Desktop\REACTIV CEFAS\Fadrozole\Fadrozole/20201203_Cefas_Test8_Run3/Plate 1/@6/E6_02.tif </t>
  </si>
  <si>
    <t xml:space="preserve"> 68718.1752 </t>
  </si>
  <si>
    <t xml:space="preserve"> 40.7044 </t>
  </si>
  <si>
    <t xml:space="preserve">C:\Users\andre\Desktop\REACTIV CEFAS\Fadrozole\Fadrozole/20201203_Cefas_Test8_Run3/Plate 1/@6/E6_03.tif </t>
  </si>
  <si>
    <t xml:space="preserve"> 69280.5525 </t>
  </si>
  <si>
    <t xml:space="preserve"> 40.4889 </t>
  </si>
  <si>
    <t xml:space="preserve">C:\Users\andre\Desktop\REACTIV CEFAS\Fadrozole\Fadrozole/20201203_Cefas_Test8_Run3/Plate 1/@6/F6_01.tif </t>
  </si>
  <si>
    <t xml:space="preserve"> 48039.996 </t>
  </si>
  <si>
    <t xml:space="preserve"> 40.8685 </t>
  </si>
  <si>
    <t>C:\Users\andre\Desktop\REACTIV CEFAS\Fadrozole\Fadrozole/20201203_Cefas_Test8_Run3/Plate 1/@6/F6_02- exclu.tif</t>
  </si>
  <si>
    <t>C:\Users\andre\Desktop\REACTIV CEFAS\Fadrozole\Fadrozole/20201203_Cefas_Test8_Run3/Plate 1/@6/F6_03- exclu.tif</t>
  </si>
  <si>
    <t xml:space="preserve">C:\Users\andre\Desktop\REACTIV CEFAS\Fadrozole\Fadrozole/20201203_Cefas_Test8_Run3/Plate 1/@6/G6_01.tif </t>
  </si>
  <si>
    <t xml:space="preserve"> 43.8862 </t>
  </si>
  <si>
    <t xml:space="preserve">C:\Users\andre\Desktop\REACTIV CEFAS\Fadrozole\Fadrozole/20201203_Cefas_Test8_Run3/Plate 1/@6/G6_02.tif </t>
  </si>
  <si>
    <t xml:space="preserve"> 59287.5412 </t>
  </si>
  <si>
    <t xml:space="preserve"> 43.9146 </t>
  </si>
  <si>
    <t xml:space="preserve">C:\Users\andre\Desktop\REACTIV CEFAS\Fadrozole\Fadrozole/20201203_Cefas_Test8_Run3/Plate 1/@6/G6_03.tif </t>
  </si>
  <si>
    <t xml:space="preserve"> 64846.4241 </t>
  </si>
  <si>
    <t xml:space="preserve"> 45.1618 </t>
  </si>
  <si>
    <t xml:space="preserve">C:\Users\andre\Desktop\REACTIV CEFAS\Fadrozole\Fadrozole/20201203_Cefas_Test8_Run3/Plate 1/@6/H6_01.tif </t>
  </si>
  <si>
    <t xml:space="preserve"> 68328.8371 </t>
  </si>
  <si>
    <t xml:space="preserve"> 49.4517 </t>
  </si>
  <si>
    <t xml:space="preserve">C:\Users\andre\Desktop\REACTIV CEFAS\Fadrozole\Fadrozole/20201203_Cefas_Test8_Run3/Plate 1/@6/H6_02.tif </t>
  </si>
  <si>
    <t xml:space="preserve"> 70708.1255 </t>
  </si>
  <si>
    <t xml:space="preserve"> 52.1661 </t>
  </si>
  <si>
    <t xml:space="preserve">C:\Users\andre\Desktop\REACTIV CEFAS\Fadrozole\Fadrozole/20201203_Cefas_Test8_Run3/Plate 1/@6/H6_03.tif </t>
  </si>
  <si>
    <t xml:space="preserve"> 67636.6805 </t>
  </si>
  <si>
    <t xml:space="preserve"> 50.6936 </t>
  </si>
  <si>
    <t xml:space="preserve">C:\Users\andre\Desktop\REACTIV CEFAS\Fadrozole\Fadrozole/20201203_Cefas_Test8_Run3/Plate 1/@6/ </t>
  </si>
  <si>
    <t xml:space="preserve"> 36.9639 </t>
  </si>
  <si>
    <t xml:space="preserve"> 14.9929 </t>
  </si>
  <si>
    <t xml:space="preserve"> 1990627.17 </t>
  </si>
  <si>
    <t xml:space="preserve"> 1143424.6 </t>
  </si>
  <si>
    <t xml:space="preserve">C:\Users\andre\Desktop\REACTIV CEFAS\Fadrozole\Fadrozole/20201203_Cefas_Test8_Run3/Plate 1/@7/A7_01.tif </t>
  </si>
  <si>
    <t xml:space="preserve"> 48.2559 </t>
  </si>
  <si>
    <t xml:space="preserve">C:\Users\andre\Desktop\REACTIV CEFAS\Fadrozole\Fadrozole/20201203_Cefas_Test8_Run3/Plate 1/@7/A7_02.tif </t>
  </si>
  <si>
    <t xml:space="preserve"> 69778.0401 </t>
  </si>
  <si>
    <t xml:space="preserve"> 52.4709 </t>
  </si>
  <si>
    <t xml:space="preserve">C:\Users\andre\Desktop\REACTIV CEFAS\Fadrozole\Fadrozole/20201203_Cefas_Test8_Run3/Plate 1/@7/A7_03.tif </t>
  </si>
  <si>
    <t xml:space="preserve"> 64630.1252 </t>
  </si>
  <si>
    <t xml:space="preserve"> 51.2784 </t>
  </si>
  <si>
    <t xml:space="preserve">C:\Users\andre\Desktop\REACTIV CEFAS\Fadrozole\Fadrozole/20201203_Cefas_Test8_Run3/Plate 1/@7/B7_01.tif </t>
  </si>
  <si>
    <t xml:space="preserve"> 63397.2212 </t>
  </si>
  <si>
    <t xml:space="preserve"> 50.6977 </t>
  </si>
  <si>
    <t xml:space="preserve">C:\Users\andre\Desktop\REACTIV CEFAS\Fadrozole\Fadrozole/20201203_Cefas_Test8_Run3/Plate 1/@7/B7_02.tif </t>
  </si>
  <si>
    <t xml:space="preserve"> 72676.446 </t>
  </si>
  <si>
    <t xml:space="preserve"> 53.847 </t>
  </si>
  <si>
    <t xml:space="preserve">C:\Users\andre\Desktop\REACTIV CEFAS\Fadrozole\Fadrozole/20201203_Cefas_Test8_Run3/Plate 1/@7/B7_03.tif </t>
  </si>
  <si>
    <t xml:space="preserve"> 50.2821 </t>
  </si>
  <si>
    <t>C:\Users\andre\Desktop\REACTIV CEFAS\Fadrozole\Fadrozole/20201203_Cefas_Test8_Run3/Plate 1/@7/C7_01- exclu.tif</t>
  </si>
  <si>
    <t>C:\Users\andre\Desktop\REACTIV CEFAS\Fadrozole\Fadrozole/20201203_Cefas_Test8_Run3/Plate 1/@7/C7_02- exclu.tif</t>
  </si>
  <si>
    <t>C:\Users\andre\Desktop\REACTIV CEFAS\Fadrozole\Fadrozole/20201203_Cefas_Test8_Run3/Plate 1/@7/C7_03- exclu.tif</t>
  </si>
  <si>
    <t xml:space="preserve">C:\Users\andre\Desktop\REACTIV CEFAS\Fadrozole\Fadrozole/20201203_Cefas_Test8_Run3/Plate 1/@7/D7_01.tif </t>
  </si>
  <si>
    <t xml:space="preserve"> 103109.708 </t>
  </si>
  <si>
    <t xml:space="preserve"> 56.1091 </t>
  </si>
  <si>
    <t xml:space="preserve">C:\Users\andre\Desktop\REACTIV CEFAS\Fadrozole\Fadrozole/20201203_Cefas_Test8_Run3/Plate 1/@7/D7_02.tif </t>
  </si>
  <si>
    <t xml:space="preserve"> 95258.0559 </t>
  </si>
  <si>
    <t xml:space="preserve"> 52.2448 </t>
  </si>
  <si>
    <t xml:space="preserve">C:\Users\andre\Desktop\REACTIV CEFAS\Fadrozole\Fadrozole/20201203_Cefas_Test8_Run3/Plate 1/@7/D7_03.tif </t>
  </si>
  <si>
    <t xml:space="preserve"> 94003.5221 </t>
  </si>
  <si>
    <t xml:space="preserve"> 54.488 </t>
  </si>
  <si>
    <t xml:space="preserve">C:\Users\andre\Desktop\REACTIV CEFAS\Fadrozole\Fadrozole/20201203_Cefas_Test8_Run3/Plate 1/@7/E7_01.tif </t>
  </si>
  <si>
    <t xml:space="preserve"> 65452.0611 </t>
  </si>
  <si>
    <t xml:space="preserve"> 56.2445 </t>
  </si>
  <si>
    <t>C:\Users\andre\Desktop\REACTIV CEFAS\Fadrozole\Fadrozole/20201203_Cefas_Test8_Run3/Plate 1/@7/E7_02- exclu.tif</t>
  </si>
  <si>
    <t>C:\Users\andre\Desktop\REACTIV CEFAS\Fadrozole\Fadrozole/20201203_Cefas_Test8_Run3/Plate 1/@7/E7_03- exclu.tif</t>
  </si>
  <si>
    <t xml:space="preserve">C:\Users\andre\Desktop\REACTIV CEFAS\Fadrozole\Fadrozole/20201203_Cefas_Test8_Run3/Plate 1/@7/F7_01.tif </t>
  </si>
  <si>
    <t xml:space="preserve"> 96772.1486 </t>
  </si>
  <si>
    <t xml:space="preserve"> 53.5255 </t>
  </si>
  <si>
    <t xml:space="preserve">C:\Users\andre\Desktop\REACTIV CEFAS\Fadrozole\Fadrozole/20201203_Cefas_Test8_Run3/Plate 1/@7/F7_02.tif </t>
  </si>
  <si>
    <t xml:space="preserve"> 91537.7141 </t>
  </si>
  <si>
    <t xml:space="preserve"> 52.8774 </t>
  </si>
  <si>
    <t xml:space="preserve">C:\Users\andre\Desktop\REACTIV CEFAS\Fadrozole\Fadrozole/20201203_Cefas_Test8_Run3/Plate 1/@7/F7_03.tif </t>
  </si>
  <si>
    <t xml:space="preserve"> 95733.9136 </t>
  </si>
  <si>
    <t xml:space="preserve"> 57.8681 </t>
  </si>
  <si>
    <t xml:space="preserve">C:\Users\andre\Desktop\REACTIV CEFAS\Fadrozole\Fadrozole/20201203_Cefas_Test8_Run3/Plate 1/@7/G7_01.tif </t>
  </si>
  <si>
    <t xml:space="preserve"> 85676.0126 </t>
  </si>
  <si>
    <t xml:space="preserve"> 51.7251 </t>
  </si>
  <si>
    <t xml:space="preserve">C:\Users\andre\Desktop\REACTIV CEFAS\Fadrozole\Fadrozole/20201203_Cefas_Test8_Run3/Plate 1/@7/G7_02.tif </t>
  </si>
  <si>
    <t xml:space="preserve"> 83426.5036 </t>
  </si>
  <si>
    <t xml:space="preserve"> 53.8652 </t>
  </si>
  <si>
    <t xml:space="preserve">C:\Users\andre\Desktop\REACTIV CEFAS\Fadrozole\Fadrozole/20201203_Cefas_Test8_Run3/Plate 1/@7/G7_03.tif </t>
  </si>
  <si>
    <t xml:space="preserve"> 97507.565 </t>
  </si>
  <si>
    <t xml:space="preserve"> 53.7695 </t>
  </si>
  <si>
    <t xml:space="preserve">C:\Users\andre\Desktop\REACTIV CEFAS\Fadrozole\Fadrozole/20201203_Cefas_Test8_Run3/Plate 1/@7/H7_01.tif </t>
  </si>
  <si>
    <t xml:space="preserve"> 85762.5322 </t>
  </si>
  <si>
    <t xml:space="preserve"> 55.4207 </t>
  </si>
  <si>
    <t xml:space="preserve">C:\Users\andre\Desktop\REACTIV CEFAS\Fadrozole\Fadrozole/20201203_Cefas_Test8_Run3/Plate 1/@7/H7_02.tif </t>
  </si>
  <si>
    <t xml:space="preserve"> 88531.1587 </t>
  </si>
  <si>
    <t xml:space="preserve"> 55.0667 </t>
  </si>
  <si>
    <t xml:space="preserve">C:\Users\andre\Desktop\REACTIV CEFAS\Fadrozole\Fadrozole/20201203_Cefas_Test8_Run3/Plate 1/@7/H7_03.tif </t>
  </si>
  <si>
    <t xml:space="preserve"> 88898.8669 </t>
  </si>
  <si>
    <t xml:space="preserve"> 55.0056 </t>
  </si>
  <si>
    <t xml:space="preserve">C:\Users\andre\Desktop\REACTIV CEFAS\Fadrozole\Fadrozole/20201203_Cefas_Test8_Run3/Plate 1/@7/ </t>
  </si>
  <si>
    <t xml:space="preserve"> 53.4539 </t>
  </si>
  <si>
    <t xml:space="preserve"> 2.2937 </t>
  </si>
  <si>
    <t xml:space="preserve"> 4187836.92 </t>
  </si>
  <si>
    <t xml:space="preserve"> 909734.53 </t>
  </si>
  <si>
    <t>C:\Users\andre\Desktop\REACTIV CEFAS\Fadrozole\Fadrozole/20201203_Cefas_Test8_Run3/Plate 5/@10/A4_01- exclu.tif</t>
  </si>
  <si>
    <t>C:\Users\andre\Desktop\REACTIV CEFAS\Fadrozole\Fadrozole/20201203_Cefas_Test8_Run3/Plate 5/@10/A4_02- exclu.tif</t>
  </si>
  <si>
    <t>C:\Users\andre\Desktop\REACTIV CEFAS\Fadrozole\Fadrozole/20201203_Cefas_Test8_Run3/Plate 5/@10/A4_03- exclu.tif</t>
  </si>
  <si>
    <t xml:space="preserve">C:\Users\andre\Desktop\REACTIV CEFAS\Fadrozole\Fadrozole/20201203_Cefas_Test8_Run3/Plate 5/@10/B4_01.tif </t>
  </si>
  <si>
    <t xml:space="preserve"> 1773.6514 </t>
  </si>
  <si>
    <t xml:space="preserve"> 34.8049 </t>
  </si>
  <si>
    <t xml:space="preserve">C:\Users\andre\Desktop\REACTIV CEFAS\Fadrozole\Fadrozole/20201203_Cefas_Test8_Run3/Plate 5/@10/B4_02.tif </t>
  </si>
  <si>
    <t xml:space="preserve">C:\Users\andre\Desktop\REACTIV CEFAS\Fadrozole\Fadrozole/20201203_Cefas_Test8_Run3/Plate 5/@10/B4_03.tif </t>
  </si>
  <si>
    <t xml:space="preserve"> 34.1517 </t>
  </si>
  <si>
    <t xml:space="preserve">C:\Users\andre\Desktop\REACTIV CEFAS\Fadrozole\Fadrozole/20201203_Cefas_Test8_Run3/Plate 5/@10/C4_01.tif </t>
  </si>
  <si>
    <t xml:space="preserve"> 37.1229 </t>
  </si>
  <si>
    <t xml:space="preserve">C:\Users\andre\Desktop\REACTIV CEFAS\Fadrozole\Fadrozole/20201203_Cefas_Test8_Run3/Plate 5/@10/C4_02.tif </t>
  </si>
  <si>
    <t xml:space="preserve"> 33.3952 </t>
  </si>
  <si>
    <t xml:space="preserve">C:\Users\andre\Desktop\REACTIV CEFAS\Fadrozole\Fadrozole/20201203_Cefas_Test8_Run3/Plate 5/@10/C4_03.tif </t>
  </si>
  <si>
    <t xml:space="preserve"> 34.7156 </t>
  </si>
  <si>
    <t xml:space="preserve">C:\Users\andre\Desktop\REACTIV CEFAS\Fadrozole\Fadrozole/20201203_Cefas_Test8_Run3/Plate 5/@10/D4_01.tif </t>
  </si>
  <si>
    <t xml:space="preserve"> 38.1815 </t>
  </si>
  <si>
    <t xml:space="preserve">C:\Users\andre\Desktop\REACTIV CEFAS\Fadrozole\Fadrozole/20201203_Cefas_Test8_Run3/Plate 5/@10/D4_02.tif </t>
  </si>
  <si>
    <t xml:space="preserve"> 7289.2745 </t>
  </si>
  <si>
    <t xml:space="preserve"> 41.724 </t>
  </si>
  <si>
    <t xml:space="preserve">C:\Users\andre\Desktop\REACTIV CEFAS\Fadrozole\Fadrozole/20201203_Cefas_Test8_Run3/Plate 5/@10/D4_03.tif </t>
  </si>
  <si>
    <t xml:space="preserve"> 36.4061 </t>
  </si>
  <si>
    <t xml:space="preserve">C:\Users\andre\Desktop\REACTIV CEFAS\Fadrozole\Fadrozole/20201203_Cefas_Test8_Run3/Plate 5/@10/E4_01.tif </t>
  </si>
  <si>
    <t xml:space="preserve"> 36.2959 </t>
  </si>
  <si>
    <t>C:\Users\andre\Desktop\REACTIV CEFAS\Fadrozole\Fadrozole/20201203_Cefas_Test8_Run3/Plate 5/@10/E4_02- exclu.tif</t>
  </si>
  <si>
    <t>C:\Users\andre\Desktop\REACTIV CEFAS\Fadrozole\Fadrozole/20201203_Cefas_Test8_Run3/Plate 5/@10/E4_03- exclu.tif</t>
  </si>
  <si>
    <t xml:space="preserve">C:\Users\andre\Desktop\REACTIV CEFAS\Fadrozole\Fadrozole/20201203_Cefas_Test8_Run3/Plate 5/@10/F4_01.tif </t>
  </si>
  <si>
    <t xml:space="preserve"> 7094.6054 </t>
  </si>
  <si>
    <t xml:space="preserve"> 40.5305 </t>
  </si>
  <si>
    <t xml:space="preserve">C:\Users\andre\Desktop\REACTIV CEFAS\Fadrozole\Fadrozole/20201203_Cefas_Test8_Run3/Plate 5/@10/F4_02.tif </t>
  </si>
  <si>
    <t xml:space="preserve"> 8565.4383 </t>
  </si>
  <si>
    <t xml:space="preserve"> 41.6717 </t>
  </si>
  <si>
    <t xml:space="preserve">C:\Users\andre\Desktop\REACTIV CEFAS\Fadrozole\Fadrozole/20201203_Cefas_Test8_Run3/Plate 5/@10/F4_03.tif </t>
  </si>
  <si>
    <t xml:space="preserve"> 8781.7372 </t>
  </si>
  <si>
    <t xml:space="preserve"> 40.2365 </t>
  </si>
  <si>
    <t xml:space="preserve">C:\Users\andre\Desktop\REACTIV CEFAS\Fadrozole\Fadrozole/20201203_Cefas_Test8_Run3/Plate 5/@10/G4_01.tif </t>
  </si>
  <si>
    <t xml:space="preserve">C:\Users\andre\Desktop\REACTIV CEFAS\Fadrozole\Fadrozole/20201203_Cefas_Test8_Run3/Plate 5/@10/G4_02.tif </t>
  </si>
  <si>
    <t xml:space="preserve"> 43.7512 </t>
  </si>
  <si>
    <t xml:space="preserve">C:\Users\andre\Desktop\REACTIV CEFAS\Fadrozole\Fadrozole/20201203_Cefas_Test8_Run3/Plate 5/@10/G4_03.tif </t>
  </si>
  <si>
    <t xml:space="preserve"> 41.8717 </t>
  </si>
  <si>
    <t xml:space="preserve">C:\Users\andre\Desktop\REACTIV CEFAS\Fadrozole\Fadrozole/20201203_Cefas_Test8_Run3/Plate 5/@10/H4_01.tif </t>
  </si>
  <si>
    <t xml:space="preserve"> 38.2423 </t>
  </si>
  <si>
    <t>C:\Users\andre\Desktop\REACTIV CEFAS\Fadrozole\Fadrozole/20201203_Cefas_Test8_Run3/Plate 5/@10/H4_02- exclu.tif</t>
  </si>
  <si>
    <t xml:space="preserve">C:\Users\andre\Desktop\REACTIV CEFAS\Fadrozole\Fadrozole/20201203_Cefas_Test8_Run3/Plate 5/@10/H4_03.tif </t>
  </si>
  <si>
    <t xml:space="preserve"> 34.9031 </t>
  </si>
  <si>
    <t xml:space="preserve">C:\Users\andre\Desktop\REACTIV CEFAS\Fadrozole\Fadrozole/20201203_Cefas_Test8_Run3/Plate 5/@10/ </t>
  </si>
  <si>
    <t xml:space="preserve"> 40.452 </t>
  </si>
  <si>
    <t xml:space="preserve"> 8.2293 </t>
  </si>
  <si>
    <t xml:space="preserve"> 326414.042 </t>
  </si>
  <si>
    <t xml:space="preserve"> 288174.453 </t>
  </si>
  <si>
    <t xml:space="preserve">C:\Users\andre\Desktop\REACTIV CEFAS\Fadrozole\Fadrozole/20201203_Cefas_Test8_Run3/Plate 5/@11/A5_01.tif </t>
  </si>
  <si>
    <t xml:space="preserve"> 3266.1141 </t>
  </si>
  <si>
    <t xml:space="preserve"> 32.5828 </t>
  </si>
  <si>
    <t xml:space="preserve">C:\Users\andre\Desktop\REACTIV CEFAS\Fadrozole\Fadrozole/20201203_Cefas_Test8_Run3/Plate 5/@11/A5_02.tif </t>
  </si>
  <si>
    <t xml:space="preserve"> 33.8121 </t>
  </si>
  <si>
    <t xml:space="preserve">C:\Users\andre\Desktop\REACTIV CEFAS\Fadrozole\Fadrozole/20201203_Cefas_Test8_Run3/Plate 5/@11/A5_03.tif </t>
  </si>
  <si>
    <t xml:space="preserve"> 33.457 </t>
  </si>
  <si>
    <t xml:space="preserve">C:\Users\andre\Desktop\REACTIV CEFAS\Fadrozole\Fadrozole/20201203_Cefas_Test8_Run3/Plate 5/@11/B5_01.tif </t>
  </si>
  <si>
    <t xml:space="preserve"> 2054.84 </t>
  </si>
  <si>
    <t xml:space="preserve"> 32.1684 </t>
  </si>
  <si>
    <t xml:space="preserve">C:\Users\andre\Desktop\REACTIV CEFAS\Fadrozole\Fadrozole/20201203_Cefas_Test8_Run3/Plate 5/@11/B5_02.tif </t>
  </si>
  <si>
    <t xml:space="preserve"> 31.6909 </t>
  </si>
  <si>
    <t xml:space="preserve">C:\Users\andre\Desktop\REACTIV CEFAS\Fadrozole\Fadrozole/20201203_Cefas_Test8_Run3/Plate 5/@11/B5_03.tif </t>
  </si>
  <si>
    <t xml:space="preserve"> 475.8577 </t>
  </si>
  <si>
    <t xml:space="preserve"> 31.9545 </t>
  </si>
  <si>
    <t xml:space="preserve">C:\Users\andre\Desktop\REACTIV CEFAS\Fadrozole\Fadrozole/20201203_Cefas_Test8_Run3/Plate 5/@11/C5_01.tif </t>
  </si>
  <si>
    <t xml:space="preserve"> 41.3146 </t>
  </si>
  <si>
    <t xml:space="preserve">C:\Users\andre\Desktop\REACTIV CEFAS\Fadrozole\Fadrozole/20201203_Cefas_Test8_Run3/Plate 5/@11/C5_02.tif </t>
  </si>
  <si>
    <t xml:space="preserve"> 10793.3174 </t>
  </si>
  <si>
    <t xml:space="preserve"> 45.3908 </t>
  </si>
  <si>
    <t xml:space="preserve">C:\Users\andre\Desktop\REACTIV CEFAS\Fadrozole\Fadrozole/20201203_Cefas_Test8_Run3/Plate 5/@11/C5_03.tif </t>
  </si>
  <si>
    <t xml:space="preserve"> 12480.4492 </t>
  </si>
  <si>
    <t xml:space="preserve"> 39.9983 </t>
  </si>
  <si>
    <t xml:space="preserve">C:\Users\andre\Desktop\REACTIV CEFAS\Fadrozole\Fadrozole/20201203_Cefas_Test8_Run3/Plate 5/@11/D5_01.tif </t>
  </si>
  <si>
    <t xml:space="preserve"> 1276.1638 </t>
  </si>
  <si>
    <t xml:space="preserve"> 32.9661 </t>
  </si>
  <si>
    <t xml:space="preserve">C:\Users\andre\Desktop\REACTIV CEFAS\Fadrozole\Fadrozole/20201203_Cefas_Test8_Run3/Plate 5/@11/D5_02.tif </t>
  </si>
  <si>
    <t xml:space="preserve"> 1016.605 </t>
  </si>
  <si>
    <t xml:space="preserve"> 32.2766 </t>
  </si>
  <si>
    <t xml:space="preserve">C:\Users\andre\Desktop\REACTIV CEFAS\Fadrozole\Fadrozole/20201203_Cefas_Test8_Run3/Plate 5/@11/D5_03.tif </t>
  </si>
  <si>
    <t xml:space="preserve"> 32.0811 </t>
  </si>
  <si>
    <t xml:space="preserve">C:\Users\andre\Desktop\REACTIV CEFAS\Fadrozole\Fadrozole/20201203_Cefas_Test8_Run3/Plate 5/@11/E5_01.tif </t>
  </si>
  <si>
    <t xml:space="preserve"> 43.3912 </t>
  </si>
  <si>
    <t xml:space="preserve">C:\Users\andre\Desktop\REACTIV CEFAS\Fadrozole\Fadrozole/20201203_Cefas_Test8_Run3/Plate 5/@11/E5_02.tif </t>
  </si>
  <si>
    <t xml:space="preserve"> 9733.4526 </t>
  </si>
  <si>
    <t xml:space="preserve"> 43.1533 </t>
  </si>
  <si>
    <t xml:space="preserve">C:\Users\andre\Desktop\REACTIV CEFAS\Fadrozole\Fadrozole/20201203_Cefas_Test8_Run3/Plate 5/@11/E5_03.tif </t>
  </si>
  <si>
    <t xml:space="preserve"> 9690.1928 </t>
  </si>
  <si>
    <t xml:space="preserve"> 43.9821 </t>
  </si>
  <si>
    <t xml:space="preserve">C:\Users\andre\Desktop\REACTIV CEFAS\Fadrozole\Fadrozole/20201203_Cefas_Test8_Run3/Plate 5/@11/F5_01.tif </t>
  </si>
  <si>
    <t xml:space="preserve"> 40.9405 </t>
  </si>
  <si>
    <t xml:space="preserve">C:\Users\andre\Desktop\REACTIV CEFAS\Fadrozole\Fadrozole/20201203_Cefas_Test8_Run3/Plate 5/@11/F5_02.tif </t>
  </si>
  <si>
    <t xml:space="preserve"> 10144.4206 </t>
  </si>
  <si>
    <t xml:space="preserve"> 42.4371 </t>
  </si>
  <si>
    <t xml:space="preserve">C:\Users\andre\Desktop\REACTIV CEFAS\Fadrozole\Fadrozole/20201203_Cefas_Test8_Run3/Plate 5/@11/F5_03.tif </t>
  </si>
  <si>
    <t xml:space="preserve"> 9322.4846 </t>
  </si>
  <si>
    <t xml:space="preserve"> 40.8399 </t>
  </si>
  <si>
    <t xml:space="preserve">C:\Users\andre\Desktop\REACTIV CEFAS\Fadrozole\Fadrozole/20201203_Cefas_Test8_Run3/Plate 5/@11/G5_01.tif </t>
  </si>
  <si>
    <t xml:space="preserve"> 1427.573 </t>
  </si>
  <si>
    <t xml:space="preserve"> 34.4697 </t>
  </si>
  <si>
    <t xml:space="preserve">C:\Users\andre\Desktop\REACTIV CEFAS\Fadrozole\Fadrozole/20201203_Cefas_Test8_Run3/Plate 5/@11/G5_02.tif </t>
  </si>
  <si>
    <t xml:space="preserve"> 7483.9435 </t>
  </si>
  <si>
    <t xml:space="preserve"> 41.685 </t>
  </si>
  <si>
    <t xml:space="preserve">C:\Users\andre\Desktop\REACTIV CEFAS\Fadrozole\Fadrozole/20201203_Cefas_Test8_Run3/Plate 5/@11/G5_03.tif </t>
  </si>
  <si>
    <t xml:space="preserve"> 6683.6374 </t>
  </si>
  <si>
    <t xml:space="preserve"> 42.4239 </t>
  </si>
  <si>
    <t xml:space="preserve">C:\Users\andre\Desktop\REACTIV CEFAS\Fadrozole\Fadrozole/20201203_Cefas_Test8_Run3/Plate 5/@11/H5_01.tif </t>
  </si>
  <si>
    <t>C:\Users\andre\Desktop\REACTIV CEFAS\Fadrozole\Fadrozole/20201203_Cefas_Test8_Run3/Plate 5/@11/H5_02- exclu.tif</t>
  </si>
  <si>
    <t xml:space="preserve">C:\Users\andre\Desktop\REACTIV CEFAS\Fadrozole\Fadrozole/20201203_Cefas_Test8_Run3/Plate 5/@11/H5_03.tif </t>
  </si>
  <si>
    <t xml:space="preserve"> 9171.0753 </t>
  </si>
  <si>
    <t xml:space="preserve"> 40.3656 </t>
  </si>
  <si>
    <t xml:space="preserve">C:\Users\andre\Desktop\REACTIV CEFAS\Fadrozole\Fadrozole/20201203_Cefas_Test8_Run3/Plate 5/@11/ </t>
  </si>
  <si>
    <t xml:space="preserve"> 34.7242 </t>
  </si>
  <si>
    <t xml:space="preserve"> 11.703 </t>
  </si>
  <si>
    <t xml:space="preserve"> 225312.292 </t>
  </si>
  <si>
    <t xml:space="preserve"> 188778.934 </t>
  </si>
  <si>
    <t>C:\Users\andre\Desktop\REACTIV CEFAS\Fadrozole\Fadrozole/20201203_Cefas_Test8_Run3/Plate 5/@12/A6_01- exclu.tif</t>
  </si>
  <si>
    <t xml:space="preserve">C:\Users\andre\Desktop\REACTIV CEFAS\Fadrozole\Fadrozole/20201203_Cefas_Test8_Run3/Plate 5/@12/A6_02.tif </t>
  </si>
  <si>
    <t xml:space="preserve">C:\Users\andre\Desktop\REACTIV CEFAS\Fadrozole\Fadrozole/20201203_Cefas_Test8_Run3/Plate 5/@12/A6_03.tif </t>
  </si>
  <si>
    <t xml:space="preserve"> 30.4 </t>
  </si>
  <si>
    <t xml:space="preserve">C:\Users\andre\Desktop\REACTIV CEFAS\Fadrozole\Fadrozole/20201203_Cefas_Test8_Run3/Plate 5/@12/B6_01.tif </t>
  </si>
  <si>
    <t xml:space="preserve"> 11031.2463 </t>
  </si>
  <si>
    <t xml:space="preserve"> 42.0235 </t>
  </si>
  <si>
    <t xml:space="preserve">C:\Users\andre\Desktop\REACTIV CEFAS\Fadrozole\Fadrozole/20201203_Cefas_Test8_Run3/Plate 5/@12/B6_02.tif </t>
  </si>
  <si>
    <t xml:space="preserve"> 35.0779 </t>
  </si>
  <si>
    <t xml:space="preserve">C:\Users\andre\Desktop\REACTIV CEFAS\Fadrozole\Fadrozole/20201203_Cefas_Test8_Run3/Plate 5/@12/B6_03.tif </t>
  </si>
  <si>
    <t xml:space="preserve"> 38.2938 </t>
  </si>
  <si>
    <t xml:space="preserve">C:\Users\andre\Desktop\REACTIV CEFAS\Fadrozole\Fadrozole/20201203_Cefas_Test8_Run3/Plate 5/@12/C6_01.tif </t>
  </si>
  <si>
    <t xml:space="preserve"> 39.5357 </t>
  </si>
  <si>
    <t xml:space="preserve">C:\Users\andre\Desktop\REACTIV CEFAS\Fadrozole\Fadrozole/20201203_Cefas_Test8_Run3/Plate 5/@12/C6_02.tif </t>
  </si>
  <si>
    <t xml:space="preserve"> 40.5 </t>
  </si>
  <si>
    <t xml:space="preserve">C:\Users\andre\Desktop\REACTIV CEFAS\Fadrozole\Fadrozole/20201203_Cefas_Test8_Run3/Plate 5/@12/C6_03.tif </t>
  </si>
  <si>
    <t xml:space="preserve"> 41.0246 </t>
  </si>
  <si>
    <t xml:space="preserve">C:\Users\andre\Desktop\REACTIV CEFAS\Fadrozole\Fadrozole/20201203_Cefas_Test8_Run3/Plate 5/@12/D6_01.tif </t>
  </si>
  <si>
    <t xml:space="preserve"> 9192.7052 </t>
  </si>
  <si>
    <t xml:space="preserve"> 40.4494 </t>
  </si>
  <si>
    <t xml:space="preserve">C:\Users\andre\Desktop\REACTIV CEFAS\Fadrozole\Fadrozole/20201203_Cefas_Test8_Run3/Plate 5/@12/D6_02.tif </t>
  </si>
  <si>
    <t xml:space="preserve"> 6272.6694 </t>
  </si>
  <si>
    <t xml:space="preserve"> 35.2138 </t>
  </si>
  <si>
    <t xml:space="preserve">C:\Users\andre\Desktop\REACTIV CEFAS\Fadrozole\Fadrozole/20201203_Cefas_Test8_Run3/Plate 5/@12/D6_03.tif </t>
  </si>
  <si>
    <t xml:space="preserve"> 35.1688 </t>
  </si>
  <si>
    <t xml:space="preserve">C:\Users\andre\Desktop\REACTIV CEFAS\Fadrozole\Fadrozole/20201203_Cefas_Test8_Run3/Plate 5/@12/E6_01.tif </t>
  </si>
  <si>
    <t xml:space="preserve"> 38.691 </t>
  </si>
  <si>
    <t xml:space="preserve">C:\Users\andre\Desktop\REACTIV CEFAS\Fadrozole\Fadrozole/20201203_Cefas_Test8_Run3/Plate 5/@12/E6_02.tif </t>
  </si>
  <si>
    <t xml:space="preserve"> 4066.4202 </t>
  </si>
  <si>
    <t xml:space="preserve"> 37.1543 </t>
  </si>
  <si>
    <t xml:space="preserve">C:\Users\andre\Desktop\REACTIV CEFAS\Fadrozole\Fadrozole/20201203_Cefas_Test8_Run3/Plate 5/@12/E6_03.tif </t>
  </si>
  <si>
    <t xml:space="preserve"> 37.5407 </t>
  </si>
  <si>
    <t xml:space="preserve">C:\Users\andre\Desktop\REACTIV CEFAS\Fadrozole\Fadrozole/20201203_Cefas_Test8_Run3/Plate 5/@12/F6_01.tif </t>
  </si>
  <si>
    <t xml:space="preserve"> 30.75 </t>
  </si>
  <si>
    <t xml:space="preserve">C:\Users\andre\Desktop\REACTIV CEFAS\Fadrozole\Fadrozole/20201203_Cefas_Test8_Run3/Plate 5/@12/F6_02.tif </t>
  </si>
  <si>
    <t xml:space="preserve"> 32.6667 </t>
  </si>
  <si>
    <t>C:\Users\andre\Desktop\REACTIV CEFAS\Fadrozole\Fadrozole/20201203_Cefas_Test8_Run3/Plate 5/@12/F6_03- exclu.tif</t>
  </si>
  <si>
    <t xml:space="preserve">C:\Users\andre\Desktop\REACTIV CEFAS\Fadrozole\Fadrozole/20201203_Cefas_Test8_Run3/Plate 5/@12/G6_01.tif </t>
  </si>
  <si>
    <t xml:space="preserve"> 34.9386 </t>
  </si>
  <si>
    <t xml:space="preserve">C:\Users\andre\Desktop\REACTIV CEFAS\Fadrozole\Fadrozole/20201203_Cefas_Test8_Run3/Plate 5/@12/G6_02.tif </t>
  </si>
  <si>
    <t xml:space="preserve"> 32.0667 </t>
  </si>
  <si>
    <t xml:space="preserve">C:\Users\andre\Desktop\REACTIV CEFAS\Fadrozole\Fadrozole/20201203_Cefas_Test8_Run3/Plate 5/@12/G6_03.tif </t>
  </si>
  <si>
    <t xml:space="preserve"> 36.1711 </t>
  </si>
  <si>
    <t xml:space="preserve">C:\Users\andre\Desktop\REACTIV CEFAS\Fadrozole\Fadrozole/20201203_Cefas_Test8_Run3/Plate 5/@12/H6_01.tif </t>
  </si>
  <si>
    <t xml:space="preserve"> 37.9961 </t>
  </si>
  <si>
    <t xml:space="preserve">C:\Users\andre\Desktop\REACTIV CEFAS\Fadrozole\Fadrozole/20201203_Cefas_Test8_Run3/Plate 5/@12/H6_02.tif </t>
  </si>
  <si>
    <t xml:space="preserve"> 30.6667 </t>
  </si>
  <si>
    <t xml:space="preserve">C:\Users\andre\Desktop\REACTIV CEFAS\Fadrozole\Fadrozole/20201203_Cefas_Test8_Run3/Plate 5/@12/H6_03.tif </t>
  </si>
  <si>
    <t xml:space="preserve"> 10252.5701 </t>
  </si>
  <si>
    <t xml:space="preserve"> 36.9346 </t>
  </si>
  <si>
    <t xml:space="preserve">C:\Users\andre\Desktop\REACTIV CEFAS\Fadrozole\Fadrozole/20201203_Cefas_Test8_Run3/Plate 5/@12/ </t>
  </si>
  <si>
    <t xml:space="preserve"> 33.0527 </t>
  </si>
  <si>
    <t xml:space="preserve"> 10.7782 </t>
  </si>
  <si>
    <t xml:space="preserve"> 161343.625 </t>
  </si>
  <si>
    <t xml:space="preserve"> 144648.791 </t>
  </si>
  <si>
    <t>C:\Users\andre\Desktop\REACTIV CEFAS\Fadrozole\Fadrozole/20201203_Cefas_Test8_Run3/Plate 5/@17/A8_01- exclu.tif</t>
  </si>
  <si>
    <t>C:\Users\andre\Desktop\REACTIV CEFAS\Fadrozole\Fadrozole/20201203_Cefas_Test8_Run3/Plate 5/@17/A8_02- exclu.tif</t>
  </si>
  <si>
    <t>C:\Users\andre\Desktop\REACTIV CEFAS\Fadrozole\Fadrozole/20201203_Cefas_Test8_Run3/Plate 5/@17/A8_03- exclu.tif</t>
  </si>
  <si>
    <t xml:space="preserve">C:\Users\andre\Desktop\REACTIV CEFAS\Fadrozole\Fadrozole/20201203_Cefas_Test8_Run3/Plate 5/@17/B8_01.tif </t>
  </si>
  <si>
    <t xml:space="preserve"> 36.1088 </t>
  </si>
  <si>
    <t xml:space="preserve">C:\Users\andre\Desktop\REACTIV CEFAS\Fadrozole\Fadrozole/20201203_Cefas_Test8_Run3/Plate 5/@17/B8_02.tif </t>
  </si>
  <si>
    <t xml:space="preserve"> 6013.1107 </t>
  </si>
  <si>
    <t xml:space="preserve"> 37.3453 </t>
  </si>
  <si>
    <t xml:space="preserve">C:\Users\andre\Desktop\REACTIV CEFAS\Fadrozole\Fadrozole/20201203_Cefas_Test8_Run3/Plate 5/@17/B8_03.tif </t>
  </si>
  <si>
    <t xml:space="preserve"> 38.8073 </t>
  </si>
  <si>
    <t xml:space="preserve">C:\Users\andre\Desktop\REACTIV CEFAS\Fadrozole\Fadrozole/20201203_Cefas_Test8_Run3/Plate 5/@17/C8_01.tif </t>
  </si>
  <si>
    <t xml:space="preserve"> 10771.6875 </t>
  </si>
  <si>
    <t xml:space="preserve"> 45.5582 </t>
  </si>
  <si>
    <t xml:space="preserve">C:\Users\andre\Desktop\REACTIV CEFAS\Fadrozole\Fadrozole/20201203_Cefas_Test8_Run3/Plate 5/@17/C8_02.tif </t>
  </si>
  <si>
    <t xml:space="preserve"> 31.7143 </t>
  </si>
  <si>
    <t xml:space="preserve">C:\Users\andre\Desktop\REACTIV CEFAS\Fadrozole\Fadrozole/20201203_Cefas_Test8_Run3/Plate 5/@17/C8_03.tif </t>
  </si>
  <si>
    <t xml:space="preserve"> 43.9247 </t>
  </si>
  <si>
    <t xml:space="preserve">C:\Users\andre\Desktop\REACTIV CEFAS\Fadrozole\Fadrozole/20201203_Cefas_Test8_Run3/Plate 5/@17/D8_01.tif </t>
  </si>
  <si>
    <t xml:space="preserve">C:\Users\andre\Desktop\REACTIV CEFAS\Fadrozole\Fadrozole/20201203_Cefas_Test8_Run3/Plate 5/@17/D8_02.tif </t>
  </si>
  <si>
    <t xml:space="preserve">C:\Users\andre\Desktop\REACTIV CEFAS\Fadrozole\Fadrozole/20201203_Cefas_Test8_Run3/Plate 5/@17/D8_03.tif </t>
  </si>
  <si>
    <t xml:space="preserve">C:\Users\andre\Desktop\REACTIV CEFAS\Fadrozole\Fadrozole/20201203_Cefas_Test8_Run3/Plate 5/@17/E8_01.tif </t>
  </si>
  <si>
    <t xml:space="preserve"> 5039.7654 </t>
  </si>
  <si>
    <t xml:space="preserve"> 34.7124 </t>
  </si>
  <si>
    <t xml:space="preserve">C:\Users\andre\Desktop\REACTIV CEFAS\Fadrozole\Fadrozole/20201203_Cefas_Test8_Run3/Plate 5/@17/E8_02.tif </t>
  </si>
  <si>
    <t xml:space="preserve"> 31.4 </t>
  </si>
  <si>
    <t xml:space="preserve">C:\Users\andre\Desktop\REACTIV CEFAS\Fadrozole\Fadrozole/20201203_Cefas_Test8_Run3/Plate 5/@17/E8_03.tif </t>
  </si>
  <si>
    <t xml:space="preserve"> 4909.9861 </t>
  </si>
  <si>
    <t xml:space="preserve"> 39.1057 </t>
  </si>
  <si>
    <t xml:space="preserve">C:\Users\andre\Desktop\REACTIV CEFAS\Fadrozole\Fadrozole/20201203_Cefas_Test8_Run3/Plate 5/@17/F8_01.tif </t>
  </si>
  <si>
    <t xml:space="preserve"> 41.4286 </t>
  </si>
  <si>
    <t>C:\Users\andre\Desktop\REACTIV CEFAS\Fadrozole\Fadrozole/20201203_Cefas_Test8_Run3/Plate 5/@17/F8_02- exclu.tif</t>
  </si>
  <si>
    <t xml:space="preserve">C:\Users\andre\Desktop\REACTIV CEFAS\Fadrozole\Fadrozole/20201203_Cefas_Test8_Run3/Plate 5/@17/F8_03.tif </t>
  </si>
  <si>
    <t xml:space="preserve"> 11052.8762 </t>
  </si>
  <si>
    <t xml:space="preserve"> 39.7515 </t>
  </si>
  <si>
    <t xml:space="preserve">C:\Users\andre\Desktop\REACTIV CEFAS\Fadrozole\Fadrozole/20201203_Cefas_Test8_Run3/Plate 5/@17/G8_01.tif </t>
  </si>
  <si>
    <t xml:space="preserve"> 33.25 </t>
  </si>
  <si>
    <t xml:space="preserve">C:\Users\andre\Desktop\REACTIV CEFAS\Fadrozole\Fadrozole/20201203_Cefas_Test8_Run3/Plate 5/@17/G8_02.tif </t>
  </si>
  <si>
    <t xml:space="preserve"> 40.4157 </t>
  </si>
  <si>
    <t xml:space="preserve">C:\Users\andre\Desktop\REACTIV CEFAS\Fadrozole\Fadrozole/20201203_Cefas_Test8_Run3/Plate 5/@17/G8_03.tif </t>
  </si>
  <si>
    <t xml:space="preserve"> 39.8408 </t>
  </si>
  <si>
    <t xml:space="preserve">C:\Users\andre\Desktop\REACTIV CEFAS\Fadrozole\Fadrozole/20201203_Cefas_Test8_Run3/Plate 5/@17/H8_01.tif </t>
  </si>
  <si>
    <t xml:space="preserve"> 35.8396 </t>
  </si>
  <si>
    <t xml:space="preserve">C:\Users\andre\Desktop\REACTIV CEFAS\Fadrozole\Fadrozole/20201203_Cefas_Test8_Run3/Plate 5/@17/H8_02.tif </t>
  </si>
  <si>
    <t xml:space="preserve"> 34.8672 </t>
  </si>
  <si>
    <t xml:space="preserve">C:\Users\andre\Desktop\REACTIV CEFAS\Fadrozole\Fadrozole/20201203_Cefas_Test8_Run3/Plate 5/@17/H8_03.tif </t>
  </si>
  <si>
    <t xml:space="preserve"> 33.6333 </t>
  </si>
  <si>
    <t xml:space="preserve">C:\Users\andre\Desktop\REACTIV CEFAS\Fadrozole\Fadrozole/20201203_Cefas_Test8_Run3/Plate 5/@17/ </t>
  </si>
  <si>
    <t xml:space="preserve"> 35.3021 </t>
  </si>
  <si>
    <t xml:space="preserve"> 9.2755 </t>
  </si>
  <si>
    <t xml:space="preserve"> 190915.458 </t>
  </si>
  <si>
    <t xml:space="preserve"> 191429.068 </t>
  </si>
  <si>
    <t xml:space="preserve">C:\Users\andre\Desktop\REACTIV CEFAS\Fadrozole\Fadrozole/20201203_Cefas_Test8_Run3/Plate 5/@18/A9_01.tif </t>
  </si>
  <si>
    <t xml:space="preserve"> 33.1111 </t>
  </si>
  <si>
    <t xml:space="preserve">C:\Users\andre\Desktop\REACTIV CEFAS\Fadrozole\Fadrozole/20201203_Cefas_Test8_Run3/Plate 5/@18/A9_02.tif </t>
  </si>
  <si>
    <t xml:space="preserve"> 30.5556 </t>
  </si>
  <si>
    <t xml:space="preserve">C:\Users\andre\Desktop\REACTIV CEFAS\Fadrozole\Fadrozole/20201203_Cefas_Test8_Run3/Plate 5/@18/A9_03.tif </t>
  </si>
  <si>
    <t>C:\Users\andre\Desktop\REACTIV CEFAS\Fadrozole\Fadrozole/20201203_Cefas_Test8_Run3/Plate 5/@18/B9_01- exclu.tif</t>
  </si>
  <si>
    <t>C:\Users\andre\Desktop\REACTIV CEFAS\Fadrozole\Fadrozole/20201203_Cefas_Test8_Run3/Plate 5/@18/B9_02- exclu.tif</t>
  </si>
  <si>
    <t xml:space="preserve">C:\Users\andre\Desktop\REACTIV CEFAS\Fadrozole\Fadrozole/20201203_Cefas_Test8_Run3/Plate 5/@18/B9_03.tif </t>
  </si>
  <si>
    <t xml:space="preserve"> 46.9944 </t>
  </si>
  <si>
    <t xml:space="preserve">C:\Users\andre\Desktop\REACTIV CEFAS\Fadrozole\Fadrozole/20201203_Cefas_Test8_Run3/Plate 5/@18/C9_01.tif </t>
  </si>
  <si>
    <t xml:space="preserve">C:\Users\andre\Desktop\REACTIV CEFAS\Fadrozole\Fadrozole/20201203_Cefas_Test8_Run3/Plate 5/@18/C9_02.tif </t>
  </si>
  <si>
    <t xml:space="preserve"> 32.5167 </t>
  </si>
  <si>
    <t xml:space="preserve">C:\Users\andre\Desktop\REACTIV CEFAS\Fadrozole\Fadrozole/20201203_Cefas_Test8_Run3/Plate 5/@18/C9_03.tif </t>
  </si>
  <si>
    <t xml:space="preserve"> 34.0806 </t>
  </si>
  <si>
    <t xml:space="preserve">C:\Users\andre\Desktop\REACTIV CEFAS\Fadrozole\Fadrozole/20201203_Cefas_Test8_Run3/Plate 5/@18/D9_01.tif </t>
  </si>
  <si>
    <t xml:space="preserve"> 34.0982 </t>
  </si>
  <si>
    <t xml:space="preserve">C:\Users\andre\Desktop\REACTIV CEFAS\Fadrozole\Fadrozole/20201203_Cefas_Test8_Run3/Plate 5/@18/D9_02.tif </t>
  </si>
  <si>
    <t xml:space="preserve"> 34.4706 </t>
  </si>
  <si>
    <t xml:space="preserve">C:\Users\andre\Desktop\REACTIV CEFAS\Fadrozole\Fadrozole/20201203_Cefas_Test8_Run3/Plate 5/@18/D9_03.tif </t>
  </si>
  <si>
    <t xml:space="preserve"> 37.0394 </t>
  </si>
  <si>
    <t xml:space="preserve">C:\Users\andre\Desktop\REACTIV CEFAS\Fadrozole\Fadrozole/20201203_Cefas_Test8_Run3/Plate 5/@18/E9_01.tif </t>
  </si>
  <si>
    <t xml:space="preserve"> 35.1696 </t>
  </si>
  <si>
    <t xml:space="preserve">C:\Users\andre\Desktop\REACTIV CEFAS\Fadrozole\Fadrozole/20201203_Cefas_Test8_Run3/Plate 5/@18/E9_02.tif </t>
  </si>
  <si>
    <t xml:space="preserve"> 973.3453 </t>
  </si>
  <si>
    <t xml:space="preserve"> 32.4889 </t>
  </si>
  <si>
    <t xml:space="preserve">C:\Users\andre\Desktop\REACTIV CEFAS\Fadrozole\Fadrozole/20201203_Cefas_Test8_Run3/Plate 5/@18/E9_03.tif </t>
  </si>
  <si>
    <t xml:space="preserve"> 6748.5271 </t>
  </si>
  <si>
    <t xml:space="preserve"> 40.1827 </t>
  </si>
  <si>
    <t xml:space="preserve">C:\Users\andre\Desktop\REACTIV CEFAS\Fadrozole\Fadrozole/20201203_Cefas_Test8_Run3/Plate 5/@18/F9_01.tif </t>
  </si>
  <si>
    <t xml:space="preserve"> 33.6421 </t>
  </si>
  <si>
    <t xml:space="preserve">C:\Users\andre\Desktop\REACTIV CEFAS\Fadrozole\Fadrozole/20201203_Cefas_Test8_Run3/Plate 5/@18/F9_02.tif </t>
  </si>
  <si>
    <t xml:space="preserve"> 32.6989 </t>
  </si>
  <si>
    <t xml:space="preserve">C:\Users\andre\Desktop\REACTIV CEFAS\Fadrozole\Fadrozole/20201203_Cefas_Test8_Run3/Plate 5/@18/F9_03.tif </t>
  </si>
  <si>
    <t xml:space="preserve"> 37.5961 </t>
  </si>
  <si>
    <t xml:space="preserve">C:\Users\andre\Desktop\REACTIV CEFAS\Fadrozole\Fadrozole/20201203_Cefas_Test8_Run3/Plate 5/@18/G9_01.tif </t>
  </si>
  <si>
    <t xml:space="preserve"> 35.2746 </t>
  </si>
  <si>
    <t xml:space="preserve">C:\Users\andre\Desktop\REACTIV CEFAS\Fadrozole\Fadrozole/20201203_Cefas_Test8_Run3/Plate 5/@18/G9_02.tif </t>
  </si>
  <si>
    <t xml:space="preserve"> 32.223 </t>
  </si>
  <si>
    <t xml:space="preserve">C:\Users\andre\Desktop\REACTIV CEFAS\Fadrozole\Fadrozole/20201203_Cefas_Test8_Run3/Plate 5/@18/G9_03.tif </t>
  </si>
  <si>
    <t xml:space="preserve"> 4434.1284 </t>
  </si>
  <si>
    <t xml:space="preserve"> 33.8585 </t>
  </si>
  <si>
    <t xml:space="preserve">C:\Users\andre\Desktop\REACTIV CEFAS\Fadrozole\Fadrozole/20201203_Cefas_Test8_Run3/Plate 5/@18/H9_01.tif </t>
  </si>
  <si>
    <t xml:space="preserve"> 6856.6766 </t>
  </si>
  <si>
    <t xml:space="preserve"> 35.1388 </t>
  </si>
  <si>
    <t xml:space="preserve">C:\Users\andre\Desktop\REACTIV CEFAS\Fadrozole\Fadrozole/20201203_Cefas_Test8_Run3/Plate 5/@18/H9_02.tif </t>
  </si>
  <si>
    <t xml:space="preserve"> 8824.997 </t>
  </si>
  <si>
    <t xml:space="preserve"> 34.9877 </t>
  </si>
  <si>
    <t xml:space="preserve">C:\Users\andre\Desktop\REACTIV CEFAS\Fadrozole\Fadrozole/20201203_Cefas_Test8_Run3/Plate 5/@18/H9_03.tif </t>
  </si>
  <si>
    <t xml:space="preserve"> 5342.584 </t>
  </si>
  <si>
    <t xml:space="preserve"> 34.6356 </t>
  </si>
  <si>
    <t xml:space="preserve">C:\Users\andre\Desktop\REACTIV CEFAS\Fadrozole\Fadrozole/20201203_Cefas_Test8_Run3/Plate 5/@18/ </t>
  </si>
  <si>
    <t xml:space="preserve"> 31.9276 </t>
  </si>
  <si>
    <t xml:space="preserve"> 10.3682 </t>
  </si>
  <si>
    <t xml:space="preserve"> 126636.708 </t>
  </si>
  <si>
    <t xml:space="preserve"> 130305.496 </t>
  </si>
  <si>
    <t>C:\Users\andre\Desktop\REACTIV CEFAS\Fadrozole\Fadrozole/20201203_Cefas_Test8_Run3/Plate 5/@19/A10_01- exclu.tif</t>
  </si>
  <si>
    <t xml:space="preserve">C:\Users\andre\Desktop\REACTIV CEFAS\Fadrozole\Fadrozole/20201203_Cefas_Test8_Run3/Plate 5/@19/A10_02.tif </t>
  </si>
  <si>
    <t xml:space="preserve"> 13561.9439 </t>
  </si>
  <si>
    <t xml:space="preserve"> 49.9888 </t>
  </si>
  <si>
    <t>C:\Users\andre\Desktop\REACTIV CEFAS\Fadrozole\Fadrozole/20201203_Cefas_Test8_Run3/Plate 5/@19/A10_03- exclu.tif</t>
  </si>
  <si>
    <t xml:space="preserve">C:\Users\andre\Desktop\REACTIV CEFAS\Fadrozole\Fadrozole/20201203_Cefas_Test8_Run3/Plate 5/@19/B10_01.tif </t>
  </si>
  <si>
    <t xml:space="preserve">C:\Users\andre\Desktop\REACTIV CEFAS\Fadrozole\Fadrozole/20201203_Cefas_Test8_Run3/Plate 5/@19/B10_02.tif </t>
  </si>
  <si>
    <t>C:\Users\andre\Desktop\REACTIV CEFAS\Fadrozole\Fadrozole/20201203_Cefas_Test8_Run3/Plate 5/@19/B10_03- exclu.tif</t>
  </si>
  <si>
    <t xml:space="preserve">C:\Users\andre\Desktop\REACTIV CEFAS\Fadrozole\Fadrozole/20201203_Cefas_Test8_Run3/Plate 5/@19/C10_01.tif </t>
  </si>
  <si>
    <t xml:space="preserve"> 31.9333 </t>
  </si>
  <si>
    <t xml:space="preserve">C:\Users\andre\Desktop\REACTIV CEFAS\Fadrozole\Fadrozole/20201203_Cefas_Test8_Run3/Plate 5/@19/C10_02.tif </t>
  </si>
  <si>
    <t xml:space="preserve">C:\Users\andre\Desktop\REACTIV CEFAS\Fadrozole\Fadrozole/20201203_Cefas_Test8_Run3/Plate 5/@19/C10_03.tif </t>
  </si>
  <si>
    <t xml:space="preserve"> 1730.3916 </t>
  </si>
  <si>
    <t xml:space="preserve"> 32.4875 </t>
  </si>
  <si>
    <t xml:space="preserve">C:\Users\andre\Desktop\REACTIV CEFAS\Fadrozole\Fadrozole/20201203_Cefas_Test8_Run3/Plate 5/@19/D10_01.tif </t>
  </si>
  <si>
    <t xml:space="preserve"> 35.8646 </t>
  </si>
  <si>
    <t xml:space="preserve">C:\Users\andre\Desktop\REACTIV CEFAS\Fadrozole\Fadrozole/20201203_Cefas_Test8_Run3/Plate 5/@19/D10_02.tif </t>
  </si>
  <si>
    <t xml:space="preserve"> 35.7098 </t>
  </si>
  <si>
    <t xml:space="preserve">C:\Users\andre\Desktop\REACTIV CEFAS\Fadrozole\Fadrozole/20201203_Cefas_Test8_Run3/Plate 5/@19/D10_03.tif </t>
  </si>
  <si>
    <t xml:space="preserve"> 33.2662 </t>
  </si>
  <si>
    <t>C:\Users\andre\Desktop\REACTIV CEFAS\Fadrozole\Fadrozole/20201203_Cefas_Test8_Run3/Plate 5/@19/E10_01- exclu.tif</t>
  </si>
  <si>
    <t xml:space="preserve">C:\Users\andre\Desktop\REACTIV CEFAS\Fadrozole\Fadrozole/20201203_Cefas_Test8_Run3/Plate 5/@19/E10_02.tif </t>
  </si>
  <si>
    <t xml:space="preserve"> 39.2772 </t>
  </si>
  <si>
    <t xml:space="preserve">C:\Users\andre\Desktop\REACTIV CEFAS\Fadrozole\Fadrozole/20201203_Cefas_Test8_Run3/Plate 5/@19/E10_03.tif </t>
  </si>
  <si>
    <t xml:space="preserve"> 32.2381 </t>
  </si>
  <si>
    <t>C:\Users\andre\Desktop\REACTIV CEFAS\Fadrozole\Fadrozole/20201203_Cefas_Test8_Run3/Plate 5/@19/F10_01- exclu.tif</t>
  </si>
  <si>
    <t>C:\Users\andre\Desktop\REACTIV CEFAS\Fadrozole\Fadrozole/20201203_Cefas_Test8_Run3/Plate 5/@19/F10_02- exclu.tif</t>
  </si>
  <si>
    <t>C:\Users\andre\Desktop\REACTIV CEFAS\Fadrozole\Fadrozole/20201203_Cefas_Test8_Run3/Plate 5/@19/F10_03- exclu.tif</t>
  </si>
  <si>
    <t xml:space="preserve">C:\Users\andre\Desktop\REACTIV CEFAS\Fadrozole\Fadrozole/20201203_Cefas_Test8_Run3/Plate 5/@19/G10_01.tif </t>
  </si>
  <si>
    <t xml:space="preserve"> 34.9349 </t>
  </si>
  <si>
    <t xml:space="preserve">C:\Users\andre\Desktop\REACTIV CEFAS\Fadrozole\Fadrozole/20201203_Cefas_Test8_Run3/Plate 5/@19/G10_02.tif </t>
  </si>
  <si>
    <t xml:space="preserve">C:\Users\andre\Desktop\REACTIV CEFAS\Fadrozole\Fadrozole/20201203_Cefas_Test8_Run3/Plate 5/@19/G10_03.tif </t>
  </si>
  <si>
    <t xml:space="preserve"> 36.075 </t>
  </si>
  <si>
    <t xml:space="preserve">C:\Users\andre\Desktop\REACTIV CEFAS\Fadrozole\Fadrozole/20201203_Cefas_Test8_Run3/Plate 5/@19/H10_01.tif </t>
  </si>
  <si>
    <t xml:space="preserve">C:\Users\andre\Desktop\REACTIV CEFAS\Fadrozole\Fadrozole/20201203_Cefas_Test8_Run3/Plate 5/@19/H10_02.tif </t>
  </si>
  <si>
    <t xml:space="preserve"> 31.3333 </t>
  </si>
  <si>
    <t xml:space="preserve">C:\Users\andre\Desktop\REACTIV CEFAS\Fadrozole\Fadrozole/20201203_Cefas_Test8_Run3/Plate 5/@19/H10_03.tif </t>
  </si>
  <si>
    <t xml:space="preserve"> 2573.9575 </t>
  </si>
  <si>
    <t xml:space="preserve"> 34.0084 </t>
  </si>
  <si>
    <t xml:space="preserve">C:\Users\andre\Desktop\REACTIV CEFAS\Fadrozole\Fadrozole/20201203_Cefas_Test8_Run3/Plate 5/@19/ </t>
  </si>
  <si>
    <t xml:space="preserve"> 26.0171 </t>
  </si>
  <si>
    <t xml:space="preserve"> 18.0168 </t>
  </si>
  <si>
    <t xml:space="preserve"> 157747.708 </t>
  </si>
  <si>
    <t xml:space="preserve"> 297500.82 </t>
  </si>
  <si>
    <t xml:space="preserve">C:\Users\andre\Desktop\REACTIV CEFAS\Fadrozole\Fadrozole/20201203_Cefas_Test8_Run3/Plate 5/@20/A11_01.tif </t>
  </si>
  <si>
    <t xml:space="preserve">C:\Users\andre\Desktop\REACTIV CEFAS\Fadrozole\Fadrozole/20201203_Cefas_Test8_Run3/Plate 5/@20/A11_02.tif </t>
  </si>
  <si>
    <t xml:space="preserve"> 37.9377 </t>
  </si>
  <si>
    <t xml:space="preserve">C:\Users\andre\Desktop\REACTIV CEFAS\Fadrozole\Fadrozole/20201203_Cefas_Test8_Run3/Plate 5/@20/A11_03.tif </t>
  </si>
  <si>
    <t xml:space="preserve"> 37.2853 </t>
  </si>
  <si>
    <t xml:space="preserve">C:\Users\andre\Desktop\REACTIV CEFAS\Fadrozole\Fadrozole/20201203_Cefas_Test8_Run3/Plate 5/@20/B11_01.tif </t>
  </si>
  <si>
    <t xml:space="preserve"> 46.0395 </t>
  </si>
  <si>
    <t xml:space="preserve">C:\Users\andre\Desktop\REACTIV CEFAS\Fadrozole\Fadrozole/20201203_Cefas_Test8_Run3/Plate 5/@20/B11_02.tif </t>
  </si>
  <si>
    <t xml:space="preserve"> 42.3143 </t>
  </si>
  <si>
    <t xml:space="preserve">C:\Users\andre\Desktop\REACTIV CEFAS\Fadrozole\Fadrozole/20201203_Cefas_Test8_Run3/Plate 5/@20/B11_03.tif </t>
  </si>
  <si>
    <t xml:space="preserve"> 46.6571 </t>
  </si>
  <si>
    <t xml:space="preserve">C:\Users\andre\Desktop\REACTIV CEFAS\Fadrozole\Fadrozole/20201203_Cefas_Test8_Run3/Plate 5/@20/C11_01.tif </t>
  </si>
  <si>
    <t xml:space="preserve"> 1146.3844 </t>
  </si>
  <si>
    <t xml:space="preserve"> 33.9434 </t>
  </si>
  <si>
    <t xml:space="preserve">C:\Users\andre\Desktop\REACTIV CEFAS\Fadrozole\Fadrozole/20201203_Cefas_Test8_Run3/Plate 5/@20/C11_02.tif </t>
  </si>
  <si>
    <t xml:space="preserve"> 32.8451 </t>
  </si>
  <si>
    <t xml:space="preserve">C:\Users\andre\Desktop\REACTIV CEFAS\Fadrozole\Fadrozole/20201203_Cefas_Test8_Run3/Plate 5/@20/C11_03.tif </t>
  </si>
  <si>
    <t xml:space="preserve"> 31.6429 </t>
  </si>
  <si>
    <t>C:\Users\andre\Desktop\REACTIV CEFAS\Fadrozole\Fadrozole/20201203_Cefas_Test8_Run3/Plate 5/@20/D11_01- exclu.tif</t>
  </si>
  <si>
    <t>C:\Users\andre\Desktop\REACTIV CEFAS\Fadrozole\Fadrozole/20201203_Cefas_Test8_Run3/Plate 5/@20/D11_02- exclu.tif</t>
  </si>
  <si>
    <t>C:\Users\andre\Desktop\REACTIV CEFAS\Fadrozole\Fadrozole/20201203_Cefas_Test8_Run3/Plate 5/@20/D11_03- exclu.tif</t>
  </si>
  <si>
    <t xml:space="preserve">C:\Users\andre\Desktop\REACTIV CEFAS\Fadrozole\Fadrozole/20201203_Cefas_Test8_Run3/Plate 5/@20/E11_01.tif </t>
  </si>
  <si>
    <t xml:space="preserve"> 3958.2707 </t>
  </si>
  <si>
    <t xml:space="preserve"> 36.4754 </t>
  </si>
  <si>
    <t xml:space="preserve">C:\Users\andre\Desktop\REACTIV CEFAS\Fadrozole\Fadrozole/20201203_Cefas_Test8_Run3/Plate 5/@20/E11_02.tif </t>
  </si>
  <si>
    <t xml:space="preserve"> 36.795 </t>
  </si>
  <si>
    <t xml:space="preserve">C:\Users\andre\Desktop\REACTIV CEFAS\Fadrozole\Fadrozole/20201203_Cefas_Test8_Run3/Plate 5/@20/E11_03.tif </t>
  </si>
  <si>
    <t xml:space="preserve"> 4628.7975 </t>
  </si>
  <si>
    <t xml:space="preserve"> 37.271 </t>
  </si>
  <si>
    <t xml:space="preserve">C:\Users\andre\Desktop\REACTIV CEFAS\Fadrozole\Fadrozole/20201203_Cefas_Test8_Run3/Plate 5/@20/F11_01.tif </t>
  </si>
  <si>
    <t xml:space="preserve"> 5212.8046 </t>
  </si>
  <si>
    <t xml:space="preserve"> 36.2988 </t>
  </si>
  <si>
    <t xml:space="preserve">C:\Users\andre\Desktop\REACTIV CEFAS\Fadrozole\Fadrozole/20201203_Cefas_Test8_Run3/Plate 5/@20/F11_02.tif </t>
  </si>
  <si>
    <t xml:space="preserve"> 36.3294 </t>
  </si>
  <si>
    <t xml:space="preserve">C:\Users\andre\Desktop\REACTIV CEFAS\Fadrozole\Fadrozole/20201203_Cefas_Test8_Run3/Plate 5/@20/F11_03.tif </t>
  </si>
  <si>
    <t xml:space="preserve"> 34.3072 </t>
  </si>
  <si>
    <t xml:space="preserve">C:\Users\andre\Desktop\REACTIV CEFAS\Fadrozole\Fadrozole/20201203_Cefas_Test8_Run3/Plate 5/@20/G11_01.tif </t>
  </si>
  <si>
    <t xml:space="preserve"> 10209.3103 </t>
  </si>
  <si>
    <t xml:space="preserve"> 50.7945 </t>
  </si>
  <si>
    <t xml:space="preserve">C:\Users\andre\Desktop\REACTIV CEFAS\Fadrozole\Fadrozole/20201203_Cefas_Test8_Run3/Plate 5/@20/G11_02.tif </t>
  </si>
  <si>
    <t xml:space="preserve"> 13843.1326 </t>
  </si>
  <si>
    <t xml:space="preserve"> 51.8062 </t>
  </si>
  <si>
    <t xml:space="preserve">C:\Users\andre\Desktop\REACTIV CEFAS\Fadrozole\Fadrozole/20201203_Cefas_Test8_Run3/Plate 5/@20/G11_03.tif </t>
  </si>
  <si>
    <t xml:space="preserve"> 31.7692 </t>
  </si>
  <si>
    <t xml:space="preserve">C:\Users\andre\Desktop\REACTIV CEFAS\Fadrozole\Fadrozole/20201203_Cefas_Test8_Run3/Plate 5/@20/H11_01.tif </t>
  </si>
  <si>
    <t xml:space="preserve"> 36.0163 </t>
  </si>
  <si>
    <t xml:space="preserve">C:\Users\andre\Desktop\REACTIV CEFAS\Fadrozole\Fadrozole/20201203_Cefas_Test8_Run3/Plate 5/@20/H11_02.tif </t>
  </si>
  <si>
    <t xml:space="preserve">C:\Users\andre\Desktop\REACTIV CEFAS\Fadrozole\Fadrozole/20201203_Cefas_Test8_Run3/Plate 5/@20/H11_03.tif </t>
  </si>
  <si>
    <t xml:space="preserve"> 35.5 </t>
  </si>
  <si>
    <t xml:space="preserve">C:\Users\andre\Desktop\REACTIV CEFAS\Fadrozole\Fadrozole/20201203_Cefas_Test8_Run3/Plate 5/@20/ </t>
  </si>
  <si>
    <t xml:space="preserve"> 38.2639 </t>
  </si>
  <si>
    <t xml:space="preserve"> 11.0267 </t>
  </si>
  <si>
    <t xml:space="preserve"> 273164.833 </t>
  </si>
  <si>
    <t xml:space="preserve"> 289477.632 </t>
  </si>
  <si>
    <t xml:space="preserve">C:\Users\andre\Desktop\REACTIV CEFAS\Fadrozole\Fadrozole/20201203_Cefas_Test8_Run3/Plate 5/@21/A12_01.tif </t>
  </si>
  <si>
    <t xml:space="preserve"> 32.0294 </t>
  </si>
  <si>
    <t xml:space="preserve">C:\Users\andre\Desktop\REACTIV CEFAS\Fadrozole\Fadrozole/20201203_Cefas_Test8_Run3/Plate 5/@21/A12_02.tif </t>
  </si>
  <si>
    <t xml:space="preserve">C:\Users\andre\Desktop\REACTIV CEFAS\Fadrozole\Fadrozole/20201203_Cefas_Test8_Run3/Plate 5/@21/A12_03.tif </t>
  </si>
  <si>
    <t xml:space="preserve"> 30.8571 </t>
  </si>
  <si>
    <t xml:space="preserve">C:\Users\andre\Desktop\REACTIV CEFAS\Fadrozole\Fadrozole/20201203_Cefas_Test8_Run3/Plate 5/@21/B12_01.tif </t>
  </si>
  <si>
    <t xml:space="preserve"> 38.0271 </t>
  </si>
  <si>
    <t xml:space="preserve">C:\Users\andre\Desktop\REACTIV CEFAS\Fadrozole\Fadrozole/20201203_Cefas_Test8_Run3/Plate 5/@21/B12_02.tif </t>
  </si>
  <si>
    <t xml:space="preserve"> 37.8191 </t>
  </si>
  <si>
    <t xml:space="preserve">C:\Users\andre\Desktop\REACTIV CEFAS\Fadrozole\Fadrozole/20201203_Cefas_Test8_Run3/Plate 5/@21/B12_03.tif </t>
  </si>
  <si>
    <t xml:space="preserve">C:\Users\andre\Desktop\REACTIV CEFAS\Fadrozole\Fadrozole/20201203_Cefas_Test8_Run3/Plate 5/@21/C12_01.tif </t>
  </si>
  <si>
    <t xml:space="preserve"> 40.3897 </t>
  </si>
  <si>
    <t>C:\Users\andre\Desktop\REACTIV CEFAS\Fadrozole\Fadrozole/20201203_Cefas_Test8_Run3/Plate 5/@21/C12_02- exclu.tif</t>
  </si>
  <si>
    <t xml:space="preserve">C:\Users\andre\Desktop\REACTIV CEFAS\Fadrozole\Fadrozole/20201203_Cefas_Test8_Run3/Plate 5/@21/C12_03.tif </t>
  </si>
  <si>
    <t xml:space="preserve"> 35.4919 </t>
  </si>
  <si>
    <t xml:space="preserve">C:\Users\andre\Desktop\REACTIV CEFAS\Fadrozole\Fadrozole/20201203_Cefas_Test8_Run3/Plate 5/@21/D12_01.tif </t>
  </si>
  <si>
    <t xml:space="preserve"> 38.6437 </t>
  </si>
  <si>
    <t xml:space="preserve">C:\Users\andre\Desktop\REACTIV CEFAS\Fadrozole\Fadrozole/20201203_Cefas_Test8_Run3/Plate 5/@21/D12_02.tif </t>
  </si>
  <si>
    <t xml:space="preserve"> 10987.9865 </t>
  </si>
  <si>
    <t xml:space="preserve"> 38.3484 </t>
  </si>
  <si>
    <t xml:space="preserve">C:\Users\andre\Desktop\REACTIV CEFAS\Fadrozole\Fadrozole/20201203_Cefas_Test8_Run3/Plate 5/@21/D12_03.tif </t>
  </si>
  <si>
    <t xml:space="preserve"> 38.43 </t>
  </si>
  <si>
    <t>C:\Users\andre\Desktop\REACTIV CEFAS\Fadrozole\Fadrozole/20201203_Cefas_Test8_Run3/Plate 5/@21/E12_01- exclu.tif</t>
  </si>
  <si>
    <t>C:\Users\andre\Desktop\REACTIV CEFAS\Fadrozole\Fadrozole/20201203_Cefas_Test8_Run3/Plate 5/@21/E12_02- exclu.tif</t>
  </si>
  <si>
    <t>C:\Users\andre\Desktop\REACTIV CEFAS\Fadrozole\Fadrozole/20201203_Cefas_Test8_Run3/Plate 5/@21/E12_03- exclu.tif</t>
  </si>
  <si>
    <t xml:space="preserve">C:\Users\andre\Desktop\REACTIV CEFAS\Fadrozole\Fadrozole/20201203_Cefas_Test8_Run3/Plate 5/@21/F12_01.tif </t>
  </si>
  <si>
    <t xml:space="preserve"> 9949.7515 </t>
  </si>
  <si>
    <t xml:space="preserve"> 39.5239 </t>
  </si>
  <si>
    <t xml:space="preserve">C:\Users\andre\Desktop\REACTIV CEFAS\Fadrozole\Fadrozole/20201203_Cefas_Test8_Run3/Plate 5/@21/F12_02.tif </t>
  </si>
  <si>
    <t xml:space="preserve"> 43.8725 </t>
  </si>
  <si>
    <t xml:space="preserve">C:\Users\andre\Desktop\REACTIV CEFAS\Fadrozole\Fadrozole/20201203_Cefas_Test8_Run3/Plate 5/@21/F12_03.tif </t>
  </si>
  <si>
    <t xml:space="preserve"> 8262.6197 </t>
  </si>
  <si>
    <t xml:space="preserve"> 41.5 </t>
  </si>
  <si>
    <t xml:space="preserve">C:\Users\andre\Desktop\REACTIV CEFAS\Fadrozole\Fadrozole/20201203_Cefas_Test8_Run3/Plate 5/@21/G12_01.tif </t>
  </si>
  <si>
    <t xml:space="preserve"> 11961.3317 </t>
  </si>
  <si>
    <t xml:space="preserve"> 45.3418 </t>
  </si>
  <si>
    <t xml:space="preserve">C:\Users\andre\Desktop\REACTIV CEFAS\Fadrozole\Fadrozole/20201203_Cefas_Test8_Run3/Plate 5/@21/G12_02.tif </t>
  </si>
  <si>
    <t xml:space="preserve"> 36.2019 </t>
  </si>
  <si>
    <t xml:space="preserve">C:\Users\andre\Desktop\REACTIV CEFAS\Fadrozole\Fadrozole/20201203_Cefas_Test8_Run3/Plate 5/@21/G12_03.tif </t>
  </si>
  <si>
    <t xml:space="preserve"> 41.152 </t>
  </si>
  <si>
    <t>C:\Users\andre\Desktop\REACTIV CEFAS\Fadrozole\Fadrozole/20201203_Cefas_Test8_Run3/Plate 5/@21/H12_01- exclu.tif</t>
  </si>
  <si>
    <t xml:space="preserve">C:\Users\andre\Desktop\REACTIV CEFAS\Fadrozole\Fadrozole/20201203_Cefas_Test8_Run3/Plate 5/@21/H12_02.tif </t>
  </si>
  <si>
    <t xml:space="preserve"> 6424.0787 </t>
  </si>
  <si>
    <t xml:space="preserve"> 39.6633 </t>
  </si>
  <si>
    <t xml:space="preserve">C:\Users\andre\Desktop\REACTIV CEFAS\Fadrozole\Fadrozole/20201203_Cefas_Test8_Run3/Plate 5/@21/H12_03.tif </t>
  </si>
  <si>
    <t xml:space="preserve"> 11939.7018 </t>
  </si>
  <si>
    <t xml:space="preserve"> 47.6558 </t>
  </si>
  <si>
    <t xml:space="preserve">C:\Users\andre\Desktop\REACTIV CEFAS\Fadrozole\Fadrozole/20201203_Cefas_Test8_Run3/Plate 5/@21/ </t>
  </si>
  <si>
    <t xml:space="preserve"> 38.0599 </t>
  </si>
  <si>
    <t xml:space="preserve"> 13.0114 </t>
  </si>
  <si>
    <t xml:space="preserve"> 384241.542 </t>
  </si>
  <si>
    <t xml:space="preserve"> 249500.845 </t>
  </si>
  <si>
    <t xml:space="preserve">C:\Users\andre\Desktop\REACTIV CEFAS\Fadrozole\Fadrozole/20201203_Cefas_Test8_Run3/Plate 5/@8/A2_01.tif </t>
  </si>
  <si>
    <t xml:space="preserve"> 11874.8122 </t>
  </si>
  <si>
    <t xml:space="preserve"> 47.0401 </t>
  </si>
  <si>
    <t xml:space="preserve">C:\Users\andre\Desktop\REACTIV CEFAS\Fadrozole\Fadrozole/20201203_Cefas_Test8_Run3/Plate 5/@8/A2_02.tif </t>
  </si>
  <si>
    <t xml:space="preserve"> 12242.5204 </t>
  </si>
  <si>
    <t xml:space="preserve"> 46.4435 </t>
  </si>
  <si>
    <t xml:space="preserve">C:\Users\andre\Desktop\REACTIV CEFAS\Fadrozole\Fadrozole/20201203_Cefas_Test8_Run3/Plate 5/@8/A2_03.tif </t>
  </si>
  <si>
    <t xml:space="preserve"> 42.4185 </t>
  </si>
  <si>
    <t xml:space="preserve">C:\Users\andre\Desktop\REACTIV CEFAS\Fadrozole\Fadrozole/20201203_Cefas_Test8_Run3/Plate 5/@8/B2_01.tif </t>
  </si>
  <si>
    <t xml:space="preserve">C:\Users\andre\Desktop\REACTIV CEFAS\Fadrozole\Fadrozole/20201203_Cefas_Test8_Run3/Plate 5/@8/B2_02.tif </t>
  </si>
  <si>
    <t xml:space="preserve"> 31.2308 </t>
  </si>
  <si>
    <t xml:space="preserve">C:\Users\andre\Desktop\REACTIV CEFAS\Fadrozole\Fadrozole/20201203_Cefas_Test8_Run3/Plate 5/@8/B2_03.tif </t>
  </si>
  <si>
    <t xml:space="preserve"> 31.5676 </t>
  </si>
  <si>
    <t xml:space="preserve">C:\Users\andre\Desktop\REACTIV CEFAS\Fadrozole\Fadrozole/20201203_Cefas_Test8_Run3/Plate 5/@8/C2_01.tif </t>
  </si>
  <si>
    <t xml:space="preserve"> 7224.3848 </t>
  </si>
  <si>
    <t xml:space="preserve"> 37.1257 </t>
  </si>
  <si>
    <t xml:space="preserve">C:\Users\andre\Desktop\REACTIV CEFAS\Fadrozole\Fadrozole/20201203_Cefas_Test8_Run3/Plate 5/@8/C2_02.tif </t>
  </si>
  <si>
    <t xml:space="preserve"> 37.644 </t>
  </si>
  <si>
    <t xml:space="preserve">C:\Users\andre\Desktop\REACTIV CEFAS\Fadrozole\Fadrozole/20201203_Cefas_Test8_Run3/Plate 5/@8/C2_03.tif </t>
  </si>
  <si>
    <t xml:space="preserve"> 4693.6871 </t>
  </si>
  <si>
    <t xml:space="preserve"> 36.2857 </t>
  </si>
  <si>
    <t xml:space="preserve">C:\Users\andre\Desktop\REACTIV CEFAS\Fadrozole\Fadrozole/20201203_Cefas_Test8_Run3/Plate 5/@8/D2_01.tif </t>
  </si>
  <si>
    <t xml:space="preserve">C:\Users\andre\Desktop\REACTIV CEFAS\Fadrozole\Fadrozole/20201203_Cefas_Test8_Run3/Plate 5/@8/D2_02.tif </t>
  </si>
  <si>
    <t xml:space="preserve"> 34.9912 </t>
  </si>
  <si>
    <t xml:space="preserve">C:\Users\andre\Desktop\REACTIV CEFAS\Fadrozole\Fadrozole/20201203_Cefas_Test8_Run3/Plate 5/@8/D2_03.tif </t>
  </si>
  <si>
    <t xml:space="preserve"> 4282.7191 </t>
  </si>
  <si>
    <t xml:space="preserve"> 34.6414 </t>
  </si>
  <si>
    <t>C:\Users\andre\Desktop\REACTIV CEFAS\Fadrozole\Fadrozole/20201203_Cefas_Test8_Run3/Plate 5/@8/E2_01- exclu.tif</t>
  </si>
  <si>
    <t>C:\Users\andre\Desktop\REACTIV CEFAS\Fadrozole\Fadrozole/20201203_Cefas_Test8_Run3/Plate 5/@8/E2_02- exclu.tif</t>
  </si>
  <si>
    <t>C:\Users\andre\Desktop\REACTIV CEFAS\Fadrozole\Fadrozole/20201203_Cefas_Test8_Run3/Plate 5/@8/E2_03- exclu.tif</t>
  </si>
  <si>
    <t xml:space="preserve">C:\Users\andre\Desktop\REACTIV CEFAS\Fadrozole\Fadrozole/20201203_Cefas_Test8_Run3/Plate 5/@8/F2_01.tif </t>
  </si>
  <si>
    <t xml:space="preserve"> 11982.9616 </t>
  </si>
  <si>
    <t xml:space="preserve"> 45.296 </t>
  </si>
  <si>
    <t xml:space="preserve">C:\Users\andre\Desktop\REACTIV CEFAS\Fadrozole\Fadrozole/20201203_Cefas_Test8_Run3/Plate 5/@8/F2_02.tif </t>
  </si>
  <si>
    <t xml:space="preserve"> 10403.9793 </t>
  </si>
  <si>
    <t xml:space="preserve"> 38.7048 </t>
  </si>
  <si>
    <t xml:space="preserve">C:\Users\andre\Desktop\REACTIV CEFAS\Fadrozole\Fadrozole/20201203_Cefas_Test8_Run3/Plate 5/@8/F2_03.tif </t>
  </si>
  <si>
    <t xml:space="preserve"> 38.6005 </t>
  </si>
  <si>
    <t xml:space="preserve">C:\Users\andre\Desktop\REACTIV CEFAS\Fadrozole\Fadrozole/20201203_Cefas_Test8_Run3/Plate 5/@8/G2_01.tif </t>
  </si>
  <si>
    <t xml:space="preserve"> 36.8099 </t>
  </si>
  <si>
    <t xml:space="preserve">C:\Users\andre\Desktop\REACTIV CEFAS\Fadrozole\Fadrozole/20201203_Cefas_Test8_Run3/Plate 5/@8/G2_02.tif </t>
  </si>
  <si>
    <t xml:space="preserve"> 7246.0147 </t>
  </si>
  <si>
    <t xml:space="preserve"> 36.6418 </t>
  </si>
  <si>
    <t xml:space="preserve">C:\Users\andre\Desktop\REACTIV CEFAS\Fadrozole\Fadrozole/20201203_Cefas_Test8_Run3/Plate 5/@8/G2_03.tif </t>
  </si>
  <si>
    <t xml:space="preserve"> 35.3089 </t>
  </si>
  <si>
    <t xml:space="preserve">C:\Users\andre\Desktop\REACTIV CEFAS\Fadrozole\Fadrozole/20201203_Cefas_Test8_Run3/Plate 5/@8/H2_01.tif </t>
  </si>
  <si>
    <t xml:space="preserve"> 31.9512 </t>
  </si>
  <si>
    <t xml:space="preserve">C:\Users\andre\Desktop\REACTIV CEFAS\Fadrozole\Fadrozole/20201203_Cefas_Test8_Run3/Plate 5/@8/H2_02.tif </t>
  </si>
  <si>
    <t xml:space="preserve"> 40.4066 </t>
  </si>
  <si>
    <t xml:space="preserve">C:\Users\andre\Desktop\REACTIV CEFAS\Fadrozole\Fadrozole/20201203_Cefas_Test8_Run3/Plate 5/@8/H2_03.tif </t>
  </si>
  <si>
    <t xml:space="preserve"> 4239.4593 </t>
  </si>
  <si>
    <t xml:space="preserve"> 36.4337 </t>
  </si>
  <si>
    <t xml:space="preserve">C:\Users\andre\Desktop\REACTIV CEFAS\Fadrozole\Fadrozole/20201203_Cefas_Test8_Run3/Plate 5/@8/ </t>
  </si>
  <si>
    <t xml:space="preserve"> 37.0816 </t>
  </si>
  <si>
    <t xml:space="preserve"> 9.5298 </t>
  </si>
  <si>
    <t xml:space="preserve"> 222142.245 </t>
  </si>
  <si>
    <t>C:\Users\andre\Desktop\REACTIV CEFAS\Fadrozole\Fadrozole/20201203_Cefas_Test8_Run3/Plate 5/@9/A3_01- exclu.tif</t>
  </si>
  <si>
    <t>C:\Users\andre\Desktop\REACTIV CEFAS\Fadrozole\Fadrozole/20201203_Cefas_Test8_Run3/Plate 5/@9/A3_02- exclu.tif</t>
  </si>
  <si>
    <t>C:\Users\andre\Desktop\REACTIV CEFAS\Fadrozole\Fadrozole/20201203_Cefas_Test8_Run3/Plate 5/@9/A3_03- exclu.tif</t>
  </si>
  <si>
    <t xml:space="preserve">C:\Users\andre\Desktop\REACTIV CEFAS\Fadrozole\Fadrozole/20201203_Cefas_Test8_Run3/Plate 5/@9/B3_01.tif </t>
  </si>
  <si>
    <t xml:space="preserve"> 9776.7124 </t>
  </si>
  <si>
    <t xml:space="preserve"> 40.9226 </t>
  </si>
  <si>
    <t xml:space="preserve">C:\Users\andre\Desktop\REACTIV CEFAS\Fadrozole\Fadrozole/20201203_Cefas_Test8_Run3/Plate 5/@9/B3_02.tif </t>
  </si>
  <si>
    <t xml:space="preserve"> 4801.8366 </t>
  </si>
  <si>
    <t xml:space="preserve"> 37.3784 </t>
  </si>
  <si>
    <t xml:space="preserve">C:\Users\andre\Desktop\REACTIV CEFAS\Fadrozole\Fadrozole/20201203_Cefas_Test8_Run3/Plate 5/@9/B3_03.tif </t>
  </si>
  <si>
    <t xml:space="preserve"> 38.075 </t>
  </si>
  <si>
    <t xml:space="preserve">C:\Users\andre\Desktop\REACTIV CEFAS\Fadrozole\Fadrozole/20201203_Cefas_Test8_Run3/Plate 5/@9/C3_01.tif </t>
  </si>
  <si>
    <t xml:space="preserve"> 14167.581 </t>
  </si>
  <si>
    <t xml:space="preserve"> 37.6763 </t>
  </si>
  <si>
    <t xml:space="preserve">C:\Users\andre\Desktop\REACTIV CEFAS\Fadrozole\Fadrozole/20201203_Cefas_Test8_Run3/Plate 5/@9/C3_02.tif </t>
  </si>
  <si>
    <t xml:space="preserve"> 38.2211 </t>
  </si>
  <si>
    <t xml:space="preserve">C:\Users\andre\Desktop\REACTIV CEFAS\Fadrozole\Fadrozole/20201203_Cefas_Test8_Run3/Plate 5/@9/C3_03.tif </t>
  </si>
  <si>
    <t xml:space="preserve"> 13778.2429 </t>
  </si>
  <si>
    <t xml:space="preserve"> 38.9184 </t>
  </si>
  <si>
    <t xml:space="preserve">C:\Users\andre\Desktop\REACTIV CEFAS\Fadrozole\Fadrozole/20201203_Cefas_Test8_Run3/Plate 5/@9/D3_01.tif </t>
  </si>
  <si>
    <t xml:space="preserve"> 2876.776 </t>
  </si>
  <si>
    <t xml:space="preserve"> 31.9248 </t>
  </si>
  <si>
    <t xml:space="preserve">C:\Users\andre\Desktop\REACTIV CEFAS\Fadrozole\Fadrozole/20201203_Cefas_Test8_Run3/Plate 5/@9/D3_02.tif </t>
  </si>
  <si>
    <t xml:space="preserve"> 32.28 </t>
  </si>
  <si>
    <t xml:space="preserve">C:\Users\andre\Desktop\REACTIV CEFAS\Fadrozole\Fadrozole/20201203_Cefas_Test8_Run3/Plate 5/@9/D3_03.tif </t>
  </si>
  <si>
    <t xml:space="preserve"> 4672.0572 </t>
  </si>
  <si>
    <t xml:space="preserve"> 34.625 </t>
  </si>
  <si>
    <t xml:space="preserve">C:\Users\andre\Desktop\REACTIV CEFAS\Fadrozole\Fadrozole/20201203_Cefas_Test8_Run3/Plate 5/@9/E3_01.tif </t>
  </si>
  <si>
    <t xml:space="preserve"> 39.4659 </t>
  </si>
  <si>
    <t xml:space="preserve">C:\Users\andre\Desktop\REACTIV CEFAS\Fadrozole\Fadrozole/20201203_Cefas_Test8_Run3/Plate 5/@9/E3_02.tif </t>
  </si>
  <si>
    <t xml:space="preserve"> 39.8934 </t>
  </si>
  <si>
    <t xml:space="preserve">C:\Users\andre\Desktop\REACTIV CEFAS\Fadrozole\Fadrozole/20201203_Cefas_Test8_Run3/Plate 5/@9/E3_03.tif </t>
  </si>
  <si>
    <t xml:space="preserve"> 9495.5237 </t>
  </si>
  <si>
    <t xml:space="preserve"> 40.3713 </t>
  </si>
  <si>
    <t xml:space="preserve">C:\Users\andre\Desktop\REACTIV CEFAS\Fadrozole\Fadrozole/20201203_Cefas_Test8_Run3/Plate 5/@9/F3_01.tif </t>
  </si>
  <si>
    <t xml:space="preserve"> 32.8226 </t>
  </si>
  <si>
    <t xml:space="preserve">C:\Users\andre\Desktop\REACTIV CEFAS\Fadrozole\Fadrozole/20201203_Cefas_Test8_Run3/Plate 5/@9/F3_02.tif </t>
  </si>
  <si>
    <t xml:space="preserve"> 39.1564 </t>
  </si>
  <si>
    <t xml:space="preserve">C:\Users\andre\Desktop\REACTIV CEFAS\Fadrozole\Fadrozole/20201203_Cefas_Test8_Run3/Plate 5/@9/F3_03.tif </t>
  </si>
  <si>
    <t xml:space="preserve"> 37.4697 </t>
  </si>
  <si>
    <t xml:space="preserve">C:\Users\andre\Desktop\REACTIV CEFAS\Fadrozole\Fadrozole/20201203_Cefas_Test8_Run3/Plate 5/@9/G3_01.tif </t>
  </si>
  <si>
    <t xml:space="preserve"> 3590.5625 </t>
  </si>
  <si>
    <t xml:space="preserve"> 38.012 </t>
  </si>
  <si>
    <t xml:space="preserve">C:\Users\andre\Desktop\REACTIV CEFAS\Fadrozole\Fadrozole/20201203_Cefas_Test8_Run3/Plate 5/@9/G3_02.tif </t>
  </si>
  <si>
    <t xml:space="preserve"> 37.3769 </t>
  </si>
  <si>
    <t xml:space="preserve">C:\Users\andre\Desktop\REACTIV CEFAS\Fadrozole\Fadrozole/20201203_Cefas_Test8_Run3/Plate 5/@9/G3_03.tif </t>
  </si>
  <si>
    <t xml:space="preserve"> 37.172 </t>
  </si>
  <si>
    <t xml:space="preserve">C:\Users\andre\Desktop\REACTIV CEFAS\Fadrozole\Fadrozole/20201203_Cefas_Test8_Run3/Plate 5/@9/H3_01.tif </t>
  </si>
  <si>
    <t xml:space="preserve"> 12415.5595 </t>
  </si>
  <si>
    <t xml:space="preserve"> 41.1202 </t>
  </si>
  <si>
    <t xml:space="preserve">C:\Users\andre\Desktop\REACTIV CEFAS\Fadrozole\Fadrozole/20201203_Cefas_Test8_Run3/Plate 5/@9/H3_02.tif </t>
  </si>
  <si>
    <t xml:space="preserve"> 43.2985 </t>
  </si>
  <si>
    <t xml:space="preserve">C:\Users\andre\Desktop\REACTIV CEFAS\Fadrozole\Fadrozole/20201203_Cefas_Test8_Run3/Plate 5/@9/H3_03.tif </t>
  </si>
  <si>
    <t xml:space="preserve"> 39.6347 </t>
  </si>
  <si>
    <t xml:space="preserve">C:\Users\andre\Desktop\REACTIV CEFAS\Fadrozole\Fadrozole/20201203_Cefas_Test8_Run3/Plate 5/@9/ </t>
  </si>
  <si>
    <t xml:space="preserve"> 35.684 </t>
  </si>
  <si>
    <t xml:space="preserve"> 8.357 </t>
  </si>
  <si>
    <t xml:space="preserve"> 249616.292 </t>
  </si>
  <si>
    <t xml:space="preserve"> 180672.027 </t>
  </si>
  <si>
    <t xml:space="preserve">C:\Users\andre\Desktop\REACTIV CEFAS\Fadrozole\Fadrozole/20201217_Cefas_Test10_Run1/Plate 1/@1/A10_01.tif </t>
  </si>
  <si>
    <t xml:space="preserve"> 39.5348 </t>
  </si>
  <si>
    <t>C:\Users\andre\Desktop\REACTIV CEFAS\Fadrozole\Fadrozole/20201217_Cefas_Test10_Run1/Plate 1/@1/A10_02- exclu.tif</t>
  </si>
  <si>
    <t xml:space="preserve">C:\Users\andre\Desktop\REACTIV CEFAS\Fadrozole\Fadrozole/20201217_Cefas_Test10_Run1/Plate 1/@1/A10_03.tif </t>
  </si>
  <si>
    <t xml:space="preserve"> 37.2823 </t>
  </si>
  <si>
    <t xml:space="preserve">C:\Users\andre\Desktop\REACTIV CEFAS\Fadrozole\Fadrozole/20201217_Cefas_Test10_Run1/Plate 1/@1/A10_04.tif </t>
  </si>
  <si>
    <t xml:space="preserve"> 9365.7444 </t>
  </si>
  <si>
    <t xml:space="preserve"> 37.3048 </t>
  </si>
  <si>
    <t xml:space="preserve">C:\Users\andre\Desktop\REACTIV CEFAS\Fadrozole\Fadrozole/20201217_Cefas_Test10_Run1/Plate 1/@1/B10_01.tif </t>
  </si>
  <si>
    <t xml:space="preserve"> 34.9157 </t>
  </si>
  <si>
    <t xml:space="preserve">C:\Users\andre\Desktop\REACTIV CEFAS\Fadrozole\Fadrozole/20201217_Cefas_Test10_Run1/Plate 1/@1/B10_02.tif </t>
  </si>
  <si>
    <t xml:space="preserve"> 4585.5377 </t>
  </si>
  <si>
    <t xml:space="preserve"> 34.0377 </t>
  </si>
  <si>
    <t xml:space="preserve">C:\Users\andre\Desktop\REACTIV CEFAS\Fadrozole\Fadrozole/20201217_Cefas_Test10_Run1/Plate 1/@1/B10_03.tif </t>
  </si>
  <si>
    <t xml:space="preserve"> 36.0537 </t>
  </si>
  <si>
    <t xml:space="preserve">C:\Users\andre\Desktop\REACTIV CEFAS\Fadrozole\Fadrozole/20201217_Cefas_Test10_Run1/Plate 1/@1/B10_04.tif </t>
  </si>
  <si>
    <t xml:space="preserve"> 34.1605 </t>
  </si>
  <si>
    <t xml:space="preserve">C:\Users\andre\Desktop\REACTIV CEFAS\Fadrozole\Fadrozole/20201217_Cefas_Test10_Run1/Plate 1/@1/C10_01.tif </t>
  </si>
  <si>
    <t xml:space="preserve"> 30.2 </t>
  </si>
  <si>
    <t xml:space="preserve">C:\Users\andre\Desktop\REACTIV CEFAS\Fadrozole\Fadrozole/20201217_Cefas_Test10_Run1/Plate 1/@1/C10_02.tif </t>
  </si>
  <si>
    <t xml:space="preserve"> 45.5267 </t>
  </si>
  <si>
    <t xml:space="preserve">C:\Users\andre\Desktop\REACTIV CEFAS\Fadrozole\Fadrozole/20201217_Cefas_Test10_Run1/Plate 1/@1/C10_03.tif </t>
  </si>
  <si>
    <t xml:space="preserve"> 30.7143 </t>
  </si>
  <si>
    <t xml:space="preserve">C:\Users\andre\Desktop\REACTIV CEFAS\Fadrozole\Fadrozole/20201217_Cefas_Test10_Run1/Plate 1/@1/C10_04.tif </t>
  </si>
  <si>
    <t xml:space="preserve">C:\Users\andre\Desktop\REACTIV CEFAS\Fadrozole\Fadrozole/20201217_Cefas_Test10_Run1/Plate 1/@1/D10_01.tif </t>
  </si>
  <si>
    <t xml:space="preserve"> 36.7835 </t>
  </si>
  <si>
    <t xml:space="preserve">C:\Users\andre\Desktop\REACTIV CEFAS\Fadrozole\Fadrozole/20201217_Cefas_Test10_Run1/Plate 1/@1/D10_02.tif </t>
  </si>
  <si>
    <t xml:space="preserve"> 38.7709 </t>
  </si>
  <si>
    <t xml:space="preserve">C:\Users\andre\Desktop\REACTIV CEFAS\Fadrozole\Fadrozole/20201217_Cefas_Test10_Run1/Plate 1/@1/D10_03.tif </t>
  </si>
  <si>
    <t xml:space="preserve"> 10901.4669 </t>
  </si>
  <si>
    <t xml:space="preserve"> 39.9901 </t>
  </si>
  <si>
    <t xml:space="preserve">C:\Users\andre\Desktop\REACTIV CEFAS\Fadrozole\Fadrozole/20201217_Cefas_Test10_Run1/Plate 1/@1/D10_04.tif </t>
  </si>
  <si>
    <t xml:space="preserve"> 38.5854 </t>
  </si>
  <si>
    <t xml:space="preserve">C:\Users\andre\Desktop\REACTIV CEFAS\Fadrozole\Fadrozole/20201217_Cefas_Test10_Run1/Plate 1/@1/E10_01.tif </t>
  </si>
  <si>
    <t xml:space="preserve"> 43.4192 </t>
  </si>
  <si>
    <t xml:space="preserve">C:\Users\andre\Desktop\REACTIV CEFAS\Fadrozole\Fadrozole/20201217_Cefas_Test10_Run1/Plate 1/@1/E10_02.tif </t>
  </si>
  <si>
    <t xml:space="preserve"> 6575.488 </t>
  </si>
  <si>
    <t xml:space="preserve"> 45.7599 </t>
  </si>
  <si>
    <t xml:space="preserve">C:\Users\andre\Desktop\REACTIV CEFAS\Fadrozole\Fadrozole/20201217_Cefas_Test10_Run1/Plate 1/@1/E10_03.tif </t>
  </si>
  <si>
    <t xml:space="preserve"> 39.4246 </t>
  </si>
  <si>
    <t xml:space="preserve">C:\Users\andre\Desktop\REACTIV CEFAS\Fadrozole\Fadrozole/20201217_Cefas_Test10_Run1/Plate 1/@1/E10_04.tif </t>
  </si>
  <si>
    <t xml:space="preserve"> 42.3379 </t>
  </si>
  <si>
    <t xml:space="preserve">C:\Users\andre\Desktop\REACTIV CEFAS\Fadrozole\Fadrozole/20201217_Cefas_Test10_Run1/Plate 1/@1/F10_01.tif </t>
  </si>
  <si>
    <t xml:space="preserve"> 6359.189 </t>
  </si>
  <si>
    <t xml:space="preserve"> 38.2789 </t>
  </si>
  <si>
    <t xml:space="preserve">C:\Users\andre\Desktop\REACTIV CEFAS\Fadrozole\Fadrozole/20201217_Cefas_Test10_Run1/Plate 1/@1/F10_02.tif </t>
  </si>
  <si>
    <t xml:space="preserve"> 9646.933 </t>
  </si>
  <si>
    <t xml:space="preserve"> 44.0022 </t>
  </si>
  <si>
    <t xml:space="preserve">C:\Users\andre\Desktop\REACTIV CEFAS\Fadrozole\Fadrozole/20201217_Cefas_Test10_Run1/Plate 1/@1/F10_03.tif </t>
  </si>
  <si>
    <t xml:space="preserve"> 41.0885 </t>
  </si>
  <si>
    <t xml:space="preserve">C:\Users\andre\Desktop\REACTIV CEFAS\Fadrozole\Fadrozole/20201217_Cefas_Test10_Run1/Plate 1/@1/F10_04.tif </t>
  </si>
  <si>
    <t xml:space="preserve"> 6380.8189 </t>
  </si>
  <si>
    <t xml:space="preserve"> 37.7763 </t>
  </si>
  <si>
    <t xml:space="preserve">C:\Users\andre\Desktop\REACTIV CEFAS\Fadrozole\Fadrozole/20201217_Cefas_Test10_Run1/Plate 1/@1/G10_01.tif </t>
  </si>
  <si>
    <t xml:space="preserve"> 8284.2496 </t>
  </si>
  <si>
    <t xml:space="preserve"> 39.9765 </t>
  </si>
  <si>
    <t xml:space="preserve">C:\Users\andre\Desktop\REACTIV CEFAS\Fadrozole\Fadrozole/20201217_Cefas_Test10_Run1/Plate 1/@1/G10_02.tif </t>
  </si>
  <si>
    <t xml:space="preserve"> 5904.9612 </t>
  </si>
  <si>
    <t xml:space="preserve"> 37.5788 </t>
  </si>
  <si>
    <t xml:space="preserve">C:\Users\andre\Desktop\REACTIV CEFAS\Fadrozole\Fadrozole/20201217_Cefas_Test10_Run1/Plate 1/@1/G10_03.tif </t>
  </si>
  <si>
    <t xml:space="preserve"> 37.8284 </t>
  </si>
  <si>
    <t xml:space="preserve">C:\Users\andre\Desktop\REACTIV CEFAS\Fadrozole\Fadrozole/20201217_Cefas_Test10_Run1/Plate 1/@1/G10_04.tif </t>
  </si>
  <si>
    <t xml:space="preserve"> 11334.0648 </t>
  </si>
  <si>
    <t xml:space="preserve"> 41.7004 </t>
  </si>
  <si>
    <t xml:space="preserve">C:\Users\andre\Desktop\REACTIV CEFAS\Fadrozole\Fadrozole/20201217_Cefas_Test10_Run1/Plate 1/@1/H10_01.tif </t>
  </si>
  <si>
    <t xml:space="preserve"> 36.2598 </t>
  </si>
  <si>
    <t xml:space="preserve">C:\Users\andre\Desktop\REACTIV CEFAS\Fadrozole\Fadrozole/20201217_Cefas_Test10_Run1/Plate 1/@1/H10_02.tif </t>
  </si>
  <si>
    <t xml:space="preserve"> 30.375 </t>
  </si>
  <si>
    <t xml:space="preserve">C:\Users\andre\Desktop\REACTIV CEFAS\Fadrozole\Fadrozole/20201217_Cefas_Test10_Run1/Plate 1/@1/H10_03.tif </t>
  </si>
  <si>
    <t xml:space="preserve"> 40.1843 </t>
  </si>
  <si>
    <t xml:space="preserve">C:\Users\andre\Desktop\REACTIV CEFAS\Fadrozole\Fadrozole/20201217_Cefas_Test10_Run1/Plate 1/@1/H10_04.tif </t>
  </si>
  <si>
    <t xml:space="preserve"> 39.1603 </t>
  </si>
  <si>
    <t xml:space="preserve">C:\Users\andre\Desktop\REACTIV CEFAS\Fadrozole\Fadrozole/20201217_Cefas_Test10_Run1/Plate 1/@1/ </t>
  </si>
  <si>
    <t xml:space="preserve"> 36.8441 </t>
  </si>
  <si>
    <t xml:space="preserve"> 7.8914 </t>
  </si>
  <si>
    <t xml:space="preserve"> 233202.75 </t>
  </si>
  <si>
    <t xml:space="preserve"> 137729.762 </t>
  </si>
  <si>
    <t xml:space="preserve">C:\Users\andre\Desktop\REACTIV CEFAS\Fadrozole\Fadrozole/20201217_Cefas_Test10_Run1/Plate 1/@13/A8_01.tif </t>
  </si>
  <si>
    <t xml:space="preserve"> 41.1685 </t>
  </si>
  <si>
    <t xml:space="preserve">C:\Users\andre\Desktop\REACTIV CEFAS\Fadrozole\Fadrozole/20201217_Cefas_Test10_Run1/Plate 1/@13/A8_02.tif </t>
  </si>
  <si>
    <t xml:space="preserve"> 33.6587 </t>
  </si>
  <si>
    <t xml:space="preserve">C:\Users\andre\Desktop\REACTIV CEFAS\Fadrozole\Fadrozole/20201217_Cefas_Test10_Run1/Plate 1/@13/A8_03.tif </t>
  </si>
  <si>
    <t xml:space="preserve"> 7613.7229 </t>
  </si>
  <si>
    <t xml:space="preserve"> 40.0199 </t>
  </si>
  <si>
    <t xml:space="preserve">C:\Users\andre\Desktop\REACTIV CEFAS\Fadrozole\Fadrozole/20201217_Cefas_Test10_Run1/Plate 1/@13/A8_04.tif </t>
  </si>
  <si>
    <t xml:space="preserve"> 35.4292 </t>
  </si>
  <si>
    <t xml:space="preserve">C:\Users\andre\Desktop\REACTIV CEFAS\Fadrozole\Fadrozole/20201217_Cefas_Test10_Run1/Plate 1/@13/B8_01.tif </t>
  </si>
  <si>
    <t xml:space="preserve"> 42913.7109 </t>
  </si>
  <si>
    <t xml:space="preserve"> 37.5146 </t>
  </si>
  <si>
    <t xml:space="preserve">C:\Users\andre\Desktop\REACTIV CEFAS\Fadrozole\Fadrozole/20201217_Cefas_Test10_Run1/Plate 1/@13/B8_02.tif </t>
  </si>
  <si>
    <t xml:space="preserve"> 59785.0288 </t>
  </si>
  <si>
    <t xml:space="preserve"> 40.9801 </t>
  </si>
  <si>
    <t xml:space="preserve">C:\Users\andre\Desktop\REACTIV CEFAS\Fadrozole\Fadrozole/20201217_Cefas_Test10_Run1/Plate 1/@13/B8_03.tif </t>
  </si>
  <si>
    <t xml:space="preserve"> 56951.5126 </t>
  </si>
  <si>
    <t xml:space="preserve"> 38.8982 </t>
  </si>
  <si>
    <t xml:space="preserve">C:\Users\andre\Desktop\REACTIV CEFAS\Fadrozole\Fadrozole/20201217_Cefas_Test10_Run1/Plate 1/@13/B8_04.tif </t>
  </si>
  <si>
    <t xml:space="preserve"> 41.9385 </t>
  </si>
  <si>
    <t xml:space="preserve">C:\Users\andre\Desktop\REACTIV CEFAS\Fadrozole\Fadrozole/20201217_Cefas_Test10_Run1/Plate 1/@13/C8_01.tif </t>
  </si>
  <si>
    <t xml:space="preserve"> 45098.3303 </t>
  </si>
  <si>
    <t xml:space="preserve"> 39.1856 </t>
  </si>
  <si>
    <t xml:space="preserve">C:\Users\andre\Desktop\REACTIV CEFAS\Fadrozole\Fadrozole/20201217_Cefas_Test10_Run1/Plate 1/@13/C8_02.tif </t>
  </si>
  <si>
    <t xml:space="preserve"> 47109.9105 </t>
  </si>
  <si>
    <t xml:space="preserve"> 38.1253 </t>
  </si>
  <si>
    <t xml:space="preserve">C:\Users\andre\Desktop\REACTIV CEFAS\Fadrozole\Fadrozole/20201217_Cefas_Test10_Run1/Plate 1/@13/C8_03.tif </t>
  </si>
  <si>
    <t xml:space="preserve"> 47953.4764 </t>
  </si>
  <si>
    <t xml:space="preserve"> 37.4899 </t>
  </si>
  <si>
    <t xml:space="preserve">C:\Users\andre\Desktop\REACTIV CEFAS\Fadrozole\Fadrozole/20201217_Cefas_Test10_Run1/Plate 1/@13/C8_04.tif </t>
  </si>
  <si>
    <t xml:space="preserve"> 47672.2878 </t>
  </si>
  <si>
    <t xml:space="preserve"> 38.9088 </t>
  </si>
  <si>
    <t xml:space="preserve">C:\Users\andre\Desktop\REACTIV CEFAS\Fadrozole\Fadrozole/20201217_Cefas_Test10_Run1/Plate 1/@13/D8_01.tif </t>
  </si>
  <si>
    <t xml:space="preserve"> 54723.6334 </t>
  </si>
  <si>
    <t xml:space="preserve"> 45.0051 </t>
  </si>
  <si>
    <t>C:\Users\andre\Desktop\REACTIV CEFAS\Fadrozole\Fadrozole/20201217_Cefas_Test10_Run1/Plate 1/@13/D8_02- exclu.tif</t>
  </si>
  <si>
    <t xml:space="preserve">C:\Users\andre\Desktop\REACTIV CEFAS\Fadrozole\Fadrozole/20201217_Cefas_Test10_Run1/Plate 1/@13/D8_03.tif </t>
  </si>
  <si>
    <t xml:space="preserve"> 54399.185 </t>
  </si>
  <si>
    <t xml:space="preserve"> 45.8537 </t>
  </si>
  <si>
    <t xml:space="preserve">C:\Users\andre\Desktop\REACTIV CEFAS\Fadrozole\Fadrozole/20201217_Cefas_Test10_Run1/Plate 1/@13/D8_04.tif </t>
  </si>
  <si>
    <t xml:space="preserve"> 51176.3307 </t>
  </si>
  <si>
    <t xml:space="preserve"> 46.9484 </t>
  </si>
  <si>
    <t xml:space="preserve">C:\Users\andre\Desktop\REACTIV CEFAS\Fadrozole\Fadrozole/20201217_Cefas_Test10_Run1/Plate 1/@13/E8_01.tif </t>
  </si>
  <si>
    <t xml:space="preserve"> 18601.7094 </t>
  </si>
  <si>
    <t xml:space="preserve"> 35.343 </t>
  </si>
  <si>
    <t>C:\Users\andre\Desktop\REACTIV CEFAS\Fadrozole\Fadrozole/20201217_Cefas_Test10_Run1/Plate 1/@13/E8_02- exclu.tif</t>
  </si>
  <si>
    <t xml:space="preserve">C:\Users\andre\Desktop\REACTIV CEFAS\Fadrozole\Fadrozole/20201217_Cefas_Test10_Run1/Plate 1/@13/E8_03.tif </t>
  </si>
  <si>
    <t xml:space="preserve"> 23490.0656 </t>
  </si>
  <si>
    <t xml:space="preserve"> 36.0617 </t>
  </si>
  <si>
    <t xml:space="preserve">C:\Users\andre\Desktop\REACTIV CEFAS\Fadrozole\Fadrozole/20201217_Cefas_Test10_Run1/Plate 1/@13/E8_04.tif </t>
  </si>
  <si>
    <t xml:space="preserve"> 11571.9936 </t>
  </si>
  <si>
    <t xml:space="preserve"> 35.3196 </t>
  </si>
  <si>
    <t>C:\Users\andre\Desktop\REACTIV CEFAS\Fadrozole\Fadrozole/20201217_Cefas_Test10_Run1/Plate 1/@13/F8_01- exclu.tif</t>
  </si>
  <si>
    <t xml:space="preserve">C:\Users\andre\Desktop\REACTIV CEFAS\Fadrozole\Fadrozole/20201217_Cefas_Test10_Run1/Plate 1/@13/F8_02.tif </t>
  </si>
  <si>
    <t xml:space="preserve"> 74320.3179 </t>
  </si>
  <si>
    <t xml:space="preserve"> 42.2884 </t>
  </si>
  <si>
    <t xml:space="preserve">C:\Users\andre\Desktop\REACTIV CEFAS\Fadrozole\Fadrozole/20201217_Cefas_Test10_Run1/Plate 1/@13/F8_03.tif </t>
  </si>
  <si>
    <t xml:space="preserve"> 80333.4287 </t>
  </si>
  <si>
    <t xml:space="preserve"> 44.6117 </t>
  </si>
  <si>
    <t xml:space="preserve">C:\Users\andre\Desktop\REACTIV CEFAS\Fadrozole\Fadrozole/20201217_Cefas_Test10_Run1/Plate 1/@13/F8_04.tif </t>
  </si>
  <si>
    <t xml:space="preserve"> 78365.1082 </t>
  </si>
  <si>
    <t xml:space="preserve"> 43.4041 </t>
  </si>
  <si>
    <t xml:space="preserve">C:\Users\andre\Desktop\REACTIV CEFAS\Fadrozole\Fadrozole/20201217_Cefas_Test10_Run1/Plate 1/@13/G8_01.tif </t>
  </si>
  <si>
    <t xml:space="preserve"> 61450.5306 </t>
  </si>
  <si>
    <t xml:space="preserve"> 39.6586 </t>
  </si>
  <si>
    <t xml:space="preserve">C:\Users\andre\Desktop\REACTIV CEFAS\Fadrozole\Fadrozole/20201217_Cefas_Test10_Run1/Plate 1/@13/G8_02.tif </t>
  </si>
  <si>
    <t xml:space="preserve"> 58487.2351 </t>
  </si>
  <si>
    <t xml:space="preserve"> 39.0074 </t>
  </si>
  <si>
    <t xml:space="preserve">C:\Users\andre\Desktop\REACTIV CEFAS\Fadrozole\Fadrozole/20201217_Cefas_Test10_Run1/Plate 1/@13/G8_03.tif </t>
  </si>
  <si>
    <t xml:space="preserve"> 64089.3778 </t>
  </si>
  <si>
    <t xml:space="preserve"> 38.9423 </t>
  </si>
  <si>
    <t xml:space="preserve">C:\Users\andre\Desktop\REACTIV CEFAS\Fadrozole\Fadrozole/20201217_Cefas_Test10_Run1/Plate 1/@13/G8_04.tif </t>
  </si>
  <si>
    <t xml:space="preserve"> 45530.9282 </t>
  </si>
  <si>
    <t xml:space="preserve"> 36.439 </t>
  </si>
  <si>
    <t xml:space="preserve">C:\Users\andre\Desktop\REACTIV CEFAS\Fadrozole\Fadrozole/20201217_Cefas_Test10_Run1/Plate 1/@13/H8_01.tif </t>
  </si>
  <si>
    <t xml:space="preserve"> 76915.9053 </t>
  </si>
  <si>
    <t xml:space="preserve"> 47.7663 </t>
  </si>
  <si>
    <t>C:\Users\andre\Desktop\REACTIV CEFAS\Fadrozole\Fadrozole/20201217_Cefas_Test10_Run1/Plate 1/@13/H8_02- exclu.tif</t>
  </si>
  <si>
    <t>C:\Users\andre\Desktop\REACTIV CEFAS\Fadrozole\Fadrozole/20201217_Cefas_Test10_Run1/Plate 1/@13/H8_03- exclu.tif</t>
  </si>
  <si>
    <t xml:space="preserve">C:\Users\andre\Desktop\REACTIV CEFAS\Fadrozole\Fadrozole/20201217_Cefas_Test10_Run1/Plate 1/@13/H8_04.tif </t>
  </si>
  <si>
    <t xml:space="preserve"> 92338.0202 </t>
  </si>
  <si>
    <t xml:space="preserve"> 44.0412 </t>
  </si>
  <si>
    <t xml:space="preserve">C:\Users\andre\Desktop\REACTIV CEFAS\Fadrozole\Fadrozole/20201217_Cefas_Test10_Run1/Plate 1/@13/ </t>
  </si>
  <si>
    <t xml:space="preserve"> 40.4529 </t>
  </si>
  <si>
    <t xml:space="preserve"> 4.3915 </t>
  </si>
  <si>
    <t xml:space="preserve"> 2082927.84 </t>
  </si>
  <si>
    <t xml:space="preserve"> 1204866.54 </t>
  </si>
  <si>
    <t xml:space="preserve">C:\Users\andre\Desktop\REACTIV CEFAS\Fadrozole\Fadrozole/20201217_Cefas_Test10_Run1/Plate 1/@14/A9_01.tif </t>
  </si>
  <si>
    <t xml:space="preserve"> 22473.4605 </t>
  </si>
  <si>
    <t xml:space="preserve"> 35.6959 </t>
  </si>
  <si>
    <t xml:space="preserve">C:\Users\andre\Desktop\REACTIV CEFAS\Fadrozole\Fadrozole/20201217_Cefas_Test10_Run1/Plate 1/@14/A9_02.tif </t>
  </si>
  <si>
    <t xml:space="preserve"> 18709.8589 </t>
  </si>
  <si>
    <t xml:space="preserve"> 33.6335 </t>
  </si>
  <si>
    <t xml:space="preserve">C:\Users\andre\Desktop\REACTIV CEFAS\Fadrozole\Fadrozole/20201217_Cefas_Test10_Run1/Plate 1/@14/A9_03.tif </t>
  </si>
  <si>
    <t xml:space="preserve"> 17758.1435 </t>
  </si>
  <si>
    <t xml:space="preserve"> 34.4056 </t>
  </si>
  <si>
    <t xml:space="preserve">C:\Users\andre\Desktop\REACTIV CEFAS\Fadrozole\Fadrozole/20201217_Cefas_Test10_Run1/Plate 1/@14/A9_04.tif </t>
  </si>
  <si>
    <t xml:space="preserve"> 21565.0049 </t>
  </si>
  <si>
    <t xml:space="preserve"> 34.5356 </t>
  </si>
  <si>
    <t xml:space="preserve">C:\Users\andre\Desktop\REACTIV CEFAS\Fadrozole\Fadrozole/20201217_Cefas_Test10_Run1/Plate 1/@14/B9_01.tif </t>
  </si>
  <si>
    <t xml:space="preserve"> 37.2241 </t>
  </si>
  <si>
    <t xml:space="preserve">C:\Users\andre\Desktop\REACTIV CEFAS\Fadrozole\Fadrozole/20201217_Cefas_Test10_Run1/Plate 1/@14/B9_02.tif </t>
  </si>
  <si>
    <t xml:space="preserve"> 5667.0324 </t>
  </si>
  <si>
    <t xml:space="preserve"> 38.2786 </t>
  </si>
  <si>
    <t xml:space="preserve">C:\Users\andre\Desktop\REACTIV CEFAS\Fadrozole\Fadrozole/20201217_Cefas_Test10_Run1/Plate 1/@14/B9_03.tif </t>
  </si>
  <si>
    <t xml:space="preserve"> 35.3726 </t>
  </si>
  <si>
    <t xml:space="preserve">C:\Users\andre\Desktop\REACTIV CEFAS\Fadrozole\Fadrozole/20201217_Cefas_Test10_Run1/Plate 1/@14/B9_04.tif </t>
  </si>
  <si>
    <t xml:space="preserve"> 24182.2222 </t>
  </si>
  <si>
    <t xml:space="preserve"> 34.5385 </t>
  </si>
  <si>
    <t xml:space="preserve">C:\Users\andre\Desktop\REACTIV CEFAS\Fadrozole\Fadrozole/20201217_Cefas_Test10_Run1/Plate 1/@14/C9_01.tif </t>
  </si>
  <si>
    <t xml:space="preserve"> 62229.2068 </t>
  </si>
  <si>
    <t xml:space="preserve"> 39.4692 </t>
  </si>
  <si>
    <t xml:space="preserve">C:\Users\andre\Desktop\REACTIV CEFAS\Fadrozole\Fadrozole/20201217_Cefas_Test10_Run1/Plate 1/@14/C9_02.tif </t>
  </si>
  <si>
    <t xml:space="preserve"> 54593.854 </t>
  </si>
  <si>
    <t xml:space="preserve"> 38.3494 </t>
  </si>
  <si>
    <t xml:space="preserve">C:\Users\andre\Desktop\REACTIV CEFAS\Fadrozole\Fadrozole/20201217_Cefas_Test10_Run1/Plate 1/@14/C9_03.tif </t>
  </si>
  <si>
    <t xml:space="preserve"> 67182.4527 </t>
  </si>
  <si>
    <t xml:space="preserve"> 40.925 </t>
  </si>
  <si>
    <t>C:\Users\andre\Desktop\REACTIV CEFAS\Fadrozole\Fadrozole/20201217_Cefas_Test10_Run1/Plate 1/@14/C9_04- exclu.tif</t>
  </si>
  <si>
    <t xml:space="preserve">C:\Users\andre\Desktop\REACTIV CEFAS\Fadrozole\Fadrozole/20201217_Cefas_Test10_Run1/Plate 1/@14/D9_01.tif </t>
  </si>
  <si>
    <t xml:space="preserve"> 39928.7855 </t>
  </si>
  <si>
    <t xml:space="preserve"> 36.0271 </t>
  </si>
  <si>
    <t>C:\Users\andre\Desktop\REACTIV CEFAS\Fadrozole\Fadrozole/20201217_Cefas_Test10_Run1/Plate 1/@14/D9_02- exclu.tif</t>
  </si>
  <si>
    <t xml:space="preserve">C:\Users\andre\Desktop\REACTIV CEFAS\Fadrozole\Fadrozole/20201217_Cefas_Test10_Run1/Plate 1/@14/D9_03.tif </t>
  </si>
  <si>
    <t xml:space="preserve"> 34.6647 </t>
  </si>
  <si>
    <t xml:space="preserve">C:\Users\andre\Desktop\REACTIV CEFAS\Fadrozole\Fadrozole/20201217_Cefas_Test10_Run1/Plate 1/@14/D9_04.tif </t>
  </si>
  <si>
    <t xml:space="preserve"> 26150.5426 </t>
  </si>
  <si>
    <t xml:space="preserve"> 33.9024 </t>
  </si>
  <si>
    <t xml:space="preserve">C:\Users\andre\Desktop\REACTIV CEFAS\Fadrozole\Fadrozole/20201217_Cefas_Test10_Run1/Plate 1/@14/E9_01.tif </t>
  </si>
  <si>
    <t xml:space="preserve"> 39.5934 </t>
  </si>
  <si>
    <t xml:space="preserve">C:\Users\andre\Desktop\REACTIV CEFAS\Fadrozole\Fadrozole/20201217_Cefas_Test10_Run1/Plate 1/@14/E9_02.tif </t>
  </si>
  <si>
    <t xml:space="preserve"> 53014.8717 </t>
  </si>
  <si>
    <t xml:space="preserve"> 40.4264 </t>
  </si>
  <si>
    <t xml:space="preserve">C:\Users\andre\Desktop\REACTIV CEFAS\Fadrozole\Fadrozole/20201217_Cefas_Test10_Run1/Plate 1/@14/E9_03.tif </t>
  </si>
  <si>
    <t xml:space="preserve"> 50484.1741 </t>
  </si>
  <si>
    <t xml:space="preserve"> 38.91 </t>
  </si>
  <si>
    <t xml:space="preserve">C:\Users\andre\Desktop\REACTIV CEFAS\Fadrozole\Fadrozole/20201217_Cefas_Test10_Run1/Plate 1/@14/E9_04.tif </t>
  </si>
  <si>
    <t xml:space="preserve"> 52820.2027 </t>
  </si>
  <si>
    <t xml:space="preserve"> 39.959 </t>
  </si>
  <si>
    <t xml:space="preserve">C:\Users\andre\Desktop\REACTIV CEFAS\Fadrozole\Fadrozole/20201217_Cefas_Test10_Run1/Plate 1/@14/F9_01.tif </t>
  </si>
  <si>
    <t xml:space="preserve"> 48970.0814 </t>
  </si>
  <si>
    <t xml:space="preserve"> 36.8313 </t>
  </si>
  <si>
    <t xml:space="preserve">C:\Users\andre\Desktop\REACTIV CEFAS\Fadrozole\Fadrozole/20201217_Cefas_Test10_Run1/Plate 1/@14/F9_02.tif </t>
  </si>
  <si>
    <t xml:space="preserve"> 51327.74 </t>
  </si>
  <si>
    <t xml:space="preserve"> 37.5727 </t>
  </si>
  <si>
    <t xml:space="preserve">C:\Users\andre\Desktop\REACTIV CEFAS\Fadrozole\Fadrozole/20201217_Cefas_Test10_Run1/Plate 1/@14/F9_03.tif </t>
  </si>
  <si>
    <t xml:space="preserve"> 53901.6974 </t>
  </si>
  <si>
    <t xml:space="preserve"> 39.3006 </t>
  </si>
  <si>
    <t xml:space="preserve">C:\Users\andre\Desktop\REACTIV CEFAS\Fadrozole\Fadrozole/20201217_Cefas_Test10_Run1/Plate 1/@14/F9_04.tif </t>
  </si>
  <si>
    <t xml:space="preserve"> 59179.3917 </t>
  </si>
  <si>
    <t xml:space="preserve"> 39.7971 </t>
  </si>
  <si>
    <t xml:space="preserve">C:\Users\andre\Desktop\REACTIV CEFAS\Fadrozole\Fadrozole/20201217_Cefas_Test10_Run1/Plate 1/@14/G9_01.tif </t>
  </si>
  <si>
    <t xml:space="preserve"> 62077.7976 </t>
  </si>
  <si>
    <t xml:space="preserve"> 39.5491 </t>
  </si>
  <si>
    <t xml:space="preserve">C:\Users\andre\Desktop\REACTIV CEFAS\Fadrozole\Fadrozole/20201217_Cefas_Test10_Run1/Plate 1/@14/G9_02.tif </t>
  </si>
  <si>
    <t xml:space="preserve"> 63159.2923 </t>
  </si>
  <si>
    <t xml:space="preserve"> 39.5216 </t>
  </si>
  <si>
    <t xml:space="preserve">C:\Users\andre\Desktop\REACTIV CEFAS\Fadrozole\Fadrozole/20201217_Cefas_Test10_Run1/Plate 1/@14/G9_03.tif </t>
  </si>
  <si>
    <t xml:space="preserve"> 61645.1997 </t>
  </si>
  <si>
    <t xml:space="preserve"> 40.4291 </t>
  </si>
  <si>
    <t xml:space="preserve">C:\Users\andre\Desktop\REACTIV CEFAS\Fadrozole\Fadrozole/20201217_Cefas_Test10_Run1/Plate 1/@14/G9_04.tif </t>
  </si>
  <si>
    <t xml:space="preserve"> 39.4338 </t>
  </si>
  <si>
    <t xml:space="preserve">C:\Users\andre\Desktop\REACTIV CEFAS\Fadrozole\Fadrozole/20201217_Cefas_Test10_Run1/Plate 1/@14/H9_01.tif </t>
  </si>
  <si>
    <t xml:space="preserve"> 54139.6263 </t>
  </si>
  <si>
    <t xml:space="preserve"> 40.0967 </t>
  </si>
  <si>
    <t xml:space="preserve">C:\Users\andre\Desktop\REACTIV CEFAS\Fadrozole\Fadrozole/20201217_Cefas_Test10_Run1/Plate 1/@14/H9_02.tif </t>
  </si>
  <si>
    <t xml:space="preserve"> 57189.4414 </t>
  </si>
  <si>
    <t xml:space="preserve"> 40.2761 </t>
  </si>
  <si>
    <t xml:space="preserve">C:\Users\andre\Desktop\REACTIV CEFAS\Fadrozole\Fadrozole/20201217_Cefas_Test10_Run1/Plate 1/@14/H9_03.tif </t>
  </si>
  <si>
    <t xml:space="preserve"> 58811.6835 </t>
  </si>
  <si>
    <t xml:space="preserve"> 41.2711 </t>
  </si>
  <si>
    <t xml:space="preserve">C:\Users\andre\Desktop\REACTIV CEFAS\Fadrozole\Fadrozole/20201217_Cefas_Test10_Run1/Plate 1/@14/H9_04.tif </t>
  </si>
  <si>
    <t xml:space="preserve"> 55242.7509 </t>
  </si>
  <si>
    <t xml:space="preserve"> 40.0121 </t>
  </si>
  <si>
    <t xml:space="preserve">C:\Users\andre\Desktop\REACTIV CEFAS\Fadrozole\Fadrozole/20201217_Cefas_Test10_Run1/Plate 1/@14/ </t>
  </si>
  <si>
    <t xml:space="preserve"> 38.015 </t>
  </si>
  <si>
    <t xml:space="preserve"> 2.3291 </t>
  </si>
  <si>
    <t xml:space="preserve"> 1675605.78 </t>
  </si>
  <si>
    <t xml:space="preserve"> 808265.489 </t>
  </si>
  <si>
    <t xml:space="preserve">C:\Users\andre\Desktop\REACTIV CEFAS\Fadrozole\Fadrozole/20201217_Cefas_Test10_Run1/Plate 1/@15/A11_01.tif </t>
  </si>
  <si>
    <t xml:space="preserve"> 45206.4798 </t>
  </si>
  <si>
    <t xml:space="preserve"> 49.2211 </t>
  </si>
  <si>
    <t xml:space="preserve">C:\Users\andre\Desktop\REACTIV CEFAS\Fadrozole\Fadrozole/20201217_Cefas_Test10_Run1/Plate 1/@15/A11_02.tif </t>
  </si>
  <si>
    <t xml:space="preserve"> 48797.0423 </t>
  </si>
  <si>
    <t xml:space="preserve"> 46.6418 </t>
  </si>
  <si>
    <t xml:space="preserve">C:\Users\andre\Desktop\REACTIV CEFAS\Fadrozole\Fadrozole/20201217_Cefas_Test10_Run1/Plate 1/@15/A11_03.tif </t>
  </si>
  <si>
    <t xml:space="preserve"> 43389.5686 </t>
  </si>
  <si>
    <t xml:space="preserve"> 44.7168 </t>
  </si>
  <si>
    <t>C:\Users\andre\Desktop\REACTIV CEFAS\Fadrozole\Fadrozole/20201217_Cefas_Test10_Run1/Plate 1/@15/A11_04- exclu.tif</t>
  </si>
  <si>
    <t xml:space="preserve">C:\Users\andre\Desktop\REACTIV CEFAS\Fadrozole\Fadrozole/20201217_Cefas_Test10_Run1/Plate 1/@15/B11_01.tif </t>
  </si>
  <si>
    <t xml:space="preserve"> 49.3197 </t>
  </si>
  <si>
    <t xml:space="preserve">C:\Users\andre\Desktop\REACTIV CEFAS\Fadrozole\Fadrozole/20201217_Cefas_Test10_Run1/Plate 1/@15/B11_02.tif </t>
  </si>
  <si>
    <t xml:space="preserve"> 69453.5917 </t>
  </si>
  <si>
    <t xml:space="preserve"> 46.3282 </t>
  </si>
  <si>
    <t xml:space="preserve">C:\Users\andre\Desktop\REACTIV CEFAS\Fadrozole\Fadrozole/20201217_Cefas_Test10_Run1/Plate 1/@15/B11_03.tif </t>
  </si>
  <si>
    <t xml:space="preserve"> 70297.1575 </t>
  </si>
  <si>
    <t xml:space="preserve"> 48.4434 </t>
  </si>
  <si>
    <t xml:space="preserve">C:\Users\andre\Desktop\REACTIV CEFAS\Fadrozole\Fadrozole/20201217_Cefas_Test10_Run1/Plate 1/@15/B11_04.tif </t>
  </si>
  <si>
    <t xml:space="preserve"> 95906.9528 </t>
  </si>
  <si>
    <t xml:space="preserve"> 39.7869 </t>
  </si>
  <si>
    <t xml:space="preserve">C:\Users\andre\Desktop\REACTIV CEFAS\Fadrozole\Fadrozole/20201217_Cefas_Test10_Run1/Plate 1/@15/C11_01.tif </t>
  </si>
  <si>
    <t xml:space="preserve"> 72308.7377 </t>
  </si>
  <si>
    <t xml:space="preserve"> 48.9758 </t>
  </si>
  <si>
    <t xml:space="preserve">C:\Users\andre\Desktop\REACTIV CEFAS\Fadrozole\Fadrozole/20201217_Cefas_Test10_Run1/Plate 1/@15/C11_02.tif </t>
  </si>
  <si>
    <t xml:space="preserve"> 64067.7479 </t>
  </si>
  <si>
    <t xml:space="preserve"> 48.3707 </t>
  </si>
  <si>
    <t xml:space="preserve">C:\Users\andre\Desktop\REACTIV CEFAS\Fadrozole\Fadrozole/20201217_Cefas_Test10_Run1/Plate 1/@15/C11_03.tif </t>
  </si>
  <si>
    <t xml:space="preserve"> 69258.9226 </t>
  </si>
  <si>
    <t xml:space="preserve"> 47.9216 </t>
  </si>
  <si>
    <t xml:space="preserve">C:\Users\andre\Desktop\REACTIV CEFAS\Fadrozole\Fadrozole/20201217_Cefas_Test10_Run1/Plate 1/@15/C11_04.tif </t>
  </si>
  <si>
    <t xml:space="preserve"> 68393.7268 </t>
  </si>
  <si>
    <t xml:space="preserve"> 48.7321 </t>
  </si>
  <si>
    <t xml:space="preserve">C:\Users\andre\Desktop\REACTIV CEFAS\Fadrozole\Fadrozole/20201217_Cefas_Test10_Run1/Plate 1/@15/D11_01.tif </t>
  </si>
  <si>
    <t xml:space="preserve"> 66209.1075 </t>
  </si>
  <si>
    <t xml:space="preserve"> 52.179 </t>
  </si>
  <si>
    <t xml:space="preserve">C:\Users\andre\Desktop\REACTIV CEFAS\Fadrozole\Fadrozole/20201217_Cefas_Test10_Run1/Plate 1/@15/D11_02.tif </t>
  </si>
  <si>
    <t xml:space="preserve"> 50311.1349 </t>
  </si>
  <si>
    <t xml:space="preserve"> 52.2623 </t>
  </si>
  <si>
    <t xml:space="preserve">C:\Users\andre\Desktop\REACTIV CEFAS\Fadrozole\Fadrozole/20201217_Cefas_Test10_Run1/Plate 1/@15/D11_03.tif </t>
  </si>
  <si>
    <t xml:space="preserve"> 59417.3205 </t>
  </si>
  <si>
    <t xml:space="preserve"> 51.8056 </t>
  </si>
  <si>
    <t xml:space="preserve">C:\Users\andre\Desktop\REACTIV CEFAS\Fadrozole\Fadrozole/20201217_Cefas_Test10_Run1/Plate 1/@15/D11_04.tif </t>
  </si>
  <si>
    <t xml:space="preserve"> 86541.2084 </t>
  </si>
  <si>
    <t xml:space="preserve"> 53.2239 </t>
  </si>
  <si>
    <t xml:space="preserve">C:\Users\andre\Desktop\REACTIV CEFAS\Fadrozole\Fadrozole/20201217_Cefas_Test10_Run1/Plate 1/@15/E11_01.tif </t>
  </si>
  <si>
    <t xml:space="preserve"> 91299.7852 </t>
  </si>
  <si>
    <t xml:space="preserve"> 53.0301 </t>
  </si>
  <si>
    <t>C:\Users\andre\Desktop\REACTIV CEFAS\Fadrozole\Fadrozole/20201217_Cefas_Test10_Run1/Plate 1/@15/E11_02- exclu.tif</t>
  </si>
  <si>
    <t xml:space="preserve">C:\Users\andre\Desktop\REACTIV CEFAS\Fadrozole\Fadrozole/20201217_Cefas_Test10_Run1/Plate 1/@15/E11_03.tif </t>
  </si>
  <si>
    <t xml:space="preserve"> 92554.3191 </t>
  </si>
  <si>
    <t xml:space="preserve"> 51.8941 </t>
  </si>
  <si>
    <t>C:\Users\andre\Desktop\REACTIV CEFAS\Fadrozole\Fadrozole/20201217_Cefas_Test10_Run1/Plate 1/@15/E11_04- exclu.tif</t>
  </si>
  <si>
    <t xml:space="preserve">C:\Users\andre\Desktop\REACTIV CEFAS\Fadrozole\Fadrozole/20201217_Cefas_Test10_Run1/Plate 1/@15/F11_01.tif </t>
  </si>
  <si>
    <t xml:space="preserve"> 60022.9576 </t>
  </si>
  <si>
    <t xml:space="preserve"> 49.2076 </t>
  </si>
  <si>
    <t xml:space="preserve">C:\Users\andre\Desktop\REACTIV CEFAS\Fadrozole\Fadrozole/20201217_Cefas_Test10_Run1/Plate 1/@15/F11_02.tif </t>
  </si>
  <si>
    <t xml:space="preserve"> 71919.3996 </t>
  </si>
  <si>
    <t xml:space="preserve"> 51.0247 </t>
  </si>
  <si>
    <t xml:space="preserve">C:\Users\andre\Desktop\REACTIV CEFAS\Fadrozole\Fadrozole/20201217_Cefas_Test10_Run1/Plate 1/@15/F11_03.tif </t>
  </si>
  <si>
    <t xml:space="preserve"> 64586.8654 </t>
  </si>
  <si>
    <t xml:space="preserve"> 48.4588 </t>
  </si>
  <si>
    <t xml:space="preserve">C:\Users\andre\Desktop\REACTIV CEFAS\Fadrozole\Fadrozole/20201217_Cefas_Test10_Run1/Plate 1/@15/F11_04.tif </t>
  </si>
  <si>
    <t xml:space="preserve"> 68372.0969 </t>
  </si>
  <si>
    <t xml:space="preserve"> 51.745 </t>
  </si>
  <si>
    <t>C:\Users\andre\Desktop\REACTIV CEFAS\Fadrozole\Fadrozole/20201217_Cefas_Test10_Run1/Plate 1/@15/G11_01- exclu.tif</t>
  </si>
  <si>
    <t>C:\Users\andre\Desktop\REACTIV CEFAS\Fadrozole\Fadrozole/20201217_Cefas_Test10_Run1/Plate 1/@15/G11_02- exclu.tif</t>
  </si>
  <si>
    <t>C:\Users\andre\Desktop\REACTIV CEFAS\Fadrozole\Fadrozole/20201217_Cefas_Test10_Run1/Plate 1/@15/G11_03- exclu.tif</t>
  </si>
  <si>
    <t xml:space="preserve">C:\Users\andre\Desktop\REACTIV CEFAS\Fadrozole\Fadrozole/20201217_Cefas_Test10_Run1/Plate 1/@15/G11_04.tif </t>
  </si>
  <si>
    <t xml:space="preserve"> 43.6184 </t>
  </si>
  <si>
    <t xml:space="preserve">C:\Users\andre\Desktop\REACTIV CEFAS\Fadrozole\Fadrozole/20201217_Cefas_Test10_Run1/Plate 1/@15/H11_01.tif </t>
  </si>
  <si>
    <t xml:space="preserve"> 89180.0556 </t>
  </si>
  <si>
    <t xml:space="preserve"> 52.1426 </t>
  </si>
  <si>
    <t xml:space="preserve">C:\Users\andre\Desktop\REACTIV CEFAS\Fadrozole\Fadrozole/20201217_Cefas_Test10_Run1/Plate 1/@15/H11_02.tif </t>
  </si>
  <si>
    <t xml:space="preserve"> 85113.6354 </t>
  </si>
  <si>
    <t xml:space="preserve"> 48.4943 </t>
  </si>
  <si>
    <t xml:space="preserve">C:\Users\andre\Desktop\REACTIV CEFAS\Fadrozole\Fadrozole/20201217_Cefas_Test10_Run1/Plate 1/@15/H11_03.tif </t>
  </si>
  <si>
    <t xml:space="preserve"> 83037.1655 </t>
  </si>
  <si>
    <t xml:space="preserve"> 46.8755 </t>
  </si>
  <si>
    <t xml:space="preserve">C:\Users\andre\Desktop\REACTIV CEFAS\Fadrozole\Fadrozole/20201217_Cefas_Test10_Run1/Plate 1/@15/H11_04.tif </t>
  </si>
  <si>
    <t xml:space="preserve"> 91407.9347 </t>
  </si>
  <si>
    <t xml:space="preserve"> 48.4941 </t>
  </si>
  <si>
    <t xml:space="preserve">C:\Users\andre\Desktop\REACTIV CEFAS\Fadrozole\Fadrozole/20201217_Cefas_Test10_Run1/Plate 1/@15/ </t>
  </si>
  <si>
    <t xml:space="preserve"> 47.5085 </t>
  </si>
  <si>
    <t xml:space="preserve"> 5.7611 </t>
  </si>
  <si>
    <t xml:space="preserve"> 3113422.53 </t>
  </si>
  <si>
    <t xml:space="preserve"> 1237403.33 </t>
  </si>
  <si>
    <t xml:space="preserve">C:\Users\andre\Desktop\REACTIV CEFAS\Fadrozole\Fadrozole/20201217_Cefas_Test10_Run1/Plate 1/@16/A12_01.tif </t>
  </si>
  <si>
    <t xml:space="preserve"> 2552.3276 </t>
  </si>
  <si>
    <t xml:space="preserve"> 34.2288 </t>
  </si>
  <si>
    <t xml:space="preserve">C:\Users\andre\Desktop\REACTIV CEFAS\Fadrozole\Fadrozole/20201217_Cefas_Test10_Run1/Plate 1/@16/A12_02.tif </t>
  </si>
  <si>
    <t xml:space="preserve"> 35.3533 </t>
  </si>
  <si>
    <t xml:space="preserve">C:\Users\andre\Desktop\REACTIV CEFAS\Fadrozole\Fadrozole/20201217_Cefas_Test10_Run1/Plate 1/@16/A12_03.tif </t>
  </si>
  <si>
    <t xml:space="preserve"> 34.5556 </t>
  </si>
  <si>
    <t xml:space="preserve">C:\Users\andre\Desktop\REACTIV CEFAS\Fadrozole\Fadrozole/20201217_Cefas_Test10_Run1/Plate 1/@16/A12_04.tif </t>
  </si>
  <si>
    <t xml:space="preserve"> 39.6655 </t>
  </si>
  <si>
    <t xml:space="preserve">C:\Users\andre\Desktop\REACTIV CEFAS\Fadrozole\Fadrozole/20201217_Cefas_Test10_Run1/Plate 1/@16/B12_01.tif </t>
  </si>
  <si>
    <t xml:space="preserve"> 35.7668 </t>
  </si>
  <si>
    <t xml:space="preserve">C:\Users\andre\Desktop\REACTIV CEFAS\Fadrozole\Fadrozole/20201217_Cefas_Test10_Run1/Plate 1/@16/B12_02.tif </t>
  </si>
  <si>
    <t xml:space="preserve"> 40.0188 </t>
  </si>
  <si>
    <t xml:space="preserve">C:\Users\andre\Desktop\REACTIV CEFAS\Fadrozole\Fadrozole/20201217_Cefas_Test10_Run1/Plate 1/@16/B12_03.tif </t>
  </si>
  <si>
    <t xml:space="preserve"> 8998.0362 </t>
  </si>
  <si>
    <t xml:space="preserve"> 39.0601 </t>
  </si>
  <si>
    <t xml:space="preserve">C:\Users\andre\Desktop\REACTIV CEFAS\Fadrozole\Fadrozole/20201217_Cefas_Test10_Run1/Plate 1/@16/B12_04.tif </t>
  </si>
  <si>
    <t xml:space="preserve"> 35.5755 </t>
  </si>
  <si>
    <t xml:space="preserve">C:\Users\andre\Desktop\REACTIV CEFAS\Fadrozole\Fadrozole/20201217_Cefas_Test10_Run1/Plate 1/@16/C12_01.tif </t>
  </si>
  <si>
    <t xml:space="preserve"> 34.7743 </t>
  </si>
  <si>
    <t xml:space="preserve">C:\Users\andre\Desktop\REACTIV CEFAS\Fadrozole\Fadrozole/20201217_Cefas_Test10_Run1/Plate 1/@16/C12_02.tif </t>
  </si>
  <si>
    <t xml:space="preserve"> 36.5187 </t>
  </si>
  <si>
    <t xml:space="preserve">C:\Users\andre\Desktop\REACTIV CEFAS\Fadrozole\Fadrozole/20201217_Cefas_Test10_Run1/Plate 1/@16/C12_03.tif </t>
  </si>
  <si>
    <t xml:space="preserve"> 34.9841 </t>
  </si>
  <si>
    <t xml:space="preserve">C:\Users\andre\Desktop\REACTIV CEFAS\Fadrozole\Fadrozole/20201217_Cefas_Test10_Run1/Plate 1/@16/C12_04.tif </t>
  </si>
  <si>
    <t>C:\Users\andre\Desktop\REACTIV CEFAS\Fadrozole\Fadrozole/20201217_Cefas_Test10_Run1/Plate 1/@16/D12_01- exclu.tif</t>
  </si>
  <si>
    <t>C:\Users\andre\Desktop\REACTIV CEFAS\Fadrozole\Fadrozole/20201217_Cefas_Test10_Run1/Plate 1/@16/D12_02- exclu.tif</t>
  </si>
  <si>
    <t xml:space="preserve">C:\Users\andre\Desktop\REACTIV CEFAS\Fadrozole\Fadrozole/20201217_Cefas_Test10_Run1/Plate 1/@16/D12_03.tif </t>
  </si>
  <si>
    <t xml:space="preserve"> 8370.7692 </t>
  </si>
  <si>
    <t xml:space="preserve"> 38.3798 </t>
  </si>
  <si>
    <t xml:space="preserve">C:\Users\andre\Desktop\REACTIV CEFAS\Fadrozole\Fadrozole/20201217_Cefas_Test10_Run1/Plate 1/@16/D12_04.tif </t>
  </si>
  <si>
    <t xml:space="preserve"> 33.8952 </t>
  </si>
  <si>
    <t>C:\Users\andre\Desktop\REACTIV CEFAS\Fadrozole\Fadrozole/20201217_Cefas_Test10_Run1/Plate 1/@16/E12_01- exclu.tif</t>
  </si>
  <si>
    <t xml:space="preserve">C:\Users\andre\Desktop\REACTIV CEFAS\Fadrozole\Fadrozole/20201217_Cefas_Test10_Run1/Plate 1/@16/E12_02.tif </t>
  </si>
  <si>
    <t xml:space="preserve"> 10728.4277 </t>
  </si>
  <si>
    <t xml:space="preserve"> 44.9577 </t>
  </si>
  <si>
    <t xml:space="preserve">C:\Users\andre\Desktop\REACTIV CEFAS\Fadrozole\Fadrozole/20201217_Cefas_Test10_Run1/Plate 1/@16/E12_03.tif </t>
  </si>
  <si>
    <t xml:space="preserve"> 7505.5734 </t>
  </si>
  <si>
    <t xml:space="preserve"> 46.0403 </t>
  </si>
  <si>
    <t>C:\Users\andre\Desktop\REACTIV CEFAS\Fadrozole\Fadrozole/20201217_Cefas_Test10_Run1/Plate 1/@16/E12_04- exclu.tif</t>
  </si>
  <si>
    <t xml:space="preserve">C:\Users\andre\Desktop\REACTIV CEFAS\Fadrozole\Fadrozole/20201217_Cefas_Test10_Run1/Plate 1/@16/F12_01.tif </t>
  </si>
  <si>
    <t xml:space="preserve"> 15292.3355 </t>
  </si>
  <si>
    <t xml:space="preserve"> 42.4059 </t>
  </si>
  <si>
    <t xml:space="preserve">C:\Users\andre\Desktop\REACTIV CEFAS\Fadrozole\Fadrozole/20201217_Cefas_Test10_Run1/Plate 1/@16/F12_02.tif </t>
  </si>
  <si>
    <t xml:space="preserve"> 13129.346 </t>
  </si>
  <si>
    <t xml:space="preserve"> 42.2768 </t>
  </si>
  <si>
    <t xml:space="preserve">C:\Users\andre\Desktop\REACTIV CEFAS\Fadrozole\Fadrozole/20201217_Cefas_Test10_Run1/Plate 1/@16/F12_03.tif </t>
  </si>
  <si>
    <t xml:space="preserve"> 12026.2214 </t>
  </si>
  <si>
    <t xml:space="preserve"> 40.4856 </t>
  </si>
  <si>
    <t xml:space="preserve">C:\Users\andre\Desktop\REACTIV CEFAS\Fadrozole\Fadrozole/20201217_Cefas_Test10_Run1/Plate 1/@16/F12_04.tif </t>
  </si>
  <si>
    <t xml:space="preserve"> 10122.7907 </t>
  </si>
  <si>
    <t xml:space="preserve"> 42.0214 </t>
  </si>
  <si>
    <t>C:\Users\andre\Desktop\REACTIV CEFAS\Fadrozole\Fadrozole/20201217_Cefas_Test10_Run1/Plate 1/@16/G12_01- exclu.tif</t>
  </si>
  <si>
    <t xml:space="preserve">C:\Users\andre\Desktop\REACTIV CEFAS\Fadrozole\Fadrozole/20201217_Cefas_Test10_Run1/Plate 1/@16/G12_02.tif </t>
  </si>
  <si>
    <t xml:space="preserve"> 37.6916 </t>
  </si>
  <si>
    <t xml:space="preserve">C:\Users\andre\Desktop\REACTIV CEFAS\Fadrozole\Fadrozole/20201217_Cefas_Test10_Run1/Plate 1/@16/G12_03.tif </t>
  </si>
  <si>
    <t xml:space="preserve"> 4001.5305 </t>
  </si>
  <si>
    <t xml:space="preserve"> 32.7027 </t>
  </si>
  <si>
    <t xml:space="preserve">C:\Users\andre\Desktop\REACTIV CEFAS\Fadrozole\Fadrozole/20201217_Cefas_Test10_Run1/Plate 1/@16/G12_04.tif </t>
  </si>
  <si>
    <t xml:space="preserve"> 36.5071 </t>
  </si>
  <si>
    <t xml:space="preserve">C:\Users\andre\Desktop\REACTIV CEFAS\Fadrozole\Fadrozole/20201217_Cefas_Test10_Run1/Plate 1/@16/H12_01.tif </t>
  </si>
  <si>
    <t xml:space="preserve"> 5926.5911 </t>
  </si>
  <si>
    <t xml:space="preserve"> 42.5292 </t>
  </si>
  <si>
    <t xml:space="preserve">C:\Users\andre\Desktop\REACTIV CEFAS\Fadrozole\Fadrozole/20201217_Cefas_Test10_Run1/Plate 1/@16/H12_02.tif </t>
  </si>
  <si>
    <t xml:space="preserve"> 35.3524 </t>
  </si>
  <si>
    <t xml:space="preserve">C:\Users\andre\Desktop\REACTIV CEFAS\Fadrozole\Fadrozole/20201217_Cefas_Test10_Run1/Plate 1/@16/H12_03.tif </t>
  </si>
  <si>
    <t xml:space="preserve"> 31.2222 </t>
  </si>
  <si>
    <t xml:space="preserve">C:\Users\andre\Desktop\REACTIV CEFAS\Fadrozole\Fadrozole/20201217_Cefas_Test10_Run1/Plate 1/@16/H12_04.tif </t>
  </si>
  <si>
    <t xml:space="preserve"> 37.8495 </t>
  </si>
  <si>
    <t xml:space="preserve">C:\Users\andre\Desktop\REACTIV CEFAS\Fadrozole\Fadrozole/20201217_Cefas_Test10_Run1/Plate 1/@16/ </t>
  </si>
  <si>
    <t xml:space="preserve"> 33.9067 </t>
  </si>
  <si>
    <t xml:space="preserve"> 11.7533 </t>
  </si>
  <si>
    <t xml:space="preserve"> 228294.062 </t>
  </si>
  <si>
    <t xml:space="preserve"> 177529.229 </t>
  </si>
  <si>
    <t xml:space="preserve">C:\Users\andre\Desktop\REACTIV CEFAS\Fadrozole\Fadrozole/20201217_Cefas_Test10_Run1/Plate 1/@2/A2_01.tif </t>
  </si>
  <si>
    <t xml:space="preserve"> 11009.6164 </t>
  </si>
  <si>
    <t xml:space="preserve"> 40.3929 </t>
  </si>
  <si>
    <t xml:space="preserve">C:\Users\andre\Desktop\REACTIV CEFAS\Fadrozole\Fadrozole/20201217_Cefas_Test10_Run1/Plate 1/@2/A2_02.tif </t>
  </si>
  <si>
    <t xml:space="preserve"> 11680.1431 </t>
  </si>
  <si>
    <t xml:space="preserve"> 37.0463 </t>
  </si>
  <si>
    <t xml:space="preserve">C:\Users\andre\Desktop\REACTIV CEFAS\Fadrozole\Fadrozole/20201217_Cefas_Test10_Run1/Plate 1/@2/A2_03.tif </t>
  </si>
  <si>
    <t xml:space="preserve"> 11788.2926 </t>
  </si>
  <si>
    <t xml:space="preserve"> 38.6367 </t>
  </si>
  <si>
    <t xml:space="preserve">C:\Users\andre\Desktop\REACTIV CEFAS\Fadrozole\Fadrozole/20201217_Cefas_Test10_Run1/Plate 1/@2/A2_04.tif </t>
  </si>
  <si>
    <t xml:space="preserve"> 32.5455 </t>
  </si>
  <si>
    <t xml:space="preserve">C:\Users\andre\Desktop\REACTIV CEFAS\Fadrozole\Fadrozole/20201217_Cefas_Test10_Run1/Plate 1/@2/B2_01.tif </t>
  </si>
  <si>
    <t xml:space="preserve"> 34.8737 </t>
  </si>
  <si>
    <t xml:space="preserve">C:\Users\andre\Desktop\REACTIV CEFAS\Fadrozole\Fadrozole/20201217_Cefas_Test10_Run1/Plate 1/@2/B2_02.tif </t>
  </si>
  <si>
    <t xml:space="preserve"> 37.0387 </t>
  </si>
  <si>
    <t xml:space="preserve">C:\Users\andre\Desktop\REACTIV CEFAS\Fadrozole\Fadrozole/20201217_Cefas_Test10_Run1/Plate 1/@2/B2_03.tif </t>
  </si>
  <si>
    <t xml:space="preserve"> 36.1611 </t>
  </si>
  <si>
    <t xml:space="preserve">C:\Users\andre\Desktop\REACTIV CEFAS\Fadrozole\Fadrozole/20201217_Cefas_Test10_Run1/Plate 1/@2/B2_04.tif </t>
  </si>
  <si>
    <t xml:space="preserve"> 38.0369 </t>
  </si>
  <si>
    <t xml:space="preserve">C:\Users\andre\Desktop\REACTIV CEFAS\Fadrozole\Fadrozole/20201217_Cefas_Test10_Run1/Plate 1/@2/C2_01.tif </t>
  </si>
  <si>
    <t xml:space="preserve"> 16308.9406 </t>
  </si>
  <si>
    <t xml:space="preserve"> 33.6446 </t>
  </si>
  <si>
    <t>C:\Users\andre\Desktop\REACTIV CEFAS\Fadrozole\Fadrozole/20201217_Cefas_Test10_Run1/Plate 1/@2/C2_02- exclu.tif</t>
  </si>
  <si>
    <t xml:space="preserve">C:\Users\andre\Desktop\REACTIV CEFAS\Fadrozole\Fadrozole/20201217_Cefas_Test10_Run1/Plate 1/@2/C2_03.tif </t>
  </si>
  <si>
    <t xml:space="preserve"> 14729.9582 </t>
  </si>
  <si>
    <t xml:space="preserve"> 33.0455 </t>
  </si>
  <si>
    <t xml:space="preserve">C:\Users\andre\Desktop\REACTIV CEFAS\Fadrozole\Fadrozole/20201217_Cefas_Test10_Run1/Plate 1/@2/C2_04.tif </t>
  </si>
  <si>
    <t xml:space="preserve"> 13648.4635 </t>
  </si>
  <si>
    <t xml:space="preserve"> 32.7258 </t>
  </si>
  <si>
    <t xml:space="preserve">C:\Users\andre\Desktop\REACTIV CEFAS\Fadrozole\Fadrozole/20201217_Cefas_Test10_Run1/Plate 1/@2/D2_01.tif </t>
  </si>
  <si>
    <t xml:space="preserve"> 9127.8155 </t>
  </si>
  <si>
    <t xml:space="preserve"> 32.7322 </t>
  </si>
  <si>
    <t xml:space="preserve">C:\Users\andre\Desktop\REACTIV CEFAS\Fadrozole\Fadrozole/20201217_Cefas_Test10_Run1/Plate 1/@2/D2_02.tif </t>
  </si>
  <si>
    <t xml:space="preserve"> 14665.0686 </t>
  </si>
  <si>
    <t xml:space="preserve"> 33.9867 </t>
  </si>
  <si>
    <t xml:space="preserve">C:\Users\andre\Desktop\REACTIV CEFAS\Fadrozole\Fadrozole/20201217_Cefas_Test10_Run1/Plate 1/@2/D2_03.tif </t>
  </si>
  <si>
    <t xml:space="preserve"> 19380.3856 </t>
  </si>
  <si>
    <t xml:space="preserve"> 35.9509 </t>
  </si>
  <si>
    <t xml:space="preserve">C:\Users\andre\Desktop\REACTIV CEFAS\Fadrozole\Fadrozole/20201217_Cefas_Test10_Run1/Plate 1/@2/D2_04.tif </t>
  </si>
  <si>
    <t xml:space="preserve"> 33.213 </t>
  </si>
  <si>
    <t xml:space="preserve">C:\Users\andre\Desktop\REACTIV CEFAS\Fadrozole\Fadrozole/20201217_Cefas_Test10_Run1/Plate 1/@2/E2_01.tif </t>
  </si>
  <si>
    <t xml:space="preserve"> 39.1203 </t>
  </si>
  <si>
    <t xml:space="preserve">C:\Users\andre\Desktop\REACTIV CEFAS\Fadrozole\Fadrozole/20201217_Cefas_Test10_Run1/Plate 1/@2/E2_02.tif </t>
  </si>
  <si>
    <t xml:space="preserve"> 8089.5806 </t>
  </si>
  <si>
    <t xml:space="preserve"> 39.9465 </t>
  </si>
  <si>
    <t xml:space="preserve">C:\Users\andre\Desktop\REACTIV CEFAS\Fadrozole\Fadrozole/20201217_Cefas_Test10_Run1/Plate 1/@2/E2_03.tif </t>
  </si>
  <si>
    <t xml:space="preserve"> 4866.7263 </t>
  </si>
  <si>
    <t xml:space="preserve"> 37.5956 </t>
  </si>
  <si>
    <t>C:\Users\andre\Desktop\REACTIV CEFAS\Fadrozole\Fadrozole/20201217_Cefas_Test10_Run1/Plate 1/@2/E2_04- exclu.tif</t>
  </si>
  <si>
    <t xml:space="preserve">C:\Users\andre\Desktop\REACTIV CEFAS\Fadrozole\Fadrozole/20201217_Cefas_Test10_Run1/Plate 1/@2/F2_01.tif </t>
  </si>
  <si>
    <t xml:space="preserve"> 24030.8129 </t>
  </si>
  <si>
    <t xml:space="preserve"> 33.6427 </t>
  </si>
  <si>
    <t xml:space="preserve">C:\Users\andre\Desktop\REACTIV CEFAS\Fadrozole\Fadrozole/20201217_Cefas_Test10_Run1/Plate 1/@2/F2_02.tif </t>
  </si>
  <si>
    <t xml:space="preserve"> 32142.0234 </t>
  </si>
  <si>
    <t xml:space="preserve"> 35.8291 </t>
  </si>
  <si>
    <t xml:space="preserve">C:\Users\andre\Desktop\REACTIV CEFAS\Fadrozole\Fadrozole/20201217_Cefas_Test10_Run1/Plate 1/@2/F2_03.tif </t>
  </si>
  <si>
    <t xml:space="preserve"> 24485.0407 </t>
  </si>
  <si>
    <t xml:space="preserve"> 35.0168 </t>
  </si>
  <si>
    <t xml:space="preserve">C:\Users\andre\Desktop\REACTIV CEFAS\Fadrozole\Fadrozole/20201217_Cefas_Test10_Run1/Plate 1/@2/F2_04.tif </t>
  </si>
  <si>
    <t xml:space="preserve"> 18212.3713 </t>
  </si>
  <si>
    <t xml:space="preserve"> 32.0178 </t>
  </si>
  <si>
    <t xml:space="preserve">C:\Users\andre\Desktop\REACTIV CEFAS\Fadrozole\Fadrozole/20201217_Cefas_Test10_Run1/Plate 1/@2/G2_01.tif </t>
  </si>
  <si>
    <t xml:space="preserve"> 42.2492 </t>
  </si>
  <si>
    <t xml:space="preserve">C:\Users\andre\Desktop\REACTIV CEFAS\Fadrozole\Fadrozole/20201217_Cefas_Test10_Run1/Plate 1/@2/G2_02.tif </t>
  </si>
  <si>
    <t xml:space="preserve"> 8003.061 </t>
  </si>
  <si>
    <t xml:space="preserve"> 40.2811 </t>
  </si>
  <si>
    <t xml:space="preserve">C:\Users\andre\Desktop\REACTIV CEFAS\Fadrozole\Fadrozole/20201217_Cefas_Test10_Run1/Plate 1/@2/G2_03.tif </t>
  </si>
  <si>
    <t xml:space="preserve"> 2984.9255 </t>
  </si>
  <si>
    <t xml:space="preserve"> 36.7681 </t>
  </si>
  <si>
    <t xml:space="preserve">C:\Users\andre\Desktop\REACTIV CEFAS\Fadrozole\Fadrozole/20201217_Cefas_Test10_Run1/Plate 1/@2/G2_04.tif </t>
  </si>
  <si>
    <t xml:space="preserve"> 13432.1646 </t>
  </si>
  <si>
    <t xml:space="preserve"> 36.7214 </t>
  </si>
  <si>
    <t xml:space="preserve">C:\Users\andre\Desktop\REACTIV CEFAS\Fadrozole\Fadrozole/20201217_Cefas_Test10_Run1/Plate 1/@2/H2_01.tif </t>
  </si>
  <si>
    <t xml:space="preserve"> 9755.0825 </t>
  </si>
  <si>
    <t xml:space="preserve"> 42.133 </t>
  </si>
  <si>
    <t xml:space="preserve">C:\Users\andre\Desktop\REACTIV CEFAS\Fadrozole\Fadrozole/20201217_Cefas_Test10_Run1/Plate 1/@2/H2_02.tif </t>
  </si>
  <si>
    <t xml:space="preserve"> 9344.1145 </t>
  </si>
  <si>
    <t xml:space="preserve"> 44.7176 </t>
  </si>
  <si>
    <t>C:\Users\andre\Desktop\REACTIV CEFAS\Fadrozole\Fadrozole/20201217_Cefas_Test10_Run1/Plate 1/@2/H2_03- exclu.tif</t>
  </si>
  <si>
    <t>C:\Users\andre\Desktop\REACTIV CEFAS\Fadrozole\Fadrozole/20201217_Cefas_Test10_Run1/Plate 1/@2/H2_04- exclu.tif</t>
  </si>
  <si>
    <t xml:space="preserve">C:\Users\andre\Desktop\REACTIV CEFAS\Fadrozole\Fadrozole/20201217_Cefas_Test10_Run1/Plate 1/@2/ </t>
  </si>
  <si>
    <t xml:space="preserve"> 36.7614 </t>
  </si>
  <si>
    <t xml:space="preserve"> 4.146 </t>
  </si>
  <si>
    <t xml:space="preserve"> 417511.719 </t>
  </si>
  <si>
    <t xml:space="preserve"> 261468.016 </t>
  </si>
  <si>
    <t xml:space="preserve">C:\Users\andre\Desktop\REACTIV CEFAS\Fadrozole\Fadrozole/20201217_Cefas_Test10_Run1/Plate 1/@3/A3_01.tif </t>
  </si>
  <si>
    <t xml:space="preserve"> 15205.8159 </t>
  </si>
  <si>
    <t xml:space="preserve"> 34.4381 </t>
  </si>
  <si>
    <t xml:space="preserve">C:\Users\andre\Desktop\REACTIV CEFAS\Fadrozole\Fadrozole/20201217_Cefas_Test10_Run1/Plate 1/@3/A3_02.tif </t>
  </si>
  <si>
    <t xml:space="preserve"> 34.9479 </t>
  </si>
  <si>
    <t xml:space="preserve">C:\Users\andre\Desktop\REACTIV CEFAS\Fadrozole\Fadrozole/20201217_Cefas_Test10_Run1/Plate 1/@3/A3_03.tif </t>
  </si>
  <si>
    <t xml:space="preserve"> 16590.1292 </t>
  </si>
  <si>
    <t xml:space="preserve"> 35.5111 </t>
  </si>
  <si>
    <t xml:space="preserve">C:\Users\andre\Desktop\REACTIV CEFAS\Fadrozole\Fadrozole/20201217_Cefas_Test10_Run1/Plate 1/@3/A3_04.tif </t>
  </si>
  <si>
    <t xml:space="preserve"> 13756.613 </t>
  </si>
  <si>
    <t xml:space="preserve"> 33.1855 </t>
  </si>
  <si>
    <t xml:space="preserve">C:\Users\andre\Desktop\REACTIV CEFAS\Fadrozole\Fadrozole/20201217_Cefas_Test10_Run1/Plate 1/@3/B3_01.tif </t>
  </si>
  <si>
    <t xml:space="preserve"> 10230.9402 </t>
  </si>
  <si>
    <t xml:space="preserve"> 37.1036 </t>
  </si>
  <si>
    <t xml:space="preserve">C:\Users\andre\Desktop\REACTIV CEFAS\Fadrozole\Fadrozole/20201217_Cefas_Test10_Run1/Plate 1/@3/B3_02.tif </t>
  </si>
  <si>
    <t xml:space="preserve"> 10641.9082 </t>
  </si>
  <si>
    <t xml:space="preserve"> 37.6829 </t>
  </si>
  <si>
    <t xml:space="preserve">C:\Users\andre\Desktop\REACTIV CEFAS\Fadrozole\Fadrozole/20201217_Cefas_Test10_Run1/Plate 1/@3/B3_03.tif </t>
  </si>
  <si>
    <t xml:space="preserve"> 13540.314 </t>
  </si>
  <si>
    <t xml:space="preserve"> 37.6182 </t>
  </si>
  <si>
    <t xml:space="preserve">C:\Users\andre\Desktop\REACTIV CEFAS\Fadrozole\Fadrozole/20201217_Cefas_Test10_Run1/Plate 1/@3/B3_04.tif </t>
  </si>
  <si>
    <t xml:space="preserve"> 12848.1574 </t>
  </si>
  <si>
    <t xml:space="preserve"> 35.7374 </t>
  </si>
  <si>
    <t xml:space="preserve">C:\Users\andre\Desktop\REACTIV CEFAS\Fadrozole\Fadrozole/20201217_Cefas_Test10_Run1/Plate 1/@3/C3_01.tif </t>
  </si>
  <si>
    <t xml:space="preserve"> 30.6 </t>
  </si>
  <si>
    <t xml:space="preserve">C:\Users\andre\Desktop\REACTIV CEFAS\Fadrozole\Fadrozole/20201217_Cefas_Test10_Run1/Plate 1/@3/C3_02.tif </t>
  </si>
  <si>
    <t xml:space="preserve"> 45.203 </t>
  </si>
  <si>
    <t>C:\Users\andre\Desktop\REACTIV CEFAS\Fadrozole\Fadrozole/20201217_Cefas_Test10_Run1/Plate 1/@3/C3_03- exclu.tif</t>
  </si>
  <si>
    <t>C:\Users\andre\Desktop\REACTIV CEFAS\Fadrozole\Fadrozole/20201217_Cefas_Test10_Run1/Plate 1/@3/C3_04- exclu.tif</t>
  </si>
  <si>
    <t xml:space="preserve">C:\Users\andre\Desktop\REACTIV CEFAS\Fadrozole\Fadrozole/20201217_Cefas_Test10_Run1/Plate 1/@3/D3_01.tif </t>
  </si>
  <si>
    <t xml:space="preserve"> 5710.2922 </t>
  </si>
  <si>
    <t xml:space="preserve"> 41.6477 </t>
  </si>
  <si>
    <t xml:space="preserve">C:\Users\andre\Desktop\REACTIV CEFAS\Fadrozole\Fadrozole/20201217_Cefas_Test10_Run1/Plate 1/@3/D3_02.tif </t>
  </si>
  <si>
    <t xml:space="preserve"> 39.8882 </t>
  </si>
  <si>
    <t xml:space="preserve">C:\Users\andre\Desktop\REACTIV CEFAS\Fadrozole\Fadrozole/20201217_Cefas_Test10_Run1/Plate 1/@3/D3_03.tif </t>
  </si>
  <si>
    <t xml:space="preserve">C:\Users\andre\Desktop\REACTIV CEFAS\Fadrozole\Fadrozole/20201217_Cefas_Test10_Run1/Plate 1/@3/D3_04.tif </t>
  </si>
  <si>
    <t xml:space="preserve"> 43.661 </t>
  </si>
  <si>
    <t xml:space="preserve">C:\Users\andre\Desktop\REACTIV CEFAS\Fadrozole\Fadrozole/20201217_Cefas_Test10_Run1/Plate 1/@3/E3_01.tif </t>
  </si>
  <si>
    <t xml:space="preserve"> 8219.36 </t>
  </si>
  <si>
    <t xml:space="preserve"> 40.3105 </t>
  </si>
  <si>
    <t xml:space="preserve">C:\Users\andre\Desktop\REACTIV CEFAS\Fadrozole\Fadrozole/20201217_Cefas_Test10_Run1/Plate 1/@3/E3_02.tif </t>
  </si>
  <si>
    <t xml:space="preserve"> 40.9239 </t>
  </si>
  <si>
    <t xml:space="preserve">C:\Users\andre\Desktop\REACTIV CEFAS\Fadrozole\Fadrozole/20201217_Cefas_Test10_Run1/Plate 1/@3/E3_03.tif </t>
  </si>
  <si>
    <t xml:space="preserve"> 12761.6378 </t>
  </si>
  <si>
    <t xml:space="preserve"> 39.2373 </t>
  </si>
  <si>
    <t xml:space="preserve">C:\Users\andre\Desktop\REACTIV CEFAS\Fadrozole\Fadrozole/20201217_Cefas_Test10_Run1/Plate 1/@3/E3_04.tif </t>
  </si>
  <si>
    <t xml:space="preserve"> 9019.6661 </t>
  </si>
  <si>
    <t xml:space="preserve"> 41.6835 </t>
  </si>
  <si>
    <t xml:space="preserve">C:\Users\andre\Desktop\REACTIV CEFAS\Fadrozole\Fadrozole/20201217_Cefas_Test10_Run1/Plate 1/@3/F3_01.tif </t>
  </si>
  <si>
    <t xml:space="preserve"> 12199.2606 </t>
  </si>
  <si>
    <t xml:space="preserve"> 40.2979 </t>
  </si>
  <si>
    <t xml:space="preserve">C:\Users\andre\Desktop\REACTIV CEFAS\Fadrozole\Fadrozole/20201217_Cefas_Test10_Run1/Plate 1/@3/F3_02.tif </t>
  </si>
  <si>
    <t xml:space="preserve"> 8392.3991 </t>
  </si>
  <si>
    <t xml:space="preserve"> 39.0515 </t>
  </si>
  <si>
    <t xml:space="preserve">C:\Users\andre\Desktop\REACTIV CEFAS\Fadrozole\Fadrozole/20201217_Cefas_Test10_Run1/Plate 1/@3/F3_03.tif </t>
  </si>
  <si>
    <t xml:space="preserve"> 40.6933 </t>
  </si>
  <si>
    <t xml:space="preserve">C:\Users\andre\Desktop\REACTIV CEFAS\Fadrozole\Fadrozole/20201217_Cefas_Test10_Run1/Plate 1/@3/F3_04.tif </t>
  </si>
  <si>
    <t xml:space="preserve"> 4823.4665 </t>
  </si>
  <si>
    <t xml:space="preserve"> 40.4619 </t>
  </si>
  <si>
    <t xml:space="preserve">C:\Users\andre\Desktop\REACTIV CEFAS\Fadrozole\Fadrozole/20201217_Cefas_Test10_Run1/Plate 1/@3/G3_01.tif </t>
  </si>
  <si>
    <t xml:space="preserve"> 33.1277 </t>
  </si>
  <si>
    <t xml:space="preserve">C:\Users\andre\Desktop\REACTIV CEFAS\Fadrozole\Fadrozole/20201217_Cefas_Test10_Run1/Plate 1/@3/G3_02.tif </t>
  </si>
  <si>
    <t xml:space="preserve">C:\Users\andre\Desktop\REACTIV CEFAS\Fadrozole\Fadrozole/20201217_Cefas_Test10_Run1/Plate 1/@3/G3_03.tif </t>
  </si>
  <si>
    <t xml:space="preserve">C:\Users\andre\Desktop\REACTIV CEFAS\Fadrozole\Fadrozole/20201217_Cefas_Test10_Run1/Plate 1/@3/G3_04.tif </t>
  </si>
  <si>
    <t xml:space="preserve"> 43.5216 </t>
  </si>
  <si>
    <t xml:space="preserve">C:\Users\andre\Desktop\REACTIV CEFAS\Fadrozole\Fadrozole/20201217_Cefas_Test10_Run1/Plate 1/@3/H3_01.tif </t>
  </si>
  <si>
    <t xml:space="preserve"> 9149.4454 </t>
  </si>
  <si>
    <t xml:space="preserve"> 38.8605 </t>
  </si>
  <si>
    <t xml:space="preserve">C:\Users\andre\Desktop\REACTIV CEFAS\Fadrozole\Fadrozole/20201217_Cefas_Test10_Run1/Plate 1/@3/H3_02.tif </t>
  </si>
  <si>
    <t xml:space="preserve"> 39.2238 </t>
  </si>
  <si>
    <t xml:space="preserve">C:\Users\andre\Desktop\REACTIV CEFAS\Fadrozole\Fadrozole/20201217_Cefas_Test10_Run1/Plate 1/@3/H3_03.tif </t>
  </si>
  <si>
    <t xml:space="preserve"> 13150.9759 </t>
  </si>
  <si>
    <t xml:space="preserve"> 39.2105 </t>
  </si>
  <si>
    <t xml:space="preserve">C:\Users\andre\Desktop\REACTIV CEFAS\Fadrozole\Fadrozole/20201217_Cefas_Test10_Run1/Plate 1/@3/H3_04.tif </t>
  </si>
  <si>
    <t xml:space="preserve"> 30.625 </t>
  </si>
  <si>
    <t xml:space="preserve">C:\Users\andre\Desktop\REACTIV CEFAS\Fadrozole\Fadrozole/20201217_Cefas_Test10_Run1/Plate 1/@3/ </t>
  </si>
  <si>
    <t xml:space="preserve"> 37.1492 </t>
  </si>
  <si>
    <t xml:space="preserve"> 4.4246 </t>
  </si>
  <si>
    <t xml:space="preserve"> 299284.719 </t>
  </si>
  <si>
    <t xml:space="preserve"> 185200.074 </t>
  </si>
  <si>
    <t>C:\Users\andre\Desktop\REACTIV CEFAS\Fadrozole\Fadrozole/20201217_Cefas_Test10_Run1/Plate 1/@4/A4_01- exclu.tif</t>
  </si>
  <si>
    <t>C:\Users\andre\Desktop\REACTIV CEFAS\Fadrozole\Fadrozole/20201217_Cefas_Test10_Run1/Plate 1/@4/A4_02- exclu.tif</t>
  </si>
  <si>
    <t>C:\Users\andre\Desktop\REACTIV CEFAS\Fadrozole\Fadrozole/20201217_Cefas_Test10_Run1/Plate 1/@4/A4_03- exclu.tif</t>
  </si>
  <si>
    <t xml:space="preserve">C:\Users\andre\Desktop\REACTIV CEFAS\Fadrozole\Fadrozole/20201217_Cefas_Test10_Run1/Plate 1/@4/A4_04.tif </t>
  </si>
  <si>
    <t xml:space="preserve"> 17455.325 </t>
  </si>
  <si>
    <t xml:space="preserve"> 35.4015 </t>
  </si>
  <si>
    <t xml:space="preserve">C:\Users\andre\Desktop\REACTIV CEFAS\Fadrozole\Fadrozole/20201217_Cefas_Test10_Run1/Plate 1/@4/B4_01.tif </t>
  </si>
  <si>
    <t xml:space="preserve"> 17260.6559 </t>
  </si>
  <si>
    <t xml:space="preserve"> 33.6992 </t>
  </si>
  <si>
    <t>C:\Users\andre\Desktop\REACTIV CEFAS\Fadrozole\Fadrozole/20201217_Cefas_Test10_Run1/Plate 1/@4/B4_02- exclu.tif</t>
  </si>
  <si>
    <t xml:space="preserve">C:\Users\andre\Desktop\REACTIV CEFAS\Fadrozole\Fadrozole/20201217_Cefas_Test10_Run1/Plate 1/@4/B4_03.tif </t>
  </si>
  <si>
    <t xml:space="preserve"> 18904.5279 </t>
  </si>
  <si>
    <t xml:space="preserve"> 33.5915 </t>
  </si>
  <si>
    <t xml:space="preserve">C:\Users\andre\Desktop\REACTIV CEFAS\Fadrozole\Fadrozole/20201217_Cefas_Test10_Run1/Plate 1/@4/B4_04.tif </t>
  </si>
  <si>
    <t xml:space="preserve"> 24571.5603 </t>
  </si>
  <si>
    <t xml:space="preserve"> 33.8477 </t>
  </si>
  <si>
    <t xml:space="preserve">C:\Users\andre\Desktop\REACTIV CEFAS\Fadrozole\Fadrozole/20201217_Cefas_Test10_Run1/Plate 1/@4/C4_01.tif </t>
  </si>
  <si>
    <t xml:space="preserve"> 70946.0544 </t>
  </si>
  <si>
    <t xml:space="preserve"> 46.3034 </t>
  </si>
  <si>
    <t xml:space="preserve">C:\Users\andre\Desktop\REACTIV CEFAS\Fadrozole\Fadrozole/20201217_Cefas_Test10_Run1/Plate 1/@4/C4_02.tif </t>
  </si>
  <si>
    <t xml:space="preserve"> 43.4517 </t>
  </si>
  <si>
    <t xml:space="preserve">C:\Users\andre\Desktop\REACTIV CEFAS\Fadrozole\Fadrozole/20201217_Cefas_Test10_Run1/Plate 1/@4/C4_03.tif </t>
  </si>
  <si>
    <t xml:space="preserve"> 65473.691 </t>
  </si>
  <si>
    <t xml:space="preserve"> 45.5035 </t>
  </si>
  <si>
    <t>C:\Users\andre\Desktop\REACTIV CEFAS\Fadrozole\Fadrozole/20201217_Cefas_Test10_Run1/Plate 1/@4/C4_04- exclu.tif</t>
  </si>
  <si>
    <t xml:space="preserve">C:\Users\andre\Desktop\REACTIV CEFAS\Fadrozole\Fadrozole/20201217_Cefas_Test10_Run1/Plate 1/@4/D4_01.tif </t>
  </si>
  <si>
    <t xml:space="preserve"> 18644.9692 </t>
  </si>
  <si>
    <t xml:space="preserve"> 33.1137 </t>
  </si>
  <si>
    <t xml:space="preserve">C:\Users\andre\Desktop\REACTIV CEFAS\Fadrozole\Fadrozole/20201217_Cefas_Test10_Run1/Plate 1/@4/D4_02.tif </t>
  </si>
  <si>
    <t xml:space="preserve"> 30498.1514 </t>
  </si>
  <si>
    <t xml:space="preserve"> 37.0674 </t>
  </si>
  <si>
    <t xml:space="preserve">C:\Users\andre\Desktop\REACTIV CEFAS\Fadrozole\Fadrozole/20201217_Cefas_Test10_Run1/Plate 1/@4/D4_03.tif </t>
  </si>
  <si>
    <t xml:space="preserve"> 32682.7708 </t>
  </si>
  <si>
    <t xml:space="preserve"> 36.4064 </t>
  </si>
  <si>
    <t xml:space="preserve">C:\Users\andre\Desktop\REACTIV CEFAS\Fadrozole\Fadrozole/20201217_Cefas_Test10_Run1/Plate 1/@4/D4_04.tif </t>
  </si>
  <si>
    <t xml:space="preserve"> 39777.3762 </t>
  </si>
  <si>
    <t xml:space="preserve"> 36.6476 </t>
  </si>
  <si>
    <t xml:space="preserve">C:\Users\andre\Desktop\REACTIV CEFAS\Fadrozole\Fadrozole/20201217_Cefas_Test10_Run1/Plate 1/@4/E4_01.tif </t>
  </si>
  <si>
    <t xml:space="preserve"> 17239.026 </t>
  </si>
  <si>
    <t xml:space="preserve"> 33.1857 </t>
  </si>
  <si>
    <t xml:space="preserve">C:\Users\andre\Desktop\REACTIV CEFAS\Fadrozole\Fadrozole/20201217_Cefas_Test10_Run1/Plate 1/@4/E4_02.tif </t>
  </si>
  <si>
    <t xml:space="preserve"> 29546.4361 </t>
  </si>
  <si>
    <t xml:space="preserve"> 33.8675 </t>
  </si>
  <si>
    <t xml:space="preserve">C:\Users\andre\Desktop\REACTIV CEFAS\Fadrozole\Fadrozole/20201217_Cefas_Test10_Run1/Plate 1/@4/E4_03.tif </t>
  </si>
  <si>
    <t xml:space="preserve"> 38847.2908 </t>
  </si>
  <si>
    <t xml:space="preserve"> 33.4532 </t>
  </si>
  <si>
    <t xml:space="preserve">C:\Users\andre\Desktop\REACTIV CEFAS\Fadrozole\Fadrozole/20201217_Cefas_Test10_Run1/Plate 1/@4/E4_04.tif </t>
  </si>
  <si>
    <t xml:space="preserve"> 36251.7034 </t>
  </si>
  <si>
    <t xml:space="preserve"> 34.8455 </t>
  </si>
  <si>
    <t xml:space="preserve">C:\Users\andre\Desktop\REACTIV CEFAS\Fadrozole\Fadrozole/20201217_Cefas_Test10_Run1/Plate 1/@4/F4_01.tif </t>
  </si>
  <si>
    <t>C:\Users\andre\Desktop\REACTIV CEFAS\Fadrozole\Fadrozole/20201217_Cefas_Test10_Run1/Plate 1/@4/F4_02- exclu.tif</t>
  </si>
  <si>
    <t xml:space="preserve">C:\Users\andre\Desktop\REACTIV CEFAS\Fadrozole\Fadrozole/20201217_Cefas_Test10_Run1/Plate 1/@4/F4_03.tif </t>
  </si>
  <si>
    <t xml:space="preserve"> 39.9857 </t>
  </si>
  <si>
    <t>C:\Users\andre\Desktop\REACTIV CEFAS\Fadrozole\Fadrozole/20201217_Cefas_Test10_Run1/Plate 1/@4/F4_04- exclu.tif</t>
  </si>
  <si>
    <t xml:space="preserve">C:\Users\andre\Desktop\REACTIV CEFAS\Fadrozole\Fadrozole/20201217_Cefas_Test10_Run1/Plate 1/@4/G4_01.tif </t>
  </si>
  <si>
    <t xml:space="preserve"> 34.3293 </t>
  </si>
  <si>
    <t xml:space="preserve">C:\Users\andre\Desktop\REACTIV CEFAS\Fadrozole\Fadrozole/20201217_Cefas_Test10_Run1/Plate 1/@4/G4_02.tif </t>
  </si>
  <si>
    <t xml:space="preserve"> 36.9209 </t>
  </si>
  <si>
    <t xml:space="preserve">C:\Users\andre\Desktop\REACTIV CEFAS\Fadrozole\Fadrozole/20201217_Cefas_Test10_Run1/Plate 1/@4/G4_03.tif </t>
  </si>
  <si>
    <t xml:space="preserve"> 38.9582 </t>
  </si>
  <si>
    <t xml:space="preserve">C:\Users\andre\Desktop\REACTIV CEFAS\Fadrozole\Fadrozole/20201217_Cefas_Test10_Run1/Plate 1/@4/G4_04.tif </t>
  </si>
  <si>
    <t xml:space="preserve"> 12329.0399 </t>
  </si>
  <si>
    <t xml:space="preserve"> 36.7965 </t>
  </si>
  <si>
    <t xml:space="preserve">C:\Users\andre\Desktop\REACTIV CEFAS\Fadrozole\Fadrozole/20201217_Cefas_Test10_Run1/Plate 1/@4/H4_01.tif </t>
  </si>
  <si>
    <t xml:space="preserve"> 31.831 </t>
  </si>
  <si>
    <t xml:space="preserve">C:\Users\andre\Desktop\REACTIV CEFAS\Fadrozole\Fadrozole/20201217_Cefas_Test10_Run1/Plate 1/@4/H4_02.tif </t>
  </si>
  <si>
    <t xml:space="preserve"> 31.726 </t>
  </si>
  <si>
    <t xml:space="preserve">C:\Users\andre\Desktop\REACTIV CEFAS\Fadrozole\Fadrozole/20201217_Cefas_Test10_Run1/Plate 1/@4/H4_03.tif </t>
  </si>
  <si>
    <t xml:space="preserve"> 14556.9191 </t>
  </si>
  <si>
    <t xml:space="preserve"> 35.2006 </t>
  </si>
  <si>
    <t xml:space="preserve">C:\Users\andre\Desktop\REACTIV CEFAS\Fadrozole\Fadrozole/20201217_Cefas_Test10_Run1/Plate 1/@4/H4_04.tif </t>
  </si>
  <si>
    <t xml:space="preserve"> 33.6253 </t>
  </si>
  <si>
    <t xml:space="preserve">C:\Users\andre\Desktop\REACTIV CEFAS\Fadrozole\Fadrozole/20201217_Cefas_Test10_Run1/Plate 1/@4/ </t>
  </si>
  <si>
    <t xml:space="preserve"> 36.9123 </t>
  </si>
  <si>
    <t xml:space="preserve"> 4.462 </t>
  </si>
  <si>
    <t xml:space="preserve"> 948028.094 </t>
  </si>
  <si>
    <t xml:space="preserve"> 921359.489 </t>
  </si>
  <si>
    <t xml:space="preserve">C:\Users\andre\Desktop\REACTIV CEFAS\Fadrozole\Fadrozole/20201217_Cefas_Test10_Run1/Plate 1/@5/A5_01.tif </t>
  </si>
  <si>
    <t xml:space="preserve"> 45141.5901 </t>
  </si>
  <si>
    <t xml:space="preserve"> 39.3876 </t>
  </si>
  <si>
    <t xml:space="preserve">C:\Users\andre\Desktop\REACTIV CEFAS\Fadrozole\Fadrozole/20201217_Cefas_Test10_Run1/Plate 1/@5/A5_02.tif </t>
  </si>
  <si>
    <t xml:space="preserve"> 58963.0928 </t>
  </si>
  <si>
    <t xml:space="preserve"> 41.3683 </t>
  </si>
  <si>
    <t>C:\Users\andre\Desktop\REACTIV CEFAS\Fadrozole\Fadrozole/20201217_Cefas_Test10_Run1/Plate 1/@5/A5_03- exclu.tif</t>
  </si>
  <si>
    <t xml:space="preserve">C:\Users\andre\Desktop\REACTIV CEFAS\Fadrozole\Fadrozole/20201217_Cefas_Test10_Run1/Plate 1/@5/A5_04.tif </t>
  </si>
  <si>
    <t xml:space="preserve"> 40880.5008 </t>
  </si>
  <si>
    <t xml:space="preserve"> 38.0127 </t>
  </si>
  <si>
    <t xml:space="preserve">C:\Users\andre\Desktop\REACTIV CEFAS\Fadrozole\Fadrozole/20201217_Cefas_Test10_Run1/Plate 1/@5/B5_01.tif </t>
  </si>
  <si>
    <t xml:space="preserve"> 67377.1218 </t>
  </si>
  <si>
    <t xml:space="preserve"> 42.8263 </t>
  </si>
  <si>
    <t xml:space="preserve">C:\Users\andre\Desktop\REACTIV CEFAS\Fadrozole\Fadrozole/20201217_Cefas_Test10_Run1/Plate 1/@5/B5_02.tif </t>
  </si>
  <si>
    <t xml:space="preserve"> 57708.5589 </t>
  </si>
  <si>
    <t xml:space="preserve"> 44.096 </t>
  </si>
  <si>
    <t xml:space="preserve">C:\Users\andre\Desktop\REACTIV CEFAS\Fadrozole\Fadrozole/20201217_Cefas_Test10_Run1/Plate 1/@5/B5_03.tif </t>
  </si>
  <si>
    <t xml:space="preserve"> 61731.7193 </t>
  </si>
  <si>
    <t xml:space="preserve"> 40.6997 </t>
  </si>
  <si>
    <t xml:space="preserve">C:\Users\andre\Desktop\REACTIV CEFAS\Fadrozole\Fadrozole/20201217_Cefas_Test10_Run1/Plate 1/@5/B5_04.tif </t>
  </si>
  <si>
    <t xml:space="preserve"> 62315.7264 </t>
  </si>
  <si>
    <t xml:space="preserve"> 41.1236 </t>
  </si>
  <si>
    <t xml:space="preserve">C:\Users\andre\Desktop\REACTIV CEFAS\Fadrozole\Fadrozole/20201217_Cefas_Test10_Run1/Plate 1/@5/C5_01.tif </t>
  </si>
  <si>
    <t xml:space="preserve"> 76115.5992 </t>
  </si>
  <si>
    <t xml:space="preserve"> 38.7548 </t>
  </si>
  <si>
    <t>C:\Users\andre\Desktop\REACTIV CEFAS\Fadrozole\Fadrozole/20201217_Cefas_Test10_Run1/Plate 1/@5/C5_02- exclu.tif</t>
  </si>
  <si>
    <t>C:\Users\andre\Desktop\REACTIV CEFAS\Fadrozole\Fadrozole/20201217_Cefas_Test10_Run1/Plate 1/@5/C5_03- exclu.tif</t>
  </si>
  <si>
    <t xml:space="preserve">C:\Users\andre\Desktop\REACTIV CEFAS\Fadrozole\Fadrozole/20201217_Cefas_Test10_Run1/Plate 1/@5/C5_04.tif </t>
  </si>
  <si>
    <t xml:space="preserve"> 45.2896 </t>
  </si>
  <si>
    <t xml:space="preserve">C:\Users\andre\Desktop\REACTIV CEFAS\Fadrozole\Fadrozole/20201217_Cefas_Test10_Run1/Plate 1/@5/D5_01.tif </t>
  </si>
  <si>
    <t xml:space="preserve"> 63743.2995 </t>
  </si>
  <si>
    <t xml:space="preserve"> 43.2514 </t>
  </si>
  <si>
    <t xml:space="preserve">C:\Users\andre\Desktop\REACTIV CEFAS\Fadrozole\Fadrozole/20201217_Cefas_Test10_Run1/Plate 1/@5/D5_02.tif </t>
  </si>
  <si>
    <t xml:space="preserve"> 52495.7543 </t>
  </si>
  <si>
    <t xml:space="preserve"> 42.2921 </t>
  </si>
  <si>
    <t xml:space="preserve">C:\Users\andre\Desktop\REACTIV CEFAS\Fadrozole\Fadrozole/20201217_Cefas_Test10_Run1/Plate 1/@5/D5_03.tif </t>
  </si>
  <si>
    <t xml:space="preserve"> 59374.0608 </t>
  </si>
  <si>
    <t xml:space="preserve"> 43.3701 </t>
  </si>
  <si>
    <t xml:space="preserve">C:\Users\andre\Desktop\REACTIV CEFAS\Fadrozole\Fadrozole/20201217_Cefas_Test10_Run1/Plate 1/@5/D5_04.tif </t>
  </si>
  <si>
    <t xml:space="preserve"> 49489.1989 </t>
  </si>
  <si>
    <t xml:space="preserve"> 43.7076 </t>
  </si>
  <si>
    <t xml:space="preserve">C:\Users\andre\Desktop\REACTIV CEFAS\Fadrozole\Fadrozole/20201217_Cefas_Test10_Run1/Plate 1/@5/E5_01.tif </t>
  </si>
  <si>
    <t xml:space="preserve"> 58011.3774 </t>
  </si>
  <si>
    <t xml:space="preserve"> 40.2946 </t>
  </si>
  <si>
    <t xml:space="preserve">C:\Users\andre\Desktop\REACTIV CEFAS\Fadrozole\Fadrozole/20201217_Cefas_Test10_Run1/Plate 1/@5/E5_02.tif </t>
  </si>
  <si>
    <t xml:space="preserve"> 39.9979 </t>
  </si>
  <si>
    <t>C:\Users\andre\Desktop\REACTIV CEFAS\Fadrozole\Fadrozole/20201217_Cefas_Test10_Run1/Plate 1/@5/E5_03- exclu.tif</t>
  </si>
  <si>
    <t xml:space="preserve">C:\Users\andre\Desktop\REACTIV CEFAS\Fadrozole\Fadrozole/20201217_Cefas_Test10_Run1/Plate 1/@5/E5_04.tif </t>
  </si>
  <si>
    <t xml:space="preserve"> 41594.2874 </t>
  </si>
  <si>
    <t xml:space="preserve"> 35.3521 </t>
  </si>
  <si>
    <t xml:space="preserve">C:\Users\andre\Desktop\REACTIV CEFAS\Fadrozole\Fadrozole/20201217_Cefas_Test10_Run1/Plate 1/@5/F5_01.tif </t>
  </si>
  <si>
    <t xml:space="preserve"> 83534.6531 </t>
  </si>
  <si>
    <t xml:space="preserve"> 44.3915 </t>
  </si>
  <si>
    <t xml:space="preserve">C:\Users\andre\Desktop\REACTIV CEFAS\Fadrozole\Fadrozole/20201217_Cefas_Test10_Run1/Plate 1/@5/F5_02.tif </t>
  </si>
  <si>
    <t xml:space="preserve"> 77932.5103 </t>
  </si>
  <si>
    <t xml:space="preserve"> 42.7386 </t>
  </si>
  <si>
    <t xml:space="preserve">C:\Users\andre\Desktop\REACTIV CEFAS\Fadrozole\Fadrozole/20201217_Cefas_Test10_Run1/Plate 1/@5/F5_03.tif </t>
  </si>
  <si>
    <t xml:space="preserve"> 79771.0514 </t>
  </si>
  <si>
    <t xml:space="preserve"> 44.5911 </t>
  </si>
  <si>
    <t xml:space="preserve">C:\Users\andre\Desktop\REACTIV CEFAS\Fadrozole\Fadrozole/20201217_Cefas_Test10_Run1/Plate 1/@5/F5_04.tif </t>
  </si>
  <si>
    <t xml:space="preserve"> 88033.6711 </t>
  </si>
  <si>
    <t xml:space="preserve"> 44.9727 </t>
  </si>
  <si>
    <t xml:space="preserve">C:\Users\andre\Desktop\REACTIV CEFAS\Fadrozole\Fadrozole/20201217_Cefas_Test10_Run1/Plate 1/@5/G5_01.tif </t>
  </si>
  <si>
    <t xml:space="preserve"> 13497.0542 </t>
  </si>
  <si>
    <t xml:space="preserve"> 33.8766 </t>
  </si>
  <si>
    <t xml:space="preserve">C:\Users\andre\Desktop\REACTIV CEFAS\Fadrozole\Fadrozole/20201217_Cefas_Test10_Run1/Plate 1/@5/G5_02.tif </t>
  </si>
  <si>
    <t xml:space="preserve"> 37073.6394 </t>
  </si>
  <si>
    <t xml:space="preserve"> 36.0963 </t>
  </si>
  <si>
    <t xml:space="preserve">C:\Users\andre\Desktop\REACTIV CEFAS\Fadrozole\Fadrozole/20201217_Cefas_Test10_Run1/Plate 1/@5/G5_03.tif </t>
  </si>
  <si>
    <t xml:space="preserve"> 34867.3901 </t>
  </si>
  <si>
    <t xml:space="preserve"> 36.9082 </t>
  </si>
  <si>
    <t xml:space="preserve">C:\Users\andre\Desktop\REACTIV CEFAS\Fadrozole\Fadrozole/20201217_Cefas_Test10_Run1/Plate 1/@5/G5_04.tif </t>
  </si>
  <si>
    <t xml:space="preserve"> 33.6591 </t>
  </si>
  <si>
    <t xml:space="preserve">C:\Users\andre\Desktop\REACTIV CEFAS\Fadrozole\Fadrozole/20201217_Cefas_Test10_Run1/Plate 1/@5/H5_01.tif </t>
  </si>
  <si>
    <t xml:space="preserve"> 31.3556 </t>
  </si>
  <si>
    <t>C:\Users\andre\Desktop\REACTIV CEFAS\Fadrozole\Fadrozole/20201217_Cefas_Test10_Run1/Plate 1/@5/H5_02- exclu.tif</t>
  </si>
  <si>
    <t>C:\Users\andre\Desktop\REACTIV CEFAS\Fadrozole\Fadrozole/20201217_Cefas_Test10_Run1/Plate 1/@5/H5_03- exclu.tif</t>
  </si>
  <si>
    <t>C:\Users\andre\Desktop\REACTIV CEFAS\Fadrozole\Fadrozole/20201217_Cefas_Test10_Run1/Plate 1/@5/H5_04- exclu.tif</t>
  </si>
  <si>
    <t xml:space="preserve">C:\Users\andre\Desktop\REACTIV CEFAS\Fadrozole\Fadrozole/20201217_Cefas_Test10_Run1/Plate 1/@5/ </t>
  </si>
  <si>
    <t xml:space="preserve"> 41.1186 </t>
  </si>
  <si>
    <t xml:space="preserve"> 3.874 </t>
  </si>
  <si>
    <t xml:space="preserve"> 2178940.12 </t>
  </si>
  <si>
    <t xml:space="preserve"> 1120797.4 </t>
  </si>
  <si>
    <t xml:space="preserve">C:\Users\andre\Desktop\REACTIV CEFAS\Fadrozole\Fadrozole/20201217_Cefas_Test10_Run1/Plate 1/@6/A6_01.tif </t>
  </si>
  <si>
    <t xml:space="preserve"> 56518.9147 </t>
  </si>
  <si>
    <t xml:space="preserve"> 43.1871 </t>
  </si>
  <si>
    <t xml:space="preserve">C:\Users\andre\Desktop\REACTIV CEFAS\Fadrozole\Fadrozole/20201217_Cefas_Test10_Run1/Plate 1/@6/A6_02.tif </t>
  </si>
  <si>
    <t xml:space="preserve"> 62769.9542 </t>
  </si>
  <si>
    <t xml:space="preserve"> 46.0152 </t>
  </si>
  <si>
    <t xml:space="preserve">C:\Users\andre\Desktop\REACTIV CEFAS\Fadrozole\Fadrozole/20201217_Cefas_Test10_Run1/Plate 1/@6/A6_03.tif </t>
  </si>
  <si>
    <t xml:space="preserve"> 63808.1892 </t>
  </si>
  <si>
    <t xml:space="preserve"> 47.2071 </t>
  </si>
  <si>
    <t xml:space="preserve">C:\Users\andre\Desktop\REACTIV CEFAS\Fadrozole\Fadrozole/20201217_Cefas_Test10_Run1/Plate 1/@6/A6_04.tif </t>
  </si>
  <si>
    <t xml:space="preserve"> 64911.3138 </t>
  </si>
  <si>
    <t xml:space="preserve"> 45.5811 </t>
  </si>
  <si>
    <t xml:space="preserve">C:\Users\andre\Desktop\REACTIV CEFAS\Fadrozole\Fadrozole/20201217_Cefas_Test10_Run1/Plate 1/@6/B6_01.tif </t>
  </si>
  <si>
    <t xml:space="preserve"> 46.3974 </t>
  </si>
  <si>
    <t xml:space="preserve">C:\Users\andre\Desktop\REACTIV CEFAS\Fadrozole\Fadrozole/20201217_Cefas_Test10_Run1/Plate 1/@6/B6_02.tif </t>
  </si>
  <si>
    <t xml:space="preserve"> 53923.3273 </t>
  </si>
  <si>
    <t xml:space="preserve"> 45.7148 </t>
  </si>
  <si>
    <t xml:space="preserve">C:\Users\andre\Desktop\REACTIV CEFAS\Fadrozole\Fadrozole/20201217_Cefas_Test10_Run1/Plate 1/@6/B6_03.tif </t>
  </si>
  <si>
    <t xml:space="preserve"> 55069.7117 </t>
  </si>
  <si>
    <t xml:space="preserve"> 47.9666 </t>
  </si>
  <si>
    <t xml:space="preserve">C:\Users\andre\Desktop\REACTIV CEFAS\Fadrozole\Fadrozole/20201217_Cefas_Test10_Run1/Plate 1/@6/B6_04.tif </t>
  </si>
  <si>
    <t xml:space="preserve"> 57665.2991 </t>
  </si>
  <si>
    <t xml:space="preserve"> 47.323 </t>
  </si>
  <si>
    <t>C:\Users\andre\Desktop\REACTIV CEFAS\Fadrozole\Fadrozole/20201217_Cefas_Test10_Run1/Plate 1/@6/C6_01- exclu.tif</t>
  </si>
  <si>
    <t>C:\Users\andre\Desktop\REACTIV CEFAS\Fadrozole\Fadrozole/20201217_Cefas_Test10_Run1/Plate 1/@6/C6_02- exclu.tif</t>
  </si>
  <si>
    <t xml:space="preserve">C:\Users\andre\Desktop\REACTIV CEFAS\Fadrozole\Fadrozole/20201217_Cefas_Test10_Run1/Plate 1/@6/C6_03.tif </t>
  </si>
  <si>
    <t xml:space="preserve"> 73000.8944 </t>
  </si>
  <si>
    <t xml:space="preserve"> 43.1292 </t>
  </si>
  <si>
    <t xml:space="preserve">C:\Users\andre\Desktop\REACTIV CEFAS\Fadrozole\Fadrozole/20201217_Cefas_Test10_Run1/Plate 1/@6/C6_04.tif </t>
  </si>
  <si>
    <t xml:space="preserve"> 82539.6779 </t>
  </si>
  <si>
    <t xml:space="preserve"> 41.5629 </t>
  </si>
  <si>
    <t xml:space="preserve">C:\Users\andre\Desktop\REACTIV CEFAS\Fadrozole\Fadrozole/20201217_Cefas_Test10_Run1/Plate 1/@6/D6_01.tif </t>
  </si>
  <si>
    <t xml:space="preserve"> 63202.5521 </t>
  </si>
  <si>
    <t xml:space="preserve"> 47.8409 </t>
  </si>
  <si>
    <t xml:space="preserve">C:\Users\andre\Desktop\REACTIV CEFAS\Fadrozole\Fadrozole/20201217_Cefas_Test10_Run1/Plate 1/@6/D6_02.tif </t>
  </si>
  <si>
    <t xml:space="preserve"> 62034.5378 </t>
  </si>
  <si>
    <t xml:space="preserve"> 46.6974 </t>
  </si>
  <si>
    <t xml:space="preserve">C:\Users\andre\Desktop\REACTIV CEFAS\Fadrozole\Fadrozole/20201217_Cefas_Test10_Run1/Plate 1/@6/D6_03.tif </t>
  </si>
  <si>
    <t xml:space="preserve"> 65495.3209 </t>
  </si>
  <si>
    <t xml:space="preserve"> 47.0337 </t>
  </si>
  <si>
    <t xml:space="preserve">C:\Users\andre\Desktop\REACTIV CEFAS\Fadrozole\Fadrozole/20201217_Cefas_Test10_Run1/Plate 1/@6/D6_04.tif </t>
  </si>
  <si>
    <t xml:space="preserve"> 64219.1572 </t>
  </si>
  <si>
    <t xml:space="preserve"> 46.7686 </t>
  </si>
  <si>
    <t xml:space="preserve">C:\Users\andre\Desktop\REACTIV CEFAS\Fadrozole\Fadrozole/20201217_Cefas_Test10_Run1/Plate 1/@6/E6_01.tif </t>
  </si>
  <si>
    <t xml:space="preserve"> 50938.4019 </t>
  </si>
  <si>
    <t xml:space="preserve"> 43.0047 </t>
  </si>
  <si>
    <t xml:space="preserve">C:\Users\andre\Desktop\REACTIV CEFAS\Fadrozole\Fadrozole/20201217_Cefas_Test10_Run1/Plate 1/@6/E6_02.tif </t>
  </si>
  <si>
    <t xml:space="preserve"> 57859.9681 </t>
  </si>
  <si>
    <t xml:space="preserve"> 44.5607 </t>
  </si>
  <si>
    <t xml:space="preserve">C:\Users\andre\Desktop\REACTIV CEFAS\Fadrozole\Fadrozole/20201217_Cefas_Test10_Run1/Plate 1/@6/E6_03.tif </t>
  </si>
  <si>
    <t xml:space="preserve"> 48213.0351 </t>
  </si>
  <si>
    <t xml:space="preserve"> 44.4154 </t>
  </si>
  <si>
    <t xml:space="preserve">C:\Users\andre\Desktop\REACTIV CEFAS\Fadrozole\Fadrozole/20201217_Cefas_Test10_Run1/Plate 1/@6/E6_04.tif </t>
  </si>
  <si>
    <t xml:space="preserve"> 56605.4342 </t>
  </si>
  <si>
    <t xml:space="preserve"> 43.3481 </t>
  </si>
  <si>
    <t xml:space="preserve">C:\Users\andre\Desktop\REACTIV CEFAS\Fadrozole\Fadrozole/20201217_Cefas_Test10_Run1/Plate 1/@6/F6_01.tif </t>
  </si>
  <si>
    <t xml:space="preserve"> 78451.6278 </t>
  </si>
  <si>
    <t xml:space="preserve"> 45.0543 </t>
  </si>
  <si>
    <t xml:space="preserve">C:\Users\andre\Desktop\REACTIV CEFAS\Fadrozole\Fadrozole/20201217_Cefas_Test10_Run1/Plate 1/@6/F6_02.tif </t>
  </si>
  <si>
    <t xml:space="preserve"> 70080.8586 </t>
  </si>
  <si>
    <t xml:space="preserve"> 45.7179 </t>
  </si>
  <si>
    <t xml:space="preserve">C:\Users\andre\Desktop\REACTIV CEFAS\Fadrozole\Fadrozole/20201217_Cefas_Test10_Run1/Plate 1/@6/F6_03.tif </t>
  </si>
  <si>
    <t xml:space="preserve"> 79078.8948 </t>
  </si>
  <si>
    <t xml:space="preserve"> 43.8072 </t>
  </si>
  <si>
    <t xml:space="preserve">C:\Users\andre\Desktop\REACTIV CEFAS\Fadrozole\Fadrozole/20201217_Cefas_Test10_Run1/Plate 1/@6/F6_04.tif </t>
  </si>
  <si>
    <t xml:space="preserve"> 82345.0089 </t>
  </si>
  <si>
    <t xml:space="preserve"> 48.0029 </t>
  </si>
  <si>
    <t xml:space="preserve">C:\Users\andre\Desktop\REACTIV CEFAS\Fadrozole\Fadrozole/20201217_Cefas_Test10_Run1/Plate 1/@6/G6_01.tif </t>
  </si>
  <si>
    <t xml:space="preserve"> 66165.8477 </t>
  </si>
  <si>
    <t xml:space="preserve"> 38.8173 </t>
  </si>
  <si>
    <t xml:space="preserve">C:\Users\andre\Desktop\REACTIV CEFAS\Fadrozole\Fadrozole/20201217_Cefas_Test10_Run1/Plate 1/@6/G6_02.tif </t>
  </si>
  <si>
    <t xml:space="preserve"> 70426.9369 </t>
  </si>
  <si>
    <t xml:space="preserve"> 40.8707 </t>
  </si>
  <si>
    <t xml:space="preserve">C:\Users\andre\Desktop\REACTIV CEFAS\Fadrozole\Fadrozole/20201217_Cefas_Test10_Run1/Plate 1/@6/G6_03.tif </t>
  </si>
  <si>
    <t xml:space="preserve"> 40.2626 </t>
  </si>
  <si>
    <t xml:space="preserve">C:\Users\andre\Desktop\REACTIV CEFAS\Fadrozole\Fadrozole/20201217_Cefas_Test10_Run1/Plate 1/@6/G6_04.tif </t>
  </si>
  <si>
    <t xml:space="preserve"> 75315.2931 </t>
  </si>
  <si>
    <t xml:space="preserve"> 43.5063 </t>
  </si>
  <si>
    <t xml:space="preserve">C:\Users\andre\Desktop\REACTIV CEFAS\Fadrozole\Fadrozole/20201217_Cefas_Test10_Run1/Plate 1/@6/H6_01.tif </t>
  </si>
  <si>
    <t xml:space="preserve"> 58422.3454 </t>
  </si>
  <si>
    <t xml:space="preserve"> 46.3776 </t>
  </si>
  <si>
    <t xml:space="preserve">C:\Users\andre\Desktop\REACTIV CEFAS\Fadrozole\Fadrozole/20201217_Cefas_Test10_Run1/Plate 1/@6/H6_02.tif </t>
  </si>
  <si>
    <t xml:space="preserve"> 57124.5517 </t>
  </si>
  <si>
    <t xml:space="preserve"> 49.4317 </t>
  </si>
  <si>
    <t xml:space="preserve">C:\Users\andre\Desktop\REACTIV CEFAS\Fadrozole\Fadrozole/20201217_Cefas_Test10_Run1/Plate 1/@6/H6_03.tif </t>
  </si>
  <si>
    <t xml:space="preserve"> 52928.3522 </t>
  </si>
  <si>
    <t xml:space="preserve"> 45.4103 </t>
  </si>
  <si>
    <t xml:space="preserve">C:\Users\andre\Desktop\REACTIV CEFAS\Fadrozole\Fadrozole/20201217_Cefas_Test10_Run1/Plate 1/@6/H6_04.tif </t>
  </si>
  <si>
    <t xml:space="preserve"> 58660.2742 </t>
  </si>
  <si>
    <t xml:space="preserve"> 44.1221 </t>
  </si>
  <si>
    <t xml:space="preserve">C:\Users\andre\Desktop\REACTIV CEFAS\Fadrozole\Fadrozole/20201217_Cefas_Test10_Run1/Plate 1/@6/ </t>
  </si>
  <si>
    <t xml:space="preserve"> 45.0437 </t>
  </si>
  <si>
    <t xml:space="preserve"> 2.8049 </t>
  </si>
  <si>
    <t xml:space="preserve"> 2838848.66 </t>
  </si>
  <si>
    <t xml:space="preserve"> 410328.876 </t>
  </si>
  <si>
    <t xml:space="preserve">C:\Users\andre\Desktop\REACTIV CEFAS\Fadrozole\Fadrozole/20201217_Cefas_Test10_Run1/Plate 1/@7/A7_01.tif </t>
  </si>
  <si>
    <t xml:space="preserve"> 102309.402 </t>
  </si>
  <si>
    <t xml:space="preserve"> 58.3159 </t>
  </si>
  <si>
    <t>C:\Users\andre\Desktop\REACTIV CEFAS\Fadrozole\Fadrozole/20201217_Cefas_Test10_Run1/Plate 1/@7/A7_02- exclu.tif</t>
  </si>
  <si>
    <t>C:\Users\andre\Desktop\REACTIV CEFAS\Fadrozole\Fadrozole/20201217_Cefas_Test10_Run1/Plate 1/@7/A7_03- exclu.tif</t>
  </si>
  <si>
    <t>C:\Users\andre\Desktop\REACTIV CEFAS\Fadrozole\Fadrozole/20201217_Cefas_Test10_Run1/Plate 1/@7/A7_04- exclu.tif</t>
  </si>
  <si>
    <t xml:space="preserve">C:\Users\andre\Desktop\REACTIV CEFAS\Fadrozole\Fadrozole/20201217_Cefas_Test10_Run1/Plate 1/@7/B7_01.tif </t>
  </si>
  <si>
    <t xml:space="preserve"> 58.458 </t>
  </si>
  <si>
    <t xml:space="preserve">C:\Users\andre\Desktop\REACTIV CEFAS\Fadrozole\Fadrozole/20201217_Cefas_Test10_Run1/Plate 1/@7/B7_02.tif </t>
  </si>
  <si>
    <t xml:space="preserve"> 81955.6707 </t>
  </si>
  <si>
    <t xml:space="preserve"> 61.5864 </t>
  </si>
  <si>
    <t xml:space="preserve">C:\Users\andre\Desktop\REACTIV CEFAS\Fadrozole\Fadrozole/20201217_Cefas_Test10_Run1/Plate 1/@7/B7_03.tif </t>
  </si>
  <si>
    <t xml:space="preserve"> 69648.2607 </t>
  </si>
  <si>
    <t xml:space="preserve"> 67.6575 </t>
  </si>
  <si>
    <t xml:space="preserve">C:\Users\andre\Desktop\REACTIV CEFAS\Fadrozole\Fadrozole/20201217_Cefas_Test10_Run1/Plate 1/@7/B7_04.tif </t>
  </si>
  <si>
    <t xml:space="preserve"> 87774.1124 </t>
  </si>
  <si>
    <t xml:space="preserve"> 64.1402 </t>
  </si>
  <si>
    <t>C:\Users\andre\Desktop\REACTIV CEFAS\Fadrozole\Fadrozole/20201217_Cefas_Test10_Run1/Plate 1/@7/C7_01- exclu.tif</t>
  </si>
  <si>
    <t>C:\Users\andre\Desktop\REACTIV CEFAS\Fadrozole\Fadrozole/20201217_Cefas_Test10_Run1/Plate 1/@7/C7_02- exclu.tif</t>
  </si>
  <si>
    <t xml:space="preserve">C:\Users\andre\Desktop\REACTIV CEFAS\Fadrozole\Fadrozole/20201217_Cefas_Test10_Run1/Plate 1/@7/C7_03.tif </t>
  </si>
  <si>
    <t xml:space="preserve"> 81047.2152 </t>
  </si>
  <si>
    <t xml:space="preserve"> 58.731 </t>
  </si>
  <si>
    <t xml:space="preserve">C:\Users\andre\Desktop\REACTIV CEFAS\Fadrozole\Fadrozole/20201217_Cefas_Test10_Run1/Plate 1/@7/C7_04.tif </t>
  </si>
  <si>
    <t xml:space="preserve"> 79446.603 </t>
  </si>
  <si>
    <t xml:space="preserve"> 58.6973 </t>
  </si>
  <si>
    <t xml:space="preserve">C:\Users\andre\Desktop\REACTIV CEFAS\Fadrozole\Fadrozole/20201217_Cefas_Test10_Run1/Plate 1/@7/D7_01.tif </t>
  </si>
  <si>
    <t xml:space="preserve"> 82864.1263 </t>
  </si>
  <si>
    <t xml:space="preserve"> 57.3566 </t>
  </si>
  <si>
    <t xml:space="preserve">C:\Users\andre\Desktop\REACTIV CEFAS\Fadrozole\Fadrozole/20201217_Cefas_Test10_Run1/Plate 1/@7/D7_02.tif </t>
  </si>
  <si>
    <t xml:space="preserve"> 83339.984 </t>
  </si>
  <si>
    <t xml:space="preserve"> 51.605 </t>
  </si>
  <si>
    <t xml:space="preserve">C:\Users\andre\Desktop\REACTIV CEFAS\Fadrozole\Fadrozole/20201217_Cefas_Test10_Run1/Plate 1/@7/D7_03.tif </t>
  </si>
  <si>
    <t xml:space="preserve"> 79468.2329 </t>
  </si>
  <si>
    <t xml:space="preserve"> 54.6339 </t>
  </si>
  <si>
    <t xml:space="preserve">C:\Users\andre\Desktop\REACTIV CEFAS\Fadrozole\Fadrozole/20201217_Cefas_Test10_Run1/Plate 1/@7/D7_04.tif </t>
  </si>
  <si>
    <t xml:space="preserve"> 80787.6564 </t>
  </si>
  <si>
    <t xml:space="preserve"> 50.7609 </t>
  </si>
  <si>
    <t xml:space="preserve">C:\Users\andre\Desktop\REACTIV CEFAS\Fadrozole\Fadrozole/20201217_Cefas_Test10_Run1/Plate 1/@7/E7_01.tif </t>
  </si>
  <si>
    <t xml:space="preserve"> 83729.3221 </t>
  </si>
  <si>
    <t xml:space="preserve"> 53.6329 </t>
  </si>
  <si>
    <t xml:space="preserve">C:\Users\andre\Desktop\REACTIV CEFAS\Fadrozole\Fadrozole/20201217_Cefas_Test10_Run1/Plate 1/@7/E7_02.tif </t>
  </si>
  <si>
    <t xml:space="preserve"> 81717.7419 </t>
  </si>
  <si>
    <t xml:space="preserve"> 53.5005 </t>
  </si>
  <si>
    <t xml:space="preserve">C:\Users\andre\Desktop\REACTIV CEFAS\Fadrozole\Fadrozole/20201217_Cefas_Test10_Run1/Plate 1/@7/E7_03.tif </t>
  </si>
  <si>
    <t xml:space="preserve"> 86714.2476 </t>
  </si>
  <si>
    <t xml:space="preserve"> 57.0304 </t>
  </si>
  <si>
    <t xml:space="preserve">C:\Users\andre\Desktop\REACTIV CEFAS\Fadrozole\Fadrozole/20201217_Cefas_Test10_Run1/Plate 1/@7/E7_04.tif </t>
  </si>
  <si>
    <t xml:space="preserve"> 84097.0303 </t>
  </si>
  <si>
    <t xml:space="preserve"> 56.6847 </t>
  </si>
  <si>
    <t xml:space="preserve">C:\Users\andre\Desktop\REACTIV CEFAS\Fadrozole\Fadrozole/20201217_Cefas_Test10_Run1/Plate 1/@7/F7_01.tif </t>
  </si>
  <si>
    <t xml:space="preserve"> 108755.11 </t>
  </si>
  <si>
    <t xml:space="preserve"> 59.1337 </t>
  </si>
  <si>
    <t xml:space="preserve">C:\Users\andre\Desktop\REACTIV CEFAS\Fadrozole\Fadrozole/20201217_Cefas_Test10_Run1/Plate 1/@7/F7_02.tif </t>
  </si>
  <si>
    <t xml:space="preserve"> 106289.302 </t>
  </si>
  <si>
    <t xml:space="preserve"> 61.6764 </t>
  </si>
  <si>
    <t xml:space="preserve">C:\Users\andre\Desktop\REACTIV CEFAS\Fadrozole\Fadrozole/20201217_Cefas_Test10_Run1/Plate 1/@7/F7_03.tif </t>
  </si>
  <si>
    <t xml:space="preserve"> 110680.171 </t>
  </si>
  <si>
    <t xml:space="preserve"> 58.6074 </t>
  </si>
  <si>
    <t xml:space="preserve">C:\Users\andre\Desktop\REACTIV CEFAS\Fadrozole\Fadrozole/20201217_Cefas_Test10_Run1/Plate 1/@7/F7_04.tif </t>
  </si>
  <si>
    <t xml:space="preserve"> 111026.249 </t>
  </si>
  <si>
    <t xml:space="preserve"> 60.3493 </t>
  </si>
  <si>
    <t xml:space="preserve">C:\Users\andre\Desktop\REACTIV CEFAS\Fadrozole\Fadrozole/20201217_Cefas_Test10_Run1/Plate 1/@7/G7_01.tif </t>
  </si>
  <si>
    <t xml:space="preserve"> 54.8851 </t>
  </si>
  <si>
    <t xml:space="preserve">C:\Users\andre\Desktop\REACTIV CEFAS\Fadrozole\Fadrozole/20201217_Cefas_Test10_Run1/Plate 1/@7/G7_02.tif </t>
  </si>
  <si>
    <t xml:space="preserve"> 85005.4859 </t>
  </si>
  <si>
    <t xml:space="preserve"> 55.3196 </t>
  </si>
  <si>
    <t xml:space="preserve">C:\Users\andre\Desktop\REACTIV CEFAS\Fadrozole\Fadrozole/20201217_Cefas_Test10_Run1/Plate 1/@7/G7_03.tif </t>
  </si>
  <si>
    <t xml:space="preserve"> 83621.1726 </t>
  </si>
  <si>
    <t xml:space="preserve"> 54.2794 </t>
  </si>
  <si>
    <t xml:space="preserve">C:\Users\andre\Desktop\REACTIV CEFAS\Fadrozole\Fadrozole/20201217_Cefas_Test10_Run1/Plate 1/@7/G7_04.tif </t>
  </si>
  <si>
    <t xml:space="preserve"> 86908.9166 </t>
  </si>
  <si>
    <t xml:space="preserve"> 50.506 </t>
  </si>
  <si>
    <t xml:space="preserve">C:\Users\andre\Desktop\REACTIV CEFAS\Fadrozole\Fadrozole/20201217_Cefas_Test10_Run1/Plate 1/@7/H7_01.tif </t>
  </si>
  <si>
    <t xml:space="preserve"> 101206.277 </t>
  </si>
  <si>
    <t xml:space="preserve"> 61.2533 </t>
  </si>
  <si>
    <t xml:space="preserve">C:\Users\andre\Desktop\REACTIV CEFAS\Fadrozole\Fadrozole/20201217_Cefas_Test10_Run1/Plate 1/@7/H7_02.tif </t>
  </si>
  <si>
    <t xml:space="preserve"> 101509.095 </t>
  </si>
  <si>
    <t xml:space="preserve"> 58.3718 </t>
  </si>
  <si>
    <t xml:space="preserve">C:\Users\andre\Desktop\REACTIV CEFAS\Fadrozole\Fadrozole/20201217_Cefas_Test10_Run1/Plate 1/@7/H7_03.tif </t>
  </si>
  <si>
    <t xml:space="preserve"> 95149.9065 </t>
  </si>
  <si>
    <t xml:space="preserve"> 56.1796 </t>
  </si>
  <si>
    <t xml:space="preserve">C:\Users\andre\Desktop\REACTIV CEFAS\Fadrozole\Fadrozole/20201217_Cefas_Test10_Run1/Plate 1/@7/H7_04.tif </t>
  </si>
  <si>
    <t xml:space="preserve"> 106873.309 </t>
  </si>
  <si>
    <t xml:space="preserve"> 59.8116 </t>
  </si>
  <si>
    <t xml:space="preserve">C:\Users\andre\Desktop\REACTIV CEFAS\Fadrozole\Fadrozole/20201217_Cefas_Test10_Run1/Plate 1/@7/ </t>
  </si>
  <si>
    <t xml:space="preserve"> 57.2091 </t>
  </si>
  <si>
    <t xml:space="preserve"> 3.8689 </t>
  </si>
  <si>
    <t xml:space="preserve"> 5095755.12 </t>
  </si>
  <si>
    <t xml:space="preserve"> 1021359.18 </t>
  </si>
  <si>
    <t xml:space="preserve">C:\Users\andre\Desktop\REACTIV CEFAS\Fadrozole\Fadrozole/20201217_Cefas_Test10_Run1/Plate 5/@10/A4_01.tif </t>
  </si>
  <si>
    <t xml:space="preserve"> 35.3212 </t>
  </si>
  <si>
    <t>C:\Users\andre\Desktop\REACTIV CEFAS\Fadrozole\Fadrozole/20201217_Cefas_Test10_Run1/Plate 5/@10/A4_02- exclu.tif</t>
  </si>
  <si>
    <t xml:space="preserve">C:\Users\andre\Desktop\REACTIV CEFAS\Fadrozole\Fadrozole/20201217_Cefas_Test10_Run1/Plate 5/@10/A4_03.tif </t>
  </si>
  <si>
    <t xml:space="preserve"> 40.4343 </t>
  </si>
  <si>
    <t xml:space="preserve">C:\Users\andre\Desktop\REACTIV CEFAS\Fadrozole\Fadrozole/20201217_Cefas_Test10_Run1/Plate 5/@10/A4_04.tif </t>
  </si>
  <si>
    <t xml:space="preserve"> 40.3752 </t>
  </si>
  <si>
    <t xml:space="preserve">C:\Users\andre\Desktop\REACTIV CEFAS\Fadrozole\Fadrozole/20201217_Cefas_Test10_Run1/Plate 5/@10/B4_01.tif </t>
  </si>
  <si>
    <t xml:space="preserve"> 7354.1642 </t>
  </si>
  <si>
    <t xml:space="preserve"> 39.5206 </t>
  </si>
  <si>
    <t xml:space="preserve">C:\Users\andre\Desktop\REACTIV CEFAS\Fadrozole\Fadrozole/20201217_Cefas_Test10_Run1/Plate 5/@10/B4_02.tif </t>
  </si>
  <si>
    <t xml:space="preserve"> 37.6136 </t>
  </si>
  <si>
    <t xml:space="preserve">C:\Users\andre\Desktop\REACTIV CEFAS\Fadrozole\Fadrozole/20201217_Cefas_Test10_Run1/Plate 5/@10/B4_03.tif </t>
  </si>
  <si>
    <t xml:space="preserve"> 13972.9119 </t>
  </si>
  <si>
    <t xml:space="preserve"> 43.322 </t>
  </si>
  <si>
    <t xml:space="preserve">C:\Users\andre\Desktop\REACTIV CEFAS\Fadrozole\Fadrozole/20201217_Cefas_Test10_Run1/Plate 5/@10/B4_04.tif </t>
  </si>
  <si>
    <t xml:space="preserve"> 10577.0185 </t>
  </si>
  <si>
    <t xml:space="preserve"> 41.8425 </t>
  </si>
  <si>
    <t xml:space="preserve">C:\Users\andre\Desktop\REACTIV CEFAS\Fadrozole\Fadrozole/20201217_Cefas_Test10_Run1/Plate 5/@10/C4_01.tif </t>
  </si>
  <si>
    <t xml:space="preserve"> 39.4192 </t>
  </si>
  <si>
    <t xml:space="preserve">C:\Users\andre\Desktop\REACTIV CEFAS\Fadrozole\Fadrozole/20201217_Cefas_Test10_Run1/Plate 5/@10/C4_02.tif </t>
  </si>
  <si>
    <t xml:space="preserve"> 32.9926 </t>
  </si>
  <si>
    <t xml:space="preserve">C:\Users\andre\Desktop\REACTIV CEFAS\Fadrozole\Fadrozole/20201217_Cefas_Test10_Run1/Plate 5/@10/C4_03.tif </t>
  </si>
  <si>
    <t xml:space="preserve"> 39.7852 </t>
  </si>
  <si>
    <t xml:space="preserve">C:\Users\andre\Desktop\REACTIV CEFAS\Fadrozole\Fadrozole/20201217_Cefas_Test10_Run1/Plate 5/@10/C4_04.tif </t>
  </si>
  <si>
    <t xml:space="preserve"> 42.6915 </t>
  </si>
  <si>
    <t xml:space="preserve">C:\Users\andre\Desktop\REACTIV CEFAS\Fadrozole\Fadrozole/20201217_Cefas_Test10_Run1/Plate 5/@10/D4_01.tif </t>
  </si>
  <si>
    <t xml:space="preserve"> 36.614 </t>
  </si>
  <si>
    <t xml:space="preserve">C:\Users\andre\Desktop\REACTIV CEFAS\Fadrozole\Fadrozole/20201217_Cefas_Test10_Run1/Plate 5/@10/D4_02.tif </t>
  </si>
  <si>
    <t xml:space="preserve"> 7527.2033 </t>
  </si>
  <si>
    <t xml:space="preserve"> 43.0259 </t>
  </si>
  <si>
    <t xml:space="preserve">C:\Users\andre\Desktop\REACTIV CEFAS\Fadrozole\Fadrozole/20201217_Cefas_Test10_Run1/Plate 5/@10/D4_03.tif </t>
  </si>
  <si>
    <t xml:space="preserve"> 40.1862 </t>
  </si>
  <si>
    <t xml:space="preserve">C:\Users\andre\Desktop\REACTIV CEFAS\Fadrozole\Fadrozole/20201217_Cefas_Test10_Run1/Plate 5/@10/D4_04.tif </t>
  </si>
  <si>
    <t xml:space="preserve"> 7137.8652 </t>
  </si>
  <si>
    <t xml:space="preserve"> 42.1091 </t>
  </si>
  <si>
    <t xml:space="preserve">C:\Users\andre\Desktop\REACTIV CEFAS\Fadrozole\Fadrozole/20201217_Cefas_Test10_Run1/Plate 5/@10/E4_01.tif </t>
  </si>
  <si>
    <t>C:\Users\andre\Desktop\REACTIV CEFAS\Fadrozole\Fadrozole/20201217_Cefas_Test10_Run1/Plate 5/@10/E4_02- exclu.tif</t>
  </si>
  <si>
    <t xml:space="preserve">C:\Users\andre\Desktop\REACTIV CEFAS\Fadrozole\Fadrozole/20201217_Cefas_Test10_Run1/Plate 5/@10/E4_03.tif </t>
  </si>
  <si>
    <t xml:space="preserve">C:\Users\andre\Desktop\REACTIV CEFAS\Fadrozole\Fadrozole/20201217_Cefas_Test10_Run1/Plate 5/@10/E4_04.tif </t>
  </si>
  <si>
    <t xml:space="preserve"> 36.5763 </t>
  </si>
  <si>
    <t xml:space="preserve">C:\Users\andre\Desktop\REACTIV CEFAS\Fadrozole\Fadrozole/20201217_Cefas_Test10_Run1/Plate 5/@10/F4_01.tif </t>
  </si>
  <si>
    <t xml:space="preserve"> 38.0146 </t>
  </si>
  <si>
    <t xml:space="preserve">C:\Users\andre\Desktop\REACTIV CEFAS\Fadrozole\Fadrozole/20201217_Cefas_Test10_Run1/Plate 5/@10/F4_02.tif </t>
  </si>
  <si>
    <t xml:space="preserve"> 38.4645 </t>
  </si>
  <si>
    <t xml:space="preserve">C:\Users\andre\Desktop\REACTIV CEFAS\Fadrozole\Fadrozole/20201217_Cefas_Test10_Run1/Plate 5/@10/F4_03.tif </t>
  </si>
  <si>
    <t xml:space="preserve"> 35.5077 </t>
  </si>
  <si>
    <t xml:space="preserve">C:\Users\andre\Desktop\REACTIV CEFAS\Fadrozole\Fadrozole/20201217_Cefas_Test10_Run1/Plate 5/@10/F4_04.tif </t>
  </si>
  <si>
    <t xml:space="preserve"> 3114.7048 </t>
  </si>
  <si>
    <t xml:space="preserve"> 35.2778 </t>
  </si>
  <si>
    <t xml:space="preserve">C:\Users\andre\Desktop\REACTIV CEFAS\Fadrozole\Fadrozole/20201217_Cefas_Test10_Run1/Plate 5/@10/G4_01.tif </t>
  </si>
  <si>
    <t xml:space="preserve"> 37.9786 </t>
  </si>
  <si>
    <t xml:space="preserve">C:\Users\andre\Desktop\REACTIV CEFAS\Fadrozole\Fadrozole/20201217_Cefas_Test10_Run1/Plate 5/@10/G4_02.tif </t>
  </si>
  <si>
    <t xml:space="preserve"> 7700.2425 </t>
  </si>
  <si>
    <t xml:space="preserve"> 37.0056 </t>
  </si>
  <si>
    <t xml:space="preserve">C:\Users\andre\Desktop\REACTIV CEFAS\Fadrozole\Fadrozole/20201217_Cefas_Test10_Run1/Plate 5/@10/G4_03.tif </t>
  </si>
  <si>
    <t xml:space="preserve"> 37.0769 </t>
  </si>
  <si>
    <t>C:\Users\andre\Desktop\REACTIV CEFAS\Fadrozole\Fadrozole/20201217_Cefas_Test10_Run1/Plate 5/@10/G4_04- exclu.tif</t>
  </si>
  <si>
    <t xml:space="preserve">C:\Users\andre\Desktop\REACTIV CEFAS\Fadrozole\Fadrozole/20201217_Cefas_Test10_Run1/Plate 5/@10/H4_01.tif </t>
  </si>
  <si>
    <t xml:space="preserve"> 35.3763 </t>
  </si>
  <si>
    <t xml:space="preserve">C:\Users\andre\Desktop\REACTIV CEFAS\Fadrozole\Fadrozole/20201217_Cefas_Test10_Run1/Plate 5/@10/H4_02.tif </t>
  </si>
  <si>
    <t xml:space="preserve"> 35.25 </t>
  </si>
  <si>
    <t xml:space="preserve">C:\Users\andre\Desktop\REACTIV CEFAS\Fadrozole\Fadrozole/20201217_Cefas_Test10_Run1/Plate 5/@10/H4_03.tif </t>
  </si>
  <si>
    <t xml:space="preserve"> 38.0155 </t>
  </si>
  <si>
    <t xml:space="preserve">C:\Users\andre\Desktop\REACTIV CEFAS\Fadrozole\Fadrozole/20201217_Cefas_Test10_Run1/Plate 5/@10/H4_04.tif </t>
  </si>
  <si>
    <t xml:space="preserve"> 2487.4379 </t>
  </si>
  <si>
    <t xml:space="preserve"> 35.2 </t>
  </si>
  <si>
    <t xml:space="preserve">C:\Users\andre\Desktop\REACTIV CEFAS\Fadrozole\Fadrozole/20201217_Cefas_Test10_Run1/Plate 5/@10/ </t>
  </si>
  <si>
    <t xml:space="preserve"> 35.2499 </t>
  </si>
  <si>
    <t xml:space="preserve"> 9.8348 </t>
  </si>
  <si>
    <t xml:space="preserve"> 199871.594 </t>
  </si>
  <si>
    <t xml:space="preserve"> 141777.002 </t>
  </si>
  <si>
    <t xml:space="preserve">C:\Users\andre\Desktop\REACTIV CEFAS\Fadrozole\Fadrozole/20201217_Cefas_Test10_Run1/Plate 5/@11/A5_01.tif </t>
  </si>
  <si>
    <t xml:space="preserve"> 34.258 </t>
  </si>
  <si>
    <t xml:space="preserve">C:\Users\andre\Desktop\REACTIV CEFAS\Fadrozole\Fadrozole/20201217_Cefas_Test10_Run1/Plate 5/@11/A5_02.tif </t>
  </si>
  <si>
    <t xml:space="preserve"> 32.1525 </t>
  </si>
  <si>
    <t xml:space="preserve">C:\Users\andre\Desktop\REACTIV CEFAS\Fadrozole\Fadrozole/20201217_Cefas_Test10_Run1/Plate 5/@11/A5_03.tif </t>
  </si>
  <si>
    <t xml:space="preserve"> 30.6154 </t>
  </si>
  <si>
    <t xml:space="preserve">C:\Users\andre\Desktop\REACTIV CEFAS\Fadrozole\Fadrozole/20201217_Cefas_Test10_Run1/Plate 5/@11/A5_04.tif </t>
  </si>
  <si>
    <t xml:space="preserve"> 5861.7014 </t>
  </si>
  <si>
    <t xml:space="preserve"> 35.9446 </t>
  </si>
  <si>
    <t xml:space="preserve">C:\Users\andre\Desktop\REACTIV CEFAS\Fadrozole\Fadrozole/20201217_Cefas_Test10_Run1/Plate 5/@11/B5_01.tif </t>
  </si>
  <si>
    <t xml:space="preserve"> 39.2955 </t>
  </si>
  <si>
    <t xml:space="preserve">C:\Users\andre\Desktop\REACTIV CEFAS\Fadrozole\Fadrozole/20201217_Cefas_Test10_Run1/Plate 5/@11/B5_02.tif </t>
  </si>
  <si>
    <t xml:space="preserve"> 42.1922 </t>
  </si>
  <si>
    <t xml:space="preserve">C:\Users\andre\Desktop\REACTIV CEFAS\Fadrozole\Fadrozole/20201217_Cefas_Test10_Run1/Plate 5/@11/B5_03.tif </t>
  </si>
  <si>
    <t xml:space="preserve"> 39.8256 </t>
  </si>
  <si>
    <t xml:space="preserve">C:\Users\andre\Desktop\REACTIV CEFAS\Fadrozole\Fadrozole/20201217_Cefas_Test10_Run1/Plate 5/@11/B5_04.tif </t>
  </si>
  <si>
    <t xml:space="preserve">C:\Users\andre\Desktop\REACTIV CEFAS\Fadrozole\Fadrozole/20201217_Cefas_Test10_Run1/Plate 5/@11/C5_01.tif </t>
  </si>
  <si>
    <t xml:space="preserve"> 2444.1781 </t>
  </si>
  <si>
    <t xml:space="preserve"> 33.8761 </t>
  </si>
  <si>
    <t xml:space="preserve">C:\Users\andre\Desktop\REACTIV CEFAS\Fadrozole\Fadrozole/20201217_Cefas_Test10_Run1/Plate 5/@11/C5_02.tif </t>
  </si>
  <si>
    <t xml:space="preserve"> 34.5226 </t>
  </si>
  <si>
    <t xml:space="preserve">C:\Users\andre\Desktop\REACTIV CEFAS\Fadrozole\Fadrozole/20201217_Cefas_Test10_Run1/Plate 5/@11/C5_03.tif </t>
  </si>
  <si>
    <t xml:space="preserve"> 692.1566 </t>
  </si>
  <si>
    <t xml:space="preserve">C:\Users\andre\Desktop\REACTIV CEFAS\Fadrozole\Fadrozole/20201217_Cefas_Test10_Run1/Plate 5/@11/C5_04.tif </t>
  </si>
  <si>
    <t xml:space="preserve"> 34.1988 </t>
  </si>
  <si>
    <t xml:space="preserve">C:\Users\andre\Desktop\REACTIV CEFAS\Fadrozole\Fadrozole/20201217_Cefas_Test10_Run1/Plate 5/@11/D5_01.tif </t>
  </si>
  <si>
    <t xml:space="preserve">C:\Users\andre\Desktop\REACTIV CEFAS\Fadrozole\Fadrozole/20201217_Cefas_Test10_Run1/Plate 5/@11/D5_02.tif </t>
  </si>
  <si>
    <t xml:space="preserve"> 34.3763 </t>
  </si>
  <si>
    <t xml:space="preserve">C:\Users\andre\Desktop\REACTIV CEFAS\Fadrozole\Fadrozole/20201217_Cefas_Test10_Run1/Plate 5/@11/D5_03.tif </t>
  </si>
  <si>
    <t xml:space="preserve"> 35.5209 </t>
  </si>
  <si>
    <t xml:space="preserve">C:\Users\andre\Desktop\REACTIV CEFAS\Fadrozole\Fadrozole/20201217_Cefas_Test10_Run1/Plate 5/@11/D5_04.tif </t>
  </si>
  <si>
    <t xml:space="preserve"> 40.0317 </t>
  </si>
  <si>
    <t xml:space="preserve">C:\Users\andre\Desktop\REACTIV CEFAS\Fadrozole\Fadrozole/20201217_Cefas_Test10_Run1/Plate 5/@11/E5_01.tif </t>
  </si>
  <si>
    <t xml:space="preserve"> 324.4484 </t>
  </si>
  <si>
    <t xml:space="preserve">C:\Users\andre\Desktop\REACTIV CEFAS\Fadrozole\Fadrozole/20201217_Cefas_Test10_Run1/Plate 5/@11/E5_02.tif </t>
  </si>
  <si>
    <t xml:space="preserve"> 39.9407 </t>
  </si>
  <si>
    <t xml:space="preserve">C:\Users\andre\Desktop\REACTIV CEFAS\Fadrozole\Fadrozole/20201217_Cefas_Test10_Run1/Plate 5/@11/E5_03.tif </t>
  </si>
  <si>
    <t xml:space="preserve"> 40.5123 </t>
  </si>
  <si>
    <t xml:space="preserve">C:\Users\andre\Desktop\REACTIV CEFAS\Fadrozole\Fadrozole/20201217_Cefas_Test10_Run1/Plate 5/@11/E5_04.tif </t>
  </si>
  <si>
    <t xml:space="preserve"> 36.0268 </t>
  </si>
  <si>
    <t xml:space="preserve">C:\Users\andre\Desktop\REACTIV CEFAS\Fadrozole\Fadrozole/20201217_Cefas_Test10_Run1/Plate 5/@11/F5_01.tif </t>
  </si>
  <si>
    <t xml:space="preserve"> 36.2056 </t>
  </si>
  <si>
    <t xml:space="preserve">C:\Users\andre\Desktop\REACTIV CEFAS\Fadrozole\Fadrozole/20201217_Cefas_Test10_Run1/Plate 5/@11/F5_02.tif </t>
  </si>
  <si>
    <t xml:space="preserve"> 37.7442 </t>
  </si>
  <si>
    <t xml:space="preserve">C:\Users\andre\Desktop\REACTIV CEFAS\Fadrozole\Fadrozole/20201217_Cefas_Test10_Run1/Plate 5/@11/F5_03.tif </t>
  </si>
  <si>
    <t xml:space="preserve"> 42.1253 </t>
  </si>
  <si>
    <t xml:space="preserve">C:\Users\andre\Desktop\REACTIV CEFAS\Fadrozole\Fadrozole/20201217_Cefas_Test10_Run1/Plate 5/@11/F5_04.tif </t>
  </si>
  <si>
    <t xml:space="preserve"> 36.4629 </t>
  </si>
  <si>
    <t xml:space="preserve">C:\Users\andre\Desktop\REACTIV CEFAS\Fadrozole\Fadrozole/20201217_Cefas_Test10_Run1/Plate 5/@11/G5_01.tif </t>
  </si>
  <si>
    <t xml:space="preserve"> 9409.0042 </t>
  </si>
  <si>
    <t xml:space="preserve"> 39.623 </t>
  </si>
  <si>
    <t xml:space="preserve">C:\Users\andre\Desktop\REACTIV CEFAS\Fadrozole\Fadrozole/20201217_Cefas_Test10_Run1/Plate 5/@11/G5_02.tif </t>
  </si>
  <si>
    <t xml:space="preserve"> 40.1011 </t>
  </si>
  <si>
    <t xml:space="preserve">C:\Users\andre\Desktop\REACTIV CEFAS\Fadrozole\Fadrozole/20201217_Cefas_Test10_Run1/Plate 5/@11/G5_03.tif </t>
  </si>
  <si>
    <t xml:space="preserve"> 41.9279 </t>
  </si>
  <si>
    <t xml:space="preserve">C:\Users\andre\Desktop\REACTIV CEFAS\Fadrozole\Fadrozole/20201217_Cefas_Test10_Run1/Plate 5/@11/G5_04.tif </t>
  </si>
  <si>
    <t xml:space="preserve"> 7851.6518 </t>
  </si>
  <si>
    <t xml:space="preserve"> 43.3003 </t>
  </si>
  <si>
    <t>C:\Users\andre\Desktop\REACTIV CEFAS\Fadrozole\Fadrozole/20201217_Cefas_Test10_Run1/Plate 5/@11/H5_01- exclu.tif</t>
  </si>
  <si>
    <t xml:space="preserve">C:\Users\andre\Desktop\REACTIV CEFAS\Fadrozole\Fadrozole/20201217_Cefas_Test10_Run1/Plate 5/@11/H5_02.tif </t>
  </si>
  <si>
    <t xml:space="preserve">C:\Users\andre\Desktop\REACTIV CEFAS\Fadrozole\Fadrozole/20201217_Cefas_Test10_Run1/Plate 5/@11/H5_03.tif </t>
  </si>
  <si>
    <t xml:space="preserve"> 34.5733 </t>
  </si>
  <si>
    <t xml:space="preserve">C:\Users\andre\Desktop\REACTIV CEFAS\Fadrozole\Fadrozole/20201217_Cefas_Test10_Run1/Plate 5/@11/H5_04.tif </t>
  </si>
  <si>
    <t xml:space="preserve"> 35.4065 </t>
  </si>
  <si>
    <t xml:space="preserve">C:\Users\andre\Desktop\REACTIV CEFAS\Fadrozole\Fadrozole/20201217_Cefas_Test10_Run1/Plate 5/@11/ </t>
  </si>
  <si>
    <t xml:space="preserve"> 34.4297 </t>
  </si>
  <si>
    <t xml:space="preserve"> 9.7224 </t>
  </si>
  <si>
    <t xml:space="preserve"> 198891.062 </t>
  </si>
  <si>
    <t xml:space="preserve"> 133384.786 </t>
  </si>
  <si>
    <t xml:space="preserve">C:\Users\andre\Desktop\REACTIV CEFAS\Fadrozole\Fadrozole/20201217_Cefas_Test10_Run1/Plate 5/@12/A6_01.tif </t>
  </si>
  <si>
    <t xml:space="preserve"> 39.6278 </t>
  </si>
  <si>
    <t xml:space="preserve">C:\Users\andre\Desktop\REACTIV CEFAS\Fadrozole\Fadrozole/20201217_Cefas_Test10_Run1/Plate 5/@12/A6_02.tif </t>
  </si>
  <si>
    <t xml:space="preserve"> 41.7622 </t>
  </si>
  <si>
    <t xml:space="preserve">C:\Users\andre\Desktop\REACTIV CEFAS\Fadrozole\Fadrozole/20201217_Cefas_Test10_Run1/Plate 5/@12/A6_03.tif </t>
  </si>
  <si>
    <t xml:space="preserve"> 9798.3423 </t>
  </si>
  <si>
    <t xml:space="preserve"> 40.0905 </t>
  </si>
  <si>
    <t xml:space="preserve">C:\Users\andre\Desktop\REACTIV CEFAS\Fadrozole\Fadrozole/20201217_Cefas_Test10_Run1/Plate 5/@12/A6_04.tif </t>
  </si>
  <si>
    <t xml:space="preserve"> 36.2776 </t>
  </si>
  <si>
    <t xml:space="preserve">C:\Users\andre\Desktop\REACTIV CEFAS\Fadrozole\Fadrozole/20201217_Cefas_Test10_Run1/Plate 5/@12/B6_01.tif </t>
  </si>
  <si>
    <t xml:space="preserve"> 3568.9326 </t>
  </si>
  <si>
    <t xml:space="preserve"> 37.2727 </t>
  </si>
  <si>
    <t xml:space="preserve">C:\Users\andre\Desktop\REACTIV CEFAS\Fadrozole\Fadrozole/20201217_Cefas_Test10_Run1/Plate 5/@12/B6_02.tif </t>
  </si>
  <si>
    <t xml:space="preserve"> 42.9214 </t>
  </si>
  <si>
    <t xml:space="preserve">C:\Users\andre\Desktop\REACTIV CEFAS\Fadrozole\Fadrozole/20201217_Cefas_Test10_Run1/Plate 5/@12/B6_03.tif </t>
  </si>
  <si>
    <t xml:space="preserve"> 33.66 </t>
  </si>
  <si>
    <t xml:space="preserve">C:\Users\andre\Desktop\REACTIV CEFAS\Fadrozole\Fadrozole/20201217_Cefas_Test10_Run1/Plate 5/@12/B6_04.tif </t>
  </si>
  <si>
    <t xml:space="preserve"> 37.4047 </t>
  </si>
  <si>
    <t xml:space="preserve">C:\Users\andre\Desktop\REACTIV CEFAS\Fadrozole\Fadrozole/20201217_Cefas_Test10_Run1/Plate 5/@12/C6_01.tif </t>
  </si>
  <si>
    <t xml:space="preserve">C:\Users\andre\Desktop\REACTIV CEFAS\Fadrozole\Fadrozole/20201217_Cefas_Test10_Run1/Plate 5/@12/C6_02.tif </t>
  </si>
  <si>
    <t xml:space="preserve">C:\Users\andre\Desktop\REACTIV CEFAS\Fadrozole\Fadrozole/20201217_Cefas_Test10_Run1/Plate 5/@12/C6_03.tif </t>
  </si>
  <si>
    <t xml:space="preserve"> 32.4388 </t>
  </si>
  <si>
    <t xml:space="preserve">C:\Users\andre\Desktop\REACTIV CEFAS\Fadrozole\Fadrozole/20201217_Cefas_Test10_Run1/Plate 5/@12/C6_04.tif </t>
  </si>
  <si>
    <t xml:space="preserve"> 31.2 </t>
  </si>
  <si>
    <t xml:space="preserve">C:\Users\andre\Desktop\REACTIV CEFAS\Fadrozole\Fadrozole/20201217_Cefas_Test10_Run1/Plate 5/@12/D6_01.tif </t>
  </si>
  <si>
    <t xml:space="preserve"> 5256.0644 </t>
  </si>
  <si>
    <t xml:space="preserve"> 37.6955 </t>
  </si>
  <si>
    <t>C:\Users\andre\Desktop\REACTIV CEFAS\Fadrozole\Fadrozole/20201217_Cefas_Test10_Run1/Plate 5/@12/D6_02- exclu.tif</t>
  </si>
  <si>
    <t xml:space="preserve">C:\Users\andre\Desktop\REACTIV CEFAS\Fadrozole\Fadrozole/20201217_Cefas_Test10_Run1/Plate 5/@12/D6_03.tif </t>
  </si>
  <si>
    <t xml:space="preserve"> 43.5167 </t>
  </si>
  <si>
    <t xml:space="preserve">C:\Users\andre\Desktop\REACTIV CEFAS\Fadrozole\Fadrozole/20201217_Cefas_Test10_Run1/Plate 5/@12/D6_04.tif </t>
  </si>
  <si>
    <t xml:space="preserve"> 39.0867 </t>
  </si>
  <si>
    <t xml:space="preserve">C:\Users\andre\Desktop\REACTIV CEFAS\Fadrozole\Fadrozole/20201217_Cefas_Test10_Run1/Plate 5/@12/E6_01.tif </t>
  </si>
  <si>
    <t xml:space="preserve"> 36.2288 </t>
  </si>
  <si>
    <t xml:space="preserve">C:\Users\andre\Desktop\REACTIV CEFAS\Fadrozole\Fadrozole/20201217_Cefas_Test10_Run1/Plate 5/@12/E6_02.tif </t>
  </si>
  <si>
    <t xml:space="preserve"> 37.9065 </t>
  </si>
  <si>
    <t xml:space="preserve">C:\Users\andre\Desktop\REACTIV CEFAS\Fadrozole\Fadrozole/20201217_Cefas_Test10_Run1/Plate 5/@12/E6_03.tif </t>
  </si>
  <si>
    <t xml:space="preserve"> 40.786 </t>
  </si>
  <si>
    <t xml:space="preserve">C:\Users\andre\Desktop\REACTIV CEFAS\Fadrozole\Fadrozole/20201217_Cefas_Test10_Run1/Plate 5/@12/E6_04.tif </t>
  </si>
  <si>
    <t xml:space="preserve"> 30.5263 </t>
  </si>
  <si>
    <t xml:space="preserve">C:\Users\andre\Desktop\REACTIV CEFAS\Fadrozole\Fadrozole/20201217_Cefas_Test10_Run1/Plate 5/@12/F6_01.tif </t>
  </si>
  <si>
    <t xml:space="preserve"> 31.5753 </t>
  </si>
  <si>
    <t xml:space="preserve">C:\Users\andre\Desktop\REACTIV CEFAS\Fadrozole\Fadrozole/20201217_Cefas_Test10_Run1/Plate 5/@12/F6_02.tif </t>
  </si>
  <si>
    <t xml:space="preserve"> 3331.0038 </t>
  </si>
  <si>
    <t xml:space="preserve"> 32.3701 </t>
  </si>
  <si>
    <t xml:space="preserve">C:\Users\andre\Desktop\REACTIV CEFAS\Fadrozole\Fadrozole/20201217_Cefas_Test10_Run1/Plate 5/@12/F6_03.tif </t>
  </si>
  <si>
    <t xml:space="preserve"> 37.6476 </t>
  </si>
  <si>
    <t xml:space="preserve">C:\Users\andre\Desktop\REACTIV CEFAS\Fadrozole\Fadrozole/20201217_Cefas_Test10_Run1/Plate 5/@12/F6_04.tif </t>
  </si>
  <si>
    <t xml:space="preserve"> 367.7082 </t>
  </si>
  <si>
    <t xml:space="preserve"> 31.7647 </t>
  </si>
  <si>
    <t xml:space="preserve">C:\Users\andre\Desktop\REACTIV CEFAS\Fadrozole\Fadrozole/20201217_Cefas_Test10_Run1/Plate 5/@12/G6_01.tif </t>
  </si>
  <si>
    <t xml:space="preserve"> 35.5982 </t>
  </si>
  <si>
    <t xml:space="preserve">C:\Users\andre\Desktop\REACTIV CEFAS\Fadrozole\Fadrozole/20201217_Cefas_Test10_Run1/Plate 5/@12/G6_02.tif </t>
  </si>
  <si>
    <t xml:space="preserve"> 38.6779 </t>
  </si>
  <si>
    <t xml:space="preserve">C:\Users\andre\Desktop\REACTIV CEFAS\Fadrozole\Fadrozole/20201217_Cefas_Test10_Run1/Plate 5/@12/G6_03.tif </t>
  </si>
  <si>
    <t xml:space="preserve"> 10317.4597 </t>
  </si>
  <si>
    <t xml:space="preserve"> 38.0587 </t>
  </si>
  <si>
    <t xml:space="preserve">C:\Users\andre\Desktop\REACTIV CEFAS\Fadrozole\Fadrozole/20201217_Cefas_Test10_Run1/Plate 5/@12/G6_04.tif </t>
  </si>
  <si>
    <t xml:space="preserve"> 41.123 </t>
  </si>
  <si>
    <t xml:space="preserve">C:\Users\andre\Desktop\REACTIV CEFAS\Fadrozole\Fadrozole/20201217_Cefas_Test10_Run1/Plate 5/@12/H6_01.tif </t>
  </si>
  <si>
    <t xml:space="preserve"> 7656.9827 </t>
  </si>
  <si>
    <t xml:space="preserve"> 38.1751 </t>
  </si>
  <si>
    <t xml:space="preserve">C:\Users\andre\Desktop\REACTIV CEFAS\Fadrozole\Fadrozole/20201217_Cefas_Test10_Run1/Plate 5/@12/H6_02.tif </t>
  </si>
  <si>
    <t xml:space="preserve"> 36.2377 </t>
  </si>
  <si>
    <t xml:space="preserve">C:\Users\andre\Desktop\REACTIV CEFAS\Fadrozole\Fadrozole/20201217_Cefas_Test10_Run1/Plate 5/@12/H6_03.tif </t>
  </si>
  <si>
    <t xml:space="preserve"> 36.5296 </t>
  </si>
  <si>
    <t xml:space="preserve">C:\Users\andre\Desktop\REACTIV CEFAS\Fadrozole\Fadrozole/20201217_Cefas_Test10_Run1/Plate 5/@12/H6_04.tif </t>
  </si>
  <si>
    <t xml:space="preserve"> 39.2934 </t>
  </si>
  <si>
    <t xml:space="preserve">C:\Users\andre\Desktop\REACTIV CEFAS\Fadrozole\Fadrozole/20201217_Cefas_Test10_Run1/Plate 5/@12/ </t>
  </si>
  <si>
    <t xml:space="preserve"> 33.6079 </t>
  </si>
  <si>
    <t xml:space="preserve"> 11.491 </t>
  </si>
  <si>
    <t xml:space="preserve"> 197440.312 </t>
  </si>
  <si>
    <t xml:space="preserve"> 138427.576 </t>
  </si>
  <si>
    <t xml:space="preserve">C:\Users\andre\Desktop\REACTIV CEFAS\Fadrozole\Fadrozole/20201217_Cefas_Test10_Run1/Plate 5/@17/A8_01.tif </t>
  </si>
  <si>
    <t xml:space="preserve"> 7462.3136 </t>
  </si>
  <si>
    <t xml:space="preserve"> 33.113 </t>
  </si>
  <si>
    <t xml:space="preserve">C:\Users\andre\Desktop\REACTIV CEFAS\Fadrozole\Fadrozole/20201217_Cefas_Test10_Run1/Plate 5/@17/A8_02.tif </t>
  </si>
  <si>
    <t xml:space="preserve"> 35.1047 </t>
  </si>
  <si>
    <t xml:space="preserve">C:\Users\andre\Desktop\REACTIV CEFAS\Fadrozole\Fadrozole/20201217_Cefas_Test10_Run1/Plate 5/@17/A8_03.tif </t>
  </si>
  <si>
    <t xml:space="preserve"> 9993.0113 </t>
  </si>
  <si>
    <t xml:space="preserve"> 35.8788 </t>
  </si>
  <si>
    <t xml:space="preserve">C:\Users\andre\Desktop\REACTIV CEFAS\Fadrozole\Fadrozole/20201217_Cefas_Test10_Run1/Plate 5/@17/A8_04.tif </t>
  </si>
  <si>
    <t xml:space="preserve"> 34.3208 </t>
  </si>
  <si>
    <t xml:space="preserve">C:\Users\andre\Desktop\REACTIV CEFAS\Fadrozole\Fadrozole/20201217_Cefas_Test10_Run1/Plate 5/@17/B8_01.tif </t>
  </si>
  <si>
    <t xml:space="preserve"> 31.8636 </t>
  </si>
  <si>
    <t xml:space="preserve">C:\Users\andre\Desktop\REACTIV CEFAS\Fadrozole\Fadrozole/20201217_Cefas_Test10_Run1/Plate 5/@17/B8_02.tif </t>
  </si>
  <si>
    <t xml:space="preserve"> 30.9286 </t>
  </si>
  <si>
    <t xml:space="preserve">C:\Users\andre\Desktop\REACTIV CEFAS\Fadrozole\Fadrozole/20201217_Cefas_Test10_Run1/Plate 5/@17/B8_03.tif </t>
  </si>
  <si>
    <t xml:space="preserve">C:\Users\andre\Desktop\REACTIV CEFAS\Fadrozole\Fadrozole/20201217_Cefas_Test10_Run1/Plate 5/@17/B8_04.tif </t>
  </si>
  <si>
    <t xml:space="preserve">C:\Users\andre\Desktop\REACTIV CEFAS\Fadrozole\Fadrozole/20201217_Cefas_Test10_Run1/Plate 5/@17/C8_01.tif </t>
  </si>
  <si>
    <t xml:space="preserve"> 41.6184 </t>
  </si>
  <si>
    <t xml:space="preserve">C:\Users\andre\Desktop\REACTIV CEFAS\Fadrozole\Fadrozole/20201217_Cefas_Test10_Run1/Plate 5/@17/C8_02.tif </t>
  </si>
  <si>
    <t xml:space="preserve"> 36.88 </t>
  </si>
  <si>
    <t xml:space="preserve">C:\Users\andre\Desktop\REACTIV CEFAS\Fadrozole\Fadrozole/20201217_Cefas_Test10_Run1/Plate 5/@17/C8_03.tif </t>
  </si>
  <si>
    <t xml:space="preserve"> 43.3151 </t>
  </si>
  <si>
    <t xml:space="preserve">C:\Users\andre\Desktop\REACTIV CEFAS\Fadrozole\Fadrozole/20201217_Cefas_Test10_Run1/Plate 5/@17/C8_04.tif </t>
  </si>
  <si>
    <t xml:space="preserve"> 36.0101 </t>
  </si>
  <si>
    <t xml:space="preserve">C:\Users\andre\Desktop\REACTIV CEFAS\Fadrozole\Fadrozole/20201217_Cefas_Test10_Run1/Plate 5/@17/D8_01.tif </t>
  </si>
  <si>
    <t xml:space="preserve"> 33.24 </t>
  </si>
  <si>
    <t xml:space="preserve">C:\Users\andre\Desktop\REACTIV CEFAS\Fadrozole\Fadrozole/20201217_Cefas_Test10_Run1/Plate 5/@17/D8_02.tif </t>
  </si>
  <si>
    <t xml:space="preserve"> 34.6685 </t>
  </si>
  <si>
    <t xml:space="preserve">C:\Users\andre\Desktop\REACTIV CEFAS\Fadrozole\Fadrozole/20201217_Cefas_Test10_Run1/Plate 5/@17/D8_03.tif </t>
  </si>
  <si>
    <t xml:space="preserve"> 34.689 </t>
  </si>
  <si>
    <t xml:space="preserve">C:\Users\andre\Desktop\REACTIV CEFAS\Fadrozole\Fadrozole/20201217_Cefas_Test10_Run1/Plate 5/@17/D8_04.tif </t>
  </si>
  <si>
    <t xml:space="preserve"> 35.8975 </t>
  </si>
  <si>
    <t xml:space="preserve">C:\Users\andre\Desktop\REACTIV CEFAS\Fadrozole\Fadrozole/20201217_Cefas_Test10_Run1/Plate 5/@17/E8_01.tif </t>
  </si>
  <si>
    <t xml:space="preserve"> 843.5659 </t>
  </si>
  <si>
    <t xml:space="preserve"> 38.2308 </t>
  </si>
  <si>
    <t xml:space="preserve">C:\Users\andre\Desktop\REACTIV CEFAS\Fadrozole\Fadrozole/20201217_Cefas_Test10_Run1/Plate 5/@17/E8_02.tif </t>
  </si>
  <si>
    <t xml:space="preserve"> 39.6762 </t>
  </si>
  <si>
    <t xml:space="preserve">C:\Users\andre\Desktop\REACTIV CEFAS\Fadrozole\Fadrozole/20201217_Cefas_Test10_Run1/Plate 5/@17/E8_03.tif </t>
  </si>
  <si>
    <t xml:space="preserve"> 8176.1002 </t>
  </si>
  <si>
    <t xml:space="preserve"> 40.246 </t>
  </si>
  <si>
    <t xml:space="preserve">C:\Users\andre\Desktop\REACTIV CEFAS\Fadrozole\Fadrozole/20201217_Cefas_Test10_Run1/Plate 5/@17/E8_04.tif </t>
  </si>
  <si>
    <t xml:space="preserve"> 7873.2816 </t>
  </si>
  <si>
    <t xml:space="preserve"> 41.522 </t>
  </si>
  <si>
    <t xml:space="preserve">C:\Users\andre\Desktop\REACTIV CEFAS\Fadrozole\Fadrozole/20201217_Cefas_Test10_Run1/Plate 5/@17/F8_01.tif </t>
  </si>
  <si>
    <t xml:space="preserve"> 36.3176 </t>
  </si>
  <si>
    <t xml:space="preserve">C:\Users\andre\Desktop\REACTIV CEFAS\Fadrozole\Fadrozole/20201217_Cefas_Test10_Run1/Plate 5/@17/F8_02.tif </t>
  </si>
  <si>
    <t xml:space="preserve"> 38.4394 </t>
  </si>
  <si>
    <t xml:space="preserve">C:\Users\andre\Desktop\REACTIV CEFAS\Fadrozole\Fadrozole/20201217_Cefas_Test10_Run1/Plate 5/@17/F8_03.tif </t>
  </si>
  <si>
    <t xml:space="preserve"> 33.7543 </t>
  </si>
  <si>
    <t xml:space="preserve">C:\Users\andre\Desktop\REACTIV CEFAS\Fadrozole\Fadrozole/20201217_Cefas_Test10_Run1/Plate 5/@17/F8_04.tif </t>
  </si>
  <si>
    <t xml:space="preserve"> 32.6485 </t>
  </si>
  <si>
    <t xml:space="preserve">C:\Users\andre\Desktop\REACTIV CEFAS\Fadrozole\Fadrozole/20201217_Cefas_Test10_Run1/Plate 5/@17/G8_01.tif </t>
  </si>
  <si>
    <t xml:space="preserve"> 43.4524 </t>
  </si>
  <si>
    <t>C:\Users\andre\Desktop\REACTIV CEFAS\Fadrozole\Fadrozole/20201217_Cefas_Test10_Run1/Plate 5/@17/G8_02- exclu.tif</t>
  </si>
  <si>
    <t xml:space="preserve">C:\Users\andre\Desktop\REACTIV CEFAS\Fadrozole\Fadrozole/20201217_Cefas_Test10_Run1/Plate 5/@17/G8_03.tif </t>
  </si>
  <si>
    <t xml:space="preserve"> 31.3069 </t>
  </si>
  <si>
    <t>C:\Users\andre\Desktop\REACTIV CEFAS\Fadrozole\Fadrozole/20201217_Cefas_Test10_Run1/Plate 5/@17/G8_04- exclu.tif</t>
  </si>
  <si>
    <t xml:space="preserve">C:\Users\andre\Desktop\REACTIV CEFAS\Fadrozole\Fadrozole/20201217_Cefas_Test10_Run1/Plate 5/@17/H8_01.tif </t>
  </si>
  <si>
    <t xml:space="preserve">C:\Users\andre\Desktop\REACTIV CEFAS\Fadrozole\Fadrozole/20201217_Cefas_Test10_Run1/Plate 5/@17/H8_02.tif </t>
  </si>
  <si>
    <t xml:space="preserve"> 9387.3743 </t>
  </si>
  <si>
    <t xml:space="preserve"> 36.9539 </t>
  </si>
  <si>
    <t xml:space="preserve">C:\Users\andre\Desktop\REACTIV CEFAS\Fadrozole\Fadrozole/20201217_Cefas_Test10_Run1/Plate 5/@17/H8_03.tif </t>
  </si>
  <si>
    <t xml:space="preserve"> 10187.6804 </t>
  </si>
  <si>
    <t xml:space="preserve"> 40.4586 </t>
  </si>
  <si>
    <t xml:space="preserve">C:\Users\andre\Desktop\REACTIV CEFAS\Fadrozole\Fadrozole/20201217_Cefas_Test10_Run1/Plate 5/@17/H8_04.tif </t>
  </si>
  <si>
    <t xml:space="preserve"> 33.3382 </t>
  </si>
  <si>
    <t xml:space="preserve">C:\Users\andre\Desktop\REACTIV CEFAS\Fadrozole\Fadrozole/20201217_Cefas_Test10_Run1/Plate 5/@17/ </t>
  </si>
  <si>
    <t xml:space="preserve"> 33.6865 </t>
  </si>
  <si>
    <t xml:space="preserve"> 9.5605 </t>
  </si>
  <si>
    <t xml:space="preserve"> 173318.312 </t>
  </si>
  <si>
    <t xml:space="preserve"> 126686.407 </t>
  </si>
  <si>
    <t>C:\Users\andre\Desktop\REACTIV CEFAS\Fadrozole\Fadrozole/20201217_Cefas_Test10_Run1/Plate 5/@18/A9_01- exclu.tif</t>
  </si>
  <si>
    <t xml:space="preserve">C:\Users\andre\Desktop\REACTIV CEFAS\Fadrozole\Fadrozole/20201217_Cefas_Test10_Run1/Plate 5/@18/A9_02.tif </t>
  </si>
  <si>
    <t xml:space="preserve"> 40.3705 </t>
  </si>
  <si>
    <t xml:space="preserve">C:\Users\andre\Desktop\REACTIV CEFAS\Fadrozole\Fadrozole/20201217_Cefas_Test10_Run1/Plate 5/@18/A9_03.tif </t>
  </si>
  <si>
    <t xml:space="preserve"> 35.3321 </t>
  </si>
  <si>
    <t xml:space="preserve">C:\Users\andre\Desktop\REACTIV CEFAS\Fadrozole\Fadrozole/20201217_Cefas_Test10_Run1/Plate 5/@18/A9_04.tif </t>
  </si>
  <si>
    <t xml:space="preserve"> 6726.8972 </t>
  </si>
  <si>
    <t xml:space="preserve"> 39.5691 </t>
  </si>
  <si>
    <t xml:space="preserve">C:\Users\andre\Desktop\REACTIV CEFAS\Fadrozole\Fadrozole/20201217_Cefas_Test10_Run1/Plate 5/@18/B9_01.tif </t>
  </si>
  <si>
    <t xml:space="preserve"> 39.3051 </t>
  </si>
  <si>
    <t xml:space="preserve">C:\Users\andre\Desktop\REACTIV CEFAS\Fadrozole\Fadrozole/20201217_Cefas_Test10_Run1/Plate 5/@18/B9_02.tif </t>
  </si>
  <si>
    <t xml:space="preserve"> 36.2941 </t>
  </si>
  <si>
    <t xml:space="preserve">C:\Users\andre\Desktop\REACTIV CEFAS\Fadrozole\Fadrozole/20201217_Cefas_Test10_Run1/Plate 5/@18/B9_03.tif </t>
  </si>
  <si>
    <t xml:space="preserve"> 33.3871 </t>
  </si>
  <si>
    <t xml:space="preserve">C:\Users\andre\Desktop\REACTIV CEFAS\Fadrozole\Fadrozole/20201217_Cefas_Test10_Run1/Plate 5/@18/B9_04.tif </t>
  </si>
  <si>
    <t xml:space="preserve"> 3893.381 </t>
  </si>
  <si>
    <t xml:space="preserve"> 37.5611 </t>
  </si>
  <si>
    <t xml:space="preserve">C:\Users\andre\Desktop\REACTIV CEFAS\Fadrozole\Fadrozole/20201217_Cefas_Test10_Run1/Plate 5/@18/C9_01.tif </t>
  </si>
  <si>
    <t xml:space="preserve"> 36.5944 </t>
  </si>
  <si>
    <t xml:space="preserve">C:\Users\andre\Desktop\REACTIV CEFAS\Fadrozole\Fadrozole/20201217_Cefas_Test10_Run1/Plate 5/@18/C9_02.tif </t>
  </si>
  <si>
    <t xml:space="preserve"> 7808.392 </t>
  </si>
  <si>
    <t xml:space="preserve"> 37.277 </t>
  </si>
  <si>
    <t xml:space="preserve">C:\Users\andre\Desktop\REACTIV CEFAS\Fadrozole\Fadrozole/20201217_Cefas_Test10_Run1/Plate 5/@18/C9_03.tif </t>
  </si>
  <si>
    <t xml:space="preserve"> 2509.0678 </t>
  </si>
  <si>
    <t xml:space="preserve">C:\Users\andre\Desktop\REACTIV CEFAS\Fadrozole\Fadrozole/20201217_Cefas_Test10_Run1/Plate 5/@18/C9_04.tif </t>
  </si>
  <si>
    <t xml:space="preserve"> 35.883 </t>
  </si>
  <si>
    <t xml:space="preserve">C:\Users\andre\Desktop\REACTIV CEFAS\Fadrozole\Fadrozole/20201217_Cefas_Test10_Run1/Plate 5/@18/D9_01.tif </t>
  </si>
  <si>
    <t xml:space="preserve"> 35.3109 </t>
  </si>
  <si>
    <t xml:space="preserve">C:\Users\andre\Desktop\REACTIV CEFAS\Fadrozole\Fadrozole/20201217_Cefas_Test10_Run1/Plate 5/@18/D9_02.tif </t>
  </si>
  <si>
    <t xml:space="preserve"> 5083.0252 </t>
  </si>
  <si>
    <t xml:space="preserve"> 35.0681 </t>
  </si>
  <si>
    <t xml:space="preserve">C:\Users\andre\Desktop\REACTIV CEFAS\Fadrozole\Fadrozole/20201217_Cefas_Test10_Run1/Plate 5/@18/D9_03.tif </t>
  </si>
  <si>
    <t xml:space="preserve"> 36.0385 </t>
  </si>
  <si>
    <t xml:space="preserve">C:\Users\andre\Desktop\REACTIV CEFAS\Fadrozole\Fadrozole/20201217_Cefas_Test10_Run1/Plate 5/@18/D9_04.tif </t>
  </si>
  <si>
    <t xml:space="preserve"> 6532.2282 </t>
  </si>
  <si>
    <t xml:space="preserve"> 36.1987 </t>
  </si>
  <si>
    <t xml:space="preserve">C:\Users\andre\Desktop\REACTIV CEFAS\Fadrozole\Fadrozole/20201217_Cefas_Test10_Run1/Plate 5/@18/E9_01.tif </t>
  </si>
  <si>
    <t xml:space="preserve"> 31.1667 </t>
  </si>
  <si>
    <t xml:space="preserve">C:\Users\andre\Desktop\REACTIV CEFAS\Fadrozole\Fadrozole/20201217_Cefas_Test10_Run1/Plate 5/@18/E9_02.tif </t>
  </si>
  <si>
    <t xml:space="preserve"> 31.45 </t>
  </si>
  <si>
    <t xml:space="preserve">C:\Users\andre\Desktop\REACTIV CEFAS\Fadrozole\Fadrozole/20201217_Cefas_Test10_Run1/Plate 5/@18/E9_03.tif </t>
  </si>
  <si>
    <t xml:space="preserve"> 30.9167 </t>
  </si>
  <si>
    <t xml:space="preserve">C:\Users\andre\Desktop\REACTIV CEFAS\Fadrozole\Fadrozole/20201217_Cefas_Test10_Run1/Plate 5/@18/E9_04.tif </t>
  </si>
  <si>
    <t xml:space="preserve">C:\Users\andre\Desktop\REACTIV CEFAS\Fadrozole\Fadrozole/20201217_Cefas_Test10_Run1/Plate 5/@18/F9_01.tif </t>
  </si>
  <si>
    <t xml:space="preserve"> 36.3567 </t>
  </si>
  <si>
    <t xml:space="preserve">C:\Users\andre\Desktop\REACTIV CEFAS\Fadrozole\Fadrozole/20201217_Cefas_Test10_Run1/Plate 5/@18/F9_02.tif </t>
  </si>
  <si>
    <t xml:space="preserve"> 36.1138 </t>
  </si>
  <si>
    <t xml:space="preserve">C:\Users\andre\Desktop\REACTIV CEFAS\Fadrozole\Fadrozole/20201217_Cefas_Test10_Run1/Plate 5/@18/F9_03.tif </t>
  </si>
  <si>
    <t xml:space="preserve"> 35.5559 </t>
  </si>
  <si>
    <t>C:\Users\andre\Desktop\REACTIV CEFAS\Fadrozole\Fadrozole/20201217_Cefas_Test10_Run1/Plate 5/@18/F9_04- exclu.tif</t>
  </si>
  <si>
    <t>C:\Users\andre\Desktop\REACTIV CEFAS\Fadrozole\Fadrozole/20201217_Cefas_Test10_Run1/Plate 5/@18/G9_01- exclu.tif</t>
  </si>
  <si>
    <t xml:space="preserve">C:\Users\andre\Desktop\REACTIV CEFAS\Fadrozole\Fadrozole/20201217_Cefas_Test10_Run1/Plate 5/@18/G9_02.tif </t>
  </si>
  <si>
    <t xml:space="preserve"> 8651.9579 </t>
  </si>
  <si>
    <t xml:space="preserve"> 39.58 </t>
  </si>
  <si>
    <t xml:space="preserve">C:\Users\andre\Desktop\REACTIV CEFAS\Fadrozole\Fadrozole/20201217_Cefas_Test10_Run1/Plate 5/@18/G9_03.tif </t>
  </si>
  <si>
    <t xml:space="preserve"> 35.986 </t>
  </si>
  <si>
    <t xml:space="preserve">C:\Users\andre\Desktop\REACTIV CEFAS\Fadrozole\Fadrozole/20201217_Cefas_Test10_Run1/Plate 5/@18/G9_04.tif </t>
  </si>
  <si>
    <t xml:space="preserve"> 36.3971 </t>
  </si>
  <si>
    <t xml:space="preserve">C:\Users\andre\Desktop\REACTIV CEFAS\Fadrozole\Fadrozole/20201217_Cefas_Test10_Run1/Plate 5/@18/H9_01.tif </t>
  </si>
  <si>
    <t xml:space="preserve"> 8716.8475 </t>
  </si>
  <si>
    <t xml:space="preserve"> 37.66 </t>
  </si>
  <si>
    <t xml:space="preserve">C:\Users\andre\Desktop\REACTIV CEFAS\Fadrozole\Fadrozole/20201217_Cefas_Test10_Run1/Plate 5/@18/H9_02.tif </t>
  </si>
  <si>
    <t xml:space="preserve">C:\Users\andre\Desktop\REACTIV CEFAS\Fadrozole\Fadrozole/20201217_Cefas_Test10_Run1/Plate 5/@18/H9_03.tif </t>
  </si>
  <si>
    <t xml:space="preserve"> 38.8279 </t>
  </si>
  <si>
    <t xml:space="preserve">C:\Users\andre\Desktop\REACTIV CEFAS\Fadrozole\Fadrozole/20201217_Cefas_Test10_Run1/Plate 5/@18/H9_04.tif </t>
  </si>
  <si>
    <t xml:space="preserve">C:\Users\andre\Desktop\REACTIV CEFAS\Fadrozole\Fadrozole/20201217_Cefas_Test10_Run1/Plate 5/@18/ </t>
  </si>
  <si>
    <t xml:space="preserve"> 35.7304 </t>
  </si>
  <si>
    <t xml:space="preserve"> 2.6338 </t>
  </si>
  <si>
    <t xml:space="preserve"> 185199.219 </t>
  </si>
  <si>
    <t xml:space="preserve"> 115379.512 </t>
  </si>
  <si>
    <t xml:space="preserve">C:\Users\andre\Desktop\REACTIV CEFAS\Fadrozole\Fadrozole/20201217_Cefas_Test10_Run1/Plate 5/@19/A10_01.tif </t>
  </si>
  <si>
    <t xml:space="preserve">C:\Users\andre\Desktop\REACTIV CEFAS\Fadrozole\Fadrozole/20201217_Cefas_Test10_Run1/Plate 5/@19/A10_02.tif </t>
  </si>
  <si>
    <t xml:space="preserve"> 4736.9469 </t>
  </si>
  <si>
    <t xml:space="preserve"> 37.2237 </t>
  </si>
  <si>
    <t xml:space="preserve">C:\Users\andre\Desktop\REACTIV CEFAS\Fadrozole\Fadrozole/20201217_Cefas_Test10_Run1/Plate 5/@19/A10_03.tif </t>
  </si>
  <si>
    <t xml:space="preserve"> 735.4164 </t>
  </si>
  <si>
    <t xml:space="preserve"> 30.7647 </t>
  </si>
  <si>
    <t>C:\Users\andre\Desktop\REACTIV CEFAS\Fadrozole\Fadrozole/20201217_Cefas_Test10_Run1/Plate 5/@19/A10_04- exclu.tif</t>
  </si>
  <si>
    <t xml:space="preserve">C:\Users\andre\Desktop\REACTIV CEFAS\Fadrozole\Fadrozole/20201217_Cefas_Test10_Run1/Plate 5/@19/B10_01.tif </t>
  </si>
  <si>
    <t xml:space="preserve">C:\Users\andre\Desktop\REACTIV CEFAS\Fadrozole\Fadrozole/20201217_Cefas_Test10_Run1/Plate 5/@19/B10_02.tif </t>
  </si>
  <si>
    <t xml:space="preserve"> 32.125 </t>
  </si>
  <si>
    <t xml:space="preserve">C:\Users\andre\Desktop\REACTIV CEFAS\Fadrozole\Fadrozole/20201217_Cefas_Test10_Run1/Plate 5/@19/B10_03.tif </t>
  </si>
  <si>
    <t xml:space="preserve">C:\Users\andre\Desktop\REACTIV CEFAS\Fadrozole\Fadrozole/20201217_Cefas_Test10_Run1/Plate 5/@19/B10_04.tif </t>
  </si>
  <si>
    <t xml:space="preserve"> 32.9 </t>
  </si>
  <si>
    <t xml:space="preserve">C:\Users\andre\Desktop\REACTIV CEFAS\Fadrozole\Fadrozole/20201217_Cefas_Test10_Run1/Plate 5/@19/C10_01.tif </t>
  </si>
  <si>
    <t xml:space="preserve"> 35.5529 </t>
  </si>
  <si>
    <t xml:space="preserve">C:\Users\andre\Desktop\REACTIV CEFAS\Fadrozole\Fadrozole/20201217_Cefas_Test10_Run1/Plate 5/@19/C10_02.tif </t>
  </si>
  <si>
    <t xml:space="preserve"> 38.7413 </t>
  </si>
  <si>
    <t xml:space="preserve">C:\Users\andre\Desktop\REACTIV CEFAS\Fadrozole\Fadrozole/20201217_Cefas_Test10_Run1/Plate 5/@19/C10_03.tif </t>
  </si>
  <si>
    <t xml:space="preserve"> 33.4835 </t>
  </si>
  <si>
    <t xml:space="preserve">C:\Users\andre\Desktop\REACTIV CEFAS\Fadrozole\Fadrozole/20201217_Cefas_Test10_Run1/Plate 5/@19/C10_04.tif </t>
  </si>
  <si>
    <t xml:space="preserve"> 38.3302 </t>
  </si>
  <si>
    <t xml:space="preserve">C:\Users\andre\Desktop\REACTIV CEFAS\Fadrozole\Fadrozole/20201217_Cefas_Test10_Run1/Plate 5/@19/D10_01.tif </t>
  </si>
  <si>
    <t xml:space="preserve"> 34.9333 </t>
  </si>
  <si>
    <t xml:space="preserve">C:\Users\andre\Desktop\REACTIV CEFAS\Fadrozole\Fadrozole/20201217_Cefas_Test10_Run1/Plate 5/@19/D10_02.tif </t>
  </si>
  <si>
    <t xml:space="preserve"> 35.4391 </t>
  </si>
  <si>
    <t xml:space="preserve">C:\Users\andre\Desktop\REACTIV CEFAS\Fadrozole\Fadrozole/20201217_Cefas_Test10_Run1/Plate 5/@19/D10_03.tif </t>
  </si>
  <si>
    <t xml:space="preserve"> 2833.5162 </t>
  </si>
  <si>
    <t xml:space="preserve"> 33.3053 </t>
  </si>
  <si>
    <t xml:space="preserve">C:\Users\andre\Desktop\REACTIV CEFAS\Fadrozole\Fadrozole/20201217_Cefas_Test10_Run1/Plate 5/@19/D10_04.tif </t>
  </si>
  <si>
    <t xml:space="preserve"> 7332.5343 </t>
  </si>
  <si>
    <t xml:space="preserve"> 36.3746 </t>
  </si>
  <si>
    <t xml:space="preserve">C:\Users\andre\Desktop\REACTIV CEFAS\Fadrozole\Fadrozole/20201217_Cefas_Test10_Run1/Plate 5/@19/E10_01.tif </t>
  </si>
  <si>
    <t xml:space="preserve"> 15919.6024 </t>
  </si>
  <si>
    <t xml:space="preserve"> 38.8207 </t>
  </si>
  <si>
    <t xml:space="preserve">C:\Users\andre\Desktop\REACTIV CEFAS\Fadrozole\Fadrozole/20201217_Cefas_Test10_Run1/Plate 5/@19/E10_02.tif </t>
  </si>
  <si>
    <t xml:space="preserve"> 38.9465 </t>
  </si>
  <si>
    <t xml:space="preserve">C:\Users\andre\Desktop\REACTIV CEFAS\Fadrozole\Fadrozole/20201217_Cefas_Test10_Run1/Plate 5/@19/E10_03.tif </t>
  </si>
  <si>
    <t xml:space="preserve"> 34.4528 </t>
  </si>
  <si>
    <t xml:space="preserve">C:\Users\andre\Desktop\REACTIV CEFAS\Fadrozole\Fadrozole/20201217_Cefas_Test10_Run1/Plate 5/@19/E10_04.tif </t>
  </si>
  <si>
    <t xml:space="preserve"> 38.864 </t>
  </si>
  <si>
    <t xml:space="preserve">C:\Users\andre\Desktop\REACTIV CEFAS\Fadrozole\Fadrozole/20201217_Cefas_Test10_Run1/Plate 5/@19/F10_01.tif </t>
  </si>
  <si>
    <t xml:space="preserve"> 39.7646 </t>
  </si>
  <si>
    <t xml:space="preserve">C:\Users\andre\Desktop\REACTIV CEFAS\Fadrozole\Fadrozole/20201217_Cefas_Test10_Run1/Plate 5/@19/F10_02.tif </t>
  </si>
  <si>
    <t xml:space="preserve"> 40.5908 </t>
  </si>
  <si>
    <t xml:space="preserve">C:\Users\andre\Desktop\REACTIV CEFAS\Fadrozole\Fadrozole/20201217_Cefas_Test10_Run1/Plate 5/@19/F10_03.tif </t>
  </si>
  <si>
    <t xml:space="preserve"> 8414.029 </t>
  </si>
  <si>
    <t xml:space="preserve"> 37.5578 </t>
  </si>
  <si>
    <t xml:space="preserve">C:\Users\andre\Desktop\REACTIV CEFAS\Fadrozole\Fadrozole/20201217_Cefas_Test10_Run1/Plate 5/@19/F10_04.tif </t>
  </si>
  <si>
    <t xml:space="preserve"> 39.1929 </t>
  </si>
  <si>
    <t xml:space="preserve">C:\Users\andre\Desktop\REACTIV CEFAS\Fadrozole\Fadrozole/20201217_Cefas_Test10_Run1/Plate 5/@19/G10_01.tif </t>
  </si>
  <si>
    <t xml:space="preserve"> 36.1203 </t>
  </si>
  <si>
    <t xml:space="preserve">C:\Users\andre\Desktop\REACTIV CEFAS\Fadrozole\Fadrozole/20201217_Cefas_Test10_Run1/Plate 5/@19/G10_02.tif </t>
  </si>
  <si>
    <t xml:space="preserve"> 5364.2139 </t>
  </si>
  <si>
    <t xml:space="preserve"> 39.0282 </t>
  </si>
  <si>
    <t xml:space="preserve">C:\Users\andre\Desktop\REACTIV CEFAS\Fadrozole\Fadrozole/20201217_Cefas_Test10_Run1/Plate 5/@19/G10_03.tif </t>
  </si>
  <si>
    <t xml:space="preserve"> 35.4554 </t>
  </si>
  <si>
    <t xml:space="preserve">C:\Users\andre\Desktop\REACTIV CEFAS\Fadrozole\Fadrozole/20201217_Cefas_Test10_Run1/Plate 5/@19/G10_04.tif </t>
  </si>
  <si>
    <t xml:space="preserve"> 2141.3596 </t>
  </si>
  <si>
    <t xml:space="preserve"> 32.6162 </t>
  </si>
  <si>
    <t xml:space="preserve">C:\Users\andre\Desktop\REACTIV CEFAS\Fadrozole\Fadrozole/20201217_Cefas_Test10_Run1/Plate 5/@19/H10_01.tif </t>
  </si>
  <si>
    <t xml:space="preserve"> 12588.5987 </t>
  </si>
  <si>
    <t xml:space="preserve"> 39.5498 </t>
  </si>
  <si>
    <t xml:space="preserve">C:\Users\andre\Desktop\REACTIV CEFAS\Fadrozole\Fadrozole/20201217_Cefas_Test10_Run1/Plate 5/@19/H10_02.tif </t>
  </si>
  <si>
    <t xml:space="preserve"> 11918.0719 </t>
  </si>
  <si>
    <t xml:space="preserve"> 41.9728 </t>
  </si>
  <si>
    <t xml:space="preserve">C:\Users\andre\Desktop\REACTIV CEFAS\Fadrozole\Fadrozole/20201217_Cefas_Test10_Run1/Plate 5/@19/H10_03.tif </t>
  </si>
  <si>
    <t xml:space="preserve"> 45.6641 </t>
  </si>
  <si>
    <t xml:space="preserve">C:\Users\andre\Desktop\REACTIV CEFAS\Fadrozole\Fadrozole/20201217_Cefas_Test10_Run1/Plate 5/@19/H10_04.tif </t>
  </si>
  <si>
    <t xml:space="preserve"> 38.4748 </t>
  </si>
  <si>
    <t xml:space="preserve">C:\Users\andre\Desktop\REACTIV CEFAS\Fadrozole\Fadrozole/20201217_Cefas_Test10_Run1/Plate 5/@19/ </t>
  </si>
  <si>
    <t xml:space="preserve"> 34.3514 </t>
  </si>
  <si>
    <t xml:space="preserve"> 9.6315 </t>
  </si>
  <si>
    <t xml:space="preserve"> 223973.531 </t>
  </si>
  <si>
    <t xml:space="preserve"> 172127.172 </t>
  </si>
  <si>
    <t xml:space="preserve">C:\Users\andre\Desktop\REACTIV CEFAS\Fadrozole\Fadrozole/20201217_Cefas_Test10_Run1/Plate 5/@20/A11_01.tif </t>
  </si>
  <si>
    <t>C:\Users\andre\Desktop\REACTIV CEFAS\Fadrozole\Fadrozole/20201217_Cefas_Test10_Run1/Plate 5/@20/A11_02- exclu.tif</t>
  </si>
  <si>
    <t xml:space="preserve">C:\Users\andre\Desktop\REACTIV CEFAS\Fadrozole\Fadrozole/20201217_Cefas_Test10_Run1/Plate 5/@20/A11_03.tif </t>
  </si>
  <si>
    <t xml:space="preserve">C:\Users\andre\Desktop\REACTIV CEFAS\Fadrozole\Fadrozole/20201217_Cefas_Test10_Run1/Plate 5/@20/A11_04.tif </t>
  </si>
  <si>
    <t xml:space="preserve"> 33.3603 </t>
  </si>
  <si>
    <t xml:space="preserve">C:\Users\andre\Desktop\REACTIV CEFAS\Fadrozole\Fadrozole/20201217_Cefas_Test10_Run1/Plate 5/@20/B11_01.tif </t>
  </si>
  <si>
    <t xml:space="preserve"> 36.4585 </t>
  </si>
  <si>
    <t xml:space="preserve">C:\Users\andre\Desktop\REACTIV CEFAS\Fadrozole\Fadrozole/20201217_Cefas_Test10_Run1/Plate 5/@20/B11_02.tif </t>
  </si>
  <si>
    <t xml:space="preserve"> 38.5593 </t>
  </si>
  <si>
    <t xml:space="preserve">C:\Users\andre\Desktop\REACTIV CEFAS\Fadrozole\Fadrozole/20201217_Cefas_Test10_Run1/Plate 5/@20/B11_03.tif </t>
  </si>
  <si>
    <t xml:space="preserve"> 39.1438 </t>
  </si>
  <si>
    <t xml:space="preserve">C:\Users\andre\Desktop\REACTIV CEFAS\Fadrozole\Fadrozole/20201217_Cefas_Test10_Run1/Plate 5/@20/B11_04.tif </t>
  </si>
  <si>
    <t xml:space="preserve"> 38.5382 </t>
  </si>
  <si>
    <t xml:space="preserve">C:\Users\andre\Desktop\REACTIV CEFAS\Fadrozole\Fadrozole/20201217_Cefas_Test10_Run1/Plate 5/@20/C11_01.tif </t>
  </si>
  <si>
    <t xml:space="preserve"> 38.8142 </t>
  </si>
  <si>
    <t xml:space="preserve">C:\Users\andre\Desktop\REACTIV CEFAS\Fadrozole\Fadrozole/20201217_Cefas_Test10_Run1/Plate 5/@20/C11_02.tif </t>
  </si>
  <si>
    <t xml:space="preserve"> 37.2616 </t>
  </si>
  <si>
    <t xml:space="preserve">C:\Users\andre\Desktop\REACTIV CEFAS\Fadrozole\Fadrozole/20201217_Cefas_Test10_Run1/Plate 5/@20/ </t>
  </si>
  <si>
    <t xml:space="preserve"> 26.2136 </t>
  </si>
  <si>
    <t xml:space="preserve"> 18.1654 </t>
  </si>
  <si>
    <t xml:space="preserve"> 189261.7 </t>
  </si>
  <si>
    <t xml:space="preserve"> 155071.075 </t>
  </si>
  <si>
    <t xml:space="preserve">C:\Users\andre\Desktop\REACTIV CEFAS\Fadrozole\Fadrozole/20201217_Cefas_Test10_Run1/Plate 5/@21/A12_01.tif </t>
  </si>
  <si>
    <t xml:space="preserve"> 37.2544 </t>
  </si>
  <si>
    <t xml:space="preserve">C:\Users\andre\Desktop\REACTIV CEFAS\Fadrozole\Fadrozole/20201217_Cefas_Test10_Run1/Plate 5/@21/A12_02.tif </t>
  </si>
  <si>
    <t xml:space="preserve"> 33.9915 </t>
  </si>
  <si>
    <t xml:space="preserve">C:\Users\andre\Desktop\REACTIV CEFAS\Fadrozole\Fadrozole/20201217_Cefas_Test10_Run1/Plate 5/@21/A12_03.tif </t>
  </si>
  <si>
    <t xml:space="preserve"> 12804.8976 </t>
  </si>
  <si>
    <t xml:space="preserve"> 36.4696 </t>
  </si>
  <si>
    <t xml:space="preserve">C:\Users\andre\Desktop\REACTIV CEFAS\Fadrozole\Fadrozole/20201217_Cefas_Test10_Run1/Plate 5/@21/A12_04.tif </t>
  </si>
  <si>
    <t xml:space="preserve">C:\Users\andre\Desktop\REACTIV CEFAS\Fadrozole\Fadrozole/20201217_Cefas_Test10_Run1/Plate 5/@21/B12_01.tif </t>
  </si>
  <si>
    <t xml:space="preserve"> 39.9563 </t>
  </si>
  <si>
    <t xml:space="preserve">C:\Users\andre\Desktop\REACTIV CEFAS\Fadrozole\Fadrozole/20201217_Cefas_Test10_Run1/Plate 5/@21/B12_02.tif </t>
  </si>
  <si>
    <t xml:space="preserve"> 39.5499 </t>
  </si>
  <si>
    <t xml:space="preserve">C:\Users\andre\Desktop\REACTIV CEFAS\Fadrozole\Fadrozole/20201217_Cefas_Test10_Run1/Plate 5/@21/B12_03.tif </t>
  </si>
  <si>
    <t xml:space="preserve"> 37.658 </t>
  </si>
  <si>
    <t xml:space="preserve">C:\Users\andre\Desktop\REACTIV CEFAS\Fadrozole\Fadrozole/20201217_Cefas_Test10_Run1/Plate 5/@21/B12_04.tif </t>
  </si>
  <si>
    <t xml:space="preserve"> 39.463 </t>
  </si>
  <si>
    <t xml:space="preserve">C:\Users\andre\Desktop\REACTIV CEFAS\Fadrozole\Fadrozole/20201217_Cefas_Test10_Run1/Plate 5/@21/C12_01.tif </t>
  </si>
  <si>
    <t xml:space="preserve"> 35.0318 </t>
  </si>
  <si>
    <t xml:space="preserve">C:\Users\andre\Desktop\REACTIV CEFAS\Fadrozole\Fadrozole/20201217_Cefas_Test10_Run1/Plate 5/@21/C12_02.tif </t>
  </si>
  <si>
    <t xml:space="preserve">C:\Users\andre\Desktop\REACTIV CEFAS\Fadrozole\Fadrozole/20201217_Cefas_Test10_Run1/Plate 5/@21/C12_03.tif </t>
  </si>
  <si>
    <t xml:space="preserve"> 38.1747 </t>
  </si>
  <si>
    <t xml:space="preserve">C:\Users\andre\Desktop\REACTIV CEFAS\Fadrozole\Fadrozole/20201217_Cefas_Test10_Run1/Plate 5/@21/C12_04.tif </t>
  </si>
  <si>
    <t xml:space="preserve">C:\Users\andre\Desktop\REACTIV CEFAS\Fadrozole\Fadrozole/20201217_Cefas_Test10_Run1/Plate 5/@21/D12_01.tif </t>
  </si>
  <si>
    <t xml:space="preserve">C:\Users\andre\Desktop\REACTIV CEFAS\Fadrozole\Fadrozole/20201217_Cefas_Test10_Run1/Plate 5/@21/D12_02.tif </t>
  </si>
  <si>
    <t xml:space="preserve"> 1708.7617 </t>
  </si>
  <si>
    <t xml:space="preserve"> 33.8101 </t>
  </si>
  <si>
    <t xml:space="preserve">C:\Users\andre\Desktop\REACTIV CEFAS\Fadrozole\Fadrozole/20201217_Cefas_Test10_Run1/Plate 5/@21/D12_03.tif </t>
  </si>
  <si>
    <t xml:space="preserve"> 670.5267 </t>
  </si>
  <si>
    <t xml:space="preserve"> 34.871 </t>
  </si>
  <si>
    <t xml:space="preserve">C:\Users\andre\Desktop\REACTIV CEFAS\Fadrozole\Fadrozole/20201217_Cefas_Test10_Run1/Plate 5/@21/D12_04.tif </t>
  </si>
  <si>
    <t xml:space="preserve">C:\Users\andre\Desktop\REACTIV CEFAS\Fadrozole\Fadrozole/20201217_Cefas_Test10_Run1/Plate 5/@21/E12_01.tif </t>
  </si>
  <si>
    <t xml:space="preserve"> 35.8241 </t>
  </si>
  <si>
    <t xml:space="preserve">C:\Users\andre\Desktop\REACTIV CEFAS\Fadrozole\Fadrozole/20201217_Cefas_Test10_Run1/Plate 5/@21/E12_02.tif </t>
  </si>
  <si>
    <t xml:space="preserve"> 39.3246 </t>
  </si>
  <si>
    <t xml:space="preserve">C:\Users\andre\Desktop\REACTIV CEFAS\Fadrozole\Fadrozole/20201217_Cefas_Test10_Run1/Plate 5/@21/E12_03.tif </t>
  </si>
  <si>
    <t xml:space="preserve"> 35.5659 </t>
  </si>
  <si>
    <t xml:space="preserve">C:\Users\andre\Desktop\REACTIV CEFAS\Fadrozole\Fadrozole/20201217_Cefas_Test10_Run1/Plate 5/@21/E12_04.tif </t>
  </si>
  <si>
    <t xml:space="preserve"> 8543.8084 </t>
  </si>
  <si>
    <t xml:space="preserve"> 43.3114 </t>
  </si>
  <si>
    <t>C:\Users\andre\Desktop\REACTIV CEFAS\Fadrozole\Fadrozole/20201217_Cefas_Test10_Run1/Plate 5/@21/F12_01- exclu.tif</t>
  </si>
  <si>
    <t xml:space="preserve">C:\Users\andre\Desktop\REACTIV CEFAS\Fadrozole\Fadrozole/20201217_Cefas_Test10_Run1/Plate 5/@21/F12_02.tif </t>
  </si>
  <si>
    <t xml:space="preserve"> 46.4681 </t>
  </si>
  <si>
    <t xml:space="preserve">C:\Users\andre\Desktop\REACTIV CEFAS\Fadrozole\Fadrozole/20201217_Cefas_Test10_Run1/Plate 5/@21/F12_03.tif </t>
  </si>
  <si>
    <t xml:space="preserve"> 44.4745 </t>
  </si>
  <si>
    <t xml:space="preserve">C:\Users\andre\Desktop\REACTIV CEFAS\Fadrozole\Fadrozole/20201217_Cefas_Test10_Run1/Plate 5/@21/F12_04.tif </t>
  </si>
  <si>
    <t xml:space="preserve"> 45.0545 </t>
  </si>
  <si>
    <t xml:space="preserve">C:\Users\andre\Desktop\REACTIV CEFAS\Fadrozole\Fadrozole/20201217_Cefas_Test10_Run1/Plate 5/@21/G12_01.tif </t>
  </si>
  <si>
    <t xml:space="preserve"> 37.2822 </t>
  </si>
  <si>
    <t xml:space="preserve">C:\Users\andre\Desktop\REACTIV CEFAS\Fadrozole\Fadrozole/20201217_Cefas_Test10_Run1/Plate 5/@21/G12_02.tif </t>
  </si>
  <si>
    <t xml:space="preserve"> 1946.6905 </t>
  </si>
  <si>
    <t xml:space="preserve"> 34.7111 </t>
  </si>
  <si>
    <t xml:space="preserve">C:\Users\andre\Desktop\REACTIV CEFAS\Fadrozole\Fadrozole/20201217_Cefas_Test10_Run1/Plate 5/@21/G12_03.tif </t>
  </si>
  <si>
    <t xml:space="preserve"> 34.2883 </t>
  </si>
  <si>
    <t xml:space="preserve">C:\Users\andre\Desktop\REACTIV CEFAS\Fadrozole\Fadrozole/20201217_Cefas_Test10_Run1/Plate 5/@21/G12_04.tif </t>
  </si>
  <si>
    <t xml:space="preserve"> 37.9081 </t>
  </si>
  <si>
    <t>C:\Users\andre\Desktop\REACTIV CEFAS\Fadrozole\Fadrozole/20201217_Cefas_Test10_Run1/Plate 5/@21/H12_01- exclu.tif</t>
  </si>
  <si>
    <t xml:space="preserve">C:\Users\andre\Desktop\REACTIV CEFAS\Fadrozole\Fadrozole/20201217_Cefas_Test10_Run1/Plate 5/@21/H12_02.tif </t>
  </si>
  <si>
    <t xml:space="preserve">C:\Users\andre\Desktop\REACTIV CEFAS\Fadrozole\Fadrozole/20201217_Cefas_Test10_Run1/Plate 5/@21/H12_03.tif </t>
  </si>
  <si>
    <t xml:space="preserve">C:\Users\andre\Desktop\REACTIV CEFAS\Fadrozole\Fadrozole/20201217_Cefas_Test10_Run1/Plate 5/@21/H12_04.tif </t>
  </si>
  <si>
    <t xml:space="preserve"> 4109.68 </t>
  </si>
  <si>
    <t xml:space="preserve"> 38.0105 </t>
  </si>
  <si>
    <t xml:space="preserve">C:\Users\andre\Desktop\REACTIV CEFAS\Fadrozole\Fadrozole/20201217_Cefas_Test10_Run1/Plate 5/@21/ </t>
  </si>
  <si>
    <t xml:space="preserve"> 30.3124 </t>
  </si>
  <si>
    <t xml:space="preserve"> 15.277 </t>
  </si>
  <si>
    <t xml:space="preserve"> 150068.188 </t>
  </si>
  <si>
    <t xml:space="preserve"> 131614.486 </t>
  </si>
  <si>
    <t xml:space="preserve">C:\Users\andre\Desktop\REACTIV CEFAS\Fadrozole\Fadrozole/20201217_Cefas_Test10_Run1/Plate 5/@9/A3_01.tif </t>
  </si>
  <si>
    <t xml:space="preserve"> 6207.7798 </t>
  </si>
  <si>
    <t xml:space="preserve"> 38.4983 </t>
  </si>
  <si>
    <t xml:space="preserve">C:\Users\andre\Desktop\REACTIV CEFAS\Fadrozole\Fadrozole/20201217_Cefas_Test10_Run1/Plate 5/@9/A3_02.tif </t>
  </si>
  <si>
    <t xml:space="preserve"> 34.6901 </t>
  </si>
  <si>
    <t xml:space="preserve">C:\Users\andre\Desktop\REACTIV CEFAS\Fadrozole\Fadrozole/20201217_Cefas_Test10_Run1/Plate 5/@9/A3_03.tif </t>
  </si>
  <si>
    <t xml:space="preserve"> 34.5517 </t>
  </si>
  <si>
    <t>C:\Users\andre\Desktop\REACTIV CEFAS\Fadrozole\Fadrozole/20201217_Cefas_Test10_Run1/Plate 5/@9/A3_04- exclu.tif</t>
  </si>
  <si>
    <t xml:space="preserve">C:\Users\andre\Desktop\REACTIV CEFAS\Fadrozole\Fadrozole/20201217_Cefas_Test10_Run1/Plate 5/@9/B3_01.tif </t>
  </si>
  <si>
    <t xml:space="preserve"> 37.0355 </t>
  </si>
  <si>
    <t xml:space="preserve">C:\Users\andre\Desktop\REACTIV CEFAS\Fadrozole\Fadrozole/20201217_Cefas_Test10_Run1/Plate 5/@9/B3_02.tif </t>
  </si>
  <si>
    <t xml:space="preserve"> 39.2506 </t>
  </si>
  <si>
    <t xml:space="preserve">C:\Users\andre\Desktop\REACTIV CEFAS\Fadrozole\Fadrozole/20201217_Cefas_Test10_Run1/Plate 5/@9/B3_03.tif </t>
  </si>
  <si>
    <t xml:space="preserve"> 37.6598 </t>
  </si>
  <si>
    <t xml:space="preserve">C:\Users\andre\Desktop\REACTIV CEFAS\Fadrozole\Fadrozole/20201217_Cefas_Test10_Run1/Plate 5/@9/B3_04.tif </t>
  </si>
  <si>
    <t xml:space="preserve"> 45.1218 </t>
  </si>
  <si>
    <t xml:space="preserve">C:\Users\andre\Desktop\REACTIV CEFAS\Fadrozole\Fadrozole/20201217_Cefas_Test10_Run1/Plate 5/@9/C3_01.tif </t>
  </si>
  <si>
    <t xml:space="preserve"> 32.2593 </t>
  </si>
  <si>
    <t xml:space="preserve">C:\Users\andre\Desktop\REACTIV CEFAS\Fadrozole\Fadrozole/20201217_Cefas_Test10_Run1/Plate 5/@9/C3_02.tif </t>
  </si>
  <si>
    <t xml:space="preserve"> 33.5242 </t>
  </si>
  <si>
    <t xml:space="preserve">C:\Users\andre\Desktop\REACTIV CEFAS\Fadrozole\Fadrozole/20201217_Cefas_Test10_Run1/Plate 5/@9/C3_03.tif </t>
  </si>
  <si>
    <t xml:space="preserve"> 32.6287 </t>
  </si>
  <si>
    <t xml:space="preserve">C:\Users\andre\Desktop\REACTIV CEFAS\Fadrozole\Fadrozole/20201217_Cefas_Test10_Run1/Plate 5/@9/C3_04.tif </t>
  </si>
  <si>
    <t xml:space="preserve"> 31.9474 </t>
  </si>
  <si>
    <t xml:space="preserve">C:\Users\andre\Desktop\REACTIV CEFAS\Fadrozole\Fadrozole/20201217_Cefas_Test10_Run1/Plate 5/@9/D3_01.tif </t>
  </si>
  <si>
    <t xml:space="preserve"> 13259.1254 </t>
  </si>
  <si>
    <t xml:space="preserve"> 42.4062 </t>
  </si>
  <si>
    <t xml:space="preserve">C:\Users\andre\Desktop\REACTIV CEFAS\Fadrozole\Fadrozole/20201217_Cefas_Test10_Run1/Plate 5/@9/D3_02.tif </t>
  </si>
  <si>
    <t xml:space="preserve"> 6878.3065 </t>
  </si>
  <si>
    <t xml:space="preserve"> 41.3648 </t>
  </si>
  <si>
    <t xml:space="preserve">C:\Users\andre\Desktop\REACTIV CEFAS\Fadrozole\Fadrozole/20201217_Cefas_Test10_Run1/Plate 5/@9/D3_03.tif </t>
  </si>
  <si>
    <t xml:space="preserve"> 40.388 </t>
  </si>
  <si>
    <t xml:space="preserve">C:\Users\andre\Desktop\REACTIV CEFAS\Fadrozole\Fadrozole/20201217_Cefas_Test10_Run1/Plate 5/@9/D3_04.tif </t>
  </si>
  <si>
    <t xml:space="preserve"> 12826.5275 </t>
  </si>
  <si>
    <t xml:space="preserve"> 43.6644 </t>
  </si>
  <si>
    <t xml:space="preserve">C:\Users\andre\Desktop\REACTIV CEFAS\Fadrozole\Fadrozole/20201217_Cefas_Test10_Run1/Plate 5/@9/E3_01.tif </t>
  </si>
  <si>
    <t xml:space="preserve"> 37.4125 </t>
  </si>
  <si>
    <t xml:space="preserve">C:\Users\andre\Desktop\REACTIV CEFAS\Fadrozole\Fadrozole/20201217_Cefas_Test10_Run1/Plate 5/@9/E3_02.tif </t>
  </si>
  <si>
    <t xml:space="preserve"> 36.0159 </t>
  </si>
  <si>
    <t xml:space="preserve">C:\Users\andre\Desktop\REACTIV CEFAS\Fadrozole\Fadrozole/20201217_Cefas_Test10_Run1/Plate 5/@9/E3_03.tif </t>
  </si>
  <si>
    <t xml:space="preserve"> 34.4693 </t>
  </si>
  <si>
    <t xml:space="preserve">C:\Users\andre\Desktop\REACTIV CEFAS\Fadrozole\Fadrozole/20201217_Cefas_Test10_Run1/Plate 5/@9/E3_04.tif </t>
  </si>
  <si>
    <t xml:space="preserve"> 33.3243 </t>
  </si>
  <si>
    <t xml:space="preserve">C:\Users\andre\Desktop\REACTIV CEFAS\Fadrozole\Fadrozole/20201217_Cefas_Test10_Run1/Plate 5/@9/F3_01.tif </t>
  </si>
  <si>
    <t xml:space="preserve"> 33.4623 </t>
  </si>
  <si>
    <t xml:space="preserve">C:\Users\andre\Desktop\REACTIV CEFAS\Fadrozole\Fadrozole/20201217_Cefas_Test10_Run1/Plate 5/@9/F3_02.tif </t>
  </si>
  <si>
    <t xml:space="preserve"> 35.5203 </t>
  </si>
  <si>
    <t>C:\Users\andre\Desktop\REACTIV CEFAS\Fadrozole\Fadrozole/20201217_Cefas_Test10_Run1/Plate 5/@9/F3_03- exclu.tif</t>
  </si>
  <si>
    <t xml:space="preserve">C:\Users\andre\Desktop\REACTIV CEFAS\Fadrozole\Fadrozole/20201217_Cefas_Test10_Run1/Plate 5/@9/F3_04.tif </t>
  </si>
  <si>
    <t xml:space="preserve"> 36.3605 </t>
  </si>
  <si>
    <t xml:space="preserve">C:\Users\andre\Desktop\REACTIV CEFAS\Fadrozole\Fadrozole/20201217_Cefas_Test10_Run1/Plate 5/@9/G3_01.tif </t>
  </si>
  <si>
    <t xml:space="preserve"> 45.5423 </t>
  </si>
  <si>
    <t xml:space="preserve">C:\Users\andre\Desktop\REACTIV CEFAS\Fadrozole\Fadrozole/20201217_Cefas_Test10_Run1/Plate 5/@9/G3_02.tif </t>
  </si>
  <si>
    <t xml:space="preserve"> 44.4869 </t>
  </si>
  <si>
    <t xml:space="preserve">C:\Users\andre\Desktop\REACTIV CEFAS\Fadrozole\Fadrozole/20201217_Cefas_Test10_Run1/Plate 5/@9/G3_03.tif </t>
  </si>
  <si>
    <t xml:space="preserve"> 12696.7481 </t>
  </si>
  <si>
    <t xml:space="preserve"> 44.138 </t>
  </si>
  <si>
    <t xml:space="preserve">C:\Users\andre\Desktop\REACTIV CEFAS\Fadrozole\Fadrozole/20201217_Cefas_Test10_Run1/Plate 5/@9/G3_04.tif </t>
  </si>
  <si>
    <t xml:space="preserve"> 40.714 </t>
  </si>
  <si>
    <t xml:space="preserve">C:\Users\andre\Desktop\REACTIV CEFAS\Fadrozole\Fadrozole/20201217_Cefas_Test10_Run1/Plate 5/@9/H3_01.tif </t>
  </si>
  <si>
    <t xml:space="preserve"> 8240.9899 </t>
  </si>
  <si>
    <t xml:space="preserve"> 40.7717 </t>
  </si>
  <si>
    <t xml:space="preserve">C:\Users\andre\Desktop\REACTIV CEFAS\Fadrozole\Fadrozole/20201217_Cefas_Test10_Run1/Plate 5/@9/H3_02.tif </t>
  </si>
  <si>
    <t xml:space="preserve"> 38.1194 </t>
  </si>
  <si>
    <t xml:space="preserve">C:\Users\andre\Desktop\REACTIV CEFAS\Fadrozole\Fadrozole/20201217_Cefas_Test10_Run1/Plate 5/@9/H3_03.tif </t>
  </si>
  <si>
    <t>C:\Users\andre\Desktop\REACTIV CEFAS\Fadrozole\Fadrozole/20201217_Cefas_Test10_Run1/Plate 5/@9/H3_04- exclu.tif</t>
  </si>
  <si>
    <t xml:space="preserve">C:\Users\andre\Desktop\REACTIV CEFAS\Fadrozole\Fadrozole/20201217_Cefas_Test10_Run1/Plate 5/@9/ </t>
  </si>
  <si>
    <t xml:space="preserve"> 38.1344 </t>
  </si>
  <si>
    <t xml:space="preserve"> 4.5233 </t>
  </si>
  <si>
    <t xml:space="preserve"> 270949.5 </t>
  </si>
  <si>
    <t xml:space="preserve"> 172404.151 </t>
  </si>
  <si>
    <t>FAD-5.4µg/L</t>
  </si>
  <si>
    <t>Chemical</t>
  </si>
  <si>
    <t>FAD</t>
  </si>
  <si>
    <t>FAD-11µg/L</t>
  </si>
  <si>
    <t>FAD-22µg/L</t>
  </si>
  <si>
    <t>FAD-44µg/L</t>
  </si>
  <si>
    <t>FAD-87µg/L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</si>
</sst>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0"/>
  </numFmts>
  <fonts count="19" x14ac:knownFonts="1">
    <font>
      <sz val="11"/>
      <color theme="1"/>
      <name val="Calibri"/>
      <family val="2"/>
      <scheme val="minor"/>
    </font>
    <font>
      <b/>
      <sz val="11"/>
      <color theme="1"/>
      <name val="Calibri"/>
      <family val="2"/>
      <scheme val="minor"/>
    </font>
    <font>
      <sz val="13"/>
      <name val="Arial"/>
      <family val="2"/>
    </font>
    <font>
      <sz val="16"/>
      <color theme="1"/>
      <name val="Calibri"/>
      <family val="2"/>
      <scheme val="minor"/>
    </font>
    <font>
      <sz val="10"/>
      <name val="Arial"/>
      <family val="2"/>
    </font>
    <font>
      <b/>
      <sz val="16"/>
      <color theme="1"/>
      <name val="Calibri"/>
      <family val="2"/>
      <scheme val="minor"/>
    </font>
    <font>
      <sz val="11"/>
      <name val="Calibri"/>
      <family val="2"/>
      <scheme val="minor"/>
    </font>
    <font>
      <b/>
      <sz val="20"/>
      <color theme="1"/>
      <name val="Calibri"/>
      <family val="2"/>
      <scheme val="minor"/>
    </font>
    <font>
      <sz val="12"/>
      <color theme="1"/>
      <name val="Calibri"/>
      <family val="2"/>
      <scheme val="minor"/>
    </font>
    <font>
      <b/>
      <sz val="20"/>
      <color rgb="FFFF0000"/>
      <name val="Calibri"/>
      <family val="2"/>
      <scheme val="minor"/>
    </font>
    <font>
      <b/>
      <sz val="9"/>
      <color indexed="81"/>
      <name val="Tahoma"/>
      <family val="2"/>
    </font>
    <font>
      <sz val="11"/>
      <color theme="1"/>
      <name val="Calibri"/>
      <family val="2"/>
      <scheme val="minor"/>
    </font>
    <font>
      <b/>
      <sz val="12"/>
      <color theme="1"/>
      <name val="Calibri"/>
      <family val="2"/>
      <scheme val="minor"/>
    </font>
    <font>
      <sz val="12"/>
      <name val="Calibri"/>
      <family val="2"/>
      <scheme val="minor"/>
    </font>
    <font>
      <sz val="12"/>
      <name val="Arial"/>
      <family val="2"/>
    </font>
    <font>
      <b/>
      <sz val="12"/>
      <name val="Calibri"/>
      <family val="2"/>
      <scheme val="minor"/>
    </font>
    <font>
      <b/>
      <sz val="11"/>
      <name val="Calibri"/>
      <family val="2"/>
      <scheme val="minor"/>
    </font>
    <font>
      <sz val="11"/>
      <color rgb="FFFF0000"/>
      <name val="Calibri"/>
      <family val="2"/>
      <scheme val="minor"/>
    </font>
    <font>
      <b/>
      <sz val="11"/>
      <color rgb="FFFF0000"/>
      <name val="Calibri"/>
      <family val="2"/>
      <scheme val="minor"/>
    </font>
  </fonts>
  <fills count="21">
    <fill>
      <patternFill patternType="none"/>
    </fill>
    <fill>
      <patternFill patternType="gray125"/>
    </fill>
    <fill>
      <patternFill patternType="solid">
        <fgColor rgb="FFFFFF00"/>
        <bgColor indexed="64"/>
      </patternFill>
    </fill>
    <fill>
      <patternFill patternType="solid">
        <fgColor theme="9" tint="0.59999389629810485"/>
        <bgColor indexed="64"/>
      </patternFill>
    </fill>
    <fill>
      <patternFill patternType="solid">
        <fgColor theme="3" tint="0.79998168889431442"/>
        <bgColor indexed="64"/>
      </patternFill>
    </fill>
    <fill>
      <patternFill patternType="solid">
        <fgColor rgb="FF00B050"/>
        <bgColor indexed="64"/>
      </patternFill>
    </fill>
    <fill>
      <patternFill patternType="solid">
        <fgColor theme="6" tint="0.79998168889431442"/>
        <bgColor indexed="64"/>
      </patternFill>
    </fill>
    <fill>
      <patternFill patternType="solid">
        <fgColor theme="7" tint="0.79998168889431442"/>
        <bgColor indexed="64"/>
      </patternFill>
    </fill>
    <fill>
      <patternFill patternType="solid">
        <fgColor theme="0" tint="-0.14999847407452621"/>
        <bgColor indexed="64"/>
      </patternFill>
    </fill>
    <fill>
      <patternFill patternType="solid">
        <fgColor theme="0" tint="-4.9989318521683403E-2"/>
        <bgColor indexed="64"/>
      </patternFill>
    </fill>
    <fill>
      <patternFill patternType="solid">
        <fgColor theme="0"/>
        <bgColor indexed="64"/>
      </patternFill>
    </fill>
    <fill>
      <patternFill patternType="solid">
        <fgColor theme="6" tint="0.39997558519241921"/>
        <bgColor indexed="64"/>
      </patternFill>
    </fill>
    <fill>
      <patternFill patternType="solid">
        <fgColor theme="2" tint="-9.9978637043366805E-2"/>
        <bgColor indexed="64"/>
      </patternFill>
    </fill>
    <fill>
      <patternFill patternType="solid">
        <fgColor theme="2" tint="-0.249977111117893"/>
        <bgColor indexed="64"/>
      </patternFill>
    </fill>
    <fill>
      <patternFill patternType="solid">
        <fgColor theme="6" tint="0.59999389629810485"/>
        <bgColor indexed="64"/>
      </patternFill>
    </fill>
    <fill>
      <patternFill patternType="solid">
        <fgColor theme="1"/>
        <bgColor indexed="64"/>
      </patternFill>
    </fill>
    <fill>
      <patternFill patternType="solid">
        <fgColor theme="4" tint="0.79998168889431442"/>
        <bgColor indexed="64"/>
      </patternFill>
    </fill>
    <fill>
      <patternFill patternType="solid">
        <fgColor theme="9" tint="0.79998168889431442"/>
        <bgColor indexed="64"/>
      </patternFill>
    </fill>
    <fill>
      <patternFill patternType="solid">
        <fgColor theme="4" tint="0.59999389629810485"/>
        <bgColor indexed="64"/>
      </patternFill>
    </fill>
    <fill>
      <patternFill patternType="solid">
        <fgColor rgb="FFFFC000"/>
        <bgColor indexed="64"/>
      </patternFill>
    </fill>
    <fill>
      <patternFill patternType="solid">
        <fgColor theme="0" tint="-0.14999847407452621"/>
        <bgColor theme="0" tint="-0.14999847407452621"/>
      </patternFill>
    </fill>
  </fills>
  <borders count="47">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style="medium">
        <color indexed="64"/>
      </right>
      <top style="medium">
        <color indexed="64"/>
      </top>
      <bottom style="medium">
        <color indexed="64"/>
      </bottom>
      <diagonal/>
    </border>
    <border>
      <left/>
      <right/>
      <top style="medium">
        <color indexed="64"/>
      </top>
      <bottom style="medium">
        <color indexed="64"/>
      </bottom>
      <diagonal/>
    </border>
    <border>
      <left style="medium">
        <color indexed="64"/>
      </left>
      <right/>
      <top style="medium">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thin">
        <color indexed="64"/>
      </right>
      <top/>
      <bottom style="thin">
        <color indexed="64"/>
      </bottom>
      <diagonal/>
    </border>
    <border>
      <left/>
      <right style="thin">
        <color indexed="64"/>
      </right>
      <top style="medium">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right style="thin">
        <color indexed="64"/>
      </right>
      <top style="thin">
        <color indexed="64"/>
      </top>
      <bottom/>
      <diagonal/>
    </border>
    <border>
      <left/>
      <right style="medium">
        <color indexed="64"/>
      </right>
      <top style="thin">
        <color indexed="64"/>
      </top>
      <bottom style="thin">
        <color indexed="64"/>
      </bottom>
      <diagonal/>
    </border>
    <border>
      <left/>
      <right style="thin">
        <color indexed="64"/>
      </right>
      <top/>
      <bottom/>
      <diagonal/>
    </border>
    <border>
      <left style="thin">
        <color indexed="64"/>
      </left>
      <right style="thin">
        <color indexed="64"/>
      </right>
      <top style="thin">
        <color indexed="64"/>
      </top>
      <bottom/>
      <diagonal/>
    </border>
    <border>
      <left/>
      <right/>
      <top style="medium">
        <color indexed="64"/>
      </top>
      <bottom/>
      <diagonal/>
    </border>
    <border>
      <left/>
      <right style="medium">
        <color indexed="64"/>
      </right>
      <top/>
      <bottom/>
      <diagonal/>
    </border>
    <border>
      <left/>
      <right style="thin">
        <color auto="1"/>
      </right>
      <top/>
      <bottom style="thin">
        <color auto="1"/>
      </bottom>
      <diagonal/>
    </border>
    <border>
      <left style="thin">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right style="medium">
        <color indexed="64"/>
      </right>
      <top style="medium">
        <color indexed="64"/>
      </top>
      <bottom/>
      <diagonal/>
    </border>
    <border>
      <left style="thin">
        <color indexed="64"/>
      </left>
      <right style="thin">
        <color indexed="64"/>
      </right>
      <top style="thin">
        <color theme="1"/>
      </top>
      <bottom style="medium">
        <color theme="1"/>
      </bottom>
      <diagonal/>
    </border>
    <border>
      <left style="thin">
        <color theme="1"/>
      </left>
      <right style="thin">
        <color theme="1"/>
      </right>
      <top style="thin">
        <color theme="1"/>
      </top>
      <bottom style="medium">
        <color theme="1"/>
      </bottom>
      <diagonal/>
    </border>
    <border>
      <left style="thin">
        <color theme="1"/>
      </left>
      <right style="thin">
        <color theme="1"/>
      </right>
      <top style="thin">
        <color theme="1"/>
      </top>
      <bottom style="thin">
        <color theme="1"/>
      </bottom>
      <diagonal/>
    </border>
    <border>
      <left/>
      <right style="medium">
        <color indexed="64"/>
      </right>
      <top/>
      <bottom style="medium">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style="thin">
        <color indexed="64"/>
      </top>
      <bottom style="medium">
        <color indexed="64"/>
      </bottom>
      <diagonal/>
    </border>
    <border>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style="thin">
        <color theme="1"/>
      </left>
      <right style="thin">
        <color theme="1"/>
      </right>
      <top/>
      <bottom/>
      <diagonal/>
    </border>
    <border>
      <left/>
      <right style="thin">
        <color theme="1"/>
      </right>
      <top style="thin">
        <color theme="1"/>
      </top>
      <bottom style="medium">
        <color theme="1"/>
      </bottom>
      <diagonal/>
    </border>
    <border>
      <left/>
      <right style="thin">
        <color theme="1"/>
      </right>
      <top style="thin">
        <color theme="1"/>
      </top>
      <bottom style="thin">
        <color theme="1"/>
      </bottom>
      <diagonal/>
    </border>
    <border>
      <left style="thin">
        <color theme="1"/>
      </left>
      <right/>
      <top/>
      <bottom/>
      <diagonal/>
    </border>
    <border>
      <left/>
      <right style="thin">
        <color indexed="64"/>
      </right>
      <top style="medium">
        <color indexed="64"/>
      </top>
      <bottom/>
      <diagonal/>
    </border>
  </borders>
  <cellStyleXfs count="8">
    <xf numFmtId="0" fontId="0" fillId="0" borderId="0"/>
    <xf numFmtId="0" fontId="4" fillId="0" borderId="0"/>
    <xf numFmtId="0" fontId="8" fillId="0" borderId="0"/>
    <xf numFmtId="0" fontId="4" fillId="0" borderId="0"/>
    <xf numFmtId="0" fontId="8" fillId="0" borderId="0"/>
    <xf numFmtId="0" fontId="4" fillId="0" borderId="0"/>
    <xf numFmtId="0" fontId="8" fillId="0" borderId="0"/>
    <xf numFmtId="9" fontId="11" fillId="0" borderId="0" applyFont="0" applyFill="0" applyBorder="0" applyAlignment="0" applyProtection="0"/>
  </cellStyleXfs>
  <cellXfs count="235">
    <xf numFmtId="0" fontId="0" fillId="0" borderId="0" xfId="0"/>
    <xf numFmtId="0" fontId="0" fillId="0" borderId="0" xfId="0"/>
    <xf numFmtId="0" fontId="1" fillId="0" borderId="0" xfId="0" applyFont="1"/>
    <xf numFmtId="0" fontId="0" fillId="0" borderId="0" xfId="0" applyAlignment="1">
      <alignment horizontal="center"/>
    </xf>
    <xf numFmtId="0" fontId="0" fillId="0" borderId="1" xfId="0" applyBorder="1" applyAlignment="1">
      <alignment horizontal="center"/>
    </xf>
    <xf numFmtId="1" fontId="0" fillId="0" borderId="0" xfId="0" applyNumberFormat="1" applyAlignment="1">
      <alignment horizontal="center"/>
    </xf>
    <xf numFmtId="0" fontId="0" fillId="0" borderId="2" xfId="0" applyBorder="1" applyAlignment="1">
      <alignment horizontal="center"/>
    </xf>
    <xf numFmtId="0" fontId="0" fillId="0" borderId="0" xfId="0" applyBorder="1" applyAlignment="1">
      <alignment horizontal="center"/>
    </xf>
    <xf numFmtId="164" fontId="0" fillId="0" borderId="0" xfId="0" applyNumberFormat="1" applyAlignment="1">
      <alignment horizontal="center"/>
    </xf>
    <xf numFmtId="2" fontId="0" fillId="5" borderId="0" xfId="0" applyNumberFormat="1" applyFill="1" applyAlignment="1">
      <alignment horizontal="center"/>
    </xf>
    <xf numFmtId="164" fontId="0" fillId="5" borderId="0" xfId="0" applyNumberFormat="1" applyFill="1" applyAlignment="1">
      <alignment horizontal="center"/>
    </xf>
    <xf numFmtId="164" fontId="0" fillId="0" borderId="1" xfId="0" applyNumberFormat="1" applyBorder="1" applyAlignment="1">
      <alignment horizontal="center"/>
    </xf>
    <xf numFmtId="0" fontId="2" fillId="0" borderId="0" xfId="0" applyFont="1"/>
    <xf numFmtId="0" fontId="0" fillId="0" borderId="1" xfId="0" applyBorder="1"/>
    <xf numFmtId="0" fontId="2" fillId="0" borderId="1" xfId="0" applyFont="1" applyBorder="1"/>
    <xf numFmtId="0" fontId="0" fillId="0" borderId="0" xfId="0" applyFont="1" applyAlignment="1">
      <alignment horizontal="center"/>
    </xf>
    <xf numFmtId="0" fontId="0" fillId="0" borderId="1" xfId="0" applyBorder="1" applyAlignment="1">
      <alignment horizontal="center"/>
    </xf>
    <xf numFmtId="0" fontId="4" fillId="0" borderId="0" xfId="1"/>
    <xf numFmtId="0" fontId="4" fillId="6" borderId="0" xfId="1" applyFill="1"/>
    <xf numFmtId="0" fontId="4" fillId="2" borderId="0" xfId="1" applyFill="1"/>
    <xf numFmtId="0" fontId="4" fillId="7" borderId="0" xfId="1" applyFill="1"/>
    <xf numFmtId="0" fontId="4" fillId="0" borderId="0" xfId="1" applyFill="1" applyBorder="1"/>
    <xf numFmtId="0" fontId="4" fillId="6" borderId="0" xfId="1" applyFill="1" applyBorder="1"/>
    <xf numFmtId="0" fontId="4" fillId="0" borderId="0" xfId="1" applyFont="1"/>
    <xf numFmtId="0" fontId="4" fillId="6" borderId="0" xfId="1" applyNumberFormat="1" applyFill="1" applyBorder="1"/>
    <xf numFmtId="0" fontId="4" fillId="7" borderId="0" xfId="1" applyNumberFormat="1" applyFill="1"/>
    <xf numFmtId="0" fontId="4" fillId="0" borderId="0" xfId="1" applyFill="1"/>
    <xf numFmtId="0" fontId="4" fillId="6" borderId="0" xfId="1" applyNumberFormat="1" applyFill="1"/>
    <xf numFmtId="0" fontId="4" fillId="0" borderId="0" xfId="1" applyFont="1" applyFill="1" applyBorder="1"/>
    <xf numFmtId="0" fontId="4" fillId="6" borderId="0" xfId="1" applyNumberFormat="1" applyFont="1" applyFill="1" applyBorder="1"/>
    <xf numFmtId="14" fontId="4" fillId="0" borderId="0" xfId="1" applyNumberFormat="1" applyFont="1"/>
    <xf numFmtId="14" fontId="4" fillId="0" borderId="0" xfId="1" applyNumberFormat="1"/>
    <xf numFmtId="0" fontId="0" fillId="0" borderId="1" xfId="0" applyBorder="1" applyAlignment="1">
      <alignment horizontal="center"/>
    </xf>
    <xf numFmtId="0" fontId="0" fillId="0" borderId="0" xfId="0" applyBorder="1"/>
    <xf numFmtId="0" fontId="0" fillId="9" borderId="1" xfId="0" applyFill="1" applyBorder="1" applyAlignment="1">
      <alignment horizontal="center"/>
    </xf>
    <xf numFmtId="0" fontId="0" fillId="9" borderId="12" xfId="0" applyFill="1" applyBorder="1" applyAlignment="1">
      <alignment horizontal="center"/>
    </xf>
    <xf numFmtId="0" fontId="0" fillId="11" borderId="12" xfId="0" applyFill="1" applyBorder="1" applyAlignment="1">
      <alignment horizontal="center"/>
    </xf>
    <xf numFmtId="0" fontId="5" fillId="0" borderId="7" xfId="0" applyFont="1" applyBorder="1" applyAlignment="1">
      <alignment vertical="center"/>
    </xf>
    <xf numFmtId="0" fontId="5" fillId="0" borderId="6" xfId="0" applyFont="1" applyBorder="1" applyAlignment="1">
      <alignment vertical="center" wrapText="1"/>
    </xf>
    <xf numFmtId="0" fontId="1" fillId="4" borderId="3" xfId="0" applyFont="1" applyFill="1" applyBorder="1" applyAlignment="1">
      <alignment horizontal="center"/>
    </xf>
    <xf numFmtId="0" fontId="3" fillId="0" borderId="15" xfId="0" applyFont="1" applyBorder="1" applyAlignment="1">
      <alignment vertical="center"/>
    </xf>
    <xf numFmtId="0" fontId="0" fillId="0" borderId="0" xfId="0" applyFont="1"/>
    <xf numFmtId="0" fontId="3" fillId="0" borderId="9" xfId="0" applyNumberFormat="1" applyFont="1" applyBorder="1" applyAlignment="1">
      <alignment vertical="center"/>
    </xf>
    <xf numFmtId="0" fontId="3" fillId="0" borderId="1" xfId="0" applyNumberFormat="1" applyFont="1" applyBorder="1" applyAlignment="1">
      <alignment vertical="center"/>
    </xf>
    <xf numFmtId="0" fontId="0" fillId="0" borderId="0" xfId="0" applyNumberFormat="1"/>
    <xf numFmtId="0" fontId="0" fillId="7" borderId="8" xfId="0" applyFill="1" applyBorder="1" applyAlignment="1">
      <alignment horizontal="center"/>
    </xf>
    <xf numFmtId="0" fontId="0" fillId="7" borderId="9" xfId="0" applyFill="1" applyBorder="1" applyAlignment="1">
      <alignment horizontal="center"/>
    </xf>
    <xf numFmtId="0" fontId="0" fillId="7" borderId="23" xfId="0" applyFill="1" applyBorder="1"/>
    <xf numFmtId="0" fontId="0" fillId="0" borderId="0" xfId="0" applyAlignment="1">
      <alignment vertical="center"/>
    </xf>
    <xf numFmtId="164" fontId="7" fillId="12" borderId="7" xfId="0" applyNumberFormat="1" applyFont="1" applyFill="1" applyBorder="1" applyAlignment="1">
      <alignment horizontal="left" vertical="center"/>
    </xf>
    <xf numFmtId="164" fontId="7" fillId="12" borderId="6" xfId="0" applyNumberFormat="1" applyFont="1" applyFill="1" applyBorder="1" applyAlignment="1">
      <alignment horizontal="left" vertical="center"/>
    </xf>
    <xf numFmtId="0" fontId="1" fillId="0" borderId="0" xfId="0" applyFont="1" applyAlignment="1">
      <alignment horizontal="center"/>
    </xf>
    <xf numFmtId="0" fontId="3" fillId="14" borderId="26" xfId="0" applyFont="1" applyFill="1" applyBorder="1" applyAlignment="1">
      <alignment vertical="center"/>
    </xf>
    <xf numFmtId="164" fontId="0" fillId="3" borderId="1" xfId="0" applyNumberFormat="1" applyFill="1" applyBorder="1" applyAlignment="1">
      <alignment horizontal="center"/>
    </xf>
    <xf numFmtId="164" fontId="0" fillId="4" borderId="1" xfId="0" applyNumberFormat="1" applyFill="1" applyBorder="1" applyAlignment="1">
      <alignment horizontal="center"/>
    </xf>
    <xf numFmtId="0" fontId="5" fillId="0" borderId="6" xfId="0" applyFont="1" applyBorder="1" applyAlignment="1">
      <alignment vertical="center"/>
    </xf>
    <xf numFmtId="0" fontId="5" fillId="0" borderId="6" xfId="0" applyFont="1" applyBorder="1" applyAlignment="1">
      <alignment horizontal="center" vertical="center"/>
    </xf>
    <xf numFmtId="0" fontId="0" fillId="0" borderId="6" xfId="0" applyBorder="1"/>
    <xf numFmtId="49" fontId="0" fillId="0" borderId="0" xfId="0" applyNumberFormat="1" applyFill="1" applyBorder="1" applyAlignment="1">
      <alignment horizontal="center"/>
    </xf>
    <xf numFmtId="164" fontId="0" fillId="0" borderId="0" xfId="0" applyNumberFormat="1" applyFill="1" applyBorder="1" applyAlignment="1">
      <alignment horizontal="center"/>
    </xf>
    <xf numFmtId="0" fontId="0" fillId="0" borderId="0" xfId="0" applyFill="1"/>
    <xf numFmtId="164" fontId="0" fillId="7" borderId="10" xfId="0" applyNumberFormat="1" applyFill="1" applyBorder="1" applyAlignment="1">
      <alignment horizontal="center"/>
    </xf>
    <xf numFmtId="164" fontId="0" fillId="7" borderId="18" xfId="0" applyNumberFormat="1" applyFill="1" applyBorder="1" applyAlignment="1">
      <alignment horizontal="center"/>
    </xf>
    <xf numFmtId="2" fontId="4" fillId="0" borderId="0" xfId="1" applyNumberFormat="1" applyFill="1"/>
    <xf numFmtId="0" fontId="3" fillId="8" borderId="2" xfId="0" applyNumberFormat="1" applyFont="1" applyFill="1" applyBorder="1" applyAlignment="1">
      <alignment horizontal="center" vertical="center" wrapText="1"/>
    </xf>
    <xf numFmtId="0" fontId="3" fillId="0" borderId="3" xfId="0" applyFont="1" applyBorder="1" applyAlignment="1">
      <alignment vertical="center"/>
    </xf>
    <xf numFmtId="0" fontId="1" fillId="0" borderId="0" xfId="0" applyFont="1" applyBorder="1" applyAlignment="1">
      <alignment horizontal="center" vertical="center"/>
    </xf>
    <xf numFmtId="0" fontId="2" fillId="0" borderId="0" xfId="0" applyFont="1" applyBorder="1"/>
    <xf numFmtId="0" fontId="6" fillId="0" borderId="0" xfId="0" applyFont="1" applyAlignment="1">
      <alignment horizontal="center"/>
    </xf>
    <xf numFmtId="0" fontId="6" fillId="0" borderId="0" xfId="0" applyFont="1"/>
    <xf numFmtId="0" fontId="6" fillId="0" borderId="0" xfId="0" applyFont="1" applyBorder="1" applyAlignment="1">
      <alignment horizontal="center"/>
    </xf>
    <xf numFmtId="0" fontId="1" fillId="3" borderId="1" xfId="0" applyFont="1" applyFill="1" applyBorder="1" applyAlignment="1">
      <alignment horizontal="center"/>
    </xf>
    <xf numFmtId="0" fontId="1" fillId="10" borderId="0" xfId="0" applyFont="1" applyFill="1" applyBorder="1" applyAlignment="1">
      <alignment vertical="center"/>
    </xf>
    <xf numFmtId="0" fontId="2" fillId="0" borderId="1" xfId="0" applyFont="1" applyBorder="1" applyAlignment="1">
      <alignment horizontal="right"/>
    </xf>
    <xf numFmtId="0" fontId="3" fillId="0" borderId="4" xfId="0" applyFont="1" applyBorder="1" applyAlignment="1">
      <alignment vertical="center"/>
    </xf>
    <xf numFmtId="0" fontId="3" fillId="14" borderId="3" xfId="0" applyFont="1" applyFill="1" applyBorder="1" applyAlignment="1">
      <alignment vertical="center"/>
    </xf>
    <xf numFmtId="2" fontId="3" fillId="8" borderId="2" xfId="0" applyNumberFormat="1" applyFont="1" applyFill="1" applyBorder="1" applyAlignment="1">
      <alignment horizontal="center" vertical="center" wrapText="1"/>
    </xf>
    <xf numFmtId="0" fontId="8" fillId="0" borderId="0" xfId="0" applyFont="1"/>
    <xf numFmtId="0" fontId="8" fillId="0" borderId="0" xfId="0" applyFont="1" applyAlignment="1">
      <alignment horizontal="center"/>
    </xf>
    <xf numFmtId="0" fontId="8" fillId="0" borderId="0" xfId="0" applyFont="1" applyFill="1"/>
    <xf numFmtId="0" fontId="13" fillId="0" borderId="1" xfId="0" applyFont="1" applyFill="1" applyBorder="1"/>
    <xf numFmtId="0" fontId="12" fillId="0" borderId="1" xfId="0" applyFont="1" applyFill="1" applyBorder="1" applyAlignment="1">
      <alignment horizontal="center"/>
    </xf>
    <xf numFmtId="0" fontId="8" fillId="15" borderId="1" xfId="0" applyFont="1" applyFill="1" applyBorder="1"/>
    <xf numFmtId="0" fontId="8" fillId="0" borderId="1" xfId="0" applyFont="1" applyFill="1" applyBorder="1" applyAlignment="1">
      <alignment horizontal="center"/>
    </xf>
    <xf numFmtId="2" fontId="13" fillId="0" borderId="1" xfId="0" applyNumberFormat="1" applyFont="1" applyFill="1" applyBorder="1" applyAlignment="1">
      <alignment horizontal="left"/>
    </xf>
    <xf numFmtId="0" fontId="14" fillId="0" borderId="1" xfId="0" applyFont="1" applyFill="1" applyBorder="1"/>
    <xf numFmtId="2" fontId="8" fillId="0" borderId="1" xfId="0" applyNumberFormat="1" applyFont="1" applyFill="1" applyBorder="1"/>
    <xf numFmtId="0" fontId="8" fillId="0" borderId="1" xfId="0" applyFont="1" applyFill="1" applyBorder="1"/>
    <xf numFmtId="0" fontId="12" fillId="0" borderId="1" xfId="0" applyFont="1" applyFill="1" applyBorder="1" applyAlignment="1">
      <alignment horizontal="center" vertical="center" wrapText="1"/>
    </xf>
    <xf numFmtId="0" fontId="12" fillId="0" borderId="1" xfId="0" applyFont="1" applyFill="1" applyBorder="1" applyAlignment="1">
      <alignment vertical="center" wrapText="1"/>
    </xf>
    <xf numFmtId="0" fontId="8" fillId="0" borderId="1" xfId="0" applyFont="1" applyBorder="1" applyAlignment="1">
      <alignment horizontal="center" vertical="center"/>
    </xf>
    <xf numFmtId="0" fontId="13" fillId="15" borderId="1" xfId="0" applyFont="1" applyFill="1" applyBorder="1"/>
    <xf numFmtId="0" fontId="8" fillId="15" borderId="32" xfId="0" applyFont="1" applyFill="1" applyBorder="1"/>
    <xf numFmtId="0" fontId="8" fillId="9" borderId="32" xfId="0" applyFont="1" applyFill="1" applyBorder="1"/>
    <xf numFmtId="0" fontId="13" fillId="17" borderId="1" xfId="0" applyFont="1" applyFill="1" applyBorder="1"/>
    <xf numFmtId="0" fontId="12" fillId="0" borderId="1" xfId="0" applyFont="1" applyBorder="1" applyAlignment="1">
      <alignment horizontal="center" vertical="center" wrapText="1"/>
    </xf>
    <xf numFmtId="0" fontId="12" fillId="0" borderId="30" xfId="0" applyFont="1" applyBorder="1" applyAlignment="1">
      <alignment horizontal="center" vertical="center" wrapText="1"/>
    </xf>
    <xf numFmtId="0" fontId="12" fillId="0" borderId="31" xfId="0" applyFont="1" applyBorder="1" applyAlignment="1">
      <alignment horizontal="center" vertical="center" wrapText="1"/>
    </xf>
    <xf numFmtId="0" fontId="13" fillId="16" borderId="1" xfId="0" applyFont="1" applyFill="1" applyBorder="1" applyAlignment="1">
      <alignment horizontal="center"/>
    </xf>
    <xf numFmtId="0" fontId="8" fillId="0" borderId="1" xfId="0" applyNumberFormat="1" applyFont="1" applyFill="1" applyBorder="1" applyAlignment="1">
      <alignment horizontal="center"/>
    </xf>
    <xf numFmtId="0" fontId="13" fillId="0" borderId="1" xfId="0" applyNumberFormat="1" applyFont="1" applyFill="1" applyBorder="1" applyAlignment="1">
      <alignment horizontal="center"/>
    </xf>
    <xf numFmtId="2" fontId="3" fillId="8" borderId="21" xfId="0" applyNumberFormat="1" applyFont="1" applyFill="1" applyBorder="1" applyAlignment="1">
      <alignment horizontal="center" vertical="center" wrapText="1"/>
    </xf>
    <xf numFmtId="0" fontId="3" fillId="0" borderId="25" xfId="0" applyFont="1" applyBorder="1" applyAlignment="1">
      <alignment vertical="center"/>
    </xf>
    <xf numFmtId="0" fontId="3" fillId="14" borderId="13" xfId="0" applyFont="1" applyFill="1" applyBorder="1" applyAlignment="1">
      <alignment vertical="center"/>
    </xf>
    <xf numFmtId="0" fontId="3" fillId="14" borderId="15" xfId="0" applyFont="1" applyFill="1" applyBorder="1" applyAlignment="1">
      <alignment vertical="center"/>
    </xf>
    <xf numFmtId="0" fontId="3" fillId="14" borderId="4" xfId="0" applyFont="1" applyFill="1" applyBorder="1" applyAlignment="1">
      <alignment vertical="center"/>
    </xf>
    <xf numFmtId="0" fontId="3" fillId="0" borderId="1" xfId="0" applyNumberFormat="1" applyFont="1" applyBorder="1" applyAlignment="1">
      <alignment horizontal="center" vertical="center"/>
    </xf>
    <xf numFmtId="0" fontId="3" fillId="14" borderId="9" xfId="0" applyNumberFormat="1" applyFont="1" applyFill="1" applyBorder="1" applyAlignment="1">
      <alignment horizontal="center" vertical="center"/>
    </xf>
    <xf numFmtId="0" fontId="3" fillId="14" borderId="1" xfId="0" applyNumberFormat="1" applyFont="1" applyFill="1" applyBorder="1" applyAlignment="1">
      <alignment horizontal="center" vertical="center"/>
    </xf>
    <xf numFmtId="0" fontId="3" fillId="8" borderId="0" xfId="0" applyFont="1" applyFill="1" applyBorder="1" applyAlignment="1">
      <alignment horizontal="center" vertical="center"/>
    </xf>
    <xf numFmtId="0" fontId="3" fillId="0" borderId="0" xfId="0" applyFont="1"/>
    <xf numFmtId="0" fontId="3" fillId="0" borderId="0" xfId="0" applyFont="1" applyFill="1" applyBorder="1" applyAlignment="1">
      <alignment vertical="center"/>
    </xf>
    <xf numFmtId="0" fontId="3" fillId="0" borderId="0" xfId="0" applyFont="1" applyAlignment="1">
      <alignment vertical="center"/>
    </xf>
    <xf numFmtId="0" fontId="3" fillId="14" borderId="23" xfId="0" applyFont="1" applyFill="1" applyBorder="1" applyAlignment="1">
      <alignment vertical="center"/>
    </xf>
    <xf numFmtId="0" fontId="3" fillId="14" borderId="0" xfId="0" applyFont="1" applyFill="1" applyBorder="1" applyAlignment="1">
      <alignment vertical="center"/>
    </xf>
    <xf numFmtId="0" fontId="3" fillId="0" borderId="3" xfId="0" applyNumberFormat="1" applyFont="1" applyBorder="1" applyAlignment="1">
      <alignment horizontal="center" vertical="center"/>
    </xf>
    <xf numFmtId="0" fontId="3" fillId="0" borderId="4" xfId="0" applyNumberFormat="1" applyFont="1" applyBorder="1" applyAlignment="1">
      <alignment horizontal="center" vertical="center"/>
    </xf>
    <xf numFmtId="0" fontId="3" fillId="14" borderId="26" xfId="0" applyNumberFormat="1" applyFont="1" applyFill="1" applyBorder="1" applyAlignment="1">
      <alignment horizontal="center" vertical="center"/>
    </xf>
    <xf numFmtId="0" fontId="3" fillId="14" borderId="3" xfId="0" applyNumberFormat="1" applyFont="1" applyFill="1" applyBorder="1" applyAlignment="1">
      <alignment horizontal="center" vertical="center"/>
    </xf>
    <xf numFmtId="0" fontId="0" fillId="0" borderId="0" xfId="0" pivotButton="1"/>
    <xf numFmtId="2" fontId="8" fillId="16" borderId="1" xfId="0" applyNumberFormat="1" applyFont="1" applyFill="1" applyBorder="1" applyAlignment="1">
      <alignment horizontal="center"/>
    </xf>
    <xf numFmtId="2" fontId="8" fillId="15" borderId="1" xfId="0" applyNumberFormat="1" applyFont="1" applyFill="1" applyBorder="1" applyAlignment="1">
      <alignment horizontal="center"/>
    </xf>
    <xf numFmtId="2" fontId="8" fillId="15" borderId="32" xfId="0" applyNumberFormat="1" applyFont="1" applyFill="1" applyBorder="1" applyAlignment="1">
      <alignment horizontal="center"/>
    </xf>
    <xf numFmtId="2" fontId="8" fillId="15" borderId="32" xfId="7" applyNumberFormat="1" applyFont="1" applyFill="1" applyBorder="1" applyAlignment="1">
      <alignment horizontal="center"/>
    </xf>
    <xf numFmtId="2" fontId="8" fillId="17" borderId="1" xfId="0" applyNumberFormat="1" applyFont="1" applyFill="1" applyBorder="1" applyAlignment="1">
      <alignment horizontal="center"/>
    </xf>
    <xf numFmtId="1" fontId="8" fillId="15" borderId="32" xfId="0" applyNumberFormat="1" applyFont="1" applyFill="1" applyBorder="1" applyAlignment="1">
      <alignment horizontal="center"/>
    </xf>
    <xf numFmtId="1" fontId="8" fillId="9" borderId="32" xfId="0" applyNumberFormat="1" applyFont="1" applyFill="1" applyBorder="1" applyAlignment="1">
      <alignment horizontal="center"/>
    </xf>
    <xf numFmtId="0" fontId="15" fillId="0" borderId="1" xfId="0" applyFont="1" applyBorder="1" applyAlignment="1">
      <alignment horizontal="center" vertical="center" wrapText="1"/>
    </xf>
    <xf numFmtId="0" fontId="13" fillId="0" borderId="1" xfId="0" applyFont="1" applyFill="1" applyBorder="1" applyAlignment="1">
      <alignment horizontal="left"/>
    </xf>
    <xf numFmtId="0" fontId="8" fillId="16" borderId="1" xfId="0" applyNumberFormat="1" applyFont="1" applyFill="1" applyBorder="1" applyAlignment="1">
      <alignment horizontal="center"/>
    </xf>
    <xf numFmtId="0" fontId="8" fillId="16" borderId="32" xfId="0" applyNumberFormat="1" applyFont="1" applyFill="1" applyBorder="1" applyAlignment="1">
      <alignment horizontal="center"/>
    </xf>
    <xf numFmtId="0" fontId="8" fillId="16" borderId="32" xfId="7" applyNumberFormat="1" applyFont="1" applyFill="1" applyBorder="1" applyAlignment="1">
      <alignment horizontal="center"/>
    </xf>
    <xf numFmtId="0" fontId="8" fillId="9" borderId="32" xfId="7" applyNumberFormat="1" applyFont="1" applyFill="1" applyBorder="1" applyAlignment="1">
      <alignment horizontal="center"/>
    </xf>
    <xf numFmtId="0" fontId="8" fillId="17" borderId="1" xfId="0" applyNumberFormat="1" applyFont="1" applyFill="1" applyBorder="1" applyAlignment="1">
      <alignment horizontal="center"/>
    </xf>
    <xf numFmtId="0" fontId="8" fillId="15" borderId="1" xfId="0" applyNumberFormat="1" applyFont="1" applyFill="1" applyBorder="1" applyAlignment="1">
      <alignment horizontal="center"/>
    </xf>
    <xf numFmtId="0" fontId="8" fillId="15" borderId="32" xfId="0" applyNumberFormat="1" applyFont="1" applyFill="1" applyBorder="1" applyAlignment="1">
      <alignment horizontal="center"/>
    </xf>
    <xf numFmtId="0" fontId="8" fillId="15" borderId="32" xfId="7" applyNumberFormat="1" applyFont="1" applyFill="1" applyBorder="1" applyAlignment="1">
      <alignment horizontal="center"/>
    </xf>
    <xf numFmtId="0" fontId="8" fillId="15" borderId="32" xfId="0" applyNumberFormat="1" applyFont="1" applyFill="1" applyBorder="1"/>
    <xf numFmtId="0" fontId="8" fillId="17" borderId="32" xfId="0" applyNumberFormat="1" applyFont="1" applyFill="1" applyBorder="1" applyAlignment="1">
      <alignment horizontal="center"/>
    </xf>
    <xf numFmtId="0" fontId="8" fillId="17" borderId="32" xfId="7" applyNumberFormat="1" applyFont="1" applyFill="1" applyBorder="1" applyAlignment="1">
      <alignment horizontal="center"/>
    </xf>
    <xf numFmtId="0" fontId="8" fillId="9" borderId="32" xfId="0" applyNumberFormat="1" applyFont="1" applyFill="1" applyBorder="1" applyAlignment="1">
      <alignment horizontal="center"/>
    </xf>
    <xf numFmtId="0" fontId="8" fillId="9" borderId="32" xfId="0" applyNumberFormat="1" applyFont="1" applyFill="1" applyBorder="1"/>
    <xf numFmtId="164" fontId="0" fillId="7" borderId="1" xfId="0" applyNumberFormat="1" applyFill="1" applyBorder="1" applyAlignment="1">
      <alignment horizontal="center"/>
    </xf>
    <xf numFmtId="0" fontId="0" fillId="7" borderId="11" xfId="0" applyFill="1" applyBorder="1" applyAlignment="1">
      <alignment horizontal="center"/>
    </xf>
    <xf numFmtId="0" fontId="16" fillId="18" borderId="31" xfId="0" applyFont="1" applyFill="1" applyBorder="1" applyAlignment="1">
      <alignment horizontal="center" vertical="center" wrapText="1"/>
    </xf>
    <xf numFmtId="13" fontId="16" fillId="18" borderId="31" xfId="0" applyNumberFormat="1" applyFont="1" applyFill="1" applyBorder="1" applyAlignment="1">
      <alignment horizontal="center" vertical="center" wrapText="1"/>
    </xf>
    <xf numFmtId="0" fontId="0" fillId="0" borderId="0" xfId="0" applyAlignment="1">
      <alignment horizontal="left"/>
    </xf>
    <xf numFmtId="0" fontId="0" fillId="18" borderId="0" xfId="0" applyFill="1" applyAlignment="1">
      <alignment horizontal="center" vertical="center" wrapText="1"/>
    </xf>
    <xf numFmtId="0" fontId="0" fillId="0" borderId="0" xfId="0" applyNumberFormat="1" applyAlignment="1">
      <alignment wrapText="1"/>
    </xf>
    <xf numFmtId="164" fontId="0" fillId="7" borderId="0" xfId="0" applyNumberFormat="1" applyFill="1" applyBorder="1" applyAlignment="1">
      <alignment horizontal="center"/>
    </xf>
    <xf numFmtId="164" fontId="0" fillId="7" borderId="15" xfId="0" applyNumberFormat="1" applyFill="1" applyBorder="1" applyAlignment="1">
      <alignment horizontal="center"/>
    </xf>
    <xf numFmtId="0" fontId="0" fillId="7" borderId="1" xfId="0" applyFill="1" applyBorder="1" applyAlignment="1">
      <alignment horizontal="center"/>
    </xf>
    <xf numFmtId="0" fontId="0" fillId="7" borderId="22" xfId="0" applyFill="1" applyBorder="1" applyAlignment="1">
      <alignment horizontal="center"/>
    </xf>
    <xf numFmtId="0" fontId="0" fillId="2" borderId="0" xfId="0" applyFill="1"/>
    <xf numFmtId="0" fontId="1" fillId="0" borderId="0" xfId="0" applyFont="1" applyAlignment="1">
      <alignment horizontal="center"/>
    </xf>
    <xf numFmtId="0" fontId="1" fillId="19" borderId="3" xfId="0" applyFont="1" applyFill="1" applyBorder="1" applyAlignment="1">
      <alignment horizontal="center"/>
    </xf>
    <xf numFmtId="164" fontId="0" fillId="19" borderId="1" xfId="0" applyNumberFormat="1" applyFill="1" applyBorder="1" applyAlignment="1">
      <alignment horizontal="center"/>
    </xf>
    <xf numFmtId="0" fontId="17" fillId="2" borderId="0" xfId="0" applyFont="1" applyFill="1"/>
    <xf numFmtId="2" fontId="3" fillId="8" borderId="2" xfId="0" applyNumberFormat="1" applyFont="1" applyFill="1" applyBorder="1" applyAlignment="1">
      <alignment horizontal="center" vertical="center"/>
    </xf>
    <xf numFmtId="0" fontId="3" fillId="14" borderId="26" xfId="0" applyFont="1" applyFill="1" applyBorder="1" applyAlignment="1">
      <alignment horizontal="center" vertical="center"/>
    </xf>
    <xf numFmtId="0" fontId="3" fillId="14" borderId="3" xfId="0" applyFont="1" applyFill="1" applyBorder="1" applyAlignment="1">
      <alignment horizontal="center" vertical="center"/>
    </xf>
    <xf numFmtId="0" fontId="0" fillId="0" borderId="0" xfId="0" applyAlignment="1"/>
    <xf numFmtId="0" fontId="3" fillId="0" borderId="3" xfId="0" applyNumberFormat="1" applyFont="1" applyFill="1" applyBorder="1" applyAlignment="1">
      <alignment vertical="center"/>
    </xf>
    <xf numFmtId="2" fontId="3" fillId="0" borderId="15" xfId="0" applyNumberFormat="1" applyFont="1" applyFill="1" applyBorder="1" applyAlignment="1">
      <alignment vertical="center"/>
    </xf>
    <xf numFmtId="0" fontId="3" fillId="0" borderId="1" xfId="0" applyNumberFormat="1" applyFont="1" applyFill="1" applyBorder="1" applyAlignment="1">
      <alignment horizontal="center" vertical="center"/>
    </xf>
    <xf numFmtId="0" fontId="3" fillId="0" borderId="3" xfId="0" applyNumberFormat="1" applyFont="1" applyFill="1" applyBorder="1" applyAlignment="1">
      <alignment horizontal="center" vertical="center"/>
    </xf>
    <xf numFmtId="2" fontId="3" fillId="0" borderId="3" xfId="0" applyNumberFormat="1" applyFont="1" applyFill="1" applyBorder="1" applyAlignment="1">
      <alignment horizontal="center" vertical="center"/>
    </xf>
    <xf numFmtId="0" fontId="3" fillId="0" borderId="0" xfId="0" applyFont="1" applyFill="1"/>
    <xf numFmtId="0" fontId="3" fillId="0" borderId="21" xfId="0" applyFont="1" applyBorder="1" applyAlignment="1">
      <alignment vertical="center"/>
    </xf>
    <xf numFmtId="0" fontId="3" fillId="0" borderId="22" xfId="0" applyNumberFormat="1" applyFont="1" applyBorder="1" applyAlignment="1">
      <alignment horizontal="center" vertical="center"/>
    </xf>
    <xf numFmtId="0" fontId="3" fillId="14" borderId="34" xfId="0" applyNumberFormat="1" applyFont="1" applyFill="1" applyBorder="1" applyAlignment="1">
      <alignment vertical="center"/>
    </xf>
    <xf numFmtId="0" fontId="3" fillId="14" borderId="29" xfId="0" applyFont="1" applyFill="1" applyBorder="1" applyAlignment="1">
      <alignment vertical="center"/>
    </xf>
    <xf numFmtId="0" fontId="3" fillId="14" borderId="35" xfId="0" applyNumberFormat="1" applyFont="1" applyFill="1" applyBorder="1" applyAlignment="1">
      <alignment vertical="center"/>
    </xf>
    <xf numFmtId="0" fontId="3" fillId="14" borderId="24" xfId="0" applyFont="1" applyFill="1" applyBorder="1" applyAlignment="1">
      <alignment vertical="center"/>
    </xf>
    <xf numFmtId="0" fontId="3" fillId="14" borderId="36" xfId="0" applyNumberFormat="1" applyFont="1" applyFill="1" applyBorder="1" applyAlignment="1">
      <alignment vertical="center"/>
    </xf>
    <xf numFmtId="0" fontId="3" fillId="14" borderId="37" xfId="0" applyFont="1" applyFill="1" applyBorder="1" applyAlignment="1">
      <alignment vertical="center"/>
    </xf>
    <xf numFmtId="0" fontId="3" fillId="14" borderId="11" xfId="0" applyNumberFormat="1" applyFont="1" applyFill="1" applyBorder="1" applyAlignment="1">
      <alignment horizontal="center" vertical="center"/>
    </xf>
    <xf numFmtId="0" fontId="3" fillId="14" borderId="38" xfId="0" applyNumberFormat="1" applyFont="1" applyFill="1" applyBorder="1" applyAlignment="1">
      <alignment horizontal="center" vertical="center"/>
    </xf>
    <xf numFmtId="0" fontId="3" fillId="14" borderId="38" xfId="0" applyFont="1" applyFill="1" applyBorder="1" applyAlignment="1">
      <alignment horizontal="center" vertical="center"/>
    </xf>
    <xf numFmtId="0" fontId="3" fillId="14" borderId="33" xfId="0" applyFont="1" applyFill="1" applyBorder="1" applyAlignment="1">
      <alignment vertical="center"/>
    </xf>
    <xf numFmtId="0" fontId="3" fillId="0" borderId="11" xfId="0" applyNumberFormat="1" applyFont="1" applyBorder="1" applyAlignment="1">
      <alignment vertical="center"/>
    </xf>
    <xf numFmtId="0" fontId="0" fillId="0" borderId="0" xfId="0" applyAlignment="1">
      <alignment wrapText="1"/>
    </xf>
    <xf numFmtId="0" fontId="0" fillId="20" borderId="44" xfId="0" applyFont="1" applyFill="1" applyBorder="1" applyAlignment="1">
      <alignment horizontal="left" vertical="top" wrapText="1"/>
    </xf>
    <xf numFmtId="0" fontId="0" fillId="20" borderId="32" xfId="0" applyFont="1" applyFill="1" applyBorder="1" applyAlignment="1">
      <alignment horizontal="left" vertical="top" wrapText="1"/>
    </xf>
    <xf numFmtId="0" fontId="0" fillId="20" borderId="42" xfId="0" applyFont="1" applyFill="1" applyBorder="1" applyAlignment="1">
      <alignment horizontal="left" vertical="top" wrapText="1"/>
    </xf>
    <xf numFmtId="0" fontId="0" fillId="20" borderId="45" xfId="0" applyFont="1" applyFill="1" applyBorder="1" applyAlignment="1">
      <alignment horizontal="left" vertical="top" wrapText="1"/>
    </xf>
    <xf numFmtId="0" fontId="1" fillId="0" borderId="43" xfId="0" applyFont="1" applyBorder="1" applyAlignment="1">
      <alignment horizontal="center" vertical="center" wrapText="1"/>
    </xf>
    <xf numFmtId="0" fontId="1" fillId="0" borderId="31" xfId="0" applyFont="1" applyBorder="1" applyAlignment="1">
      <alignment horizontal="center" vertical="center" wrapText="1"/>
    </xf>
    <xf numFmtId="0" fontId="1" fillId="0" borderId="42" xfId="0" applyFont="1" applyFill="1" applyBorder="1" applyAlignment="1">
      <alignment horizontal="center" vertical="center" wrapText="1"/>
    </xf>
    <xf numFmtId="0" fontId="1" fillId="0" borderId="45" xfId="0" applyFont="1" applyFill="1" applyBorder="1" applyAlignment="1">
      <alignment horizontal="center" vertical="center" wrapText="1"/>
    </xf>
    <xf numFmtId="0" fontId="3" fillId="9" borderId="8" xfId="0" applyFont="1" applyFill="1" applyBorder="1" applyAlignment="1">
      <alignment horizontal="center"/>
    </xf>
    <xf numFmtId="0" fontId="3" fillId="9" borderId="10" xfId="0" applyFont="1" applyFill="1" applyBorder="1" applyAlignment="1">
      <alignment horizontal="center"/>
    </xf>
    <xf numFmtId="0" fontId="3" fillId="9" borderId="18" xfId="0" applyFont="1" applyFill="1" applyBorder="1" applyAlignment="1">
      <alignment horizontal="center"/>
    </xf>
    <xf numFmtId="0" fontId="3" fillId="14" borderId="46" xfId="0" applyNumberFormat="1" applyFont="1" applyFill="1" applyBorder="1" applyAlignment="1">
      <alignment vertical="center"/>
    </xf>
    <xf numFmtId="0" fontId="3" fillId="14" borderId="25" xfId="0" applyNumberFormat="1" applyFont="1" applyFill="1" applyBorder="1" applyAlignment="1">
      <alignment vertical="center"/>
    </xf>
    <xf numFmtId="0" fontId="3" fillId="14" borderId="1" xfId="0" applyNumberFormat="1" applyFont="1" applyFill="1" applyBorder="1" applyAlignment="1">
      <alignment vertical="center"/>
    </xf>
    <xf numFmtId="0" fontId="18" fillId="9" borderId="12" xfId="0" applyFont="1" applyFill="1" applyBorder="1" applyAlignment="1">
      <alignment horizontal="left"/>
    </xf>
    <xf numFmtId="0" fontId="0" fillId="0" borderId="0" xfId="0" pivotButton="1" applyAlignment="1">
      <alignment horizontal="center"/>
    </xf>
    <xf numFmtId="0" fontId="7" fillId="13" borderId="7" xfId="0" applyFont="1" applyFill="1" applyBorder="1" applyAlignment="1">
      <alignment horizontal="center" vertical="center" wrapText="1"/>
    </xf>
    <xf numFmtId="0" fontId="7" fillId="13" borderId="6" xfId="0" applyFont="1" applyFill="1" applyBorder="1" applyAlignment="1">
      <alignment horizontal="center" vertical="center" wrapText="1"/>
    </xf>
    <xf numFmtId="0" fontId="7" fillId="13" borderId="5" xfId="0" applyFont="1" applyFill="1" applyBorder="1" applyAlignment="1">
      <alignment horizontal="center" vertical="center" wrapText="1"/>
    </xf>
    <xf numFmtId="14" fontId="3" fillId="0" borderId="9" xfId="0" applyNumberFormat="1" applyFont="1" applyBorder="1" applyAlignment="1">
      <alignment horizontal="center" vertical="center"/>
    </xf>
    <xf numFmtId="0" fontId="3" fillId="0" borderId="16" xfId="0" applyFont="1" applyBorder="1" applyAlignment="1">
      <alignment horizontal="center" vertical="center"/>
    </xf>
    <xf numFmtId="14" fontId="3" fillId="0" borderId="1" xfId="0" applyNumberFormat="1" applyFont="1" applyBorder="1" applyAlignment="1">
      <alignment horizontal="center" vertical="center"/>
    </xf>
    <xf numFmtId="0" fontId="3" fillId="0" borderId="17" xfId="0" applyFont="1" applyBorder="1" applyAlignment="1">
      <alignment horizontal="center" vertical="center"/>
    </xf>
    <xf numFmtId="14" fontId="3" fillId="0" borderId="11" xfId="0" applyNumberFormat="1" applyFont="1" applyBorder="1" applyAlignment="1">
      <alignment horizontal="center" vertical="center"/>
    </xf>
    <xf numFmtId="0" fontId="3" fillId="0" borderId="39" xfId="0" applyFont="1" applyBorder="1" applyAlignment="1">
      <alignment horizontal="center" vertical="center"/>
    </xf>
    <xf numFmtId="0" fontId="3" fillId="0" borderId="38" xfId="0" applyFont="1" applyBorder="1" applyAlignment="1">
      <alignment horizontal="left" vertical="center"/>
    </xf>
    <xf numFmtId="0" fontId="3" fillId="0" borderId="40" xfId="0" applyFont="1" applyBorder="1" applyAlignment="1">
      <alignment horizontal="left" vertical="center"/>
    </xf>
    <xf numFmtId="0" fontId="3" fillId="0" borderId="41" xfId="0" applyFont="1" applyBorder="1" applyAlignment="1">
      <alignment horizontal="left" vertical="center"/>
    </xf>
    <xf numFmtId="0" fontId="3" fillId="0" borderId="3" xfId="0" applyFont="1" applyBorder="1" applyAlignment="1">
      <alignment horizontal="left" vertical="center"/>
    </xf>
    <xf numFmtId="0" fontId="3" fillId="0" borderId="14" xfId="0" applyFont="1" applyBorder="1" applyAlignment="1">
      <alignment horizontal="left" vertical="center"/>
    </xf>
    <xf numFmtId="0" fontId="3" fillId="0" borderId="20" xfId="0" applyFont="1" applyBorder="1" applyAlignment="1">
      <alignment horizontal="left" vertical="center"/>
    </xf>
    <xf numFmtId="0" fontId="3" fillId="0" borderId="26" xfId="0" applyFont="1" applyBorder="1" applyAlignment="1">
      <alignment horizontal="left" vertical="center"/>
    </xf>
    <xf numFmtId="0" fontId="3" fillId="0" borderId="27" xfId="0" applyFont="1" applyBorder="1" applyAlignment="1">
      <alignment horizontal="left" vertical="center"/>
    </xf>
    <xf numFmtId="0" fontId="3" fillId="0" borderId="28" xfId="0" applyFont="1" applyBorder="1" applyAlignment="1">
      <alignment horizontal="left" vertical="center"/>
    </xf>
    <xf numFmtId="0" fontId="7" fillId="12" borderId="7" xfId="0" applyFont="1" applyFill="1" applyBorder="1" applyAlignment="1">
      <alignment horizontal="left"/>
    </xf>
    <xf numFmtId="0" fontId="7" fillId="12" borderId="6" xfId="0" applyFont="1" applyFill="1" applyBorder="1" applyAlignment="1">
      <alignment horizontal="left"/>
    </xf>
    <xf numFmtId="164" fontId="7" fillId="12" borderId="7" xfId="0" applyNumberFormat="1" applyFont="1" applyFill="1" applyBorder="1" applyAlignment="1">
      <alignment horizontal="left"/>
    </xf>
    <xf numFmtId="164" fontId="7" fillId="12" borderId="6" xfId="0" applyNumberFormat="1" applyFont="1" applyFill="1" applyBorder="1" applyAlignment="1">
      <alignment horizontal="left"/>
    </xf>
    <xf numFmtId="0" fontId="1" fillId="0" borderId="19" xfId="0" applyFont="1" applyBorder="1" applyAlignment="1">
      <alignment horizontal="center" vertical="center"/>
    </xf>
    <xf numFmtId="0" fontId="1" fillId="0" borderId="21" xfId="0" applyFont="1" applyBorder="1" applyAlignment="1">
      <alignment horizontal="center" vertical="center"/>
    </xf>
    <xf numFmtId="0" fontId="1" fillId="0" borderId="22" xfId="0" applyFont="1" applyBorder="1" applyAlignment="1">
      <alignment horizontal="center" vertical="center" wrapText="1"/>
    </xf>
    <xf numFmtId="0" fontId="1" fillId="0" borderId="2" xfId="0" applyFont="1" applyBorder="1" applyAlignment="1">
      <alignment horizontal="center" vertical="center" wrapText="1"/>
    </xf>
    <xf numFmtId="0" fontId="1" fillId="2" borderId="7" xfId="0" applyFont="1" applyFill="1" applyBorder="1" applyAlignment="1">
      <alignment horizontal="center" vertical="center"/>
    </xf>
    <xf numFmtId="0" fontId="1" fillId="2" borderId="6" xfId="0" applyFont="1" applyFill="1" applyBorder="1" applyAlignment="1">
      <alignment horizontal="center" vertical="center"/>
    </xf>
    <xf numFmtId="0" fontId="1" fillId="0" borderId="1" xfId="0" applyFont="1" applyBorder="1" applyAlignment="1">
      <alignment horizontal="center" vertical="center"/>
    </xf>
    <xf numFmtId="0" fontId="1" fillId="0" borderId="1" xfId="0" applyFont="1" applyBorder="1" applyAlignment="1">
      <alignment horizontal="center" vertical="center" wrapText="1"/>
    </xf>
    <xf numFmtId="0" fontId="1" fillId="0" borderId="19" xfId="0" applyFont="1" applyBorder="1" applyAlignment="1">
      <alignment horizontal="center" vertical="center" wrapText="1"/>
    </xf>
    <xf numFmtId="0" fontId="1" fillId="0" borderId="21" xfId="0" applyFont="1" applyBorder="1" applyAlignment="1">
      <alignment horizontal="center" vertical="center" wrapText="1"/>
    </xf>
    <xf numFmtId="0" fontId="1" fillId="0" borderId="25" xfId="0" applyFont="1" applyBorder="1" applyAlignment="1">
      <alignment horizontal="center" vertical="center" wrapText="1"/>
    </xf>
    <xf numFmtId="164" fontId="7" fillId="12" borderId="7" xfId="0" applyNumberFormat="1" applyFont="1" applyFill="1" applyBorder="1" applyAlignment="1">
      <alignment horizontal="left" vertical="center"/>
    </xf>
    <xf numFmtId="164" fontId="7" fillId="12" borderId="6" xfId="0" applyNumberFormat="1" applyFont="1" applyFill="1" applyBorder="1" applyAlignment="1">
      <alignment horizontal="left" vertical="center"/>
    </xf>
    <xf numFmtId="164" fontId="7" fillId="12" borderId="5" xfId="0" applyNumberFormat="1" applyFont="1" applyFill="1" applyBorder="1" applyAlignment="1">
      <alignment horizontal="left" vertical="center"/>
    </xf>
    <xf numFmtId="0" fontId="16" fillId="18" borderId="0" xfId="0" applyFont="1" applyFill="1" applyBorder="1" applyAlignment="1">
      <alignment horizontal="center" vertical="center" wrapText="1"/>
    </xf>
  </cellXfs>
  <cellStyles count="8">
    <cellStyle name="Normal" xfId="0" builtinId="0"/>
    <cellStyle name="Normal 2" xfId="1" xr:uid="{00000000-0005-0000-0000-000001000000}"/>
    <cellStyle name="Normal 2 2" xfId="5" xr:uid="{00000000-0005-0000-0000-000002000000}"/>
    <cellStyle name="Normal 2 2 2" xfId="3" xr:uid="{00000000-0005-0000-0000-000003000000}"/>
    <cellStyle name="Normal 3" xfId="2" xr:uid="{00000000-0005-0000-0000-000004000000}"/>
    <cellStyle name="Normal 3 2" xfId="4" xr:uid="{00000000-0005-0000-0000-000005000000}"/>
    <cellStyle name="Normal 4" xfId="6" xr:uid="{00000000-0005-0000-0000-000006000000}"/>
    <cellStyle name="Pourcentage" xfId="7" builtinId="5"/>
  </cellStyles>
  <dxfs count="44">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font>
        <b/>
        <i val="0"/>
        <strike val="0"/>
        <condense val="0"/>
        <extend val="0"/>
        <outline val="0"/>
        <shadow val="0"/>
        <u val="none"/>
        <vertAlign val="baseline"/>
        <sz val="11"/>
        <color auto="1"/>
        <name val="Calibri"/>
        <scheme val="minor"/>
      </font>
      <fill>
        <patternFill patternType="solid">
          <fgColor indexed="64"/>
          <bgColor theme="4" tint="0.59999389629810485"/>
        </patternFill>
      </fill>
      <alignment horizontal="center" vertical="center" textRotation="0" wrapText="1" indent="0" justifyLastLine="0" shrinkToFit="0" readingOrder="0"/>
      <border diagonalUp="0" diagonalDown="0" outline="0">
        <left style="thin">
          <color theme="1"/>
        </left>
        <right style="thin">
          <color theme="1"/>
        </right>
        <top/>
        <bottom/>
      </border>
    </dxf>
    <dxf>
      <font>
        <b val="0"/>
        <i val="0"/>
        <strike val="0"/>
        <condense val="0"/>
        <extend val="0"/>
        <outline val="0"/>
        <shadow val="0"/>
        <u val="none"/>
        <vertAlign val="baseline"/>
        <sz val="11"/>
        <color theme="1"/>
        <name val="Calibri"/>
        <scheme val="minor"/>
      </font>
      <fill>
        <patternFill patternType="solid">
          <fgColor theme="0" tint="-0.14999847407452621"/>
          <bgColor theme="0" tint="-0.14999847407452621"/>
        </patternFill>
      </fill>
      <alignment horizontal="left" vertical="top" textRotation="0" wrapText="1" indent="0" justifyLastLine="0" shrinkToFit="0" readingOrder="0"/>
      <border diagonalUp="0" diagonalDown="0" outline="0">
        <left style="thin">
          <color theme="1"/>
        </left>
        <right/>
        <top/>
        <bottom/>
      </border>
    </dxf>
    <dxf>
      <font>
        <b val="0"/>
        <i val="0"/>
        <strike val="0"/>
        <condense val="0"/>
        <extend val="0"/>
        <outline val="0"/>
        <shadow val="0"/>
        <u val="none"/>
        <vertAlign val="baseline"/>
        <sz val="11"/>
        <color theme="1"/>
        <name val="Calibri"/>
        <scheme val="minor"/>
      </font>
      <fill>
        <patternFill patternType="solid">
          <fgColor theme="0" tint="-0.14999847407452621"/>
          <bgColor theme="0" tint="-0.14999847407452621"/>
        </patternFill>
      </fill>
      <alignment horizontal="left" vertical="top" textRotation="0" wrapText="1" indent="0" justifyLastLine="0" shrinkToFit="0" readingOrder="0"/>
      <border diagonalUp="0" diagonalDown="0" outline="0">
        <left style="thin">
          <color theme="1"/>
        </left>
        <right style="thin">
          <color theme="1"/>
        </right>
        <top/>
        <bottom/>
      </border>
    </dxf>
    <dxf>
      <font>
        <b val="0"/>
        <i val="0"/>
        <strike val="0"/>
        <condense val="0"/>
        <extend val="0"/>
        <outline val="0"/>
        <shadow val="0"/>
        <u val="none"/>
        <vertAlign val="baseline"/>
        <sz val="11"/>
        <color theme="1"/>
        <name val="Calibri"/>
        <scheme val="minor"/>
      </font>
      <fill>
        <patternFill patternType="solid">
          <fgColor theme="0" tint="-0.14999847407452621"/>
          <bgColor theme="0" tint="-0.14999847407452621"/>
        </patternFill>
      </fill>
      <alignment horizontal="left" vertical="top" textRotation="0" wrapText="1" indent="0" justifyLastLine="0" shrinkToFit="0" readingOrder="0"/>
      <border diagonalUp="0" diagonalDown="0" outline="0">
        <left style="thin">
          <color theme="1"/>
        </left>
        <right style="thin">
          <color theme="1"/>
        </right>
        <top style="thin">
          <color theme="1"/>
        </top>
        <bottom style="thin">
          <color theme="1"/>
        </bottom>
      </border>
    </dxf>
    <dxf>
      <font>
        <b val="0"/>
        <i val="0"/>
        <strike val="0"/>
        <condense val="0"/>
        <extend val="0"/>
        <outline val="0"/>
        <shadow val="0"/>
        <u val="none"/>
        <vertAlign val="baseline"/>
        <sz val="11"/>
        <color theme="1"/>
        <name val="Calibri"/>
        <scheme val="minor"/>
      </font>
      <fill>
        <patternFill patternType="solid">
          <fgColor theme="0" tint="-0.14999847407452621"/>
          <bgColor theme="0" tint="-0.14999847407452621"/>
        </patternFill>
      </fill>
      <alignment horizontal="left" vertical="top" textRotation="0" wrapText="1" indent="0" justifyLastLine="0" shrinkToFit="0" readingOrder="0"/>
      <border diagonalUp="0" diagonalDown="0" outline="0">
        <left style="thin">
          <color theme="1"/>
        </left>
        <right style="thin">
          <color theme="1"/>
        </right>
        <top style="thin">
          <color theme="1"/>
        </top>
        <bottom style="thin">
          <color theme="1"/>
        </bottom>
      </border>
    </dxf>
    <dxf>
      <font>
        <b val="0"/>
        <i val="0"/>
        <strike val="0"/>
        <condense val="0"/>
        <extend val="0"/>
        <outline val="0"/>
        <shadow val="0"/>
        <u val="none"/>
        <vertAlign val="baseline"/>
        <sz val="11"/>
        <color theme="1"/>
        <name val="Calibri"/>
        <scheme val="minor"/>
      </font>
      <fill>
        <patternFill patternType="solid">
          <fgColor theme="0" tint="-0.14999847407452621"/>
          <bgColor theme="0" tint="-0.14999847407452621"/>
        </patternFill>
      </fill>
      <alignment horizontal="left" vertical="top" textRotation="0" wrapText="1" indent="0" justifyLastLine="0" shrinkToFit="0" readingOrder="0"/>
      <border diagonalUp="0" diagonalDown="0" outline="0">
        <left style="thin">
          <color theme="1"/>
        </left>
        <right style="thin">
          <color theme="1"/>
        </right>
        <top style="thin">
          <color theme="1"/>
        </top>
        <bottom style="thin">
          <color theme="1"/>
        </bottom>
      </border>
    </dxf>
    <dxf>
      <font>
        <b val="0"/>
        <i val="0"/>
        <strike val="0"/>
        <condense val="0"/>
        <extend val="0"/>
        <outline val="0"/>
        <shadow val="0"/>
        <u val="none"/>
        <vertAlign val="baseline"/>
        <sz val="11"/>
        <color theme="1"/>
        <name val="Calibri"/>
        <scheme val="minor"/>
      </font>
      <fill>
        <patternFill patternType="solid">
          <fgColor theme="0" tint="-0.14999847407452621"/>
          <bgColor theme="0" tint="-0.14999847407452621"/>
        </patternFill>
      </fill>
      <alignment horizontal="left" vertical="top" textRotation="0" wrapText="1" indent="0" justifyLastLine="0" shrinkToFit="0" readingOrder="0"/>
      <border diagonalUp="0" diagonalDown="0" outline="0">
        <left style="thin">
          <color theme="1"/>
        </left>
        <right style="thin">
          <color theme="1"/>
        </right>
        <top style="thin">
          <color theme="1"/>
        </top>
        <bottom style="thin">
          <color theme="1"/>
        </bottom>
      </border>
    </dxf>
    <dxf>
      <font>
        <b val="0"/>
        <i val="0"/>
        <strike val="0"/>
        <condense val="0"/>
        <extend val="0"/>
        <outline val="0"/>
        <shadow val="0"/>
        <u val="none"/>
        <vertAlign val="baseline"/>
        <sz val="11"/>
        <color theme="1"/>
        <name val="Calibri"/>
        <scheme val="minor"/>
      </font>
      <fill>
        <patternFill patternType="solid">
          <fgColor theme="0" tint="-0.14999847407452621"/>
          <bgColor theme="0" tint="-0.14999847407452621"/>
        </patternFill>
      </fill>
      <alignment horizontal="left" vertical="top" textRotation="0" wrapText="1" indent="0" justifyLastLine="0" shrinkToFit="0" readingOrder="0"/>
      <border diagonalUp="0" diagonalDown="0" outline="0">
        <left/>
        <right style="thin">
          <color theme="1"/>
        </right>
        <top style="thin">
          <color theme="1"/>
        </top>
        <bottom style="thin">
          <color theme="1"/>
        </bottom>
      </border>
    </dxf>
    <dxf>
      <border outline="0">
        <left style="thin">
          <color theme="1"/>
        </left>
        <right style="thin">
          <color theme="1"/>
        </right>
      </border>
    </dxf>
    <dxf>
      <font>
        <b val="0"/>
        <i val="0"/>
        <strike val="0"/>
        <condense val="0"/>
        <extend val="0"/>
        <outline val="0"/>
        <shadow val="0"/>
        <u val="none"/>
        <vertAlign val="baseline"/>
        <sz val="11"/>
        <color theme="1"/>
        <name val="Calibri"/>
        <scheme val="minor"/>
      </font>
      <fill>
        <patternFill patternType="solid">
          <fgColor theme="0" tint="-0.14999847407452621"/>
          <bgColor theme="0" tint="-0.14999847407452621"/>
        </patternFill>
      </fill>
      <alignment horizontal="left" vertical="top" textRotation="0" wrapText="1" indent="0" justifyLastLine="0" shrinkToFit="0" readingOrder="0"/>
    </dxf>
    <dxf>
      <font>
        <b/>
        <i val="0"/>
        <strike val="0"/>
        <condense val="0"/>
        <extend val="0"/>
        <outline val="0"/>
        <shadow val="0"/>
        <u val="none"/>
        <vertAlign val="baseline"/>
        <sz val="11"/>
        <color theme="1"/>
        <name val="Calibri"/>
        <scheme val="minor"/>
      </font>
      <alignment horizontal="center" vertical="center" textRotation="0" wrapText="1" indent="0" justifyLastLine="0" shrinkToFit="0" readingOrder="0"/>
      <border diagonalUp="0" diagonalDown="0" outline="0">
        <left style="thin">
          <color theme="1"/>
        </left>
        <right style="thin">
          <color theme="1"/>
        </right>
        <top/>
        <bottom/>
      </border>
    </dxf>
    <dxf>
      <numFmt numFmtId="0" formatCode="General"/>
    </dxf>
    <dxf>
      <numFmt numFmtId="0" formatCode="General"/>
    </dxf>
    <dxf>
      <font>
        <color theme="6" tint="-0.499984740745262"/>
      </font>
      <fill>
        <patternFill>
          <bgColor theme="6" tint="0.79998168889431442"/>
        </patternFill>
      </fill>
    </dxf>
    <dxf>
      <font>
        <color rgb="FFFF0000"/>
      </font>
      <fill>
        <patternFill>
          <bgColor theme="5" tint="0.79998168889431442"/>
        </patternFill>
      </fill>
    </dxf>
    <dxf>
      <numFmt numFmtId="0" formatCode="General"/>
    </dxf>
    <dxf>
      <numFmt numFmtId="0" formatCode="General"/>
    </dxf>
    <dxf>
      <font>
        <color theme="6" tint="-0.499984740745262"/>
      </font>
      <fill>
        <patternFill>
          <bgColor theme="6" tint="0.79998168889431442"/>
        </patternFill>
      </fill>
    </dxf>
    <dxf>
      <font>
        <color rgb="FFFF0000"/>
      </font>
      <fill>
        <patternFill>
          <bgColor theme="5" tint="0.79998168889431442"/>
        </patternFill>
      </fill>
    </dxf>
    <dxf>
      <numFmt numFmtId="0" formatCode="General"/>
    </dxf>
    <dxf>
      <numFmt numFmtId="0" formatCode="General"/>
    </dxf>
    <dxf>
      <alignment horizontal="center"/>
    </dxf>
    <dxf>
      <alignment horizontal="center"/>
    </dxf>
    <dxf>
      <font>
        <color theme="6" tint="-0.499984740745262"/>
      </font>
      <fill>
        <patternFill>
          <bgColor theme="6" tint="0.79998168889431442"/>
        </patternFill>
      </fill>
    </dxf>
    <dxf>
      <font>
        <color rgb="FFFF0000"/>
      </font>
      <fill>
        <patternFill>
          <bgColor theme="5" tint="0.79998168889431442"/>
        </patternFill>
      </fill>
    </dxf>
    <dxf>
      <font>
        <strike val="0"/>
        <outline val="0"/>
        <shadow val="0"/>
        <u val="none"/>
        <vertAlign val="baseline"/>
        <sz val="16"/>
        <color theme="1"/>
        <name val="Calibri"/>
        <scheme val="minor"/>
      </font>
      <fill>
        <patternFill patternType="solid">
          <fgColor indexed="64"/>
          <bgColor theme="6" tint="0.59999389629810485"/>
        </patternFill>
      </fill>
      <alignment horizontal="general" vertical="center" textRotation="0" wrapText="0" indent="0" justifyLastLine="0" shrinkToFit="0" readingOrder="0"/>
    </dxf>
    <dxf>
      <font>
        <b val="0"/>
        <i val="0"/>
        <strike val="0"/>
        <condense val="0"/>
        <extend val="0"/>
        <outline val="0"/>
        <shadow val="0"/>
        <u val="none"/>
        <vertAlign val="baseline"/>
        <sz val="16"/>
        <color theme="1"/>
        <name val="Calibri"/>
        <scheme val="minor"/>
      </font>
      <fill>
        <patternFill patternType="solid">
          <fgColor indexed="64"/>
          <bgColor theme="6" tint="0.59999389629810485"/>
        </patternFill>
      </fill>
      <alignment horizontal="center" vertical="center" textRotation="0" wrapText="0" indent="0" justifyLastLine="0" shrinkToFit="0" readingOrder="0"/>
      <border diagonalUp="0" diagonalDown="0" outline="0">
        <left style="thin">
          <color indexed="64"/>
        </left>
        <right/>
        <top style="thin">
          <color indexed="64"/>
        </top>
        <bottom style="thin">
          <color indexed="64"/>
        </bottom>
      </border>
    </dxf>
    <dxf>
      <font>
        <b val="0"/>
        <i val="0"/>
        <strike val="0"/>
        <condense val="0"/>
        <extend val="0"/>
        <outline val="0"/>
        <shadow val="0"/>
        <u val="none"/>
        <vertAlign val="baseline"/>
        <sz val="16"/>
        <color theme="1"/>
        <name val="Calibri"/>
        <scheme val="minor"/>
      </font>
      <numFmt numFmtId="0" formatCode="General"/>
      <fill>
        <patternFill patternType="solid">
          <fgColor indexed="64"/>
          <bgColor theme="6" tint="0.59999389629810485"/>
        </patternFill>
      </fill>
      <alignment horizontal="center" vertical="center" textRotation="0" wrapText="0" indent="0" justifyLastLine="0" shrinkToFit="0" readingOrder="0"/>
      <border diagonalUp="0" diagonalDown="0" outline="0">
        <left style="thin">
          <color indexed="64"/>
        </left>
        <right/>
        <top style="thin">
          <color indexed="64"/>
        </top>
        <bottom style="thin">
          <color indexed="64"/>
        </bottom>
      </border>
    </dxf>
    <dxf>
      <font>
        <b val="0"/>
        <i val="0"/>
        <strike val="0"/>
        <condense val="0"/>
        <extend val="0"/>
        <outline val="0"/>
        <shadow val="0"/>
        <u val="none"/>
        <vertAlign val="baseline"/>
        <sz val="16"/>
        <color theme="1"/>
        <name val="Calibri"/>
        <scheme val="minor"/>
      </font>
      <numFmt numFmtId="0" formatCode="General"/>
      <fill>
        <patternFill patternType="solid">
          <fgColor indexed="64"/>
          <bgColor theme="6" tint="0.59999389629810485"/>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6"/>
        <color theme="1"/>
        <name val="Calibri"/>
        <scheme val="minor"/>
      </font>
      <fill>
        <patternFill patternType="solid">
          <fgColor indexed="64"/>
          <bgColor theme="6" tint="0.59999389629810485"/>
        </patternFill>
      </fill>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6"/>
        <color theme="1"/>
        <name val="Calibri"/>
        <scheme val="minor"/>
      </font>
      <numFmt numFmtId="0" formatCode="General"/>
      <fill>
        <patternFill patternType="solid">
          <fgColor indexed="64"/>
          <bgColor theme="6" tint="0.59999389629810485"/>
        </patternFill>
      </fill>
      <alignment horizontal="general" vertical="center" textRotation="0" wrapText="0" indent="0" justifyLastLine="0" shrinkToFit="0" readingOrder="0"/>
      <border diagonalUp="0" diagonalDown="0">
        <left style="thin">
          <color indexed="64"/>
        </left>
        <right/>
        <top style="thin">
          <color indexed="64"/>
        </top>
        <bottom style="thin">
          <color indexed="64"/>
        </bottom>
        <vertical/>
        <horizontal/>
      </border>
    </dxf>
    <dxf>
      <border outline="0">
        <left style="medium">
          <color indexed="64"/>
        </left>
        <right style="medium">
          <color indexed="64"/>
        </right>
        <top style="medium">
          <color indexed="64"/>
        </top>
        <bottom style="medium">
          <color indexed="64"/>
        </bottom>
      </border>
    </dxf>
    <dxf>
      <font>
        <b val="0"/>
        <i val="0"/>
        <strike val="0"/>
        <condense val="0"/>
        <extend val="0"/>
        <outline val="0"/>
        <shadow val="0"/>
        <u val="none"/>
        <vertAlign val="baseline"/>
        <sz val="16"/>
        <color theme="1"/>
        <name val="Calibri"/>
        <scheme val="minor"/>
      </font>
      <numFmt numFmtId="165" formatCode="#,000"/>
      <fill>
        <patternFill patternType="solid">
          <fgColor indexed="64"/>
          <bgColor theme="6" tint="0.59999389629810485"/>
        </patternFill>
      </fill>
      <alignment horizontal="general" vertical="center" textRotation="0" wrapText="0" indent="0" justifyLastLine="0" shrinkToFit="0" readingOrder="0"/>
    </dxf>
    <dxf>
      <font>
        <b val="0"/>
        <i val="0"/>
        <strike val="0"/>
        <condense val="0"/>
        <extend val="0"/>
        <outline val="0"/>
        <shadow val="0"/>
        <u val="none"/>
        <vertAlign val="baseline"/>
        <sz val="16"/>
        <color theme="1"/>
        <name val="Calibri"/>
        <scheme val="minor"/>
      </font>
      <numFmt numFmtId="2" formatCode="0.00"/>
      <fill>
        <patternFill patternType="solid">
          <fgColor indexed="64"/>
          <bgColor theme="0" tint="-0.14999847407452621"/>
        </patternFill>
      </fill>
      <alignment horizontal="center" vertical="center" textRotation="0" wrapText="1" indent="0" justifyLastLine="0" shrinkToFit="0" readingOrder="0"/>
    </dxf>
  </dxfs>
  <tableStyles count="0" defaultTableStyle="TableStyleMedium2" defaultPivotStyle="PivotStyleMedium9"/>
  <colors>
    <mruColors>
      <color rgb="FF5F5F5F"/>
      <color rgb="FFBA3838"/>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hartsheet" Target="chartsheets/sheet2.xml"/><Relationship Id="rId13" Type="http://schemas.openxmlformats.org/officeDocument/2006/relationships/chartsheet" Target="chartsheets/sheet4.xml"/><Relationship Id="rId18" Type="http://schemas.openxmlformats.org/officeDocument/2006/relationships/worksheet" Target="worksheets/sheet14.xml"/><Relationship Id="rId26"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pivotCacheDefinition" Target="pivotCache/pivotCacheDefinition2.xml"/><Relationship Id="rId7" Type="http://schemas.openxmlformats.org/officeDocument/2006/relationships/worksheet" Target="worksheets/sheet6.xml"/><Relationship Id="rId12" Type="http://schemas.openxmlformats.org/officeDocument/2006/relationships/worksheet" Target="worksheets/sheet9.xml"/><Relationship Id="rId17" Type="http://schemas.openxmlformats.org/officeDocument/2006/relationships/worksheet" Target="worksheets/sheet13.xml"/><Relationship Id="rId25"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worksheet" Target="worksheets/sheet12.xml"/><Relationship Id="rId20" Type="http://schemas.openxmlformats.org/officeDocument/2006/relationships/pivotCacheDefinition" Target="pivotCache/pivotCacheDefinition1.xml"/><Relationship Id="rId29"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5.xml"/><Relationship Id="rId11" Type="http://schemas.openxmlformats.org/officeDocument/2006/relationships/chartsheet" Target="chartsheets/sheet3.xml"/><Relationship Id="rId24" Type="http://schemas.openxmlformats.org/officeDocument/2006/relationships/theme" Target="theme/theme1.xml"/><Relationship Id="rId5" Type="http://schemas.openxmlformats.org/officeDocument/2006/relationships/chartsheet" Target="chartsheets/sheet1.xml"/><Relationship Id="rId15" Type="http://schemas.openxmlformats.org/officeDocument/2006/relationships/worksheet" Target="worksheets/sheet11.xml"/><Relationship Id="rId23" Type="http://schemas.openxmlformats.org/officeDocument/2006/relationships/pivotCacheDefinition" Target="pivotCache/pivotCacheDefinition4.xml"/><Relationship Id="rId28" Type="http://schemas.openxmlformats.org/officeDocument/2006/relationships/customXml" Target="../customXml/item1.xml"/><Relationship Id="rId10" Type="http://schemas.openxmlformats.org/officeDocument/2006/relationships/worksheet" Target="worksheets/sheet8.xml"/><Relationship Id="rId19" Type="http://schemas.openxmlformats.org/officeDocument/2006/relationships/externalLink" Target="externalLinks/externalLink1.xml"/><Relationship Id="rId4" Type="http://schemas.openxmlformats.org/officeDocument/2006/relationships/worksheet" Target="worksheets/sheet4.xml"/><Relationship Id="rId9" Type="http://schemas.openxmlformats.org/officeDocument/2006/relationships/worksheet" Target="worksheets/sheet7.xml"/><Relationship Id="rId14" Type="http://schemas.openxmlformats.org/officeDocument/2006/relationships/worksheet" Target="worksheets/sheet10.xml"/><Relationship Id="rId22" Type="http://schemas.openxmlformats.org/officeDocument/2006/relationships/pivotCacheDefinition" Target="pivotCache/pivotCacheDefinition3.xml"/><Relationship Id="rId27" Type="http://schemas.openxmlformats.org/officeDocument/2006/relationships/calcChain" Target="calcChain.xml"/></Relationships>
</file>

<file path=xl/charts/_rels/chart1.xml.rels><?xml version="1.0" encoding="UTF-8" standalone="yes"?>
<Relationships xmlns="http://schemas.openxmlformats.org/package/2006/relationships"><Relationship Id="rId1" Type="http://schemas.openxmlformats.org/officeDocument/2006/relationships/chartUserShapes" Target="../drawings/drawing2.xml"/></Relationships>
</file>

<file path=xl/charts/_rels/chart2.xml.rels><?xml version="1.0" encoding="UTF-8" standalone="yes"?>
<Relationships xmlns="http://schemas.openxmlformats.org/package/2006/relationships"><Relationship Id="rId1" Type="http://schemas.openxmlformats.org/officeDocument/2006/relationships/chartUserShapes" Target="../drawings/drawing4.xml"/></Relationships>
</file>

<file path=xl/charts/_rels/chart3.xml.rels><?xml version="1.0" encoding="UTF-8" standalone="yes"?>
<Relationships xmlns="http://schemas.openxmlformats.org/package/2006/relationships"><Relationship Id="rId1" Type="http://schemas.openxmlformats.org/officeDocument/2006/relationships/chartUserShapes" Target="../drawings/drawing6.xml"/></Relationships>
</file>

<file path=xl/charts/_rels/chart9.xml.rels><?xml version="1.0" encoding="UTF-8" standalone="yes"?>
<Relationships xmlns="http://schemas.openxmlformats.org/package/2006/relationships"><Relationship Id="rId1" Type="http://schemas.openxmlformats.org/officeDocument/2006/relationships/chartUserShapes" Target="../drawings/drawing10.xml"/></Relationships>
</file>

<file path=xl/charts/_rels/chart10.xml.rels><?xml version="1.0" encoding="UTF-8" standalone="yes"?>
<Relationships xmlns="http://schemas.openxmlformats.org/package/2006/relationships"><Relationship Id="rId1" Type="http://schemas.openxmlformats.org/officeDocument/2006/relationships/chartUserShapes" Target="../drawings/drawing11.xml"/></Relationships>
</file>

<file path=xl/charts/_rels/chart11.xml.rels><?xml version="1.0" encoding="UTF-8" standalone="yes"?>
<Relationships xmlns="http://schemas.openxmlformats.org/package/2006/relationships"><Relationship Id="rId1" Type="http://schemas.openxmlformats.org/officeDocument/2006/relationships/chartUserShapes" Target="../drawings/drawing12.xml"/></Relationships>
</file>

<file path=xl/charts/_rels/chart12.xml.rels><?xml version="1.0" encoding="UTF-8" standalone="yes"?>
<Relationships xmlns="http://schemas.openxmlformats.org/package/2006/relationships"><Relationship Id="rId1" Type="http://schemas.openxmlformats.org/officeDocument/2006/relationships/chartUserShapes" Target="../drawings/drawing13.xml"/></Relationships>
</file>

<file path=xl/charts/_rels/chart13.xml.rels><?xml version="1.0" encoding="UTF-8" standalone="yes"?>
<Relationships xmlns="http://schemas.openxmlformats.org/package/2006/relationships"><Relationship Id="rId1" Type="http://schemas.openxmlformats.org/officeDocument/2006/relationships/chartUserShapes" Target="../drawings/drawing15.xml"/></Relationships>
</file>

<file path=xl/charts/_rels/chart14.xml.rels><?xml version="1.0" encoding="UTF-8" standalone="yes"?>
<Relationships xmlns="http://schemas.openxmlformats.org/package/2006/relationships"><Relationship Id="rId1" Type="http://schemas.openxmlformats.org/officeDocument/2006/relationships/chartUserShapes" Target="../drawings/drawing16.xml"/></Relationships>
</file>

<file path=xl/charts/_rels/chart15.xml.rels><?xml version="1.0" encoding="UTF-8" standalone="yes"?>
<Relationships xmlns="http://schemas.openxmlformats.org/package/2006/relationships"><Relationship Id="rId1" Type="http://schemas.openxmlformats.org/officeDocument/2006/relationships/chartUserShapes" Target="../drawings/drawing17.xml"/></Relationships>
</file>

<file path=xl/charts/_rels/chart16.xml.rels><?xml version="1.0" encoding="UTF-8" standalone="yes"?>
<Relationships xmlns="http://schemas.openxmlformats.org/package/2006/relationships"><Relationship Id="rId1" Type="http://schemas.openxmlformats.org/officeDocument/2006/relationships/chartUserShapes" Target="../drawings/drawing1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8.4661954963560215E-2"/>
          <c:y val="0.14661966108751268"/>
          <c:w val="0.9002738512986157"/>
          <c:h val="0.63968468033016779"/>
        </c:manualLayout>
      </c:layout>
      <c:barChart>
        <c:barDir val="col"/>
        <c:grouping val="clustered"/>
        <c:varyColors val="0"/>
        <c:ser>
          <c:idx val="0"/>
          <c:order val="0"/>
          <c:tx>
            <c:v>R1</c:v>
          </c:tx>
          <c:spPr>
            <a:solidFill>
              <a:srgbClr val="00B050"/>
            </a:solidFill>
          </c:spPr>
          <c:invertIfNegative val="0"/>
          <c:errBars>
            <c:errBarType val="plus"/>
            <c:errValType val="cust"/>
            <c:noEndCap val="0"/>
            <c:plus>
              <c:numRef>
                <c:f>'R1'!$N$48:$V$48</c:f>
                <c:numCache>
                  <c:formatCode>General</c:formatCode>
                  <c:ptCount val="9"/>
                  <c:pt idx="0">
                    <c:v>0</c:v>
                  </c:pt>
                  <c:pt idx="1">
                    <c:v>0.13366220102735191</c:v>
                  </c:pt>
                  <c:pt idx="2">
                    <c:v>0.20001354212138434</c:v>
                  </c:pt>
                  <c:pt idx="3">
                    <c:v>1.4438534133077505E-2</c:v>
                  </c:pt>
                  <c:pt idx="4">
                    <c:v>1.7051284948688825E-2</c:v>
                  </c:pt>
                  <c:pt idx="5">
                    <c:v>2.9151057322640565E-2</c:v>
                  </c:pt>
                  <c:pt idx="6">
                    <c:v>2.607738146726896E-2</c:v>
                  </c:pt>
                  <c:pt idx="7">
                    <c:v>2.3792702080477651E-2</c:v>
                  </c:pt>
                  <c:pt idx="8">
                    <c:v>2.9681436661316354E-2</c:v>
                  </c:pt>
                </c:numCache>
              </c:numRef>
            </c:plus>
            <c:minus>
              <c:numRef>
                <c:f>'R1'!$N$48:$V$48</c:f>
                <c:numCache>
                  <c:formatCode>General</c:formatCode>
                  <c:ptCount val="9"/>
                  <c:pt idx="0">
                    <c:v>0</c:v>
                  </c:pt>
                  <c:pt idx="1">
                    <c:v>0.13366220102735191</c:v>
                  </c:pt>
                  <c:pt idx="2">
                    <c:v>0.20001354212138434</c:v>
                  </c:pt>
                  <c:pt idx="3">
                    <c:v>1.4438534133077505E-2</c:v>
                  </c:pt>
                  <c:pt idx="4">
                    <c:v>1.7051284948688825E-2</c:v>
                  </c:pt>
                  <c:pt idx="5">
                    <c:v>2.9151057322640565E-2</c:v>
                  </c:pt>
                  <c:pt idx="6">
                    <c:v>2.607738146726896E-2</c:v>
                  </c:pt>
                  <c:pt idx="7">
                    <c:v>2.3792702080477651E-2</c:v>
                  </c:pt>
                  <c:pt idx="8">
                    <c:v>2.9681436661316354E-2</c:v>
                  </c:pt>
                </c:numCache>
              </c:numRef>
            </c:minus>
          </c:errBars>
          <c:cat>
            <c:strRef>
              <c:f>'R1'!$B$52:$V$52</c:f>
              <c:strCache>
                <c:ptCount val="21"/>
                <c:pt idx="0">
                  <c:v>Témoin solvant</c:v>
                </c:pt>
                <c:pt idx="1">
                  <c:v>EE2-33,8ng/L</c:v>
                </c:pt>
                <c:pt idx="2">
                  <c:v>EE2-50,6ng/L</c:v>
                </c:pt>
                <c:pt idx="3">
                  <c:v>EE2-76ng/L</c:v>
                </c:pt>
                <c:pt idx="4">
                  <c:v>EE2-114ng/L</c:v>
                </c:pt>
                <c:pt idx="5">
                  <c:v>EE2-170,9ng/L</c:v>
                </c:pt>
                <c:pt idx="6">
                  <c:v>EE2-488ng/L</c:v>
                </c:pt>
                <c:pt idx="7">
                  <c:v>FAD-5.4µg/L</c:v>
                </c:pt>
                <c:pt idx="8">
                  <c:v>FAD-11µg/L</c:v>
                </c:pt>
                <c:pt idx="9">
                  <c:v>FAD-22µg/L</c:v>
                </c:pt>
                <c:pt idx="10">
                  <c:v>FAD-44µg/L</c:v>
                </c:pt>
                <c:pt idx="11">
                  <c:v>FAD-87µg/L</c:v>
                </c:pt>
                <c:pt idx="13">
                  <c:v>Testo -30µg/L</c:v>
                </c:pt>
                <c:pt idx="14">
                  <c:v>Testo 30µg/L + EE2 -64ng/L</c:v>
                </c:pt>
                <c:pt idx="15">
                  <c:v>Testo 30µg/L + FAD-10mg/L</c:v>
                </c:pt>
                <c:pt idx="16">
                  <c:v>FAD-5,4µg/L + Testostérone</c:v>
                </c:pt>
                <c:pt idx="17">
                  <c:v>FAD-11µg/L + Testostérone</c:v>
                </c:pt>
                <c:pt idx="18">
                  <c:v>FAD-22µg/L + Testostérone</c:v>
                </c:pt>
                <c:pt idx="19">
                  <c:v>FAD-44µg/L + Testostérone</c:v>
                </c:pt>
                <c:pt idx="20">
                  <c:v>FAD-87µg/L + Testostérone</c:v>
                </c:pt>
              </c:strCache>
            </c:strRef>
          </c:cat>
          <c:val>
            <c:numRef>
              <c:f>'R1'!$B$53:$V$53</c:f>
              <c:numCache>
                <c:formatCode>0.0000</c:formatCode>
                <c:ptCount val="21"/>
                <c:pt idx="0">
                  <c:v>7.6675848253166937E-2</c:v>
                </c:pt>
                <c:pt idx="1">
                  <c:v>9.8393945143188208E-2</c:v>
                </c:pt>
                <c:pt idx="2">
                  <c:v>0.16751845425361739</c:v>
                </c:pt>
                <c:pt idx="3">
                  <c:v>0.31475276015862169</c:v>
                </c:pt>
                <c:pt idx="4">
                  <c:v>1.1509423352134527</c:v>
                </c:pt>
                <c:pt idx="5">
                  <c:v>1.7963518635179823</c:v>
                </c:pt>
                <c:pt idx="6">
                  <c:v>2.2282526120369388</c:v>
                </c:pt>
                <c:pt idx="7">
                  <c:v>8.8712067161969471E-2</c:v>
                </c:pt>
                <c:pt idx="8">
                  <c:v>9.5875483021568259E-2</c:v>
                </c:pt>
                <c:pt idx="9">
                  <c:v>8.0903750537769645E-2</c:v>
                </c:pt>
                <c:pt idx="10">
                  <c:v>6.6100140843825539E-2</c:v>
                </c:pt>
                <c:pt idx="11">
                  <c:v>9.6545728352927851E-2</c:v>
                </c:pt>
                <c:pt idx="13">
                  <c:v>1.0000000000000002</c:v>
                </c:pt>
                <c:pt idx="14">
                  <c:v>2.1101116787081371</c:v>
                </c:pt>
                <c:pt idx="15">
                  <c:v>7.2391818855594661E-2</c:v>
                </c:pt>
                <c:pt idx="16">
                  <c:v>9.3149504021530341E-2</c:v>
                </c:pt>
                <c:pt idx="17">
                  <c:v>0.16568091739814256</c:v>
                </c:pt>
                <c:pt idx="18">
                  <c:v>0.10528852575195942</c:v>
                </c:pt>
                <c:pt idx="19">
                  <c:v>0.10187099731647306</c:v>
                </c:pt>
                <c:pt idx="20">
                  <c:v>0.11417013864511989</c:v>
                </c:pt>
              </c:numCache>
            </c:numRef>
          </c:val>
          <c:extLst>
            <c:ext xmlns:c16="http://schemas.microsoft.com/office/drawing/2014/chart" uri="{C3380CC4-5D6E-409C-BE32-E72D297353CC}">
              <c16:uniqueId val="{00000000-4E48-433F-93CE-959A7E8575BB}"/>
            </c:ext>
          </c:extLst>
        </c:ser>
        <c:dLbls>
          <c:showLegendKey val="0"/>
          <c:showVal val="0"/>
          <c:showCatName val="0"/>
          <c:showSerName val="0"/>
          <c:showPercent val="0"/>
          <c:showBubbleSize val="0"/>
        </c:dLbls>
        <c:gapWidth val="150"/>
        <c:axId val="324817512"/>
        <c:axId val="324817904"/>
      </c:barChart>
      <c:catAx>
        <c:axId val="324817512"/>
        <c:scaling>
          <c:orientation val="minMax"/>
        </c:scaling>
        <c:delete val="0"/>
        <c:axPos val="b"/>
        <c:numFmt formatCode="General" sourceLinked="1"/>
        <c:majorTickMark val="out"/>
        <c:minorTickMark val="none"/>
        <c:tickLblPos val="nextTo"/>
        <c:txPr>
          <a:bodyPr rot="-2700000" vert="horz"/>
          <a:lstStyle/>
          <a:p>
            <a:pPr>
              <a:defRPr lang="en-GB"/>
            </a:pPr>
            <a:endParaRPr lang="fr-FR"/>
          </a:p>
        </c:txPr>
        <c:crossAx val="324817904"/>
        <c:crosses val="autoZero"/>
        <c:auto val="1"/>
        <c:lblAlgn val="ctr"/>
        <c:lblOffset val="100"/>
        <c:noMultiLvlLbl val="0"/>
      </c:catAx>
      <c:valAx>
        <c:axId val="324817904"/>
        <c:scaling>
          <c:orientation val="minMax"/>
          <c:max val="2.8"/>
        </c:scaling>
        <c:delete val="0"/>
        <c:axPos val="l"/>
        <c:majorGridlines/>
        <c:title>
          <c:tx>
            <c:rich>
              <a:bodyPr rot="-5400000" vert="horz"/>
              <a:lstStyle/>
              <a:p>
                <a:pPr marL="0" marR="0" indent="0" algn="ctr" defTabSz="914400" rtl="0" eaLnBrk="1" fontAlgn="auto" latinLnBrk="0" hangingPunct="1">
                  <a:lnSpc>
                    <a:spcPct val="100000"/>
                  </a:lnSpc>
                  <a:spcBef>
                    <a:spcPts val="0"/>
                  </a:spcBef>
                  <a:spcAft>
                    <a:spcPts val="0"/>
                  </a:spcAft>
                  <a:buClrTx/>
                  <a:buSzTx/>
                  <a:buFontTx/>
                  <a:buNone/>
                  <a:tabLst/>
                  <a:defRPr lang="en-GB" sz="1000" b="1" i="0" u="none" strike="noStrike" kern="1200" baseline="0">
                    <a:solidFill>
                      <a:sysClr val="windowText" lastClr="000000"/>
                    </a:solidFill>
                    <a:latin typeface="+mn-lt"/>
                    <a:ea typeface="+mn-ea"/>
                    <a:cs typeface="+mn-cs"/>
                  </a:defRPr>
                </a:pPr>
                <a:r>
                  <a:rPr lang="en-US" sz="1000" b="1" i="0" baseline="0">
                    <a:effectLst/>
                  </a:rPr>
                  <a:t>fluorescence totale (unités arbitraires)</a:t>
                </a:r>
                <a:endParaRPr lang="en-GB" sz="1000">
                  <a:effectLst/>
                </a:endParaRPr>
              </a:p>
              <a:p>
                <a:pPr marL="0" marR="0" indent="0" algn="ctr" defTabSz="914400" rtl="0" eaLnBrk="1" fontAlgn="auto" latinLnBrk="0" hangingPunct="1">
                  <a:lnSpc>
                    <a:spcPct val="100000"/>
                  </a:lnSpc>
                  <a:spcBef>
                    <a:spcPts val="0"/>
                  </a:spcBef>
                  <a:spcAft>
                    <a:spcPts val="0"/>
                  </a:spcAft>
                  <a:buClrTx/>
                  <a:buSzTx/>
                  <a:buFontTx/>
                  <a:buNone/>
                  <a:tabLst/>
                  <a:defRPr lang="en-GB" sz="1000" b="1" i="0" u="none" strike="noStrike" kern="1200" baseline="0">
                    <a:solidFill>
                      <a:sysClr val="windowText" lastClr="000000"/>
                    </a:solidFill>
                    <a:latin typeface="+mn-lt"/>
                    <a:ea typeface="+mn-ea"/>
                    <a:cs typeface="+mn-cs"/>
                  </a:defRPr>
                </a:pPr>
                <a:endParaRPr lang="en-US" sz="1000"/>
              </a:p>
            </c:rich>
          </c:tx>
          <c:overlay val="0"/>
        </c:title>
        <c:numFmt formatCode="0.0" sourceLinked="0"/>
        <c:majorTickMark val="out"/>
        <c:minorTickMark val="none"/>
        <c:tickLblPos val="nextTo"/>
        <c:txPr>
          <a:bodyPr/>
          <a:lstStyle/>
          <a:p>
            <a:pPr>
              <a:defRPr lang="en-GB"/>
            </a:pPr>
            <a:endParaRPr lang="fr-FR"/>
          </a:p>
        </c:txPr>
        <c:crossAx val="324817512"/>
        <c:crosses val="autoZero"/>
        <c:crossBetween val="between"/>
        <c:majorUnit val="0.2"/>
        <c:minorUnit val="0.1"/>
      </c:valAx>
    </c:plotArea>
    <c:plotVisOnly val="1"/>
    <c:dispBlanksAs val="gap"/>
    <c:showDLblsOverMax val="0"/>
  </c:chart>
  <c:userShapes r:id="rId1"/>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8.7395319521821627E-2"/>
          <c:y val="0.14871824529979213"/>
          <c:w val="0.9002738512986157"/>
          <c:h val="0.63968468033016779"/>
        </c:manualLayout>
      </c:layout>
      <c:barChart>
        <c:barDir val="col"/>
        <c:grouping val="clustered"/>
        <c:varyColors val="0"/>
        <c:ser>
          <c:idx val="0"/>
          <c:order val="0"/>
          <c:tx>
            <c:v>R2</c:v>
          </c:tx>
          <c:spPr>
            <a:solidFill>
              <a:schemeClr val="accent2"/>
            </a:solidFill>
          </c:spPr>
          <c:invertIfNegative val="0"/>
          <c:dPt>
            <c:idx val="9"/>
            <c:invertIfNegative val="0"/>
            <c:bubble3D val="0"/>
            <c:spPr>
              <a:solidFill>
                <a:schemeClr val="bg1">
                  <a:lumMod val="65000"/>
                </a:schemeClr>
              </a:solidFill>
            </c:spPr>
            <c:extLst>
              <c:ext xmlns:c16="http://schemas.microsoft.com/office/drawing/2014/chart" uri="{C3380CC4-5D6E-409C-BE32-E72D297353CC}">
                <c16:uniqueId val="{00000001-EED2-4ACE-91AA-7F8713196E92}"/>
              </c:ext>
            </c:extLst>
          </c:dPt>
          <c:dPt>
            <c:idx val="11"/>
            <c:invertIfNegative val="0"/>
            <c:bubble3D val="0"/>
            <c:spPr>
              <a:solidFill>
                <a:schemeClr val="bg1">
                  <a:lumMod val="65000"/>
                </a:schemeClr>
              </a:solidFill>
            </c:spPr>
            <c:extLst>
              <c:ext xmlns:c16="http://schemas.microsoft.com/office/drawing/2014/chart" uri="{C3380CC4-5D6E-409C-BE32-E72D297353CC}">
                <c16:uniqueId val="{00000003-EED2-4ACE-91AA-7F8713196E92}"/>
              </c:ext>
            </c:extLst>
          </c:dPt>
          <c:dPt>
            <c:idx val="13"/>
            <c:invertIfNegative val="0"/>
            <c:bubble3D val="0"/>
            <c:spPr>
              <a:solidFill>
                <a:schemeClr val="bg1">
                  <a:lumMod val="65000"/>
                </a:schemeClr>
              </a:solidFill>
            </c:spPr>
            <c:extLst>
              <c:ext xmlns:c16="http://schemas.microsoft.com/office/drawing/2014/chart" uri="{C3380CC4-5D6E-409C-BE32-E72D297353CC}">
                <c16:uniqueId val="{00000005-EED2-4ACE-91AA-7F8713196E92}"/>
              </c:ext>
            </c:extLst>
          </c:dPt>
          <c:dPt>
            <c:idx val="15"/>
            <c:invertIfNegative val="0"/>
            <c:bubble3D val="0"/>
            <c:spPr>
              <a:solidFill>
                <a:schemeClr val="bg1">
                  <a:lumMod val="65000"/>
                </a:schemeClr>
              </a:solidFill>
            </c:spPr>
            <c:extLst>
              <c:ext xmlns:c16="http://schemas.microsoft.com/office/drawing/2014/chart" uri="{C3380CC4-5D6E-409C-BE32-E72D297353CC}">
                <c16:uniqueId val="{00000007-EED2-4ACE-91AA-7F8713196E92}"/>
              </c:ext>
            </c:extLst>
          </c:dPt>
          <c:dPt>
            <c:idx val="25"/>
            <c:invertIfNegative val="0"/>
            <c:bubble3D val="0"/>
            <c:spPr>
              <a:solidFill>
                <a:srgbClr val="00B050"/>
              </a:solidFill>
            </c:spPr>
            <c:extLst>
              <c:ext xmlns:c16="http://schemas.microsoft.com/office/drawing/2014/chart" uri="{C3380CC4-5D6E-409C-BE32-E72D297353CC}">
                <c16:uniqueId val="{00000009-EED2-4ACE-91AA-7F8713196E92}"/>
              </c:ext>
            </c:extLst>
          </c:dPt>
          <c:dPt>
            <c:idx val="26"/>
            <c:invertIfNegative val="0"/>
            <c:bubble3D val="0"/>
            <c:spPr>
              <a:solidFill>
                <a:srgbClr val="FF0000"/>
              </a:solidFill>
            </c:spPr>
            <c:extLst>
              <c:ext xmlns:c16="http://schemas.microsoft.com/office/drawing/2014/chart" uri="{C3380CC4-5D6E-409C-BE32-E72D297353CC}">
                <c16:uniqueId val="{0000000B-EED2-4ACE-91AA-7F8713196E92}"/>
              </c:ext>
            </c:extLst>
          </c:dPt>
          <c:dPt>
            <c:idx val="27"/>
            <c:invertIfNegative val="0"/>
            <c:bubble3D val="0"/>
            <c:spPr>
              <a:solidFill>
                <a:srgbClr val="0070C0"/>
              </a:solidFill>
            </c:spPr>
            <c:extLst>
              <c:ext xmlns:c16="http://schemas.microsoft.com/office/drawing/2014/chart" uri="{C3380CC4-5D6E-409C-BE32-E72D297353CC}">
                <c16:uniqueId val="{0000000D-EED2-4ACE-91AA-7F8713196E92}"/>
              </c:ext>
            </c:extLst>
          </c:dPt>
          <c:dPt>
            <c:idx val="28"/>
            <c:invertIfNegative val="0"/>
            <c:bubble3D val="0"/>
            <c:spPr>
              <a:solidFill>
                <a:schemeClr val="bg1">
                  <a:lumMod val="65000"/>
                </a:schemeClr>
              </a:solidFill>
            </c:spPr>
            <c:extLst>
              <c:ext xmlns:c16="http://schemas.microsoft.com/office/drawing/2014/chart" uri="{C3380CC4-5D6E-409C-BE32-E72D297353CC}">
                <c16:uniqueId val="{0000000F-EED2-4ACE-91AA-7F8713196E92}"/>
              </c:ext>
            </c:extLst>
          </c:dPt>
          <c:dPt>
            <c:idx val="30"/>
            <c:invertIfNegative val="0"/>
            <c:bubble3D val="0"/>
            <c:spPr>
              <a:solidFill>
                <a:schemeClr val="bg1">
                  <a:lumMod val="65000"/>
                </a:schemeClr>
              </a:solidFill>
            </c:spPr>
            <c:extLst>
              <c:ext xmlns:c16="http://schemas.microsoft.com/office/drawing/2014/chart" uri="{C3380CC4-5D6E-409C-BE32-E72D297353CC}">
                <c16:uniqueId val="{00000011-EED2-4ACE-91AA-7F8713196E92}"/>
              </c:ext>
            </c:extLst>
          </c:dPt>
          <c:dPt>
            <c:idx val="32"/>
            <c:invertIfNegative val="0"/>
            <c:bubble3D val="0"/>
            <c:spPr>
              <a:solidFill>
                <a:schemeClr val="bg1">
                  <a:lumMod val="65000"/>
                </a:schemeClr>
              </a:solidFill>
            </c:spPr>
            <c:extLst>
              <c:ext xmlns:c16="http://schemas.microsoft.com/office/drawing/2014/chart" uri="{C3380CC4-5D6E-409C-BE32-E72D297353CC}">
                <c16:uniqueId val="{00000013-EED2-4ACE-91AA-7F8713196E92}"/>
              </c:ext>
            </c:extLst>
          </c:dPt>
          <c:dPt>
            <c:idx val="34"/>
            <c:invertIfNegative val="0"/>
            <c:bubble3D val="0"/>
            <c:spPr>
              <a:solidFill>
                <a:schemeClr val="bg1">
                  <a:lumMod val="65000"/>
                </a:schemeClr>
              </a:solidFill>
            </c:spPr>
            <c:extLst>
              <c:ext xmlns:c16="http://schemas.microsoft.com/office/drawing/2014/chart" uri="{C3380CC4-5D6E-409C-BE32-E72D297353CC}">
                <c16:uniqueId val="{00000015-EED2-4ACE-91AA-7F8713196E92}"/>
              </c:ext>
            </c:extLst>
          </c:dPt>
          <c:errBars>
            <c:errBarType val="plus"/>
            <c:errValType val="cust"/>
            <c:noEndCap val="0"/>
            <c:plus>
              <c:numRef>
                <c:f>'R2'!$B$54:$V$54</c:f>
                <c:numCache>
                  <c:formatCode>General</c:formatCode>
                  <c:ptCount val="21"/>
                  <c:pt idx="0">
                    <c:v>1.8368645847350887E-2</c:v>
                  </c:pt>
                  <c:pt idx="1">
                    <c:v>2.6868972182651139E-2</c:v>
                  </c:pt>
                  <c:pt idx="2">
                    <c:v>3.4077253894085009E-2</c:v>
                  </c:pt>
                  <c:pt idx="3">
                    <c:v>9.4270690684614841E-2</c:v>
                  </c:pt>
                  <c:pt idx="4">
                    <c:v>0.16839135678018669</c:v>
                  </c:pt>
                  <c:pt idx="5">
                    <c:v>0.11106482876520762</c:v>
                  </c:pt>
                  <c:pt idx="6">
                    <c:v>0.15219150894313377</c:v>
                  </c:pt>
                  <c:pt idx="7">
                    <c:v>3.4696488917150874E-2</c:v>
                  </c:pt>
                  <c:pt idx="8">
                    <c:v>3.0160662660407341E-2</c:v>
                  </c:pt>
                  <c:pt idx="9">
                    <c:v>1.7690817310935286E-2</c:v>
                  </c:pt>
                  <c:pt idx="10">
                    <c:v>3.0719534885714071E-2</c:v>
                  </c:pt>
                  <c:pt idx="11">
                    <c:v>2.2558843948848807E-2</c:v>
                  </c:pt>
                  <c:pt idx="13">
                    <c:v>0.13654382495340242</c:v>
                  </c:pt>
                  <c:pt idx="14">
                    <c:v>0.19011224382931713</c:v>
                  </c:pt>
                  <c:pt idx="15">
                    <c:v>1.9410019348010576E-2</c:v>
                  </c:pt>
                  <c:pt idx="16">
                    <c:v>2.3600957435186008E-2</c:v>
                  </c:pt>
                  <c:pt idx="17">
                    <c:v>2.9418339468134668E-2</c:v>
                  </c:pt>
                  <c:pt idx="18">
                    <c:v>4.4128413447742237E-2</c:v>
                  </c:pt>
                  <c:pt idx="19">
                    <c:v>3.1581742840415372E-2</c:v>
                  </c:pt>
                  <c:pt idx="20">
                    <c:v>2.5769118141534153E-2</c:v>
                  </c:pt>
                </c:numCache>
              </c:numRef>
            </c:plus>
            <c:minus>
              <c:numRef>
                <c:f>'R1'!$N$48:$V$48</c:f>
                <c:numCache>
                  <c:formatCode>General</c:formatCode>
                  <c:ptCount val="9"/>
                  <c:pt idx="0">
                    <c:v>0</c:v>
                  </c:pt>
                  <c:pt idx="1">
                    <c:v>0.13366220102735191</c:v>
                  </c:pt>
                  <c:pt idx="2">
                    <c:v>0.20001354212138434</c:v>
                  </c:pt>
                  <c:pt idx="3">
                    <c:v>1.4438534133077505E-2</c:v>
                  </c:pt>
                  <c:pt idx="4">
                    <c:v>1.7051284948688825E-2</c:v>
                  </c:pt>
                  <c:pt idx="5">
                    <c:v>2.9151057322640565E-2</c:v>
                  </c:pt>
                  <c:pt idx="6">
                    <c:v>2.607738146726896E-2</c:v>
                  </c:pt>
                  <c:pt idx="7">
                    <c:v>2.3792702080477651E-2</c:v>
                  </c:pt>
                  <c:pt idx="8">
                    <c:v>2.9681436661316354E-2</c:v>
                  </c:pt>
                </c:numCache>
              </c:numRef>
            </c:minus>
          </c:errBars>
          <c:cat>
            <c:strRef>
              <c:f>'R2'!$B$52:$V$52</c:f>
              <c:strCache>
                <c:ptCount val="21"/>
                <c:pt idx="0">
                  <c:v>Témoin solvant</c:v>
                </c:pt>
                <c:pt idx="1">
                  <c:v>EE2-33,8ng/L</c:v>
                </c:pt>
                <c:pt idx="2">
                  <c:v>EE2-50,6ng/L</c:v>
                </c:pt>
                <c:pt idx="3">
                  <c:v>EE2-76ng/L</c:v>
                </c:pt>
                <c:pt idx="4">
                  <c:v>EE2-114ng/L</c:v>
                </c:pt>
                <c:pt idx="5">
                  <c:v>EE2-170,9ng/L</c:v>
                </c:pt>
                <c:pt idx="6">
                  <c:v>EE2-488ng/L</c:v>
                </c:pt>
                <c:pt idx="7">
                  <c:v>FAD-5.4µg/L</c:v>
                </c:pt>
                <c:pt idx="8">
                  <c:v>FAD-11µg/L</c:v>
                </c:pt>
                <c:pt idx="9">
                  <c:v>FAD-22µg/L</c:v>
                </c:pt>
                <c:pt idx="10">
                  <c:v>FAD-44µg/L</c:v>
                </c:pt>
                <c:pt idx="11">
                  <c:v>FAD-87µg/L</c:v>
                </c:pt>
                <c:pt idx="13">
                  <c:v>Testo -30µg/L</c:v>
                </c:pt>
                <c:pt idx="14">
                  <c:v>Testo 30µg/L + EE2 -64ng/L</c:v>
                </c:pt>
                <c:pt idx="15">
                  <c:v>Testo 30µg/L + FAD-10mg/L</c:v>
                </c:pt>
                <c:pt idx="16">
                  <c:v>FAD-5,4µg/L + Testostérone</c:v>
                </c:pt>
                <c:pt idx="17">
                  <c:v>FAD-11µg/L + Testostérone</c:v>
                </c:pt>
                <c:pt idx="18">
                  <c:v>FAD-22µg/L + Testostérone</c:v>
                </c:pt>
                <c:pt idx="19">
                  <c:v>FAD-44µg/L + Testostérone</c:v>
                </c:pt>
                <c:pt idx="20">
                  <c:v>FAD-87µg/L + Testostérone</c:v>
                </c:pt>
              </c:strCache>
            </c:strRef>
          </c:cat>
          <c:val>
            <c:numRef>
              <c:f>'R2'!$B$53:$V$53</c:f>
              <c:numCache>
                <c:formatCode>0.0000</c:formatCode>
                <c:ptCount val="21"/>
                <c:pt idx="0">
                  <c:v>9.4884034586449964E-2</c:v>
                </c:pt>
                <c:pt idx="1">
                  <c:v>0.11382600753343498</c:v>
                </c:pt>
                <c:pt idx="2">
                  <c:v>0.10396005536908262</c:v>
                </c:pt>
                <c:pt idx="3">
                  <c:v>0.22855800620573716</c:v>
                </c:pt>
                <c:pt idx="4">
                  <c:v>0.73227847326762419</c:v>
                </c:pt>
                <c:pt idx="5">
                  <c:v>1.2086216221284047</c:v>
                </c:pt>
                <c:pt idx="6">
                  <c:v>2.1658192095475717</c:v>
                </c:pt>
                <c:pt idx="7">
                  <c:v>0.12718238333831328</c:v>
                </c:pt>
                <c:pt idx="8">
                  <c:v>0.14098748487691212</c:v>
                </c:pt>
                <c:pt idx="9">
                  <c:v>9.6884229632820076E-2</c:v>
                </c:pt>
                <c:pt idx="10">
                  <c:v>0.11524038141433818</c:v>
                </c:pt>
                <c:pt idx="11">
                  <c:v>7.9963357884038619E-2</c:v>
                </c:pt>
                <c:pt idx="13">
                  <c:v>1.0000000000000002</c:v>
                </c:pt>
                <c:pt idx="14">
                  <c:v>1.5224639492162999</c:v>
                </c:pt>
                <c:pt idx="15">
                  <c:v>5.6783816582915377E-2</c:v>
                </c:pt>
                <c:pt idx="16">
                  <c:v>9.2204348393703853E-2</c:v>
                </c:pt>
                <c:pt idx="17">
                  <c:v>8.4953714023186563E-2</c:v>
                </c:pt>
                <c:pt idx="18">
                  <c:v>7.583194079548615E-2</c:v>
                </c:pt>
                <c:pt idx="19">
                  <c:v>0.10651087965678999</c:v>
                </c:pt>
                <c:pt idx="20">
                  <c:v>0.14547296421979056</c:v>
                </c:pt>
              </c:numCache>
            </c:numRef>
          </c:val>
          <c:extLst>
            <c:ext xmlns:c16="http://schemas.microsoft.com/office/drawing/2014/chart" uri="{C3380CC4-5D6E-409C-BE32-E72D297353CC}">
              <c16:uniqueId val="{00000016-EED2-4ACE-91AA-7F8713196E92}"/>
            </c:ext>
          </c:extLst>
        </c:ser>
        <c:dLbls>
          <c:showLegendKey val="0"/>
          <c:showVal val="0"/>
          <c:showCatName val="0"/>
          <c:showSerName val="0"/>
          <c:showPercent val="0"/>
          <c:showBubbleSize val="0"/>
        </c:dLbls>
        <c:gapWidth val="150"/>
        <c:axId val="324818296"/>
        <c:axId val="324818688"/>
      </c:barChart>
      <c:catAx>
        <c:axId val="324818296"/>
        <c:scaling>
          <c:orientation val="minMax"/>
        </c:scaling>
        <c:delete val="0"/>
        <c:axPos val="b"/>
        <c:numFmt formatCode="General" sourceLinked="1"/>
        <c:majorTickMark val="out"/>
        <c:minorTickMark val="none"/>
        <c:tickLblPos val="nextTo"/>
        <c:txPr>
          <a:bodyPr rot="-2700000" vert="horz"/>
          <a:lstStyle/>
          <a:p>
            <a:pPr>
              <a:defRPr lang="en-GB"/>
            </a:pPr>
            <a:endParaRPr lang="fr-FR"/>
          </a:p>
        </c:txPr>
        <c:crossAx val="324818688"/>
        <c:crosses val="autoZero"/>
        <c:auto val="1"/>
        <c:lblAlgn val="ctr"/>
        <c:lblOffset val="100"/>
        <c:noMultiLvlLbl val="0"/>
      </c:catAx>
      <c:valAx>
        <c:axId val="324818688"/>
        <c:scaling>
          <c:orientation val="minMax"/>
        </c:scaling>
        <c:delete val="0"/>
        <c:axPos val="l"/>
        <c:majorGridlines/>
        <c:title>
          <c:tx>
            <c:rich>
              <a:bodyPr rot="-5400000" vert="horz"/>
              <a:lstStyle/>
              <a:p>
                <a:pPr marL="0" marR="0" indent="0" algn="ctr" defTabSz="914400" rtl="0" eaLnBrk="1" fontAlgn="auto" latinLnBrk="0" hangingPunct="1">
                  <a:lnSpc>
                    <a:spcPct val="100000"/>
                  </a:lnSpc>
                  <a:spcBef>
                    <a:spcPts val="0"/>
                  </a:spcBef>
                  <a:spcAft>
                    <a:spcPts val="0"/>
                  </a:spcAft>
                  <a:buClrTx/>
                  <a:buSzTx/>
                  <a:buFontTx/>
                  <a:buNone/>
                  <a:tabLst/>
                  <a:defRPr lang="en-GB" sz="1000" b="1" i="0" u="none" strike="noStrike" kern="1200" baseline="0">
                    <a:solidFill>
                      <a:sysClr val="windowText" lastClr="000000"/>
                    </a:solidFill>
                    <a:latin typeface="+mn-lt"/>
                    <a:ea typeface="+mn-ea"/>
                    <a:cs typeface="+mn-cs"/>
                  </a:defRPr>
                </a:pPr>
                <a:r>
                  <a:rPr lang="en-US" sz="1000" b="1" i="0" baseline="0">
                    <a:effectLst/>
                  </a:rPr>
                  <a:t>fluorescence totale (unités arbitraires)</a:t>
                </a:r>
                <a:endParaRPr lang="en-GB" sz="1000">
                  <a:effectLst/>
                </a:endParaRPr>
              </a:p>
              <a:p>
                <a:pPr marL="0" marR="0" indent="0" algn="ctr" defTabSz="914400" rtl="0" eaLnBrk="1" fontAlgn="auto" latinLnBrk="0" hangingPunct="1">
                  <a:lnSpc>
                    <a:spcPct val="100000"/>
                  </a:lnSpc>
                  <a:spcBef>
                    <a:spcPts val="0"/>
                  </a:spcBef>
                  <a:spcAft>
                    <a:spcPts val="0"/>
                  </a:spcAft>
                  <a:buClrTx/>
                  <a:buSzTx/>
                  <a:buFontTx/>
                  <a:buNone/>
                  <a:tabLst/>
                  <a:defRPr lang="en-GB" sz="1000" b="1" i="0" u="none" strike="noStrike" kern="1200" baseline="0">
                    <a:solidFill>
                      <a:sysClr val="windowText" lastClr="000000"/>
                    </a:solidFill>
                    <a:latin typeface="+mn-lt"/>
                    <a:ea typeface="+mn-ea"/>
                    <a:cs typeface="+mn-cs"/>
                  </a:defRPr>
                </a:pPr>
                <a:endParaRPr lang="en-US" sz="1000"/>
              </a:p>
            </c:rich>
          </c:tx>
          <c:overlay val="0"/>
        </c:title>
        <c:numFmt formatCode="0.0" sourceLinked="0"/>
        <c:majorTickMark val="out"/>
        <c:minorTickMark val="none"/>
        <c:tickLblPos val="nextTo"/>
        <c:txPr>
          <a:bodyPr/>
          <a:lstStyle/>
          <a:p>
            <a:pPr>
              <a:defRPr lang="en-GB"/>
            </a:pPr>
            <a:endParaRPr lang="fr-FR"/>
          </a:p>
        </c:txPr>
        <c:crossAx val="324818296"/>
        <c:crosses val="autoZero"/>
        <c:crossBetween val="between"/>
        <c:majorUnit val="0.2"/>
      </c:valAx>
    </c:plotArea>
    <c:plotVisOnly val="1"/>
    <c:dispBlanksAs val="gap"/>
    <c:showDLblsOverMax val="0"/>
  </c:chart>
  <c:userShapes r:id="rId1"/>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8.7395319521821627E-2"/>
          <c:y val="0.14871824529979213"/>
          <c:w val="0.9002738512986157"/>
          <c:h val="0.63968468033016779"/>
        </c:manualLayout>
      </c:layout>
      <c:barChart>
        <c:barDir val="col"/>
        <c:grouping val="clustered"/>
        <c:varyColors val="0"/>
        <c:ser>
          <c:idx val="0"/>
          <c:order val="0"/>
          <c:tx>
            <c:v>R2</c:v>
          </c:tx>
          <c:spPr>
            <a:solidFill>
              <a:schemeClr val="accent2"/>
            </a:solidFill>
          </c:spPr>
          <c:invertIfNegative val="0"/>
          <c:dPt>
            <c:idx val="9"/>
            <c:invertIfNegative val="0"/>
            <c:bubble3D val="0"/>
            <c:spPr>
              <a:solidFill>
                <a:schemeClr val="bg1">
                  <a:lumMod val="65000"/>
                </a:schemeClr>
              </a:solidFill>
            </c:spPr>
            <c:extLst>
              <c:ext xmlns:c16="http://schemas.microsoft.com/office/drawing/2014/chart" uri="{C3380CC4-5D6E-409C-BE32-E72D297353CC}">
                <c16:uniqueId val="{00000001-EED2-4ACE-91AA-7F8713196E92}"/>
              </c:ext>
            </c:extLst>
          </c:dPt>
          <c:dPt>
            <c:idx val="11"/>
            <c:invertIfNegative val="0"/>
            <c:bubble3D val="0"/>
            <c:spPr>
              <a:solidFill>
                <a:schemeClr val="bg1">
                  <a:lumMod val="65000"/>
                </a:schemeClr>
              </a:solidFill>
            </c:spPr>
            <c:extLst>
              <c:ext xmlns:c16="http://schemas.microsoft.com/office/drawing/2014/chart" uri="{C3380CC4-5D6E-409C-BE32-E72D297353CC}">
                <c16:uniqueId val="{00000003-EED2-4ACE-91AA-7F8713196E92}"/>
              </c:ext>
            </c:extLst>
          </c:dPt>
          <c:dPt>
            <c:idx val="13"/>
            <c:invertIfNegative val="0"/>
            <c:bubble3D val="0"/>
            <c:spPr>
              <a:solidFill>
                <a:schemeClr val="bg1">
                  <a:lumMod val="65000"/>
                </a:schemeClr>
              </a:solidFill>
            </c:spPr>
            <c:extLst>
              <c:ext xmlns:c16="http://schemas.microsoft.com/office/drawing/2014/chart" uri="{C3380CC4-5D6E-409C-BE32-E72D297353CC}">
                <c16:uniqueId val="{00000005-EED2-4ACE-91AA-7F8713196E92}"/>
              </c:ext>
            </c:extLst>
          </c:dPt>
          <c:dPt>
            <c:idx val="15"/>
            <c:invertIfNegative val="0"/>
            <c:bubble3D val="0"/>
            <c:spPr>
              <a:solidFill>
                <a:schemeClr val="bg1">
                  <a:lumMod val="65000"/>
                </a:schemeClr>
              </a:solidFill>
            </c:spPr>
            <c:extLst>
              <c:ext xmlns:c16="http://schemas.microsoft.com/office/drawing/2014/chart" uri="{C3380CC4-5D6E-409C-BE32-E72D297353CC}">
                <c16:uniqueId val="{00000007-EED2-4ACE-91AA-7F8713196E92}"/>
              </c:ext>
            </c:extLst>
          </c:dPt>
          <c:dPt>
            <c:idx val="25"/>
            <c:invertIfNegative val="0"/>
            <c:bubble3D val="0"/>
            <c:spPr>
              <a:solidFill>
                <a:srgbClr val="00B050"/>
              </a:solidFill>
            </c:spPr>
            <c:extLst>
              <c:ext xmlns:c16="http://schemas.microsoft.com/office/drawing/2014/chart" uri="{C3380CC4-5D6E-409C-BE32-E72D297353CC}">
                <c16:uniqueId val="{00000009-EED2-4ACE-91AA-7F8713196E92}"/>
              </c:ext>
            </c:extLst>
          </c:dPt>
          <c:dPt>
            <c:idx val="26"/>
            <c:invertIfNegative val="0"/>
            <c:bubble3D val="0"/>
            <c:spPr>
              <a:solidFill>
                <a:srgbClr val="FF0000"/>
              </a:solidFill>
            </c:spPr>
            <c:extLst>
              <c:ext xmlns:c16="http://schemas.microsoft.com/office/drawing/2014/chart" uri="{C3380CC4-5D6E-409C-BE32-E72D297353CC}">
                <c16:uniqueId val="{0000000B-EED2-4ACE-91AA-7F8713196E92}"/>
              </c:ext>
            </c:extLst>
          </c:dPt>
          <c:dPt>
            <c:idx val="27"/>
            <c:invertIfNegative val="0"/>
            <c:bubble3D val="0"/>
            <c:spPr>
              <a:solidFill>
                <a:srgbClr val="0070C0"/>
              </a:solidFill>
            </c:spPr>
            <c:extLst>
              <c:ext xmlns:c16="http://schemas.microsoft.com/office/drawing/2014/chart" uri="{C3380CC4-5D6E-409C-BE32-E72D297353CC}">
                <c16:uniqueId val="{0000000D-EED2-4ACE-91AA-7F8713196E92}"/>
              </c:ext>
            </c:extLst>
          </c:dPt>
          <c:dPt>
            <c:idx val="28"/>
            <c:invertIfNegative val="0"/>
            <c:bubble3D val="0"/>
            <c:spPr>
              <a:solidFill>
                <a:schemeClr val="bg1">
                  <a:lumMod val="65000"/>
                </a:schemeClr>
              </a:solidFill>
            </c:spPr>
            <c:extLst>
              <c:ext xmlns:c16="http://schemas.microsoft.com/office/drawing/2014/chart" uri="{C3380CC4-5D6E-409C-BE32-E72D297353CC}">
                <c16:uniqueId val="{0000000F-EED2-4ACE-91AA-7F8713196E92}"/>
              </c:ext>
            </c:extLst>
          </c:dPt>
          <c:dPt>
            <c:idx val="30"/>
            <c:invertIfNegative val="0"/>
            <c:bubble3D val="0"/>
            <c:spPr>
              <a:solidFill>
                <a:schemeClr val="bg1">
                  <a:lumMod val="65000"/>
                </a:schemeClr>
              </a:solidFill>
            </c:spPr>
            <c:extLst>
              <c:ext xmlns:c16="http://schemas.microsoft.com/office/drawing/2014/chart" uri="{C3380CC4-5D6E-409C-BE32-E72D297353CC}">
                <c16:uniqueId val="{00000011-EED2-4ACE-91AA-7F8713196E92}"/>
              </c:ext>
            </c:extLst>
          </c:dPt>
          <c:dPt>
            <c:idx val="32"/>
            <c:invertIfNegative val="0"/>
            <c:bubble3D val="0"/>
            <c:spPr>
              <a:solidFill>
                <a:schemeClr val="bg1">
                  <a:lumMod val="65000"/>
                </a:schemeClr>
              </a:solidFill>
            </c:spPr>
            <c:extLst>
              <c:ext xmlns:c16="http://schemas.microsoft.com/office/drawing/2014/chart" uri="{C3380CC4-5D6E-409C-BE32-E72D297353CC}">
                <c16:uniqueId val="{00000013-EED2-4ACE-91AA-7F8713196E92}"/>
              </c:ext>
            </c:extLst>
          </c:dPt>
          <c:dPt>
            <c:idx val="34"/>
            <c:invertIfNegative val="0"/>
            <c:bubble3D val="0"/>
            <c:spPr>
              <a:solidFill>
                <a:schemeClr val="bg1">
                  <a:lumMod val="65000"/>
                </a:schemeClr>
              </a:solidFill>
            </c:spPr>
            <c:extLst>
              <c:ext xmlns:c16="http://schemas.microsoft.com/office/drawing/2014/chart" uri="{C3380CC4-5D6E-409C-BE32-E72D297353CC}">
                <c16:uniqueId val="{00000015-EED2-4ACE-91AA-7F8713196E92}"/>
              </c:ext>
            </c:extLst>
          </c:dPt>
          <c:errBars>
            <c:errBarType val="plus"/>
            <c:errValType val="cust"/>
            <c:noEndCap val="0"/>
            <c:plus>
              <c:numRef>
                <c:f>'R3'!$B$54:$V$54</c:f>
                <c:numCache>
                  <c:formatCode>General</c:formatCode>
                  <c:ptCount val="21"/>
                  <c:pt idx="0">
                    <c:v>1.6272568596304545E-2</c:v>
                  </c:pt>
                  <c:pt idx="1">
                    <c:v>3.6935486504571284E-2</c:v>
                  </c:pt>
                  <c:pt idx="2">
                    <c:v>2.4211498565760329E-2</c:v>
                  </c:pt>
                  <c:pt idx="3">
                    <c:v>0.17518882868440447</c:v>
                  </c:pt>
                  <c:pt idx="4">
                    <c:v>0.2177590049600551</c:v>
                  </c:pt>
                  <c:pt idx="5">
                    <c:v>7.2095493393819501E-2</c:v>
                  </c:pt>
                  <c:pt idx="6">
                    <c:v>0.14977701978596272</c:v>
                  </c:pt>
                  <c:pt idx="7">
                    <c:v>2.0066554838207351E-2</c:v>
                  </c:pt>
                  <c:pt idx="8">
                    <c:v>2.6847067725968995E-2</c:v>
                  </c:pt>
                  <c:pt idx="9">
                    <c:v>2.1105803867532989E-2</c:v>
                  </c:pt>
                  <c:pt idx="10">
                    <c:v>1.7939509768813755E-2</c:v>
                  </c:pt>
                  <c:pt idx="11">
                    <c:v>2.1296856613943441E-2</c:v>
                  </c:pt>
                  <c:pt idx="13">
                    <c:v>0.1366958431790255</c:v>
                  </c:pt>
                  <c:pt idx="14">
                    <c:v>0.15717207437217215</c:v>
                  </c:pt>
                  <c:pt idx="15">
                    <c:v>2.6199819732474188E-2</c:v>
                  </c:pt>
                  <c:pt idx="16">
                    <c:v>1.5142853268196227E-2</c:v>
                  </c:pt>
                  <c:pt idx="17">
                    <c:v>1.7637770018397614E-2</c:v>
                  </c:pt>
                  <c:pt idx="18">
                    <c:v>2.8119355022753405E-2</c:v>
                  </c:pt>
                  <c:pt idx="19">
                    <c:v>4.6551691830992857E-2</c:v>
                  </c:pt>
                  <c:pt idx="20">
                    <c:v>2.0066554838207351E-2</c:v>
                  </c:pt>
                </c:numCache>
              </c:numRef>
            </c:plus>
            <c:minus>
              <c:numRef>
                <c:f>'R1'!$N$48:$V$48</c:f>
                <c:numCache>
                  <c:formatCode>General</c:formatCode>
                  <c:ptCount val="9"/>
                  <c:pt idx="0">
                    <c:v>0</c:v>
                  </c:pt>
                  <c:pt idx="1">
                    <c:v>0.13366220102735191</c:v>
                  </c:pt>
                  <c:pt idx="2">
                    <c:v>0.20001354212138434</c:v>
                  </c:pt>
                  <c:pt idx="3">
                    <c:v>1.4438534133077505E-2</c:v>
                  </c:pt>
                  <c:pt idx="4">
                    <c:v>1.7051284948688825E-2</c:v>
                  </c:pt>
                  <c:pt idx="5">
                    <c:v>2.9151057322640565E-2</c:v>
                  </c:pt>
                  <c:pt idx="6">
                    <c:v>2.607738146726896E-2</c:v>
                  </c:pt>
                  <c:pt idx="7">
                    <c:v>2.3792702080477651E-2</c:v>
                  </c:pt>
                  <c:pt idx="8">
                    <c:v>2.9681436661316354E-2</c:v>
                  </c:pt>
                </c:numCache>
              </c:numRef>
            </c:minus>
          </c:errBars>
          <c:cat>
            <c:strRef>
              <c:f>'R3'!$B$52:$V$52</c:f>
              <c:strCache>
                <c:ptCount val="21"/>
                <c:pt idx="0">
                  <c:v>Témoin solvant</c:v>
                </c:pt>
                <c:pt idx="1">
                  <c:v>EE2-33,8ng/L</c:v>
                </c:pt>
                <c:pt idx="2">
                  <c:v>EE2-50,6ng/L</c:v>
                </c:pt>
                <c:pt idx="3">
                  <c:v>EE2-76ng/L</c:v>
                </c:pt>
                <c:pt idx="4">
                  <c:v>EE2-114ng/L</c:v>
                </c:pt>
                <c:pt idx="5">
                  <c:v>EE2-170,9ng/L</c:v>
                </c:pt>
                <c:pt idx="6">
                  <c:v>EE2-488ng/L</c:v>
                </c:pt>
                <c:pt idx="7">
                  <c:v>FAD-5.4µg/L</c:v>
                </c:pt>
                <c:pt idx="8">
                  <c:v>FAD-11µg/L</c:v>
                </c:pt>
                <c:pt idx="9">
                  <c:v>FAD-22µg/L</c:v>
                </c:pt>
                <c:pt idx="10">
                  <c:v>FAD-44µg/L</c:v>
                </c:pt>
                <c:pt idx="11">
                  <c:v>FAD-87µg/L</c:v>
                </c:pt>
                <c:pt idx="13">
                  <c:v>Testo -30µg/L</c:v>
                </c:pt>
                <c:pt idx="14">
                  <c:v>Testo 30µg/L + EE2 -64ng/L</c:v>
                </c:pt>
                <c:pt idx="15">
                  <c:v>Testo 30µg/L + FAD-10mg/L</c:v>
                </c:pt>
                <c:pt idx="16">
                  <c:v>FAD-5,4µg/L + Testostérone</c:v>
                </c:pt>
                <c:pt idx="17">
                  <c:v>FAD-11µg/L + Testostérone</c:v>
                </c:pt>
                <c:pt idx="18">
                  <c:v>FAD-22µg/L + Testostérone</c:v>
                </c:pt>
                <c:pt idx="19">
                  <c:v>FAD-44µg/L + Testostérone</c:v>
                </c:pt>
                <c:pt idx="20">
                  <c:v>FAD-87µg/L + Testostérone</c:v>
                </c:pt>
              </c:strCache>
            </c:strRef>
          </c:cat>
          <c:val>
            <c:numRef>
              <c:f>'R3'!$B$53:$V$53</c:f>
              <c:numCache>
                <c:formatCode>0.0000</c:formatCode>
                <c:ptCount val="21"/>
                <c:pt idx="0">
                  <c:v>0.12663860338043909</c:v>
                </c:pt>
                <c:pt idx="1">
                  <c:v>0.21837829933862951</c:v>
                </c:pt>
                <c:pt idx="2">
                  <c:v>0.16142842677982053</c:v>
                </c:pt>
                <c:pt idx="3">
                  <c:v>0.4622823800266177</c:v>
                </c:pt>
                <c:pt idx="4">
                  <c:v>1.0957576604969597</c:v>
                </c:pt>
                <c:pt idx="5">
                  <c:v>1.5118614229605791</c:v>
                </c:pt>
                <c:pt idx="6">
                  <c:v>2.7467237123179684</c:v>
                </c:pt>
                <c:pt idx="7">
                  <c:v>8.4496563748281059E-2</c:v>
                </c:pt>
                <c:pt idx="8">
                  <c:v>0.13492141830862173</c:v>
                </c:pt>
                <c:pt idx="9">
                  <c:v>0.11560281185655021</c:v>
                </c:pt>
                <c:pt idx="10">
                  <c:v>0.10591834441532878</c:v>
                </c:pt>
                <c:pt idx="11">
                  <c:v>0.10700625013706071</c:v>
                </c:pt>
                <c:pt idx="13">
                  <c:v>1</c:v>
                </c:pt>
                <c:pt idx="14">
                  <c:v>1.7931633728185332</c:v>
                </c:pt>
                <c:pt idx="15">
                  <c:v>0.13879662017563141</c:v>
                </c:pt>
                <c:pt idx="16">
                  <c:v>9.4843307951966466E-2</c:v>
                </c:pt>
                <c:pt idx="17">
                  <c:v>0.10496311877041302</c:v>
                </c:pt>
                <c:pt idx="18">
                  <c:v>0.11835370484323926</c:v>
                </c:pt>
                <c:pt idx="19">
                  <c:v>0.11023023327829289</c:v>
                </c:pt>
                <c:pt idx="20">
                  <c:v>8.4496563748281059E-2</c:v>
                </c:pt>
              </c:numCache>
            </c:numRef>
          </c:val>
          <c:extLst>
            <c:ext xmlns:c16="http://schemas.microsoft.com/office/drawing/2014/chart" uri="{C3380CC4-5D6E-409C-BE32-E72D297353CC}">
              <c16:uniqueId val="{00000016-EED2-4ACE-91AA-7F8713196E92}"/>
            </c:ext>
          </c:extLst>
        </c:ser>
        <c:dLbls>
          <c:showLegendKey val="0"/>
          <c:showVal val="0"/>
          <c:showCatName val="0"/>
          <c:showSerName val="0"/>
          <c:showPercent val="0"/>
          <c:showBubbleSize val="0"/>
        </c:dLbls>
        <c:gapWidth val="150"/>
        <c:axId val="434373488"/>
        <c:axId val="434373880"/>
      </c:barChart>
      <c:catAx>
        <c:axId val="434373488"/>
        <c:scaling>
          <c:orientation val="minMax"/>
        </c:scaling>
        <c:delete val="0"/>
        <c:axPos val="b"/>
        <c:numFmt formatCode="General" sourceLinked="1"/>
        <c:majorTickMark val="out"/>
        <c:minorTickMark val="none"/>
        <c:tickLblPos val="nextTo"/>
        <c:txPr>
          <a:bodyPr rot="-2700000" vert="horz"/>
          <a:lstStyle/>
          <a:p>
            <a:pPr>
              <a:defRPr lang="en-GB"/>
            </a:pPr>
            <a:endParaRPr lang="fr-FR"/>
          </a:p>
        </c:txPr>
        <c:crossAx val="434373880"/>
        <c:crosses val="autoZero"/>
        <c:auto val="1"/>
        <c:lblAlgn val="ctr"/>
        <c:lblOffset val="100"/>
        <c:noMultiLvlLbl val="0"/>
      </c:catAx>
      <c:valAx>
        <c:axId val="434373880"/>
        <c:scaling>
          <c:orientation val="minMax"/>
          <c:max val="2.8"/>
        </c:scaling>
        <c:delete val="0"/>
        <c:axPos val="l"/>
        <c:majorGridlines/>
        <c:title>
          <c:tx>
            <c:rich>
              <a:bodyPr rot="-5400000" vert="horz"/>
              <a:lstStyle/>
              <a:p>
                <a:pPr marL="0" marR="0" indent="0" algn="ctr" defTabSz="914400" rtl="0" eaLnBrk="1" fontAlgn="auto" latinLnBrk="0" hangingPunct="1">
                  <a:lnSpc>
                    <a:spcPct val="100000"/>
                  </a:lnSpc>
                  <a:spcBef>
                    <a:spcPts val="0"/>
                  </a:spcBef>
                  <a:spcAft>
                    <a:spcPts val="0"/>
                  </a:spcAft>
                  <a:buClrTx/>
                  <a:buSzTx/>
                  <a:buFontTx/>
                  <a:buNone/>
                  <a:tabLst/>
                  <a:defRPr lang="en-GB" sz="1000" b="1" i="0" u="none" strike="noStrike" kern="1200" baseline="0">
                    <a:solidFill>
                      <a:sysClr val="windowText" lastClr="000000"/>
                    </a:solidFill>
                    <a:latin typeface="+mn-lt"/>
                    <a:ea typeface="+mn-ea"/>
                    <a:cs typeface="+mn-cs"/>
                  </a:defRPr>
                </a:pPr>
                <a:r>
                  <a:rPr lang="en-US" sz="1000" b="1" i="0" baseline="0">
                    <a:effectLst/>
                  </a:rPr>
                  <a:t>fluorescence totale (unités arbitraires)</a:t>
                </a:r>
                <a:endParaRPr lang="en-GB" sz="1000">
                  <a:effectLst/>
                </a:endParaRPr>
              </a:p>
              <a:p>
                <a:pPr marL="0" marR="0" indent="0" algn="ctr" defTabSz="914400" rtl="0" eaLnBrk="1" fontAlgn="auto" latinLnBrk="0" hangingPunct="1">
                  <a:lnSpc>
                    <a:spcPct val="100000"/>
                  </a:lnSpc>
                  <a:spcBef>
                    <a:spcPts val="0"/>
                  </a:spcBef>
                  <a:spcAft>
                    <a:spcPts val="0"/>
                  </a:spcAft>
                  <a:buClrTx/>
                  <a:buSzTx/>
                  <a:buFontTx/>
                  <a:buNone/>
                  <a:tabLst/>
                  <a:defRPr lang="en-GB" sz="1000" b="1" i="0" u="none" strike="noStrike" kern="1200" baseline="0">
                    <a:solidFill>
                      <a:sysClr val="windowText" lastClr="000000"/>
                    </a:solidFill>
                    <a:latin typeface="+mn-lt"/>
                    <a:ea typeface="+mn-ea"/>
                    <a:cs typeface="+mn-cs"/>
                  </a:defRPr>
                </a:pPr>
                <a:endParaRPr lang="en-US" sz="1000"/>
              </a:p>
            </c:rich>
          </c:tx>
          <c:overlay val="0"/>
        </c:title>
        <c:numFmt formatCode="0.0" sourceLinked="0"/>
        <c:majorTickMark val="out"/>
        <c:minorTickMark val="none"/>
        <c:tickLblPos val="nextTo"/>
        <c:txPr>
          <a:bodyPr/>
          <a:lstStyle/>
          <a:p>
            <a:pPr>
              <a:defRPr lang="en-GB"/>
            </a:pPr>
            <a:endParaRPr lang="fr-FR"/>
          </a:p>
        </c:txPr>
        <c:crossAx val="434373488"/>
        <c:crosses val="autoZero"/>
        <c:crossBetween val="between"/>
        <c:majorUnit val="0.2"/>
      </c:valAx>
    </c:plotArea>
    <c:plotVisOnly val="1"/>
    <c:dispBlanksAs val="gap"/>
    <c:showDLblsOverMax val="0"/>
  </c:chart>
  <c:userShapes r:id="rId1"/>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6.8086563142153819E-2"/>
          <c:y val="0.10694631110669023"/>
          <c:w val="0.91688911122572669"/>
          <c:h val="0.69895377069250364"/>
        </c:manualLayout>
      </c:layout>
      <c:barChart>
        <c:barDir val="col"/>
        <c:grouping val="clustered"/>
        <c:varyColors val="0"/>
        <c:ser>
          <c:idx val="0"/>
          <c:order val="0"/>
          <c:tx>
            <c:v>Pool</c:v>
          </c:tx>
          <c:spPr>
            <a:solidFill>
              <a:srgbClr val="00B050"/>
            </a:solidFill>
          </c:spPr>
          <c:invertIfNegative val="0"/>
          <c:dPt>
            <c:idx val="1"/>
            <c:invertIfNegative val="0"/>
            <c:bubble3D val="0"/>
            <c:spPr>
              <a:solidFill>
                <a:srgbClr val="BA3838"/>
              </a:solidFill>
            </c:spPr>
            <c:extLst>
              <c:ext xmlns:c16="http://schemas.microsoft.com/office/drawing/2014/chart" uri="{C3380CC4-5D6E-409C-BE32-E72D297353CC}">
                <c16:uniqueId val="{00000001-033C-4530-84A9-991A3866ABD4}"/>
              </c:ext>
            </c:extLst>
          </c:dPt>
          <c:dPt>
            <c:idx val="2"/>
            <c:invertIfNegative val="0"/>
            <c:bubble3D val="0"/>
            <c:spPr>
              <a:solidFill>
                <a:schemeClr val="bg1">
                  <a:lumMod val="65000"/>
                </a:schemeClr>
              </a:solidFill>
            </c:spPr>
            <c:extLst>
              <c:ext xmlns:c16="http://schemas.microsoft.com/office/drawing/2014/chart" uri="{C3380CC4-5D6E-409C-BE32-E72D297353CC}">
                <c16:uniqueId val="{00000003-033C-4530-84A9-991A3866ABD4}"/>
              </c:ext>
            </c:extLst>
          </c:dPt>
          <c:dPt>
            <c:idx val="3"/>
            <c:invertIfNegative val="0"/>
            <c:bubble3D val="0"/>
            <c:spPr>
              <a:solidFill>
                <a:schemeClr val="bg1">
                  <a:lumMod val="65000"/>
                </a:schemeClr>
              </a:solidFill>
            </c:spPr>
            <c:extLst>
              <c:ext xmlns:c16="http://schemas.microsoft.com/office/drawing/2014/chart" uri="{C3380CC4-5D6E-409C-BE32-E72D297353CC}">
                <c16:uniqueId val="{00000005-033C-4530-84A9-991A3866ABD4}"/>
              </c:ext>
            </c:extLst>
          </c:dPt>
          <c:dPt>
            <c:idx val="4"/>
            <c:invertIfNegative val="0"/>
            <c:bubble3D val="0"/>
            <c:spPr>
              <a:solidFill>
                <a:schemeClr val="bg1">
                  <a:lumMod val="65000"/>
                </a:schemeClr>
              </a:solidFill>
            </c:spPr>
            <c:extLst>
              <c:ext xmlns:c16="http://schemas.microsoft.com/office/drawing/2014/chart" uri="{C3380CC4-5D6E-409C-BE32-E72D297353CC}">
                <c16:uniqueId val="{00000007-033C-4530-84A9-991A3866ABD4}"/>
              </c:ext>
            </c:extLst>
          </c:dPt>
          <c:dPt>
            <c:idx val="5"/>
            <c:invertIfNegative val="0"/>
            <c:bubble3D val="0"/>
            <c:spPr>
              <a:solidFill>
                <a:schemeClr val="tx2">
                  <a:lumMod val="40000"/>
                  <a:lumOff val="60000"/>
                </a:schemeClr>
              </a:solidFill>
            </c:spPr>
            <c:extLst>
              <c:ext xmlns:c16="http://schemas.microsoft.com/office/drawing/2014/chart" uri="{C3380CC4-5D6E-409C-BE32-E72D297353CC}">
                <c16:uniqueId val="{00000009-033C-4530-84A9-991A3866ABD4}"/>
              </c:ext>
            </c:extLst>
          </c:dPt>
          <c:dPt>
            <c:idx val="6"/>
            <c:invertIfNegative val="0"/>
            <c:bubble3D val="0"/>
            <c:spPr>
              <a:solidFill>
                <a:schemeClr val="tx2">
                  <a:lumMod val="40000"/>
                  <a:lumOff val="60000"/>
                </a:schemeClr>
              </a:solidFill>
            </c:spPr>
            <c:extLst>
              <c:ext xmlns:c16="http://schemas.microsoft.com/office/drawing/2014/chart" uri="{C3380CC4-5D6E-409C-BE32-E72D297353CC}">
                <c16:uniqueId val="{0000000B-033C-4530-84A9-991A3866ABD4}"/>
              </c:ext>
            </c:extLst>
          </c:dPt>
          <c:dPt>
            <c:idx val="7"/>
            <c:invertIfNegative val="0"/>
            <c:bubble3D val="0"/>
            <c:spPr>
              <a:solidFill>
                <a:schemeClr val="tx2">
                  <a:lumMod val="40000"/>
                  <a:lumOff val="60000"/>
                </a:schemeClr>
              </a:solidFill>
            </c:spPr>
            <c:extLst>
              <c:ext xmlns:c16="http://schemas.microsoft.com/office/drawing/2014/chart" uri="{C3380CC4-5D6E-409C-BE32-E72D297353CC}">
                <c16:uniqueId val="{0000000D-033C-4530-84A9-991A3866ABD4}"/>
              </c:ext>
            </c:extLst>
          </c:dPt>
          <c:dPt>
            <c:idx val="8"/>
            <c:invertIfNegative val="0"/>
            <c:bubble3D val="0"/>
            <c:spPr>
              <a:solidFill>
                <a:schemeClr val="bg1">
                  <a:lumMod val="65000"/>
                </a:schemeClr>
              </a:solidFill>
            </c:spPr>
            <c:extLst>
              <c:ext xmlns:c16="http://schemas.microsoft.com/office/drawing/2014/chart" uri="{C3380CC4-5D6E-409C-BE32-E72D297353CC}">
                <c16:uniqueId val="{0000000F-033C-4530-84A9-991A3866ABD4}"/>
              </c:ext>
            </c:extLst>
          </c:dPt>
          <c:dPt>
            <c:idx val="9"/>
            <c:invertIfNegative val="0"/>
            <c:bubble3D val="0"/>
            <c:spPr>
              <a:solidFill>
                <a:schemeClr val="bg1">
                  <a:lumMod val="65000"/>
                </a:schemeClr>
              </a:solidFill>
            </c:spPr>
            <c:extLst>
              <c:ext xmlns:c16="http://schemas.microsoft.com/office/drawing/2014/chart" uri="{C3380CC4-5D6E-409C-BE32-E72D297353CC}">
                <c16:uniqueId val="{00000011-033C-4530-84A9-991A3866ABD4}"/>
              </c:ext>
            </c:extLst>
          </c:dPt>
          <c:dPt>
            <c:idx val="10"/>
            <c:invertIfNegative val="0"/>
            <c:bubble3D val="0"/>
            <c:spPr>
              <a:solidFill>
                <a:schemeClr val="bg1">
                  <a:lumMod val="65000"/>
                </a:schemeClr>
              </a:solidFill>
            </c:spPr>
            <c:extLst>
              <c:ext xmlns:c16="http://schemas.microsoft.com/office/drawing/2014/chart" uri="{C3380CC4-5D6E-409C-BE32-E72D297353CC}">
                <c16:uniqueId val="{00000013-033C-4530-84A9-991A3866ABD4}"/>
              </c:ext>
            </c:extLst>
          </c:dPt>
          <c:dPt>
            <c:idx val="11"/>
            <c:invertIfNegative val="0"/>
            <c:bubble3D val="0"/>
            <c:spPr>
              <a:solidFill>
                <a:schemeClr val="tx2">
                  <a:lumMod val="40000"/>
                  <a:lumOff val="60000"/>
                </a:schemeClr>
              </a:solidFill>
            </c:spPr>
            <c:extLst>
              <c:ext xmlns:c16="http://schemas.microsoft.com/office/drawing/2014/chart" uri="{C3380CC4-5D6E-409C-BE32-E72D297353CC}">
                <c16:uniqueId val="{00000015-033C-4530-84A9-991A3866ABD4}"/>
              </c:ext>
            </c:extLst>
          </c:dPt>
          <c:dPt>
            <c:idx val="12"/>
            <c:invertIfNegative val="0"/>
            <c:bubble3D val="0"/>
            <c:spPr>
              <a:solidFill>
                <a:schemeClr val="tx2">
                  <a:lumMod val="40000"/>
                  <a:lumOff val="60000"/>
                </a:schemeClr>
              </a:solidFill>
            </c:spPr>
            <c:extLst>
              <c:ext xmlns:c16="http://schemas.microsoft.com/office/drawing/2014/chart" uri="{C3380CC4-5D6E-409C-BE32-E72D297353CC}">
                <c16:uniqueId val="{00000017-033C-4530-84A9-991A3866ABD4}"/>
              </c:ext>
            </c:extLst>
          </c:dPt>
          <c:dPt>
            <c:idx val="13"/>
            <c:invertIfNegative val="0"/>
            <c:bubble3D val="0"/>
            <c:spPr>
              <a:solidFill>
                <a:schemeClr val="tx2">
                  <a:lumMod val="40000"/>
                  <a:lumOff val="60000"/>
                </a:schemeClr>
              </a:solidFill>
            </c:spPr>
            <c:extLst>
              <c:ext xmlns:c16="http://schemas.microsoft.com/office/drawing/2014/chart" uri="{C3380CC4-5D6E-409C-BE32-E72D297353CC}">
                <c16:uniqueId val="{00000019-033C-4530-84A9-991A3866ABD4}"/>
              </c:ext>
            </c:extLst>
          </c:dPt>
          <c:dPt>
            <c:idx val="14"/>
            <c:invertIfNegative val="0"/>
            <c:bubble3D val="0"/>
            <c:spPr>
              <a:solidFill>
                <a:schemeClr val="bg1">
                  <a:lumMod val="65000"/>
                </a:schemeClr>
              </a:solidFill>
            </c:spPr>
            <c:extLst>
              <c:ext xmlns:c16="http://schemas.microsoft.com/office/drawing/2014/chart" uri="{C3380CC4-5D6E-409C-BE32-E72D297353CC}">
                <c16:uniqueId val="{0000001B-033C-4530-84A9-991A3866ABD4}"/>
              </c:ext>
            </c:extLst>
          </c:dPt>
          <c:dPt>
            <c:idx val="15"/>
            <c:invertIfNegative val="0"/>
            <c:bubble3D val="0"/>
            <c:spPr>
              <a:solidFill>
                <a:schemeClr val="bg1">
                  <a:lumMod val="65000"/>
                </a:schemeClr>
              </a:solidFill>
            </c:spPr>
            <c:extLst>
              <c:ext xmlns:c16="http://schemas.microsoft.com/office/drawing/2014/chart" uri="{C3380CC4-5D6E-409C-BE32-E72D297353CC}">
                <c16:uniqueId val="{0000001D-033C-4530-84A9-991A3866ABD4}"/>
              </c:ext>
            </c:extLst>
          </c:dPt>
          <c:dPt>
            <c:idx val="16"/>
            <c:invertIfNegative val="0"/>
            <c:bubble3D val="0"/>
            <c:spPr>
              <a:solidFill>
                <a:schemeClr val="bg1">
                  <a:lumMod val="65000"/>
                </a:schemeClr>
              </a:solidFill>
            </c:spPr>
            <c:extLst>
              <c:ext xmlns:c16="http://schemas.microsoft.com/office/drawing/2014/chart" uri="{C3380CC4-5D6E-409C-BE32-E72D297353CC}">
                <c16:uniqueId val="{0000001F-033C-4530-84A9-991A3866ABD4}"/>
              </c:ext>
            </c:extLst>
          </c:dPt>
          <c:dPt>
            <c:idx val="17"/>
            <c:invertIfNegative val="0"/>
            <c:bubble3D val="0"/>
            <c:spPr>
              <a:solidFill>
                <a:schemeClr val="tx2">
                  <a:lumMod val="40000"/>
                  <a:lumOff val="60000"/>
                </a:schemeClr>
              </a:solidFill>
            </c:spPr>
            <c:extLst>
              <c:ext xmlns:c16="http://schemas.microsoft.com/office/drawing/2014/chart" uri="{C3380CC4-5D6E-409C-BE32-E72D297353CC}">
                <c16:uniqueId val="{00000021-033C-4530-84A9-991A3866ABD4}"/>
              </c:ext>
            </c:extLst>
          </c:dPt>
          <c:dPt>
            <c:idx val="18"/>
            <c:invertIfNegative val="0"/>
            <c:bubble3D val="0"/>
            <c:spPr>
              <a:solidFill>
                <a:schemeClr val="tx2">
                  <a:lumMod val="40000"/>
                  <a:lumOff val="60000"/>
                </a:schemeClr>
              </a:solidFill>
            </c:spPr>
            <c:extLst>
              <c:ext xmlns:c16="http://schemas.microsoft.com/office/drawing/2014/chart" uri="{C3380CC4-5D6E-409C-BE32-E72D297353CC}">
                <c16:uniqueId val="{00000023-033C-4530-84A9-991A3866ABD4}"/>
              </c:ext>
            </c:extLst>
          </c:dPt>
          <c:dPt>
            <c:idx val="19"/>
            <c:invertIfNegative val="0"/>
            <c:bubble3D val="0"/>
            <c:spPr>
              <a:solidFill>
                <a:schemeClr val="tx2">
                  <a:lumMod val="40000"/>
                  <a:lumOff val="60000"/>
                </a:schemeClr>
              </a:solidFill>
            </c:spPr>
            <c:extLst>
              <c:ext xmlns:c16="http://schemas.microsoft.com/office/drawing/2014/chart" uri="{C3380CC4-5D6E-409C-BE32-E72D297353CC}">
                <c16:uniqueId val="{00000025-033C-4530-84A9-991A3866ABD4}"/>
              </c:ext>
            </c:extLst>
          </c:dPt>
          <c:dPt>
            <c:idx val="20"/>
            <c:invertIfNegative val="0"/>
            <c:bubble3D val="0"/>
            <c:spPr>
              <a:solidFill>
                <a:schemeClr val="bg1">
                  <a:lumMod val="65000"/>
                </a:schemeClr>
              </a:solidFill>
            </c:spPr>
            <c:extLst>
              <c:ext xmlns:c16="http://schemas.microsoft.com/office/drawing/2014/chart" uri="{C3380CC4-5D6E-409C-BE32-E72D297353CC}">
                <c16:uniqueId val="{00000027-033C-4530-84A9-991A3866ABD4}"/>
              </c:ext>
            </c:extLst>
          </c:dPt>
          <c:dPt>
            <c:idx val="21"/>
            <c:invertIfNegative val="0"/>
            <c:bubble3D val="0"/>
            <c:spPr>
              <a:solidFill>
                <a:schemeClr val="bg1">
                  <a:lumMod val="65000"/>
                </a:schemeClr>
              </a:solidFill>
            </c:spPr>
            <c:extLst>
              <c:ext xmlns:c16="http://schemas.microsoft.com/office/drawing/2014/chart" uri="{C3380CC4-5D6E-409C-BE32-E72D297353CC}">
                <c16:uniqueId val="{00000029-033C-4530-84A9-991A3866ABD4}"/>
              </c:ext>
            </c:extLst>
          </c:dPt>
          <c:dPt>
            <c:idx val="22"/>
            <c:invertIfNegative val="0"/>
            <c:bubble3D val="0"/>
            <c:spPr>
              <a:solidFill>
                <a:schemeClr val="bg1">
                  <a:lumMod val="65000"/>
                </a:schemeClr>
              </a:solidFill>
            </c:spPr>
            <c:extLst>
              <c:ext xmlns:c16="http://schemas.microsoft.com/office/drawing/2014/chart" uri="{C3380CC4-5D6E-409C-BE32-E72D297353CC}">
                <c16:uniqueId val="{0000002B-033C-4530-84A9-991A3866ABD4}"/>
              </c:ext>
            </c:extLst>
          </c:dPt>
          <c:dLbls>
            <c:dLbl>
              <c:idx val="0"/>
              <c:tx>
                <c:rich>
                  <a:bodyPr/>
                  <a:lstStyle/>
                  <a:p>
                    <a:fld id="{6D1E3FF6-904B-4B5C-BDCB-53A05932B0D6}" type="CELLRANGE">
                      <a:rPr lang="en-US"/>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2C-033C-4530-84A9-991A3866ABD4}"/>
                </c:ext>
              </c:extLst>
            </c:dLbl>
            <c:dLbl>
              <c:idx val="1"/>
              <c:tx>
                <c:rich>
                  <a:bodyPr/>
                  <a:lstStyle/>
                  <a:p>
                    <a:fld id="{B7FB6652-49E9-4D77-97FD-865600CF191C}"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1-033C-4530-84A9-991A3866ABD4}"/>
                </c:ext>
              </c:extLst>
            </c:dLbl>
            <c:dLbl>
              <c:idx val="2"/>
              <c:tx>
                <c:rich>
                  <a:bodyPr/>
                  <a:lstStyle/>
                  <a:p>
                    <a:fld id="{E2455547-10D0-40F1-960D-BC726CFD0269}"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3-033C-4530-84A9-991A3866ABD4}"/>
                </c:ext>
              </c:extLst>
            </c:dLbl>
            <c:dLbl>
              <c:idx val="3"/>
              <c:tx>
                <c:rich>
                  <a:bodyPr/>
                  <a:lstStyle/>
                  <a:p>
                    <a:fld id="{81138FCF-11D1-48C1-9485-5577E9470CE9}"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5-033C-4530-84A9-991A3866ABD4}"/>
                </c:ext>
              </c:extLst>
            </c:dLbl>
            <c:dLbl>
              <c:idx val="4"/>
              <c:tx>
                <c:rich>
                  <a:bodyPr/>
                  <a:lstStyle/>
                  <a:p>
                    <a:fld id="{47F623EB-6C7B-4E27-97AB-07B9522B0C1C}"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7-033C-4530-84A9-991A3866ABD4}"/>
                </c:ext>
              </c:extLst>
            </c:dLbl>
            <c:dLbl>
              <c:idx val="5"/>
              <c:tx>
                <c:rich>
                  <a:bodyPr/>
                  <a:lstStyle/>
                  <a:p>
                    <a:fld id="{34CB669B-3E66-409F-97FB-55BAD808B909}"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9-033C-4530-84A9-991A3866ABD4}"/>
                </c:ext>
              </c:extLst>
            </c:dLbl>
            <c:dLbl>
              <c:idx val="6"/>
              <c:tx>
                <c:rich>
                  <a:bodyPr/>
                  <a:lstStyle/>
                  <a:p>
                    <a:fld id="{974A58AA-CB18-4EA3-8C8C-AEEA5828B448}"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B-033C-4530-84A9-991A3866ABD4}"/>
                </c:ext>
              </c:extLst>
            </c:dLbl>
            <c:dLbl>
              <c:idx val="7"/>
              <c:tx>
                <c:rich>
                  <a:bodyPr/>
                  <a:lstStyle/>
                  <a:p>
                    <a:fld id="{258D51D5-F11C-4F15-BDC7-F46868F6DA95}"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D-033C-4530-84A9-991A3866ABD4}"/>
                </c:ext>
              </c:extLst>
            </c:dLbl>
            <c:dLbl>
              <c:idx val="8"/>
              <c:tx>
                <c:rich>
                  <a:bodyPr/>
                  <a:lstStyle/>
                  <a:p>
                    <a:fld id="{D5A0B5BF-3E22-4310-8A5E-6D76CE3D7BA0}"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F-033C-4530-84A9-991A3866ABD4}"/>
                </c:ext>
              </c:extLst>
            </c:dLbl>
            <c:dLbl>
              <c:idx val="9"/>
              <c:tx>
                <c:rich>
                  <a:bodyPr/>
                  <a:lstStyle/>
                  <a:p>
                    <a:fld id="{FA267DD9-6362-47E9-A9E0-52A489504CDA}"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1-033C-4530-84A9-991A3866ABD4}"/>
                </c:ext>
              </c:extLst>
            </c:dLbl>
            <c:dLbl>
              <c:idx val="10"/>
              <c:tx>
                <c:rich>
                  <a:bodyPr/>
                  <a:lstStyle/>
                  <a:p>
                    <a:fld id="{ED62F3BC-F29F-41EF-94EA-E6B50AA97472}"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3-033C-4530-84A9-991A3866ABD4}"/>
                </c:ext>
              </c:extLst>
            </c:dLbl>
            <c:dLbl>
              <c:idx val="11"/>
              <c:tx>
                <c:rich>
                  <a:bodyPr/>
                  <a:lstStyle/>
                  <a:p>
                    <a:fld id="{5F541704-0818-4ED9-8420-E1011C545C3A}"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5-033C-4530-84A9-991A3866ABD4}"/>
                </c:ext>
              </c:extLst>
            </c:dLbl>
            <c:dLbl>
              <c:idx val="12"/>
              <c:tx>
                <c:rich>
                  <a:bodyPr/>
                  <a:lstStyle/>
                  <a:p>
                    <a:endParaRPr lang="fr-FR"/>
                  </a:p>
                </c:rich>
              </c:tx>
              <c:dLblPos val="outEnd"/>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17-033C-4530-84A9-991A3866ABD4}"/>
                </c:ext>
              </c:extLst>
            </c:dLbl>
            <c:dLbl>
              <c:idx val="13"/>
              <c:tx>
                <c:rich>
                  <a:bodyPr/>
                  <a:lstStyle/>
                  <a:p>
                    <a:fld id="{B744A5FE-A9B5-4052-9DA9-150CA9B91B9E}"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9-033C-4530-84A9-991A3866ABD4}"/>
                </c:ext>
              </c:extLst>
            </c:dLbl>
            <c:dLbl>
              <c:idx val="14"/>
              <c:tx>
                <c:rich>
                  <a:bodyPr/>
                  <a:lstStyle/>
                  <a:p>
                    <a:fld id="{0861B04A-863F-4C85-9377-1C601B110B52}"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B-033C-4530-84A9-991A3866ABD4}"/>
                </c:ext>
              </c:extLst>
            </c:dLbl>
            <c:dLbl>
              <c:idx val="15"/>
              <c:tx>
                <c:rich>
                  <a:bodyPr/>
                  <a:lstStyle/>
                  <a:p>
                    <a:fld id="{E4D0A620-3CE2-4511-B362-A83FE7957C3F}"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D-033C-4530-84A9-991A3866ABD4}"/>
                </c:ext>
              </c:extLst>
            </c:dLbl>
            <c:dLbl>
              <c:idx val="16"/>
              <c:tx>
                <c:rich>
                  <a:bodyPr/>
                  <a:lstStyle/>
                  <a:p>
                    <a:fld id="{B7D555F8-8F59-4CDB-847F-36885DEB63DF}"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F-033C-4530-84A9-991A3866ABD4}"/>
                </c:ext>
              </c:extLst>
            </c:dLbl>
            <c:dLbl>
              <c:idx val="17"/>
              <c:tx>
                <c:rich>
                  <a:bodyPr/>
                  <a:lstStyle/>
                  <a:p>
                    <a:fld id="{BF013C91-38D1-4641-A430-7592AD80D8DC}"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1-033C-4530-84A9-991A3866ABD4}"/>
                </c:ext>
              </c:extLst>
            </c:dLbl>
            <c:dLbl>
              <c:idx val="18"/>
              <c:tx>
                <c:rich>
                  <a:bodyPr/>
                  <a:lstStyle/>
                  <a:p>
                    <a:fld id="{C3E6824A-D1DC-43A5-A31D-2825ABDFA4F3}"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3-033C-4530-84A9-991A3866ABD4}"/>
                </c:ext>
              </c:extLst>
            </c:dLbl>
            <c:dLbl>
              <c:idx val="19"/>
              <c:tx>
                <c:rich>
                  <a:bodyPr/>
                  <a:lstStyle/>
                  <a:p>
                    <a:fld id="{81E8124A-2124-4CBF-9098-78CD8BD9E55E}"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5-033C-4530-84A9-991A3866ABD4}"/>
                </c:ext>
              </c:extLst>
            </c:dLbl>
            <c:dLbl>
              <c:idx val="20"/>
              <c:tx>
                <c:rich>
                  <a:bodyPr/>
                  <a:lstStyle/>
                  <a:p>
                    <a:fld id="{3AE23F98-713C-4A6E-AC88-09EC5A0DB3C9}"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7-033C-4530-84A9-991A3866ABD4}"/>
                </c:ext>
              </c:extLst>
            </c:dLbl>
            <c:dLbl>
              <c:idx val="29"/>
              <c:tx>
                <c:rich>
                  <a:bodyPr/>
                  <a:lstStyle/>
                  <a:p>
                    <a:endParaRPr lang="en-US"/>
                  </a:p>
                </c:rich>
              </c:tx>
              <c:dLblPos val="outEnd"/>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3-033C-4530-84A9-991A3866ABD4}"/>
                </c:ext>
              </c:extLst>
            </c:dLbl>
            <c:spPr>
              <a:noFill/>
              <a:ln>
                <a:noFill/>
              </a:ln>
              <a:effectLst/>
            </c:spPr>
            <c:dLblPos val="outEnd"/>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1"/>
              </c:ext>
            </c:extLst>
          </c:dLbls>
          <c:errBars>
            <c:errBarType val="both"/>
            <c:errValType val="cust"/>
            <c:noEndCap val="0"/>
            <c:plus>
              <c:numRef>
                <c:f>'pooled normalised values'!$B$76:$V$76</c:f>
                <c:numCache>
                  <c:formatCode>General</c:formatCode>
                  <c:ptCount val="21"/>
                  <c:pt idx="0">
                    <c:v>1.1466546250547665E-2</c:v>
                  </c:pt>
                  <c:pt idx="1">
                    <c:v>1.9005995944252466E-2</c:v>
                  </c:pt>
                  <c:pt idx="2">
                    <c:v>3.2599492171746777E-2</c:v>
                  </c:pt>
                  <c:pt idx="3">
                    <c:v>7.0592726759400454E-2</c:v>
                  </c:pt>
                  <c:pt idx="4">
                    <c:v>0.111257856235077</c:v>
                  </c:pt>
                  <c:pt idx="5">
                    <c:v>8.147305053219886E-2</c:v>
                  </c:pt>
                  <c:pt idx="6">
                    <c:v>0.10600622740498512</c:v>
                  </c:pt>
                  <c:pt idx="7">
                    <c:v>1.7527471489145248E-2</c:v>
                  </c:pt>
                  <c:pt idx="8">
                    <c:v>1.5708614272673366E-2</c:v>
                  </c:pt>
                  <c:pt idx="9">
                    <c:v>1.0703728370627904E-2</c:v>
                  </c:pt>
                  <c:pt idx="10">
                    <c:v>1.3122597411832698E-2</c:v>
                  </c:pt>
                  <c:pt idx="11">
                    <c:v>1.0476151828696939E-2</c:v>
                  </c:pt>
                  <c:pt idx="13">
                    <c:v>7.6618254641187655E-2</c:v>
                  </c:pt>
                  <c:pt idx="14">
                    <c:v>0.11281886422769091</c:v>
                  </c:pt>
                  <c:pt idx="15">
                    <c:v>1.3714902488969361E-2</c:v>
                  </c:pt>
                  <c:pt idx="16">
                    <c:v>1.0190309909861693E-2</c:v>
                  </c:pt>
                  <c:pt idx="17">
                    <c:v>1.6024814379509787E-2</c:v>
                  </c:pt>
                  <c:pt idx="18">
                    <c:v>1.8390689297824687E-2</c:v>
                  </c:pt>
                  <c:pt idx="19">
                    <c:v>1.683939007610314E-2</c:v>
                  </c:pt>
                  <c:pt idx="20">
                    <c:v>1.4809678053783342E-2</c:v>
                  </c:pt>
                </c:numCache>
              </c:numRef>
            </c:plus>
            <c:minus>
              <c:numRef>
                <c:f>'pooled normalised values'!$B$76:$V$76</c:f>
                <c:numCache>
                  <c:formatCode>General</c:formatCode>
                  <c:ptCount val="21"/>
                  <c:pt idx="0">
                    <c:v>1.1466546250547665E-2</c:v>
                  </c:pt>
                  <c:pt idx="1">
                    <c:v>1.9005995944252466E-2</c:v>
                  </c:pt>
                  <c:pt idx="2">
                    <c:v>3.2599492171746777E-2</c:v>
                  </c:pt>
                  <c:pt idx="3">
                    <c:v>7.0592726759400454E-2</c:v>
                  </c:pt>
                  <c:pt idx="4">
                    <c:v>0.111257856235077</c:v>
                  </c:pt>
                  <c:pt idx="5">
                    <c:v>8.147305053219886E-2</c:v>
                  </c:pt>
                  <c:pt idx="6">
                    <c:v>0.10600622740498512</c:v>
                  </c:pt>
                  <c:pt idx="7">
                    <c:v>1.7527471489145248E-2</c:v>
                  </c:pt>
                  <c:pt idx="8">
                    <c:v>1.5708614272673366E-2</c:v>
                  </c:pt>
                  <c:pt idx="9">
                    <c:v>1.0703728370627904E-2</c:v>
                  </c:pt>
                  <c:pt idx="10">
                    <c:v>1.3122597411832698E-2</c:v>
                  </c:pt>
                  <c:pt idx="11">
                    <c:v>1.0476151828696939E-2</c:v>
                  </c:pt>
                  <c:pt idx="13">
                    <c:v>7.6618254641187655E-2</c:v>
                  </c:pt>
                  <c:pt idx="14">
                    <c:v>0.11281886422769091</c:v>
                  </c:pt>
                  <c:pt idx="15">
                    <c:v>1.3714902488969361E-2</c:v>
                  </c:pt>
                  <c:pt idx="16">
                    <c:v>1.0190309909861693E-2</c:v>
                  </c:pt>
                  <c:pt idx="17">
                    <c:v>1.6024814379509787E-2</c:v>
                  </c:pt>
                  <c:pt idx="18">
                    <c:v>1.8390689297824687E-2</c:v>
                  </c:pt>
                  <c:pt idx="19">
                    <c:v>1.683939007610314E-2</c:v>
                  </c:pt>
                  <c:pt idx="20">
                    <c:v>1.4809678053783342E-2</c:v>
                  </c:pt>
                </c:numCache>
              </c:numRef>
            </c:minus>
          </c:errBars>
          <c:cat>
            <c:strRef>
              <c:f>'pooled normalised values'!$B$74:$V$74</c:f>
              <c:strCache>
                <c:ptCount val="21"/>
                <c:pt idx="0">
                  <c:v>Témoin solvant</c:v>
                </c:pt>
                <c:pt idx="1">
                  <c:v>EE2-33,8ng/L</c:v>
                </c:pt>
                <c:pt idx="2">
                  <c:v>EE2-50,6ng/L</c:v>
                </c:pt>
                <c:pt idx="3">
                  <c:v>EE2-76ng/L</c:v>
                </c:pt>
                <c:pt idx="4">
                  <c:v>EE2-114ng/L</c:v>
                </c:pt>
                <c:pt idx="5">
                  <c:v>EE2-170,9ng/L</c:v>
                </c:pt>
                <c:pt idx="6">
                  <c:v>EE2-488ng/L</c:v>
                </c:pt>
                <c:pt idx="7">
                  <c:v>FAD-5.4µg/L</c:v>
                </c:pt>
                <c:pt idx="8">
                  <c:v>FAD-11µg/L</c:v>
                </c:pt>
                <c:pt idx="9">
                  <c:v>FAD-22µg/L</c:v>
                </c:pt>
                <c:pt idx="10">
                  <c:v>FAD-44µg/L</c:v>
                </c:pt>
                <c:pt idx="11">
                  <c:v>FAD-87µg/L</c:v>
                </c:pt>
                <c:pt idx="13">
                  <c:v>Testo -30µg/L</c:v>
                </c:pt>
                <c:pt idx="14">
                  <c:v>Testo 30µg/L + EE2 -64ng/L</c:v>
                </c:pt>
                <c:pt idx="15">
                  <c:v>Testo 30µg/L + FAD-10mg/L</c:v>
                </c:pt>
                <c:pt idx="16">
                  <c:v>FAD-5,4µg/L + Testostérone</c:v>
                </c:pt>
                <c:pt idx="17">
                  <c:v>FAD-11µg/L + Testostérone</c:v>
                </c:pt>
                <c:pt idx="18">
                  <c:v>FAD-22µg/L + Testostérone</c:v>
                </c:pt>
                <c:pt idx="19">
                  <c:v>FAD-44µg/L + Testostérone</c:v>
                </c:pt>
                <c:pt idx="20">
                  <c:v>FAD-87µg/L + Testostérone</c:v>
                </c:pt>
              </c:strCache>
            </c:strRef>
          </c:cat>
          <c:val>
            <c:numRef>
              <c:f>'pooled normalised values'!$B$75:$V$75</c:f>
              <c:numCache>
                <c:formatCode>0.0000</c:formatCode>
                <c:ptCount val="21"/>
                <c:pt idx="0">
                  <c:v>0.10038748006553395</c:v>
                </c:pt>
                <c:pt idx="1">
                  <c:v>0.14482434819950377</c:v>
                </c:pt>
                <c:pt idx="2">
                  <c:v>0.14329291465071939</c:v>
                </c:pt>
                <c:pt idx="3">
                  <c:v>0.33519771546365895</c:v>
                </c:pt>
                <c:pt idx="4">
                  <c:v>0.99299282299267866</c:v>
                </c:pt>
                <c:pt idx="5">
                  <c:v>1.5058957174186063</c:v>
                </c:pt>
                <c:pt idx="6">
                  <c:v>2.3895889157248811</c:v>
                </c:pt>
                <c:pt idx="7">
                  <c:v>9.9419711976737629E-2</c:v>
                </c:pt>
                <c:pt idx="8">
                  <c:v>0.12318641759912631</c:v>
                </c:pt>
                <c:pt idx="9">
                  <c:v>9.8606288911205903E-2</c:v>
                </c:pt>
                <c:pt idx="10">
                  <c:v>9.5752955557830824E-2</c:v>
                </c:pt>
                <c:pt idx="11">
                  <c:v>9.450511212467573E-2</c:v>
                </c:pt>
                <c:pt idx="13">
                  <c:v>1.0000000000000002</c:v>
                </c:pt>
                <c:pt idx="14">
                  <c:v>1.8210194807272813</c:v>
                </c:pt>
                <c:pt idx="15">
                  <c:v>9.0738879492618094E-2</c:v>
                </c:pt>
                <c:pt idx="16">
                  <c:v>9.3450997154082671E-2</c:v>
                </c:pt>
                <c:pt idx="17">
                  <c:v>0.11853258339724738</c:v>
                </c:pt>
                <c:pt idx="18">
                  <c:v>0.10086788827521706</c:v>
                </c:pt>
                <c:pt idx="19">
                  <c:v>0.10506860199801071</c:v>
                </c:pt>
                <c:pt idx="20">
                  <c:v>0.11333973772911919</c:v>
                </c:pt>
              </c:numCache>
            </c:numRef>
          </c:val>
          <c:extLst>
            <c:ext xmlns:c15="http://schemas.microsoft.com/office/drawing/2012/chart" uri="{02D57815-91ED-43cb-92C2-25804820EDAC}">
              <c15:datalabelsRange>
                <c15:f>'pooled normalised values'!$B$83:$V$83</c15:f>
                <c15:dlblRangeCache>
                  <c:ptCount val="21"/>
                  <c:pt idx="1">
                    <c:v>ns</c:v>
                  </c:pt>
                  <c:pt idx="2">
                    <c:v>ns</c:v>
                  </c:pt>
                  <c:pt idx="3">
                    <c:v>ns</c:v>
                  </c:pt>
                  <c:pt idx="4">
                    <c:v>***</c:v>
                  </c:pt>
                  <c:pt idx="5">
                    <c:v>***</c:v>
                  </c:pt>
                  <c:pt idx="6">
                    <c:v>***</c:v>
                  </c:pt>
                  <c:pt idx="7">
                    <c:v>ns</c:v>
                  </c:pt>
                  <c:pt idx="8">
                    <c:v>ns</c:v>
                  </c:pt>
                  <c:pt idx="9">
                    <c:v>ns</c:v>
                  </c:pt>
                  <c:pt idx="10">
                    <c:v>ns</c:v>
                  </c:pt>
                  <c:pt idx="11">
                    <c:v>ns</c:v>
                  </c:pt>
                  <c:pt idx="13">
                    <c:v>***</c:v>
                  </c:pt>
                  <c:pt idx="14">
                    <c:v>***</c:v>
                  </c:pt>
                  <c:pt idx="15">
                    <c:v>***</c:v>
                  </c:pt>
                  <c:pt idx="16">
                    <c:v>***</c:v>
                  </c:pt>
                  <c:pt idx="17">
                    <c:v>***</c:v>
                  </c:pt>
                  <c:pt idx="18">
                    <c:v>***</c:v>
                  </c:pt>
                  <c:pt idx="19">
                    <c:v>***</c:v>
                  </c:pt>
                  <c:pt idx="20">
                    <c:v>***</c:v>
                  </c:pt>
                </c15:dlblRangeCache>
              </c15:datalabelsRange>
            </c:ext>
            <c:ext xmlns:c16="http://schemas.microsoft.com/office/drawing/2014/chart" uri="{C3380CC4-5D6E-409C-BE32-E72D297353CC}">
              <c16:uniqueId val="{0000004B-033C-4530-84A9-991A3866ABD4}"/>
            </c:ext>
          </c:extLst>
        </c:ser>
        <c:dLbls>
          <c:showLegendKey val="0"/>
          <c:showVal val="0"/>
          <c:showCatName val="0"/>
          <c:showSerName val="0"/>
          <c:showPercent val="0"/>
          <c:showBubbleSize val="0"/>
        </c:dLbls>
        <c:gapWidth val="150"/>
        <c:axId val="434374272"/>
        <c:axId val="434374664"/>
      </c:barChart>
      <c:catAx>
        <c:axId val="434374272"/>
        <c:scaling>
          <c:orientation val="minMax"/>
        </c:scaling>
        <c:delete val="0"/>
        <c:axPos val="b"/>
        <c:numFmt formatCode="General" sourceLinked="0"/>
        <c:majorTickMark val="out"/>
        <c:minorTickMark val="none"/>
        <c:tickLblPos val="nextTo"/>
        <c:txPr>
          <a:bodyPr rot="-2700000"/>
          <a:lstStyle/>
          <a:p>
            <a:pPr>
              <a:defRPr lang="en-GB" sz="1000"/>
            </a:pPr>
            <a:endParaRPr lang="fr-FR"/>
          </a:p>
        </c:txPr>
        <c:crossAx val="434374664"/>
        <c:crosses val="autoZero"/>
        <c:auto val="1"/>
        <c:lblAlgn val="ctr"/>
        <c:lblOffset val="100"/>
        <c:noMultiLvlLbl val="0"/>
      </c:catAx>
      <c:valAx>
        <c:axId val="434374664"/>
        <c:scaling>
          <c:orientation val="minMax"/>
          <c:min val="0"/>
        </c:scaling>
        <c:delete val="0"/>
        <c:axPos val="l"/>
        <c:majorGridlines/>
        <c:title>
          <c:tx>
            <c:rich>
              <a:bodyPr rot="-5400000" vert="horz"/>
              <a:lstStyle/>
              <a:p>
                <a:pPr>
                  <a:defRPr lang="en-GB" sz="1400"/>
                </a:pPr>
                <a:r>
                  <a:rPr lang="en-US" sz="1400"/>
                  <a:t>fluorescence totale (unités arbitraires)</a:t>
                </a:r>
              </a:p>
            </c:rich>
          </c:tx>
          <c:overlay val="0"/>
        </c:title>
        <c:numFmt formatCode="0.0" sourceLinked="0"/>
        <c:majorTickMark val="out"/>
        <c:minorTickMark val="none"/>
        <c:tickLblPos val="nextTo"/>
        <c:txPr>
          <a:bodyPr/>
          <a:lstStyle/>
          <a:p>
            <a:pPr>
              <a:defRPr lang="en-GB"/>
            </a:pPr>
            <a:endParaRPr lang="fr-FR"/>
          </a:p>
        </c:txPr>
        <c:crossAx val="434374272"/>
        <c:crosses val="autoZero"/>
        <c:crossBetween val="between"/>
      </c:valAx>
    </c:plotArea>
    <c:plotVisOnly val="1"/>
    <c:dispBlanksAs val="gap"/>
    <c:showDLblsOverMax val="0"/>
  </c:char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2.4782389848882268E-2"/>
          <c:y val="0.1177993707615683"/>
          <c:w val="0.95294048327555492"/>
          <c:h val="0.78390772121005858"/>
        </c:manualLayout>
      </c:layout>
      <c:scatterChart>
        <c:scatterStyle val="lineMarker"/>
        <c:varyColors val="0"/>
        <c:ser>
          <c:idx val="0"/>
          <c:order val="0"/>
          <c:spPr>
            <a:ln w="28575">
              <a:noFill/>
            </a:ln>
          </c:spPr>
          <c:marker>
            <c:symbol val="circle"/>
            <c:size val="5"/>
          </c:marker>
          <c:dLbls>
            <c:dLbl>
              <c:idx val="0"/>
              <c:tx>
                <c:rich>
                  <a:bodyPr/>
                  <a:lstStyle/>
                  <a:p>
                    <a:fld id="{5E88AC78-30D4-42FF-910A-07E69F69A112}" type="CELLRANGE">
                      <a:rPr lang="en-US"/>
                      <a:pPr/>
                      <a:t>[PLAGECELL]</a:t>
                    </a:fld>
                    <a:endParaRPr lang="fr-FR"/>
                  </a:p>
                </c:rich>
              </c:tx>
              <c:dLblPos val="l"/>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0-8A0E-4A73-A150-20269D17EA87}"/>
                </c:ext>
              </c:extLst>
            </c:dLbl>
            <c:dLbl>
              <c:idx val="1"/>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0-9CC3-4389-B7A2-7B6B1524FA3D}"/>
                </c:ext>
              </c:extLst>
            </c:dLbl>
            <c:dLbl>
              <c:idx val="2"/>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1-9CC3-4389-B7A2-7B6B1524FA3D}"/>
                </c:ext>
              </c:extLst>
            </c:dLbl>
            <c:dLbl>
              <c:idx val="3"/>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2-9CC3-4389-B7A2-7B6B1524FA3D}"/>
                </c:ext>
              </c:extLst>
            </c:dLbl>
            <c:dLbl>
              <c:idx val="4"/>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3-9CC3-4389-B7A2-7B6B1524FA3D}"/>
                </c:ext>
              </c:extLst>
            </c:dLbl>
            <c:dLbl>
              <c:idx val="5"/>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4-9CC3-4389-B7A2-7B6B1524FA3D}"/>
                </c:ext>
              </c:extLst>
            </c:dLbl>
            <c:dLbl>
              <c:idx val="6"/>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5-9CC3-4389-B7A2-7B6B1524FA3D}"/>
                </c:ext>
              </c:extLst>
            </c:dLbl>
            <c:dLbl>
              <c:idx val="7"/>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6-9CC3-4389-B7A2-7B6B1524FA3D}"/>
                </c:ext>
              </c:extLst>
            </c:dLbl>
            <c:dLbl>
              <c:idx val="8"/>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7-9CC3-4389-B7A2-7B6B1524FA3D}"/>
                </c:ext>
              </c:extLst>
            </c:dLbl>
            <c:dLbl>
              <c:idx val="9"/>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8-9CC3-4389-B7A2-7B6B1524FA3D}"/>
                </c:ext>
              </c:extLst>
            </c:dLbl>
            <c:dLbl>
              <c:idx val="10"/>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9-9CC3-4389-B7A2-7B6B1524FA3D}"/>
                </c:ext>
              </c:extLst>
            </c:dLbl>
            <c:dLbl>
              <c:idx val="11"/>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A-9CC3-4389-B7A2-7B6B1524FA3D}"/>
                </c:ext>
              </c:extLst>
            </c:dLbl>
            <c:dLbl>
              <c:idx val="12"/>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B-9CC3-4389-B7A2-7B6B1524FA3D}"/>
                </c:ext>
              </c:extLst>
            </c:dLbl>
            <c:dLbl>
              <c:idx val="13"/>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C-9CC3-4389-B7A2-7B6B1524FA3D}"/>
                </c:ext>
              </c:extLst>
            </c:dLbl>
            <c:dLbl>
              <c:idx val="14"/>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D-9CC3-4389-B7A2-7B6B1524FA3D}"/>
                </c:ext>
              </c:extLst>
            </c:dLbl>
            <c:dLbl>
              <c:idx val="15"/>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E-9CC3-4389-B7A2-7B6B1524FA3D}"/>
                </c:ext>
              </c:extLst>
            </c:dLbl>
            <c:dLbl>
              <c:idx val="16"/>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F-9CC3-4389-B7A2-7B6B1524FA3D}"/>
                </c:ext>
              </c:extLst>
            </c:dLbl>
            <c:dLbl>
              <c:idx val="17"/>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0-9CC3-4389-B7A2-7B6B1524FA3D}"/>
                </c:ext>
              </c:extLst>
            </c:dLbl>
            <c:dLbl>
              <c:idx val="18"/>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1-9CC3-4389-B7A2-7B6B1524FA3D}"/>
                </c:ext>
              </c:extLst>
            </c:dLbl>
            <c:dLbl>
              <c:idx val="19"/>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2-9CC3-4389-B7A2-7B6B1524FA3D}"/>
                </c:ext>
              </c:extLst>
            </c:dLbl>
            <c:spPr>
              <a:noFill/>
              <a:ln>
                <a:noFill/>
              </a:ln>
              <a:effectLst/>
            </c:spPr>
            <c:txPr>
              <a:bodyPr wrap="square" lIns="38100" tIns="19050" rIns="38100" bIns="19050" anchor="ctr">
                <a:spAutoFit/>
              </a:bodyPr>
              <a:lstStyle/>
              <a:p>
                <a:pPr>
                  <a:defRPr sz="1200"/>
                </a:pPr>
                <a:endParaRPr lang="fr-FR"/>
              </a:p>
            </c:txPr>
            <c:dLblPos val="l"/>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1"/>
              </c:ext>
            </c:extLst>
          </c:dLbls>
          <c:xVal>
            <c:numRef>
              <c:f>'summary results'!$M$7:$M$26</c:f>
              <c:numCache>
                <c:formatCode>General</c:formatCode>
                <c:ptCount val="20"/>
                <c:pt idx="0">
                  <c:v>0</c:v>
                </c:pt>
                <c:pt idx="1">
                  <c:v>0</c:v>
                </c:pt>
                <c:pt idx="2">
                  <c:v>0</c:v>
                </c:pt>
                <c:pt idx="3">
                  <c:v>0</c:v>
                </c:pt>
                <c:pt idx="4">
                  <c:v>0</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xVal>
          <c:yVal>
            <c:numRef>
              <c:f>'summary results'!$L$7:$L$26</c:f>
              <c:numCache>
                <c:formatCode>0</c:formatCode>
                <c:ptCount val="20"/>
                <c:pt idx="0">
                  <c:v>1</c:v>
                </c:pt>
              </c:numCache>
            </c:numRef>
          </c:yVal>
          <c:smooth val="0"/>
          <c:extLst>
            <c:ext xmlns:c15="http://schemas.microsoft.com/office/drawing/2012/chart" uri="{02D57815-91ED-43cb-92C2-25804820EDAC}">
              <c15:datalabelsRange>
                <c15:f>'summary results'!$N$7:$N$26</c15:f>
                <c15:dlblRangeCache>
                  <c:ptCount val="20"/>
                  <c:pt idx="0">
                    <c:v>FAD-5,4µg/L : 0%</c:v>
                  </c:pt>
                  <c:pt idx="1">
                    <c:v>FAD-11µg/L : 0%</c:v>
                  </c:pt>
                  <c:pt idx="2">
                    <c:v>FAD-22µg/L : 0%</c:v>
                  </c:pt>
                  <c:pt idx="3">
                    <c:v>FAD-44µg/L : 0%</c:v>
                  </c:pt>
                  <c:pt idx="4">
                    <c:v>FAD-87µg/L : 0%</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15:dlblRangeCache>
              </c15:datalabelsRange>
            </c:ext>
            <c:ext xmlns:c16="http://schemas.microsoft.com/office/drawing/2014/chart" uri="{C3380CC4-5D6E-409C-BE32-E72D297353CC}">
              <c16:uniqueId val="{00000008-8A0E-4A73-A150-20269D17EA87}"/>
            </c:ext>
          </c:extLst>
        </c:ser>
        <c:dLbls>
          <c:dLblPos val="l"/>
          <c:showLegendKey val="0"/>
          <c:showVal val="1"/>
          <c:showCatName val="0"/>
          <c:showSerName val="0"/>
          <c:showPercent val="0"/>
          <c:showBubbleSize val="0"/>
        </c:dLbls>
        <c:axId val="434375448"/>
        <c:axId val="434375840"/>
      </c:scatterChart>
      <c:valAx>
        <c:axId val="434375448"/>
        <c:scaling>
          <c:orientation val="minMax"/>
          <c:max val="150"/>
          <c:min val="-150"/>
        </c:scaling>
        <c:delete val="1"/>
        <c:axPos val="b"/>
        <c:majorGridlines>
          <c:spPr>
            <a:ln w="9525" cap="flat" cmpd="sng" algn="ctr">
              <a:solidFill>
                <a:schemeClr val="tx1">
                  <a:lumMod val="15000"/>
                  <a:lumOff val="85000"/>
                  <a:alpha val="96000"/>
                </a:schemeClr>
              </a:solidFill>
              <a:round/>
            </a:ln>
            <a:effectLst/>
          </c:spPr>
        </c:majorGridlines>
        <c:numFmt formatCode="General" sourceLinked="1"/>
        <c:majorTickMark val="out"/>
        <c:minorTickMark val="none"/>
        <c:tickLblPos val="nextTo"/>
        <c:crossAx val="434375840"/>
        <c:crosses val="autoZero"/>
        <c:crossBetween val="midCat"/>
        <c:majorUnit val="25"/>
      </c:valAx>
      <c:valAx>
        <c:axId val="434375840"/>
        <c:scaling>
          <c:orientation val="minMax"/>
          <c:max val="10"/>
          <c:min val="0"/>
        </c:scaling>
        <c:delete val="0"/>
        <c:axPos val="l"/>
        <c:numFmt formatCode="0" sourceLinked="1"/>
        <c:majorTickMark val="none"/>
        <c:minorTickMark val="none"/>
        <c:tickLblPos val="none"/>
        <c:spPr>
          <a:noFill/>
          <a:ln w="9525" cap="flat" cmpd="sng" algn="ctr">
            <a:solidFill>
              <a:schemeClr val="tx1">
                <a:lumMod val="25000"/>
                <a:lumOff val="75000"/>
              </a:schemeClr>
            </a:solidFill>
            <a:round/>
          </a:ln>
          <a:effectLst/>
        </c:spPr>
        <c:txPr>
          <a:bodyPr rot="-60000000" vert="horz"/>
          <a:lstStyle/>
          <a:p>
            <a:pPr>
              <a:defRPr/>
            </a:pPr>
            <a:endParaRPr lang="fr-FR"/>
          </a:p>
        </c:txPr>
        <c:crossAx val="434375448"/>
        <c:crossesAt val="0"/>
        <c:crossBetween val="midCat"/>
      </c:val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sz="900">
          <a:solidFill>
            <a:schemeClr val="tx1">
              <a:lumMod val="75000"/>
              <a:lumOff val="25000"/>
            </a:schemeClr>
          </a:solidFill>
        </a:defRPr>
      </a:pPr>
      <a:endParaRPr lang="fr-FR"/>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2.4782389848882268E-2"/>
          <c:y val="0.1177993707615683"/>
          <c:w val="0.95294048327555492"/>
          <c:h val="0.78390772121005858"/>
        </c:manualLayout>
      </c:layout>
      <c:scatterChart>
        <c:scatterStyle val="lineMarker"/>
        <c:varyColors val="0"/>
        <c:ser>
          <c:idx val="0"/>
          <c:order val="0"/>
          <c:spPr>
            <a:ln w="28575">
              <a:noFill/>
            </a:ln>
          </c:spPr>
          <c:marker>
            <c:symbol val="circle"/>
            <c:size val="5"/>
          </c:marker>
          <c:dLbls>
            <c:dLbl>
              <c:idx val="0"/>
              <c:tx>
                <c:rich>
                  <a:bodyPr/>
                  <a:lstStyle/>
                  <a:p>
                    <a:fld id="{D28F3100-2D37-41F9-B47C-EC62E74CA322}" type="CELLRANGE">
                      <a:rPr lang="en-US"/>
                      <a:pPr/>
                      <a:t>[PLAGECELL]</a:t>
                    </a:fld>
                    <a:endParaRPr lang="fr-FR"/>
                  </a:p>
                </c:rich>
              </c:tx>
              <c:dLblPos val="l"/>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0-F2A6-4854-9641-F3E2EF92D076}"/>
                </c:ext>
              </c:extLst>
            </c:dLbl>
            <c:dLbl>
              <c:idx val="1"/>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0-FB43-49EA-A078-F2139CD3A877}"/>
                </c:ext>
              </c:extLst>
            </c:dLbl>
            <c:dLbl>
              <c:idx val="2"/>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1-FB43-49EA-A078-F2139CD3A877}"/>
                </c:ext>
              </c:extLst>
            </c:dLbl>
            <c:dLbl>
              <c:idx val="3"/>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2-FB43-49EA-A078-F2139CD3A877}"/>
                </c:ext>
              </c:extLst>
            </c:dLbl>
            <c:dLbl>
              <c:idx val="4"/>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3-FB43-49EA-A078-F2139CD3A877}"/>
                </c:ext>
              </c:extLst>
            </c:dLbl>
            <c:dLbl>
              <c:idx val="5"/>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4-FB43-49EA-A078-F2139CD3A877}"/>
                </c:ext>
              </c:extLst>
            </c:dLbl>
            <c:dLbl>
              <c:idx val="6"/>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5-FB43-49EA-A078-F2139CD3A877}"/>
                </c:ext>
              </c:extLst>
            </c:dLbl>
            <c:dLbl>
              <c:idx val="7"/>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6-FB43-49EA-A078-F2139CD3A877}"/>
                </c:ext>
              </c:extLst>
            </c:dLbl>
            <c:dLbl>
              <c:idx val="8"/>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7-FB43-49EA-A078-F2139CD3A877}"/>
                </c:ext>
              </c:extLst>
            </c:dLbl>
            <c:dLbl>
              <c:idx val="9"/>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8-FB43-49EA-A078-F2139CD3A877}"/>
                </c:ext>
              </c:extLst>
            </c:dLbl>
            <c:dLbl>
              <c:idx val="10"/>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9-FB43-49EA-A078-F2139CD3A877}"/>
                </c:ext>
              </c:extLst>
            </c:dLbl>
            <c:dLbl>
              <c:idx val="11"/>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A-FB43-49EA-A078-F2139CD3A877}"/>
                </c:ext>
              </c:extLst>
            </c:dLbl>
            <c:dLbl>
              <c:idx val="12"/>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B-FB43-49EA-A078-F2139CD3A877}"/>
                </c:ext>
              </c:extLst>
            </c:dLbl>
            <c:dLbl>
              <c:idx val="13"/>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C-FB43-49EA-A078-F2139CD3A877}"/>
                </c:ext>
              </c:extLst>
            </c:dLbl>
            <c:dLbl>
              <c:idx val="14"/>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D-FB43-49EA-A078-F2139CD3A877}"/>
                </c:ext>
              </c:extLst>
            </c:dLbl>
            <c:dLbl>
              <c:idx val="15"/>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E-FB43-49EA-A078-F2139CD3A877}"/>
                </c:ext>
              </c:extLst>
            </c:dLbl>
            <c:dLbl>
              <c:idx val="16"/>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F-FB43-49EA-A078-F2139CD3A877}"/>
                </c:ext>
              </c:extLst>
            </c:dLbl>
            <c:dLbl>
              <c:idx val="17"/>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0-FB43-49EA-A078-F2139CD3A877}"/>
                </c:ext>
              </c:extLst>
            </c:dLbl>
            <c:dLbl>
              <c:idx val="18"/>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1-FB43-49EA-A078-F2139CD3A877}"/>
                </c:ext>
              </c:extLst>
            </c:dLbl>
            <c:dLbl>
              <c:idx val="19"/>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2-FB43-49EA-A078-F2139CD3A877}"/>
                </c:ext>
              </c:extLst>
            </c:dLbl>
            <c:spPr>
              <a:noFill/>
              <a:ln>
                <a:noFill/>
              </a:ln>
              <a:effectLst/>
            </c:spPr>
            <c:txPr>
              <a:bodyPr wrap="square" lIns="38100" tIns="19050" rIns="38100" bIns="19050" anchor="ctr">
                <a:spAutoFit/>
              </a:bodyPr>
              <a:lstStyle/>
              <a:p>
                <a:pPr>
                  <a:defRPr sz="1200"/>
                </a:pPr>
                <a:endParaRPr lang="fr-FR"/>
              </a:p>
            </c:txPr>
            <c:dLblPos val="l"/>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1"/>
              </c:ext>
            </c:extLst>
          </c:dLbls>
          <c:xVal>
            <c:numRef>
              <c:f>'summary results'!$M$32:$M$51</c:f>
              <c:numCache>
                <c:formatCode>General</c:formatCode>
                <c:ptCount val="20"/>
                <c:pt idx="0">
                  <c:v>0</c:v>
                </c:pt>
                <c:pt idx="1">
                  <c:v>0</c:v>
                </c:pt>
                <c:pt idx="2">
                  <c:v>0</c:v>
                </c:pt>
                <c:pt idx="3">
                  <c:v>0</c:v>
                </c:pt>
                <c:pt idx="4">
                  <c:v>0</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xVal>
          <c:yVal>
            <c:numRef>
              <c:f>'summary results'!$L$32:$L$51</c:f>
              <c:numCache>
                <c:formatCode>General</c:formatCode>
                <c:ptCount val="20"/>
                <c:pt idx="0">
                  <c:v>1</c:v>
                </c:pt>
              </c:numCache>
            </c:numRef>
          </c:yVal>
          <c:smooth val="0"/>
          <c:extLst>
            <c:ext xmlns:c15="http://schemas.microsoft.com/office/drawing/2012/chart" uri="{02D57815-91ED-43cb-92C2-25804820EDAC}">
              <c15:datalabelsRange>
                <c15:f>'summary results'!$N$32:$N$51</c15:f>
                <c15:dlblRangeCache>
                  <c:ptCount val="20"/>
                  <c:pt idx="0">
                    <c:v>#NOMBRE!</c:v>
                  </c:pt>
                  <c:pt idx="1">
                    <c:v>#NOMBRE!</c:v>
                  </c:pt>
                  <c:pt idx="2">
                    <c:v>#NOMBRE!</c:v>
                  </c:pt>
                  <c:pt idx="3">
                    <c:v>#NOMBRE!</c:v>
                  </c:pt>
                  <c:pt idx="4">
                    <c:v>#NOMBRE!</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15:dlblRangeCache>
              </c15:datalabelsRange>
            </c:ext>
            <c:ext xmlns:c16="http://schemas.microsoft.com/office/drawing/2014/chart" uri="{C3380CC4-5D6E-409C-BE32-E72D297353CC}">
              <c16:uniqueId val="{00000008-F2A6-4854-9641-F3E2EF92D076}"/>
            </c:ext>
          </c:extLst>
        </c:ser>
        <c:dLbls>
          <c:dLblPos val="l"/>
          <c:showLegendKey val="0"/>
          <c:showVal val="1"/>
          <c:showCatName val="0"/>
          <c:showSerName val="0"/>
          <c:showPercent val="0"/>
          <c:showBubbleSize val="0"/>
        </c:dLbls>
        <c:axId val="434376624"/>
        <c:axId val="434377016"/>
      </c:scatterChart>
      <c:valAx>
        <c:axId val="434376624"/>
        <c:scaling>
          <c:orientation val="minMax"/>
          <c:max val="150"/>
          <c:min val="-150"/>
        </c:scaling>
        <c:delete val="1"/>
        <c:axPos val="b"/>
        <c:majorGridlines>
          <c:spPr>
            <a:ln w="9525" cap="flat" cmpd="sng" algn="ctr">
              <a:solidFill>
                <a:schemeClr val="tx1">
                  <a:lumMod val="15000"/>
                  <a:lumOff val="85000"/>
                  <a:alpha val="96000"/>
                </a:schemeClr>
              </a:solidFill>
              <a:round/>
            </a:ln>
            <a:effectLst/>
          </c:spPr>
        </c:majorGridlines>
        <c:numFmt formatCode="General" sourceLinked="1"/>
        <c:majorTickMark val="out"/>
        <c:minorTickMark val="none"/>
        <c:tickLblPos val="nextTo"/>
        <c:crossAx val="434377016"/>
        <c:crosses val="autoZero"/>
        <c:crossBetween val="midCat"/>
        <c:majorUnit val="25"/>
      </c:valAx>
      <c:valAx>
        <c:axId val="434377016"/>
        <c:scaling>
          <c:orientation val="minMax"/>
          <c:max val="10"/>
          <c:min val="0"/>
        </c:scaling>
        <c:delete val="0"/>
        <c:axPos val="l"/>
        <c:numFmt formatCode="General" sourceLinked="1"/>
        <c:majorTickMark val="none"/>
        <c:minorTickMark val="none"/>
        <c:tickLblPos val="none"/>
        <c:spPr>
          <a:noFill/>
          <a:ln w="9525" cap="flat" cmpd="sng" algn="ctr">
            <a:solidFill>
              <a:schemeClr val="tx1">
                <a:lumMod val="25000"/>
                <a:lumOff val="75000"/>
              </a:schemeClr>
            </a:solidFill>
            <a:round/>
          </a:ln>
          <a:effectLst/>
        </c:spPr>
        <c:txPr>
          <a:bodyPr rot="-60000000" vert="horz"/>
          <a:lstStyle/>
          <a:p>
            <a:pPr>
              <a:defRPr/>
            </a:pPr>
            <a:endParaRPr lang="fr-FR"/>
          </a:p>
        </c:txPr>
        <c:crossAx val="434376624"/>
        <c:crossesAt val="0"/>
        <c:crossBetween val="midCat"/>
      </c:val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sz="900">
          <a:solidFill>
            <a:schemeClr val="tx1">
              <a:lumMod val="75000"/>
              <a:lumOff val="25000"/>
            </a:schemeClr>
          </a:solidFill>
        </a:defRPr>
      </a:pPr>
      <a:endParaRPr lang="fr-FR"/>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2.4782389848882268E-2"/>
          <c:y val="0.1177993707615683"/>
          <c:w val="0.95294048327555492"/>
          <c:h val="0.78390772121005858"/>
        </c:manualLayout>
      </c:layout>
      <c:scatterChart>
        <c:scatterStyle val="lineMarker"/>
        <c:varyColors val="0"/>
        <c:ser>
          <c:idx val="0"/>
          <c:order val="0"/>
          <c:spPr>
            <a:ln w="28575">
              <a:noFill/>
            </a:ln>
          </c:spPr>
          <c:marker>
            <c:symbol val="circle"/>
            <c:size val="5"/>
          </c:marker>
          <c:dLbls>
            <c:dLbl>
              <c:idx val="0"/>
              <c:tx>
                <c:rich>
                  <a:bodyPr/>
                  <a:lstStyle/>
                  <a:p>
                    <a:fld id="{CC82EA90-4D89-4CBA-A749-D2FF52953C47}" type="CELLRANGE">
                      <a:rPr lang="en-US"/>
                      <a:pPr/>
                      <a:t>[PLAGECELL]</a:t>
                    </a:fld>
                    <a:endParaRPr lang="fr-FR"/>
                  </a:p>
                </c:rich>
              </c:tx>
              <c:dLblPos val="l"/>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0-8A0E-4A73-A150-20269D17EA87}"/>
                </c:ext>
              </c:extLst>
            </c:dLbl>
            <c:dLbl>
              <c:idx val="1"/>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0-9CC3-4389-B7A2-7B6B1524FA3D}"/>
                </c:ext>
              </c:extLst>
            </c:dLbl>
            <c:dLbl>
              <c:idx val="2"/>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1-9CC3-4389-B7A2-7B6B1524FA3D}"/>
                </c:ext>
              </c:extLst>
            </c:dLbl>
            <c:dLbl>
              <c:idx val="3"/>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2-9CC3-4389-B7A2-7B6B1524FA3D}"/>
                </c:ext>
              </c:extLst>
            </c:dLbl>
            <c:dLbl>
              <c:idx val="4"/>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3-9CC3-4389-B7A2-7B6B1524FA3D}"/>
                </c:ext>
              </c:extLst>
            </c:dLbl>
            <c:dLbl>
              <c:idx val="5"/>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4-9CC3-4389-B7A2-7B6B1524FA3D}"/>
                </c:ext>
              </c:extLst>
            </c:dLbl>
            <c:dLbl>
              <c:idx val="6"/>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5-9CC3-4389-B7A2-7B6B1524FA3D}"/>
                </c:ext>
              </c:extLst>
            </c:dLbl>
            <c:dLbl>
              <c:idx val="7"/>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6-9CC3-4389-B7A2-7B6B1524FA3D}"/>
                </c:ext>
              </c:extLst>
            </c:dLbl>
            <c:dLbl>
              <c:idx val="8"/>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7-9CC3-4389-B7A2-7B6B1524FA3D}"/>
                </c:ext>
              </c:extLst>
            </c:dLbl>
            <c:dLbl>
              <c:idx val="9"/>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8-9CC3-4389-B7A2-7B6B1524FA3D}"/>
                </c:ext>
              </c:extLst>
            </c:dLbl>
            <c:dLbl>
              <c:idx val="10"/>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9-9CC3-4389-B7A2-7B6B1524FA3D}"/>
                </c:ext>
              </c:extLst>
            </c:dLbl>
            <c:dLbl>
              <c:idx val="11"/>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A-9CC3-4389-B7A2-7B6B1524FA3D}"/>
                </c:ext>
              </c:extLst>
            </c:dLbl>
            <c:dLbl>
              <c:idx val="12"/>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B-9CC3-4389-B7A2-7B6B1524FA3D}"/>
                </c:ext>
              </c:extLst>
            </c:dLbl>
            <c:dLbl>
              <c:idx val="13"/>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C-9CC3-4389-B7A2-7B6B1524FA3D}"/>
                </c:ext>
              </c:extLst>
            </c:dLbl>
            <c:dLbl>
              <c:idx val="14"/>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D-9CC3-4389-B7A2-7B6B1524FA3D}"/>
                </c:ext>
              </c:extLst>
            </c:dLbl>
            <c:dLbl>
              <c:idx val="15"/>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E-9CC3-4389-B7A2-7B6B1524FA3D}"/>
                </c:ext>
              </c:extLst>
            </c:dLbl>
            <c:dLbl>
              <c:idx val="16"/>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F-9CC3-4389-B7A2-7B6B1524FA3D}"/>
                </c:ext>
              </c:extLst>
            </c:dLbl>
            <c:dLbl>
              <c:idx val="17"/>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0-9CC3-4389-B7A2-7B6B1524FA3D}"/>
                </c:ext>
              </c:extLst>
            </c:dLbl>
            <c:dLbl>
              <c:idx val="18"/>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1-9CC3-4389-B7A2-7B6B1524FA3D}"/>
                </c:ext>
              </c:extLst>
            </c:dLbl>
            <c:dLbl>
              <c:idx val="19"/>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2-9CC3-4389-B7A2-7B6B1524FA3D}"/>
                </c:ext>
              </c:extLst>
            </c:dLbl>
            <c:spPr>
              <a:noFill/>
              <a:ln>
                <a:noFill/>
              </a:ln>
              <a:effectLst/>
            </c:spPr>
            <c:txPr>
              <a:bodyPr wrap="square" lIns="38100" tIns="19050" rIns="38100" bIns="19050" anchor="ctr">
                <a:spAutoFit/>
              </a:bodyPr>
              <a:lstStyle/>
              <a:p>
                <a:pPr>
                  <a:defRPr sz="1200"/>
                </a:pPr>
                <a:endParaRPr lang="fr-FR"/>
              </a:p>
            </c:txPr>
            <c:dLblPos val="l"/>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1"/>
              </c:ext>
            </c:extLst>
          </c:dLbls>
          <c:xVal>
            <c:numRef>
              <c:f>'summary results'!$M$7:$M$26</c:f>
              <c:numCache>
                <c:formatCode>General</c:formatCode>
                <c:ptCount val="20"/>
                <c:pt idx="0">
                  <c:v>0</c:v>
                </c:pt>
                <c:pt idx="1">
                  <c:v>0</c:v>
                </c:pt>
                <c:pt idx="2">
                  <c:v>0</c:v>
                </c:pt>
                <c:pt idx="3">
                  <c:v>0</c:v>
                </c:pt>
                <c:pt idx="4">
                  <c:v>0</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xVal>
          <c:yVal>
            <c:numRef>
              <c:f>'summary results'!$L$7:$L$26</c:f>
              <c:numCache>
                <c:formatCode>0</c:formatCode>
                <c:ptCount val="20"/>
                <c:pt idx="0">
                  <c:v>1</c:v>
                </c:pt>
              </c:numCache>
            </c:numRef>
          </c:yVal>
          <c:smooth val="0"/>
          <c:extLst>
            <c:ext xmlns:c15="http://schemas.microsoft.com/office/drawing/2012/chart" uri="{02D57815-91ED-43cb-92C2-25804820EDAC}">
              <c15:datalabelsRange>
                <c15:f>'summary results'!$N$7:$N$26</c15:f>
                <c15:dlblRangeCache>
                  <c:ptCount val="20"/>
                  <c:pt idx="0">
                    <c:v>FAD-5,4µg/L : 0%</c:v>
                  </c:pt>
                  <c:pt idx="1">
                    <c:v>FAD-11µg/L : 0%</c:v>
                  </c:pt>
                  <c:pt idx="2">
                    <c:v>FAD-22µg/L : 0%</c:v>
                  </c:pt>
                  <c:pt idx="3">
                    <c:v>FAD-44µg/L : 0%</c:v>
                  </c:pt>
                  <c:pt idx="4">
                    <c:v>FAD-87µg/L : 0%</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15:dlblRangeCache>
              </c15:datalabelsRange>
            </c:ext>
            <c:ext xmlns:c16="http://schemas.microsoft.com/office/drawing/2014/chart" uri="{C3380CC4-5D6E-409C-BE32-E72D297353CC}">
              <c16:uniqueId val="{00000008-8A0E-4A73-A150-20269D17EA87}"/>
            </c:ext>
          </c:extLst>
        </c:ser>
        <c:dLbls>
          <c:dLblPos val="l"/>
          <c:showLegendKey val="0"/>
          <c:showVal val="1"/>
          <c:showCatName val="0"/>
          <c:showSerName val="0"/>
          <c:showPercent val="0"/>
          <c:showBubbleSize val="0"/>
        </c:dLbls>
        <c:axId val="434377800"/>
        <c:axId val="434378192"/>
      </c:scatterChart>
      <c:valAx>
        <c:axId val="434377800"/>
        <c:scaling>
          <c:orientation val="minMax"/>
          <c:max val="150"/>
          <c:min val="-150"/>
        </c:scaling>
        <c:delete val="1"/>
        <c:axPos val="b"/>
        <c:majorGridlines>
          <c:spPr>
            <a:ln w="9525" cap="flat" cmpd="sng" algn="ctr">
              <a:solidFill>
                <a:schemeClr val="tx1">
                  <a:lumMod val="15000"/>
                  <a:lumOff val="85000"/>
                  <a:alpha val="96000"/>
                </a:schemeClr>
              </a:solidFill>
              <a:round/>
            </a:ln>
            <a:effectLst/>
          </c:spPr>
        </c:majorGridlines>
        <c:numFmt formatCode="General" sourceLinked="1"/>
        <c:majorTickMark val="out"/>
        <c:minorTickMark val="none"/>
        <c:tickLblPos val="nextTo"/>
        <c:crossAx val="434378192"/>
        <c:crosses val="autoZero"/>
        <c:crossBetween val="midCat"/>
        <c:majorUnit val="25"/>
      </c:valAx>
      <c:valAx>
        <c:axId val="434378192"/>
        <c:scaling>
          <c:orientation val="minMax"/>
          <c:max val="10"/>
          <c:min val="0"/>
        </c:scaling>
        <c:delete val="0"/>
        <c:axPos val="l"/>
        <c:numFmt formatCode="0" sourceLinked="1"/>
        <c:majorTickMark val="none"/>
        <c:minorTickMark val="none"/>
        <c:tickLblPos val="none"/>
        <c:spPr>
          <a:noFill/>
          <a:ln w="9525" cap="flat" cmpd="sng" algn="ctr">
            <a:solidFill>
              <a:schemeClr val="tx1">
                <a:lumMod val="25000"/>
                <a:lumOff val="75000"/>
              </a:schemeClr>
            </a:solidFill>
            <a:round/>
          </a:ln>
          <a:effectLst/>
        </c:spPr>
        <c:txPr>
          <a:bodyPr rot="-60000000" vert="horz"/>
          <a:lstStyle/>
          <a:p>
            <a:pPr>
              <a:defRPr/>
            </a:pPr>
            <a:endParaRPr lang="fr-FR"/>
          </a:p>
        </c:txPr>
        <c:crossAx val="434377800"/>
        <c:crossesAt val="0"/>
        <c:crossBetween val="midCat"/>
      </c:val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sz="900">
          <a:solidFill>
            <a:schemeClr val="tx1">
              <a:lumMod val="75000"/>
              <a:lumOff val="25000"/>
            </a:schemeClr>
          </a:solidFill>
        </a:defRPr>
      </a:pPr>
      <a:endParaRPr lang="fr-FR"/>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2.4782389848882268E-2"/>
          <c:y val="0.1177993707615683"/>
          <c:w val="0.95294048327555492"/>
          <c:h val="0.78390772121005858"/>
        </c:manualLayout>
      </c:layout>
      <c:scatterChart>
        <c:scatterStyle val="lineMarker"/>
        <c:varyColors val="0"/>
        <c:ser>
          <c:idx val="0"/>
          <c:order val="0"/>
          <c:spPr>
            <a:ln w="28575">
              <a:noFill/>
            </a:ln>
          </c:spPr>
          <c:marker>
            <c:symbol val="circle"/>
            <c:size val="5"/>
          </c:marker>
          <c:dLbls>
            <c:dLbl>
              <c:idx val="0"/>
              <c:tx>
                <c:rich>
                  <a:bodyPr/>
                  <a:lstStyle/>
                  <a:p>
                    <a:fld id="{3948C0F4-E854-46A9-9773-E80AB9A367F4}" type="CELLRANGE">
                      <a:rPr lang="en-US"/>
                      <a:pPr/>
                      <a:t>[PLAGECELL]</a:t>
                    </a:fld>
                    <a:endParaRPr lang="fr-FR"/>
                  </a:p>
                </c:rich>
              </c:tx>
              <c:dLblPos val="l"/>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0-F2A6-4854-9641-F3E2EF92D076}"/>
                </c:ext>
              </c:extLst>
            </c:dLbl>
            <c:dLbl>
              <c:idx val="1"/>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0-FB43-49EA-A078-F2139CD3A877}"/>
                </c:ext>
              </c:extLst>
            </c:dLbl>
            <c:dLbl>
              <c:idx val="2"/>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1-FB43-49EA-A078-F2139CD3A877}"/>
                </c:ext>
              </c:extLst>
            </c:dLbl>
            <c:dLbl>
              <c:idx val="3"/>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2-FB43-49EA-A078-F2139CD3A877}"/>
                </c:ext>
              </c:extLst>
            </c:dLbl>
            <c:dLbl>
              <c:idx val="4"/>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3-FB43-49EA-A078-F2139CD3A877}"/>
                </c:ext>
              </c:extLst>
            </c:dLbl>
            <c:dLbl>
              <c:idx val="5"/>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4-FB43-49EA-A078-F2139CD3A877}"/>
                </c:ext>
              </c:extLst>
            </c:dLbl>
            <c:dLbl>
              <c:idx val="6"/>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5-FB43-49EA-A078-F2139CD3A877}"/>
                </c:ext>
              </c:extLst>
            </c:dLbl>
            <c:dLbl>
              <c:idx val="7"/>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6-FB43-49EA-A078-F2139CD3A877}"/>
                </c:ext>
              </c:extLst>
            </c:dLbl>
            <c:dLbl>
              <c:idx val="8"/>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7-FB43-49EA-A078-F2139CD3A877}"/>
                </c:ext>
              </c:extLst>
            </c:dLbl>
            <c:dLbl>
              <c:idx val="9"/>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8-FB43-49EA-A078-F2139CD3A877}"/>
                </c:ext>
              </c:extLst>
            </c:dLbl>
            <c:dLbl>
              <c:idx val="10"/>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9-FB43-49EA-A078-F2139CD3A877}"/>
                </c:ext>
              </c:extLst>
            </c:dLbl>
            <c:dLbl>
              <c:idx val="11"/>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A-FB43-49EA-A078-F2139CD3A877}"/>
                </c:ext>
              </c:extLst>
            </c:dLbl>
            <c:dLbl>
              <c:idx val="12"/>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B-FB43-49EA-A078-F2139CD3A877}"/>
                </c:ext>
              </c:extLst>
            </c:dLbl>
            <c:dLbl>
              <c:idx val="13"/>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C-FB43-49EA-A078-F2139CD3A877}"/>
                </c:ext>
              </c:extLst>
            </c:dLbl>
            <c:dLbl>
              <c:idx val="14"/>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D-FB43-49EA-A078-F2139CD3A877}"/>
                </c:ext>
              </c:extLst>
            </c:dLbl>
            <c:dLbl>
              <c:idx val="15"/>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E-FB43-49EA-A078-F2139CD3A877}"/>
                </c:ext>
              </c:extLst>
            </c:dLbl>
            <c:dLbl>
              <c:idx val="16"/>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F-FB43-49EA-A078-F2139CD3A877}"/>
                </c:ext>
              </c:extLst>
            </c:dLbl>
            <c:dLbl>
              <c:idx val="17"/>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0-FB43-49EA-A078-F2139CD3A877}"/>
                </c:ext>
              </c:extLst>
            </c:dLbl>
            <c:dLbl>
              <c:idx val="18"/>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1-FB43-49EA-A078-F2139CD3A877}"/>
                </c:ext>
              </c:extLst>
            </c:dLbl>
            <c:dLbl>
              <c:idx val="19"/>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2-FB43-49EA-A078-F2139CD3A877}"/>
                </c:ext>
              </c:extLst>
            </c:dLbl>
            <c:spPr>
              <a:noFill/>
              <a:ln>
                <a:noFill/>
              </a:ln>
              <a:effectLst/>
            </c:spPr>
            <c:txPr>
              <a:bodyPr wrap="square" lIns="38100" tIns="19050" rIns="38100" bIns="19050" anchor="ctr">
                <a:spAutoFit/>
              </a:bodyPr>
              <a:lstStyle/>
              <a:p>
                <a:pPr>
                  <a:defRPr sz="1200"/>
                </a:pPr>
                <a:endParaRPr lang="fr-FR"/>
              </a:p>
            </c:txPr>
            <c:dLblPos val="l"/>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1"/>
              </c:ext>
            </c:extLst>
          </c:dLbls>
          <c:xVal>
            <c:numRef>
              <c:f>'summary results'!$M$32:$M$51</c:f>
              <c:numCache>
                <c:formatCode>General</c:formatCode>
                <c:ptCount val="20"/>
                <c:pt idx="0">
                  <c:v>0</c:v>
                </c:pt>
                <c:pt idx="1">
                  <c:v>0</c:v>
                </c:pt>
                <c:pt idx="2">
                  <c:v>0</c:v>
                </c:pt>
                <c:pt idx="3">
                  <c:v>0</c:v>
                </c:pt>
                <c:pt idx="4">
                  <c:v>0</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xVal>
          <c:yVal>
            <c:numRef>
              <c:f>'summary results'!$L$32:$L$51</c:f>
              <c:numCache>
                <c:formatCode>General</c:formatCode>
                <c:ptCount val="20"/>
                <c:pt idx="0">
                  <c:v>1</c:v>
                </c:pt>
              </c:numCache>
            </c:numRef>
          </c:yVal>
          <c:smooth val="0"/>
          <c:extLst>
            <c:ext xmlns:c15="http://schemas.microsoft.com/office/drawing/2012/chart" uri="{02D57815-91ED-43cb-92C2-25804820EDAC}">
              <c15:datalabelsRange>
                <c15:f>'summary results'!$N$32:$N$51</c15:f>
                <c15:dlblRangeCache>
                  <c:ptCount val="20"/>
                  <c:pt idx="0">
                    <c:v>#NOMBRE!</c:v>
                  </c:pt>
                  <c:pt idx="1">
                    <c:v>#NOMBRE!</c:v>
                  </c:pt>
                  <c:pt idx="2">
                    <c:v>#NOMBRE!</c:v>
                  </c:pt>
                  <c:pt idx="3">
                    <c:v>#NOMBRE!</c:v>
                  </c:pt>
                  <c:pt idx="4">
                    <c:v>#NOMBRE!</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15:dlblRangeCache>
              </c15:datalabelsRange>
            </c:ext>
            <c:ext xmlns:c16="http://schemas.microsoft.com/office/drawing/2014/chart" uri="{C3380CC4-5D6E-409C-BE32-E72D297353CC}">
              <c16:uniqueId val="{00000008-F2A6-4854-9641-F3E2EF92D076}"/>
            </c:ext>
          </c:extLst>
        </c:ser>
        <c:dLbls>
          <c:dLblPos val="l"/>
          <c:showLegendKey val="0"/>
          <c:showVal val="1"/>
          <c:showCatName val="0"/>
          <c:showSerName val="0"/>
          <c:showPercent val="0"/>
          <c:showBubbleSize val="0"/>
        </c:dLbls>
        <c:axId val="434372704"/>
        <c:axId val="434378976"/>
      </c:scatterChart>
      <c:valAx>
        <c:axId val="434372704"/>
        <c:scaling>
          <c:orientation val="minMax"/>
          <c:max val="150"/>
          <c:min val="-150"/>
        </c:scaling>
        <c:delete val="1"/>
        <c:axPos val="b"/>
        <c:majorGridlines>
          <c:spPr>
            <a:ln w="9525" cap="flat" cmpd="sng" algn="ctr">
              <a:solidFill>
                <a:schemeClr val="tx1">
                  <a:lumMod val="15000"/>
                  <a:lumOff val="85000"/>
                  <a:alpha val="96000"/>
                </a:schemeClr>
              </a:solidFill>
              <a:round/>
            </a:ln>
            <a:effectLst/>
          </c:spPr>
        </c:majorGridlines>
        <c:numFmt formatCode="General" sourceLinked="1"/>
        <c:majorTickMark val="out"/>
        <c:minorTickMark val="none"/>
        <c:tickLblPos val="nextTo"/>
        <c:crossAx val="434378976"/>
        <c:crosses val="autoZero"/>
        <c:crossBetween val="midCat"/>
        <c:majorUnit val="25"/>
      </c:valAx>
      <c:valAx>
        <c:axId val="434378976"/>
        <c:scaling>
          <c:orientation val="minMax"/>
          <c:max val="10"/>
          <c:min val="0"/>
        </c:scaling>
        <c:delete val="0"/>
        <c:axPos val="l"/>
        <c:numFmt formatCode="General" sourceLinked="1"/>
        <c:majorTickMark val="none"/>
        <c:minorTickMark val="none"/>
        <c:tickLblPos val="none"/>
        <c:spPr>
          <a:noFill/>
          <a:ln w="9525" cap="flat" cmpd="sng" algn="ctr">
            <a:solidFill>
              <a:schemeClr val="tx1">
                <a:lumMod val="25000"/>
                <a:lumOff val="75000"/>
              </a:schemeClr>
            </a:solidFill>
            <a:round/>
          </a:ln>
          <a:effectLst/>
        </c:spPr>
        <c:txPr>
          <a:bodyPr rot="-60000000" vert="horz"/>
          <a:lstStyle/>
          <a:p>
            <a:pPr>
              <a:defRPr/>
            </a:pPr>
            <a:endParaRPr lang="fr-FR"/>
          </a:p>
        </c:txPr>
        <c:crossAx val="434372704"/>
        <c:crossesAt val="0"/>
        <c:crossBetween val="midCat"/>
      </c:val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sz="900">
          <a:solidFill>
            <a:schemeClr val="tx1">
              <a:lumMod val="75000"/>
              <a:lumOff val="25000"/>
            </a:schemeClr>
          </a:solidFill>
        </a:defRPr>
      </a:pPr>
      <a:endParaRPr lang="fr-FR"/>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18267062545213636"/>
          <c:y val="2.2539308994609909E-2"/>
          <c:w val="0.74093363291082703"/>
          <c:h val="0.67622607567312554"/>
        </c:manualLayout>
      </c:layout>
      <c:areaChart>
        <c:grouping val="stacked"/>
        <c:varyColors val="0"/>
        <c:ser>
          <c:idx val="3"/>
          <c:order val="2"/>
          <c:tx>
            <c:strRef>
              <c:f>'Graph format rapport CHG'!$D$8</c:f>
              <c:strCache>
                <c:ptCount val="1"/>
                <c:pt idx="0">
                  <c:v>Zone rouge anti</c:v>
                </c:pt>
              </c:strCache>
            </c:strRef>
          </c:tx>
          <c:spPr>
            <a:solidFill>
              <a:srgbClr val="FF0000">
                <a:alpha val="20000"/>
              </a:srgbClr>
            </a:solidFill>
          </c:spPr>
          <c:cat>
            <c:strRef>
              <c:f>'Graph format rapport CHG'!$E$2:$T$2</c:f>
              <c:strCache>
                <c:ptCount val="15"/>
                <c:pt idx="1">
                  <c:v>FAD-11µg/L</c:v>
                </c:pt>
                <c:pt idx="2">
                  <c:v>FAD-22µg/L</c:v>
                </c:pt>
                <c:pt idx="3">
                  <c:v>FAD-44µg/L</c:v>
                </c:pt>
                <c:pt idx="4">
                  <c:v>FAD-87µg/L</c:v>
                </c:pt>
                <c:pt idx="5">
                  <c:v>#REF!</c:v>
                </c:pt>
                <c:pt idx="6">
                  <c:v>#REF!</c:v>
                </c:pt>
                <c:pt idx="7">
                  <c:v>#REF!</c:v>
                </c:pt>
                <c:pt idx="8">
                  <c:v>#REF!</c:v>
                </c:pt>
                <c:pt idx="9">
                  <c:v>#REF!</c:v>
                </c:pt>
                <c:pt idx="10">
                  <c:v>#REF!</c:v>
                </c:pt>
                <c:pt idx="11">
                  <c:v>#REF!</c:v>
                </c:pt>
                <c:pt idx="12">
                  <c:v>#REF!</c:v>
                </c:pt>
                <c:pt idx="13">
                  <c:v>#REF!</c:v>
                </c:pt>
                <c:pt idx="14">
                  <c:v>#REF!</c:v>
                </c:pt>
              </c:strCache>
            </c:strRef>
          </c:cat>
          <c:val>
            <c:numRef>
              <c:f>'Graph format rapport CHG'!$E$8:$T$8</c:f>
              <c:numCache>
                <c:formatCode>General</c:formatCode>
                <c:ptCount val="1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numCache>
            </c:numRef>
          </c:val>
          <c:extLst>
            <c:ext xmlns:c16="http://schemas.microsoft.com/office/drawing/2014/chart" uri="{C3380CC4-5D6E-409C-BE32-E72D297353CC}">
              <c16:uniqueId val="{00000000-E05A-476A-81E0-9DDAF8947A01}"/>
            </c:ext>
          </c:extLst>
        </c:ser>
        <c:ser>
          <c:idx val="6"/>
          <c:order val="3"/>
          <c:tx>
            <c:strRef>
              <c:f>'Graph format rapport CHG'!$D$9</c:f>
              <c:strCache>
                <c:ptCount val="1"/>
                <c:pt idx="0">
                  <c:v>Zone verte</c:v>
                </c:pt>
              </c:strCache>
            </c:strRef>
          </c:tx>
          <c:spPr>
            <a:solidFill>
              <a:srgbClr val="00B050">
                <a:alpha val="20000"/>
              </a:srgbClr>
            </a:solidFill>
          </c:spPr>
          <c:cat>
            <c:strRef>
              <c:f>'Graph format rapport CHG'!$E$2:$T$2</c:f>
              <c:strCache>
                <c:ptCount val="15"/>
                <c:pt idx="1">
                  <c:v>FAD-11µg/L</c:v>
                </c:pt>
                <c:pt idx="2">
                  <c:v>FAD-22µg/L</c:v>
                </c:pt>
                <c:pt idx="3">
                  <c:v>FAD-44µg/L</c:v>
                </c:pt>
                <c:pt idx="4">
                  <c:v>FAD-87µg/L</c:v>
                </c:pt>
                <c:pt idx="5">
                  <c:v>#REF!</c:v>
                </c:pt>
                <c:pt idx="6">
                  <c:v>#REF!</c:v>
                </c:pt>
                <c:pt idx="7">
                  <c:v>#REF!</c:v>
                </c:pt>
                <c:pt idx="8">
                  <c:v>#REF!</c:v>
                </c:pt>
                <c:pt idx="9">
                  <c:v>#REF!</c:v>
                </c:pt>
                <c:pt idx="10">
                  <c:v>#REF!</c:v>
                </c:pt>
                <c:pt idx="11">
                  <c:v>#REF!</c:v>
                </c:pt>
                <c:pt idx="12">
                  <c:v>#REF!</c:v>
                </c:pt>
                <c:pt idx="13">
                  <c:v>#REF!</c:v>
                </c:pt>
                <c:pt idx="14">
                  <c:v>#REF!</c:v>
                </c:pt>
              </c:strCache>
            </c:strRef>
          </c:cat>
          <c:val>
            <c:numRef>
              <c:f>'Graph format rapport CHG'!$E$9:$T$9</c:f>
              <c:numCache>
                <c:formatCode>General</c:formatCode>
                <c:ptCount val="1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numCache>
            </c:numRef>
          </c:val>
          <c:extLst>
            <c:ext xmlns:c16="http://schemas.microsoft.com/office/drawing/2014/chart" uri="{C3380CC4-5D6E-409C-BE32-E72D297353CC}">
              <c16:uniqueId val="{00000001-E05A-476A-81E0-9DDAF8947A01}"/>
            </c:ext>
          </c:extLst>
        </c:ser>
        <c:ser>
          <c:idx val="7"/>
          <c:order val="4"/>
          <c:tx>
            <c:strRef>
              <c:f>'Graph format rapport CHG'!$D$10</c:f>
              <c:strCache>
                <c:ptCount val="1"/>
                <c:pt idx="0">
                  <c:v>Zone rouge pro</c:v>
                </c:pt>
              </c:strCache>
            </c:strRef>
          </c:tx>
          <c:spPr>
            <a:solidFill>
              <a:srgbClr val="FF0000">
                <a:alpha val="20000"/>
              </a:srgbClr>
            </a:solidFill>
          </c:spPr>
          <c:cat>
            <c:strRef>
              <c:f>'Graph format rapport CHG'!$E$2:$T$2</c:f>
              <c:strCache>
                <c:ptCount val="15"/>
                <c:pt idx="1">
                  <c:v>FAD-11µg/L</c:v>
                </c:pt>
                <c:pt idx="2">
                  <c:v>FAD-22µg/L</c:v>
                </c:pt>
                <c:pt idx="3">
                  <c:v>FAD-44µg/L</c:v>
                </c:pt>
                <c:pt idx="4">
                  <c:v>FAD-87µg/L</c:v>
                </c:pt>
                <c:pt idx="5">
                  <c:v>#REF!</c:v>
                </c:pt>
                <c:pt idx="6">
                  <c:v>#REF!</c:v>
                </c:pt>
                <c:pt idx="7">
                  <c:v>#REF!</c:v>
                </c:pt>
                <c:pt idx="8">
                  <c:v>#REF!</c:v>
                </c:pt>
                <c:pt idx="9">
                  <c:v>#REF!</c:v>
                </c:pt>
                <c:pt idx="10">
                  <c:v>#REF!</c:v>
                </c:pt>
                <c:pt idx="11">
                  <c:v>#REF!</c:v>
                </c:pt>
                <c:pt idx="12">
                  <c:v>#REF!</c:v>
                </c:pt>
                <c:pt idx="13">
                  <c:v>#REF!</c:v>
                </c:pt>
                <c:pt idx="14">
                  <c:v>#REF!</c:v>
                </c:pt>
              </c:strCache>
            </c:strRef>
          </c:cat>
          <c:val>
            <c:numRef>
              <c:f>'Graph format rapport CHG'!$E$10:$T$10</c:f>
              <c:numCache>
                <c:formatCode>General</c:formatCode>
                <c:ptCount val="16"/>
                <c:pt idx="0">
                  <c:v>2.5</c:v>
                </c:pt>
                <c:pt idx="1">
                  <c:v>2.5</c:v>
                </c:pt>
                <c:pt idx="2">
                  <c:v>2.5</c:v>
                </c:pt>
                <c:pt idx="3">
                  <c:v>2.5</c:v>
                </c:pt>
                <c:pt idx="4">
                  <c:v>2.5</c:v>
                </c:pt>
                <c:pt idx="5">
                  <c:v>2.5</c:v>
                </c:pt>
                <c:pt idx="6">
                  <c:v>2.5</c:v>
                </c:pt>
                <c:pt idx="7">
                  <c:v>2.5</c:v>
                </c:pt>
                <c:pt idx="8">
                  <c:v>2.5</c:v>
                </c:pt>
                <c:pt idx="9">
                  <c:v>2.5</c:v>
                </c:pt>
                <c:pt idx="10">
                  <c:v>2.5</c:v>
                </c:pt>
                <c:pt idx="11">
                  <c:v>2.5</c:v>
                </c:pt>
                <c:pt idx="12">
                  <c:v>2.5</c:v>
                </c:pt>
                <c:pt idx="13">
                  <c:v>2.5</c:v>
                </c:pt>
                <c:pt idx="14">
                  <c:v>2.5</c:v>
                </c:pt>
                <c:pt idx="15">
                  <c:v>2.5</c:v>
                </c:pt>
              </c:numCache>
            </c:numRef>
          </c:val>
          <c:extLst>
            <c:ext xmlns:c16="http://schemas.microsoft.com/office/drawing/2014/chart" uri="{C3380CC4-5D6E-409C-BE32-E72D297353CC}">
              <c16:uniqueId val="{00000002-E05A-476A-81E0-9DDAF8947A01}"/>
            </c:ext>
          </c:extLst>
        </c:ser>
        <c:dLbls>
          <c:showLegendKey val="0"/>
          <c:showVal val="0"/>
          <c:showCatName val="0"/>
          <c:showSerName val="0"/>
          <c:showPercent val="0"/>
          <c:showBubbleSize val="0"/>
        </c:dLbls>
        <c:axId val="434379760"/>
        <c:axId val="434380152"/>
      </c:areaChart>
      <c:barChart>
        <c:barDir val="col"/>
        <c:grouping val="clustered"/>
        <c:varyColors val="0"/>
        <c:ser>
          <c:idx val="0"/>
          <c:order val="0"/>
          <c:tx>
            <c:strRef>
              <c:f>'Graph format rapport CHG'!$D$3</c:f>
              <c:strCache>
                <c:ptCount val="1"/>
                <c:pt idx="0">
                  <c:v>Moyenne</c:v>
                </c:pt>
              </c:strCache>
            </c:strRef>
          </c:tx>
          <c:spPr>
            <a:ln w="28575">
              <a:noFill/>
            </a:ln>
          </c:spPr>
          <c:invertIfNegative val="0"/>
          <c:dLbls>
            <c:dLbl>
              <c:idx val="0"/>
              <c:tx>
                <c:rich>
                  <a:bodyPr/>
                  <a:lstStyle/>
                  <a:p>
                    <a:fld id="{DD060253-1522-4DCD-8DA0-842E2BE4B455}" type="CELLRANGE">
                      <a:rPr lang="en-US"/>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3-E05A-476A-81E0-9DDAF8947A01}"/>
                </c:ext>
              </c:extLst>
            </c:dLbl>
            <c:dLbl>
              <c:idx val="1"/>
              <c:tx>
                <c:rich>
                  <a:bodyPr/>
                  <a:lstStyle/>
                  <a:p>
                    <a:fld id="{FE47129B-A227-49A4-BB47-20CA75C558FD}"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0-08B5-430B-9986-9EC2C1992644}"/>
                </c:ext>
              </c:extLst>
            </c:dLbl>
            <c:dLbl>
              <c:idx val="2"/>
              <c:tx>
                <c:rich>
                  <a:bodyPr/>
                  <a:lstStyle/>
                  <a:p>
                    <a:fld id="{A9DE2531-D1C6-4BD4-94E8-600AC06E291A}"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1-08B5-430B-9986-9EC2C1992644}"/>
                </c:ext>
              </c:extLst>
            </c:dLbl>
            <c:dLbl>
              <c:idx val="3"/>
              <c:tx>
                <c:rich>
                  <a:bodyPr/>
                  <a:lstStyle/>
                  <a:p>
                    <a:fld id="{4510E075-DE1F-49C3-B97B-3A5591432C44}"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2-08B5-430B-9986-9EC2C1992644}"/>
                </c:ext>
              </c:extLst>
            </c:dLbl>
            <c:dLbl>
              <c:idx val="4"/>
              <c:tx>
                <c:rich>
                  <a:bodyPr/>
                  <a:lstStyle/>
                  <a:p>
                    <a:fld id="{637CF8B2-9B07-4A80-8FBD-9AF44BDBD6ED}"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3-08B5-430B-9986-9EC2C1992644}"/>
                </c:ext>
              </c:extLst>
            </c:dLbl>
            <c:dLbl>
              <c:idx val="5"/>
              <c:tx>
                <c:rich>
                  <a:bodyPr/>
                  <a:lstStyle/>
                  <a:p>
                    <a:fld id="{23F17768-5D4B-4304-9BA9-A4A2283EC7B1}"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4-08B5-430B-9986-9EC2C1992644}"/>
                </c:ext>
              </c:extLst>
            </c:dLbl>
            <c:dLbl>
              <c:idx val="6"/>
              <c:tx>
                <c:rich>
                  <a:bodyPr/>
                  <a:lstStyle/>
                  <a:p>
                    <a:fld id="{A0211D58-02CC-489B-A0F6-546B8A603609}"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5-08B5-430B-9986-9EC2C1992644}"/>
                </c:ext>
              </c:extLst>
            </c:dLbl>
            <c:dLbl>
              <c:idx val="7"/>
              <c:tx>
                <c:rich>
                  <a:bodyPr/>
                  <a:lstStyle/>
                  <a:p>
                    <a:fld id="{3ECE1370-D33C-4A41-8F67-69F7C1C9DC59}"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6-08B5-430B-9986-9EC2C1992644}"/>
                </c:ext>
              </c:extLst>
            </c:dLbl>
            <c:dLbl>
              <c:idx val="8"/>
              <c:tx>
                <c:rich>
                  <a:bodyPr/>
                  <a:lstStyle/>
                  <a:p>
                    <a:fld id="{7DD1B54D-4EE2-480D-A84A-C0042B53113B}"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7-08B5-430B-9986-9EC2C1992644}"/>
                </c:ext>
              </c:extLst>
            </c:dLbl>
            <c:dLbl>
              <c:idx val="9"/>
              <c:tx>
                <c:rich>
                  <a:bodyPr/>
                  <a:lstStyle/>
                  <a:p>
                    <a:fld id="{3E03F47F-4268-4E90-AE42-9ED6356D8AE9}"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8-08B5-430B-9986-9EC2C1992644}"/>
                </c:ext>
              </c:extLst>
            </c:dLbl>
            <c:dLbl>
              <c:idx val="10"/>
              <c:tx>
                <c:rich>
                  <a:bodyPr/>
                  <a:lstStyle/>
                  <a:p>
                    <a:fld id="{328BF0EC-A15C-43F4-B468-E5FDEF80C4E4}"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9-08B5-430B-9986-9EC2C1992644}"/>
                </c:ext>
              </c:extLst>
            </c:dLbl>
            <c:dLbl>
              <c:idx val="11"/>
              <c:tx>
                <c:rich>
                  <a:bodyPr/>
                  <a:lstStyle/>
                  <a:p>
                    <a:fld id="{DFD9C941-6200-4F5F-BC4A-AC61C81C9775}"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A-08B5-430B-9986-9EC2C1992644}"/>
                </c:ext>
              </c:extLst>
            </c:dLbl>
            <c:dLbl>
              <c:idx val="12"/>
              <c:tx>
                <c:rich>
                  <a:bodyPr/>
                  <a:lstStyle/>
                  <a:p>
                    <a:fld id="{C69DCD50-64B5-409D-A316-36DAA4FDA163}"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B-08B5-430B-9986-9EC2C1992644}"/>
                </c:ext>
              </c:extLst>
            </c:dLbl>
            <c:dLbl>
              <c:idx val="13"/>
              <c:tx>
                <c:rich>
                  <a:bodyPr/>
                  <a:lstStyle/>
                  <a:p>
                    <a:fld id="{7385BD8F-7F3C-4943-9A81-06F1919EAA8C}"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C-08B5-430B-9986-9EC2C1992644}"/>
                </c:ext>
              </c:extLst>
            </c:dLbl>
            <c:dLbl>
              <c:idx val="14"/>
              <c:tx>
                <c:rich>
                  <a:bodyPr/>
                  <a:lstStyle/>
                  <a:p>
                    <a:fld id="{72DE87A6-8B8A-4476-9B31-EE9229404F6B}"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D-08B5-430B-9986-9EC2C1992644}"/>
                </c:ext>
              </c:extLst>
            </c:dLbl>
            <c:dLbl>
              <c:idx val="15"/>
              <c:tx>
                <c:rich>
                  <a:bodyPr/>
                  <a:lstStyle/>
                  <a:p>
                    <a:fld id="{40AAC0A9-2014-42B1-A68E-0EDC5965A9DB}" type="CELLRANGE">
                      <a:rPr lang="en-US"/>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E-08B5-430B-9986-9EC2C1992644}"/>
                </c:ext>
              </c:extLst>
            </c:dLbl>
            <c:spPr>
              <a:noFill/>
              <a:ln>
                <a:noFill/>
              </a:ln>
              <a:effectLst/>
            </c:spPr>
            <c:dLblPos val="outEnd"/>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0"/>
              </c:ext>
            </c:extLst>
          </c:dLbls>
          <c:errBars>
            <c:errBarType val="both"/>
            <c:errValType val="cust"/>
            <c:noEndCap val="0"/>
            <c:plus>
              <c:numRef>
                <c:f>'Graph format rapport CHG'!$E$4:$T$4</c:f>
                <c:numCache>
                  <c:formatCode>General</c:formatCode>
                  <c:ptCount val="16"/>
                  <c:pt idx="1">
                    <c:v>1.5708614272673366E-2</c:v>
                  </c:pt>
                  <c:pt idx="2">
                    <c:v>1.0703728370627904E-2</c:v>
                  </c:pt>
                  <c:pt idx="3">
                    <c:v>1.3122597411832698E-2</c:v>
                  </c:pt>
                  <c:pt idx="4">
                    <c:v>1.0476151828696939E-2</c:v>
                  </c:pt>
                  <c:pt idx="5">
                    <c:v>0</c:v>
                  </c:pt>
                  <c:pt idx="6">
                    <c:v>0</c:v>
                  </c:pt>
                  <c:pt idx="7">
                    <c:v>0</c:v>
                  </c:pt>
                  <c:pt idx="8">
                    <c:v>0</c:v>
                  </c:pt>
                  <c:pt idx="9">
                    <c:v>0</c:v>
                  </c:pt>
                  <c:pt idx="10">
                    <c:v>0</c:v>
                  </c:pt>
                  <c:pt idx="11">
                    <c:v>0</c:v>
                  </c:pt>
                  <c:pt idx="12">
                    <c:v>0</c:v>
                  </c:pt>
                  <c:pt idx="13">
                    <c:v>0</c:v>
                  </c:pt>
                  <c:pt idx="14">
                    <c:v>0</c:v>
                  </c:pt>
                </c:numCache>
              </c:numRef>
            </c:plus>
            <c:minus>
              <c:numRef>
                <c:f>'Graph format rapport CHG'!$E$4:$T$4</c:f>
                <c:numCache>
                  <c:formatCode>General</c:formatCode>
                  <c:ptCount val="16"/>
                  <c:pt idx="1">
                    <c:v>1.5708614272673366E-2</c:v>
                  </c:pt>
                  <c:pt idx="2">
                    <c:v>1.0703728370627904E-2</c:v>
                  </c:pt>
                  <c:pt idx="3">
                    <c:v>1.3122597411832698E-2</c:v>
                  </c:pt>
                  <c:pt idx="4">
                    <c:v>1.0476151828696939E-2</c:v>
                  </c:pt>
                  <c:pt idx="5">
                    <c:v>0</c:v>
                  </c:pt>
                  <c:pt idx="6">
                    <c:v>0</c:v>
                  </c:pt>
                  <c:pt idx="7">
                    <c:v>0</c:v>
                  </c:pt>
                  <c:pt idx="8">
                    <c:v>0</c:v>
                  </c:pt>
                  <c:pt idx="9">
                    <c:v>0</c:v>
                  </c:pt>
                  <c:pt idx="10">
                    <c:v>0</c:v>
                  </c:pt>
                  <c:pt idx="11">
                    <c:v>0</c:v>
                  </c:pt>
                  <c:pt idx="12">
                    <c:v>0</c:v>
                  </c:pt>
                  <c:pt idx="13">
                    <c:v>0</c:v>
                  </c:pt>
                  <c:pt idx="14">
                    <c:v>0</c:v>
                  </c:pt>
                </c:numCache>
              </c:numRef>
            </c:minus>
          </c:errBars>
          <c:cat>
            <c:strRef>
              <c:f>'Graph format rapport CHG'!$E$2:$T$2</c:f>
              <c:strCache>
                <c:ptCount val="15"/>
                <c:pt idx="1">
                  <c:v>FAD-11µg/L</c:v>
                </c:pt>
                <c:pt idx="2">
                  <c:v>FAD-22µg/L</c:v>
                </c:pt>
                <c:pt idx="3">
                  <c:v>FAD-44µg/L</c:v>
                </c:pt>
                <c:pt idx="4">
                  <c:v>FAD-87µg/L</c:v>
                </c:pt>
                <c:pt idx="5">
                  <c:v>#REF!</c:v>
                </c:pt>
                <c:pt idx="6">
                  <c:v>#REF!</c:v>
                </c:pt>
                <c:pt idx="7">
                  <c:v>#REF!</c:v>
                </c:pt>
                <c:pt idx="8">
                  <c:v>#REF!</c:v>
                </c:pt>
                <c:pt idx="9">
                  <c:v>#REF!</c:v>
                </c:pt>
                <c:pt idx="10">
                  <c:v>#REF!</c:v>
                </c:pt>
                <c:pt idx="11">
                  <c:v>#REF!</c:v>
                </c:pt>
                <c:pt idx="12">
                  <c:v>#REF!</c:v>
                </c:pt>
                <c:pt idx="13">
                  <c:v>#REF!</c:v>
                </c:pt>
                <c:pt idx="14">
                  <c:v>#REF!</c:v>
                </c:pt>
              </c:strCache>
            </c:strRef>
          </c:cat>
          <c:val>
            <c:numRef>
              <c:f>'Graph format rapport CHG'!$E$3:$T$3</c:f>
              <c:numCache>
                <c:formatCode>General</c:formatCode>
                <c:ptCount val="16"/>
                <c:pt idx="1">
                  <c:v>0.12318641759912631</c:v>
                </c:pt>
                <c:pt idx="2">
                  <c:v>9.8606288911205903E-2</c:v>
                </c:pt>
                <c:pt idx="3">
                  <c:v>9.5752955557830824E-2</c:v>
                </c:pt>
                <c:pt idx="4">
                  <c:v>9.450511212467573E-2</c:v>
                </c:pt>
                <c:pt idx="5">
                  <c:v>0</c:v>
                </c:pt>
                <c:pt idx="6">
                  <c:v>0</c:v>
                </c:pt>
                <c:pt idx="7">
                  <c:v>0</c:v>
                </c:pt>
                <c:pt idx="8">
                  <c:v>0</c:v>
                </c:pt>
                <c:pt idx="9">
                  <c:v>0</c:v>
                </c:pt>
                <c:pt idx="10">
                  <c:v>0</c:v>
                </c:pt>
                <c:pt idx="11">
                  <c:v>0</c:v>
                </c:pt>
                <c:pt idx="12">
                  <c:v>0</c:v>
                </c:pt>
                <c:pt idx="13">
                  <c:v>0</c:v>
                </c:pt>
                <c:pt idx="14">
                  <c:v>0</c:v>
                </c:pt>
              </c:numCache>
            </c:numRef>
          </c:val>
          <c:extLst>
            <c:ext xmlns:c15="http://schemas.microsoft.com/office/drawing/2012/chart" uri="{02D57815-91ED-43cb-92C2-25804820EDAC}">
              <c15:datalabelsRange>
                <c15:f>'Graph format rapport CHG'!$E$5:$T$5</c15:f>
                <c15:dlblRangeCache>
                  <c:ptCount val="16"/>
                  <c:pt idx="1">
                    <c:v>ns</c:v>
                  </c:pt>
                  <c:pt idx="2">
                    <c:v>ns</c:v>
                  </c:pt>
                  <c:pt idx="3">
                    <c:v>ns</c:v>
                  </c:pt>
                  <c:pt idx="4">
                    <c:v>ns</c:v>
                  </c:pt>
                  <c:pt idx="5">
                    <c:v>#REF!</c:v>
                  </c:pt>
                  <c:pt idx="6">
                    <c:v>#REF!</c:v>
                  </c:pt>
                  <c:pt idx="7">
                    <c:v>#REF!</c:v>
                  </c:pt>
                  <c:pt idx="8">
                    <c:v>#REF!</c:v>
                  </c:pt>
                  <c:pt idx="9">
                    <c:v>#REF!</c:v>
                  </c:pt>
                  <c:pt idx="10">
                    <c:v>#REF!</c:v>
                  </c:pt>
                  <c:pt idx="11">
                    <c:v>#REF!</c:v>
                  </c:pt>
                  <c:pt idx="12">
                    <c:v>#REF!</c:v>
                  </c:pt>
                  <c:pt idx="13">
                    <c:v>#REF!</c:v>
                  </c:pt>
                  <c:pt idx="14">
                    <c:v>#REF!</c:v>
                  </c:pt>
                </c15:dlblRangeCache>
              </c15:datalabelsRange>
            </c:ext>
            <c:ext xmlns:c16="http://schemas.microsoft.com/office/drawing/2014/chart" uri="{C3380CC4-5D6E-409C-BE32-E72D297353CC}">
              <c16:uniqueId val="{00000013-E05A-476A-81E0-9DDAF8947A01}"/>
            </c:ext>
          </c:extLst>
        </c:ser>
        <c:dLbls>
          <c:showLegendKey val="0"/>
          <c:showVal val="0"/>
          <c:showCatName val="0"/>
          <c:showSerName val="0"/>
          <c:showPercent val="0"/>
          <c:showBubbleSize val="0"/>
        </c:dLbls>
        <c:gapWidth val="150"/>
        <c:axId val="434379760"/>
        <c:axId val="434380152"/>
      </c:barChart>
      <c:lineChart>
        <c:grouping val="standard"/>
        <c:varyColors val="0"/>
        <c:ser>
          <c:idx val="1"/>
          <c:order val="1"/>
          <c:tx>
            <c:strRef>
              <c:f>'Graph format rapport CHG'!$D$6</c:f>
              <c:strCache>
                <c:ptCount val="1"/>
                <c:pt idx="0">
                  <c:v>Témoin Evian</c:v>
                </c:pt>
              </c:strCache>
            </c:strRef>
          </c:tx>
          <c:spPr>
            <a:ln>
              <a:solidFill>
                <a:srgbClr val="00B050"/>
              </a:solidFill>
            </a:ln>
          </c:spPr>
          <c:marker>
            <c:symbol val="none"/>
          </c:marker>
          <c:cat>
            <c:multiLvlStrRef>
              <c:f>'Graph format rapport CHG'!#REF!</c:f>
            </c:multiLvlStrRef>
          </c:cat>
          <c:val>
            <c:numRef>
              <c:f>'Graph format rapport CHG'!$E$6:$T$6</c:f>
              <c:numCache>
                <c:formatCode>General</c:formatCode>
                <c:ptCount val="16"/>
                <c:pt idx="0">
                  <c:v>0.10038748006553395</c:v>
                </c:pt>
                <c:pt idx="1">
                  <c:v>0.10038748006553395</c:v>
                </c:pt>
                <c:pt idx="2">
                  <c:v>0.10038748006553395</c:v>
                </c:pt>
                <c:pt idx="3">
                  <c:v>0.10038748006553395</c:v>
                </c:pt>
                <c:pt idx="4">
                  <c:v>0.10038748006553395</c:v>
                </c:pt>
                <c:pt idx="5">
                  <c:v>0.10038748006553395</c:v>
                </c:pt>
                <c:pt idx="6">
                  <c:v>0.10038748006553395</c:v>
                </c:pt>
                <c:pt idx="7">
                  <c:v>0.10038748006553395</c:v>
                </c:pt>
                <c:pt idx="8">
                  <c:v>0.10038748006553395</c:v>
                </c:pt>
                <c:pt idx="9">
                  <c:v>0.10038748006553395</c:v>
                </c:pt>
                <c:pt idx="10">
                  <c:v>0.10038748006553395</c:v>
                </c:pt>
                <c:pt idx="11">
                  <c:v>0.10038748006553395</c:v>
                </c:pt>
                <c:pt idx="12">
                  <c:v>0.10038748006553395</c:v>
                </c:pt>
                <c:pt idx="13">
                  <c:v>0.10038748006553395</c:v>
                </c:pt>
                <c:pt idx="14">
                  <c:v>0.10038748006553395</c:v>
                </c:pt>
                <c:pt idx="15">
                  <c:v>0.10038748006553395</c:v>
                </c:pt>
              </c:numCache>
            </c:numRef>
          </c:val>
          <c:smooth val="0"/>
          <c:extLst>
            <c:ext xmlns:c16="http://schemas.microsoft.com/office/drawing/2014/chart" uri="{C3380CC4-5D6E-409C-BE32-E72D297353CC}">
              <c16:uniqueId val="{00000014-E05A-476A-81E0-9DDAF8947A01}"/>
            </c:ext>
          </c:extLst>
        </c:ser>
        <c:dLbls>
          <c:showLegendKey val="0"/>
          <c:showVal val="0"/>
          <c:showCatName val="0"/>
          <c:showSerName val="0"/>
          <c:showPercent val="0"/>
          <c:showBubbleSize val="0"/>
        </c:dLbls>
        <c:marker val="1"/>
        <c:smooth val="0"/>
        <c:axId val="434379760"/>
        <c:axId val="434380152"/>
      </c:lineChart>
      <c:dateAx>
        <c:axId val="434379760"/>
        <c:scaling>
          <c:orientation val="minMax"/>
        </c:scaling>
        <c:delete val="0"/>
        <c:axPos val="b"/>
        <c:numFmt formatCode="General" sourceLinked="0"/>
        <c:majorTickMark val="out"/>
        <c:minorTickMark val="none"/>
        <c:tickLblPos val="low"/>
        <c:spPr>
          <a:ln w="25400">
            <a:solidFill>
              <a:schemeClr val="tx1"/>
            </a:solidFill>
          </a:ln>
        </c:spPr>
        <c:txPr>
          <a:bodyPr rot="0" vert="horz"/>
          <a:lstStyle/>
          <a:p>
            <a:pPr>
              <a:defRPr b="1"/>
            </a:pPr>
            <a:endParaRPr lang="fr-FR"/>
          </a:p>
        </c:txPr>
        <c:crossAx val="434380152"/>
        <c:crosses val="autoZero"/>
        <c:auto val="0"/>
        <c:lblOffset val="100"/>
        <c:baseTimeUnit val="days"/>
      </c:dateAx>
      <c:valAx>
        <c:axId val="434380152"/>
        <c:scaling>
          <c:orientation val="minMax"/>
          <c:max val="2"/>
          <c:min val="0"/>
        </c:scaling>
        <c:delete val="0"/>
        <c:axPos val="l"/>
        <c:title>
          <c:tx>
            <c:rich>
              <a:bodyPr/>
              <a:lstStyle/>
              <a:p>
                <a:pPr>
                  <a:defRPr/>
                </a:pPr>
                <a:r>
                  <a:rPr lang="fr-FR"/>
                  <a:t>Fluorescence</a:t>
                </a:r>
              </a:p>
            </c:rich>
          </c:tx>
          <c:layout>
            <c:manualLayout>
              <c:xMode val="edge"/>
              <c:yMode val="edge"/>
              <c:x val="1.0387853349889646E-2"/>
              <c:y val="0.2372296165912457"/>
            </c:manualLayout>
          </c:layout>
          <c:overlay val="0"/>
        </c:title>
        <c:numFmt formatCode="General" sourceLinked="1"/>
        <c:majorTickMark val="out"/>
        <c:minorTickMark val="none"/>
        <c:tickLblPos val="nextTo"/>
        <c:spPr>
          <a:ln w="25400">
            <a:solidFill>
              <a:schemeClr val="tx1"/>
            </a:solidFill>
          </a:ln>
        </c:spPr>
        <c:txPr>
          <a:bodyPr/>
          <a:lstStyle/>
          <a:p>
            <a:pPr>
              <a:defRPr b="1"/>
            </a:pPr>
            <a:endParaRPr lang="fr-FR"/>
          </a:p>
        </c:txPr>
        <c:crossAx val="434379760"/>
        <c:crosses val="autoZero"/>
        <c:crossBetween val="midCat"/>
        <c:majorUnit val="0.2"/>
      </c:valAx>
    </c:plotArea>
    <c:plotVisOnly val="1"/>
    <c:dispBlanksAs val="zero"/>
    <c:showDLblsOverMax val="0"/>
  </c:chart>
  <c:spPr>
    <a:ln>
      <a:noFill/>
    </a:ln>
  </c:spPr>
  <c:txPr>
    <a:bodyPr/>
    <a:lstStyle/>
    <a:p>
      <a:pPr>
        <a:defRPr sz="1000"/>
      </a:pPr>
      <a:endParaRPr lang="fr-FR"/>
    </a:p>
  </c:txPr>
  <c:printSettings>
    <c:headerFooter/>
    <c:pageMargins b="0.75000000000000022" l="0.70000000000000018" r="0.70000000000000018" t="0.75000000000000022" header="0.3000000000000001" footer="0.3000000000000001"/>
    <c:pageSetup/>
  </c:printSettings>
  <c:userShapes r:id="rId1"/>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1506615584560167"/>
          <c:y val="2.2855878970184925E-2"/>
          <c:w val="0.80127861233935682"/>
          <c:h val="0.58408416644548644"/>
        </c:manualLayout>
      </c:layout>
      <c:areaChart>
        <c:grouping val="stacked"/>
        <c:varyColors val="0"/>
        <c:ser>
          <c:idx val="3"/>
          <c:order val="2"/>
          <c:tx>
            <c:strRef>
              <c:f>'Graph format rapport CHG'!$D$8</c:f>
              <c:strCache>
                <c:ptCount val="1"/>
                <c:pt idx="0">
                  <c:v>Zone rouge anti</c:v>
                </c:pt>
              </c:strCache>
            </c:strRef>
          </c:tx>
          <c:spPr>
            <a:solidFill>
              <a:srgbClr val="FF0000">
                <a:alpha val="20000"/>
              </a:srgbClr>
            </a:solidFill>
          </c:spPr>
          <c:cat>
            <c:strRef>
              <c:f>'Graph format rapport CHG'!$U$2:$AJ$2</c:f>
              <c:strCache>
                <c:ptCount val="15"/>
                <c:pt idx="1">
                  <c:v>FAD-5,4µg/L + Testostérone</c:v>
                </c:pt>
                <c:pt idx="2">
                  <c:v>FAD-11µg/L + Testostérone</c:v>
                </c:pt>
                <c:pt idx="3">
                  <c:v>FAD-22µg/L + Testostérone</c:v>
                </c:pt>
                <c:pt idx="4">
                  <c:v>FAD-44µg/L + Testostérone</c:v>
                </c:pt>
                <c:pt idx="5">
                  <c:v>FAD-87µg/L + Testostérone</c:v>
                </c:pt>
                <c:pt idx="6">
                  <c:v>#REF!</c:v>
                </c:pt>
                <c:pt idx="7">
                  <c:v>#REF!</c:v>
                </c:pt>
                <c:pt idx="8">
                  <c:v>#REF!</c:v>
                </c:pt>
                <c:pt idx="9">
                  <c:v>#REF!</c:v>
                </c:pt>
                <c:pt idx="10">
                  <c:v>#REF!</c:v>
                </c:pt>
                <c:pt idx="11">
                  <c:v>#REF!</c:v>
                </c:pt>
                <c:pt idx="12">
                  <c:v>#REF!</c:v>
                </c:pt>
                <c:pt idx="13">
                  <c:v>#REF!</c:v>
                </c:pt>
                <c:pt idx="14">
                  <c:v>#REF!</c:v>
                </c:pt>
              </c:strCache>
            </c:strRef>
          </c:cat>
          <c:val>
            <c:numRef>
              <c:f>'Graph format rapport CHG'!$U$8:$AJ$8</c:f>
              <c:numCache>
                <c:formatCode>General</c:formatCode>
                <c:ptCount val="16"/>
                <c:pt idx="0">
                  <c:v>9.0738879492618094E-2</c:v>
                </c:pt>
                <c:pt idx="1">
                  <c:v>9.0738879492618094E-2</c:v>
                </c:pt>
                <c:pt idx="2">
                  <c:v>9.0738879492618094E-2</c:v>
                </c:pt>
                <c:pt idx="3">
                  <c:v>9.0738879492618094E-2</c:v>
                </c:pt>
                <c:pt idx="4">
                  <c:v>9.0738879492618094E-2</c:v>
                </c:pt>
                <c:pt idx="5">
                  <c:v>9.0738879492618094E-2</c:v>
                </c:pt>
                <c:pt idx="6">
                  <c:v>9.0738879492618094E-2</c:v>
                </c:pt>
                <c:pt idx="7">
                  <c:v>9.0738879492618094E-2</c:v>
                </c:pt>
                <c:pt idx="8">
                  <c:v>9.0738879492618094E-2</c:v>
                </c:pt>
                <c:pt idx="9">
                  <c:v>9.0738879492618094E-2</c:v>
                </c:pt>
                <c:pt idx="10">
                  <c:v>9.0738879492618094E-2</c:v>
                </c:pt>
                <c:pt idx="11">
                  <c:v>9.0738879492618094E-2</c:v>
                </c:pt>
                <c:pt idx="12">
                  <c:v>9.0738879492618094E-2</c:v>
                </c:pt>
                <c:pt idx="13">
                  <c:v>9.0738879492618094E-2</c:v>
                </c:pt>
                <c:pt idx="14">
                  <c:v>9.0738879492618094E-2</c:v>
                </c:pt>
                <c:pt idx="15">
                  <c:v>9.0738879492618094E-2</c:v>
                </c:pt>
              </c:numCache>
            </c:numRef>
          </c:val>
          <c:extLst>
            <c:ext xmlns:c16="http://schemas.microsoft.com/office/drawing/2014/chart" uri="{C3380CC4-5D6E-409C-BE32-E72D297353CC}">
              <c16:uniqueId val="{00000000-4CBD-4130-8AB9-F913B66FA2BD}"/>
            </c:ext>
          </c:extLst>
        </c:ser>
        <c:ser>
          <c:idx val="6"/>
          <c:order val="3"/>
          <c:tx>
            <c:strRef>
              <c:f>'Graph format rapport CHG'!$D$9</c:f>
              <c:strCache>
                <c:ptCount val="1"/>
                <c:pt idx="0">
                  <c:v>Zone verte</c:v>
                </c:pt>
              </c:strCache>
            </c:strRef>
          </c:tx>
          <c:spPr>
            <a:solidFill>
              <a:srgbClr val="00B050">
                <a:alpha val="20000"/>
              </a:srgbClr>
            </a:solidFill>
          </c:spPr>
          <c:cat>
            <c:strRef>
              <c:f>'Graph format rapport CHG'!$U$2:$AJ$2</c:f>
              <c:strCache>
                <c:ptCount val="15"/>
                <c:pt idx="1">
                  <c:v>FAD-5,4µg/L + Testostérone</c:v>
                </c:pt>
                <c:pt idx="2">
                  <c:v>FAD-11µg/L + Testostérone</c:v>
                </c:pt>
                <c:pt idx="3">
                  <c:v>FAD-22µg/L + Testostérone</c:v>
                </c:pt>
                <c:pt idx="4">
                  <c:v>FAD-44µg/L + Testostérone</c:v>
                </c:pt>
                <c:pt idx="5">
                  <c:v>FAD-87µg/L + Testostérone</c:v>
                </c:pt>
                <c:pt idx="6">
                  <c:v>#REF!</c:v>
                </c:pt>
                <c:pt idx="7">
                  <c:v>#REF!</c:v>
                </c:pt>
                <c:pt idx="8">
                  <c:v>#REF!</c:v>
                </c:pt>
                <c:pt idx="9">
                  <c:v>#REF!</c:v>
                </c:pt>
                <c:pt idx="10">
                  <c:v>#REF!</c:v>
                </c:pt>
                <c:pt idx="11">
                  <c:v>#REF!</c:v>
                </c:pt>
                <c:pt idx="12">
                  <c:v>#REF!</c:v>
                </c:pt>
                <c:pt idx="13">
                  <c:v>#REF!</c:v>
                </c:pt>
                <c:pt idx="14">
                  <c:v>#REF!</c:v>
                </c:pt>
              </c:strCache>
            </c:strRef>
          </c:cat>
          <c:val>
            <c:numRef>
              <c:f>'Graph format rapport CHG'!$U$9:$AJ$9</c:f>
              <c:numCache>
                <c:formatCode>General</c:formatCode>
                <c:ptCount val="16"/>
                <c:pt idx="0">
                  <c:v>1.7302806012346632</c:v>
                </c:pt>
                <c:pt idx="1">
                  <c:v>1.7302806012346632</c:v>
                </c:pt>
                <c:pt idx="2">
                  <c:v>1.7302806012346632</c:v>
                </c:pt>
                <c:pt idx="3">
                  <c:v>1.7302806012346632</c:v>
                </c:pt>
                <c:pt idx="4">
                  <c:v>1.7302806012346632</c:v>
                </c:pt>
                <c:pt idx="5">
                  <c:v>1.7302806012346632</c:v>
                </c:pt>
                <c:pt idx="6">
                  <c:v>1.7302806012346632</c:v>
                </c:pt>
                <c:pt idx="7">
                  <c:v>1.7302806012346632</c:v>
                </c:pt>
                <c:pt idx="8">
                  <c:v>1.7302806012346632</c:v>
                </c:pt>
                <c:pt idx="9">
                  <c:v>1.7302806012346632</c:v>
                </c:pt>
                <c:pt idx="10">
                  <c:v>1.7302806012346632</c:v>
                </c:pt>
                <c:pt idx="11">
                  <c:v>1.7302806012346632</c:v>
                </c:pt>
                <c:pt idx="12">
                  <c:v>1.7302806012346632</c:v>
                </c:pt>
                <c:pt idx="13">
                  <c:v>1.7302806012346632</c:v>
                </c:pt>
                <c:pt idx="14">
                  <c:v>1.7302806012346632</c:v>
                </c:pt>
                <c:pt idx="15">
                  <c:v>1.7302806012346632</c:v>
                </c:pt>
              </c:numCache>
            </c:numRef>
          </c:val>
          <c:extLst>
            <c:ext xmlns:c16="http://schemas.microsoft.com/office/drawing/2014/chart" uri="{C3380CC4-5D6E-409C-BE32-E72D297353CC}">
              <c16:uniqueId val="{00000001-4CBD-4130-8AB9-F913B66FA2BD}"/>
            </c:ext>
          </c:extLst>
        </c:ser>
        <c:ser>
          <c:idx val="7"/>
          <c:order val="4"/>
          <c:tx>
            <c:strRef>
              <c:f>'Graph format rapport CHG'!$D$10</c:f>
              <c:strCache>
                <c:ptCount val="1"/>
                <c:pt idx="0">
                  <c:v>Zone rouge pro</c:v>
                </c:pt>
              </c:strCache>
            </c:strRef>
          </c:tx>
          <c:spPr>
            <a:solidFill>
              <a:srgbClr val="FF0000">
                <a:alpha val="20000"/>
              </a:srgbClr>
            </a:solidFill>
          </c:spPr>
          <c:cat>
            <c:strRef>
              <c:f>'Graph format rapport CHG'!$U$2:$AJ$2</c:f>
              <c:strCache>
                <c:ptCount val="15"/>
                <c:pt idx="1">
                  <c:v>FAD-5,4µg/L + Testostérone</c:v>
                </c:pt>
                <c:pt idx="2">
                  <c:v>FAD-11µg/L + Testostérone</c:v>
                </c:pt>
                <c:pt idx="3">
                  <c:v>FAD-22µg/L + Testostérone</c:v>
                </c:pt>
                <c:pt idx="4">
                  <c:v>FAD-44µg/L + Testostérone</c:v>
                </c:pt>
                <c:pt idx="5">
                  <c:v>FAD-87µg/L + Testostérone</c:v>
                </c:pt>
                <c:pt idx="6">
                  <c:v>#REF!</c:v>
                </c:pt>
                <c:pt idx="7">
                  <c:v>#REF!</c:v>
                </c:pt>
                <c:pt idx="8">
                  <c:v>#REF!</c:v>
                </c:pt>
                <c:pt idx="9">
                  <c:v>#REF!</c:v>
                </c:pt>
                <c:pt idx="10">
                  <c:v>#REF!</c:v>
                </c:pt>
                <c:pt idx="11">
                  <c:v>#REF!</c:v>
                </c:pt>
                <c:pt idx="12">
                  <c:v>#REF!</c:v>
                </c:pt>
                <c:pt idx="13">
                  <c:v>#REF!</c:v>
                </c:pt>
                <c:pt idx="14">
                  <c:v>#REF!</c:v>
                </c:pt>
              </c:strCache>
            </c:strRef>
          </c:cat>
          <c:val>
            <c:numRef>
              <c:f>'Graph format rapport CHG'!$U$10:$AJ$10</c:f>
              <c:numCache>
                <c:formatCode>General</c:formatCode>
                <c:ptCount val="16"/>
                <c:pt idx="0">
                  <c:v>0.76971939876533679</c:v>
                </c:pt>
                <c:pt idx="1">
                  <c:v>0.76971939876533679</c:v>
                </c:pt>
                <c:pt idx="2">
                  <c:v>0.76971939876533679</c:v>
                </c:pt>
                <c:pt idx="3">
                  <c:v>0.76971939876533679</c:v>
                </c:pt>
                <c:pt idx="4">
                  <c:v>0.76971939876533679</c:v>
                </c:pt>
                <c:pt idx="5">
                  <c:v>0.76971939876533679</c:v>
                </c:pt>
                <c:pt idx="6">
                  <c:v>0.76971939876533679</c:v>
                </c:pt>
                <c:pt idx="7">
                  <c:v>0.76971939876533679</c:v>
                </c:pt>
                <c:pt idx="8">
                  <c:v>0.76971939876533679</c:v>
                </c:pt>
                <c:pt idx="9">
                  <c:v>0.76971939876533679</c:v>
                </c:pt>
                <c:pt idx="10">
                  <c:v>0.76971939876533679</c:v>
                </c:pt>
                <c:pt idx="11">
                  <c:v>0.76971939876533679</c:v>
                </c:pt>
                <c:pt idx="12">
                  <c:v>0.76971939876533679</c:v>
                </c:pt>
                <c:pt idx="13">
                  <c:v>0.76971939876533679</c:v>
                </c:pt>
                <c:pt idx="14">
                  <c:v>0.76971939876533679</c:v>
                </c:pt>
                <c:pt idx="15">
                  <c:v>0.76971939876533679</c:v>
                </c:pt>
              </c:numCache>
            </c:numRef>
          </c:val>
          <c:extLst>
            <c:ext xmlns:c16="http://schemas.microsoft.com/office/drawing/2014/chart" uri="{C3380CC4-5D6E-409C-BE32-E72D297353CC}">
              <c16:uniqueId val="{00000002-4CBD-4130-8AB9-F913B66FA2BD}"/>
            </c:ext>
          </c:extLst>
        </c:ser>
        <c:dLbls>
          <c:showLegendKey val="0"/>
          <c:showVal val="0"/>
          <c:showCatName val="0"/>
          <c:showSerName val="0"/>
          <c:showPercent val="0"/>
          <c:showBubbleSize val="0"/>
        </c:dLbls>
        <c:axId val="434380936"/>
        <c:axId val="434381328"/>
      </c:areaChart>
      <c:barChart>
        <c:barDir val="col"/>
        <c:grouping val="clustered"/>
        <c:varyColors val="0"/>
        <c:ser>
          <c:idx val="0"/>
          <c:order val="0"/>
          <c:tx>
            <c:strRef>
              <c:f>'Graph format rapport CHG'!$D$3</c:f>
              <c:strCache>
                <c:ptCount val="1"/>
                <c:pt idx="0">
                  <c:v>Moyenne</c:v>
                </c:pt>
              </c:strCache>
            </c:strRef>
          </c:tx>
          <c:spPr>
            <a:ln w="28575">
              <a:noFill/>
            </a:ln>
          </c:spPr>
          <c:invertIfNegative val="0"/>
          <c:dLbls>
            <c:dLbl>
              <c:idx val="0"/>
              <c:tx>
                <c:rich>
                  <a:bodyPr/>
                  <a:lstStyle/>
                  <a:p>
                    <a:fld id="{6791D5FE-68FC-4D2B-92D2-B5C9629D3D4F}" type="CELLRANGE">
                      <a:rPr lang="en-US"/>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3-4CBD-4130-8AB9-F913B66FA2BD}"/>
                </c:ext>
              </c:extLst>
            </c:dLbl>
            <c:dLbl>
              <c:idx val="1"/>
              <c:tx>
                <c:rich>
                  <a:bodyPr/>
                  <a:lstStyle/>
                  <a:p>
                    <a:fld id="{89B19E6C-17B5-4386-A7F3-57D9A51EAD7D}"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0-BE32-4216-8FED-9A7B81C1A779}"/>
                </c:ext>
              </c:extLst>
            </c:dLbl>
            <c:dLbl>
              <c:idx val="2"/>
              <c:tx>
                <c:rich>
                  <a:bodyPr/>
                  <a:lstStyle/>
                  <a:p>
                    <a:fld id="{42F3B680-2078-4099-BC12-E2500FBDDD63}"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1-BE32-4216-8FED-9A7B81C1A779}"/>
                </c:ext>
              </c:extLst>
            </c:dLbl>
            <c:dLbl>
              <c:idx val="3"/>
              <c:tx>
                <c:rich>
                  <a:bodyPr/>
                  <a:lstStyle/>
                  <a:p>
                    <a:fld id="{679C15FC-9CE6-4EE8-AA65-BC4A26E266C1}"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2-BE32-4216-8FED-9A7B81C1A779}"/>
                </c:ext>
              </c:extLst>
            </c:dLbl>
            <c:dLbl>
              <c:idx val="4"/>
              <c:tx>
                <c:rich>
                  <a:bodyPr/>
                  <a:lstStyle/>
                  <a:p>
                    <a:fld id="{D47E75A7-6A7E-43D9-BDBD-5983F9E8F558}"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3-BE32-4216-8FED-9A7B81C1A779}"/>
                </c:ext>
              </c:extLst>
            </c:dLbl>
            <c:dLbl>
              <c:idx val="5"/>
              <c:tx>
                <c:rich>
                  <a:bodyPr/>
                  <a:lstStyle/>
                  <a:p>
                    <a:fld id="{6648ABE9-8A96-46A0-8FE8-2A92B5E62D8E}"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4-BE32-4216-8FED-9A7B81C1A779}"/>
                </c:ext>
              </c:extLst>
            </c:dLbl>
            <c:dLbl>
              <c:idx val="6"/>
              <c:tx>
                <c:rich>
                  <a:bodyPr/>
                  <a:lstStyle/>
                  <a:p>
                    <a:fld id="{45D028D2-C19E-45D8-B583-0EBEE80CD912}"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5-BE32-4216-8FED-9A7B81C1A779}"/>
                </c:ext>
              </c:extLst>
            </c:dLbl>
            <c:dLbl>
              <c:idx val="7"/>
              <c:tx>
                <c:rich>
                  <a:bodyPr/>
                  <a:lstStyle/>
                  <a:p>
                    <a:fld id="{E3BAAEE2-2B4D-42EC-80E1-7C324B54257C}"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6-BE32-4216-8FED-9A7B81C1A779}"/>
                </c:ext>
              </c:extLst>
            </c:dLbl>
            <c:dLbl>
              <c:idx val="8"/>
              <c:tx>
                <c:rich>
                  <a:bodyPr/>
                  <a:lstStyle/>
                  <a:p>
                    <a:fld id="{204F7D2A-4D40-4472-B47D-970EA0FF32D0}"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7-BE32-4216-8FED-9A7B81C1A779}"/>
                </c:ext>
              </c:extLst>
            </c:dLbl>
            <c:dLbl>
              <c:idx val="9"/>
              <c:tx>
                <c:rich>
                  <a:bodyPr/>
                  <a:lstStyle/>
                  <a:p>
                    <a:fld id="{3A219120-E486-477D-8269-7483740F10B1}"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8-BE32-4216-8FED-9A7B81C1A779}"/>
                </c:ext>
              </c:extLst>
            </c:dLbl>
            <c:dLbl>
              <c:idx val="10"/>
              <c:tx>
                <c:rich>
                  <a:bodyPr/>
                  <a:lstStyle/>
                  <a:p>
                    <a:fld id="{21CDA8D4-DA11-4FC5-86DF-DF3D26533741}"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9-BE32-4216-8FED-9A7B81C1A779}"/>
                </c:ext>
              </c:extLst>
            </c:dLbl>
            <c:dLbl>
              <c:idx val="11"/>
              <c:tx>
                <c:rich>
                  <a:bodyPr/>
                  <a:lstStyle/>
                  <a:p>
                    <a:fld id="{825AB087-2968-4B92-89DF-DBB2C4E199B7}"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A-BE32-4216-8FED-9A7B81C1A779}"/>
                </c:ext>
              </c:extLst>
            </c:dLbl>
            <c:dLbl>
              <c:idx val="12"/>
              <c:tx>
                <c:rich>
                  <a:bodyPr/>
                  <a:lstStyle/>
                  <a:p>
                    <a:fld id="{FCA105F5-DBFC-4539-90EF-32FA9C0FF5C4}"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B-BE32-4216-8FED-9A7B81C1A779}"/>
                </c:ext>
              </c:extLst>
            </c:dLbl>
            <c:dLbl>
              <c:idx val="13"/>
              <c:tx>
                <c:rich>
                  <a:bodyPr/>
                  <a:lstStyle/>
                  <a:p>
                    <a:fld id="{2FF4694C-7C57-4D1F-8C51-A12D69B0F0E1}"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C-BE32-4216-8FED-9A7B81C1A779}"/>
                </c:ext>
              </c:extLst>
            </c:dLbl>
            <c:dLbl>
              <c:idx val="14"/>
              <c:tx>
                <c:rich>
                  <a:bodyPr/>
                  <a:lstStyle/>
                  <a:p>
                    <a:fld id="{A59BF4EC-87A2-4FCF-A283-A3FB1E1E9A62}"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D-BE32-4216-8FED-9A7B81C1A779}"/>
                </c:ext>
              </c:extLst>
            </c:dLbl>
            <c:dLbl>
              <c:idx val="15"/>
              <c:tx>
                <c:rich>
                  <a:bodyPr/>
                  <a:lstStyle/>
                  <a:p>
                    <a:fld id="{F3A91565-504F-4F2A-AB2B-DE6EF5D53688}" type="CELLRANGE">
                      <a:rPr lang="en-US"/>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E-BE32-4216-8FED-9A7B81C1A779}"/>
                </c:ext>
              </c:extLst>
            </c:dLbl>
            <c:spPr>
              <a:noFill/>
              <a:ln>
                <a:noFill/>
              </a:ln>
              <a:effectLst/>
            </c:spPr>
            <c:dLblPos val="outEnd"/>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0"/>
              </c:ext>
            </c:extLst>
          </c:dLbls>
          <c:errBars>
            <c:errBarType val="both"/>
            <c:errValType val="cust"/>
            <c:noEndCap val="0"/>
            <c:plus>
              <c:numRef>
                <c:f>'Graph format rapport CHG'!$U$4:$AJ$4</c:f>
                <c:numCache>
                  <c:formatCode>General</c:formatCode>
                  <c:ptCount val="16"/>
                  <c:pt idx="1">
                    <c:v>1.0190309909861693E-2</c:v>
                  </c:pt>
                  <c:pt idx="2">
                    <c:v>1.6024814379509787E-2</c:v>
                  </c:pt>
                  <c:pt idx="3">
                    <c:v>1.8390689297824687E-2</c:v>
                  </c:pt>
                  <c:pt idx="4">
                    <c:v>1.683939007610314E-2</c:v>
                  </c:pt>
                  <c:pt idx="5">
                    <c:v>1.4809678053783342E-2</c:v>
                  </c:pt>
                  <c:pt idx="6">
                    <c:v>0</c:v>
                  </c:pt>
                  <c:pt idx="7">
                    <c:v>0</c:v>
                  </c:pt>
                  <c:pt idx="8">
                    <c:v>0</c:v>
                  </c:pt>
                  <c:pt idx="9">
                    <c:v>0</c:v>
                  </c:pt>
                  <c:pt idx="10">
                    <c:v>0</c:v>
                  </c:pt>
                  <c:pt idx="11">
                    <c:v>0</c:v>
                  </c:pt>
                  <c:pt idx="12">
                    <c:v>0</c:v>
                  </c:pt>
                  <c:pt idx="13">
                    <c:v>0</c:v>
                  </c:pt>
                  <c:pt idx="14">
                    <c:v>0</c:v>
                  </c:pt>
                </c:numCache>
              </c:numRef>
            </c:plus>
            <c:minus>
              <c:numRef>
                <c:f>'Graph format rapport CHG'!$U$4:$AJ$4</c:f>
                <c:numCache>
                  <c:formatCode>General</c:formatCode>
                  <c:ptCount val="16"/>
                  <c:pt idx="1">
                    <c:v>1.0190309909861693E-2</c:v>
                  </c:pt>
                  <c:pt idx="2">
                    <c:v>1.6024814379509787E-2</c:v>
                  </c:pt>
                  <c:pt idx="3">
                    <c:v>1.8390689297824687E-2</c:v>
                  </c:pt>
                  <c:pt idx="4">
                    <c:v>1.683939007610314E-2</c:v>
                  </c:pt>
                  <c:pt idx="5">
                    <c:v>1.4809678053783342E-2</c:v>
                  </c:pt>
                  <c:pt idx="6">
                    <c:v>0</c:v>
                  </c:pt>
                  <c:pt idx="7">
                    <c:v>0</c:v>
                  </c:pt>
                  <c:pt idx="8">
                    <c:v>0</c:v>
                  </c:pt>
                  <c:pt idx="9">
                    <c:v>0</c:v>
                  </c:pt>
                  <c:pt idx="10">
                    <c:v>0</c:v>
                  </c:pt>
                  <c:pt idx="11">
                    <c:v>0</c:v>
                  </c:pt>
                  <c:pt idx="12">
                    <c:v>0</c:v>
                  </c:pt>
                  <c:pt idx="13">
                    <c:v>0</c:v>
                  </c:pt>
                  <c:pt idx="14">
                    <c:v>0</c:v>
                  </c:pt>
                </c:numCache>
              </c:numRef>
            </c:minus>
          </c:errBars>
          <c:cat>
            <c:strRef>
              <c:f>'Graph format rapport CHG'!$U$2:$AJ$2</c:f>
              <c:strCache>
                <c:ptCount val="15"/>
                <c:pt idx="1">
                  <c:v>FAD-5,4µg/L + Testostérone</c:v>
                </c:pt>
                <c:pt idx="2">
                  <c:v>FAD-11µg/L + Testostérone</c:v>
                </c:pt>
                <c:pt idx="3">
                  <c:v>FAD-22µg/L + Testostérone</c:v>
                </c:pt>
                <c:pt idx="4">
                  <c:v>FAD-44µg/L + Testostérone</c:v>
                </c:pt>
                <c:pt idx="5">
                  <c:v>FAD-87µg/L + Testostérone</c:v>
                </c:pt>
                <c:pt idx="6">
                  <c:v>#REF!</c:v>
                </c:pt>
                <c:pt idx="7">
                  <c:v>#REF!</c:v>
                </c:pt>
                <c:pt idx="8">
                  <c:v>#REF!</c:v>
                </c:pt>
                <c:pt idx="9">
                  <c:v>#REF!</c:v>
                </c:pt>
                <c:pt idx="10">
                  <c:v>#REF!</c:v>
                </c:pt>
                <c:pt idx="11">
                  <c:v>#REF!</c:v>
                </c:pt>
                <c:pt idx="12">
                  <c:v>#REF!</c:v>
                </c:pt>
                <c:pt idx="13">
                  <c:v>#REF!</c:v>
                </c:pt>
                <c:pt idx="14">
                  <c:v>#REF!</c:v>
                </c:pt>
              </c:strCache>
            </c:strRef>
          </c:cat>
          <c:val>
            <c:numRef>
              <c:f>'Graph format rapport CHG'!$U$3:$AJ$3</c:f>
              <c:numCache>
                <c:formatCode>General</c:formatCode>
                <c:ptCount val="16"/>
                <c:pt idx="1">
                  <c:v>9.3450997154082671E-2</c:v>
                </c:pt>
                <c:pt idx="2">
                  <c:v>0.11853258339724738</c:v>
                </c:pt>
                <c:pt idx="3">
                  <c:v>0.10086788827521706</c:v>
                </c:pt>
                <c:pt idx="4">
                  <c:v>0.10506860199801071</c:v>
                </c:pt>
                <c:pt idx="5">
                  <c:v>0.11333973772911919</c:v>
                </c:pt>
                <c:pt idx="6">
                  <c:v>0</c:v>
                </c:pt>
                <c:pt idx="7">
                  <c:v>0</c:v>
                </c:pt>
                <c:pt idx="8">
                  <c:v>0</c:v>
                </c:pt>
                <c:pt idx="9">
                  <c:v>0</c:v>
                </c:pt>
                <c:pt idx="10">
                  <c:v>0</c:v>
                </c:pt>
                <c:pt idx="11">
                  <c:v>0</c:v>
                </c:pt>
                <c:pt idx="12">
                  <c:v>0</c:v>
                </c:pt>
                <c:pt idx="13">
                  <c:v>0</c:v>
                </c:pt>
                <c:pt idx="14">
                  <c:v>0</c:v>
                </c:pt>
              </c:numCache>
            </c:numRef>
          </c:val>
          <c:extLst>
            <c:ext xmlns:c15="http://schemas.microsoft.com/office/drawing/2012/chart" uri="{02D57815-91ED-43cb-92C2-25804820EDAC}">
              <c15:datalabelsRange>
                <c15:f>'Graph format rapport CHG'!$U$5:$AJ$5</c15:f>
                <c15:dlblRangeCache>
                  <c:ptCount val="16"/>
                  <c:pt idx="1">
                    <c:v>***</c:v>
                  </c:pt>
                  <c:pt idx="2">
                    <c:v>***</c:v>
                  </c:pt>
                  <c:pt idx="3">
                    <c:v>***</c:v>
                  </c:pt>
                  <c:pt idx="4">
                    <c:v>***</c:v>
                  </c:pt>
                  <c:pt idx="5">
                    <c:v>***</c:v>
                  </c:pt>
                  <c:pt idx="6">
                    <c:v>#REF!</c:v>
                  </c:pt>
                  <c:pt idx="7">
                    <c:v>#REF!</c:v>
                  </c:pt>
                  <c:pt idx="8">
                    <c:v>#REF!</c:v>
                  </c:pt>
                  <c:pt idx="9">
                    <c:v>#REF!</c:v>
                  </c:pt>
                  <c:pt idx="10">
                    <c:v>#REF!</c:v>
                  </c:pt>
                  <c:pt idx="11">
                    <c:v>#REF!</c:v>
                  </c:pt>
                  <c:pt idx="12">
                    <c:v>#REF!</c:v>
                  </c:pt>
                  <c:pt idx="13">
                    <c:v>#REF!</c:v>
                  </c:pt>
                  <c:pt idx="14">
                    <c:v>#REF!</c:v>
                  </c:pt>
                </c15:dlblRangeCache>
              </c15:datalabelsRange>
            </c:ext>
            <c:ext xmlns:c16="http://schemas.microsoft.com/office/drawing/2014/chart" uri="{C3380CC4-5D6E-409C-BE32-E72D297353CC}">
              <c16:uniqueId val="{00000013-4CBD-4130-8AB9-F913B66FA2BD}"/>
            </c:ext>
          </c:extLst>
        </c:ser>
        <c:dLbls>
          <c:showLegendKey val="0"/>
          <c:showVal val="0"/>
          <c:showCatName val="0"/>
          <c:showSerName val="0"/>
          <c:showPercent val="0"/>
          <c:showBubbleSize val="0"/>
        </c:dLbls>
        <c:gapWidth val="150"/>
        <c:axId val="434380936"/>
        <c:axId val="434381328"/>
      </c:barChart>
      <c:lineChart>
        <c:grouping val="standard"/>
        <c:varyColors val="0"/>
        <c:ser>
          <c:idx val="2"/>
          <c:order val="1"/>
          <c:tx>
            <c:strRef>
              <c:f>'Graph format rapport CHG'!$D$7</c:f>
              <c:strCache>
                <c:ptCount val="1"/>
                <c:pt idx="0">
                  <c:v>Témoin Testo</c:v>
                </c:pt>
              </c:strCache>
            </c:strRef>
          </c:tx>
          <c:spPr>
            <a:ln>
              <a:solidFill>
                <a:srgbClr val="00B050"/>
              </a:solidFill>
            </a:ln>
          </c:spPr>
          <c:marker>
            <c:symbol val="none"/>
          </c:marker>
          <c:cat>
            <c:strRef>
              <c:f>'Graph format rapport CHG'!$U$2:$AJ$2</c:f>
              <c:strCache>
                <c:ptCount val="15"/>
                <c:pt idx="1">
                  <c:v>FAD-5,4µg/L + Testostérone</c:v>
                </c:pt>
                <c:pt idx="2">
                  <c:v>FAD-11µg/L + Testostérone</c:v>
                </c:pt>
                <c:pt idx="3">
                  <c:v>FAD-22µg/L + Testostérone</c:v>
                </c:pt>
                <c:pt idx="4">
                  <c:v>FAD-44µg/L + Testostérone</c:v>
                </c:pt>
                <c:pt idx="5">
                  <c:v>FAD-87µg/L + Testostérone</c:v>
                </c:pt>
                <c:pt idx="6">
                  <c:v>#REF!</c:v>
                </c:pt>
                <c:pt idx="7">
                  <c:v>#REF!</c:v>
                </c:pt>
                <c:pt idx="8">
                  <c:v>#REF!</c:v>
                </c:pt>
                <c:pt idx="9">
                  <c:v>#REF!</c:v>
                </c:pt>
                <c:pt idx="10">
                  <c:v>#REF!</c:v>
                </c:pt>
                <c:pt idx="11">
                  <c:v>#REF!</c:v>
                </c:pt>
                <c:pt idx="12">
                  <c:v>#REF!</c:v>
                </c:pt>
                <c:pt idx="13">
                  <c:v>#REF!</c:v>
                </c:pt>
                <c:pt idx="14">
                  <c:v>#REF!</c:v>
                </c:pt>
              </c:strCache>
            </c:strRef>
          </c:cat>
          <c:val>
            <c:numRef>
              <c:f>'Graph format rapport CHG'!$U$7:$AJ$7</c:f>
              <c:numCache>
                <c:formatCode>General</c:formatCode>
                <c:ptCount val="16"/>
                <c:pt idx="0">
                  <c:v>1.0000000000000002</c:v>
                </c:pt>
                <c:pt idx="1">
                  <c:v>1.0000000000000002</c:v>
                </c:pt>
                <c:pt idx="2">
                  <c:v>1.0000000000000002</c:v>
                </c:pt>
                <c:pt idx="3">
                  <c:v>1.0000000000000002</c:v>
                </c:pt>
                <c:pt idx="4">
                  <c:v>1.0000000000000002</c:v>
                </c:pt>
                <c:pt idx="5">
                  <c:v>1.0000000000000002</c:v>
                </c:pt>
                <c:pt idx="6">
                  <c:v>1.0000000000000002</c:v>
                </c:pt>
                <c:pt idx="7">
                  <c:v>1.0000000000000002</c:v>
                </c:pt>
                <c:pt idx="8">
                  <c:v>1.0000000000000002</c:v>
                </c:pt>
                <c:pt idx="9">
                  <c:v>1.0000000000000002</c:v>
                </c:pt>
                <c:pt idx="10">
                  <c:v>1.0000000000000002</c:v>
                </c:pt>
                <c:pt idx="11">
                  <c:v>1.0000000000000002</c:v>
                </c:pt>
                <c:pt idx="12">
                  <c:v>1.0000000000000002</c:v>
                </c:pt>
                <c:pt idx="13">
                  <c:v>1.0000000000000002</c:v>
                </c:pt>
                <c:pt idx="14">
                  <c:v>1.0000000000000002</c:v>
                </c:pt>
                <c:pt idx="15">
                  <c:v>1.0000000000000002</c:v>
                </c:pt>
              </c:numCache>
            </c:numRef>
          </c:val>
          <c:smooth val="0"/>
          <c:extLst>
            <c:ext xmlns:c16="http://schemas.microsoft.com/office/drawing/2014/chart" uri="{C3380CC4-5D6E-409C-BE32-E72D297353CC}">
              <c16:uniqueId val="{00000014-4CBD-4130-8AB9-F913B66FA2BD}"/>
            </c:ext>
          </c:extLst>
        </c:ser>
        <c:dLbls>
          <c:showLegendKey val="0"/>
          <c:showVal val="0"/>
          <c:showCatName val="0"/>
          <c:showSerName val="0"/>
          <c:showPercent val="0"/>
          <c:showBubbleSize val="0"/>
        </c:dLbls>
        <c:marker val="1"/>
        <c:smooth val="0"/>
        <c:axId val="434380936"/>
        <c:axId val="434381328"/>
      </c:lineChart>
      <c:dateAx>
        <c:axId val="434380936"/>
        <c:scaling>
          <c:orientation val="minMax"/>
        </c:scaling>
        <c:delete val="0"/>
        <c:axPos val="b"/>
        <c:numFmt formatCode="General" sourceLinked="0"/>
        <c:majorTickMark val="out"/>
        <c:minorTickMark val="none"/>
        <c:tickLblPos val="low"/>
        <c:spPr>
          <a:ln w="25400">
            <a:solidFill>
              <a:schemeClr val="tx1"/>
            </a:solidFill>
          </a:ln>
        </c:spPr>
        <c:txPr>
          <a:bodyPr rot="0" vert="horz"/>
          <a:lstStyle/>
          <a:p>
            <a:pPr>
              <a:defRPr b="1"/>
            </a:pPr>
            <a:endParaRPr lang="fr-FR"/>
          </a:p>
        </c:txPr>
        <c:crossAx val="434381328"/>
        <c:crosses val="autoZero"/>
        <c:auto val="0"/>
        <c:lblOffset val="100"/>
        <c:baseTimeUnit val="days"/>
      </c:dateAx>
      <c:valAx>
        <c:axId val="434381328"/>
        <c:scaling>
          <c:orientation val="minMax"/>
          <c:max val="2"/>
          <c:min val="0"/>
        </c:scaling>
        <c:delete val="0"/>
        <c:axPos val="l"/>
        <c:title>
          <c:tx>
            <c:rich>
              <a:bodyPr/>
              <a:lstStyle/>
              <a:p>
                <a:pPr>
                  <a:defRPr/>
                </a:pPr>
                <a:r>
                  <a:rPr lang="fr-FR"/>
                  <a:t>Fluorescence</a:t>
                </a:r>
              </a:p>
            </c:rich>
          </c:tx>
          <c:layout>
            <c:manualLayout>
              <c:xMode val="edge"/>
              <c:yMode val="edge"/>
              <c:x val="1.5604029236949606E-2"/>
              <c:y val="0.22601757059210961"/>
            </c:manualLayout>
          </c:layout>
          <c:overlay val="0"/>
        </c:title>
        <c:numFmt formatCode="General" sourceLinked="0"/>
        <c:majorTickMark val="out"/>
        <c:minorTickMark val="none"/>
        <c:tickLblPos val="nextTo"/>
        <c:spPr>
          <a:ln w="25400">
            <a:solidFill>
              <a:schemeClr val="tx1"/>
            </a:solidFill>
          </a:ln>
        </c:spPr>
        <c:txPr>
          <a:bodyPr/>
          <a:lstStyle/>
          <a:p>
            <a:pPr>
              <a:defRPr b="1"/>
            </a:pPr>
            <a:endParaRPr lang="fr-FR"/>
          </a:p>
        </c:txPr>
        <c:crossAx val="434380936"/>
        <c:crosses val="autoZero"/>
        <c:crossBetween val="midCat"/>
        <c:majorUnit val="0.2"/>
      </c:valAx>
    </c:plotArea>
    <c:plotVisOnly val="1"/>
    <c:dispBlanksAs val="zero"/>
    <c:showDLblsOverMax val="0"/>
  </c:chart>
  <c:spPr>
    <a:ln>
      <a:noFill/>
    </a:ln>
  </c:spPr>
  <c:txPr>
    <a:bodyPr/>
    <a:lstStyle/>
    <a:p>
      <a:pPr>
        <a:defRPr sz="1000"/>
      </a:pPr>
      <a:endParaRPr lang="fr-FR"/>
    </a:p>
  </c:txPr>
  <c:printSettings>
    <c:headerFooter/>
    <c:pageMargins b="0.75000000000000022" l="0.70000000000000018" r="0.70000000000000018" t="0.75000000000000022" header="0.3000000000000001" footer="0.3000000000000001"/>
    <c:pageSetup/>
  </c:printSettings>
  <c:userShapes r:id="rId1"/>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18267062545213636"/>
          <c:y val="2.2539308994609909E-2"/>
          <c:w val="0.74093363291082703"/>
          <c:h val="0.67622607567312554"/>
        </c:manualLayout>
      </c:layout>
      <c:areaChart>
        <c:grouping val="stacked"/>
        <c:varyColors val="0"/>
        <c:ser>
          <c:idx val="3"/>
          <c:order val="2"/>
          <c:tx>
            <c:strRef>
              <c:f>'Graph format rapport CHG'!$D$8</c:f>
              <c:strCache>
                <c:ptCount val="1"/>
                <c:pt idx="0">
                  <c:v>Zone rouge anti</c:v>
                </c:pt>
              </c:strCache>
            </c:strRef>
          </c:tx>
          <c:spPr>
            <a:solidFill>
              <a:srgbClr val="FF0000">
                <a:alpha val="20000"/>
              </a:srgbClr>
            </a:solidFill>
          </c:spPr>
          <c:cat>
            <c:strRef>
              <c:f>'Graph format rapport CHG'!$E$2:$T$2</c:f>
              <c:strCache>
                <c:ptCount val="15"/>
                <c:pt idx="1">
                  <c:v>FAD-11µg/L</c:v>
                </c:pt>
                <c:pt idx="2">
                  <c:v>FAD-22µg/L</c:v>
                </c:pt>
                <c:pt idx="3">
                  <c:v>FAD-44µg/L</c:v>
                </c:pt>
                <c:pt idx="4">
                  <c:v>FAD-87µg/L</c:v>
                </c:pt>
                <c:pt idx="5">
                  <c:v>#REF!</c:v>
                </c:pt>
                <c:pt idx="6">
                  <c:v>#REF!</c:v>
                </c:pt>
                <c:pt idx="7">
                  <c:v>#REF!</c:v>
                </c:pt>
                <c:pt idx="8">
                  <c:v>#REF!</c:v>
                </c:pt>
                <c:pt idx="9">
                  <c:v>#REF!</c:v>
                </c:pt>
                <c:pt idx="10">
                  <c:v>#REF!</c:v>
                </c:pt>
                <c:pt idx="11">
                  <c:v>#REF!</c:v>
                </c:pt>
                <c:pt idx="12">
                  <c:v>#REF!</c:v>
                </c:pt>
                <c:pt idx="13">
                  <c:v>#REF!</c:v>
                </c:pt>
                <c:pt idx="14">
                  <c:v>#REF!</c:v>
                </c:pt>
              </c:strCache>
            </c:strRef>
          </c:cat>
          <c:val>
            <c:numRef>
              <c:f>'Graph format rapport CHG'!$E$8:$T$8</c:f>
              <c:numCache>
                <c:formatCode>General</c:formatCode>
                <c:ptCount val="1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numCache>
            </c:numRef>
          </c:val>
          <c:extLst>
            <c:ext xmlns:c16="http://schemas.microsoft.com/office/drawing/2014/chart" uri="{C3380CC4-5D6E-409C-BE32-E72D297353CC}">
              <c16:uniqueId val="{00000000-E05A-476A-81E0-9DDAF8947A01}"/>
            </c:ext>
          </c:extLst>
        </c:ser>
        <c:ser>
          <c:idx val="6"/>
          <c:order val="3"/>
          <c:tx>
            <c:strRef>
              <c:f>'Graph format rapport CHG'!$D$9</c:f>
              <c:strCache>
                <c:ptCount val="1"/>
                <c:pt idx="0">
                  <c:v>Zone verte</c:v>
                </c:pt>
              </c:strCache>
            </c:strRef>
          </c:tx>
          <c:spPr>
            <a:solidFill>
              <a:srgbClr val="00B050">
                <a:alpha val="20000"/>
              </a:srgbClr>
            </a:solidFill>
          </c:spPr>
          <c:cat>
            <c:strRef>
              <c:f>'Graph format rapport CHG'!$E$2:$T$2</c:f>
              <c:strCache>
                <c:ptCount val="15"/>
                <c:pt idx="1">
                  <c:v>FAD-11µg/L</c:v>
                </c:pt>
                <c:pt idx="2">
                  <c:v>FAD-22µg/L</c:v>
                </c:pt>
                <c:pt idx="3">
                  <c:v>FAD-44µg/L</c:v>
                </c:pt>
                <c:pt idx="4">
                  <c:v>FAD-87µg/L</c:v>
                </c:pt>
                <c:pt idx="5">
                  <c:v>#REF!</c:v>
                </c:pt>
                <c:pt idx="6">
                  <c:v>#REF!</c:v>
                </c:pt>
                <c:pt idx="7">
                  <c:v>#REF!</c:v>
                </c:pt>
                <c:pt idx="8">
                  <c:v>#REF!</c:v>
                </c:pt>
                <c:pt idx="9">
                  <c:v>#REF!</c:v>
                </c:pt>
                <c:pt idx="10">
                  <c:v>#REF!</c:v>
                </c:pt>
                <c:pt idx="11">
                  <c:v>#REF!</c:v>
                </c:pt>
                <c:pt idx="12">
                  <c:v>#REF!</c:v>
                </c:pt>
                <c:pt idx="13">
                  <c:v>#REF!</c:v>
                </c:pt>
                <c:pt idx="14">
                  <c:v>#REF!</c:v>
                </c:pt>
              </c:strCache>
            </c:strRef>
          </c:cat>
          <c:val>
            <c:numRef>
              <c:f>'Graph format rapport CHG'!$E$9:$T$9</c:f>
              <c:numCache>
                <c:formatCode>General</c:formatCode>
                <c:ptCount val="1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numCache>
            </c:numRef>
          </c:val>
          <c:extLst>
            <c:ext xmlns:c16="http://schemas.microsoft.com/office/drawing/2014/chart" uri="{C3380CC4-5D6E-409C-BE32-E72D297353CC}">
              <c16:uniqueId val="{00000001-E05A-476A-81E0-9DDAF8947A01}"/>
            </c:ext>
          </c:extLst>
        </c:ser>
        <c:ser>
          <c:idx val="7"/>
          <c:order val="4"/>
          <c:tx>
            <c:strRef>
              <c:f>'Graph format rapport CHG'!$D$10</c:f>
              <c:strCache>
                <c:ptCount val="1"/>
                <c:pt idx="0">
                  <c:v>Zone rouge pro</c:v>
                </c:pt>
              </c:strCache>
            </c:strRef>
          </c:tx>
          <c:spPr>
            <a:solidFill>
              <a:srgbClr val="FF0000">
                <a:alpha val="20000"/>
              </a:srgbClr>
            </a:solidFill>
          </c:spPr>
          <c:cat>
            <c:strRef>
              <c:f>'Graph format rapport CHG'!$E$2:$T$2</c:f>
              <c:strCache>
                <c:ptCount val="15"/>
                <c:pt idx="1">
                  <c:v>FAD-11µg/L</c:v>
                </c:pt>
                <c:pt idx="2">
                  <c:v>FAD-22µg/L</c:v>
                </c:pt>
                <c:pt idx="3">
                  <c:v>FAD-44µg/L</c:v>
                </c:pt>
                <c:pt idx="4">
                  <c:v>FAD-87µg/L</c:v>
                </c:pt>
                <c:pt idx="5">
                  <c:v>#REF!</c:v>
                </c:pt>
                <c:pt idx="6">
                  <c:v>#REF!</c:v>
                </c:pt>
                <c:pt idx="7">
                  <c:v>#REF!</c:v>
                </c:pt>
                <c:pt idx="8">
                  <c:v>#REF!</c:v>
                </c:pt>
                <c:pt idx="9">
                  <c:v>#REF!</c:v>
                </c:pt>
                <c:pt idx="10">
                  <c:v>#REF!</c:v>
                </c:pt>
                <c:pt idx="11">
                  <c:v>#REF!</c:v>
                </c:pt>
                <c:pt idx="12">
                  <c:v>#REF!</c:v>
                </c:pt>
                <c:pt idx="13">
                  <c:v>#REF!</c:v>
                </c:pt>
                <c:pt idx="14">
                  <c:v>#REF!</c:v>
                </c:pt>
              </c:strCache>
            </c:strRef>
          </c:cat>
          <c:val>
            <c:numRef>
              <c:f>'Graph format rapport CHG'!$E$10:$T$10</c:f>
              <c:numCache>
                <c:formatCode>General</c:formatCode>
                <c:ptCount val="16"/>
                <c:pt idx="0">
                  <c:v>2.5</c:v>
                </c:pt>
                <c:pt idx="1">
                  <c:v>2.5</c:v>
                </c:pt>
                <c:pt idx="2">
                  <c:v>2.5</c:v>
                </c:pt>
                <c:pt idx="3">
                  <c:v>2.5</c:v>
                </c:pt>
                <c:pt idx="4">
                  <c:v>2.5</c:v>
                </c:pt>
                <c:pt idx="5">
                  <c:v>2.5</c:v>
                </c:pt>
                <c:pt idx="6">
                  <c:v>2.5</c:v>
                </c:pt>
                <c:pt idx="7">
                  <c:v>2.5</c:v>
                </c:pt>
                <c:pt idx="8">
                  <c:v>2.5</c:v>
                </c:pt>
                <c:pt idx="9">
                  <c:v>2.5</c:v>
                </c:pt>
                <c:pt idx="10">
                  <c:v>2.5</c:v>
                </c:pt>
                <c:pt idx="11">
                  <c:v>2.5</c:v>
                </c:pt>
                <c:pt idx="12">
                  <c:v>2.5</c:v>
                </c:pt>
                <c:pt idx="13">
                  <c:v>2.5</c:v>
                </c:pt>
                <c:pt idx="14">
                  <c:v>2.5</c:v>
                </c:pt>
                <c:pt idx="15">
                  <c:v>2.5</c:v>
                </c:pt>
              </c:numCache>
            </c:numRef>
          </c:val>
          <c:extLst>
            <c:ext xmlns:c16="http://schemas.microsoft.com/office/drawing/2014/chart" uri="{C3380CC4-5D6E-409C-BE32-E72D297353CC}">
              <c16:uniqueId val="{00000002-E05A-476A-81E0-9DDAF8947A01}"/>
            </c:ext>
          </c:extLst>
        </c:ser>
        <c:dLbls>
          <c:showLegendKey val="0"/>
          <c:showVal val="0"/>
          <c:showCatName val="0"/>
          <c:showSerName val="0"/>
          <c:showPercent val="0"/>
          <c:showBubbleSize val="0"/>
        </c:dLbls>
        <c:axId val="434382112"/>
        <c:axId val="434382504"/>
      </c:areaChart>
      <c:barChart>
        <c:barDir val="col"/>
        <c:grouping val="clustered"/>
        <c:varyColors val="0"/>
        <c:ser>
          <c:idx val="0"/>
          <c:order val="0"/>
          <c:tx>
            <c:strRef>
              <c:f>'Graph format rapport CHG'!$D$3</c:f>
              <c:strCache>
                <c:ptCount val="1"/>
                <c:pt idx="0">
                  <c:v>Moyenne</c:v>
                </c:pt>
              </c:strCache>
            </c:strRef>
          </c:tx>
          <c:spPr>
            <a:ln w="28575">
              <a:noFill/>
            </a:ln>
          </c:spPr>
          <c:invertIfNegative val="0"/>
          <c:dLbls>
            <c:dLbl>
              <c:idx val="0"/>
              <c:tx>
                <c:rich>
                  <a:bodyPr/>
                  <a:lstStyle/>
                  <a:p>
                    <a:fld id="{67BDF2FC-0662-42F7-88AA-6E891B8B5467}" type="CELLRANGE">
                      <a:rPr lang="en-US"/>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3-E05A-476A-81E0-9DDAF8947A01}"/>
                </c:ext>
              </c:extLst>
            </c:dLbl>
            <c:dLbl>
              <c:idx val="1"/>
              <c:tx>
                <c:rich>
                  <a:bodyPr/>
                  <a:lstStyle/>
                  <a:p>
                    <a:fld id="{41BC9AC3-F840-4671-BEE6-7B5659D51ACB}"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0-1C6E-4AE4-BE8A-896B67024C51}"/>
                </c:ext>
              </c:extLst>
            </c:dLbl>
            <c:dLbl>
              <c:idx val="2"/>
              <c:tx>
                <c:rich>
                  <a:bodyPr/>
                  <a:lstStyle/>
                  <a:p>
                    <a:fld id="{6DAB5206-85EC-4B7C-9327-3C448AB13B14}"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1-1C6E-4AE4-BE8A-896B67024C51}"/>
                </c:ext>
              </c:extLst>
            </c:dLbl>
            <c:dLbl>
              <c:idx val="3"/>
              <c:tx>
                <c:rich>
                  <a:bodyPr/>
                  <a:lstStyle/>
                  <a:p>
                    <a:fld id="{230D7D55-12B6-48DD-89A1-823E209C9DEF}"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2-1C6E-4AE4-BE8A-896B67024C51}"/>
                </c:ext>
              </c:extLst>
            </c:dLbl>
            <c:dLbl>
              <c:idx val="4"/>
              <c:tx>
                <c:rich>
                  <a:bodyPr/>
                  <a:lstStyle/>
                  <a:p>
                    <a:fld id="{D551D13C-510D-41E6-8AC4-CABB238AD937}"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3-1C6E-4AE4-BE8A-896B67024C51}"/>
                </c:ext>
              </c:extLst>
            </c:dLbl>
            <c:dLbl>
              <c:idx val="5"/>
              <c:tx>
                <c:rich>
                  <a:bodyPr/>
                  <a:lstStyle/>
                  <a:p>
                    <a:fld id="{7CDA8343-25AB-47FC-A6B2-03C8451E73C2}"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4-1C6E-4AE4-BE8A-896B67024C51}"/>
                </c:ext>
              </c:extLst>
            </c:dLbl>
            <c:dLbl>
              <c:idx val="6"/>
              <c:tx>
                <c:rich>
                  <a:bodyPr/>
                  <a:lstStyle/>
                  <a:p>
                    <a:fld id="{AABA1C9D-B569-4CFA-B04D-473A48888F9B}"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5-1C6E-4AE4-BE8A-896B67024C51}"/>
                </c:ext>
              </c:extLst>
            </c:dLbl>
            <c:dLbl>
              <c:idx val="7"/>
              <c:tx>
                <c:rich>
                  <a:bodyPr/>
                  <a:lstStyle/>
                  <a:p>
                    <a:fld id="{CB2F6AB1-40A0-430E-A755-10D1B1716696}"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6-1C6E-4AE4-BE8A-896B67024C51}"/>
                </c:ext>
              </c:extLst>
            </c:dLbl>
            <c:dLbl>
              <c:idx val="8"/>
              <c:tx>
                <c:rich>
                  <a:bodyPr/>
                  <a:lstStyle/>
                  <a:p>
                    <a:fld id="{07ED5D09-30EA-49F2-B4FD-984473F54E53}"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7-1C6E-4AE4-BE8A-896B67024C51}"/>
                </c:ext>
              </c:extLst>
            </c:dLbl>
            <c:dLbl>
              <c:idx val="9"/>
              <c:tx>
                <c:rich>
                  <a:bodyPr/>
                  <a:lstStyle/>
                  <a:p>
                    <a:fld id="{A6968256-D7FD-47C8-BAA6-E0698D4A76E5}"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8-1C6E-4AE4-BE8A-896B67024C51}"/>
                </c:ext>
              </c:extLst>
            </c:dLbl>
            <c:dLbl>
              <c:idx val="10"/>
              <c:tx>
                <c:rich>
                  <a:bodyPr/>
                  <a:lstStyle/>
                  <a:p>
                    <a:fld id="{00A51C2B-AD4D-4EB4-9F64-02A399E6C6C5}"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9-1C6E-4AE4-BE8A-896B67024C51}"/>
                </c:ext>
              </c:extLst>
            </c:dLbl>
            <c:dLbl>
              <c:idx val="11"/>
              <c:tx>
                <c:rich>
                  <a:bodyPr/>
                  <a:lstStyle/>
                  <a:p>
                    <a:fld id="{CA864636-1FFE-47DE-8EA5-C10A96E9B64F}"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A-1C6E-4AE4-BE8A-896B67024C51}"/>
                </c:ext>
              </c:extLst>
            </c:dLbl>
            <c:dLbl>
              <c:idx val="12"/>
              <c:tx>
                <c:rich>
                  <a:bodyPr/>
                  <a:lstStyle/>
                  <a:p>
                    <a:fld id="{F5563ABB-B61E-4F59-96AA-E535A7B47BBE}"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B-1C6E-4AE4-BE8A-896B67024C51}"/>
                </c:ext>
              </c:extLst>
            </c:dLbl>
            <c:dLbl>
              <c:idx val="13"/>
              <c:tx>
                <c:rich>
                  <a:bodyPr/>
                  <a:lstStyle/>
                  <a:p>
                    <a:fld id="{4FED420C-BFC4-4E34-9008-C5153684352D}"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C-1C6E-4AE4-BE8A-896B67024C51}"/>
                </c:ext>
              </c:extLst>
            </c:dLbl>
            <c:dLbl>
              <c:idx val="14"/>
              <c:tx>
                <c:rich>
                  <a:bodyPr/>
                  <a:lstStyle/>
                  <a:p>
                    <a:fld id="{7E5D04D4-2AD0-4E02-8208-2F3BF19FB86C}"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D-1C6E-4AE4-BE8A-896B67024C51}"/>
                </c:ext>
              </c:extLst>
            </c:dLbl>
            <c:dLbl>
              <c:idx val="15"/>
              <c:tx>
                <c:rich>
                  <a:bodyPr/>
                  <a:lstStyle/>
                  <a:p>
                    <a:fld id="{FA396178-FD07-4ED1-A3AE-F891322054EC}" type="CELLRANGE">
                      <a:rPr lang="en-US"/>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E-1C6E-4AE4-BE8A-896B67024C51}"/>
                </c:ext>
              </c:extLst>
            </c:dLbl>
            <c:spPr>
              <a:noFill/>
              <a:ln>
                <a:noFill/>
              </a:ln>
              <a:effectLst/>
            </c:spPr>
            <c:dLblPos val="outEnd"/>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0"/>
              </c:ext>
            </c:extLst>
          </c:dLbls>
          <c:errBars>
            <c:errBarType val="both"/>
            <c:errValType val="cust"/>
            <c:noEndCap val="0"/>
            <c:plus>
              <c:numRef>
                <c:f>'Graph format rapport CHG'!$E$4:$T$4</c:f>
                <c:numCache>
                  <c:formatCode>General</c:formatCode>
                  <c:ptCount val="16"/>
                  <c:pt idx="1">
                    <c:v>1.5708614272673366E-2</c:v>
                  </c:pt>
                  <c:pt idx="2">
                    <c:v>1.0703728370627904E-2</c:v>
                  </c:pt>
                  <c:pt idx="3">
                    <c:v>1.3122597411832698E-2</c:v>
                  </c:pt>
                  <c:pt idx="4">
                    <c:v>1.0476151828696939E-2</c:v>
                  </c:pt>
                  <c:pt idx="5">
                    <c:v>0</c:v>
                  </c:pt>
                  <c:pt idx="6">
                    <c:v>0</c:v>
                  </c:pt>
                  <c:pt idx="7">
                    <c:v>0</c:v>
                  </c:pt>
                  <c:pt idx="8">
                    <c:v>0</c:v>
                  </c:pt>
                  <c:pt idx="9">
                    <c:v>0</c:v>
                  </c:pt>
                  <c:pt idx="10">
                    <c:v>0</c:v>
                  </c:pt>
                  <c:pt idx="11">
                    <c:v>0</c:v>
                  </c:pt>
                  <c:pt idx="12">
                    <c:v>0</c:v>
                  </c:pt>
                  <c:pt idx="13">
                    <c:v>0</c:v>
                  </c:pt>
                  <c:pt idx="14">
                    <c:v>0</c:v>
                  </c:pt>
                </c:numCache>
              </c:numRef>
            </c:plus>
            <c:minus>
              <c:numRef>
                <c:f>'Graph format rapport CHG'!$E$4:$T$4</c:f>
                <c:numCache>
                  <c:formatCode>General</c:formatCode>
                  <c:ptCount val="16"/>
                  <c:pt idx="1">
                    <c:v>1.5708614272673366E-2</c:v>
                  </c:pt>
                  <c:pt idx="2">
                    <c:v>1.0703728370627904E-2</c:v>
                  </c:pt>
                  <c:pt idx="3">
                    <c:v>1.3122597411832698E-2</c:v>
                  </c:pt>
                  <c:pt idx="4">
                    <c:v>1.0476151828696939E-2</c:v>
                  </c:pt>
                  <c:pt idx="5">
                    <c:v>0</c:v>
                  </c:pt>
                  <c:pt idx="6">
                    <c:v>0</c:v>
                  </c:pt>
                  <c:pt idx="7">
                    <c:v>0</c:v>
                  </c:pt>
                  <c:pt idx="8">
                    <c:v>0</c:v>
                  </c:pt>
                  <c:pt idx="9">
                    <c:v>0</c:v>
                  </c:pt>
                  <c:pt idx="10">
                    <c:v>0</c:v>
                  </c:pt>
                  <c:pt idx="11">
                    <c:v>0</c:v>
                  </c:pt>
                  <c:pt idx="12">
                    <c:v>0</c:v>
                  </c:pt>
                  <c:pt idx="13">
                    <c:v>0</c:v>
                  </c:pt>
                  <c:pt idx="14">
                    <c:v>0</c:v>
                  </c:pt>
                </c:numCache>
              </c:numRef>
            </c:minus>
          </c:errBars>
          <c:cat>
            <c:strRef>
              <c:f>'Graph format rapport CHG'!$E$2:$T$2</c:f>
              <c:strCache>
                <c:ptCount val="15"/>
                <c:pt idx="1">
                  <c:v>FAD-11µg/L</c:v>
                </c:pt>
                <c:pt idx="2">
                  <c:v>FAD-22µg/L</c:v>
                </c:pt>
                <c:pt idx="3">
                  <c:v>FAD-44µg/L</c:v>
                </c:pt>
                <c:pt idx="4">
                  <c:v>FAD-87µg/L</c:v>
                </c:pt>
                <c:pt idx="5">
                  <c:v>#REF!</c:v>
                </c:pt>
                <c:pt idx="6">
                  <c:v>#REF!</c:v>
                </c:pt>
                <c:pt idx="7">
                  <c:v>#REF!</c:v>
                </c:pt>
                <c:pt idx="8">
                  <c:v>#REF!</c:v>
                </c:pt>
                <c:pt idx="9">
                  <c:v>#REF!</c:v>
                </c:pt>
                <c:pt idx="10">
                  <c:v>#REF!</c:v>
                </c:pt>
                <c:pt idx="11">
                  <c:v>#REF!</c:v>
                </c:pt>
                <c:pt idx="12">
                  <c:v>#REF!</c:v>
                </c:pt>
                <c:pt idx="13">
                  <c:v>#REF!</c:v>
                </c:pt>
                <c:pt idx="14">
                  <c:v>#REF!</c:v>
                </c:pt>
              </c:strCache>
            </c:strRef>
          </c:cat>
          <c:val>
            <c:numRef>
              <c:f>'Graph format rapport CHG'!$E$3:$T$3</c:f>
              <c:numCache>
                <c:formatCode>General</c:formatCode>
                <c:ptCount val="16"/>
                <c:pt idx="1">
                  <c:v>0.12318641759912631</c:v>
                </c:pt>
                <c:pt idx="2">
                  <c:v>9.8606288911205903E-2</c:v>
                </c:pt>
                <c:pt idx="3">
                  <c:v>9.5752955557830824E-2</c:v>
                </c:pt>
                <c:pt idx="4">
                  <c:v>9.450511212467573E-2</c:v>
                </c:pt>
                <c:pt idx="5">
                  <c:v>0</c:v>
                </c:pt>
                <c:pt idx="6">
                  <c:v>0</c:v>
                </c:pt>
                <c:pt idx="7">
                  <c:v>0</c:v>
                </c:pt>
                <c:pt idx="8">
                  <c:v>0</c:v>
                </c:pt>
                <c:pt idx="9">
                  <c:v>0</c:v>
                </c:pt>
                <c:pt idx="10">
                  <c:v>0</c:v>
                </c:pt>
                <c:pt idx="11">
                  <c:v>0</c:v>
                </c:pt>
                <c:pt idx="12">
                  <c:v>0</c:v>
                </c:pt>
                <c:pt idx="13">
                  <c:v>0</c:v>
                </c:pt>
                <c:pt idx="14">
                  <c:v>0</c:v>
                </c:pt>
              </c:numCache>
            </c:numRef>
          </c:val>
          <c:extLst>
            <c:ext xmlns:c15="http://schemas.microsoft.com/office/drawing/2012/chart" uri="{02D57815-91ED-43cb-92C2-25804820EDAC}">
              <c15:datalabelsRange>
                <c15:f>'Graph format rapport CHG'!$E$5:$T$5</c15:f>
                <c15:dlblRangeCache>
                  <c:ptCount val="16"/>
                  <c:pt idx="1">
                    <c:v>ns</c:v>
                  </c:pt>
                  <c:pt idx="2">
                    <c:v>ns</c:v>
                  </c:pt>
                  <c:pt idx="3">
                    <c:v>ns</c:v>
                  </c:pt>
                  <c:pt idx="4">
                    <c:v>ns</c:v>
                  </c:pt>
                  <c:pt idx="5">
                    <c:v>#REF!</c:v>
                  </c:pt>
                  <c:pt idx="6">
                    <c:v>#REF!</c:v>
                  </c:pt>
                  <c:pt idx="7">
                    <c:v>#REF!</c:v>
                  </c:pt>
                  <c:pt idx="8">
                    <c:v>#REF!</c:v>
                  </c:pt>
                  <c:pt idx="9">
                    <c:v>#REF!</c:v>
                  </c:pt>
                  <c:pt idx="10">
                    <c:v>#REF!</c:v>
                  </c:pt>
                  <c:pt idx="11">
                    <c:v>#REF!</c:v>
                  </c:pt>
                  <c:pt idx="12">
                    <c:v>#REF!</c:v>
                  </c:pt>
                  <c:pt idx="13">
                    <c:v>#REF!</c:v>
                  </c:pt>
                  <c:pt idx="14">
                    <c:v>#REF!</c:v>
                  </c:pt>
                </c15:dlblRangeCache>
              </c15:datalabelsRange>
            </c:ext>
            <c:ext xmlns:c16="http://schemas.microsoft.com/office/drawing/2014/chart" uri="{C3380CC4-5D6E-409C-BE32-E72D297353CC}">
              <c16:uniqueId val="{00000013-E05A-476A-81E0-9DDAF8947A01}"/>
            </c:ext>
          </c:extLst>
        </c:ser>
        <c:dLbls>
          <c:showLegendKey val="0"/>
          <c:showVal val="0"/>
          <c:showCatName val="0"/>
          <c:showSerName val="0"/>
          <c:showPercent val="0"/>
          <c:showBubbleSize val="0"/>
        </c:dLbls>
        <c:gapWidth val="150"/>
        <c:axId val="434382112"/>
        <c:axId val="434382504"/>
      </c:barChart>
      <c:lineChart>
        <c:grouping val="standard"/>
        <c:varyColors val="0"/>
        <c:ser>
          <c:idx val="1"/>
          <c:order val="1"/>
          <c:tx>
            <c:strRef>
              <c:f>'Graph format rapport CHG'!$D$6</c:f>
              <c:strCache>
                <c:ptCount val="1"/>
                <c:pt idx="0">
                  <c:v>Témoin Evian</c:v>
                </c:pt>
              </c:strCache>
            </c:strRef>
          </c:tx>
          <c:spPr>
            <a:ln>
              <a:solidFill>
                <a:srgbClr val="00B050"/>
              </a:solidFill>
            </a:ln>
          </c:spPr>
          <c:marker>
            <c:symbol val="none"/>
          </c:marker>
          <c:cat>
            <c:multiLvlStrRef>
              <c:f>'Graph format rapport CHG'!#REF!</c:f>
            </c:multiLvlStrRef>
          </c:cat>
          <c:val>
            <c:numRef>
              <c:f>'Graph format rapport CHG'!$E$6:$T$6</c:f>
              <c:numCache>
                <c:formatCode>General</c:formatCode>
                <c:ptCount val="16"/>
                <c:pt idx="0">
                  <c:v>0.10038748006553395</c:v>
                </c:pt>
                <c:pt idx="1">
                  <c:v>0.10038748006553395</c:v>
                </c:pt>
                <c:pt idx="2">
                  <c:v>0.10038748006553395</c:v>
                </c:pt>
                <c:pt idx="3">
                  <c:v>0.10038748006553395</c:v>
                </c:pt>
                <c:pt idx="4">
                  <c:v>0.10038748006553395</c:v>
                </c:pt>
                <c:pt idx="5">
                  <c:v>0.10038748006553395</c:v>
                </c:pt>
                <c:pt idx="6">
                  <c:v>0.10038748006553395</c:v>
                </c:pt>
                <c:pt idx="7">
                  <c:v>0.10038748006553395</c:v>
                </c:pt>
                <c:pt idx="8">
                  <c:v>0.10038748006553395</c:v>
                </c:pt>
                <c:pt idx="9">
                  <c:v>0.10038748006553395</c:v>
                </c:pt>
                <c:pt idx="10">
                  <c:v>0.10038748006553395</c:v>
                </c:pt>
                <c:pt idx="11">
                  <c:v>0.10038748006553395</c:v>
                </c:pt>
                <c:pt idx="12">
                  <c:v>0.10038748006553395</c:v>
                </c:pt>
                <c:pt idx="13">
                  <c:v>0.10038748006553395</c:v>
                </c:pt>
                <c:pt idx="14">
                  <c:v>0.10038748006553395</c:v>
                </c:pt>
                <c:pt idx="15">
                  <c:v>0.10038748006553395</c:v>
                </c:pt>
              </c:numCache>
            </c:numRef>
          </c:val>
          <c:smooth val="0"/>
          <c:extLst>
            <c:ext xmlns:c16="http://schemas.microsoft.com/office/drawing/2014/chart" uri="{C3380CC4-5D6E-409C-BE32-E72D297353CC}">
              <c16:uniqueId val="{00000014-E05A-476A-81E0-9DDAF8947A01}"/>
            </c:ext>
          </c:extLst>
        </c:ser>
        <c:dLbls>
          <c:showLegendKey val="0"/>
          <c:showVal val="0"/>
          <c:showCatName val="0"/>
          <c:showSerName val="0"/>
          <c:showPercent val="0"/>
          <c:showBubbleSize val="0"/>
        </c:dLbls>
        <c:marker val="1"/>
        <c:smooth val="0"/>
        <c:axId val="434382112"/>
        <c:axId val="434382504"/>
      </c:lineChart>
      <c:dateAx>
        <c:axId val="434382112"/>
        <c:scaling>
          <c:orientation val="minMax"/>
        </c:scaling>
        <c:delete val="0"/>
        <c:axPos val="b"/>
        <c:numFmt formatCode="General" sourceLinked="0"/>
        <c:majorTickMark val="out"/>
        <c:minorTickMark val="none"/>
        <c:tickLblPos val="low"/>
        <c:spPr>
          <a:ln w="25400">
            <a:solidFill>
              <a:schemeClr val="tx1"/>
            </a:solidFill>
          </a:ln>
        </c:spPr>
        <c:txPr>
          <a:bodyPr rot="0" vert="horz"/>
          <a:lstStyle/>
          <a:p>
            <a:pPr>
              <a:defRPr b="1"/>
            </a:pPr>
            <a:endParaRPr lang="fr-FR"/>
          </a:p>
        </c:txPr>
        <c:crossAx val="434382504"/>
        <c:crosses val="autoZero"/>
        <c:auto val="0"/>
        <c:lblOffset val="100"/>
        <c:baseTimeUnit val="days"/>
      </c:dateAx>
      <c:valAx>
        <c:axId val="434382504"/>
        <c:scaling>
          <c:orientation val="minMax"/>
          <c:max val="2"/>
          <c:min val="0"/>
        </c:scaling>
        <c:delete val="0"/>
        <c:axPos val="l"/>
        <c:title>
          <c:tx>
            <c:rich>
              <a:bodyPr/>
              <a:lstStyle/>
              <a:p>
                <a:pPr>
                  <a:defRPr/>
                </a:pPr>
                <a:r>
                  <a:rPr lang="fr-FR"/>
                  <a:t>Fluorescence</a:t>
                </a:r>
              </a:p>
            </c:rich>
          </c:tx>
          <c:layout>
            <c:manualLayout>
              <c:xMode val="edge"/>
              <c:yMode val="edge"/>
              <c:x val="1.0387853349889646E-2"/>
              <c:y val="0.2372296165912457"/>
            </c:manualLayout>
          </c:layout>
          <c:overlay val="0"/>
        </c:title>
        <c:numFmt formatCode="General" sourceLinked="1"/>
        <c:majorTickMark val="out"/>
        <c:minorTickMark val="none"/>
        <c:tickLblPos val="nextTo"/>
        <c:spPr>
          <a:ln w="25400">
            <a:solidFill>
              <a:schemeClr val="tx1"/>
            </a:solidFill>
          </a:ln>
        </c:spPr>
        <c:txPr>
          <a:bodyPr/>
          <a:lstStyle/>
          <a:p>
            <a:pPr>
              <a:defRPr b="1"/>
            </a:pPr>
            <a:endParaRPr lang="fr-FR"/>
          </a:p>
        </c:txPr>
        <c:crossAx val="434382112"/>
        <c:crosses val="autoZero"/>
        <c:crossBetween val="midCat"/>
        <c:majorUnit val="0.2"/>
      </c:valAx>
    </c:plotArea>
    <c:plotVisOnly val="1"/>
    <c:dispBlanksAs val="zero"/>
    <c:showDLblsOverMax val="0"/>
  </c:chart>
  <c:spPr>
    <a:ln>
      <a:noFill/>
    </a:ln>
  </c:spPr>
  <c:txPr>
    <a:bodyPr/>
    <a:lstStyle/>
    <a:p>
      <a:pPr>
        <a:defRPr sz="1000"/>
      </a:pPr>
      <a:endParaRPr lang="fr-FR"/>
    </a:p>
  </c:txPr>
  <c:printSettings>
    <c:headerFooter/>
    <c:pageMargins b="0.75000000000000022" l="0.70000000000000018" r="0.70000000000000018" t="0.75000000000000022" header="0.3000000000000001" footer="0.3000000000000001"/>
    <c:pageSetup/>
  </c:printSettings>
  <c:userShapes r:id="rId1"/>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1506615584560167"/>
          <c:y val="2.2855878970184925E-2"/>
          <c:w val="0.80127861233935682"/>
          <c:h val="0.58408416644548644"/>
        </c:manualLayout>
      </c:layout>
      <c:areaChart>
        <c:grouping val="stacked"/>
        <c:varyColors val="0"/>
        <c:ser>
          <c:idx val="3"/>
          <c:order val="2"/>
          <c:tx>
            <c:strRef>
              <c:f>'Graph format rapport CHG'!$D$8</c:f>
              <c:strCache>
                <c:ptCount val="1"/>
                <c:pt idx="0">
                  <c:v>Zone rouge anti</c:v>
                </c:pt>
              </c:strCache>
            </c:strRef>
          </c:tx>
          <c:spPr>
            <a:solidFill>
              <a:srgbClr val="FF0000">
                <a:alpha val="20000"/>
              </a:srgbClr>
            </a:solidFill>
          </c:spPr>
          <c:cat>
            <c:strRef>
              <c:f>'Graph format rapport CHG'!$U$2:$AJ$2</c:f>
              <c:strCache>
                <c:ptCount val="15"/>
                <c:pt idx="1">
                  <c:v>FAD-5,4µg/L + Testostérone</c:v>
                </c:pt>
                <c:pt idx="2">
                  <c:v>FAD-11µg/L + Testostérone</c:v>
                </c:pt>
                <c:pt idx="3">
                  <c:v>FAD-22µg/L + Testostérone</c:v>
                </c:pt>
                <c:pt idx="4">
                  <c:v>FAD-44µg/L + Testostérone</c:v>
                </c:pt>
                <c:pt idx="5">
                  <c:v>FAD-87µg/L + Testostérone</c:v>
                </c:pt>
                <c:pt idx="6">
                  <c:v>#REF!</c:v>
                </c:pt>
                <c:pt idx="7">
                  <c:v>#REF!</c:v>
                </c:pt>
                <c:pt idx="8">
                  <c:v>#REF!</c:v>
                </c:pt>
                <c:pt idx="9">
                  <c:v>#REF!</c:v>
                </c:pt>
                <c:pt idx="10">
                  <c:v>#REF!</c:v>
                </c:pt>
                <c:pt idx="11">
                  <c:v>#REF!</c:v>
                </c:pt>
                <c:pt idx="12">
                  <c:v>#REF!</c:v>
                </c:pt>
                <c:pt idx="13">
                  <c:v>#REF!</c:v>
                </c:pt>
                <c:pt idx="14">
                  <c:v>#REF!</c:v>
                </c:pt>
              </c:strCache>
            </c:strRef>
          </c:cat>
          <c:val>
            <c:numRef>
              <c:f>'Graph format rapport CHG'!$U$8:$AJ$8</c:f>
              <c:numCache>
                <c:formatCode>General</c:formatCode>
                <c:ptCount val="16"/>
                <c:pt idx="0">
                  <c:v>9.0738879492618094E-2</c:v>
                </c:pt>
                <c:pt idx="1">
                  <c:v>9.0738879492618094E-2</c:v>
                </c:pt>
                <c:pt idx="2">
                  <c:v>9.0738879492618094E-2</c:v>
                </c:pt>
                <c:pt idx="3">
                  <c:v>9.0738879492618094E-2</c:v>
                </c:pt>
                <c:pt idx="4">
                  <c:v>9.0738879492618094E-2</c:v>
                </c:pt>
                <c:pt idx="5">
                  <c:v>9.0738879492618094E-2</c:v>
                </c:pt>
                <c:pt idx="6">
                  <c:v>9.0738879492618094E-2</c:v>
                </c:pt>
                <c:pt idx="7">
                  <c:v>9.0738879492618094E-2</c:v>
                </c:pt>
                <c:pt idx="8">
                  <c:v>9.0738879492618094E-2</c:v>
                </c:pt>
                <c:pt idx="9">
                  <c:v>9.0738879492618094E-2</c:v>
                </c:pt>
                <c:pt idx="10">
                  <c:v>9.0738879492618094E-2</c:v>
                </c:pt>
                <c:pt idx="11">
                  <c:v>9.0738879492618094E-2</c:v>
                </c:pt>
                <c:pt idx="12">
                  <c:v>9.0738879492618094E-2</c:v>
                </c:pt>
                <c:pt idx="13">
                  <c:v>9.0738879492618094E-2</c:v>
                </c:pt>
                <c:pt idx="14">
                  <c:v>9.0738879492618094E-2</c:v>
                </c:pt>
                <c:pt idx="15">
                  <c:v>9.0738879492618094E-2</c:v>
                </c:pt>
              </c:numCache>
            </c:numRef>
          </c:val>
          <c:extLst>
            <c:ext xmlns:c16="http://schemas.microsoft.com/office/drawing/2014/chart" uri="{C3380CC4-5D6E-409C-BE32-E72D297353CC}">
              <c16:uniqueId val="{00000000-4CBD-4130-8AB9-F913B66FA2BD}"/>
            </c:ext>
          </c:extLst>
        </c:ser>
        <c:ser>
          <c:idx val="6"/>
          <c:order val="3"/>
          <c:tx>
            <c:strRef>
              <c:f>'Graph format rapport CHG'!$D$9</c:f>
              <c:strCache>
                <c:ptCount val="1"/>
                <c:pt idx="0">
                  <c:v>Zone verte</c:v>
                </c:pt>
              </c:strCache>
            </c:strRef>
          </c:tx>
          <c:spPr>
            <a:solidFill>
              <a:srgbClr val="00B050">
                <a:alpha val="20000"/>
              </a:srgbClr>
            </a:solidFill>
          </c:spPr>
          <c:cat>
            <c:strRef>
              <c:f>'Graph format rapport CHG'!$U$2:$AJ$2</c:f>
              <c:strCache>
                <c:ptCount val="15"/>
                <c:pt idx="1">
                  <c:v>FAD-5,4µg/L + Testostérone</c:v>
                </c:pt>
                <c:pt idx="2">
                  <c:v>FAD-11µg/L + Testostérone</c:v>
                </c:pt>
                <c:pt idx="3">
                  <c:v>FAD-22µg/L + Testostérone</c:v>
                </c:pt>
                <c:pt idx="4">
                  <c:v>FAD-44µg/L + Testostérone</c:v>
                </c:pt>
                <c:pt idx="5">
                  <c:v>FAD-87µg/L + Testostérone</c:v>
                </c:pt>
                <c:pt idx="6">
                  <c:v>#REF!</c:v>
                </c:pt>
                <c:pt idx="7">
                  <c:v>#REF!</c:v>
                </c:pt>
                <c:pt idx="8">
                  <c:v>#REF!</c:v>
                </c:pt>
                <c:pt idx="9">
                  <c:v>#REF!</c:v>
                </c:pt>
                <c:pt idx="10">
                  <c:v>#REF!</c:v>
                </c:pt>
                <c:pt idx="11">
                  <c:v>#REF!</c:v>
                </c:pt>
                <c:pt idx="12">
                  <c:v>#REF!</c:v>
                </c:pt>
                <c:pt idx="13">
                  <c:v>#REF!</c:v>
                </c:pt>
                <c:pt idx="14">
                  <c:v>#REF!</c:v>
                </c:pt>
              </c:strCache>
            </c:strRef>
          </c:cat>
          <c:val>
            <c:numRef>
              <c:f>'Graph format rapport CHG'!$U$9:$AJ$9</c:f>
              <c:numCache>
                <c:formatCode>General</c:formatCode>
                <c:ptCount val="16"/>
                <c:pt idx="0">
                  <c:v>1.7302806012346632</c:v>
                </c:pt>
                <c:pt idx="1">
                  <c:v>1.7302806012346632</c:v>
                </c:pt>
                <c:pt idx="2">
                  <c:v>1.7302806012346632</c:v>
                </c:pt>
                <c:pt idx="3">
                  <c:v>1.7302806012346632</c:v>
                </c:pt>
                <c:pt idx="4">
                  <c:v>1.7302806012346632</c:v>
                </c:pt>
                <c:pt idx="5">
                  <c:v>1.7302806012346632</c:v>
                </c:pt>
                <c:pt idx="6">
                  <c:v>1.7302806012346632</c:v>
                </c:pt>
                <c:pt idx="7">
                  <c:v>1.7302806012346632</c:v>
                </c:pt>
                <c:pt idx="8">
                  <c:v>1.7302806012346632</c:v>
                </c:pt>
                <c:pt idx="9">
                  <c:v>1.7302806012346632</c:v>
                </c:pt>
                <c:pt idx="10">
                  <c:v>1.7302806012346632</c:v>
                </c:pt>
                <c:pt idx="11">
                  <c:v>1.7302806012346632</c:v>
                </c:pt>
                <c:pt idx="12">
                  <c:v>1.7302806012346632</c:v>
                </c:pt>
                <c:pt idx="13">
                  <c:v>1.7302806012346632</c:v>
                </c:pt>
                <c:pt idx="14">
                  <c:v>1.7302806012346632</c:v>
                </c:pt>
                <c:pt idx="15">
                  <c:v>1.7302806012346632</c:v>
                </c:pt>
              </c:numCache>
            </c:numRef>
          </c:val>
          <c:extLst>
            <c:ext xmlns:c16="http://schemas.microsoft.com/office/drawing/2014/chart" uri="{C3380CC4-5D6E-409C-BE32-E72D297353CC}">
              <c16:uniqueId val="{00000001-4CBD-4130-8AB9-F913B66FA2BD}"/>
            </c:ext>
          </c:extLst>
        </c:ser>
        <c:ser>
          <c:idx val="7"/>
          <c:order val="4"/>
          <c:tx>
            <c:strRef>
              <c:f>'Graph format rapport CHG'!$D$10</c:f>
              <c:strCache>
                <c:ptCount val="1"/>
                <c:pt idx="0">
                  <c:v>Zone rouge pro</c:v>
                </c:pt>
              </c:strCache>
            </c:strRef>
          </c:tx>
          <c:spPr>
            <a:solidFill>
              <a:srgbClr val="FF0000">
                <a:alpha val="20000"/>
              </a:srgbClr>
            </a:solidFill>
          </c:spPr>
          <c:cat>
            <c:strRef>
              <c:f>'Graph format rapport CHG'!$U$2:$AJ$2</c:f>
              <c:strCache>
                <c:ptCount val="15"/>
                <c:pt idx="1">
                  <c:v>FAD-5,4µg/L + Testostérone</c:v>
                </c:pt>
                <c:pt idx="2">
                  <c:v>FAD-11µg/L + Testostérone</c:v>
                </c:pt>
                <c:pt idx="3">
                  <c:v>FAD-22µg/L + Testostérone</c:v>
                </c:pt>
                <c:pt idx="4">
                  <c:v>FAD-44µg/L + Testostérone</c:v>
                </c:pt>
                <c:pt idx="5">
                  <c:v>FAD-87µg/L + Testostérone</c:v>
                </c:pt>
                <c:pt idx="6">
                  <c:v>#REF!</c:v>
                </c:pt>
                <c:pt idx="7">
                  <c:v>#REF!</c:v>
                </c:pt>
                <c:pt idx="8">
                  <c:v>#REF!</c:v>
                </c:pt>
                <c:pt idx="9">
                  <c:v>#REF!</c:v>
                </c:pt>
                <c:pt idx="10">
                  <c:v>#REF!</c:v>
                </c:pt>
                <c:pt idx="11">
                  <c:v>#REF!</c:v>
                </c:pt>
                <c:pt idx="12">
                  <c:v>#REF!</c:v>
                </c:pt>
                <c:pt idx="13">
                  <c:v>#REF!</c:v>
                </c:pt>
                <c:pt idx="14">
                  <c:v>#REF!</c:v>
                </c:pt>
              </c:strCache>
            </c:strRef>
          </c:cat>
          <c:val>
            <c:numRef>
              <c:f>'Graph format rapport CHG'!$U$10:$AJ$10</c:f>
              <c:numCache>
                <c:formatCode>General</c:formatCode>
                <c:ptCount val="16"/>
                <c:pt idx="0">
                  <c:v>0.76971939876533679</c:v>
                </c:pt>
                <c:pt idx="1">
                  <c:v>0.76971939876533679</c:v>
                </c:pt>
                <c:pt idx="2">
                  <c:v>0.76971939876533679</c:v>
                </c:pt>
                <c:pt idx="3">
                  <c:v>0.76971939876533679</c:v>
                </c:pt>
                <c:pt idx="4">
                  <c:v>0.76971939876533679</c:v>
                </c:pt>
                <c:pt idx="5">
                  <c:v>0.76971939876533679</c:v>
                </c:pt>
                <c:pt idx="6">
                  <c:v>0.76971939876533679</c:v>
                </c:pt>
                <c:pt idx="7">
                  <c:v>0.76971939876533679</c:v>
                </c:pt>
                <c:pt idx="8">
                  <c:v>0.76971939876533679</c:v>
                </c:pt>
                <c:pt idx="9">
                  <c:v>0.76971939876533679</c:v>
                </c:pt>
                <c:pt idx="10">
                  <c:v>0.76971939876533679</c:v>
                </c:pt>
                <c:pt idx="11">
                  <c:v>0.76971939876533679</c:v>
                </c:pt>
                <c:pt idx="12">
                  <c:v>0.76971939876533679</c:v>
                </c:pt>
                <c:pt idx="13">
                  <c:v>0.76971939876533679</c:v>
                </c:pt>
                <c:pt idx="14">
                  <c:v>0.76971939876533679</c:v>
                </c:pt>
                <c:pt idx="15">
                  <c:v>0.76971939876533679</c:v>
                </c:pt>
              </c:numCache>
            </c:numRef>
          </c:val>
          <c:extLst>
            <c:ext xmlns:c16="http://schemas.microsoft.com/office/drawing/2014/chart" uri="{C3380CC4-5D6E-409C-BE32-E72D297353CC}">
              <c16:uniqueId val="{00000002-4CBD-4130-8AB9-F913B66FA2BD}"/>
            </c:ext>
          </c:extLst>
        </c:ser>
        <c:dLbls>
          <c:showLegendKey val="0"/>
          <c:showVal val="0"/>
          <c:showCatName val="0"/>
          <c:showSerName val="0"/>
          <c:showPercent val="0"/>
          <c:showBubbleSize val="0"/>
        </c:dLbls>
        <c:axId val="434383288"/>
        <c:axId val="434383680"/>
      </c:areaChart>
      <c:barChart>
        <c:barDir val="col"/>
        <c:grouping val="clustered"/>
        <c:varyColors val="0"/>
        <c:ser>
          <c:idx val="0"/>
          <c:order val="0"/>
          <c:tx>
            <c:strRef>
              <c:f>'Graph format rapport CHG'!$D$3</c:f>
              <c:strCache>
                <c:ptCount val="1"/>
                <c:pt idx="0">
                  <c:v>Moyenne</c:v>
                </c:pt>
              </c:strCache>
            </c:strRef>
          </c:tx>
          <c:spPr>
            <a:ln w="28575">
              <a:noFill/>
            </a:ln>
          </c:spPr>
          <c:invertIfNegative val="0"/>
          <c:dLbls>
            <c:dLbl>
              <c:idx val="0"/>
              <c:tx>
                <c:rich>
                  <a:bodyPr/>
                  <a:lstStyle/>
                  <a:p>
                    <a:fld id="{2DD39B6B-870F-4D26-80E9-D139EFD93F0F}" type="CELLRANGE">
                      <a:rPr lang="en-US"/>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3-4CBD-4130-8AB9-F913B66FA2BD}"/>
                </c:ext>
              </c:extLst>
            </c:dLbl>
            <c:dLbl>
              <c:idx val="1"/>
              <c:tx>
                <c:rich>
                  <a:bodyPr/>
                  <a:lstStyle/>
                  <a:p>
                    <a:fld id="{89F966BC-9708-4D86-91D7-0D8D30BCF511}"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0-BA8E-4D40-9992-A189D0F7FB1C}"/>
                </c:ext>
              </c:extLst>
            </c:dLbl>
            <c:dLbl>
              <c:idx val="2"/>
              <c:tx>
                <c:rich>
                  <a:bodyPr/>
                  <a:lstStyle/>
                  <a:p>
                    <a:fld id="{752E7135-18D5-4261-A80C-B5761445FBD1}"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1-BA8E-4D40-9992-A189D0F7FB1C}"/>
                </c:ext>
              </c:extLst>
            </c:dLbl>
            <c:dLbl>
              <c:idx val="3"/>
              <c:tx>
                <c:rich>
                  <a:bodyPr/>
                  <a:lstStyle/>
                  <a:p>
                    <a:fld id="{2FFEEDEB-3748-44A3-8B70-1A291DB4C550}"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2-BA8E-4D40-9992-A189D0F7FB1C}"/>
                </c:ext>
              </c:extLst>
            </c:dLbl>
            <c:dLbl>
              <c:idx val="4"/>
              <c:tx>
                <c:rich>
                  <a:bodyPr/>
                  <a:lstStyle/>
                  <a:p>
                    <a:fld id="{6714D303-A769-4C27-AB30-F34F6456462C}"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3-BA8E-4D40-9992-A189D0F7FB1C}"/>
                </c:ext>
              </c:extLst>
            </c:dLbl>
            <c:dLbl>
              <c:idx val="5"/>
              <c:tx>
                <c:rich>
                  <a:bodyPr/>
                  <a:lstStyle/>
                  <a:p>
                    <a:fld id="{418DFE06-05B0-402D-9B13-010728068CBC}"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4-BA8E-4D40-9992-A189D0F7FB1C}"/>
                </c:ext>
              </c:extLst>
            </c:dLbl>
            <c:dLbl>
              <c:idx val="6"/>
              <c:tx>
                <c:rich>
                  <a:bodyPr/>
                  <a:lstStyle/>
                  <a:p>
                    <a:fld id="{CF798D2F-D977-4ECF-8448-BA7FC8FFBD0D}"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5-BA8E-4D40-9992-A189D0F7FB1C}"/>
                </c:ext>
              </c:extLst>
            </c:dLbl>
            <c:dLbl>
              <c:idx val="7"/>
              <c:tx>
                <c:rich>
                  <a:bodyPr/>
                  <a:lstStyle/>
                  <a:p>
                    <a:fld id="{991E91B2-F100-49F0-A9F3-9AE008B13FB1}"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6-BA8E-4D40-9992-A189D0F7FB1C}"/>
                </c:ext>
              </c:extLst>
            </c:dLbl>
            <c:dLbl>
              <c:idx val="8"/>
              <c:tx>
                <c:rich>
                  <a:bodyPr/>
                  <a:lstStyle/>
                  <a:p>
                    <a:fld id="{CABC52EE-9A38-406C-95E7-4A3F5E22602B}"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7-BA8E-4D40-9992-A189D0F7FB1C}"/>
                </c:ext>
              </c:extLst>
            </c:dLbl>
            <c:dLbl>
              <c:idx val="9"/>
              <c:tx>
                <c:rich>
                  <a:bodyPr/>
                  <a:lstStyle/>
                  <a:p>
                    <a:fld id="{72C0F450-5EFE-4B37-84A0-B95A5C69AA56}"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8-BA8E-4D40-9992-A189D0F7FB1C}"/>
                </c:ext>
              </c:extLst>
            </c:dLbl>
            <c:dLbl>
              <c:idx val="10"/>
              <c:tx>
                <c:rich>
                  <a:bodyPr/>
                  <a:lstStyle/>
                  <a:p>
                    <a:fld id="{90D2166A-B124-4482-805F-7C6D2A9A1153}"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9-BA8E-4D40-9992-A189D0F7FB1C}"/>
                </c:ext>
              </c:extLst>
            </c:dLbl>
            <c:dLbl>
              <c:idx val="11"/>
              <c:tx>
                <c:rich>
                  <a:bodyPr/>
                  <a:lstStyle/>
                  <a:p>
                    <a:fld id="{2CC02731-C2DB-4A29-8B42-3FD38F553208}"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A-BA8E-4D40-9992-A189D0F7FB1C}"/>
                </c:ext>
              </c:extLst>
            </c:dLbl>
            <c:dLbl>
              <c:idx val="12"/>
              <c:tx>
                <c:rich>
                  <a:bodyPr/>
                  <a:lstStyle/>
                  <a:p>
                    <a:fld id="{CB8D2E7D-D8D4-4FDA-933F-83116BDD107E}"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B-BA8E-4D40-9992-A189D0F7FB1C}"/>
                </c:ext>
              </c:extLst>
            </c:dLbl>
            <c:dLbl>
              <c:idx val="13"/>
              <c:tx>
                <c:rich>
                  <a:bodyPr/>
                  <a:lstStyle/>
                  <a:p>
                    <a:fld id="{636AC16B-6FA9-4390-B5B6-FF2D6AA5413D}"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C-BA8E-4D40-9992-A189D0F7FB1C}"/>
                </c:ext>
              </c:extLst>
            </c:dLbl>
            <c:dLbl>
              <c:idx val="14"/>
              <c:tx>
                <c:rich>
                  <a:bodyPr/>
                  <a:lstStyle/>
                  <a:p>
                    <a:fld id="{59A5B70F-ED1D-42AA-AADE-6B4AC3A26041}"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D-BA8E-4D40-9992-A189D0F7FB1C}"/>
                </c:ext>
              </c:extLst>
            </c:dLbl>
            <c:dLbl>
              <c:idx val="15"/>
              <c:tx>
                <c:rich>
                  <a:bodyPr/>
                  <a:lstStyle/>
                  <a:p>
                    <a:fld id="{51219230-4898-46E6-B947-7A1543797311}" type="CELLRANGE">
                      <a:rPr lang="en-US"/>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E-BA8E-4D40-9992-A189D0F7FB1C}"/>
                </c:ext>
              </c:extLst>
            </c:dLbl>
            <c:spPr>
              <a:noFill/>
              <a:ln>
                <a:noFill/>
              </a:ln>
              <a:effectLst/>
            </c:spPr>
            <c:dLblPos val="outEnd"/>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0"/>
              </c:ext>
            </c:extLst>
          </c:dLbls>
          <c:errBars>
            <c:errBarType val="both"/>
            <c:errValType val="cust"/>
            <c:noEndCap val="0"/>
            <c:plus>
              <c:numRef>
                <c:f>'Graph format rapport CHG'!$U$4:$AJ$4</c:f>
                <c:numCache>
                  <c:formatCode>General</c:formatCode>
                  <c:ptCount val="16"/>
                  <c:pt idx="1">
                    <c:v>1.0190309909861693E-2</c:v>
                  </c:pt>
                  <c:pt idx="2">
                    <c:v>1.6024814379509787E-2</c:v>
                  </c:pt>
                  <c:pt idx="3">
                    <c:v>1.8390689297824687E-2</c:v>
                  </c:pt>
                  <c:pt idx="4">
                    <c:v>1.683939007610314E-2</c:v>
                  </c:pt>
                  <c:pt idx="5">
                    <c:v>1.4809678053783342E-2</c:v>
                  </c:pt>
                  <c:pt idx="6">
                    <c:v>0</c:v>
                  </c:pt>
                  <c:pt idx="7">
                    <c:v>0</c:v>
                  </c:pt>
                  <c:pt idx="8">
                    <c:v>0</c:v>
                  </c:pt>
                  <c:pt idx="9">
                    <c:v>0</c:v>
                  </c:pt>
                  <c:pt idx="10">
                    <c:v>0</c:v>
                  </c:pt>
                  <c:pt idx="11">
                    <c:v>0</c:v>
                  </c:pt>
                  <c:pt idx="12">
                    <c:v>0</c:v>
                  </c:pt>
                  <c:pt idx="13">
                    <c:v>0</c:v>
                  </c:pt>
                  <c:pt idx="14">
                    <c:v>0</c:v>
                  </c:pt>
                </c:numCache>
              </c:numRef>
            </c:plus>
            <c:minus>
              <c:numRef>
                <c:f>'Graph format rapport CHG'!$U$4:$AJ$4</c:f>
                <c:numCache>
                  <c:formatCode>General</c:formatCode>
                  <c:ptCount val="16"/>
                  <c:pt idx="1">
                    <c:v>1.0190309909861693E-2</c:v>
                  </c:pt>
                  <c:pt idx="2">
                    <c:v>1.6024814379509787E-2</c:v>
                  </c:pt>
                  <c:pt idx="3">
                    <c:v>1.8390689297824687E-2</c:v>
                  </c:pt>
                  <c:pt idx="4">
                    <c:v>1.683939007610314E-2</c:v>
                  </c:pt>
                  <c:pt idx="5">
                    <c:v>1.4809678053783342E-2</c:v>
                  </c:pt>
                  <c:pt idx="6">
                    <c:v>0</c:v>
                  </c:pt>
                  <c:pt idx="7">
                    <c:v>0</c:v>
                  </c:pt>
                  <c:pt idx="8">
                    <c:v>0</c:v>
                  </c:pt>
                  <c:pt idx="9">
                    <c:v>0</c:v>
                  </c:pt>
                  <c:pt idx="10">
                    <c:v>0</c:v>
                  </c:pt>
                  <c:pt idx="11">
                    <c:v>0</c:v>
                  </c:pt>
                  <c:pt idx="12">
                    <c:v>0</c:v>
                  </c:pt>
                  <c:pt idx="13">
                    <c:v>0</c:v>
                  </c:pt>
                  <c:pt idx="14">
                    <c:v>0</c:v>
                  </c:pt>
                </c:numCache>
              </c:numRef>
            </c:minus>
          </c:errBars>
          <c:cat>
            <c:strRef>
              <c:f>'Graph format rapport CHG'!$U$2:$AJ$2</c:f>
              <c:strCache>
                <c:ptCount val="15"/>
                <c:pt idx="1">
                  <c:v>FAD-5,4µg/L + Testostérone</c:v>
                </c:pt>
                <c:pt idx="2">
                  <c:v>FAD-11µg/L + Testostérone</c:v>
                </c:pt>
                <c:pt idx="3">
                  <c:v>FAD-22µg/L + Testostérone</c:v>
                </c:pt>
                <c:pt idx="4">
                  <c:v>FAD-44µg/L + Testostérone</c:v>
                </c:pt>
                <c:pt idx="5">
                  <c:v>FAD-87µg/L + Testostérone</c:v>
                </c:pt>
                <c:pt idx="6">
                  <c:v>#REF!</c:v>
                </c:pt>
                <c:pt idx="7">
                  <c:v>#REF!</c:v>
                </c:pt>
                <c:pt idx="8">
                  <c:v>#REF!</c:v>
                </c:pt>
                <c:pt idx="9">
                  <c:v>#REF!</c:v>
                </c:pt>
                <c:pt idx="10">
                  <c:v>#REF!</c:v>
                </c:pt>
                <c:pt idx="11">
                  <c:v>#REF!</c:v>
                </c:pt>
                <c:pt idx="12">
                  <c:v>#REF!</c:v>
                </c:pt>
                <c:pt idx="13">
                  <c:v>#REF!</c:v>
                </c:pt>
                <c:pt idx="14">
                  <c:v>#REF!</c:v>
                </c:pt>
              </c:strCache>
            </c:strRef>
          </c:cat>
          <c:val>
            <c:numRef>
              <c:f>'Graph format rapport CHG'!$U$3:$AJ$3</c:f>
              <c:numCache>
                <c:formatCode>General</c:formatCode>
                <c:ptCount val="16"/>
                <c:pt idx="1">
                  <c:v>9.3450997154082671E-2</c:v>
                </c:pt>
                <c:pt idx="2">
                  <c:v>0.11853258339724738</c:v>
                </c:pt>
                <c:pt idx="3">
                  <c:v>0.10086788827521706</c:v>
                </c:pt>
                <c:pt idx="4">
                  <c:v>0.10506860199801071</c:v>
                </c:pt>
                <c:pt idx="5">
                  <c:v>0.11333973772911919</c:v>
                </c:pt>
                <c:pt idx="6">
                  <c:v>0</c:v>
                </c:pt>
                <c:pt idx="7">
                  <c:v>0</c:v>
                </c:pt>
                <c:pt idx="8">
                  <c:v>0</c:v>
                </c:pt>
                <c:pt idx="9">
                  <c:v>0</c:v>
                </c:pt>
                <c:pt idx="10">
                  <c:v>0</c:v>
                </c:pt>
                <c:pt idx="11">
                  <c:v>0</c:v>
                </c:pt>
                <c:pt idx="12">
                  <c:v>0</c:v>
                </c:pt>
                <c:pt idx="13">
                  <c:v>0</c:v>
                </c:pt>
                <c:pt idx="14">
                  <c:v>0</c:v>
                </c:pt>
              </c:numCache>
            </c:numRef>
          </c:val>
          <c:extLst>
            <c:ext xmlns:c15="http://schemas.microsoft.com/office/drawing/2012/chart" uri="{02D57815-91ED-43cb-92C2-25804820EDAC}">
              <c15:datalabelsRange>
                <c15:f>'Graph format rapport CHG'!$U$5:$AJ$5</c15:f>
                <c15:dlblRangeCache>
                  <c:ptCount val="16"/>
                  <c:pt idx="1">
                    <c:v>***</c:v>
                  </c:pt>
                  <c:pt idx="2">
                    <c:v>***</c:v>
                  </c:pt>
                  <c:pt idx="3">
                    <c:v>***</c:v>
                  </c:pt>
                  <c:pt idx="4">
                    <c:v>***</c:v>
                  </c:pt>
                  <c:pt idx="5">
                    <c:v>***</c:v>
                  </c:pt>
                  <c:pt idx="6">
                    <c:v>#REF!</c:v>
                  </c:pt>
                  <c:pt idx="7">
                    <c:v>#REF!</c:v>
                  </c:pt>
                  <c:pt idx="8">
                    <c:v>#REF!</c:v>
                  </c:pt>
                  <c:pt idx="9">
                    <c:v>#REF!</c:v>
                  </c:pt>
                  <c:pt idx="10">
                    <c:v>#REF!</c:v>
                  </c:pt>
                  <c:pt idx="11">
                    <c:v>#REF!</c:v>
                  </c:pt>
                  <c:pt idx="12">
                    <c:v>#REF!</c:v>
                  </c:pt>
                  <c:pt idx="13">
                    <c:v>#REF!</c:v>
                  </c:pt>
                  <c:pt idx="14">
                    <c:v>#REF!</c:v>
                  </c:pt>
                </c15:dlblRangeCache>
              </c15:datalabelsRange>
            </c:ext>
            <c:ext xmlns:c16="http://schemas.microsoft.com/office/drawing/2014/chart" uri="{C3380CC4-5D6E-409C-BE32-E72D297353CC}">
              <c16:uniqueId val="{00000013-4CBD-4130-8AB9-F913B66FA2BD}"/>
            </c:ext>
          </c:extLst>
        </c:ser>
        <c:dLbls>
          <c:showLegendKey val="0"/>
          <c:showVal val="0"/>
          <c:showCatName val="0"/>
          <c:showSerName val="0"/>
          <c:showPercent val="0"/>
          <c:showBubbleSize val="0"/>
        </c:dLbls>
        <c:gapWidth val="150"/>
        <c:axId val="434383288"/>
        <c:axId val="434383680"/>
      </c:barChart>
      <c:lineChart>
        <c:grouping val="standard"/>
        <c:varyColors val="0"/>
        <c:ser>
          <c:idx val="2"/>
          <c:order val="1"/>
          <c:tx>
            <c:strRef>
              <c:f>'Graph format rapport CHG'!$D$7</c:f>
              <c:strCache>
                <c:ptCount val="1"/>
                <c:pt idx="0">
                  <c:v>Témoin Testo</c:v>
                </c:pt>
              </c:strCache>
            </c:strRef>
          </c:tx>
          <c:spPr>
            <a:ln>
              <a:solidFill>
                <a:srgbClr val="00B050"/>
              </a:solidFill>
            </a:ln>
          </c:spPr>
          <c:marker>
            <c:symbol val="none"/>
          </c:marker>
          <c:cat>
            <c:strRef>
              <c:f>'Graph format rapport CHG'!$U$2:$AJ$2</c:f>
              <c:strCache>
                <c:ptCount val="15"/>
                <c:pt idx="1">
                  <c:v>FAD-5,4µg/L + Testostérone</c:v>
                </c:pt>
                <c:pt idx="2">
                  <c:v>FAD-11µg/L + Testostérone</c:v>
                </c:pt>
                <c:pt idx="3">
                  <c:v>FAD-22µg/L + Testostérone</c:v>
                </c:pt>
                <c:pt idx="4">
                  <c:v>FAD-44µg/L + Testostérone</c:v>
                </c:pt>
                <c:pt idx="5">
                  <c:v>FAD-87µg/L + Testostérone</c:v>
                </c:pt>
                <c:pt idx="6">
                  <c:v>#REF!</c:v>
                </c:pt>
                <c:pt idx="7">
                  <c:v>#REF!</c:v>
                </c:pt>
                <c:pt idx="8">
                  <c:v>#REF!</c:v>
                </c:pt>
                <c:pt idx="9">
                  <c:v>#REF!</c:v>
                </c:pt>
                <c:pt idx="10">
                  <c:v>#REF!</c:v>
                </c:pt>
                <c:pt idx="11">
                  <c:v>#REF!</c:v>
                </c:pt>
                <c:pt idx="12">
                  <c:v>#REF!</c:v>
                </c:pt>
                <c:pt idx="13">
                  <c:v>#REF!</c:v>
                </c:pt>
                <c:pt idx="14">
                  <c:v>#REF!</c:v>
                </c:pt>
              </c:strCache>
            </c:strRef>
          </c:cat>
          <c:val>
            <c:numRef>
              <c:f>'Graph format rapport CHG'!$U$7:$AJ$7</c:f>
              <c:numCache>
                <c:formatCode>General</c:formatCode>
                <c:ptCount val="16"/>
                <c:pt idx="0">
                  <c:v>1.0000000000000002</c:v>
                </c:pt>
                <c:pt idx="1">
                  <c:v>1.0000000000000002</c:v>
                </c:pt>
                <c:pt idx="2">
                  <c:v>1.0000000000000002</c:v>
                </c:pt>
                <c:pt idx="3">
                  <c:v>1.0000000000000002</c:v>
                </c:pt>
                <c:pt idx="4">
                  <c:v>1.0000000000000002</c:v>
                </c:pt>
                <c:pt idx="5">
                  <c:v>1.0000000000000002</c:v>
                </c:pt>
                <c:pt idx="6">
                  <c:v>1.0000000000000002</c:v>
                </c:pt>
                <c:pt idx="7">
                  <c:v>1.0000000000000002</c:v>
                </c:pt>
                <c:pt idx="8">
                  <c:v>1.0000000000000002</c:v>
                </c:pt>
                <c:pt idx="9">
                  <c:v>1.0000000000000002</c:v>
                </c:pt>
                <c:pt idx="10">
                  <c:v>1.0000000000000002</c:v>
                </c:pt>
                <c:pt idx="11">
                  <c:v>1.0000000000000002</c:v>
                </c:pt>
                <c:pt idx="12">
                  <c:v>1.0000000000000002</c:v>
                </c:pt>
                <c:pt idx="13">
                  <c:v>1.0000000000000002</c:v>
                </c:pt>
                <c:pt idx="14">
                  <c:v>1.0000000000000002</c:v>
                </c:pt>
                <c:pt idx="15">
                  <c:v>1.0000000000000002</c:v>
                </c:pt>
              </c:numCache>
            </c:numRef>
          </c:val>
          <c:smooth val="0"/>
          <c:extLst>
            <c:ext xmlns:c16="http://schemas.microsoft.com/office/drawing/2014/chart" uri="{C3380CC4-5D6E-409C-BE32-E72D297353CC}">
              <c16:uniqueId val="{00000014-4CBD-4130-8AB9-F913B66FA2BD}"/>
            </c:ext>
          </c:extLst>
        </c:ser>
        <c:dLbls>
          <c:showLegendKey val="0"/>
          <c:showVal val="0"/>
          <c:showCatName val="0"/>
          <c:showSerName val="0"/>
          <c:showPercent val="0"/>
          <c:showBubbleSize val="0"/>
        </c:dLbls>
        <c:marker val="1"/>
        <c:smooth val="0"/>
        <c:axId val="434383288"/>
        <c:axId val="434383680"/>
      </c:lineChart>
      <c:dateAx>
        <c:axId val="434383288"/>
        <c:scaling>
          <c:orientation val="minMax"/>
        </c:scaling>
        <c:delete val="0"/>
        <c:axPos val="b"/>
        <c:numFmt formatCode="General" sourceLinked="0"/>
        <c:majorTickMark val="out"/>
        <c:minorTickMark val="none"/>
        <c:tickLblPos val="low"/>
        <c:spPr>
          <a:ln w="25400">
            <a:solidFill>
              <a:schemeClr val="tx1"/>
            </a:solidFill>
          </a:ln>
        </c:spPr>
        <c:txPr>
          <a:bodyPr rot="0" vert="horz"/>
          <a:lstStyle/>
          <a:p>
            <a:pPr>
              <a:defRPr b="1"/>
            </a:pPr>
            <a:endParaRPr lang="fr-FR"/>
          </a:p>
        </c:txPr>
        <c:crossAx val="434383680"/>
        <c:crosses val="autoZero"/>
        <c:auto val="0"/>
        <c:lblOffset val="100"/>
        <c:baseTimeUnit val="days"/>
      </c:dateAx>
      <c:valAx>
        <c:axId val="434383680"/>
        <c:scaling>
          <c:orientation val="minMax"/>
          <c:max val="2"/>
          <c:min val="0"/>
        </c:scaling>
        <c:delete val="0"/>
        <c:axPos val="l"/>
        <c:title>
          <c:tx>
            <c:rich>
              <a:bodyPr/>
              <a:lstStyle/>
              <a:p>
                <a:pPr>
                  <a:defRPr/>
                </a:pPr>
                <a:r>
                  <a:rPr lang="fr-FR"/>
                  <a:t>Fluorescence</a:t>
                </a:r>
              </a:p>
            </c:rich>
          </c:tx>
          <c:layout>
            <c:manualLayout>
              <c:xMode val="edge"/>
              <c:yMode val="edge"/>
              <c:x val="1.5604029236949606E-2"/>
              <c:y val="0.22601757059210961"/>
            </c:manualLayout>
          </c:layout>
          <c:overlay val="0"/>
        </c:title>
        <c:numFmt formatCode="General" sourceLinked="0"/>
        <c:majorTickMark val="out"/>
        <c:minorTickMark val="none"/>
        <c:tickLblPos val="nextTo"/>
        <c:spPr>
          <a:ln w="25400">
            <a:solidFill>
              <a:schemeClr val="tx1"/>
            </a:solidFill>
          </a:ln>
        </c:spPr>
        <c:txPr>
          <a:bodyPr/>
          <a:lstStyle/>
          <a:p>
            <a:pPr>
              <a:defRPr b="1"/>
            </a:pPr>
            <a:endParaRPr lang="fr-FR"/>
          </a:p>
        </c:txPr>
        <c:crossAx val="434383288"/>
        <c:crosses val="autoZero"/>
        <c:crossBetween val="midCat"/>
        <c:majorUnit val="0.2"/>
      </c:valAx>
    </c:plotArea>
    <c:plotVisOnly val="1"/>
    <c:dispBlanksAs val="zero"/>
    <c:showDLblsOverMax val="0"/>
  </c:chart>
  <c:spPr>
    <a:ln>
      <a:noFill/>
    </a:ln>
  </c:spPr>
  <c:txPr>
    <a:bodyPr/>
    <a:lstStyle/>
    <a:p>
      <a:pPr>
        <a:defRPr sz="1000"/>
      </a:pPr>
      <a:endParaRPr lang="fr-FR"/>
    </a:p>
  </c:txPr>
  <c:printSettings>
    <c:headerFooter/>
    <c:pageMargins b="0.75000000000000022" l="0.70000000000000018" r="0.70000000000000018" t="0.75000000000000022" header="0.3000000000000001" footer="0.3000000000000001"/>
    <c:pageSetup/>
  </c:printSettings>
  <c:userShapes r:id="rId1"/>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18267062545213636"/>
          <c:y val="2.2539308994609909E-2"/>
          <c:w val="0.74093363291082703"/>
          <c:h val="0.67622607567312554"/>
        </c:manualLayout>
      </c:layout>
      <c:areaChart>
        <c:grouping val="stacked"/>
        <c:varyColors val="0"/>
        <c:ser>
          <c:idx val="3"/>
          <c:order val="2"/>
          <c:tx>
            <c:strRef>
              <c:f>'Graph format rapport CHG 1éch'!$D$8</c:f>
              <c:strCache>
                <c:ptCount val="1"/>
                <c:pt idx="0">
                  <c:v>Zone rouge anti</c:v>
                </c:pt>
              </c:strCache>
            </c:strRef>
          </c:tx>
          <c:spPr>
            <a:solidFill>
              <a:srgbClr val="FF0000">
                <a:alpha val="20000"/>
              </a:srgbClr>
            </a:solidFill>
          </c:spPr>
          <c:cat>
            <c:strRef>
              <c:f>'Graph format rapport CHG 1éch'!$E$2:$G$2</c:f>
              <c:strCache>
                <c:ptCount val="2"/>
                <c:pt idx="1">
                  <c:v>FAD-11µg/L</c:v>
                </c:pt>
              </c:strCache>
            </c:strRef>
          </c:cat>
          <c:val>
            <c:numRef>
              <c:f>'Graph format rapport CHG 1éch'!$E$8:$G$8</c:f>
              <c:numCache>
                <c:formatCode>General</c:formatCode>
                <c:ptCount val="3"/>
                <c:pt idx="0">
                  <c:v>0</c:v>
                </c:pt>
                <c:pt idx="1">
                  <c:v>0</c:v>
                </c:pt>
                <c:pt idx="2">
                  <c:v>0</c:v>
                </c:pt>
              </c:numCache>
            </c:numRef>
          </c:val>
          <c:extLst>
            <c:ext xmlns:c16="http://schemas.microsoft.com/office/drawing/2014/chart" uri="{C3380CC4-5D6E-409C-BE32-E72D297353CC}">
              <c16:uniqueId val="{00000000-05A9-486D-95E6-8CEA76DDEBDF}"/>
            </c:ext>
          </c:extLst>
        </c:ser>
        <c:ser>
          <c:idx val="6"/>
          <c:order val="3"/>
          <c:tx>
            <c:strRef>
              <c:f>'Graph format rapport CHG 1éch'!$D$9</c:f>
              <c:strCache>
                <c:ptCount val="1"/>
                <c:pt idx="0">
                  <c:v>Zone verte</c:v>
                </c:pt>
              </c:strCache>
            </c:strRef>
          </c:tx>
          <c:spPr>
            <a:solidFill>
              <a:srgbClr val="00B050">
                <a:alpha val="20000"/>
              </a:srgbClr>
            </a:solidFill>
          </c:spPr>
          <c:cat>
            <c:strRef>
              <c:f>'Graph format rapport CHG 1éch'!$E$2:$G$2</c:f>
              <c:strCache>
                <c:ptCount val="2"/>
                <c:pt idx="1">
                  <c:v>FAD-11µg/L</c:v>
                </c:pt>
              </c:strCache>
            </c:strRef>
          </c:cat>
          <c:val>
            <c:numRef>
              <c:f>'Graph format rapport CHG 1éch'!$E$9:$G$9</c:f>
              <c:numCache>
                <c:formatCode>General</c:formatCode>
                <c:ptCount val="3"/>
                <c:pt idx="0">
                  <c:v>0</c:v>
                </c:pt>
                <c:pt idx="1">
                  <c:v>0</c:v>
                </c:pt>
                <c:pt idx="2">
                  <c:v>0</c:v>
                </c:pt>
              </c:numCache>
            </c:numRef>
          </c:val>
          <c:extLst>
            <c:ext xmlns:c16="http://schemas.microsoft.com/office/drawing/2014/chart" uri="{C3380CC4-5D6E-409C-BE32-E72D297353CC}">
              <c16:uniqueId val="{00000001-05A9-486D-95E6-8CEA76DDEBDF}"/>
            </c:ext>
          </c:extLst>
        </c:ser>
        <c:ser>
          <c:idx val="7"/>
          <c:order val="4"/>
          <c:tx>
            <c:strRef>
              <c:f>'Graph format rapport CHG 1éch'!$D$10</c:f>
              <c:strCache>
                <c:ptCount val="1"/>
                <c:pt idx="0">
                  <c:v>Zone rouge pro</c:v>
                </c:pt>
              </c:strCache>
            </c:strRef>
          </c:tx>
          <c:spPr>
            <a:solidFill>
              <a:srgbClr val="FF0000">
                <a:alpha val="20000"/>
              </a:srgbClr>
            </a:solidFill>
          </c:spPr>
          <c:cat>
            <c:strRef>
              <c:f>'Graph format rapport CHG 1éch'!$E$2:$G$2</c:f>
              <c:strCache>
                <c:ptCount val="2"/>
                <c:pt idx="1">
                  <c:v>FAD-11µg/L</c:v>
                </c:pt>
              </c:strCache>
            </c:strRef>
          </c:cat>
          <c:val>
            <c:numRef>
              <c:f>'Graph format rapport CHG 1éch'!$E$10:$G$10</c:f>
              <c:numCache>
                <c:formatCode>General</c:formatCode>
                <c:ptCount val="3"/>
                <c:pt idx="0">
                  <c:v>2.5</c:v>
                </c:pt>
                <c:pt idx="1">
                  <c:v>2.5</c:v>
                </c:pt>
                <c:pt idx="2">
                  <c:v>2.5</c:v>
                </c:pt>
              </c:numCache>
            </c:numRef>
          </c:val>
          <c:extLst>
            <c:ext xmlns:c16="http://schemas.microsoft.com/office/drawing/2014/chart" uri="{C3380CC4-5D6E-409C-BE32-E72D297353CC}">
              <c16:uniqueId val="{00000002-05A9-486D-95E6-8CEA76DDEBDF}"/>
            </c:ext>
          </c:extLst>
        </c:ser>
        <c:dLbls>
          <c:showLegendKey val="0"/>
          <c:showVal val="0"/>
          <c:showCatName val="0"/>
          <c:showSerName val="0"/>
          <c:showPercent val="0"/>
          <c:showBubbleSize val="0"/>
        </c:dLbls>
        <c:axId val="434384464"/>
        <c:axId val="434384856"/>
      </c:areaChart>
      <c:barChart>
        <c:barDir val="col"/>
        <c:grouping val="clustered"/>
        <c:varyColors val="0"/>
        <c:ser>
          <c:idx val="0"/>
          <c:order val="0"/>
          <c:tx>
            <c:strRef>
              <c:f>'Graph format rapport CHG 1éch'!$D$3</c:f>
              <c:strCache>
                <c:ptCount val="1"/>
                <c:pt idx="0">
                  <c:v>Moyenne</c:v>
                </c:pt>
              </c:strCache>
            </c:strRef>
          </c:tx>
          <c:spPr>
            <a:ln w="28575">
              <a:noFill/>
            </a:ln>
          </c:spPr>
          <c:invertIfNegative val="0"/>
          <c:dLbls>
            <c:dLbl>
              <c:idx val="0"/>
              <c:tx>
                <c:rich>
                  <a:bodyPr/>
                  <a:lstStyle/>
                  <a:p>
                    <a:fld id="{7131CB77-F3B6-429D-8A59-6D0621DDFA24}" type="CELLRANGE">
                      <a:rPr lang="en-US"/>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3-05A9-486D-95E6-8CEA76DDEBDF}"/>
                </c:ext>
              </c:extLst>
            </c:dLbl>
            <c:dLbl>
              <c:idx val="1"/>
              <c:tx>
                <c:rich>
                  <a:bodyPr/>
                  <a:lstStyle/>
                  <a:p>
                    <a:fld id="{16A97B7E-B04E-4C7A-8E9A-DBE9C37A5289}"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0-4076-4183-9788-B9390BF1596B}"/>
                </c:ext>
              </c:extLst>
            </c:dLbl>
            <c:dLbl>
              <c:idx val="2"/>
              <c:tx>
                <c:rich>
                  <a:bodyPr/>
                  <a:lstStyle/>
                  <a:p>
                    <a:fld id="{14520A22-160A-4F9B-83E0-35FBB8833A13}"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1-4076-4183-9788-B9390BF1596B}"/>
                </c:ext>
              </c:extLst>
            </c:dLbl>
            <c:dLbl>
              <c:idx val="15"/>
              <c:tx>
                <c:rich>
                  <a:bodyPr/>
                  <a:lstStyle/>
                  <a:p>
                    <a:fld id="{D6BEB6DA-8213-4180-910B-2E965FB4A6C9}" type="CELLRANGE">
                      <a:rPr lang="en-US"/>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6-05A9-486D-95E6-8CEA76DDEBDF}"/>
                </c:ext>
              </c:extLst>
            </c:dLbl>
            <c:spPr>
              <a:noFill/>
              <a:ln>
                <a:noFill/>
              </a:ln>
              <a:effectLst/>
            </c:spPr>
            <c:dLblPos val="outEnd"/>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0"/>
              </c:ext>
            </c:extLst>
          </c:dLbls>
          <c:errBars>
            <c:errBarType val="both"/>
            <c:errValType val="cust"/>
            <c:noEndCap val="0"/>
            <c:plus>
              <c:numRef>
                <c:f>'Graph format rapport CHG 1éch'!$E$4:$G$4</c:f>
                <c:numCache>
                  <c:formatCode>General</c:formatCode>
                  <c:ptCount val="3"/>
                  <c:pt idx="1">
                    <c:v>1.5708614272673366E-2</c:v>
                  </c:pt>
                </c:numCache>
              </c:numRef>
            </c:plus>
            <c:minus>
              <c:numRef>
                <c:f>'Graph format rapport CHG 1éch'!$E$4:$G$4</c:f>
                <c:numCache>
                  <c:formatCode>General</c:formatCode>
                  <c:ptCount val="3"/>
                  <c:pt idx="1">
                    <c:v>1.5708614272673366E-2</c:v>
                  </c:pt>
                </c:numCache>
              </c:numRef>
            </c:minus>
          </c:errBars>
          <c:cat>
            <c:strRef>
              <c:f>'Graph format rapport CHG 1éch'!$E$2:$G$2</c:f>
              <c:strCache>
                <c:ptCount val="2"/>
                <c:pt idx="1">
                  <c:v>FAD-11µg/L</c:v>
                </c:pt>
              </c:strCache>
            </c:strRef>
          </c:cat>
          <c:val>
            <c:numRef>
              <c:f>'Graph format rapport CHG 1éch'!$E$3:$G$3</c:f>
              <c:numCache>
                <c:formatCode>General</c:formatCode>
                <c:ptCount val="3"/>
                <c:pt idx="1">
                  <c:v>0.12318641759912631</c:v>
                </c:pt>
              </c:numCache>
            </c:numRef>
          </c:val>
          <c:extLst>
            <c:ext xmlns:c15="http://schemas.microsoft.com/office/drawing/2012/chart" uri="{02D57815-91ED-43cb-92C2-25804820EDAC}">
              <c15:datalabelsRange>
                <c15:f>'Graph format rapport CHG 1éch'!$E$5:$G$5</c15:f>
                <c15:dlblRangeCache>
                  <c:ptCount val="3"/>
                  <c:pt idx="1">
                    <c:v>ns</c:v>
                  </c:pt>
                </c15:dlblRangeCache>
              </c15:datalabelsRange>
            </c:ext>
            <c:ext xmlns:c16="http://schemas.microsoft.com/office/drawing/2014/chart" uri="{C3380CC4-5D6E-409C-BE32-E72D297353CC}">
              <c16:uniqueId val="{00000007-05A9-486D-95E6-8CEA76DDEBDF}"/>
            </c:ext>
          </c:extLst>
        </c:ser>
        <c:dLbls>
          <c:showLegendKey val="0"/>
          <c:showVal val="0"/>
          <c:showCatName val="0"/>
          <c:showSerName val="0"/>
          <c:showPercent val="0"/>
          <c:showBubbleSize val="0"/>
        </c:dLbls>
        <c:gapWidth val="150"/>
        <c:axId val="434384464"/>
        <c:axId val="434384856"/>
      </c:barChart>
      <c:lineChart>
        <c:grouping val="standard"/>
        <c:varyColors val="0"/>
        <c:ser>
          <c:idx val="1"/>
          <c:order val="1"/>
          <c:tx>
            <c:strRef>
              <c:f>'Graph format rapport CHG 1éch'!$D$6</c:f>
              <c:strCache>
                <c:ptCount val="1"/>
                <c:pt idx="0">
                  <c:v>Témoin Evian</c:v>
                </c:pt>
              </c:strCache>
            </c:strRef>
          </c:tx>
          <c:spPr>
            <a:ln>
              <a:solidFill>
                <a:srgbClr val="00B050"/>
              </a:solidFill>
            </a:ln>
          </c:spPr>
          <c:marker>
            <c:symbol val="none"/>
          </c:marker>
          <c:cat>
            <c:multiLvlStrRef>
              <c:f>'Graph format rapport CHG'!#REF!</c:f>
            </c:multiLvlStrRef>
          </c:cat>
          <c:val>
            <c:numRef>
              <c:f>'Graph format rapport CHG 1éch'!$E$6:$G$6</c:f>
              <c:numCache>
                <c:formatCode>General</c:formatCode>
                <c:ptCount val="3"/>
                <c:pt idx="0">
                  <c:v>0.10038748006553395</c:v>
                </c:pt>
                <c:pt idx="1">
                  <c:v>0.10038748006553395</c:v>
                </c:pt>
                <c:pt idx="2">
                  <c:v>0.10038748006553395</c:v>
                </c:pt>
              </c:numCache>
            </c:numRef>
          </c:val>
          <c:smooth val="0"/>
          <c:extLst>
            <c:ext xmlns:c16="http://schemas.microsoft.com/office/drawing/2014/chart" uri="{C3380CC4-5D6E-409C-BE32-E72D297353CC}">
              <c16:uniqueId val="{00000008-05A9-486D-95E6-8CEA76DDEBDF}"/>
            </c:ext>
          </c:extLst>
        </c:ser>
        <c:dLbls>
          <c:showLegendKey val="0"/>
          <c:showVal val="0"/>
          <c:showCatName val="0"/>
          <c:showSerName val="0"/>
          <c:showPercent val="0"/>
          <c:showBubbleSize val="0"/>
        </c:dLbls>
        <c:marker val="1"/>
        <c:smooth val="0"/>
        <c:axId val="434384464"/>
        <c:axId val="434384856"/>
      </c:lineChart>
      <c:dateAx>
        <c:axId val="434384464"/>
        <c:scaling>
          <c:orientation val="minMax"/>
        </c:scaling>
        <c:delete val="0"/>
        <c:axPos val="b"/>
        <c:numFmt formatCode="General" sourceLinked="0"/>
        <c:majorTickMark val="out"/>
        <c:minorTickMark val="none"/>
        <c:tickLblPos val="low"/>
        <c:spPr>
          <a:ln w="25400">
            <a:solidFill>
              <a:schemeClr val="tx1"/>
            </a:solidFill>
          </a:ln>
        </c:spPr>
        <c:txPr>
          <a:bodyPr rot="0" vert="horz"/>
          <a:lstStyle/>
          <a:p>
            <a:pPr>
              <a:defRPr b="1"/>
            </a:pPr>
            <a:endParaRPr lang="fr-FR"/>
          </a:p>
        </c:txPr>
        <c:crossAx val="434384856"/>
        <c:crosses val="autoZero"/>
        <c:auto val="0"/>
        <c:lblOffset val="100"/>
        <c:baseTimeUnit val="days"/>
      </c:dateAx>
      <c:valAx>
        <c:axId val="434384856"/>
        <c:scaling>
          <c:orientation val="minMax"/>
          <c:max val="2"/>
          <c:min val="0"/>
        </c:scaling>
        <c:delete val="0"/>
        <c:axPos val="l"/>
        <c:title>
          <c:tx>
            <c:rich>
              <a:bodyPr/>
              <a:lstStyle/>
              <a:p>
                <a:pPr>
                  <a:defRPr/>
                </a:pPr>
                <a:r>
                  <a:rPr lang="fr-FR"/>
                  <a:t>Fluorescence</a:t>
                </a:r>
              </a:p>
            </c:rich>
          </c:tx>
          <c:layout>
            <c:manualLayout>
              <c:xMode val="edge"/>
              <c:yMode val="edge"/>
              <c:x val="5.1272132203026073E-2"/>
              <c:y val="0.2449311263860379"/>
            </c:manualLayout>
          </c:layout>
          <c:overlay val="0"/>
        </c:title>
        <c:numFmt formatCode="General" sourceLinked="1"/>
        <c:majorTickMark val="out"/>
        <c:minorTickMark val="none"/>
        <c:tickLblPos val="nextTo"/>
        <c:spPr>
          <a:ln w="25400">
            <a:solidFill>
              <a:schemeClr val="tx1"/>
            </a:solidFill>
          </a:ln>
        </c:spPr>
        <c:txPr>
          <a:bodyPr/>
          <a:lstStyle/>
          <a:p>
            <a:pPr>
              <a:defRPr b="1"/>
            </a:pPr>
            <a:endParaRPr lang="fr-FR"/>
          </a:p>
        </c:txPr>
        <c:crossAx val="434384464"/>
        <c:crosses val="autoZero"/>
        <c:crossBetween val="midCat"/>
        <c:majorUnit val="0.2"/>
      </c:valAx>
    </c:plotArea>
    <c:plotVisOnly val="1"/>
    <c:dispBlanksAs val="zero"/>
    <c:showDLblsOverMax val="0"/>
  </c:chart>
  <c:spPr>
    <a:ln>
      <a:noFill/>
    </a:ln>
  </c:spPr>
  <c:txPr>
    <a:bodyPr/>
    <a:lstStyle/>
    <a:p>
      <a:pPr>
        <a:defRPr sz="1000"/>
      </a:pPr>
      <a:endParaRPr lang="fr-FR"/>
    </a:p>
  </c:txPr>
  <c:printSettings>
    <c:headerFooter/>
    <c:pageMargins b="0.75000000000000022" l="0.70000000000000018" r="0.70000000000000018" t="0.75000000000000022" header="0.3000000000000001" footer="0.3000000000000001"/>
    <c:pageSetup/>
  </c:printSettings>
  <c:userShapes r:id="rId1"/>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1257480830233223"/>
          <c:y val="4.909851894799426E-2"/>
          <c:w val="0.80127861233935682"/>
          <c:h val="0.58408416644548644"/>
        </c:manualLayout>
      </c:layout>
      <c:areaChart>
        <c:grouping val="stacked"/>
        <c:varyColors val="0"/>
        <c:ser>
          <c:idx val="3"/>
          <c:order val="2"/>
          <c:tx>
            <c:strRef>
              <c:f>'Graph format rapport CHG 1éch'!$D$8</c:f>
              <c:strCache>
                <c:ptCount val="1"/>
                <c:pt idx="0">
                  <c:v>Zone rouge anti</c:v>
                </c:pt>
              </c:strCache>
            </c:strRef>
          </c:tx>
          <c:spPr>
            <a:solidFill>
              <a:srgbClr val="FF0000">
                <a:alpha val="20000"/>
              </a:srgbClr>
            </a:solidFill>
          </c:spPr>
          <c:cat>
            <c:strRef>
              <c:f>'Graph format rapport CHG 1éch'!$H$2:$J$2</c:f>
              <c:strCache>
                <c:ptCount val="2"/>
                <c:pt idx="1">
                  <c:v>FAD-5,4µg/L + Testostérone</c:v>
                </c:pt>
              </c:strCache>
            </c:strRef>
          </c:cat>
          <c:val>
            <c:numRef>
              <c:f>'Graph format rapport CHG 1éch'!$H$8:$J$8</c:f>
              <c:numCache>
                <c:formatCode>General</c:formatCode>
                <c:ptCount val="3"/>
                <c:pt idx="0">
                  <c:v>9.0738879492618094E-2</c:v>
                </c:pt>
                <c:pt idx="1">
                  <c:v>9.0738879492618094E-2</c:v>
                </c:pt>
                <c:pt idx="2">
                  <c:v>9.0738879492618094E-2</c:v>
                </c:pt>
              </c:numCache>
            </c:numRef>
          </c:val>
          <c:extLst>
            <c:ext xmlns:c16="http://schemas.microsoft.com/office/drawing/2014/chart" uri="{C3380CC4-5D6E-409C-BE32-E72D297353CC}">
              <c16:uniqueId val="{00000000-A40E-4BBB-9D49-DCACE2722908}"/>
            </c:ext>
          </c:extLst>
        </c:ser>
        <c:ser>
          <c:idx val="6"/>
          <c:order val="3"/>
          <c:tx>
            <c:strRef>
              <c:f>'Graph format rapport CHG 1éch'!$D$9</c:f>
              <c:strCache>
                <c:ptCount val="1"/>
                <c:pt idx="0">
                  <c:v>Zone verte</c:v>
                </c:pt>
              </c:strCache>
            </c:strRef>
          </c:tx>
          <c:spPr>
            <a:solidFill>
              <a:srgbClr val="00B050">
                <a:alpha val="20000"/>
              </a:srgbClr>
            </a:solidFill>
          </c:spPr>
          <c:cat>
            <c:strRef>
              <c:f>'Graph format rapport CHG 1éch'!$H$2:$J$2</c:f>
              <c:strCache>
                <c:ptCount val="2"/>
                <c:pt idx="1">
                  <c:v>FAD-5,4µg/L + Testostérone</c:v>
                </c:pt>
              </c:strCache>
            </c:strRef>
          </c:cat>
          <c:val>
            <c:numRef>
              <c:f>'Graph format rapport CHG 1éch'!$H$9:$J$9</c:f>
              <c:numCache>
                <c:formatCode>General</c:formatCode>
                <c:ptCount val="3"/>
                <c:pt idx="0">
                  <c:v>1.7302806012346632</c:v>
                </c:pt>
                <c:pt idx="1">
                  <c:v>1.7302806012346632</c:v>
                </c:pt>
                <c:pt idx="2">
                  <c:v>1.7302806012346632</c:v>
                </c:pt>
              </c:numCache>
            </c:numRef>
          </c:val>
          <c:extLst>
            <c:ext xmlns:c16="http://schemas.microsoft.com/office/drawing/2014/chart" uri="{C3380CC4-5D6E-409C-BE32-E72D297353CC}">
              <c16:uniqueId val="{00000001-A40E-4BBB-9D49-DCACE2722908}"/>
            </c:ext>
          </c:extLst>
        </c:ser>
        <c:ser>
          <c:idx val="7"/>
          <c:order val="4"/>
          <c:tx>
            <c:strRef>
              <c:f>'Graph format rapport CHG 1éch'!$D$10</c:f>
              <c:strCache>
                <c:ptCount val="1"/>
                <c:pt idx="0">
                  <c:v>Zone rouge pro</c:v>
                </c:pt>
              </c:strCache>
            </c:strRef>
          </c:tx>
          <c:spPr>
            <a:solidFill>
              <a:srgbClr val="FF0000">
                <a:alpha val="20000"/>
              </a:srgbClr>
            </a:solidFill>
          </c:spPr>
          <c:cat>
            <c:strRef>
              <c:f>'Graph format rapport CHG 1éch'!$H$2:$J$2</c:f>
              <c:strCache>
                <c:ptCount val="2"/>
                <c:pt idx="1">
                  <c:v>FAD-5,4µg/L + Testostérone</c:v>
                </c:pt>
              </c:strCache>
            </c:strRef>
          </c:cat>
          <c:val>
            <c:numRef>
              <c:f>'Graph format rapport CHG 1éch'!$H$10:$J$10</c:f>
              <c:numCache>
                <c:formatCode>General</c:formatCode>
                <c:ptCount val="3"/>
                <c:pt idx="0">
                  <c:v>0.76971939876533679</c:v>
                </c:pt>
                <c:pt idx="1">
                  <c:v>0.76971939876533679</c:v>
                </c:pt>
                <c:pt idx="2">
                  <c:v>0.76971939876533679</c:v>
                </c:pt>
              </c:numCache>
            </c:numRef>
          </c:val>
          <c:extLst>
            <c:ext xmlns:c16="http://schemas.microsoft.com/office/drawing/2014/chart" uri="{C3380CC4-5D6E-409C-BE32-E72D297353CC}">
              <c16:uniqueId val="{00000002-A40E-4BBB-9D49-DCACE2722908}"/>
            </c:ext>
          </c:extLst>
        </c:ser>
        <c:dLbls>
          <c:showLegendKey val="0"/>
          <c:showVal val="0"/>
          <c:showCatName val="0"/>
          <c:showSerName val="0"/>
          <c:showPercent val="0"/>
          <c:showBubbleSize val="0"/>
        </c:dLbls>
        <c:axId val="434385640"/>
        <c:axId val="434386032"/>
      </c:areaChart>
      <c:barChart>
        <c:barDir val="col"/>
        <c:grouping val="clustered"/>
        <c:varyColors val="0"/>
        <c:ser>
          <c:idx val="0"/>
          <c:order val="0"/>
          <c:tx>
            <c:strRef>
              <c:f>'Graph format rapport CHG 1éch'!$D$3</c:f>
              <c:strCache>
                <c:ptCount val="1"/>
                <c:pt idx="0">
                  <c:v>Moyenne</c:v>
                </c:pt>
              </c:strCache>
            </c:strRef>
          </c:tx>
          <c:spPr>
            <a:ln w="28575">
              <a:noFill/>
            </a:ln>
          </c:spPr>
          <c:invertIfNegative val="0"/>
          <c:dLbls>
            <c:dLbl>
              <c:idx val="0"/>
              <c:tx>
                <c:rich>
                  <a:bodyPr/>
                  <a:lstStyle/>
                  <a:p>
                    <a:fld id="{6219D0BD-57F1-4CF5-9AE9-9ED666E0CD1B}" type="CELLRANGE">
                      <a:rPr lang="en-US"/>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3-A40E-4BBB-9D49-DCACE2722908}"/>
                </c:ext>
              </c:extLst>
            </c:dLbl>
            <c:dLbl>
              <c:idx val="1"/>
              <c:tx>
                <c:rich>
                  <a:bodyPr/>
                  <a:lstStyle/>
                  <a:p>
                    <a:fld id="{B1572B76-B1E3-4CA4-A55E-39BFEE47F456}"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0-AEE9-4347-837C-FBA7D320B8CC}"/>
                </c:ext>
              </c:extLst>
            </c:dLbl>
            <c:dLbl>
              <c:idx val="2"/>
              <c:tx>
                <c:rich>
                  <a:bodyPr/>
                  <a:lstStyle/>
                  <a:p>
                    <a:fld id="{169BB226-5080-424C-97C3-6DA545F0861B}"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1-AEE9-4347-837C-FBA7D320B8CC}"/>
                </c:ext>
              </c:extLst>
            </c:dLbl>
            <c:dLbl>
              <c:idx val="15"/>
              <c:tx>
                <c:rich>
                  <a:bodyPr/>
                  <a:lstStyle/>
                  <a:p>
                    <a:fld id="{9F88FD52-D771-43D0-B1AB-DADC933A6E67}" type="CELLRANGE">
                      <a:rPr lang="en-US"/>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6-A40E-4BBB-9D49-DCACE2722908}"/>
                </c:ext>
              </c:extLst>
            </c:dLbl>
            <c:spPr>
              <a:noFill/>
              <a:ln>
                <a:noFill/>
              </a:ln>
              <a:effectLst/>
            </c:spPr>
            <c:dLblPos val="outEnd"/>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0"/>
              </c:ext>
            </c:extLst>
          </c:dLbls>
          <c:errBars>
            <c:errBarType val="both"/>
            <c:errValType val="cust"/>
            <c:noEndCap val="0"/>
            <c:plus>
              <c:numRef>
                <c:f>'Graph format rapport CHG 1éch'!$H$4:$J$4</c:f>
                <c:numCache>
                  <c:formatCode>General</c:formatCode>
                  <c:ptCount val="3"/>
                  <c:pt idx="1">
                    <c:v>1.0190309909861693E-2</c:v>
                  </c:pt>
                </c:numCache>
              </c:numRef>
            </c:plus>
            <c:minus>
              <c:numRef>
                <c:f>'Graph format rapport CHG 1éch'!$H$4:$J$4</c:f>
                <c:numCache>
                  <c:formatCode>General</c:formatCode>
                  <c:ptCount val="3"/>
                  <c:pt idx="1">
                    <c:v>1.0190309909861693E-2</c:v>
                  </c:pt>
                </c:numCache>
              </c:numRef>
            </c:minus>
          </c:errBars>
          <c:cat>
            <c:strRef>
              <c:f>'Graph format rapport CHG 1éch'!$H$2:$J$2</c:f>
              <c:strCache>
                <c:ptCount val="2"/>
                <c:pt idx="1">
                  <c:v>FAD-5,4µg/L + Testostérone</c:v>
                </c:pt>
              </c:strCache>
            </c:strRef>
          </c:cat>
          <c:val>
            <c:numRef>
              <c:f>'Graph format rapport CHG 1éch'!$H$3:$J$3</c:f>
              <c:numCache>
                <c:formatCode>General</c:formatCode>
                <c:ptCount val="3"/>
                <c:pt idx="1">
                  <c:v>9.3450997154082671E-2</c:v>
                </c:pt>
              </c:numCache>
            </c:numRef>
          </c:val>
          <c:extLst>
            <c:ext xmlns:c15="http://schemas.microsoft.com/office/drawing/2012/chart" uri="{02D57815-91ED-43cb-92C2-25804820EDAC}">
              <c15:datalabelsRange>
                <c15:f>'Graph format rapport CHG 1éch'!$H$5:$J$5</c15:f>
                <c15:dlblRangeCache>
                  <c:ptCount val="3"/>
                  <c:pt idx="1">
                    <c:v>***</c:v>
                  </c:pt>
                </c15:dlblRangeCache>
              </c15:datalabelsRange>
            </c:ext>
            <c:ext xmlns:c16="http://schemas.microsoft.com/office/drawing/2014/chart" uri="{C3380CC4-5D6E-409C-BE32-E72D297353CC}">
              <c16:uniqueId val="{00000007-A40E-4BBB-9D49-DCACE2722908}"/>
            </c:ext>
          </c:extLst>
        </c:ser>
        <c:dLbls>
          <c:showLegendKey val="0"/>
          <c:showVal val="0"/>
          <c:showCatName val="0"/>
          <c:showSerName val="0"/>
          <c:showPercent val="0"/>
          <c:showBubbleSize val="0"/>
        </c:dLbls>
        <c:gapWidth val="150"/>
        <c:axId val="434385640"/>
        <c:axId val="434386032"/>
      </c:barChart>
      <c:lineChart>
        <c:grouping val="standard"/>
        <c:varyColors val="0"/>
        <c:ser>
          <c:idx val="2"/>
          <c:order val="1"/>
          <c:tx>
            <c:strRef>
              <c:f>'Graph format rapport CHG 1éch'!$D$7</c:f>
              <c:strCache>
                <c:ptCount val="1"/>
                <c:pt idx="0">
                  <c:v>Témoin Testo</c:v>
                </c:pt>
              </c:strCache>
            </c:strRef>
          </c:tx>
          <c:spPr>
            <a:ln>
              <a:solidFill>
                <a:srgbClr val="00B050"/>
              </a:solidFill>
            </a:ln>
          </c:spPr>
          <c:marker>
            <c:symbol val="none"/>
          </c:marker>
          <c:cat>
            <c:strRef>
              <c:f>'Graph format rapport CHG 1éch'!$H$2:$J$2</c:f>
              <c:strCache>
                <c:ptCount val="2"/>
                <c:pt idx="1">
                  <c:v>FAD-5,4µg/L + Testostérone</c:v>
                </c:pt>
              </c:strCache>
            </c:strRef>
          </c:cat>
          <c:val>
            <c:numRef>
              <c:f>'Graph format rapport CHG 1éch'!$H$7:$J$7</c:f>
              <c:numCache>
                <c:formatCode>General</c:formatCode>
                <c:ptCount val="3"/>
                <c:pt idx="0">
                  <c:v>1.0000000000000002</c:v>
                </c:pt>
                <c:pt idx="1">
                  <c:v>1.0000000000000002</c:v>
                </c:pt>
                <c:pt idx="2">
                  <c:v>1.0000000000000002</c:v>
                </c:pt>
              </c:numCache>
            </c:numRef>
          </c:val>
          <c:smooth val="0"/>
          <c:extLst>
            <c:ext xmlns:c16="http://schemas.microsoft.com/office/drawing/2014/chart" uri="{C3380CC4-5D6E-409C-BE32-E72D297353CC}">
              <c16:uniqueId val="{00000008-A40E-4BBB-9D49-DCACE2722908}"/>
            </c:ext>
          </c:extLst>
        </c:ser>
        <c:dLbls>
          <c:showLegendKey val="0"/>
          <c:showVal val="0"/>
          <c:showCatName val="0"/>
          <c:showSerName val="0"/>
          <c:showPercent val="0"/>
          <c:showBubbleSize val="0"/>
        </c:dLbls>
        <c:marker val="1"/>
        <c:smooth val="0"/>
        <c:axId val="434385640"/>
        <c:axId val="434386032"/>
      </c:lineChart>
      <c:dateAx>
        <c:axId val="434385640"/>
        <c:scaling>
          <c:orientation val="minMax"/>
        </c:scaling>
        <c:delete val="0"/>
        <c:axPos val="b"/>
        <c:numFmt formatCode="General" sourceLinked="0"/>
        <c:majorTickMark val="out"/>
        <c:minorTickMark val="none"/>
        <c:tickLblPos val="low"/>
        <c:spPr>
          <a:ln w="25400">
            <a:solidFill>
              <a:schemeClr val="tx1"/>
            </a:solidFill>
          </a:ln>
        </c:spPr>
        <c:txPr>
          <a:bodyPr rot="0" vert="horz"/>
          <a:lstStyle/>
          <a:p>
            <a:pPr>
              <a:defRPr b="1"/>
            </a:pPr>
            <a:endParaRPr lang="fr-FR"/>
          </a:p>
        </c:txPr>
        <c:crossAx val="434386032"/>
        <c:crosses val="autoZero"/>
        <c:auto val="0"/>
        <c:lblOffset val="100"/>
        <c:baseTimeUnit val="days"/>
      </c:dateAx>
      <c:valAx>
        <c:axId val="434386032"/>
        <c:scaling>
          <c:orientation val="minMax"/>
          <c:max val="2"/>
          <c:min val="0"/>
        </c:scaling>
        <c:delete val="0"/>
        <c:axPos val="l"/>
        <c:title>
          <c:tx>
            <c:rich>
              <a:bodyPr/>
              <a:lstStyle/>
              <a:p>
                <a:pPr>
                  <a:defRPr/>
                </a:pPr>
                <a:r>
                  <a:rPr lang="fr-FR"/>
                  <a:t>Fluorescence</a:t>
                </a:r>
              </a:p>
            </c:rich>
          </c:tx>
          <c:layout>
            <c:manualLayout>
              <c:xMode val="edge"/>
              <c:yMode val="edge"/>
              <c:x val="4.2815104248701457E-3"/>
              <c:y val="0.2110284452273361"/>
            </c:manualLayout>
          </c:layout>
          <c:overlay val="0"/>
        </c:title>
        <c:numFmt formatCode="General" sourceLinked="0"/>
        <c:majorTickMark val="out"/>
        <c:minorTickMark val="none"/>
        <c:tickLblPos val="nextTo"/>
        <c:spPr>
          <a:ln w="25400">
            <a:solidFill>
              <a:schemeClr val="tx1"/>
            </a:solidFill>
          </a:ln>
        </c:spPr>
        <c:txPr>
          <a:bodyPr/>
          <a:lstStyle/>
          <a:p>
            <a:pPr>
              <a:defRPr b="1"/>
            </a:pPr>
            <a:endParaRPr lang="fr-FR"/>
          </a:p>
        </c:txPr>
        <c:crossAx val="434385640"/>
        <c:crosses val="autoZero"/>
        <c:crossBetween val="midCat"/>
        <c:majorUnit val="0.2"/>
      </c:valAx>
    </c:plotArea>
    <c:plotVisOnly val="1"/>
    <c:dispBlanksAs val="zero"/>
    <c:showDLblsOverMax val="0"/>
  </c:chart>
  <c:spPr>
    <a:ln>
      <a:noFill/>
    </a:ln>
  </c:spPr>
  <c:txPr>
    <a:bodyPr/>
    <a:lstStyle/>
    <a:p>
      <a:pPr>
        <a:defRPr sz="1000"/>
      </a:pPr>
      <a:endParaRPr lang="fr-FR"/>
    </a:p>
  </c:txPr>
  <c:printSettings>
    <c:headerFooter/>
    <c:pageMargins b="0.75000000000000022" l="0.70000000000000018" r="0.70000000000000018" t="0.75000000000000022" header="0.3000000000000001" footer="0.3000000000000001"/>
    <c:pageSetup/>
  </c:printSettings>
  <c:userShapes r:id="rId1"/>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18267062545213636"/>
          <c:y val="2.2539308994609909E-2"/>
          <c:w val="0.74093363291082703"/>
          <c:h val="0.67622607567312554"/>
        </c:manualLayout>
      </c:layout>
      <c:areaChart>
        <c:grouping val="stacked"/>
        <c:varyColors val="0"/>
        <c:ser>
          <c:idx val="3"/>
          <c:order val="2"/>
          <c:tx>
            <c:strRef>
              <c:f>'Graph format rapport CHG 1éch'!$D$8</c:f>
              <c:strCache>
                <c:ptCount val="1"/>
                <c:pt idx="0">
                  <c:v>Zone rouge anti</c:v>
                </c:pt>
              </c:strCache>
            </c:strRef>
          </c:tx>
          <c:spPr>
            <a:solidFill>
              <a:srgbClr val="FF0000">
                <a:alpha val="20000"/>
              </a:srgbClr>
            </a:solidFill>
          </c:spPr>
          <c:cat>
            <c:strRef>
              <c:f>'Graph format rapport CHG 1éch'!$E$2:$G$2</c:f>
              <c:strCache>
                <c:ptCount val="2"/>
                <c:pt idx="1">
                  <c:v>FAD-11µg/L</c:v>
                </c:pt>
              </c:strCache>
            </c:strRef>
          </c:cat>
          <c:val>
            <c:numRef>
              <c:f>'Graph format rapport CHG 1éch'!$E$8:$G$8</c:f>
              <c:numCache>
                <c:formatCode>General</c:formatCode>
                <c:ptCount val="3"/>
                <c:pt idx="0">
                  <c:v>0</c:v>
                </c:pt>
                <c:pt idx="1">
                  <c:v>0</c:v>
                </c:pt>
                <c:pt idx="2">
                  <c:v>0</c:v>
                </c:pt>
              </c:numCache>
            </c:numRef>
          </c:val>
          <c:extLst>
            <c:ext xmlns:c16="http://schemas.microsoft.com/office/drawing/2014/chart" uri="{C3380CC4-5D6E-409C-BE32-E72D297353CC}">
              <c16:uniqueId val="{00000000-05A9-486D-95E6-8CEA76DDEBDF}"/>
            </c:ext>
          </c:extLst>
        </c:ser>
        <c:ser>
          <c:idx val="6"/>
          <c:order val="3"/>
          <c:tx>
            <c:strRef>
              <c:f>'Graph format rapport CHG 1éch'!$D$9</c:f>
              <c:strCache>
                <c:ptCount val="1"/>
                <c:pt idx="0">
                  <c:v>Zone verte</c:v>
                </c:pt>
              </c:strCache>
            </c:strRef>
          </c:tx>
          <c:spPr>
            <a:solidFill>
              <a:srgbClr val="00B050">
                <a:alpha val="20000"/>
              </a:srgbClr>
            </a:solidFill>
          </c:spPr>
          <c:cat>
            <c:strRef>
              <c:f>'Graph format rapport CHG 1éch'!$E$2:$G$2</c:f>
              <c:strCache>
                <c:ptCount val="2"/>
                <c:pt idx="1">
                  <c:v>FAD-11µg/L</c:v>
                </c:pt>
              </c:strCache>
            </c:strRef>
          </c:cat>
          <c:val>
            <c:numRef>
              <c:f>'Graph format rapport CHG 1éch'!$E$9:$G$9</c:f>
              <c:numCache>
                <c:formatCode>General</c:formatCode>
                <c:ptCount val="3"/>
                <c:pt idx="0">
                  <c:v>0</c:v>
                </c:pt>
                <c:pt idx="1">
                  <c:v>0</c:v>
                </c:pt>
                <c:pt idx="2">
                  <c:v>0</c:v>
                </c:pt>
              </c:numCache>
            </c:numRef>
          </c:val>
          <c:extLst>
            <c:ext xmlns:c16="http://schemas.microsoft.com/office/drawing/2014/chart" uri="{C3380CC4-5D6E-409C-BE32-E72D297353CC}">
              <c16:uniqueId val="{00000001-05A9-486D-95E6-8CEA76DDEBDF}"/>
            </c:ext>
          </c:extLst>
        </c:ser>
        <c:ser>
          <c:idx val="7"/>
          <c:order val="4"/>
          <c:tx>
            <c:strRef>
              <c:f>'Graph format rapport CHG 1éch'!$D$10</c:f>
              <c:strCache>
                <c:ptCount val="1"/>
                <c:pt idx="0">
                  <c:v>Zone rouge pro</c:v>
                </c:pt>
              </c:strCache>
            </c:strRef>
          </c:tx>
          <c:spPr>
            <a:solidFill>
              <a:srgbClr val="FF0000">
                <a:alpha val="20000"/>
              </a:srgbClr>
            </a:solidFill>
          </c:spPr>
          <c:cat>
            <c:strRef>
              <c:f>'Graph format rapport CHG 1éch'!$E$2:$G$2</c:f>
              <c:strCache>
                <c:ptCount val="2"/>
                <c:pt idx="1">
                  <c:v>FAD-11µg/L</c:v>
                </c:pt>
              </c:strCache>
            </c:strRef>
          </c:cat>
          <c:val>
            <c:numRef>
              <c:f>'Graph format rapport CHG 1éch'!$E$10:$G$10</c:f>
              <c:numCache>
                <c:formatCode>General</c:formatCode>
                <c:ptCount val="3"/>
                <c:pt idx="0">
                  <c:v>2.5</c:v>
                </c:pt>
                <c:pt idx="1">
                  <c:v>2.5</c:v>
                </c:pt>
                <c:pt idx="2">
                  <c:v>2.5</c:v>
                </c:pt>
              </c:numCache>
            </c:numRef>
          </c:val>
          <c:extLst>
            <c:ext xmlns:c16="http://schemas.microsoft.com/office/drawing/2014/chart" uri="{C3380CC4-5D6E-409C-BE32-E72D297353CC}">
              <c16:uniqueId val="{00000002-05A9-486D-95E6-8CEA76DDEBDF}"/>
            </c:ext>
          </c:extLst>
        </c:ser>
        <c:dLbls>
          <c:showLegendKey val="0"/>
          <c:showVal val="0"/>
          <c:showCatName val="0"/>
          <c:showSerName val="0"/>
          <c:showPercent val="0"/>
          <c:showBubbleSize val="0"/>
        </c:dLbls>
        <c:axId val="434386816"/>
        <c:axId val="434387208"/>
      </c:areaChart>
      <c:barChart>
        <c:barDir val="col"/>
        <c:grouping val="clustered"/>
        <c:varyColors val="0"/>
        <c:ser>
          <c:idx val="0"/>
          <c:order val="0"/>
          <c:tx>
            <c:strRef>
              <c:f>'Graph format rapport CHG 1éch'!$D$3</c:f>
              <c:strCache>
                <c:ptCount val="1"/>
                <c:pt idx="0">
                  <c:v>Moyenne</c:v>
                </c:pt>
              </c:strCache>
            </c:strRef>
          </c:tx>
          <c:spPr>
            <a:ln w="28575">
              <a:noFill/>
            </a:ln>
          </c:spPr>
          <c:invertIfNegative val="0"/>
          <c:dLbls>
            <c:dLbl>
              <c:idx val="0"/>
              <c:tx>
                <c:rich>
                  <a:bodyPr/>
                  <a:lstStyle/>
                  <a:p>
                    <a:fld id="{C813BDFE-50E8-46BA-BE99-0F1EE3E9E6B9}" type="CELLRANGE">
                      <a:rPr lang="en-US"/>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3-05A9-486D-95E6-8CEA76DDEBDF}"/>
                </c:ext>
              </c:extLst>
            </c:dLbl>
            <c:dLbl>
              <c:idx val="1"/>
              <c:tx>
                <c:rich>
                  <a:bodyPr/>
                  <a:lstStyle/>
                  <a:p>
                    <a:fld id="{26A4F66A-DA06-4C67-9568-9038183BD2BB}"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0-3931-4034-B613-D94F9BFA86BA}"/>
                </c:ext>
              </c:extLst>
            </c:dLbl>
            <c:dLbl>
              <c:idx val="2"/>
              <c:tx>
                <c:rich>
                  <a:bodyPr/>
                  <a:lstStyle/>
                  <a:p>
                    <a:fld id="{62A33746-6955-49D1-B2E4-22A988AB314D}"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1-3931-4034-B613-D94F9BFA86BA}"/>
                </c:ext>
              </c:extLst>
            </c:dLbl>
            <c:dLbl>
              <c:idx val="15"/>
              <c:tx>
                <c:rich>
                  <a:bodyPr/>
                  <a:lstStyle/>
                  <a:p>
                    <a:fld id="{D6BEB6DA-8213-4180-910B-2E965FB4A6C9}" type="CELLRANGE">
                      <a:rPr lang="en-US"/>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6-05A9-486D-95E6-8CEA76DDEBDF}"/>
                </c:ext>
              </c:extLst>
            </c:dLbl>
            <c:spPr>
              <a:noFill/>
              <a:ln>
                <a:noFill/>
              </a:ln>
              <a:effectLst/>
            </c:spPr>
            <c:dLblPos val="outEnd"/>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0"/>
              </c:ext>
            </c:extLst>
          </c:dLbls>
          <c:errBars>
            <c:errBarType val="both"/>
            <c:errValType val="cust"/>
            <c:noEndCap val="0"/>
            <c:plus>
              <c:numRef>
                <c:f>'Graph format rapport CHG 1éch'!$E$4:$G$4</c:f>
                <c:numCache>
                  <c:formatCode>General</c:formatCode>
                  <c:ptCount val="3"/>
                  <c:pt idx="1">
                    <c:v>1.5708614272673366E-2</c:v>
                  </c:pt>
                </c:numCache>
              </c:numRef>
            </c:plus>
            <c:minus>
              <c:numRef>
                <c:f>'Graph format rapport CHG 1éch'!$E$4:$G$4</c:f>
                <c:numCache>
                  <c:formatCode>General</c:formatCode>
                  <c:ptCount val="3"/>
                  <c:pt idx="1">
                    <c:v>1.5708614272673366E-2</c:v>
                  </c:pt>
                </c:numCache>
              </c:numRef>
            </c:minus>
          </c:errBars>
          <c:cat>
            <c:strRef>
              <c:f>'Graph format rapport CHG 1éch'!$E$2:$G$2</c:f>
              <c:strCache>
                <c:ptCount val="2"/>
                <c:pt idx="1">
                  <c:v>FAD-11µg/L</c:v>
                </c:pt>
              </c:strCache>
            </c:strRef>
          </c:cat>
          <c:val>
            <c:numRef>
              <c:f>'Graph format rapport CHG 1éch'!$E$3:$G$3</c:f>
              <c:numCache>
                <c:formatCode>General</c:formatCode>
                <c:ptCount val="3"/>
                <c:pt idx="1">
                  <c:v>0.12318641759912631</c:v>
                </c:pt>
              </c:numCache>
            </c:numRef>
          </c:val>
          <c:extLst>
            <c:ext xmlns:c15="http://schemas.microsoft.com/office/drawing/2012/chart" uri="{02D57815-91ED-43cb-92C2-25804820EDAC}">
              <c15:datalabelsRange>
                <c15:f>'Graph format rapport CHG 1éch'!$E$5:$G$5</c15:f>
                <c15:dlblRangeCache>
                  <c:ptCount val="3"/>
                  <c:pt idx="1">
                    <c:v>ns</c:v>
                  </c:pt>
                </c15:dlblRangeCache>
              </c15:datalabelsRange>
            </c:ext>
            <c:ext xmlns:c16="http://schemas.microsoft.com/office/drawing/2014/chart" uri="{C3380CC4-5D6E-409C-BE32-E72D297353CC}">
              <c16:uniqueId val="{00000007-05A9-486D-95E6-8CEA76DDEBDF}"/>
            </c:ext>
          </c:extLst>
        </c:ser>
        <c:dLbls>
          <c:showLegendKey val="0"/>
          <c:showVal val="0"/>
          <c:showCatName val="0"/>
          <c:showSerName val="0"/>
          <c:showPercent val="0"/>
          <c:showBubbleSize val="0"/>
        </c:dLbls>
        <c:gapWidth val="150"/>
        <c:axId val="434386816"/>
        <c:axId val="434387208"/>
      </c:barChart>
      <c:lineChart>
        <c:grouping val="standard"/>
        <c:varyColors val="0"/>
        <c:ser>
          <c:idx val="1"/>
          <c:order val="1"/>
          <c:tx>
            <c:strRef>
              <c:f>'Graph format rapport CHG 1éch'!$D$6</c:f>
              <c:strCache>
                <c:ptCount val="1"/>
                <c:pt idx="0">
                  <c:v>Témoin Evian</c:v>
                </c:pt>
              </c:strCache>
            </c:strRef>
          </c:tx>
          <c:spPr>
            <a:ln>
              <a:solidFill>
                <a:srgbClr val="00B050"/>
              </a:solidFill>
            </a:ln>
          </c:spPr>
          <c:marker>
            <c:symbol val="none"/>
          </c:marker>
          <c:cat>
            <c:multiLvlStrRef>
              <c:f>'Graph format rapport CHG'!#REF!</c:f>
            </c:multiLvlStrRef>
          </c:cat>
          <c:val>
            <c:numRef>
              <c:f>'Graph format rapport CHG 1éch'!$E$6:$G$6</c:f>
              <c:numCache>
                <c:formatCode>General</c:formatCode>
                <c:ptCount val="3"/>
                <c:pt idx="0">
                  <c:v>0.10038748006553395</c:v>
                </c:pt>
                <c:pt idx="1">
                  <c:v>0.10038748006553395</c:v>
                </c:pt>
                <c:pt idx="2">
                  <c:v>0.10038748006553395</c:v>
                </c:pt>
              </c:numCache>
            </c:numRef>
          </c:val>
          <c:smooth val="0"/>
          <c:extLst>
            <c:ext xmlns:c16="http://schemas.microsoft.com/office/drawing/2014/chart" uri="{C3380CC4-5D6E-409C-BE32-E72D297353CC}">
              <c16:uniqueId val="{00000008-05A9-486D-95E6-8CEA76DDEBDF}"/>
            </c:ext>
          </c:extLst>
        </c:ser>
        <c:dLbls>
          <c:showLegendKey val="0"/>
          <c:showVal val="0"/>
          <c:showCatName val="0"/>
          <c:showSerName val="0"/>
          <c:showPercent val="0"/>
          <c:showBubbleSize val="0"/>
        </c:dLbls>
        <c:marker val="1"/>
        <c:smooth val="0"/>
        <c:axId val="434386816"/>
        <c:axId val="434387208"/>
      </c:lineChart>
      <c:dateAx>
        <c:axId val="434386816"/>
        <c:scaling>
          <c:orientation val="minMax"/>
        </c:scaling>
        <c:delete val="0"/>
        <c:axPos val="b"/>
        <c:numFmt formatCode="General" sourceLinked="0"/>
        <c:majorTickMark val="out"/>
        <c:minorTickMark val="none"/>
        <c:tickLblPos val="low"/>
        <c:spPr>
          <a:ln w="25400">
            <a:solidFill>
              <a:schemeClr val="tx1"/>
            </a:solidFill>
          </a:ln>
        </c:spPr>
        <c:txPr>
          <a:bodyPr rot="0" vert="horz"/>
          <a:lstStyle/>
          <a:p>
            <a:pPr>
              <a:defRPr b="1"/>
            </a:pPr>
            <a:endParaRPr lang="fr-FR"/>
          </a:p>
        </c:txPr>
        <c:crossAx val="434387208"/>
        <c:crosses val="autoZero"/>
        <c:auto val="0"/>
        <c:lblOffset val="100"/>
        <c:baseTimeUnit val="days"/>
      </c:dateAx>
      <c:valAx>
        <c:axId val="434387208"/>
        <c:scaling>
          <c:orientation val="minMax"/>
          <c:max val="2"/>
          <c:min val="0"/>
        </c:scaling>
        <c:delete val="0"/>
        <c:axPos val="l"/>
        <c:title>
          <c:tx>
            <c:rich>
              <a:bodyPr/>
              <a:lstStyle/>
              <a:p>
                <a:pPr>
                  <a:defRPr/>
                </a:pPr>
                <a:r>
                  <a:rPr lang="fr-FR"/>
                  <a:t>Fluorescence</a:t>
                </a:r>
              </a:p>
            </c:rich>
          </c:tx>
          <c:layout>
            <c:manualLayout>
              <c:xMode val="edge"/>
              <c:yMode val="edge"/>
              <c:x val="5.1272132203026073E-2"/>
              <c:y val="0.2449311263860379"/>
            </c:manualLayout>
          </c:layout>
          <c:overlay val="0"/>
        </c:title>
        <c:numFmt formatCode="General" sourceLinked="1"/>
        <c:majorTickMark val="out"/>
        <c:minorTickMark val="none"/>
        <c:tickLblPos val="nextTo"/>
        <c:spPr>
          <a:ln w="25400">
            <a:solidFill>
              <a:schemeClr val="tx1"/>
            </a:solidFill>
          </a:ln>
        </c:spPr>
        <c:txPr>
          <a:bodyPr/>
          <a:lstStyle/>
          <a:p>
            <a:pPr>
              <a:defRPr b="1"/>
            </a:pPr>
            <a:endParaRPr lang="fr-FR"/>
          </a:p>
        </c:txPr>
        <c:crossAx val="434386816"/>
        <c:crosses val="autoZero"/>
        <c:crossBetween val="midCat"/>
        <c:majorUnit val="0.2"/>
      </c:valAx>
    </c:plotArea>
    <c:plotVisOnly val="1"/>
    <c:dispBlanksAs val="zero"/>
    <c:showDLblsOverMax val="0"/>
  </c:chart>
  <c:spPr>
    <a:ln>
      <a:noFill/>
    </a:ln>
  </c:spPr>
  <c:txPr>
    <a:bodyPr/>
    <a:lstStyle/>
    <a:p>
      <a:pPr>
        <a:defRPr sz="1000"/>
      </a:pPr>
      <a:endParaRPr lang="fr-FR"/>
    </a:p>
  </c:txPr>
  <c:printSettings>
    <c:headerFooter/>
    <c:pageMargins b="0.75000000000000022" l="0.70000000000000018" r="0.70000000000000018" t="0.75000000000000022" header="0.3000000000000001" footer="0.3000000000000001"/>
    <c:pageSetup/>
  </c:printSettings>
  <c:userShapes r:id="rId1"/>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1506615584560167"/>
          <c:y val="2.2855878970184925E-2"/>
          <c:w val="0.80127861233935682"/>
          <c:h val="0.58408416644548644"/>
        </c:manualLayout>
      </c:layout>
      <c:areaChart>
        <c:grouping val="stacked"/>
        <c:varyColors val="0"/>
        <c:ser>
          <c:idx val="3"/>
          <c:order val="2"/>
          <c:tx>
            <c:strRef>
              <c:f>'Graph format rapport CHG 1éch'!$D$8</c:f>
              <c:strCache>
                <c:ptCount val="1"/>
                <c:pt idx="0">
                  <c:v>Zone rouge anti</c:v>
                </c:pt>
              </c:strCache>
            </c:strRef>
          </c:tx>
          <c:spPr>
            <a:solidFill>
              <a:srgbClr val="FF0000">
                <a:alpha val="20000"/>
              </a:srgbClr>
            </a:solidFill>
          </c:spPr>
          <c:cat>
            <c:strRef>
              <c:f>'Graph format rapport CHG 1éch'!$H$2:$J$2</c:f>
              <c:strCache>
                <c:ptCount val="2"/>
                <c:pt idx="1">
                  <c:v>FAD-5,4µg/L + Testostérone</c:v>
                </c:pt>
              </c:strCache>
            </c:strRef>
          </c:cat>
          <c:val>
            <c:numRef>
              <c:f>'Graph format rapport CHG 1éch'!$H$8:$J$8</c:f>
              <c:numCache>
                <c:formatCode>General</c:formatCode>
                <c:ptCount val="3"/>
                <c:pt idx="0">
                  <c:v>9.0738879492618094E-2</c:v>
                </c:pt>
                <c:pt idx="1">
                  <c:v>9.0738879492618094E-2</c:v>
                </c:pt>
                <c:pt idx="2">
                  <c:v>9.0738879492618094E-2</c:v>
                </c:pt>
              </c:numCache>
            </c:numRef>
          </c:val>
          <c:extLst>
            <c:ext xmlns:c16="http://schemas.microsoft.com/office/drawing/2014/chart" uri="{C3380CC4-5D6E-409C-BE32-E72D297353CC}">
              <c16:uniqueId val="{00000000-A40E-4BBB-9D49-DCACE2722908}"/>
            </c:ext>
          </c:extLst>
        </c:ser>
        <c:ser>
          <c:idx val="6"/>
          <c:order val="3"/>
          <c:tx>
            <c:strRef>
              <c:f>'Graph format rapport CHG 1éch'!$D$9</c:f>
              <c:strCache>
                <c:ptCount val="1"/>
                <c:pt idx="0">
                  <c:v>Zone verte</c:v>
                </c:pt>
              </c:strCache>
            </c:strRef>
          </c:tx>
          <c:spPr>
            <a:solidFill>
              <a:srgbClr val="00B050">
                <a:alpha val="20000"/>
              </a:srgbClr>
            </a:solidFill>
          </c:spPr>
          <c:cat>
            <c:strRef>
              <c:f>'Graph format rapport CHG 1éch'!$H$2:$J$2</c:f>
              <c:strCache>
                <c:ptCount val="2"/>
                <c:pt idx="1">
                  <c:v>FAD-5,4µg/L + Testostérone</c:v>
                </c:pt>
              </c:strCache>
            </c:strRef>
          </c:cat>
          <c:val>
            <c:numRef>
              <c:f>'Graph format rapport CHG 1éch'!$H$9:$J$9</c:f>
              <c:numCache>
                <c:formatCode>General</c:formatCode>
                <c:ptCount val="3"/>
                <c:pt idx="0">
                  <c:v>1.7302806012346632</c:v>
                </c:pt>
                <c:pt idx="1">
                  <c:v>1.7302806012346632</c:v>
                </c:pt>
                <c:pt idx="2">
                  <c:v>1.7302806012346632</c:v>
                </c:pt>
              </c:numCache>
            </c:numRef>
          </c:val>
          <c:extLst>
            <c:ext xmlns:c16="http://schemas.microsoft.com/office/drawing/2014/chart" uri="{C3380CC4-5D6E-409C-BE32-E72D297353CC}">
              <c16:uniqueId val="{00000001-A40E-4BBB-9D49-DCACE2722908}"/>
            </c:ext>
          </c:extLst>
        </c:ser>
        <c:ser>
          <c:idx val="7"/>
          <c:order val="4"/>
          <c:tx>
            <c:strRef>
              <c:f>'Graph format rapport CHG 1éch'!$D$10</c:f>
              <c:strCache>
                <c:ptCount val="1"/>
                <c:pt idx="0">
                  <c:v>Zone rouge pro</c:v>
                </c:pt>
              </c:strCache>
            </c:strRef>
          </c:tx>
          <c:spPr>
            <a:solidFill>
              <a:srgbClr val="FF0000">
                <a:alpha val="20000"/>
              </a:srgbClr>
            </a:solidFill>
          </c:spPr>
          <c:cat>
            <c:strRef>
              <c:f>'Graph format rapport CHG 1éch'!$H$2:$J$2</c:f>
              <c:strCache>
                <c:ptCount val="2"/>
                <c:pt idx="1">
                  <c:v>FAD-5,4µg/L + Testostérone</c:v>
                </c:pt>
              </c:strCache>
            </c:strRef>
          </c:cat>
          <c:val>
            <c:numRef>
              <c:f>'Graph format rapport CHG 1éch'!$H$10:$J$10</c:f>
              <c:numCache>
                <c:formatCode>General</c:formatCode>
                <c:ptCount val="3"/>
                <c:pt idx="0">
                  <c:v>0.76971939876533679</c:v>
                </c:pt>
                <c:pt idx="1">
                  <c:v>0.76971939876533679</c:v>
                </c:pt>
                <c:pt idx="2">
                  <c:v>0.76971939876533679</c:v>
                </c:pt>
              </c:numCache>
            </c:numRef>
          </c:val>
          <c:extLst>
            <c:ext xmlns:c16="http://schemas.microsoft.com/office/drawing/2014/chart" uri="{C3380CC4-5D6E-409C-BE32-E72D297353CC}">
              <c16:uniqueId val="{00000002-A40E-4BBB-9D49-DCACE2722908}"/>
            </c:ext>
          </c:extLst>
        </c:ser>
        <c:dLbls>
          <c:showLegendKey val="0"/>
          <c:showVal val="0"/>
          <c:showCatName val="0"/>
          <c:showSerName val="0"/>
          <c:showPercent val="0"/>
          <c:showBubbleSize val="0"/>
        </c:dLbls>
        <c:axId val="434387992"/>
        <c:axId val="434388384"/>
      </c:areaChart>
      <c:barChart>
        <c:barDir val="col"/>
        <c:grouping val="clustered"/>
        <c:varyColors val="0"/>
        <c:ser>
          <c:idx val="0"/>
          <c:order val="0"/>
          <c:tx>
            <c:strRef>
              <c:f>'Graph format rapport CHG 1éch'!$D$3</c:f>
              <c:strCache>
                <c:ptCount val="1"/>
                <c:pt idx="0">
                  <c:v>Moyenne</c:v>
                </c:pt>
              </c:strCache>
            </c:strRef>
          </c:tx>
          <c:spPr>
            <a:ln w="28575">
              <a:noFill/>
            </a:ln>
          </c:spPr>
          <c:invertIfNegative val="0"/>
          <c:dLbls>
            <c:dLbl>
              <c:idx val="0"/>
              <c:tx>
                <c:rich>
                  <a:bodyPr/>
                  <a:lstStyle/>
                  <a:p>
                    <a:fld id="{9C4BAC22-3730-4BF5-BD9E-6C5BBDED390B}" type="CELLRANGE">
                      <a:rPr lang="en-US"/>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3-A40E-4BBB-9D49-DCACE2722908}"/>
                </c:ext>
              </c:extLst>
            </c:dLbl>
            <c:dLbl>
              <c:idx val="1"/>
              <c:tx>
                <c:rich>
                  <a:bodyPr/>
                  <a:lstStyle/>
                  <a:p>
                    <a:fld id="{35B9A08A-B9AA-4C62-B8E5-52C00990499C}"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0-5EBF-4732-9D62-4A2CE2E5DD11}"/>
                </c:ext>
              </c:extLst>
            </c:dLbl>
            <c:dLbl>
              <c:idx val="2"/>
              <c:tx>
                <c:rich>
                  <a:bodyPr/>
                  <a:lstStyle/>
                  <a:p>
                    <a:fld id="{906D6C73-AB46-469B-BA92-F05AA9B5B267}"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1-5EBF-4732-9D62-4A2CE2E5DD11}"/>
                </c:ext>
              </c:extLst>
            </c:dLbl>
            <c:dLbl>
              <c:idx val="15"/>
              <c:tx>
                <c:rich>
                  <a:bodyPr/>
                  <a:lstStyle/>
                  <a:p>
                    <a:fld id="{9F88FD52-D771-43D0-B1AB-DADC933A6E67}" type="CELLRANGE">
                      <a:rPr lang="en-US"/>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6-A40E-4BBB-9D49-DCACE2722908}"/>
                </c:ext>
              </c:extLst>
            </c:dLbl>
            <c:spPr>
              <a:noFill/>
              <a:ln>
                <a:noFill/>
              </a:ln>
              <a:effectLst/>
            </c:spPr>
            <c:dLblPos val="outEnd"/>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0"/>
              </c:ext>
            </c:extLst>
          </c:dLbls>
          <c:errBars>
            <c:errBarType val="both"/>
            <c:errValType val="cust"/>
            <c:noEndCap val="0"/>
            <c:plus>
              <c:numRef>
                <c:f>'Graph format rapport CHG 1éch'!$H$4:$J$4</c:f>
                <c:numCache>
                  <c:formatCode>General</c:formatCode>
                  <c:ptCount val="3"/>
                  <c:pt idx="1">
                    <c:v>1.0190309909861693E-2</c:v>
                  </c:pt>
                </c:numCache>
              </c:numRef>
            </c:plus>
            <c:minus>
              <c:numRef>
                <c:f>'Graph format rapport CHG 1éch'!$H$4:$J$4</c:f>
                <c:numCache>
                  <c:formatCode>General</c:formatCode>
                  <c:ptCount val="3"/>
                  <c:pt idx="1">
                    <c:v>1.0190309909861693E-2</c:v>
                  </c:pt>
                </c:numCache>
              </c:numRef>
            </c:minus>
          </c:errBars>
          <c:cat>
            <c:strRef>
              <c:f>'Graph format rapport CHG 1éch'!$H$2:$J$2</c:f>
              <c:strCache>
                <c:ptCount val="2"/>
                <c:pt idx="1">
                  <c:v>FAD-5,4µg/L + Testostérone</c:v>
                </c:pt>
              </c:strCache>
            </c:strRef>
          </c:cat>
          <c:val>
            <c:numRef>
              <c:f>'Graph format rapport CHG 1éch'!$H$3:$J$3</c:f>
              <c:numCache>
                <c:formatCode>General</c:formatCode>
                <c:ptCount val="3"/>
                <c:pt idx="1">
                  <c:v>9.3450997154082671E-2</c:v>
                </c:pt>
              </c:numCache>
            </c:numRef>
          </c:val>
          <c:extLst>
            <c:ext xmlns:c15="http://schemas.microsoft.com/office/drawing/2012/chart" uri="{02D57815-91ED-43cb-92C2-25804820EDAC}">
              <c15:datalabelsRange>
                <c15:f>'Graph format rapport CHG 1éch'!$H$5:$J$5</c15:f>
                <c15:dlblRangeCache>
                  <c:ptCount val="3"/>
                  <c:pt idx="1">
                    <c:v>***</c:v>
                  </c:pt>
                </c15:dlblRangeCache>
              </c15:datalabelsRange>
            </c:ext>
            <c:ext xmlns:c16="http://schemas.microsoft.com/office/drawing/2014/chart" uri="{C3380CC4-5D6E-409C-BE32-E72D297353CC}">
              <c16:uniqueId val="{00000007-A40E-4BBB-9D49-DCACE2722908}"/>
            </c:ext>
          </c:extLst>
        </c:ser>
        <c:dLbls>
          <c:showLegendKey val="0"/>
          <c:showVal val="0"/>
          <c:showCatName val="0"/>
          <c:showSerName val="0"/>
          <c:showPercent val="0"/>
          <c:showBubbleSize val="0"/>
        </c:dLbls>
        <c:gapWidth val="150"/>
        <c:axId val="434387992"/>
        <c:axId val="434388384"/>
      </c:barChart>
      <c:lineChart>
        <c:grouping val="standard"/>
        <c:varyColors val="0"/>
        <c:ser>
          <c:idx val="2"/>
          <c:order val="1"/>
          <c:tx>
            <c:strRef>
              <c:f>'Graph format rapport CHG 1éch'!$D$7</c:f>
              <c:strCache>
                <c:ptCount val="1"/>
                <c:pt idx="0">
                  <c:v>Témoin Testo</c:v>
                </c:pt>
              </c:strCache>
            </c:strRef>
          </c:tx>
          <c:spPr>
            <a:ln>
              <a:solidFill>
                <a:srgbClr val="00B050"/>
              </a:solidFill>
            </a:ln>
          </c:spPr>
          <c:marker>
            <c:symbol val="none"/>
          </c:marker>
          <c:cat>
            <c:strRef>
              <c:f>'Graph format rapport CHG 1éch'!$H$2:$J$2</c:f>
              <c:strCache>
                <c:ptCount val="2"/>
                <c:pt idx="1">
                  <c:v>FAD-5,4µg/L + Testostérone</c:v>
                </c:pt>
              </c:strCache>
            </c:strRef>
          </c:cat>
          <c:val>
            <c:numRef>
              <c:f>'Graph format rapport CHG 1éch'!$H$7:$J$7</c:f>
              <c:numCache>
                <c:formatCode>General</c:formatCode>
                <c:ptCount val="3"/>
                <c:pt idx="0">
                  <c:v>1.0000000000000002</c:v>
                </c:pt>
                <c:pt idx="1">
                  <c:v>1.0000000000000002</c:v>
                </c:pt>
                <c:pt idx="2">
                  <c:v>1.0000000000000002</c:v>
                </c:pt>
              </c:numCache>
            </c:numRef>
          </c:val>
          <c:smooth val="0"/>
          <c:extLst>
            <c:ext xmlns:c16="http://schemas.microsoft.com/office/drawing/2014/chart" uri="{C3380CC4-5D6E-409C-BE32-E72D297353CC}">
              <c16:uniqueId val="{00000008-A40E-4BBB-9D49-DCACE2722908}"/>
            </c:ext>
          </c:extLst>
        </c:ser>
        <c:dLbls>
          <c:showLegendKey val="0"/>
          <c:showVal val="0"/>
          <c:showCatName val="0"/>
          <c:showSerName val="0"/>
          <c:showPercent val="0"/>
          <c:showBubbleSize val="0"/>
        </c:dLbls>
        <c:marker val="1"/>
        <c:smooth val="0"/>
        <c:axId val="434387992"/>
        <c:axId val="434388384"/>
      </c:lineChart>
      <c:dateAx>
        <c:axId val="434387992"/>
        <c:scaling>
          <c:orientation val="minMax"/>
        </c:scaling>
        <c:delete val="0"/>
        <c:axPos val="b"/>
        <c:numFmt formatCode="General" sourceLinked="0"/>
        <c:majorTickMark val="out"/>
        <c:minorTickMark val="none"/>
        <c:tickLblPos val="low"/>
        <c:spPr>
          <a:ln w="25400">
            <a:solidFill>
              <a:schemeClr val="tx1"/>
            </a:solidFill>
          </a:ln>
        </c:spPr>
        <c:txPr>
          <a:bodyPr rot="0" vert="horz"/>
          <a:lstStyle/>
          <a:p>
            <a:pPr>
              <a:defRPr b="1"/>
            </a:pPr>
            <a:endParaRPr lang="fr-FR"/>
          </a:p>
        </c:txPr>
        <c:crossAx val="434388384"/>
        <c:crosses val="autoZero"/>
        <c:auto val="0"/>
        <c:lblOffset val="100"/>
        <c:baseTimeUnit val="days"/>
      </c:dateAx>
      <c:valAx>
        <c:axId val="434388384"/>
        <c:scaling>
          <c:orientation val="minMax"/>
          <c:max val="2"/>
          <c:min val="0"/>
        </c:scaling>
        <c:delete val="0"/>
        <c:axPos val="l"/>
        <c:title>
          <c:tx>
            <c:rich>
              <a:bodyPr/>
              <a:lstStyle/>
              <a:p>
                <a:pPr>
                  <a:defRPr/>
                </a:pPr>
                <a:r>
                  <a:rPr lang="fr-FR"/>
                  <a:t>Fluorescence</a:t>
                </a:r>
              </a:p>
            </c:rich>
          </c:tx>
          <c:layout>
            <c:manualLayout>
              <c:xMode val="edge"/>
              <c:yMode val="edge"/>
              <c:x val="4.2815104248701457E-3"/>
              <c:y val="0.2110284452273361"/>
            </c:manualLayout>
          </c:layout>
          <c:overlay val="0"/>
        </c:title>
        <c:numFmt formatCode="General" sourceLinked="0"/>
        <c:majorTickMark val="out"/>
        <c:minorTickMark val="none"/>
        <c:tickLblPos val="nextTo"/>
        <c:spPr>
          <a:ln w="25400">
            <a:solidFill>
              <a:schemeClr val="tx1"/>
            </a:solidFill>
          </a:ln>
        </c:spPr>
        <c:txPr>
          <a:bodyPr/>
          <a:lstStyle/>
          <a:p>
            <a:pPr>
              <a:defRPr b="1"/>
            </a:pPr>
            <a:endParaRPr lang="fr-FR"/>
          </a:p>
        </c:txPr>
        <c:crossAx val="434387992"/>
        <c:crosses val="autoZero"/>
        <c:crossBetween val="midCat"/>
        <c:majorUnit val="0.2"/>
      </c:valAx>
    </c:plotArea>
    <c:plotVisOnly val="1"/>
    <c:dispBlanksAs val="zero"/>
    <c:showDLblsOverMax val="0"/>
  </c:chart>
  <c:spPr>
    <a:ln>
      <a:noFill/>
    </a:ln>
  </c:spPr>
  <c:txPr>
    <a:bodyPr/>
    <a:lstStyle/>
    <a:p>
      <a:pPr>
        <a:defRPr sz="1000"/>
      </a:pPr>
      <a:endParaRPr lang="fr-FR"/>
    </a:p>
  </c:txPr>
  <c:printSettings>
    <c:headerFooter/>
    <c:pageMargins b="0.75000000000000022" l="0.70000000000000018" r="0.70000000000000018" t="0.75000000000000022" header="0.3000000000000001" footer="0.3000000000000001"/>
    <c:pageSetup/>
  </c:printSettings>
  <c:userShapes r:id="rId1"/>
</c:chartSpace>
</file>

<file path=xl/chart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3.bin"/></Relationships>
</file>

<file path=xl/chartsheets/_rels/sheet2.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5.bin"/></Relationships>
</file>

<file path=xl/chartsheets/_rels/sheet3.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7.bin"/></Relationships>
</file>

<file path=xl/chartsheets/_rels/sheet4.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9.bin"/></Relationships>
</file>

<file path=xl/chartsheets/sheet1.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00000000-0001-0000-0400-000000000000}">
  <sheetPr/>
  <sheetViews>
    <sheetView zoomScale="76" workbookViewId="0" zoomToFit="1"/>
  </sheetViews>
  <pageMargins left="0.7" right="0.7" top="0.75" bottom="0.75" header="0.3" footer="0.3"/>
  <pageSetup paperSize="9" orientation="landscape" r:id="rId1"/>
  <drawing r:id="rId2"/>
</chartsheet>
</file>

<file path=xl/chartsheets/sheet2.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00000000-0001-0000-0700-000000000000}">
  <sheetPr/>
  <sheetViews>
    <sheetView zoomScale="75" workbookViewId="0" zoomToFit="1"/>
  </sheetViews>
  <pageMargins left="0.7" right="0.7" top="0.75" bottom="0.75" header="0.3" footer="0.3"/>
  <pageSetup paperSize="9" orientation="landscape" r:id="rId1"/>
  <drawing r:id="rId2"/>
</chartsheet>
</file>

<file path=xl/chartsheets/sheet3.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00000000-0001-0000-0A00-000000000000}">
  <sheetPr/>
  <sheetViews>
    <sheetView zoomScale="75" workbookViewId="0" zoomToFit="1"/>
  </sheetViews>
  <pageMargins left="0.7" right="0.7" top="0.75" bottom="0.75" header="0.3" footer="0.3"/>
  <pageSetup paperSize="9" orientation="landscape" r:id="rId1"/>
  <drawing r:id="rId2"/>
</chartsheet>
</file>

<file path=xl/chartsheets/sheet4.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00000000-0001-0000-0C00-000000000000}">
  <sheetPr/>
  <sheetViews>
    <sheetView zoomScale="62" workbookViewId="0" zoomToFit="1"/>
  </sheetViews>
  <pageMargins left="0.7" right="0.7" top="0.75" bottom="0.75" header="0.3" footer="0.3"/>
  <pageSetup paperSize="9" orientation="landscape" r:id="rId1"/>
  <drawing r:id="rId2"/>
</chartsheet>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2.xml"/></Relationships>
</file>

<file path=xl/drawings/_rels/drawing5.xml.rels><?xml version="1.0" encoding="UTF-8" standalone="yes"?>
<Relationships xmlns="http://schemas.openxmlformats.org/package/2006/relationships"><Relationship Id="rId1" Type="http://schemas.openxmlformats.org/officeDocument/2006/relationships/chart" Target="../charts/chart3.xml"/></Relationships>
</file>

<file path=xl/drawings/_rels/drawing7.xml.rels><?xml version="1.0" encoding="UTF-8" standalone="yes"?>
<Relationships xmlns="http://schemas.openxmlformats.org/package/2006/relationships"><Relationship Id="rId1" Type="http://schemas.openxmlformats.org/officeDocument/2006/relationships/chart" Target="../charts/chart4.xml"/></Relationships>
</file>

<file path=xl/drawings/_rels/drawing8.xml.rels><?xml version="1.0" encoding="UTF-8" standalone="yes"?>
<Relationships xmlns="http://schemas.openxmlformats.org/package/2006/relationships"><Relationship Id="rId3" Type="http://schemas.openxmlformats.org/officeDocument/2006/relationships/image" Target="../media/image1.png"/><Relationship Id="rId7" Type="http://schemas.openxmlformats.org/officeDocument/2006/relationships/chart" Target="../charts/chart8.xml"/><Relationship Id="rId2" Type="http://schemas.openxmlformats.org/officeDocument/2006/relationships/chart" Target="../charts/chart6.xml"/><Relationship Id="rId1" Type="http://schemas.openxmlformats.org/officeDocument/2006/relationships/chart" Target="../charts/chart5.xml"/><Relationship Id="rId6" Type="http://schemas.openxmlformats.org/officeDocument/2006/relationships/chart" Target="../charts/chart7.xml"/><Relationship Id="rId5" Type="http://schemas.openxmlformats.org/officeDocument/2006/relationships/image" Target="../media/image3.png"/><Relationship Id="rId4" Type="http://schemas.openxmlformats.org/officeDocument/2006/relationships/image" Target="../media/image2.png"/></Relationships>
</file>

<file path=xl/drawings/_rels/drawing9.xml.rels><?xml version="1.0" encoding="UTF-8" standalone="yes"?>
<Relationships xmlns="http://schemas.openxmlformats.org/package/2006/relationships"><Relationship Id="rId3" Type="http://schemas.openxmlformats.org/officeDocument/2006/relationships/chart" Target="../charts/chart11.xml"/><Relationship Id="rId2" Type="http://schemas.openxmlformats.org/officeDocument/2006/relationships/chart" Target="../charts/chart10.xml"/><Relationship Id="rId1" Type="http://schemas.openxmlformats.org/officeDocument/2006/relationships/chart" Target="../charts/chart9.xml"/><Relationship Id="rId4" Type="http://schemas.openxmlformats.org/officeDocument/2006/relationships/chart" Target="../charts/chart12.xml"/></Relationships>
</file>

<file path=xl/drawings/_rels/drawing14.xml.rels><?xml version="1.0" encoding="UTF-8" standalone="yes"?>
<Relationships xmlns="http://schemas.openxmlformats.org/package/2006/relationships"><Relationship Id="rId3" Type="http://schemas.openxmlformats.org/officeDocument/2006/relationships/chart" Target="../charts/chart15.xml"/><Relationship Id="rId2" Type="http://schemas.openxmlformats.org/officeDocument/2006/relationships/chart" Target="../charts/chart14.xml"/><Relationship Id="rId1" Type="http://schemas.openxmlformats.org/officeDocument/2006/relationships/chart" Target="../charts/chart13.xml"/><Relationship Id="rId4" Type="http://schemas.openxmlformats.org/officeDocument/2006/relationships/chart" Target="../charts/chart16.xml"/></Relationships>
</file>

<file path=xl/drawings/drawing1.xml><?xml version="1.0" encoding="utf-8"?>
<xdr:wsDr xmlns:xdr="http://schemas.openxmlformats.org/drawingml/2006/spreadsheetDrawing" xmlns:a="http://schemas.openxmlformats.org/drawingml/2006/main">
  <xdr:absoluteAnchor>
    <xdr:pos x="0" y="0"/>
    <xdr:ext cx="9299408" cy="6074276"/>
    <xdr:graphicFrame macro="">
      <xdr:nvGraphicFramePr>
        <xdr:cNvPr id="2" name="Graphique 1">
          <a:extLst>
            <a:ext uri="{FF2B5EF4-FFF2-40B4-BE49-F238E27FC236}">
              <a16:creationId xmlns:a16="http://schemas.microsoft.com/office/drawing/2014/main" id="{00000000-0008-0000-03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2.xml><?xml version="1.0" encoding="utf-8"?>
<c:userShapes xmlns:c="http://schemas.openxmlformats.org/drawingml/2006/chart">
  <cdr:relSizeAnchor xmlns:cdr="http://schemas.openxmlformats.org/drawingml/2006/chartDrawing">
    <cdr:from>
      <cdr:x>0.42494</cdr:x>
      <cdr:y>0.01696</cdr:y>
    </cdr:from>
    <cdr:to>
      <cdr:x>0.59244</cdr:x>
      <cdr:y>0.06852</cdr:y>
    </cdr:to>
    <cdr:sp macro="" textlink="">
      <cdr:nvSpPr>
        <cdr:cNvPr id="2" name="ZoneTexte 1"/>
        <cdr:cNvSpPr txBox="1"/>
      </cdr:nvSpPr>
      <cdr:spPr>
        <a:xfrm xmlns:a="http://schemas.openxmlformats.org/drawingml/2006/main">
          <a:off x="3946365" y="102453"/>
          <a:ext cx="1555576" cy="311496"/>
        </a:xfrm>
        <a:prstGeom xmlns:a="http://schemas.openxmlformats.org/drawingml/2006/main" prst="rect">
          <a:avLst/>
        </a:prstGeom>
      </cdr:spPr>
      <cdr:txBody>
        <a:bodyPr xmlns:a="http://schemas.openxmlformats.org/drawingml/2006/main" vertOverflow="clip" horzOverflow="clip" wrap="square" rtlCol="0">
          <a:spAutoFit/>
        </a:bodyPr>
        <a:lstStyle xmlns:a="http://schemas.openxmlformats.org/drawingml/2006/main"/>
        <a:p xmlns:a="http://schemas.openxmlformats.org/drawingml/2006/main">
          <a:pPr algn="ctr"/>
          <a:r>
            <a:rPr lang="fr-FR" sz="1400" b="1"/>
            <a:t>N° expérience</a:t>
          </a:r>
        </a:p>
      </cdr:txBody>
    </cdr:sp>
  </cdr:relSizeAnchor>
</c:userShapes>
</file>

<file path=xl/drawings/drawing3.xml><?xml version="1.0" encoding="utf-8"?>
<xdr:wsDr xmlns:xdr="http://schemas.openxmlformats.org/drawingml/2006/spreadsheetDrawing" xmlns:a="http://schemas.openxmlformats.org/drawingml/2006/main">
  <xdr:absoluteAnchor>
    <xdr:pos x="0" y="0"/>
    <xdr:ext cx="9296400" cy="6070600"/>
    <xdr:graphicFrame macro="">
      <xdr:nvGraphicFramePr>
        <xdr:cNvPr id="2" name="Graphique 1">
          <a:extLst>
            <a:ext uri="{FF2B5EF4-FFF2-40B4-BE49-F238E27FC236}">
              <a16:creationId xmlns:a16="http://schemas.microsoft.com/office/drawing/2014/main" id="{00000000-0008-0000-06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4.xml><?xml version="1.0" encoding="utf-8"?>
<c:userShapes xmlns:c="http://schemas.openxmlformats.org/drawingml/2006/chart">
  <cdr:relSizeAnchor xmlns:cdr="http://schemas.openxmlformats.org/drawingml/2006/chartDrawing">
    <cdr:from>
      <cdr:x>0.37494</cdr:x>
      <cdr:y>0.01504</cdr:y>
    </cdr:from>
    <cdr:to>
      <cdr:x>0.5575</cdr:x>
      <cdr:y>0.06657</cdr:y>
    </cdr:to>
    <cdr:sp macro="" textlink="">
      <cdr:nvSpPr>
        <cdr:cNvPr id="2" name="ZoneTexte 1"/>
        <cdr:cNvSpPr txBox="1"/>
      </cdr:nvSpPr>
      <cdr:spPr>
        <a:xfrm xmlns:a="http://schemas.openxmlformats.org/drawingml/2006/main">
          <a:off x="3480830" y="90920"/>
          <a:ext cx="1694833" cy="311496"/>
        </a:xfrm>
        <a:prstGeom xmlns:a="http://schemas.openxmlformats.org/drawingml/2006/main" prst="rect">
          <a:avLst/>
        </a:prstGeom>
      </cdr:spPr>
      <cdr:txBody>
        <a:bodyPr xmlns:a="http://schemas.openxmlformats.org/drawingml/2006/main" vertOverflow="clip" horzOverflow="clip" wrap="square" rtlCol="0">
          <a:spAutoFit/>
        </a:bodyPr>
        <a:lstStyle xmlns:a="http://schemas.openxmlformats.org/drawingml/2006/main"/>
        <a:p xmlns:a="http://schemas.openxmlformats.org/drawingml/2006/main">
          <a:pPr algn="ctr"/>
          <a:r>
            <a:rPr lang="fr-FR" sz="1400" b="1"/>
            <a:t>N° expérience</a:t>
          </a:r>
        </a:p>
      </cdr:txBody>
    </cdr:sp>
  </cdr:relSizeAnchor>
</c:userShapes>
</file>

<file path=xl/drawings/drawing5.xml><?xml version="1.0" encoding="utf-8"?>
<xdr:wsDr xmlns:xdr="http://schemas.openxmlformats.org/drawingml/2006/spreadsheetDrawing" xmlns:a="http://schemas.openxmlformats.org/drawingml/2006/main">
  <xdr:absoluteAnchor>
    <xdr:pos x="0" y="0"/>
    <xdr:ext cx="9296400" cy="6070600"/>
    <xdr:graphicFrame macro="">
      <xdr:nvGraphicFramePr>
        <xdr:cNvPr id="2" name="Graphique 1">
          <a:extLst>
            <a:ext uri="{FF2B5EF4-FFF2-40B4-BE49-F238E27FC236}">
              <a16:creationId xmlns:a16="http://schemas.microsoft.com/office/drawing/2014/main" id="{00000000-0008-0000-09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6.xml><?xml version="1.0" encoding="utf-8"?>
<c:userShapes xmlns:c="http://schemas.openxmlformats.org/drawingml/2006/chart">
  <cdr:relSizeAnchor xmlns:cdr="http://schemas.openxmlformats.org/drawingml/2006/chartDrawing">
    <cdr:from>
      <cdr:x>0.37494</cdr:x>
      <cdr:y>0.01504</cdr:y>
    </cdr:from>
    <cdr:to>
      <cdr:x>0.5575</cdr:x>
      <cdr:y>0.0666</cdr:y>
    </cdr:to>
    <cdr:sp macro="" textlink="">
      <cdr:nvSpPr>
        <cdr:cNvPr id="2" name="ZoneTexte 1"/>
        <cdr:cNvSpPr txBox="1"/>
      </cdr:nvSpPr>
      <cdr:spPr>
        <a:xfrm xmlns:a="http://schemas.openxmlformats.org/drawingml/2006/main">
          <a:off x="3482021" y="90854"/>
          <a:ext cx="1695412" cy="311496"/>
        </a:xfrm>
        <a:prstGeom xmlns:a="http://schemas.openxmlformats.org/drawingml/2006/main" prst="rect">
          <a:avLst/>
        </a:prstGeom>
      </cdr:spPr>
      <cdr:txBody>
        <a:bodyPr xmlns:a="http://schemas.openxmlformats.org/drawingml/2006/main" vertOverflow="clip" horzOverflow="clip" wrap="square" rtlCol="0">
          <a:spAutoFit/>
        </a:bodyPr>
        <a:lstStyle xmlns:a="http://schemas.openxmlformats.org/drawingml/2006/main"/>
        <a:p xmlns:a="http://schemas.openxmlformats.org/drawingml/2006/main">
          <a:pPr algn="ctr"/>
          <a:r>
            <a:rPr lang="fr-FR" sz="1400" b="1"/>
            <a:t>N° expérience</a:t>
          </a:r>
        </a:p>
      </cdr:txBody>
    </cdr:sp>
  </cdr:relSizeAnchor>
</c:userShapes>
</file>

<file path=xl/drawings/drawing7.xml><?xml version="1.0" encoding="utf-8"?>
<xdr:wsDr xmlns:xdr="http://schemas.openxmlformats.org/drawingml/2006/spreadsheetDrawing" xmlns:a="http://schemas.openxmlformats.org/drawingml/2006/main">
  <xdr:absoluteAnchor>
    <xdr:pos x="0" y="0"/>
    <xdr:ext cx="9274848" cy="6061364"/>
    <xdr:graphicFrame macro="">
      <xdr:nvGraphicFramePr>
        <xdr:cNvPr id="2" name="Graphique 1">
          <a:extLst>
            <a:ext uri="{FF2B5EF4-FFF2-40B4-BE49-F238E27FC236}">
              <a16:creationId xmlns:a16="http://schemas.microsoft.com/office/drawing/2014/main" id="{00000000-0008-0000-0B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8.xml><?xml version="1.0" encoding="utf-8"?>
<xdr:wsDr xmlns:xdr="http://schemas.openxmlformats.org/drawingml/2006/spreadsheetDrawing" xmlns:a="http://schemas.openxmlformats.org/drawingml/2006/main">
  <xdr:twoCellAnchor editAs="absolute">
    <xdr:from>
      <xdr:col>15</xdr:col>
      <xdr:colOff>384711</xdr:colOff>
      <xdr:row>4</xdr:row>
      <xdr:rowOff>197921</xdr:rowOff>
    </xdr:from>
    <xdr:to>
      <xdr:col>28</xdr:col>
      <xdr:colOff>573972</xdr:colOff>
      <xdr:row>17</xdr:row>
      <xdr:rowOff>43528</xdr:rowOff>
    </xdr:to>
    <xdr:graphicFrame macro="">
      <xdr:nvGraphicFramePr>
        <xdr:cNvPr id="2" name="Graphique 1">
          <a:extLst>
            <a:ext uri="{FF2B5EF4-FFF2-40B4-BE49-F238E27FC236}">
              <a16:creationId xmlns:a16="http://schemas.microsoft.com/office/drawing/2014/main" id="{00000000-0008-0000-0D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15</xdr:col>
      <xdr:colOff>207819</xdr:colOff>
      <xdr:row>33</xdr:row>
      <xdr:rowOff>40820</xdr:rowOff>
    </xdr:from>
    <xdr:to>
      <xdr:col>28</xdr:col>
      <xdr:colOff>397080</xdr:colOff>
      <xdr:row>47</xdr:row>
      <xdr:rowOff>63320</xdr:rowOff>
    </xdr:to>
    <xdr:graphicFrame macro="">
      <xdr:nvGraphicFramePr>
        <xdr:cNvPr id="56" name="Graphique 55">
          <a:extLst>
            <a:ext uri="{FF2B5EF4-FFF2-40B4-BE49-F238E27FC236}">
              <a16:creationId xmlns:a16="http://schemas.microsoft.com/office/drawing/2014/main" id="{00000000-0008-0000-0D00-000038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absolute">
    <xdr:from>
      <xdr:col>15</xdr:col>
      <xdr:colOff>289462</xdr:colOff>
      <xdr:row>46</xdr:row>
      <xdr:rowOff>29696</xdr:rowOff>
    </xdr:from>
    <xdr:to>
      <xdr:col>28</xdr:col>
      <xdr:colOff>342269</xdr:colOff>
      <xdr:row>51</xdr:row>
      <xdr:rowOff>106544</xdr:rowOff>
    </xdr:to>
    <xdr:grpSp>
      <xdr:nvGrpSpPr>
        <xdr:cNvPr id="57" name="Groupe 56">
          <a:extLst>
            <a:ext uri="{FF2B5EF4-FFF2-40B4-BE49-F238E27FC236}">
              <a16:creationId xmlns:a16="http://schemas.microsoft.com/office/drawing/2014/main" id="{00000000-0008-0000-0D00-000039000000}"/>
            </a:ext>
          </a:extLst>
        </xdr:cNvPr>
        <xdr:cNvGrpSpPr/>
      </xdr:nvGrpSpPr>
      <xdr:grpSpPr>
        <a:xfrm>
          <a:off x="20382676" y="10062696"/>
          <a:ext cx="8425736" cy="1074705"/>
          <a:chOff x="367064" y="1542965"/>
          <a:chExt cx="7932581" cy="1097383"/>
        </a:xfrm>
      </xdr:grpSpPr>
      <xdr:sp macro="" textlink="">
        <xdr:nvSpPr>
          <xdr:cNvPr id="58" name="Shape 6">
            <a:extLst>
              <a:ext uri="{FF2B5EF4-FFF2-40B4-BE49-F238E27FC236}">
                <a16:creationId xmlns:a16="http://schemas.microsoft.com/office/drawing/2014/main" id="{00000000-0008-0000-0D00-00003A000000}"/>
              </a:ext>
            </a:extLst>
          </xdr:cNvPr>
          <xdr:cNvSpPr/>
        </xdr:nvSpPr>
        <xdr:spPr>
          <a:xfrm>
            <a:off x="435015" y="2113493"/>
            <a:ext cx="730603" cy="180817"/>
          </a:xfrm>
          <a:custGeom>
            <a:avLst/>
            <a:gdLst/>
            <a:ahLst/>
            <a:cxnLst/>
            <a:rect l="0" t="0" r="0" b="0"/>
            <a:pathLst>
              <a:path w="560337" h="178664">
                <a:moveTo>
                  <a:pt x="114402" y="0"/>
                </a:moveTo>
                <a:lnTo>
                  <a:pt x="560337" y="0"/>
                </a:lnTo>
                <a:lnTo>
                  <a:pt x="560337" y="178664"/>
                </a:lnTo>
                <a:lnTo>
                  <a:pt x="114402" y="178664"/>
                </a:lnTo>
                <a:lnTo>
                  <a:pt x="0" y="89332"/>
                </a:lnTo>
                <a:lnTo>
                  <a:pt x="114402" y="0"/>
                </a:lnTo>
                <a:close/>
              </a:path>
            </a:pathLst>
          </a:custGeom>
          <a:ln w="0" cap="flat">
            <a:miter lim="127000"/>
          </a:ln>
        </xdr:spPr>
        <xdr:style>
          <a:lnRef idx="0">
            <a:srgbClr val="000000">
              <a:alpha val="0"/>
            </a:srgbClr>
          </a:lnRef>
          <a:fillRef idx="1">
            <a:srgbClr val="DD453C"/>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59" name="Shape 322">
            <a:extLst>
              <a:ext uri="{FF2B5EF4-FFF2-40B4-BE49-F238E27FC236}">
                <a16:creationId xmlns:a16="http://schemas.microsoft.com/office/drawing/2014/main" id="{00000000-0008-0000-0D00-00003B000000}"/>
              </a:ext>
            </a:extLst>
          </xdr:cNvPr>
          <xdr:cNvSpPr/>
        </xdr:nvSpPr>
        <xdr:spPr>
          <a:xfrm>
            <a:off x="1157583" y="2113911"/>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DD453C"/>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60" name="Shape 323">
            <a:extLst>
              <a:ext uri="{FF2B5EF4-FFF2-40B4-BE49-F238E27FC236}">
                <a16:creationId xmlns:a16="http://schemas.microsoft.com/office/drawing/2014/main" id="{00000000-0008-0000-0D00-00003C000000}"/>
              </a:ext>
            </a:extLst>
          </xdr:cNvPr>
          <xdr:cNvSpPr/>
        </xdr:nvSpPr>
        <xdr:spPr>
          <a:xfrm>
            <a:off x="1740131" y="2113911"/>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FADD39"/>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61" name="Shape 324">
            <a:extLst>
              <a:ext uri="{FF2B5EF4-FFF2-40B4-BE49-F238E27FC236}">
                <a16:creationId xmlns:a16="http://schemas.microsoft.com/office/drawing/2014/main" id="{00000000-0008-0000-0D00-00003D000000}"/>
              </a:ext>
            </a:extLst>
          </xdr:cNvPr>
          <xdr:cNvSpPr/>
        </xdr:nvSpPr>
        <xdr:spPr>
          <a:xfrm>
            <a:off x="2295534"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FADD39"/>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62" name="Shape 325">
            <a:extLst>
              <a:ext uri="{FF2B5EF4-FFF2-40B4-BE49-F238E27FC236}">
                <a16:creationId xmlns:a16="http://schemas.microsoft.com/office/drawing/2014/main" id="{00000000-0008-0000-0D00-00003E000000}"/>
              </a:ext>
            </a:extLst>
          </xdr:cNvPr>
          <xdr:cNvSpPr/>
        </xdr:nvSpPr>
        <xdr:spPr>
          <a:xfrm>
            <a:off x="2878082"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CED542"/>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63" name="Shape 326">
            <a:extLst>
              <a:ext uri="{FF2B5EF4-FFF2-40B4-BE49-F238E27FC236}">
                <a16:creationId xmlns:a16="http://schemas.microsoft.com/office/drawing/2014/main" id="{00000000-0008-0000-0D00-00003F000000}"/>
              </a:ext>
            </a:extLst>
          </xdr:cNvPr>
          <xdr:cNvSpPr/>
        </xdr:nvSpPr>
        <xdr:spPr>
          <a:xfrm>
            <a:off x="3460647"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A2CC4A"/>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64" name="Shape 12">
            <a:extLst>
              <a:ext uri="{FF2B5EF4-FFF2-40B4-BE49-F238E27FC236}">
                <a16:creationId xmlns:a16="http://schemas.microsoft.com/office/drawing/2014/main" id="{00000000-0008-0000-0D00-000040000000}"/>
              </a:ext>
            </a:extLst>
          </xdr:cNvPr>
          <xdr:cNvSpPr/>
        </xdr:nvSpPr>
        <xdr:spPr>
          <a:xfrm>
            <a:off x="7514306" y="2112013"/>
            <a:ext cx="730603" cy="180817"/>
          </a:xfrm>
          <a:custGeom>
            <a:avLst/>
            <a:gdLst/>
            <a:ahLst/>
            <a:cxnLst/>
            <a:rect l="0" t="0" r="0" b="0"/>
            <a:pathLst>
              <a:path w="560337" h="178664">
                <a:moveTo>
                  <a:pt x="0" y="0"/>
                </a:moveTo>
                <a:lnTo>
                  <a:pt x="445935" y="0"/>
                </a:lnTo>
                <a:lnTo>
                  <a:pt x="560337" y="89332"/>
                </a:lnTo>
                <a:lnTo>
                  <a:pt x="445935" y="178664"/>
                </a:lnTo>
                <a:lnTo>
                  <a:pt x="0" y="178664"/>
                </a:lnTo>
                <a:lnTo>
                  <a:pt x="0" y="0"/>
                </a:lnTo>
                <a:close/>
              </a:path>
            </a:pathLst>
          </a:custGeom>
          <a:ln w="0" cap="flat">
            <a:miter lim="127000"/>
          </a:ln>
        </xdr:spPr>
        <xdr:style>
          <a:lnRef idx="0">
            <a:srgbClr val="000000">
              <a:alpha val="0"/>
            </a:srgbClr>
          </a:lnRef>
          <a:fillRef idx="1">
            <a:srgbClr val="DD453C"/>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65" name="Shape 327">
            <a:extLst>
              <a:ext uri="{FF2B5EF4-FFF2-40B4-BE49-F238E27FC236}">
                <a16:creationId xmlns:a16="http://schemas.microsoft.com/office/drawing/2014/main" id="{00000000-0008-0000-0D00-000041000000}"/>
              </a:ext>
            </a:extLst>
          </xdr:cNvPr>
          <xdr:cNvSpPr/>
        </xdr:nvSpPr>
        <xdr:spPr>
          <a:xfrm>
            <a:off x="6930047"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DD453C"/>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66" name="Shape 328">
            <a:extLst>
              <a:ext uri="{FF2B5EF4-FFF2-40B4-BE49-F238E27FC236}">
                <a16:creationId xmlns:a16="http://schemas.microsoft.com/office/drawing/2014/main" id="{00000000-0008-0000-0D00-000042000000}"/>
              </a:ext>
            </a:extLst>
          </xdr:cNvPr>
          <xdr:cNvSpPr/>
        </xdr:nvSpPr>
        <xdr:spPr>
          <a:xfrm>
            <a:off x="6364674"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FADD39"/>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67" name="Shape 329">
            <a:extLst>
              <a:ext uri="{FF2B5EF4-FFF2-40B4-BE49-F238E27FC236}">
                <a16:creationId xmlns:a16="http://schemas.microsoft.com/office/drawing/2014/main" id="{00000000-0008-0000-0D00-000043000000}"/>
              </a:ext>
            </a:extLst>
          </xdr:cNvPr>
          <xdr:cNvSpPr/>
        </xdr:nvSpPr>
        <xdr:spPr>
          <a:xfrm>
            <a:off x="5781746"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FADD39"/>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68" name="Shape 330">
            <a:extLst>
              <a:ext uri="{FF2B5EF4-FFF2-40B4-BE49-F238E27FC236}">
                <a16:creationId xmlns:a16="http://schemas.microsoft.com/office/drawing/2014/main" id="{00000000-0008-0000-0D00-000044000000}"/>
              </a:ext>
            </a:extLst>
          </xdr:cNvPr>
          <xdr:cNvSpPr/>
        </xdr:nvSpPr>
        <xdr:spPr>
          <a:xfrm>
            <a:off x="5207181"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CED542"/>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69" name="Shape 331">
            <a:extLst>
              <a:ext uri="{FF2B5EF4-FFF2-40B4-BE49-F238E27FC236}">
                <a16:creationId xmlns:a16="http://schemas.microsoft.com/office/drawing/2014/main" id="{00000000-0008-0000-0D00-000045000000}"/>
              </a:ext>
            </a:extLst>
          </xdr:cNvPr>
          <xdr:cNvSpPr/>
        </xdr:nvSpPr>
        <xdr:spPr>
          <a:xfrm>
            <a:off x="4624633"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A2CC4A"/>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70" name="Shape 332">
            <a:extLst>
              <a:ext uri="{FF2B5EF4-FFF2-40B4-BE49-F238E27FC236}">
                <a16:creationId xmlns:a16="http://schemas.microsoft.com/office/drawing/2014/main" id="{00000000-0008-0000-0D00-000046000000}"/>
              </a:ext>
            </a:extLst>
          </xdr:cNvPr>
          <xdr:cNvSpPr/>
        </xdr:nvSpPr>
        <xdr:spPr>
          <a:xfrm>
            <a:off x="4043195"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76C453"/>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pic>
        <xdr:nvPicPr>
          <xdr:cNvPr id="71" name="Picture 308">
            <a:extLst>
              <a:ext uri="{FF2B5EF4-FFF2-40B4-BE49-F238E27FC236}">
                <a16:creationId xmlns:a16="http://schemas.microsoft.com/office/drawing/2014/main" id="{00000000-0008-0000-0D00-000047000000}"/>
              </a:ext>
            </a:extLst>
          </xdr:cNvPr>
          <xdr:cNvPicPr/>
        </xdr:nvPicPr>
        <xdr:blipFill>
          <a:blip xmlns:r="http://schemas.openxmlformats.org/officeDocument/2006/relationships" r:embed="rId3"/>
          <a:stretch>
            <a:fillRect/>
          </a:stretch>
        </xdr:blipFill>
        <xdr:spPr>
          <a:xfrm>
            <a:off x="4245514" y="1729311"/>
            <a:ext cx="162941" cy="567590"/>
          </a:xfrm>
          <a:prstGeom prst="rect">
            <a:avLst/>
          </a:prstGeom>
        </xdr:spPr>
      </xdr:pic>
      <xdr:sp macro="" textlink="">
        <xdr:nvSpPr>
          <xdr:cNvPr id="72" name="Shape 20">
            <a:extLst>
              <a:ext uri="{FF2B5EF4-FFF2-40B4-BE49-F238E27FC236}">
                <a16:creationId xmlns:a16="http://schemas.microsoft.com/office/drawing/2014/main" id="{00000000-0008-0000-0D00-000048000000}"/>
              </a:ext>
            </a:extLst>
          </xdr:cNvPr>
          <xdr:cNvSpPr/>
        </xdr:nvSpPr>
        <xdr:spPr>
          <a:xfrm>
            <a:off x="4253445" y="1735390"/>
            <a:ext cx="155274" cy="559339"/>
          </a:xfrm>
          <a:custGeom>
            <a:avLst/>
            <a:gdLst/>
            <a:ahLst/>
            <a:cxnLst/>
            <a:rect l="0" t="0" r="0" b="0"/>
            <a:pathLst>
              <a:path w="119088" h="552679">
                <a:moveTo>
                  <a:pt x="0" y="552679"/>
                </a:moveTo>
                <a:lnTo>
                  <a:pt x="119088" y="552679"/>
                </a:lnTo>
                <a:lnTo>
                  <a:pt x="119088" y="0"/>
                </a:lnTo>
                <a:lnTo>
                  <a:pt x="0" y="0"/>
                </a:lnTo>
                <a:close/>
              </a:path>
            </a:pathLst>
          </a:custGeom>
          <a:ln w="3175" cap="flat">
            <a:miter lim="127000"/>
          </a:ln>
        </xdr:spPr>
        <xdr:style>
          <a:lnRef idx="1">
            <a:srgbClr val="000000">
              <a:alpha val="0"/>
            </a:srgbClr>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73" name="Shape 333">
            <a:extLst>
              <a:ext uri="{FF2B5EF4-FFF2-40B4-BE49-F238E27FC236}">
                <a16:creationId xmlns:a16="http://schemas.microsoft.com/office/drawing/2014/main" id="{00000000-0008-0000-0D00-000049000000}"/>
              </a:ext>
            </a:extLst>
          </xdr:cNvPr>
          <xdr:cNvSpPr/>
        </xdr:nvSpPr>
        <xdr:spPr>
          <a:xfrm>
            <a:off x="4267123" y="1758638"/>
            <a:ext cx="119722" cy="262639"/>
          </a:xfrm>
          <a:custGeom>
            <a:avLst/>
            <a:gdLst/>
            <a:ahLst/>
            <a:cxnLst/>
            <a:rect l="0" t="0" r="0" b="0"/>
            <a:pathLst>
              <a:path w="91821" h="259512">
                <a:moveTo>
                  <a:pt x="0" y="0"/>
                </a:moveTo>
                <a:lnTo>
                  <a:pt x="91821" y="0"/>
                </a:lnTo>
                <a:lnTo>
                  <a:pt x="91821" y="259512"/>
                </a:lnTo>
                <a:lnTo>
                  <a:pt x="0" y="259512"/>
                </a:lnTo>
                <a:lnTo>
                  <a:pt x="0" y="0"/>
                </a:lnTo>
              </a:path>
            </a:pathLst>
          </a:custGeom>
          <a:ln w="0" cap="flat">
            <a:miter lim="127000"/>
          </a:ln>
        </xdr:spPr>
        <xdr:style>
          <a:lnRef idx="0">
            <a:srgbClr val="000000">
              <a:alpha val="0"/>
            </a:srgbClr>
          </a:lnRef>
          <a:fillRef idx="1">
            <a:srgbClr val="76C453"/>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74" name="Rectangle 73">
            <a:extLst>
              <a:ext uri="{FF2B5EF4-FFF2-40B4-BE49-F238E27FC236}">
                <a16:creationId xmlns:a16="http://schemas.microsoft.com/office/drawing/2014/main" id="{00000000-0008-0000-0D00-00004A000000}"/>
              </a:ext>
            </a:extLst>
          </xdr:cNvPr>
          <xdr:cNvSpPr/>
        </xdr:nvSpPr>
        <xdr:spPr>
          <a:xfrm>
            <a:off x="4220933" y="1549342"/>
            <a:ext cx="253715" cy="214210"/>
          </a:xfrm>
          <a:prstGeom prst="rect">
            <a:avLst/>
          </a:prstGeom>
          <a:ln>
            <a:noFill/>
          </a:ln>
        </xdr:spPr>
        <xdr:txBody>
          <a:bodyPr vert="horz" wrap="square" lIns="0" tIns="0" rIns="0" bIns="0" rtlCol="0">
            <a:no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nSpc>
                <a:spcPct val="107000"/>
              </a:lnSpc>
              <a:spcAft>
                <a:spcPts val="800"/>
              </a:spcAft>
            </a:pPr>
            <a:r>
              <a:rPr lang="fr-FR" sz="1250">
                <a:solidFill>
                  <a:srgbClr val="76C453"/>
                </a:solidFill>
                <a:effectLst/>
                <a:latin typeface="Calibri Light" panose="020F0302020204030204" pitchFamily="34" charset="0"/>
                <a:ea typeface="Lato" panose="020F0502020204030203" pitchFamily="34" charset="0"/>
                <a:cs typeface="Lato" panose="020F0502020204030203" pitchFamily="34" charset="0"/>
              </a:rPr>
              <a:t>0 </a:t>
            </a:r>
            <a:r>
              <a:rPr lang="fr-FR" sz="1100">
                <a:solidFill>
                  <a:srgbClr val="76C453"/>
                </a:solidFill>
                <a:latin typeface="Calibri Light" panose="020F0302020204030204" pitchFamily="34" charset="0"/>
                <a:ea typeface="Lato" panose="020F0502020204030203" pitchFamily="34" charset="0"/>
                <a:cs typeface="Lato" panose="020F0502020204030203" pitchFamily="34" charset="0"/>
              </a:rPr>
              <a:t>%</a:t>
            </a:r>
          </a:p>
        </xdr:txBody>
      </xdr:sp>
      <xdr:sp macro="" textlink="">
        <xdr:nvSpPr>
          <xdr:cNvPr id="75" name="Rectangle 74">
            <a:extLst>
              <a:ext uri="{FF2B5EF4-FFF2-40B4-BE49-F238E27FC236}">
                <a16:creationId xmlns:a16="http://schemas.microsoft.com/office/drawing/2014/main" id="{00000000-0008-0000-0D00-00004B000000}"/>
              </a:ext>
            </a:extLst>
          </xdr:cNvPr>
          <xdr:cNvSpPr/>
        </xdr:nvSpPr>
        <xdr:spPr>
          <a:xfrm>
            <a:off x="4295745" y="1546865"/>
            <a:ext cx="260251" cy="214210"/>
          </a:xfrm>
          <a:prstGeom prst="rect">
            <a:avLst/>
          </a:prstGeom>
          <a:ln>
            <a:noFill/>
          </a:ln>
        </xdr:spPr>
        <xdr:txBody>
          <a:bodyPr vert="horz" wrap="square" lIns="0" tIns="0" rIns="0" bIns="0" rtlCol="0">
            <a:no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nSpc>
                <a:spcPct val="107000"/>
              </a:lnSpc>
              <a:spcAft>
                <a:spcPts val="800"/>
              </a:spcAft>
            </a:pPr>
            <a:r>
              <a:rPr lang="fr-FR" sz="1250">
                <a:solidFill>
                  <a:srgbClr val="76C453"/>
                </a:solidFill>
                <a:effectLst/>
                <a:latin typeface="Calibri Light" panose="020F0302020204030204" pitchFamily="34" charset="0"/>
                <a:ea typeface="Lato" panose="020F0502020204030203" pitchFamily="34" charset="0"/>
                <a:cs typeface="Lato" panose="020F0502020204030203" pitchFamily="34" charset="0"/>
              </a:rPr>
              <a:t> </a:t>
            </a:r>
            <a:endParaRPr lang="fr-FR" sz="1100">
              <a:solidFill>
                <a:srgbClr val="000000"/>
              </a:solidFill>
              <a:effectLst/>
              <a:latin typeface="Calibri Light" panose="020F0302020204030204" pitchFamily="34" charset="0"/>
              <a:ea typeface="Calibri" panose="020F0502020204030204" pitchFamily="34" charset="0"/>
              <a:cs typeface="Calibri" panose="020F0502020204030204" pitchFamily="34" charset="0"/>
            </a:endParaRPr>
          </a:p>
        </xdr:txBody>
      </xdr:sp>
      <xdr:pic>
        <xdr:nvPicPr>
          <xdr:cNvPr id="76" name="Picture 309">
            <a:extLst>
              <a:ext uri="{FF2B5EF4-FFF2-40B4-BE49-F238E27FC236}">
                <a16:creationId xmlns:a16="http://schemas.microsoft.com/office/drawing/2014/main" id="{00000000-0008-0000-0D00-00004C000000}"/>
              </a:ext>
            </a:extLst>
          </xdr:cNvPr>
          <xdr:cNvPicPr/>
        </xdr:nvPicPr>
        <xdr:blipFill>
          <a:blip xmlns:r="http://schemas.openxmlformats.org/officeDocument/2006/relationships" r:embed="rId3"/>
          <a:stretch>
            <a:fillRect/>
          </a:stretch>
        </xdr:blipFill>
        <xdr:spPr>
          <a:xfrm>
            <a:off x="1648724" y="1729310"/>
            <a:ext cx="162941" cy="567590"/>
          </a:xfrm>
          <a:prstGeom prst="rect">
            <a:avLst/>
          </a:prstGeom>
        </xdr:spPr>
      </xdr:pic>
      <xdr:sp macro="" textlink="">
        <xdr:nvSpPr>
          <xdr:cNvPr id="77" name="Shape 334">
            <a:extLst>
              <a:ext uri="{FF2B5EF4-FFF2-40B4-BE49-F238E27FC236}">
                <a16:creationId xmlns:a16="http://schemas.microsoft.com/office/drawing/2014/main" id="{00000000-0008-0000-0D00-00004D000000}"/>
              </a:ext>
            </a:extLst>
          </xdr:cNvPr>
          <xdr:cNvSpPr/>
        </xdr:nvSpPr>
        <xdr:spPr>
          <a:xfrm>
            <a:off x="1670333" y="1758637"/>
            <a:ext cx="119722" cy="262639"/>
          </a:xfrm>
          <a:custGeom>
            <a:avLst/>
            <a:gdLst/>
            <a:ahLst/>
            <a:cxnLst/>
            <a:rect l="0" t="0" r="0" b="0"/>
            <a:pathLst>
              <a:path w="91821" h="259512">
                <a:moveTo>
                  <a:pt x="0" y="0"/>
                </a:moveTo>
                <a:lnTo>
                  <a:pt x="91821" y="0"/>
                </a:lnTo>
                <a:lnTo>
                  <a:pt x="91821" y="259512"/>
                </a:lnTo>
                <a:lnTo>
                  <a:pt x="0" y="259512"/>
                </a:lnTo>
                <a:lnTo>
                  <a:pt x="0" y="0"/>
                </a:lnTo>
              </a:path>
            </a:pathLst>
          </a:custGeom>
          <a:ln w="0" cap="flat">
            <a:miter lim="127000"/>
          </a:ln>
        </xdr:spPr>
        <xdr:style>
          <a:lnRef idx="0">
            <a:srgbClr val="000000">
              <a:alpha val="0"/>
            </a:srgbClr>
          </a:lnRef>
          <a:fillRef idx="1">
            <a:srgbClr val="DD453C"/>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78" name="Rectangle 77">
            <a:extLst>
              <a:ext uri="{FF2B5EF4-FFF2-40B4-BE49-F238E27FC236}">
                <a16:creationId xmlns:a16="http://schemas.microsoft.com/office/drawing/2014/main" id="{00000000-0008-0000-0D00-00004E000000}"/>
              </a:ext>
            </a:extLst>
          </xdr:cNvPr>
          <xdr:cNvSpPr/>
        </xdr:nvSpPr>
        <xdr:spPr>
          <a:xfrm>
            <a:off x="1541716" y="1549341"/>
            <a:ext cx="471705" cy="214210"/>
          </a:xfrm>
          <a:prstGeom prst="rect">
            <a:avLst/>
          </a:prstGeom>
          <a:ln>
            <a:noFill/>
          </a:ln>
        </xdr:spPr>
        <xdr:txBody>
          <a:bodyPr vert="horz" wrap="square" lIns="0" tIns="0" rIns="0" bIns="0" rtlCol="0">
            <a:no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lnSpc>
                <a:spcPct val="107000"/>
              </a:lnSpc>
              <a:spcAft>
                <a:spcPts val="800"/>
              </a:spcAft>
            </a:pPr>
            <a:r>
              <a:rPr lang="fr-FR" sz="1250">
                <a:solidFill>
                  <a:srgbClr val="C00000"/>
                </a:solidFill>
                <a:effectLst/>
                <a:latin typeface="Calibri Light" panose="020F0302020204030204" pitchFamily="34" charset="0"/>
                <a:ea typeface="Lato" panose="020F0502020204030203" pitchFamily="34" charset="0"/>
                <a:cs typeface="Lato" panose="020F0502020204030203" pitchFamily="34" charset="0"/>
              </a:rPr>
              <a:t>100 %</a:t>
            </a:r>
            <a:endParaRPr lang="fr-FR" sz="1100">
              <a:solidFill>
                <a:srgbClr val="C00000"/>
              </a:solidFill>
              <a:effectLst/>
              <a:latin typeface="Calibri Light" panose="020F0302020204030204" pitchFamily="34" charset="0"/>
              <a:ea typeface="Calibri" panose="020F0502020204030204" pitchFamily="34" charset="0"/>
              <a:cs typeface="Calibri" panose="020F0502020204030204" pitchFamily="34" charset="0"/>
            </a:endParaRPr>
          </a:p>
        </xdr:txBody>
      </xdr:sp>
      <xdr:pic>
        <xdr:nvPicPr>
          <xdr:cNvPr id="79" name="Picture 311">
            <a:extLst>
              <a:ext uri="{FF2B5EF4-FFF2-40B4-BE49-F238E27FC236}">
                <a16:creationId xmlns:a16="http://schemas.microsoft.com/office/drawing/2014/main" id="{00000000-0008-0000-0D00-00004F000000}"/>
              </a:ext>
            </a:extLst>
          </xdr:cNvPr>
          <xdr:cNvPicPr/>
        </xdr:nvPicPr>
        <xdr:blipFill>
          <a:blip xmlns:r="http://schemas.openxmlformats.org/officeDocument/2006/relationships" r:embed="rId4"/>
          <a:stretch>
            <a:fillRect/>
          </a:stretch>
        </xdr:blipFill>
        <xdr:spPr>
          <a:xfrm>
            <a:off x="6856939" y="1729311"/>
            <a:ext cx="166915" cy="567590"/>
          </a:xfrm>
          <a:prstGeom prst="rect">
            <a:avLst/>
          </a:prstGeom>
        </xdr:spPr>
      </xdr:pic>
      <xdr:sp macro="" textlink="">
        <xdr:nvSpPr>
          <xdr:cNvPr id="80" name="Shape 30">
            <a:extLst>
              <a:ext uri="{FF2B5EF4-FFF2-40B4-BE49-F238E27FC236}">
                <a16:creationId xmlns:a16="http://schemas.microsoft.com/office/drawing/2014/main" id="{00000000-0008-0000-0D00-000050000000}"/>
              </a:ext>
            </a:extLst>
          </xdr:cNvPr>
          <xdr:cNvSpPr/>
        </xdr:nvSpPr>
        <xdr:spPr>
          <a:xfrm>
            <a:off x="7536628" y="1735390"/>
            <a:ext cx="155274" cy="559339"/>
          </a:xfrm>
          <a:custGeom>
            <a:avLst/>
            <a:gdLst/>
            <a:ahLst/>
            <a:cxnLst/>
            <a:rect l="0" t="0" r="0" b="0"/>
            <a:pathLst>
              <a:path w="119088" h="552679">
                <a:moveTo>
                  <a:pt x="0" y="552679"/>
                </a:moveTo>
                <a:lnTo>
                  <a:pt x="119088" y="552679"/>
                </a:lnTo>
                <a:lnTo>
                  <a:pt x="119088" y="0"/>
                </a:lnTo>
                <a:lnTo>
                  <a:pt x="0" y="0"/>
                </a:lnTo>
                <a:close/>
              </a:path>
            </a:pathLst>
          </a:custGeom>
          <a:ln w="3175" cap="flat">
            <a:miter lim="127000"/>
          </a:ln>
        </xdr:spPr>
        <xdr:style>
          <a:lnRef idx="1">
            <a:srgbClr val="000000">
              <a:alpha val="0"/>
            </a:srgbClr>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81" name="Shape 335">
            <a:extLst>
              <a:ext uri="{FF2B5EF4-FFF2-40B4-BE49-F238E27FC236}">
                <a16:creationId xmlns:a16="http://schemas.microsoft.com/office/drawing/2014/main" id="{00000000-0008-0000-0D00-000051000000}"/>
              </a:ext>
            </a:extLst>
          </xdr:cNvPr>
          <xdr:cNvSpPr/>
        </xdr:nvSpPr>
        <xdr:spPr>
          <a:xfrm>
            <a:off x="6880535" y="1758638"/>
            <a:ext cx="119722" cy="262639"/>
          </a:xfrm>
          <a:custGeom>
            <a:avLst/>
            <a:gdLst/>
            <a:ahLst/>
            <a:cxnLst/>
            <a:rect l="0" t="0" r="0" b="0"/>
            <a:pathLst>
              <a:path w="91821" h="259512">
                <a:moveTo>
                  <a:pt x="0" y="0"/>
                </a:moveTo>
                <a:lnTo>
                  <a:pt x="91821" y="0"/>
                </a:lnTo>
                <a:lnTo>
                  <a:pt x="91821" y="259512"/>
                </a:lnTo>
                <a:lnTo>
                  <a:pt x="0" y="259512"/>
                </a:lnTo>
                <a:lnTo>
                  <a:pt x="0" y="0"/>
                </a:lnTo>
              </a:path>
            </a:pathLst>
          </a:custGeom>
          <a:ln w="0" cap="flat">
            <a:miter lim="127000"/>
          </a:ln>
        </xdr:spPr>
        <xdr:style>
          <a:lnRef idx="0">
            <a:srgbClr val="000000">
              <a:alpha val="0"/>
            </a:srgbClr>
          </a:lnRef>
          <a:fillRef idx="1">
            <a:srgbClr val="DD453C"/>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82" name="Rectangle 81">
            <a:extLst>
              <a:ext uri="{FF2B5EF4-FFF2-40B4-BE49-F238E27FC236}">
                <a16:creationId xmlns:a16="http://schemas.microsoft.com/office/drawing/2014/main" id="{00000000-0008-0000-0D00-000052000000}"/>
              </a:ext>
            </a:extLst>
          </xdr:cNvPr>
          <xdr:cNvSpPr/>
        </xdr:nvSpPr>
        <xdr:spPr>
          <a:xfrm>
            <a:off x="6744631" y="1549342"/>
            <a:ext cx="471705" cy="214210"/>
          </a:xfrm>
          <a:prstGeom prst="rect">
            <a:avLst/>
          </a:prstGeom>
          <a:ln>
            <a:noFill/>
          </a:ln>
        </xdr:spPr>
        <xdr:txBody>
          <a:bodyPr vert="horz" wrap="square" lIns="0" tIns="0" rIns="0" bIns="0" rtlCol="0">
            <a:no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lnSpc>
                <a:spcPct val="107000"/>
              </a:lnSpc>
              <a:spcAft>
                <a:spcPts val="800"/>
              </a:spcAft>
            </a:pPr>
            <a:r>
              <a:rPr lang="fr-FR" sz="1250">
                <a:solidFill>
                  <a:srgbClr val="C00000"/>
                </a:solidFill>
                <a:effectLst/>
                <a:latin typeface="Calibri Light" panose="020F0302020204030204" pitchFamily="34" charset="0"/>
                <a:ea typeface="Lato" panose="020F0502020204030203" pitchFamily="34" charset="0"/>
                <a:cs typeface="Lato" panose="020F0502020204030203" pitchFamily="34" charset="0"/>
              </a:rPr>
              <a:t>100 %</a:t>
            </a:r>
            <a:endParaRPr lang="fr-FR" sz="1100">
              <a:solidFill>
                <a:srgbClr val="C00000"/>
              </a:solidFill>
              <a:effectLst/>
              <a:latin typeface="Calibri Light" panose="020F0302020204030204" pitchFamily="34" charset="0"/>
              <a:ea typeface="Calibri" panose="020F0502020204030204" pitchFamily="34" charset="0"/>
              <a:cs typeface="Calibri" panose="020F0502020204030204" pitchFamily="34" charset="0"/>
            </a:endParaRPr>
          </a:p>
        </xdr:txBody>
      </xdr:sp>
      <xdr:pic>
        <xdr:nvPicPr>
          <xdr:cNvPr id="83" name="Picture 310">
            <a:extLst>
              <a:ext uri="{FF2B5EF4-FFF2-40B4-BE49-F238E27FC236}">
                <a16:creationId xmlns:a16="http://schemas.microsoft.com/office/drawing/2014/main" id="{00000000-0008-0000-0D00-000053000000}"/>
              </a:ext>
            </a:extLst>
          </xdr:cNvPr>
          <xdr:cNvPicPr/>
        </xdr:nvPicPr>
        <xdr:blipFill>
          <a:blip xmlns:r="http://schemas.openxmlformats.org/officeDocument/2006/relationships" r:embed="rId5"/>
          <a:stretch>
            <a:fillRect/>
          </a:stretch>
        </xdr:blipFill>
        <xdr:spPr>
          <a:xfrm>
            <a:off x="2939936" y="1729311"/>
            <a:ext cx="166915" cy="567590"/>
          </a:xfrm>
          <a:prstGeom prst="rect">
            <a:avLst/>
          </a:prstGeom>
        </xdr:spPr>
      </xdr:pic>
      <xdr:sp macro="" textlink="">
        <xdr:nvSpPr>
          <xdr:cNvPr id="84" name="Shape 336">
            <a:extLst>
              <a:ext uri="{FF2B5EF4-FFF2-40B4-BE49-F238E27FC236}">
                <a16:creationId xmlns:a16="http://schemas.microsoft.com/office/drawing/2014/main" id="{00000000-0008-0000-0D00-000054000000}"/>
              </a:ext>
            </a:extLst>
          </xdr:cNvPr>
          <xdr:cNvSpPr/>
        </xdr:nvSpPr>
        <xdr:spPr>
          <a:xfrm>
            <a:off x="2963532" y="1758638"/>
            <a:ext cx="119722" cy="262639"/>
          </a:xfrm>
          <a:custGeom>
            <a:avLst/>
            <a:gdLst/>
            <a:ahLst/>
            <a:cxnLst/>
            <a:rect l="0" t="0" r="0" b="0"/>
            <a:pathLst>
              <a:path w="91821" h="259512">
                <a:moveTo>
                  <a:pt x="0" y="0"/>
                </a:moveTo>
                <a:lnTo>
                  <a:pt x="91821" y="0"/>
                </a:lnTo>
                <a:lnTo>
                  <a:pt x="91821" y="259512"/>
                </a:lnTo>
                <a:lnTo>
                  <a:pt x="0" y="259512"/>
                </a:lnTo>
                <a:lnTo>
                  <a:pt x="0" y="0"/>
                </a:lnTo>
              </a:path>
            </a:pathLst>
          </a:custGeom>
          <a:ln w="0" cap="flat">
            <a:miter lim="127000"/>
          </a:ln>
        </xdr:spPr>
        <xdr:style>
          <a:lnRef idx="0">
            <a:srgbClr val="000000">
              <a:alpha val="0"/>
            </a:srgbClr>
          </a:lnRef>
          <a:fillRef idx="1">
            <a:srgbClr val="CED542"/>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85" name="Rectangle 84">
            <a:extLst>
              <a:ext uri="{FF2B5EF4-FFF2-40B4-BE49-F238E27FC236}">
                <a16:creationId xmlns:a16="http://schemas.microsoft.com/office/drawing/2014/main" id="{00000000-0008-0000-0D00-000055000000}"/>
              </a:ext>
            </a:extLst>
          </xdr:cNvPr>
          <xdr:cNvSpPr/>
        </xdr:nvSpPr>
        <xdr:spPr>
          <a:xfrm>
            <a:off x="2861809" y="1542965"/>
            <a:ext cx="434333" cy="226964"/>
          </a:xfrm>
          <a:prstGeom prst="rect">
            <a:avLst/>
          </a:prstGeom>
          <a:ln>
            <a:noFill/>
          </a:ln>
        </xdr:spPr>
        <xdr:txBody>
          <a:bodyPr vert="horz" wrap="square" lIns="0" tIns="0" rIns="0" bIns="0" rtlCol="0">
            <a:no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lnSpc>
                <a:spcPct val="107000"/>
              </a:lnSpc>
              <a:spcAft>
                <a:spcPts val="800"/>
              </a:spcAft>
            </a:pPr>
            <a:r>
              <a:rPr lang="fr-FR" sz="1250">
                <a:solidFill>
                  <a:srgbClr val="CED542"/>
                </a:solidFill>
                <a:latin typeface="Calibri Light" panose="020F0302020204030204" pitchFamily="34" charset="0"/>
                <a:ea typeface="Lato" panose="020F0502020204030203" pitchFamily="34" charset="0"/>
                <a:cs typeface="Lato" panose="020F0502020204030203" pitchFamily="34" charset="0"/>
              </a:rPr>
              <a:t>50 %</a:t>
            </a:r>
          </a:p>
        </xdr:txBody>
      </xdr:sp>
      <xdr:pic>
        <xdr:nvPicPr>
          <xdr:cNvPr id="86" name="Picture 312">
            <a:extLst>
              <a:ext uri="{FF2B5EF4-FFF2-40B4-BE49-F238E27FC236}">
                <a16:creationId xmlns:a16="http://schemas.microsoft.com/office/drawing/2014/main" id="{00000000-0008-0000-0D00-000056000000}"/>
              </a:ext>
            </a:extLst>
          </xdr:cNvPr>
          <xdr:cNvPicPr/>
        </xdr:nvPicPr>
        <xdr:blipFill>
          <a:blip xmlns:r="http://schemas.openxmlformats.org/officeDocument/2006/relationships" r:embed="rId5"/>
          <a:stretch>
            <a:fillRect/>
          </a:stretch>
        </xdr:blipFill>
        <xdr:spPr>
          <a:xfrm>
            <a:off x="5555301" y="1729311"/>
            <a:ext cx="166915" cy="567590"/>
          </a:xfrm>
          <a:prstGeom prst="rect">
            <a:avLst/>
          </a:prstGeom>
        </xdr:spPr>
      </xdr:pic>
      <xdr:sp macro="" textlink="">
        <xdr:nvSpPr>
          <xdr:cNvPr id="87" name="Shape 337">
            <a:extLst>
              <a:ext uri="{FF2B5EF4-FFF2-40B4-BE49-F238E27FC236}">
                <a16:creationId xmlns:a16="http://schemas.microsoft.com/office/drawing/2014/main" id="{00000000-0008-0000-0D00-000057000000}"/>
              </a:ext>
            </a:extLst>
          </xdr:cNvPr>
          <xdr:cNvSpPr/>
        </xdr:nvSpPr>
        <xdr:spPr>
          <a:xfrm>
            <a:off x="5578897" y="1758638"/>
            <a:ext cx="119722" cy="262639"/>
          </a:xfrm>
          <a:custGeom>
            <a:avLst/>
            <a:gdLst/>
            <a:ahLst/>
            <a:cxnLst/>
            <a:rect l="0" t="0" r="0" b="0"/>
            <a:pathLst>
              <a:path w="91821" h="259512">
                <a:moveTo>
                  <a:pt x="0" y="0"/>
                </a:moveTo>
                <a:lnTo>
                  <a:pt x="91821" y="0"/>
                </a:lnTo>
                <a:lnTo>
                  <a:pt x="91821" y="259512"/>
                </a:lnTo>
                <a:lnTo>
                  <a:pt x="0" y="259512"/>
                </a:lnTo>
                <a:lnTo>
                  <a:pt x="0" y="0"/>
                </a:lnTo>
              </a:path>
            </a:pathLst>
          </a:custGeom>
          <a:ln w="0" cap="flat">
            <a:miter lim="127000"/>
          </a:ln>
        </xdr:spPr>
        <xdr:style>
          <a:lnRef idx="0">
            <a:srgbClr val="000000">
              <a:alpha val="0"/>
            </a:srgbClr>
          </a:lnRef>
          <a:fillRef idx="1">
            <a:srgbClr val="CED542"/>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88" name="Rectangle 87">
            <a:extLst>
              <a:ext uri="{FF2B5EF4-FFF2-40B4-BE49-F238E27FC236}">
                <a16:creationId xmlns:a16="http://schemas.microsoft.com/office/drawing/2014/main" id="{00000000-0008-0000-0D00-000058000000}"/>
              </a:ext>
            </a:extLst>
          </xdr:cNvPr>
          <xdr:cNvSpPr/>
        </xdr:nvSpPr>
        <xdr:spPr>
          <a:xfrm>
            <a:off x="5425508" y="1544583"/>
            <a:ext cx="429562" cy="223729"/>
          </a:xfrm>
          <a:prstGeom prst="rect">
            <a:avLst/>
          </a:prstGeom>
          <a:ln>
            <a:noFill/>
          </a:ln>
        </xdr:spPr>
        <xdr:txBody>
          <a:bodyPr vert="horz" wrap="square" lIns="0" tIns="0" rIns="0" bIns="0" rtlCol="0">
            <a:no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lnSpc>
                <a:spcPct val="107000"/>
              </a:lnSpc>
              <a:spcAft>
                <a:spcPts val="800"/>
              </a:spcAft>
            </a:pPr>
            <a:r>
              <a:rPr lang="fr-FR" sz="1250">
                <a:solidFill>
                  <a:srgbClr val="CED542"/>
                </a:solidFill>
                <a:latin typeface="Calibri Light" panose="020F0302020204030204" pitchFamily="34" charset="0"/>
                <a:ea typeface="Lato" panose="020F0502020204030203" pitchFamily="34" charset="0"/>
                <a:cs typeface="Lato" panose="020F0502020204030203" pitchFamily="34" charset="0"/>
              </a:rPr>
              <a:t>50 %</a:t>
            </a:r>
          </a:p>
        </xdr:txBody>
      </xdr:sp>
      <xdr:sp macro="" textlink="">
        <xdr:nvSpPr>
          <xdr:cNvPr id="89" name="Rectangle 88">
            <a:extLst>
              <a:ext uri="{FF2B5EF4-FFF2-40B4-BE49-F238E27FC236}">
                <a16:creationId xmlns:a16="http://schemas.microsoft.com/office/drawing/2014/main" id="{00000000-0008-0000-0D00-000059000000}"/>
              </a:ext>
            </a:extLst>
          </xdr:cNvPr>
          <xdr:cNvSpPr/>
        </xdr:nvSpPr>
        <xdr:spPr>
          <a:xfrm>
            <a:off x="1922161" y="2359821"/>
            <a:ext cx="1651522" cy="280526"/>
          </a:xfrm>
          <a:prstGeom prst="rect">
            <a:avLst/>
          </a:prstGeom>
          <a:ln>
            <a:noFill/>
          </a:ln>
        </xdr:spPr>
        <xdr:txBody>
          <a:bodyPr vert="horz" wrap="square" lIns="0" tIns="0" rIns="0" bIns="0" rtlCol="0">
            <a:no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lnSpc>
                <a:spcPct val="107000"/>
              </a:lnSpc>
              <a:spcAft>
                <a:spcPts val="800"/>
              </a:spcAft>
            </a:pPr>
            <a:r>
              <a:rPr lang="fr-FR" sz="1250">
                <a:solidFill>
                  <a:sysClr val="windowText" lastClr="000000"/>
                </a:solidFill>
                <a:effectLst/>
                <a:latin typeface="Calibri Light" panose="020F0302020204030204" pitchFamily="34" charset="0"/>
                <a:ea typeface="Lato" panose="020F0502020204030203" pitchFamily="34" charset="0"/>
                <a:cs typeface="Lato" panose="020F0502020204030203" pitchFamily="34" charset="0"/>
              </a:rPr>
              <a:t>Effet anti oestrogénique</a:t>
            </a:r>
          </a:p>
        </xdr:txBody>
      </xdr:sp>
      <xdr:sp macro="" textlink="">
        <xdr:nvSpPr>
          <xdr:cNvPr id="90" name="Shape 59">
            <a:extLst>
              <a:ext uri="{FF2B5EF4-FFF2-40B4-BE49-F238E27FC236}">
                <a16:creationId xmlns:a16="http://schemas.microsoft.com/office/drawing/2014/main" id="{00000000-0008-0000-0D00-00005A000000}"/>
              </a:ext>
            </a:extLst>
          </xdr:cNvPr>
          <xdr:cNvSpPr/>
        </xdr:nvSpPr>
        <xdr:spPr>
          <a:xfrm>
            <a:off x="4321750" y="2113920"/>
            <a:ext cx="40948" cy="305457"/>
          </a:xfrm>
          <a:custGeom>
            <a:avLst/>
            <a:gdLst/>
            <a:ahLst/>
            <a:cxnLst/>
            <a:rect l="0" t="0" r="0" b="0"/>
            <a:pathLst>
              <a:path h="663715">
                <a:moveTo>
                  <a:pt x="0" y="0"/>
                </a:moveTo>
                <a:lnTo>
                  <a:pt x="0" y="663715"/>
                </a:lnTo>
              </a:path>
            </a:pathLst>
          </a:custGeom>
          <a:ln w="12700" cap="rnd">
            <a:custDash>
              <a:ds d="10000" sp="300000"/>
            </a:custDash>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endParaRPr lang="fr-FR">
              <a:latin typeface="Calibri Light" panose="020F0302020204030204" pitchFamily="34" charset="0"/>
            </a:endParaRPr>
          </a:p>
        </xdr:txBody>
      </xdr:sp>
      <xdr:sp macro="" textlink="">
        <xdr:nvSpPr>
          <xdr:cNvPr id="91" name="Shape 62">
            <a:extLst>
              <a:ext uri="{FF2B5EF4-FFF2-40B4-BE49-F238E27FC236}">
                <a16:creationId xmlns:a16="http://schemas.microsoft.com/office/drawing/2014/main" id="{00000000-0008-0000-0D00-00005B000000}"/>
              </a:ext>
            </a:extLst>
          </xdr:cNvPr>
          <xdr:cNvSpPr/>
        </xdr:nvSpPr>
        <xdr:spPr>
          <a:xfrm>
            <a:off x="367064" y="2341501"/>
            <a:ext cx="828" cy="0"/>
          </a:xfrm>
          <a:custGeom>
            <a:avLst/>
            <a:gdLst/>
            <a:ahLst/>
            <a:cxnLst/>
            <a:rect l="0" t="0" r="0" b="0"/>
            <a:pathLst>
              <a:path w="635">
                <a:moveTo>
                  <a:pt x="0" y="0"/>
                </a:moveTo>
                <a:lnTo>
                  <a:pt x="635"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92" name="Shape 63">
            <a:extLst>
              <a:ext uri="{FF2B5EF4-FFF2-40B4-BE49-F238E27FC236}">
                <a16:creationId xmlns:a16="http://schemas.microsoft.com/office/drawing/2014/main" id="{00000000-0008-0000-0D00-00005C000000}"/>
              </a:ext>
            </a:extLst>
          </xdr:cNvPr>
          <xdr:cNvSpPr/>
        </xdr:nvSpPr>
        <xdr:spPr>
          <a:xfrm>
            <a:off x="417713" y="2344963"/>
            <a:ext cx="3887621" cy="0"/>
          </a:xfrm>
          <a:custGeom>
            <a:avLst/>
            <a:gdLst/>
            <a:ahLst/>
            <a:cxnLst/>
            <a:rect l="0" t="0" r="0" b="0"/>
            <a:pathLst>
              <a:path w="2981617">
                <a:moveTo>
                  <a:pt x="0" y="0"/>
                </a:moveTo>
                <a:lnTo>
                  <a:pt x="2981617" y="0"/>
                </a:lnTo>
              </a:path>
            </a:pathLst>
          </a:custGeom>
          <a:ln w="12700" cap="rnd">
            <a:custDash>
              <a:ds d="10000" sp="300900"/>
            </a:custDash>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93" name="Shape 64">
            <a:extLst>
              <a:ext uri="{FF2B5EF4-FFF2-40B4-BE49-F238E27FC236}">
                <a16:creationId xmlns:a16="http://schemas.microsoft.com/office/drawing/2014/main" id="{00000000-0008-0000-0D00-00005D000000}"/>
              </a:ext>
            </a:extLst>
          </xdr:cNvPr>
          <xdr:cNvSpPr/>
        </xdr:nvSpPr>
        <xdr:spPr>
          <a:xfrm>
            <a:off x="4330248" y="2341501"/>
            <a:ext cx="828" cy="0"/>
          </a:xfrm>
          <a:custGeom>
            <a:avLst/>
            <a:gdLst/>
            <a:ahLst/>
            <a:cxnLst/>
            <a:rect l="0" t="0" r="0" b="0"/>
            <a:pathLst>
              <a:path w="635">
                <a:moveTo>
                  <a:pt x="0" y="0"/>
                </a:moveTo>
                <a:lnTo>
                  <a:pt x="635"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94" name="Shape 65">
            <a:extLst>
              <a:ext uri="{FF2B5EF4-FFF2-40B4-BE49-F238E27FC236}">
                <a16:creationId xmlns:a16="http://schemas.microsoft.com/office/drawing/2014/main" id="{00000000-0008-0000-0D00-00005E000000}"/>
              </a:ext>
            </a:extLst>
          </xdr:cNvPr>
          <xdr:cNvSpPr/>
        </xdr:nvSpPr>
        <xdr:spPr>
          <a:xfrm>
            <a:off x="429779" y="2390180"/>
            <a:ext cx="579" cy="450"/>
          </a:xfrm>
          <a:custGeom>
            <a:avLst/>
            <a:gdLst/>
            <a:ahLst/>
            <a:cxnLst/>
            <a:rect l="0" t="0" r="0" b="0"/>
            <a:pathLst>
              <a:path w="444" h="445">
                <a:moveTo>
                  <a:pt x="444" y="445"/>
                </a:moveTo>
                <a:lnTo>
                  <a:pt x="0"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95" name="Shape 66">
            <a:extLst>
              <a:ext uri="{FF2B5EF4-FFF2-40B4-BE49-F238E27FC236}">
                <a16:creationId xmlns:a16="http://schemas.microsoft.com/office/drawing/2014/main" id="{00000000-0008-0000-0D00-00005F000000}"/>
              </a:ext>
            </a:extLst>
          </xdr:cNvPr>
          <xdr:cNvSpPr/>
        </xdr:nvSpPr>
        <xdr:spPr>
          <a:xfrm>
            <a:off x="382925" y="2353813"/>
            <a:ext cx="16294" cy="12648"/>
          </a:xfrm>
          <a:custGeom>
            <a:avLst/>
            <a:gdLst/>
            <a:ahLst/>
            <a:cxnLst/>
            <a:rect l="0" t="0" r="0" b="0"/>
            <a:pathLst>
              <a:path w="12497" h="12497">
                <a:moveTo>
                  <a:pt x="12497" y="12497"/>
                </a:moveTo>
                <a:lnTo>
                  <a:pt x="0" y="0"/>
                </a:lnTo>
              </a:path>
            </a:pathLst>
          </a:custGeom>
          <a:ln w="12700" cap="rnd">
            <a:custDash>
              <a:ds d="8700" sp="260900"/>
            </a:custDash>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96" name="Shape 67">
            <a:extLst>
              <a:ext uri="{FF2B5EF4-FFF2-40B4-BE49-F238E27FC236}">
                <a16:creationId xmlns:a16="http://schemas.microsoft.com/office/drawing/2014/main" id="{00000000-0008-0000-0D00-000060000000}"/>
              </a:ext>
            </a:extLst>
          </xdr:cNvPr>
          <xdr:cNvSpPr/>
        </xdr:nvSpPr>
        <xdr:spPr>
          <a:xfrm>
            <a:off x="367071" y="2341044"/>
            <a:ext cx="579" cy="913"/>
          </a:xfrm>
          <a:custGeom>
            <a:avLst/>
            <a:gdLst/>
            <a:ahLst/>
            <a:cxnLst/>
            <a:rect l="0" t="0" r="0" b="0"/>
            <a:pathLst>
              <a:path w="444" h="902">
                <a:moveTo>
                  <a:pt x="444" y="902"/>
                </a:moveTo>
                <a:lnTo>
                  <a:pt x="0" y="457"/>
                </a:lnTo>
                <a:lnTo>
                  <a:pt x="444"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97" name="Shape 68">
            <a:extLst>
              <a:ext uri="{FF2B5EF4-FFF2-40B4-BE49-F238E27FC236}">
                <a16:creationId xmlns:a16="http://schemas.microsoft.com/office/drawing/2014/main" id="{00000000-0008-0000-0D00-000061000000}"/>
              </a:ext>
            </a:extLst>
          </xdr:cNvPr>
          <xdr:cNvSpPr/>
        </xdr:nvSpPr>
        <xdr:spPr>
          <a:xfrm>
            <a:off x="398202" y="2304685"/>
            <a:ext cx="16294" cy="12648"/>
          </a:xfrm>
          <a:custGeom>
            <a:avLst/>
            <a:gdLst/>
            <a:ahLst/>
            <a:cxnLst/>
            <a:rect l="0" t="0" r="0" b="0"/>
            <a:pathLst>
              <a:path w="12497" h="12497">
                <a:moveTo>
                  <a:pt x="0" y="12497"/>
                </a:moveTo>
                <a:lnTo>
                  <a:pt x="12497" y="0"/>
                </a:lnTo>
              </a:path>
            </a:pathLst>
          </a:custGeom>
          <a:ln w="12700" cap="rnd">
            <a:custDash>
              <a:ds d="8700" sp="260900"/>
            </a:custDash>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98" name="Shape 69">
            <a:extLst>
              <a:ext uri="{FF2B5EF4-FFF2-40B4-BE49-F238E27FC236}">
                <a16:creationId xmlns:a16="http://schemas.microsoft.com/office/drawing/2014/main" id="{00000000-0008-0000-0D00-000062000000}"/>
              </a:ext>
            </a:extLst>
          </xdr:cNvPr>
          <xdr:cNvSpPr/>
        </xdr:nvSpPr>
        <xdr:spPr>
          <a:xfrm>
            <a:off x="429773" y="2292378"/>
            <a:ext cx="579" cy="450"/>
          </a:xfrm>
          <a:custGeom>
            <a:avLst/>
            <a:gdLst/>
            <a:ahLst/>
            <a:cxnLst/>
            <a:rect l="0" t="0" r="0" b="0"/>
            <a:pathLst>
              <a:path w="444" h="445">
                <a:moveTo>
                  <a:pt x="0" y="445"/>
                </a:moveTo>
                <a:lnTo>
                  <a:pt x="444"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99" name="Shape 70">
            <a:extLst>
              <a:ext uri="{FF2B5EF4-FFF2-40B4-BE49-F238E27FC236}">
                <a16:creationId xmlns:a16="http://schemas.microsoft.com/office/drawing/2014/main" id="{00000000-0008-0000-0D00-000063000000}"/>
              </a:ext>
            </a:extLst>
          </xdr:cNvPr>
          <xdr:cNvSpPr/>
        </xdr:nvSpPr>
        <xdr:spPr>
          <a:xfrm>
            <a:off x="8298817" y="2341501"/>
            <a:ext cx="828" cy="0"/>
          </a:xfrm>
          <a:custGeom>
            <a:avLst/>
            <a:gdLst/>
            <a:ahLst/>
            <a:cxnLst/>
            <a:rect l="0" t="0" r="0" b="0"/>
            <a:pathLst>
              <a:path w="635">
                <a:moveTo>
                  <a:pt x="635" y="0"/>
                </a:moveTo>
                <a:lnTo>
                  <a:pt x="0"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00" name="Shape 71">
            <a:extLst>
              <a:ext uri="{FF2B5EF4-FFF2-40B4-BE49-F238E27FC236}">
                <a16:creationId xmlns:a16="http://schemas.microsoft.com/office/drawing/2014/main" id="{00000000-0008-0000-0D00-000064000000}"/>
              </a:ext>
            </a:extLst>
          </xdr:cNvPr>
          <xdr:cNvSpPr/>
        </xdr:nvSpPr>
        <xdr:spPr>
          <a:xfrm>
            <a:off x="4356847" y="2344963"/>
            <a:ext cx="3892092" cy="0"/>
          </a:xfrm>
          <a:custGeom>
            <a:avLst/>
            <a:gdLst/>
            <a:ahLst/>
            <a:cxnLst/>
            <a:rect l="0" t="0" r="0" b="0"/>
            <a:pathLst>
              <a:path w="2985046">
                <a:moveTo>
                  <a:pt x="2985046" y="0"/>
                </a:moveTo>
                <a:lnTo>
                  <a:pt x="0" y="0"/>
                </a:lnTo>
              </a:path>
            </a:pathLst>
          </a:custGeom>
          <a:ln w="12700" cap="rnd">
            <a:custDash>
              <a:ds d="10000" sp="301200"/>
            </a:custDash>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01" name="Shape 72">
            <a:extLst>
              <a:ext uri="{FF2B5EF4-FFF2-40B4-BE49-F238E27FC236}">
                <a16:creationId xmlns:a16="http://schemas.microsoft.com/office/drawing/2014/main" id="{00000000-0008-0000-0D00-000065000000}"/>
              </a:ext>
            </a:extLst>
          </xdr:cNvPr>
          <xdr:cNvSpPr/>
        </xdr:nvSpPr>
        <xdr:spPr>
          <a:xfrm>
            <a:off x="4331075" y="2341501"/>
            <a:ext cx="828" cy="0"/>
          </a:xfrm>
          <a:custGeom>
            <a:avLst/>
            <a:gdLst/>
            <a:ahLst/>
            <a:cxnLst/>
            <a:rect l="0" t="0" r="0" b="0"/>
            <a:pathLst>
              <a:path w="635">
                <a:moveTo>
                  <a:pt x="635" y="0"/>
                </a:moveTo>
                <a:lnTo>
                  <a:pt x="0"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02" name="Shape 73">
            <a:extLst>
              <a:ext uri="{FF2B5EF4-FFF2-40B4-BE49-F238E27FC236}">
                <a16:creationId xmlns:a16="http://schemas.microsoft.com/office/drawing/2014/main" id="{00000000-0008-0000-0D00-000066000000}"/>
              </a:ext>
            </a:extLst>
          </xdr:cNvPr>
          <xdr:cNvSpPr/>
        </xdr:nvSpPr>
        <xdr:spPr>
          <a:xfrm>
            <a:off x="8236349" y="2390180"/>
            <a:ext cx="579" cy="450"/>
          </a:xfrm>
          <a:custGeom>
            <a:avLst/>
            <a:gdLst/>
            <a:ahLst/>
            <a:cxnLst/>
            <a:rect l="0" t="0" r="0" b="0"/>
            <a:pathLst>
              <a:path w="444" h="445">
                <a:moveTo>
                  <a:pt x="0" y="445"/>
                </a:moveTo>
                <a:lnTo>
                  <a:pt x="444"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03" name="Shape 74">
            <a:extLst>
              <a:ext uri="{FF2B5EF4-FFF2-40B4-BE49-F238E27FC236}">
                <a16:creationId xmlns:a16="http://schemas.microsoft.com/office/drawing/2014/main" id="{00000000-0008-0000-0D00-000067000000}"/>
              </a:ext>
            </a:extLst>
          </xdr:cNvPr>
          <xdr:cNvSpPr/>
        </xdr:nvSpPr>
        <xdr:spPr>
          <a:xfrm>
            <a:off x="8267488" y="2353813"/>
            <a:ext cx="16294" cy="12648"/>
          </a:xfrm>
          <a:custGeom>
            <a:avLst/>
            <a:gdLst/>
            <a:ahLst/>
            <a:cxnLst/>
            <a:rect l="0" t="0" r="0" b="0"/>
            <a:pathLst>
              <a:path w="12497" h="12497">
                <a:moveTo>
                  <a:pt x="0" y="12497"/>
                </a:moveTo>
                <a:lnTo>
                  <a:pt x="12497" y="0"/>
                </a:lnTo>
              </a:path>
            </a:pathLst>
          </a:custGeom>
          <a:ln w="12700" cap="rnd">
            <a:custDash>
              <a:ds d="8700" sp="260900"/>
            </a:custDash>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04" name="Shape 75">
            <a:extLst>
              <a:ext uri="{FF2B5EF4-FFF2-40B4-BE49-F238E27FC236}">
                <a16:creationId xmlns:a16="http://schemas.microsoft.com/office/drawing/2014/main" id="{00000000-0008-0000-0D00-000068000000}"/>
              </a:ext>
            </a:extLst>
          </xdr:cNvPr>
          <xdr:cNvSpPr/>
        </xdr:nvSpPr>
        <xdr:spPr>
          <a:xfrm>
            <a:off x="8299060" y="2341044"/>
            <a:ext cx="579" cy="913"/>
          </a:xfrm>
          <a:custGeom>
            <a:avLst/>
            <a:gdLst/>
            <a:ahLst/>
            <a:cxnLst/>
            <a:rect l="0" t="0" r="0" b="0"/>
            <a:pathLst>
              <a:path w="444" h="902">
                <a:moveTo>
                  <a:pt x="0" y="902"/>
                </a:moveTo>
                <a:lnTo>
                  <a:pt x="444" y="457"/>
                </a:lnTo>
                <a:lnTo>
                  <a:pt x="0"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05" name="Shape 76">
            <a:extLst>
              <a:ext uri="{FF2B5EF4-FFF2-40B4-BE49-F238E27FC236}">
                <a16:creationId xmlns:a16="http://schemas.microsoft.com/office/drawing/2014/main" id="{00000000-0008-0000-0D00-000069000000}"/>
              </a:ext>
            </a:extLst>
          </xdr:cNvPr>
          <xdr:cNvSpPr/>
        </xdr:nvSpPr>
        <xdr:spPr>
          <a:xfrm>
            <a:off x="8252210" y="2304685"/>
            <a:ext cx="16294" cy="12648"/>
          </a:xfrm>
          <a:custGeom>
            <a:avLst/>
            <a:gdLst/>
            <a:ahLst/>
            <a:cxnLst/>
            <a:rect l="0" t="0" r="0" b="0"/>
            <a:pathLst>
              <a:path w="12497" h="12497">
                <a:moveTo>
                  <a:pt x="12497" y="12497"/>
                </a:moveTo>
                <a:lnTo>
                  <a:pt x="0" y="0"/>
                </a:lnTo>
              </a:path>
            </a:pathLst>
          </a:custGeom>
          <a:ln w="12700" cap="rnd">
            <a:custDash>
              <a:ds d="8700" sp="260900"/>
            </a:custDash>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06" name="Shape 77">
            <a:extLst>
              <a:ext uri="{FF2B5EF4-FFF2-40B4-BE49-F238E27FC236}">
                <a16:creationId xmlns:a16="http://schemas.microsoft.com/office/drawing/2014/main" id="{00000000-0008-0000-0D00-00006A000000}"/>
              </a:ext>
            </a:extLst>
          </xdr:cNvPr>
          <xdr:cNvSpPr/>
        </xdr:nvSpPr>
        <xdr:spPr>
          <a:xfrm>
            <a:off x="8236357" y="2292378"/>
            <a:ext cx="579" cy="450"/>
          </a:xfrm>
          <a:custGeom>
            <a:avLst/>
            <a:gdLst/>
            <a:ahLst/>
            <a:cxnLst/>
            <a:rect l="0" t="0" r="0" b="0"/>
            <a:pathLst>
              <a:path w="444" h="445">
                <a:moveTo>
                  <a:pt x="444" y="445"/>
                </a:moveTo>
                <a:lnTo>
                  <a:pt x="0"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07" name="Rectangle 106">
            <a:extLst>
              <a:ext uri="{FF2B5EF4-FFF2-40B4-BE49-F238E27FC236}">
                <a16:creationId xmlns:a16="http://schemas.microsoft.com/office/drawing/2014/main" id="{00000000-0008-0000-0D00-00006B000000}"/>
              </a:ext>
            </a:extLst>
          </xdr:cNvPr>
          <xdr:cNvSpPr/>
        </xdr:nvSpPr>
        <xdr:spPr>
          <a:xfrm>
            <a:off x="5302211" y="2359821"/>
            <a:ext cx="1651521" cy="280527"/>
          </a:xfrm>
          <a:prstGeom prst="rect">
            <a:avLst/>
          </a:prstGeom>
          <a:ln>
            <a:noFill/>
          </a:ln>
        </xdr:spPr>
        <xdr:txBody>
          <a:bodyPr vert="horz" wrap="square" lIns="0" tIns="0" rIns="0" bIns="0" rtlCol="0">
            <a:no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lnSpc>
                <a:spcPct val="107000"/>
              </a:lnSpc>
              <a:spcAft>
                <a:spcPts val="800"/>
              </a:spcAft>
            </a:pPr>
            <a:r>
              <a:rPr lang="fr-FR" sz="1250">
                <a:solidFill>
                  <a:sysClr val="windowText" lastClr="000000"/>
                </a:solidFill>
                <a:effectLst/>
                <a:latin typeface="Calibri Light" panose="020F0302020204030204" pitchFamily="34" charset="0"/>
                <a:ea typeface="Lato" panose="020F0502020204030203" pitchFamily="34" charset="0"/>
                <a:cs typeface="Lato" panose="020F0502020204030203" pitchFamily="34" charset="0"/>
              </a:rPr>
              <a:t>Effet pro oestrogénique</a:t>
            </a:r>
          </a:p>
        </xdr:txBody>
      </xdr:sp>
      <xdr:sp macro="" textlink="">
        <xdr:nvSpPr>
          <xdr:cNvPr id="108" name="ZoneTexte 55">
            <a:extLst>
              <a:ext uri="{FF2B5EF4-FFF2-40B4-BE49-F238E27FC236}">
                <a16:creationId xmlns:a16="http://schemas.microsoft.com/office/drawing/2014/main" id="{00000000-0008-0000-0D00-00006C000000}"/>
              </a:ext>
            </a:extLst>
          </xdr:cNvPr>
          <xdr:cNvSpPr txBox="1"/>
        </xdr:nvSpPr>
        <xdr:spPr>
          <a:xfrm>
            <a:off x="7011527" y="1715956"/>
            <a:ext cx="1135621" cy="421141"/>
          </a:xfrm>
          <a:prstGeom prst="rect">
            <a:avLst/>
          </a:prstGeom>
          <a:noFill/>
        </xdr:spPr>
        <xdr:txBody>
          <a:bodyPr wrap="square" rtlCol="0">
            <a:sp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fr-FR" sz="1050">
                <a:solidFill>
                  <a:srgbClr val="C00000"/>
                </a:solidFill>
                <a:latin typeface="Calibri Light" panose="020F0302020204030204" pitchFamily="34" charset="0"/>
              </a:rPr>
              <a:t>Evènement clé physiologique</a:t>
            </a:r>
          </a:p>
        </xdr:txBody>
      </xdr:sp>
      <xdr:sp macro="" textlink="">
        <xdr:nvSpPr>
          <xdr:cNvPr id="109" name="ZoneTexte 56">
            <a:extLst>
              <a:ext uri="{FF2B5EF4-FFF2-40B4-BE49-F238E27FC236}">
                <a16:creationId xmlns:a16="http://schemas.microsoft.com/office/drawing/2014/main" id="{00000000-0008-0000-0D00-00006D000000}"/>
              </a:ext>
            </a:extLst>
          </xdr:cNvPr>
          <xdr:cNvSpPr txBox="1"/>
        </xdr:nvSpPr>
        <xdr:spPr>
          <a:xfrm>
            <a:off x="443646" y="1721744"/>
            <a:ext cx="1135621" cy="421141"/>
          </a:xfrm>
          <a:prstGeom prst="rect">
            <a:avLst/>
          </a:prstGeom>
          <a:noFill/>
        </xdr:spPr>
        <xdr:txBody>
          <a:bodyPr wrap="square" rtlCol="0">
            <a:sp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fr-FR" sz="1050">
                <a:solidFill>
                  <a:srgbClr val="C00000"/>
                </a:solidFill>
                <a:latin typeface="Calibri Light" panose="020F0302020204030204" pitchFamily="34" charset="0"/>
              </a:rPr>
              <a:t>Evènement clé physiologique</a:t>
            </a:r>
          </a:p>
        </xdr:txBody>
      </xdr:sp>
    </xdr:grpSp>
    <xdr:clientData/>
  </xdr:twoCellAnchor>
  <xdr:twoCellAnchor editAs="absolute">
    <xdr:from>
      <xdr:col>15</xdr:col>
      <xdr:colOff>452938</xdr:colOff>
      <xdr:row>15</xdr:row>
      <xdr:rowOff>189512</xdr:rowOff>
    </xdr:from>
    <xdr:to>
      <xdr:col>28</xdr:col>
      <xdr:colOff>505745</xdr:colOff>
      <xdr:row>21</xdr:row>
      <xdr:rowOff>62252</xdr:rowOff>
    </xdr:to>
    <xdr:grpSp>
      <xdr:nvGrpSpPr>
        <xdr:cNvPr id="110" name="Groupe 109">
          <a:extLst>
            <a:ext uri="{FF2B5EF4-FFF2-40B4-BE49-F238E27FC236}">
              <a16:creationId xmlns:a16="http://schemas.microsoft.com/office/drawing/2014/main" id="{00000000-0008-0000-0D00-00006E000000}"/>
            </a:ext>
          </a:extLst>
        </xdr:cNvPr>
        <xdr:cNvGrpSpPr/>
      </xdr:nvGrpSpPr>
      <xdr:grpSpPr>
        <a:xfrm>
          <a:off x="20546152" y="3836226"/>
          <a:ext cx="8425736" cy="1070169"/>
          <a:chOff x="367064" y="1542965"/>
          <a:chExt cx="7932581" cy="1097383"/>
        </a:xfrm>
      </xdr:grpSpPr>
      <xdr:sp macro="" textlink="">
        <xdr:nvSpPr>
          <xdr:cNvPr id="111" name="Shape 6">
            <a:extLst>
              <a:ext uri="{FF2B5EF4-FFF2-40B4-BE49-F238E27FC236}">
                <a16:creationId xmlns:a16="http://schemas.microsoft.com/office/drawing/2014/main" id="{00000000-0008-0000-0D00-00006F000000}"/>
              </a:ext>
            </a:extLst>
          </xdr:cNvPr>
          <xdr:cNvSpPr/>
        </xdr:nvSpPr>
        <xdr:spPr>
          <a:xfrm>
            <a:off x="435015" y="2113493"/>
            <a:ext cx="730603" cy="180817"/>
          </a:xfrm>
          <a:custGeom>
            <a:avLst/>
            <a:gdLst/>
            <a:ahLst/>
            <a:cxnLst/>
            <a:rect l="0" t="0" r="0" b="0"/>
            <a:pathLst>
              <a:path w="560337" h="178664">
                <a:moveTo>
                  <a:pt x="114402" y="0"/>
                </a:moveTo>
                <a:lnTo>
                  <a:pt x="560337" y="0"/>
                </a:lnTo>
                <a:lnTo>
                  <a:pt x="560337" y="178664"/>
                </a:lnTo>
                <a:lnTo>
                  <a:pt x="114402" y="178664"/>
                </a:lnTo>
                <a:lnTo>
                  <a:pt x="0" y="89332"/>
                </a:lnTo>
                <a:lnTo>
                  <a:pt x="114402" y="0"/>
                </a:lnTo>
                <a:close/>
              </a:path>
            </a:pathLst>
          </a:custGeom>
          <a:ln w="0" cap="flat">
            <a:miter lim="127000"/>
          </a:ln>
        </xdr:spPr>
        <xdr:style>
          <a:lnRef idx="0">
            <a:srgbClr val="000000">
              <a:alpha val="0"/>
            </a:srgbClr>
          </a:lnRef>
          <a:fillRef idx="1">
            <a:srgbClr val="DD453C"/>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12" name="Shape 322">
            <a:extLst>
              <a:ext uri="{FF2B5EF4-FFF2-40B4-BE49-F238E27FC236}">
                <a16:creationId xmlns:a16="http://schemas.microsoft.com/office/drawing/2014/main" id="{00000000-0008-0000-0D00-000070000000}"/>
              </a:ext>
            </a:extLst>
          </xdr:cNvPr>
          <xdr:cNvSpPr/>
        </xdr:nvSpPr>
        <xdr:spPr>
          <a:xfrm>
            <a:off x="1157583" y="2113911"/>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DD453C"/>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13" name="Shape 323">
            <a:extLst>
              <a:ext uri="{FF2B5EF4-FFF2-40B4-BE49-F238E27FC236}">
                <a16:creationId xmlns:a16="http://schemas.microsoft.com/office/drawing/2014/main" id="{00000000-0008-0000-0D00-000071000000}"/>
              </a:ext>
            </a:extLst>
          </xdr:cNvPr>
          <xdr:cNvSpPr/>
        </xdr:nvSpPr>
        <xdr:spPr>
          <a:xfrm>
            <a:off x="1740131" y="2113911"/>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FADD39"/>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14" name="Shape 324">
            <a:extLst>
              <a:ext uri="{FF2B5EF4-FFF2-40B4-BE49-F238E27FC236}">
                <a16:creationId xmlns:a16="http://schemas.microsoft.com/office/drawing/2014/main" id="{00000000-0008-0000-0D00-000072000000}"/>
              </a:ext>
            </a:extLst>
          </xdr:cNvPr>
          <xdr:cNvSpPr/>
        </xdr:nvSpPr>
        <xdr:spPr>
          <a:xfrm>
            <a:off x="2295534"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FADD39"/>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15" name="Shape 325">
            <a:extLst>
              <a:ext uri="{FF2B5EF4-FFF2-40B4-BE49-F238E27FC236}">
                <a16:creationId xmlns:a16="http://schemas.microsoft.com/office/drawing/2014/main" id="{00000000-0008-0000-0D00-000073000000}"/>
              </a:ext>
            </a:extLst>
          </xdr:cNvPr>
          <xdr:cNvSpPr/>
        </xdr:nvSpPr>
        <xdr:spPr>
          <a:xfrm>
            <a:off x="2878082"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CED542"/>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16" name="Shape 326">
            <a:extLst>
              <a:ext uri="{FF2B5EF4-FFF2-40B4-BE49-F238E27FC236}">
                <a16:creationId xmlns:a16="http://schemas.microsoft.com/office/drawing/2014/main" id="{00000000-0008-0000-0D00-000074000000}"/>
              </a:ext>
            </a:extLst>
          </xdr:cNvPr>
          <xdr:cNvSpPr/>
        </xdr:nvSpPr>
        <xdr:spPr>
          <a:xfrm>
            <a:off x="3460647"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A2CC4A"/>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17" name="Shape 12">
            <a:extLst>
              <a:ext uri="{FF2B5EF4-FFF2-40B4-BE49-F238E27FC236}">
                <a16:creationId xmlns:a16="http://schemas.microsoft.com/office/drawing/2014/main" id="{00000000-0008-0000-0D00-000075000000}"/>
              </a:ext>
            </a:extLst>
          </xdr:cNvPr>
          <xdr:cNvSpPr/>
        </xdr:nvSpPr>
        <xdr:spPr>
          <a:xfrm>
            <a:off x="7514306" y="2112013"/>
            <a:ext cx="730603" cy="180817"/>
          </a:xfrm>
          <a:custGeom>
            <a:avLst/>
            <a:gdLst/>
            <a:ahLst/>
            <a:cxnLst/>
            <a:rect l="0" t="0" r="0" b="0"/>
            <a:pathLst>
              <a:path w="560337" h="178664">
                <a:moveTo>
                  <a:pt x="0" y="0"/>
                </a:moveTo>
                <a:lnTo>
                  <a:pt x="445935" y="0"/>
                </a:lnTo>
                <a:lnTo>
                  <a:pt x="560337" y="89332"/>
                </a:lnTo>
                <a:lnTo>
                  <a:pt x="445935" y="178664"/>
                </a:lnTo>
                <a:lnTo>
                  <a:pt x="0" y="178664"/>
                </a:lnTo>
                <a:lnTo>
                  <a:pt x="0" y="0"/>
                </a:lnTo>
                <a:close/>
              </a:path>
            </a:pathLst>
          </a:custGeom>
          <a:ln w="0" cap="flat">
            <a:miter lim="127000"/>
          </a:ln>
        </xdr:spPr>
        <xdr:style>
          <a:lnRef idx="0">
            <a:srgbClr val="000000">
              <a:alpha val="0"/>
            </a:srgbClr>
          </a:lnRef>
          <a:fillRef idx="1">
            <a:srgbClr val="DD453C"/>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18" name="Shape 327">
            <a:extLst>
              <a:ext uri="{FF2B5EF4-FFF2-40B4-BE49-F238E27FC236}">
                <a16:creationId xmlns:a16="http://schemas.microsoft.com/office/drawing/2014/main" id="{00000000-0008-0000-0D00-000076000000}"/>
              </a:ext>
            </a:extLst>
          </xdr:cNvPr>
          <xdr:cNvSpPr/>
        </xdr:nvSpPr>
        <xdr:spPr>
          <a:xfrm>
            <a:off x="6930047"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DD453C"/>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19" name="Shape 328">
            <a:extLst>
              <a:ext uri="{FF2B5EF4-FFF2-40B4-BE49-F238E27FC236}">
                <a16:creationId xmlns:a16="http://schemas.microsoft.com/office/drawing/2014/main" id="{00000000-0008-0000-0D00-000077000000}"/>
              </a:ext>
            </a:extLst>
          </xdr:cNvPr>
          <xdr:cNvSpPr/>
        </xdr:nvSpPr>
        <xdr:spPr>
          <a:xfrm>
            <a:off x="6364674"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FADD39"/>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20" name="Shape 329">
            <a:extLst>
              <a:ext uri="{FF2B5EF4-FFF2-40B4-BE49-F238E27FC236}">
                <a16:creationId xmlns:a16="http://schemas.microsoft.com/office/drawing/2014/main" id="{00000000-0008-0000-0D00-000078000000}"/>
              </a:ext>
            </a:extLst>
          </xdr:cNvPr>
          <xdr:cNvSpPr/>
        </xdr:nvSpPr>
        <xdr:spPr>
          <a:xfrm>
            <a:off x="5781746"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FADD39"/>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21" name="Shape 330">
            <a:extLst>
              <a:ext uri="{FF2B5EF4-FFF2-40B4-BE49-F238E27FC236}">
                <a16:creationId xmlns:a16="http://schemas.microsoft.com/office/drawing/2014/main" id="{00000000-0008-0000-0D00-000079000000}"/>
              </a:ext>
            </a:extLst>
          </xdr:cNvPr>
          <xdr:cNvSpPr/>
        </xdr:nvSpPr>
        <xdr:spPr>
          <a:xfrm>
            <a:off x="5207181"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CED542"/>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22" name="Shape 331">
            <a:extLst>
              <a:ext uri="{FF2B5EF4-FFF2-40B4-BE49-F238E27FC236}">
                <a16:creationId xmlns:a16="http://schemas.microsoft.com/office/drawing/2014/main" id="{00000000-0008-0000-0D00-00007A000000}"/>
              </a:ext>
            </a:extLst>
          </xdr:cNvPr>
          <xdr:cNvSpPr/>
        </xdr:nvSpPr>
        <xdr:spPr>
          <a:xfrm>
            <a:off x="4624633"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A2CC4A"/>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23" name="Shape 332">
            <a:extLst>
              <a:ext uri="{FF2B5EF4-FFF2-40B4-BE49-F238E27FC236}">
                <a16:creationId xmlns:a16="http://schemas.microsoft.com/office/drawing/2014/main" id="{00000000-0008-0000-0D00-00007B000000}"/>
              </a:ext>
            </a:extLst>
          </xdr:cNvPr>
          <xdr:cNvSpPr/>
        </xdr:nvSpPr>
        <xdr:spPr>
          <a:xfrm>
            <a:off x="4043195"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76C453"/>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pic>
        <xdr:nvPicPr>
          <xdr:cNvPr id="124" name="Picture 308">
            <a:extLst>
              <a:ext uri="{FF2B5EF4-FFF2-40B4-BE49-F238E27FC236}">
                <a16:creationId xmlns:a16="http://schemas.microsoft.com/office/drawing/2014/main" id="{00000000-0008-0000-0D00-00007C000000}"/>
              </a:ext>
            </a:extLst>
          </xdr:cNvPr>
          <xdr:cNvPicPr/>
        </xdr:nvPicPr>
        <xdr:blipFill>
          <a:blip xmlns:r="http://schemas.openxmlformats.org/officeDocument/2006/relationships" r:embed="rId3"/>
          <a:stretch>
            <a:fillRect/>
          </a:stretch>
        </xdr:blipFill>
        <xdr:spPr>
          <a:xfrm>
            <a:off x="4245514" y="1729311"/>
            <a:ext cx="162941" cy="567590"/>
          </a:xfrm>
          <a:prstGeom prst="rect">
            <a:avLst/>
          </a:prstGeom>
        </xdr:spPr>
      </xdr:pic>
      <xdr:sp macro="" textlink="">
        <xdr:nvSpPr>
          <xdr:cNvPr id="125" name="Shape 20">
            <a:extLst>
              <a:ext uri="{FF2B5EF4-FFF2-40B4-BE49-F238E27FC236}">
                <a16:creationId xmlns:a16="http://schemas.microsoft.com/office/drawing/2014/main" id="{00000000-0008-0000-0D00-00007D000000}"/>
              </a:ext>
            </a:extLst>
          </xdr:cNvPr>
          <xdr:cNvSpPr/>
        </xdr:nvSpPr>
        <xdr:spPr>
          <a:xfrm>
            <a:off x="4253445" y="1735390"/>
            <a:ext cx="155274" cy="559339"/>
          </a:xfrm>
          <a:custGeom>
            <a:avLst/>
            <a:gdLst/>
            <a:ahLst/>
            <a:cxnLst/>
            <a:rect l="0" t="0" r="0" b="0"/>
            <a:pathLst>
              <a:path w="119088" h="552679">
                <a:moveTo>
                  <a:pt x="0" y="552679"/>
                </a:moveTo>
                <a:lnTo>
                  <a:pt x="119088" y="552679"/>
                </a:lnTo>
                <a:lnTo>
                  <a:pt x="119088" y="0"/>
                </a:lnTo>
                <a:lnTo>
                  <a:pt x="0" y="0"/>
                </a:lnTo>
                <a:close/>
              </a:path>
            </a:pathLst>
          </a:custGeom>
          <a:ln w="3175" cap="flat">
            <a:miter lim="127000"/>
          </a:ln>
        </xdr:spPr>
        <xdr:style>
          <a:lnRef idx="1">
            <a:srgbClr val="000000">
              <a:alpha val="0"/>
            </a:srgbClr>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26" name="Shape 333">
            <a:extLst>
              <a:ext uri="{FF2B5EF4-FFF2-40B4-BE49-F238E27FC236}">
                <a16:creationId xmlns:a16="http://schemas.microsoft.com/office/drawing/2014/main" id="{00000000-0008-0000-0D00-00007E000000}"/>
              </a:ext>
            </a:extLst>
          </xdr:cNvPr>
          <xdr:cNvSpPr/>
        </xdr:nvSpPr>
        <xdr:spPr>
          <a:xfrm>
            <a:off x="4267123" y="1758638"/>
            <a:ext cx="119722" cy="262639"/>
          </a:xfrm>
          <a:custGeom>
            <a:avLst/>
            <a:gdLst/>
            <a:ahLst/>
            <a:cxnLst/>
            <a:rect l="0" t="0" r="0" b="0"/>
            <a:pathLst>
              <a:path w="91821" h="259512">
                <a:moveTo>
                  <a:pt x="0" y="0"/>
                </a:moveTo>
                <a:lnTo>
                  <a:pt x="91821" y="0"/>
                </a:lnTo>
                <a:lnTo>
                  <a:pt x="91821" y="259512"/>
                </a:lnTo>
                <a:lnTo>
                  <a:pt x="0" y="259512"/>
                </a:lnTo>
                <a:lnTo>
                  <a:pt x="0" y="0"/>
                </a:lnTo>
              </a:path>
            </a:pathLst>
          </a:custGeom>
          <a:ln w="0" cap="flat">
            <a:miter lim="127000"/>
          </a:ln>
        </xdr:spPr>
        <xdr:style>
          <a:lnRef idx="0">
            <a:srgbClr val="000000">
              <a:alpha val="0"/>
            </a:srgbClr>
          </a:lnRef>
          <a:fillRef idx="1">
            <a:srgbClr val="76C453"/>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27" name="Rectangle 126">
            <a:extLst>
              <a:ext uri="{FF2B5EF4-FFF2-40B4-BE49-F238E27FC236}">
                <a16:creationId xmlns:a16="http://schemas.microsoft.com/office/drawing/2014/main" id="{00000000-0008-0000-0D00-00007F000000}"/>
              </a:ext>
            </a:extLst>
          </xdr:cNvPr>
          <xdr:cNvSpPr/>
        </xdr:nvSpPr>
        <xdr:spPr>
          <a:xfrm>
            <a:off x="4220933" y="1549342"/>
            <a:ext cx="253715" cy="214210"/>
          </a:xfrm>
          <a:prstGeom prst="rect">
            <a:avLst/>
          </a:prstGeom>
          <a:ln>
            <a:noFill/>
          </a:ln>
        </xdr:spPr>
        <xdr:txBody>
          <a:bodyPr vert="horz" wrap="square" lIns="0" tIns="0" rIns="0" bIns="0" rtlCol="0">
            <a:no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nSpc>
                <a:spcPct val="107000"/>
              </a:lnSpc>
              <a:spcAft>
                <a:spcPts val="800"/>
              </a:spcAft>
            </a:pPr>
            <a:r>
              <a:rPr lang="fr-FR" sz="1250">
                <a:solidFill>
                  <a:srgbClr val="76C453"/>
                </a:solidFill>
                <a:effectLst/>
                <a:latin typeface="Calibri Light" panose="020F0302020204030204" pitchFamily="34" charset="0"/>
                <a:ea typeface="Lato" panose="020F0502020204030203" pitchFamily="34" charset="0"/>
                <a:cs typeface="Lato" panose="020F0502020204030203" pitchFamily="34" charset="0"/>
              </a:rPr>
              <a:t>0 </a:t>
            </a:r>
            <a:r>
              <a:rPr lang="fr-FR" sz="1100">
                <a:solidFill>
                  <a:srgbClr val="76C453"/>
                </a:solidFill>
                <a:latin typeface="Calibri Light" panose="020F0302020204030204" pitchFamily="34" charset="0"/>
                <a:ea typeface="Lato" panose="020F0502020204030203" pitchFamily="34" charset="0"/>
                <a:cs typeface="Lato" panose="020F0502020204030203" pitchFamily="34" charset="0"/>
              </a:rPr>
              <a:t>%</a:t>
            </a:r>
          </a:p>
        </xdr:txBody>
      </xdr:sp>
      <xdr:sp macro="" textlink="">
        <xdr:nvSpPr>
          <xdr:cNvPr id="128" name="Rectangle 127">
            <a:extLst>
              <a:ext uri="{FF2B5EF4-FFF2-40B4-BE49-F238E27FC236}">
                <a16:creationId xmlns:a16="http://schemas.microsoft.com/office/drawing/2014/main" id="{00000000-0008-0000-0D00-000080000000}"/>
              </a:ext>
            </a:extLst>
          </xdr:cNvPr>
          <xdr:cNvSpPr/>
        </xdr:nvSpPr>
        <xdr:spPr>
          <a:xfrm>
            <a:off x="4295745" y="1546865"/>
            <a:ext cx="260251" cy="214210"/>
          </a:xfrm>
          <a:prstGeom prst="rect">
            <a:avLst/>
          </a:prstGeom>
          <a:ln>
            <a:noFill/>
          </a:ln>
        </xdr:spPr>
        <xdr:txBody>
          <a:bodyPr vert="horz" wrap="square" lIns="0" tIns="0" rIns="0" bIns="0" rtlCol="0">
            <a:no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nSpc>
                <a:spcPct val="107000"/>
              </a:lnSpc>
              <a:spcAft>
                <a:spcPts val="800"/>
              </a:spcAft>
            </a:pPr>
            <a:r>
              <a:rPr lang="fr-FR" sz="1250">
                <a:solidFill>
                  <a:srgbClr val="76C453"/>
                </a:solidFill>
                <a:effectLst/>
                <a:latin typeface="Calibri Light" panose="020F0302020204030204" pitchFamily="34" charset="0"/>
                <a:ea typeface="Lato" panose="020F0502020204030203" pitchFamily="34" charset="0"/>
                <a:cs typeface="Lato" panose="020F0502020204030203" pitchFamily="34" charset="0"/>
              </a:rPr>
              <a:t> </a:t>
            </a:r>
            <a:endParaRPr lang="fr-FR" sz="1100">
              <a:solidFill>
                <a:srgbClr val="000000"/>
              </a:solidFill>
              <a:effectLst/>
              <a:latin typeface="Calibri Light" panose="020F0302020204030204" pitchFamily="34" charset="0"/>
              <a:ea typeface="Calibri" panose="020F0502020204030204" pitchFamily="34" charset="0"/>
              <a:cs typeface="Calibri" panose="020F0502020204030204" pitchFamily="34" charset="0"/>
            </a:endParaRPr>
          </a:p>
        </xdr:txBody>
      </xdr:sp>
      <xdr:pic>
        <xdr:nvPicPr>
          <xdr:cNvPr id="129" name="Picture 309">
            <a:extLst>
              <a:ext uri="{FF2B5EF4-FFF2-40B4-BE49-F238E27FC236}">
                <a16:creationId xmlns:a16="http://schemas.microsoft.com/office/drawing/2014/main" id="{00000000-0008-0000-0D00-000081000000}"/>
              </a:ext>
            </a:extLst>
          </xdr:cNvPr>
          <xdr:cNvPicPr/>
        </xdr:nvPicPr>
        <xdr:blipFill>
          <a:blip xmlns:r="http://schemas.openxmlformats.org/officeDocument/2006/relationships" r:embed="rId3"/>
          <a:stretch>
            <a:fillRect/>
          </a:stretch>
        </xdr:blipFill>
        <xdr:spPr>
          <a:xfrm>
            <a:off x="1648724" y="1729310"/>
            <a:ext cx="162941" cy="567590"/>
          </a:xfrm>
          <a:prstGeom prst="rect">
            <a:avLst/>
          </a:prstGeom>
        </xdr:spPr>
      </xdr:pic>
      <xdr:sp macro="" textlink="">
        <xdr:nvSpPr>
          <xdr:cNvPr id="130" name="Shape 334">
            <a:extLst>
              <a:ext uri="{FF2B5EF4-FFF2-40B4-BE49-F238E27FC236}">
                <a16:creationId xmlns:a16="http://schemas.microsoft.com/office/drawing/2014/main" id="{00000000-0008-0000-0D00-000082000000}"/>
              </a:ext>
            </a:extLst>
          </xdr:cNvPr>
          <xdr:cNvSpPr/>
        </xdr:nvSpPr>
        <xdr:spPr>
          <a:xfrm>
            <a:off x="1670333" y="1758637"/>
            <a:ext cx="119722" cy="262639"/>
          </a:xfrm>
          <a:custGeom>
            <a:avLst/>
            <a:gdLst/>
            <a:ahLst/>
            <a:cxnLst/>
            <a:rect l="0" t="0" r="0" b="0"/>
            <a:pathLst>
              <a:path w="91821" h="259512">
                <a:moveTo>
                  <a:pt x="0" y="0"/>
                </a:moveTo>
                <a:lnTo>
                  <a:pt x="91821" y="0"/>
                </a:lnTo>
                <a:lnTo>
                  <a:pt x="91821" y="259512"/>
                </a:lnTo>
                <a:lnTo>
                  <a:pt x="0" y="259512"/>
                </a:lnTo>
                <a:lnTo>
                  <a:pt x="0" y="0"/>
                </a:lnTo>
              </a:path>
            </a:pathLst>
          </a:custGeom>
          <a:ln w="0" cap="flat">
            <a:miter lim="127000"/>
          </a:ln>
        </xdr:spPr>
        <xdr:style>
          <a:lnRef idx="0">
            <a:srgbClr val="000000">
              <a:alpha val="0"/>
            </a:srgbClr>
          </a:lnRef>
          <a:fillRef idx="1">
            <a:srgbClr val="DD453C"/>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31" name="Rectangle 130">
            <a:extLst>
              <a:ext uri="{FF2B5EF4-FFF2-40B4-BE49-F238E27FC236}">
                <a16:creationId xmlns:a16="http://schemas.microsoft.com/office/drawing/2014/main" id="{00000000-0008-0000-0D00-000083000000}"/>
              </a:ext>
            </a:extLst>
          </xdr:cNvPr>
          <xdr:cNvSpPr/>
        </xdr:nvSpPr>
        <xdr:spPr>
          <a:xfrm>
            <a:off x="1541716" y="1549341"/>
            <a:ext cx="471705" cy="214210"/>
          </a:xfrm>
          <a:prstGeom prst="rect">
            <a:avLst/>
          </a:prstGeom>
          <a:ln>
            <a:noFill/>
          </a:ln>
        </xdr:spPr>
        <xdr:txBody>
          <a:bodyPr vert="horz" wrap="square" lIns="0" tIns="0" rIns="0" bIns="0" rtlCol="0">
            <a:no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lnSpc>
                <a:spcPct val="107000"/>
              </a:lnSpc>
              <a:spcAft>
                <a:spcPts val="800"/>
              </a:spcAft>
            </a:pPr>
            <a:r>
              <a:rPr lang="fr-FR" sz="1250">
                <a:solidFill>
                  <a:srgbClr val="C00000"/>
                </a:solidFill>
                <a:effectLst/>
                <a:latin typeface="Calibri Light" panose="020F0302020204030204" pitchFamily="34" charset="0"/>
                <a:ea typeface="Lato" panose="020F0502020204030203" pitchFamily="34" charset="0"/>
                <a:cs typeface="Lato" panose="020F0502020204030203" pitchFamily="34" charset="0"/>
              </a:rPr>
              <a:t>100 %</a:t>
            </a:r>
            <a:endParaRPr lang="fr-FR" sz="1100">
              <a:solidFill>
                <a:srgbClr val="C00000"/>
              </a:solidFill>
              <a:effectLst/>
              <a:latin typeface="Calibri Light" panose="020F0302020204030204" pitchFamily="34" charset="0"/>
              <a:ea typeface="Calibri" panose="020F0502020204030204" pitchFamily="34" charset="0"/>
              <a:cs typeface="Calibri" panose="020F0502020204030204" pitchFamily="34" charset="0"/>
            </a:endParaRPr>
          </a:p>
        </xdr:txBody>
      </xdr:sp>
      <xdr:pic>
        <xdr:nvPicPr>
          <xdr:cNvPr id="132" name="Picture 311">
            <a:extLst>
              <a:ext uri="{FF2B5EF4-FFF2-40B4-BE49-F238E27FC236}">
                <a16:creationId xmlns:a16="http://schemas.microsoft.com/office/drawing/2014/main" id="{00000000-0008-0000-0D00-000084000000}"/>
              </a:ext>
            </a:extLst>
          </xdr:cNvPr>
          <xdr:cNvPicPr/>
        </xdr:nvPicPr>
        <xdr:blipFill>
          <a:blip xmlns:r="http://schemas.openxmlformats.org/officeDocument/2006/relationships" r:embed="rId4"/>
          <a:stretch>
            <a:fillRect/>
          </a:stretch>
        </xdr:blipFill>
        <xdr:spPr>
          <a:xfrm>
            <a:off x="6856939" y="1729311"/>
            <a:ext cx="166915" cy="567590"/>
          </a:xfrm>
          <a:prstGeom prst="rect">
            <a:avLst/>
          </a:prstGeom>
        </xdr:spPr>
      </xdr:pic>
      <xdr:sp macro="" textlink="">
        <xdr:nvSpPr>
          <xdr:cNvPr id="133" name="Shape 30">
            <a:extLst>
              <a:ext uri="{FF2B5EF4-FFF2-40B4-BE49-F238E27FC236}">
                <a16:creationId xmlns:a16="http://schemas.microsoft.com/office/drawing/2014/main" id="{00000000-0008-0000-0D00-000085000000}"/>
              </a:ext>
            </a:extLst>
          </xdr:cNvPr>
          <xdr:cNvSpPr/>
        </xdr:nvSpPr>
        <xdr:spPr>
          <a:xfrm>
            <a:off x="7536628" y="1735390"/>
            <a:ext cx="155274" cy="559339"/>
          </a:xfrm>
          <a:custGeom>
            <a:avLst/>
            <a:gdLst/>
            <a:ahLst/>
            <a:cxnLst/>
            <a:rect l="0" t="0" r="0" b="0"/>
            <a:pathLst>
              <a:path w="119088" h="552679">
                <a:moveTo>
                  <a:pt x="0" y="552679"/>
                </a:moveTo>
                <a:lnTo>
                  <a:pt x="119088" y="552679"/>
                </a:lnTo>
                <a:lnTo>
                  <a:pt x="119088" y="0"/>
                </a:lnTo>
                <a:lnTo>
                  <a:pt x="0" y="0"/>
                </a:lnTo>
                <a:close/>
              </a:path>
            </a:pathLst>
          </a:custGeom>
          <a:ln w="3175" cap="flat">
            <a:miter lim="127000"/>
          </a:ln>
        </xdr:spPr>
        <xdr:style>
          <a:lnRef idx="1">
            <a:srgbClr val="000000">
              <a:alpha val="0"/>
            </a:srgbClr>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34" name="Shape 335">
            <a:extLst>
              <a:ext uri="{FF2B5EF4-FFF2-40B4-BE49-F238E27FC236}">
                <a16:creationId xmlns:a16="http://schemas.microsoft.com/office/drawing/2014/main" id="{00000000-0008-0000-0D00-000086000000}"/>
              </a:ext>
            </a:extLst>
          </xdr:cNvPr>
          <xdr:cNvSpPr/>
        </xdr:nvSpPr>
        <xdr:spPr>
          <a:xfrm>
            <a:off x="6880535" y="1758638"/>
            <a:ext cx="119722" cy="262639"/>
          </a:xfrm>
          <a:custGeom>
            <a:avLst/>
            <a:gdLst/>
            <a:ahLst/>
            <a:cxnLst/>
            <a:rect l="0" t="0" r="0" b="0"/>
            <a:pathLst>
              <a:path w="91821" h="259512">
                <a:moveTo>
                  <a:pt x="0" y="0"/>
                </a:moveTo>
                <a:lnTo>
                  <a:pt x="91821" y="0"/>
                </a:lnTo>
                <a:lnTo>
                  <a:pt x="91821" y="259512"/>
                </a:lnTo>
                <a:lnTo>
                  <a:pt x="0" y="259512"/>
                </a:lnTo>
                <a:lnTo>
                  <a:pt x="0" y="0"/>
                </a:lnTo>
              </a:path>
            </a:pathLst>
          </a:custGeom>
          <a:ln w="0" cap="flat">
            <a:miter lim="127000"/>
          </a:ln>
        </xdr:spPr>
        <xdr:style>
          <a:lnRef idx="0">
            <a:srgbClr val="000000">
              <a:alpha val="0"/>
            </a:srgbClr>
          </a:lnRef>
          <a:fillRef idx="1">
            <a:srgbClr val="DD453C"/>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35" name="Rectangle 134">
            <a:extLst>
              <a:ext uri="{FF2B5EF4-FFF2-40B4-BE49-F238E27FC236}">
                <a16:creationId xmlns:a16="http://schemas.microsoft.com/office/drawing/2014/main" id="{00000000-0008-0000-0D00-000087000000}"/>
              </a:ext>
            </a:extLst>
          </xdr:cNvPr>
          <xdr:cNvSpPr/>
        </xdr:nvSpPr>
        <xdr:spPr>
          <a:xfrm>
            <a:off x="6744631" y="1549342"/>
            <a:ext cx="471705" cy="214210"/>
          </a:xfrm>
          <a:prstGeom prst="rect">
            <a:avLst/>
          </a:prstGeom>
          <a:ln>
            <a:noFill/>
          </a:ln>
        </xdr:spPr>
        <xdr:txBody>
          <a:bodyPr vert="horz" wrap="square" lIns="0" tIns="0" rIns="0" bIns="0" rtlCol="0">
            <a:no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lnSpc>
                <a:spcPct val="107000"/>
              </a:lnSpc>
              <a:spcAft>
                <a:spcPts val="800"/>
              </a:spcAft>
            </a:pPr>
            <a:r>
              <a:rPr lang="fr-FR" sz="1250">
                <a:solidFill>
                  <a:srgbClr val="C00000"/>
                </a:solidFill>
                <a:effectLst/>
                <a:latin typeface="Calibri Light" panose="020F0302020204030204" pitchFamily="34" charset="0"/>
                <a:ea typeface="Lato" panose="020F0502020204030203" pitchFamily="34" charset="0"/>
                <a:cs typeface="Lato" panose="020F0502020204030203" pitchFamily="34" charset="0"/>
              </a:rPr>
              <a:t>100 %</a:t>
            </a:r>
            <a:endParaRPr lang="fr-FR" sz="1100">
              <a:solidFill>
                <a:srgbClr val="C00000"/>
              </a:solidFill>
              <a:effectLst/>
              <a:latin typeface="Calibri Light" panose="020F0302020204030204" pitchFamily="34" charset="0"/>
              <a:ea typeface="Calibri" panose="020F0502020204030204" pitchFamily="34" charset="0"/>
              <a:cs typeface="Calibri" panose="020F0502020204030204" pitchFamily="34" charset="0"/>
            </a:endParaRPr>
          </a:p>
        </xdr:txBody>
      </xdr:sp>
      <xdr:pic>
        <xdr:nvPicPr>
          <xdr:cNvPr id="136" name="Picture 310">
            <a:extLst>
              <a:ext uri="{FF2B5EF4-FFF2-40B4-BE49-F238E27FC236}">
                <a16:creationId xmlns:a16="http://schemas.microsoft.com/office/drawing/2014/main" id="{00000000-0008-0000-0D00-000088000000}"/>
              </a:ext>
            </a:extLst>
          </xdr:cNvPr>
          <xdr:cNvPicPr/>
        </xdr:nvPicPr>
        <xdr:blipFill>
          <a:blip xmlns:r="http://schemas.openxmlformats.org/officeDocument/2006/relationships" r:embed="rId5"/>
          <a:stretch>
            <a:fillRect/>
          </a:stretch>
        </xdr:blipFill>
        <xdr:spPr>
          <a:xfrm>
            <a:off x="2939936" y="1729311"/>
            <a:ext cx="166915" cy="567590"/>
          </a:xfrm>
          <a:prstGeom prst="rect">
            <a:avLst/>
          </a:prstGeom>
        </xdr:spPr>
      </xdr:pic>
      <xdr:sp macro="" textlink="">
        <xdr:nvSpPr>
          <xdr:cNvPr id="137" name="Shape 336">
            <a:extLst>
              <a:ext uri="{FF2B5EF4-FFF2-40B4-BE49-F238E27FC236}">
                <a16:creationId xmlns:a16="http://schemas.microsoft.com/office/drawing/2014/main" id="{00000000-0008-0000-0D00-000089000000}"/>
              </a:ext>
            </a:extLst>
          </xdr:cNvPr>
          <xdr:cNvSpPr/>
        </xdr:nvSpPr>
        <xdr:spPr>
          <a:xfrm>
            <a:off x="2963532" y="1758638"/>
            <a:ext cx="119722" cy="262639"/>
          </a:xfrm>
          <a:custGeom>
            <a:avLst/>
            <a:gdLst/>
            <a:ahLst/>
            <a:cxnLst/>
            <a:rect l="0" t="0" r="0" b="0"/>
            <a:pathLst>
              <a:path w="91821" h="259512">
                <a:moveTo>
                  <a:pt x="0" y="0"/>
                </a:moveTo>
                <a:lnTo>
                  <a:pt x="91821" y="0"/>
                </a:lnTo>
                <a:lnTo>
                  <a:pt x="91821" y="259512"/>
                </a:lnTo>
                <a:lnTo>
                  <a:pt x="0" y="259512"/>
                </a:lnTo>
                <a:lnTo>
                  <a:pt x="0" y="0"/>
                </a:lnTo>
              </a:path>
            </a:pathLst>
          </a:custGeom>
          <a:ln w="0" cap="flat">
            <a:miter lim="127000"/>
          </a:ln>
        </xdr:spPr>
        <xdr:style>
          <a:lnRef idx="0">
            <a:srgbClr val="000000">
              <a:alpha val="0"/>
            </a:srgbClr>
          </a:lnRef>
          <a:fillRef idx="1">
            <a:srgbClr val="CED542"/>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38" name="Rectangle 137">
            <a:extLst>
              <a:ext uri="{FF2B5EF4-FFF2-40B4-BE49-F238E27FC236}">
                <a16:creationId xmlns:a16="http://schemas.microsoft.com/office/drawing/2014/main" id="{00000000-0008-0000-0D00-00008A000000}"/>
              </a:ext>
            </a:extLst>
          </xdr:cNvPr>
          <xdr:cNvSpPr/>
        </xdr:nvSpPr>
        <xdr:spPr>
          <a:xfrm>
            <a:off x="2861809" y="1542965"/>
            <a:ext cx="434333" cy="226964"/>
          </a:xfrm>
          <a:prstGeom prst="rect">
            <a:avLst/>
          </a:prstGeom>
          <a:ln>
            <a:noFill/>
          </a:ln>
        </xdr:spPr>
        <xdr:txBody>
          <a:bodyPr vert="horz" wrap="square" lIns="0" tIns="0" rIns="0" bIns="0" rtlCol="0">
            <a:no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lnSpc>
                <a:spcPct val="107000"/>
              </a:lnSpc>
              <a:spcAft>
                <a:spcPts val="800"/>
              </a:spcAft>
            </a:pPr>
            <a:r>
              <a:rPr lang="fr-FR" sz="1250">
                <a:solidFill>
                  <a:srgbClr val="CED542"/>
                </a:solidFill>
                <a:latin typeface="Calibri Light" panose="020F0302020204030204" pitchFamily="34" charset="0"/>
                <a:ea typeface="Lato" panose="020F0502020204030203" pitchFamily="34" charset="0"/>
                <a:cs typeface="Lato" panose="020F0502020204030203" pitchFamily="34" charset="0"/>
              </a:rPr>
              <a:t>50 %</a:t>
            </a:r>
          </a:p>
        </xdr:txBody>
      </xdr:sp>
      <xdr:pic>
        <xdr:nvPicPr>
          <xdr:cNvPr id="139" name="Picture 312">
            <a:extLst>
              <a:ext uri="{FF2B5EF4-FFF2-40B4-BE49-F238E27FC236}">
                <a16:creationId xmlns:a16="http://schemas.microsoft.com/office/drawing/2014/main" id="{00000000-0008-0000-0D00-00008B000000}"/>
              </a:ext>
            </a:extLst>
          </xdr:cNvPr>
          <xdr:cNvPicPr/>
        </xdr:nvPicPr>
        <xdr:blipFill>
          <a:blip xmlns:r="http://schemas.openxmlformats.org/officeDocument/2006/relationships" r:embed="rId5"/>
          <a:stretch>
            <a:fillRect/>
          </a:stretch>
        </xdr:blipFill>
        <xdr:spPr>
          <a:xfrm>
            <a:off x="5555301" y="1729311"/>
            <a:ext cx="166915" cy="567590"/>
          </a:xfrm>
          <a:prstGeom prst="rect">
            <a:avLst/>
          </a:prstGeom>
        </xdr:spPr>
      </xdr:pic>
      <xdr:sp macro="" textlink="">
        <xdr:nvSpPr>
          <xdr:cNvPr id="140" name="Shape 337">
            <a:extLst>
              <a:ext uri="{FF2B5EF4-FFF2-40B4-BE49-F238E27FC236}">
                <a16:creationId xmlns:a16="http://schemas.microsoft.com/office/drawing/2014/main" id="{00000000-0008-0000-0D00-00008C000000}"/>
              </a:ext>
            </a:extLst>
          </xdr:cNvPr>
          <xdr:cNvSpPr/>
        </xdr:nvSpPr>
        <xdr:spPr>
          <a:xfrm>
            <a:off x="5578897" y="1758638"/>
            <a:ext cx="119722" cy="262639"/>
          </a:xfrm>
          <a:custGeom>
            <a:avLst/>
            <a:gdLst/>
            <a:ahLst/>
            <a:cxnLst/>
            <a:rect l="0" t="0" r="0" b="0"/>
            <a:pathLst>
              <a:path w="91821" h="259512">
                <a:moveTo>
                  <a:pt x="0" y="0"/>
                </a:moveTo>
                <a:lnTo>
                  <a:pt x="91821" y="0"/>
                </a:lnTo>
                <a:lnTo>
                  <a:pt x="91821" y="259512"/>
                </a:lnTo>
                <a:lnTo>
                  <a:pt x="0" y="259512"/>
                </a:lnTo>
                <a:lnTo>
                  <a:pt x="0" y="0"/>
                </a:lnTo>
              </a:path>
            </a:pathLst>
          </a:custGeom>
          <a:ln w="0" cap="flat">
            <a:miter lim="127000"/>
          </a:ln>
        </xdr:spPr>
        <xdr:style>
          <a:lnRef idx="0">
            <a:srgbClr val="000000">
              <a:alpha val="0"/>
            </a:srgbClr>
          </a:lnRef>
          <a:fillRef idx="1">
            <a:srgbClr val="CED542"/>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41" name="Rectangle 140">
            <a:extLst>
              <a:ext uri="{FF2B5EF4-FFF2-40B4-BE49-F238E27FC236}">
                <a16:creationId xmlns:a16="http://schemas.microsoft.com/office/drawing/2014/main" id="{00000000-0008-0000-0D00-00008D000000}"/>
              </a:ext>
            </a:extLst>
          </xdr:cNvPr>
          <xdr:cNvSpPr/>
        </xdr:nvSpPr>
        <xdr:spPr>
          <a:xfrm>
            <a:off x="5425508" y="1544583"/>
            <a:ext cx="429562" cy="223729"/>
          </a:xfrm>
          <a:prstGeom prst="rect">
            <a:avLst/>
          </a:prstGeom>
          <a:ln>
            <a:noFill/>
          </a:ln>
        </xdr:spPr>
        <xdr:txBody>
          <a:bodyPr vert="horz" wrap="square" lIns="0" tIns="0" rIns="0" bIns="0" rtlCol="0">
            <a:no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lnSpc>
                <a:spcPct val="107000"/>
              </a:lnSpc>
              <a:spcAft>
                <a:spcPts val="800"/>
              </a:spcAft>
            </a:pPr>
            <a:r>
              <a:rPr lang="fr-FR" sz="1250">
                <a:solidFill>
                  <a:srgbClr val="CED542"/>
                </a:solidFill>
                <a:latin typeface="Calibri Light" panose="020F0302020204030204" pitchFamily="34" charset="0"/>
                <a:ea typeface="Lato" panose="020F0502020204030203" pitchFamily="34" charset="0"/>
                <a:cs typeface="Lato" panose="020F0502020204030203" pitchFamily="34" charset="0"/>
              </a:rPr>
              <a:t>50 %</a:t>
            </a:r>
          </a:p>
        </xdr:txBody>
      </xdr:sp>
      <xdr:sp macro="" textlink="">
        <xdr:nvSpPr>
          <xdr:cNvPr id="142" name="Rectangle 141">
            <a:extLst>
              <a:ext uri="{FF2B5EF4-FFF2-40B4-BE49-F238E27FC236}">
                <a16:creationId xmlns:a16="http://schemas.microsoft.com/office/drawing/2014/main" id="{00000000-0008-0000-0D00-00008E000000}"/>
              </a:ext>
            </a:extLst>
          </xdr:cNvPr>
          <xdr:cNvSpPr/>
        </xdr:nvSpPr>
        <xdr:spPr>
          <a:xfrm>
            <a:off x="1922161" y="2359821"/>
            <a:ext cx="1651522" cy="280526"/>
          </a:xfrm>
          <a:prstGeom prst="rect">
            <a:avLst/>
          </a:prstGeom>
          <a:ln>
            <a:noFill/>
          </a:ln>
        </xdr:spPr>
        <xdr:txBody>
          <a:bodyPr vert="horz" wrap="square" lIns="0" tIns="0" rIns="0" bIns="0" rtlCol="0">
            <a:no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lnSpc>
                <a:spcPct val="107000"/>
              </a:lnSpc>
              <a:spcAft>
                <a:spcPts val="800"/>
              </a:spcAft>
            </a:pPr>
            <a:r>
              <a:rPr lang="fr-FR" sz="1250">
                <a:solidFill>
                  <a:sysClr val="windowText" lastClr="000000"/>
                </a:solidFill>
                <a:effectLst/>
                <a:latin typeface="Calibri Light" panose="020F0302020204030204" pitchFamily="34" charset="0"/>
                <a:ea typeface="Lato" panose="020F0502020204030203" pitchFamily="34" charset="0"/>
                <a:cs typeface="Lato" panose="020F0502020204030203" pitchFamily="34" charset="0"/>
              </a:rPr>
              <a:t>Effet anti oestrogénique</a:t>
            </a:r>
          </a:p>
        </xdr:txBody>
      </xdr:sp>
      <xdr:sp macro="" textlink="">
        <xdr:nvSpPr>
          <xdr:cNvPr id="143" name="Shape 59">
            <a:extLst>
              <a:ext uri="{FF2B5EF4-FFF2-40B4-BE49-F238E27FC236}">
                <a16:creationId xmlns:a16="http://schemas.microsoft.com/office/drawing/2014/main" id="{00000000-0008-0000-0D00-00008F000000}"/>
              </a:ext>
            </a:extLst>
          </xdr:cNvPr>
          <xdr:cNvSpPr/>
        </xdr:nvSpPr>
        <xdr:spPr>
          <a:xfrm>
            <a:off x="4321750" y="2113920"/>
            <a:ext cx="40948" cy="305457"/>
          </a:xfrm>
          <a:custGeom>
            <a:avLst/>
            <a:gdLst/>
            <a:ahLst/>
            <a:cxnLst/>
            <a:rect l="0" t="0" r="0" b="0"/>
            <a:pathLst>
              <a:path h="663715">
                <a:moveTo>
                  <a:pt x="0" y="0"/>
                </a:moveTo>
                <a:lnTo>
                  <a:pt x="0" y="663715"/>
                </a:lnTo>
              </a:path>
            </a:pathLst>
          </a:custGeom>
          <a:ln w="12700" cap="rnd">
            <a:custDash>
              <a:ds d="10000" sp="300000"/>
            </a:custDash>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endParaRPr lang="fr-FR">
              <a:latin typeface="Calibri Light" panose="020F0302020204030204" pitchFamily="34" charset="0"/>
            </a:endParaRPr>
          </a:p>
        </xdr:txBody>
      </xdr:sp>
      <xdr:sp macro="" textlink="">
        <xdr:nvSpPr>
          <xdr:cNvPr id="144" name="Shape 62">
            <a:extLst>
              <a:ext uri="{FF2B5EF4-FFF2-40B4-BE49-F238E27FC236}">
                <a16:creationId xmlns:a16="http://schemas.microsoft.com/office/drawing/2014/main" id="{00000000-0008-0000-0D00-000090000000}"/>
              </a:ext>
            </a:extLst>
          </xdr:cNvPr>
          <xdr:cNvSpPr/>
        </xdr:nvSpPr>
        <xdr:spPr>
          <a:xfrm>
            <a:off x="367064" y="2341501"/>
            <a:ext cx="828" cy="0"/>
          </a:xfrm>
          <a:custGeom>
            <a:avLst/>
            <a:gdLst/>
            <a:ahLst/>
            <a:cxnLst/>
            <a:rect l="0" t="0" r="0" b="0"/>
            <a:pathLst>
              <a:path w="635">
                <a:moveTo>
                  <a:pt x="0" y="0"/>
                </a:moveTo>
                <a:lnTo>
                  <a:pt x="635"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45" name="Shape 63">
            <a:extLst>
              <a:ext uri="{FF2B5EF4-FFF2-40B4-BE49-F238E27FC236}">
                <a16:creationId xmlns:a16="http://schemas.microsoft.com/office/drawing/2014/main" id="{00000000-0008-0000-0D00-000091000000}"/>
              </a:ext>
            </a:extLst>
          </xdr:cNvPr>
          <xdr:cNvSpPr/>
        </xdr:nvSpPr>
        <xdr:spPr>
          <a:xfrm>
            <a:off x="417713" y="2344963"/>
            <a:ext cx="3887621" cy="0"/>
          </a:xfrm>
          <a:custGeom>
            <a:avLst/>
            <a:gdLst/>
            <a:ahLst/>
            <a:cxnLst/>
            <a:rect l="0" t="0" r="0" b="0"/>
            <a:pathLst>
              <a:path w="2981617">
                <a:moveTo>
                  <a:pt x="0" y="0"/>
                </a:moveTo>
                <a:lnTo>
                  <a:pt x="2981617" y="0"/>
                </a:lnTo>
              </a:path>
            </a:pathLst>
          </a:custGeom>
          <a:ln w="12700" cap="rnd">
            <a:custDash>
              <a:ds d="10000" sp="300900"/>
            </a:custDash>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46" name="Shape 64">
            <a:extLst>
              <a:ext uri="{FF2B5EF4-FFF2-40B4-BE49-F238E27FC236}">
                <a16:creationId xmlns:a16="http://schemas.microsoft.com/office/drawing/2014/main" id="{00000000-0008-0000-0D00-000092000000}"/>
              </a:ext>
            </a:extLst>
          </xdr:cNvPr>
          <xdr:cNvSpPr/>
        </xdr:nvSpPr>
        <xdr:spPr>
          <a:xfrm>
            <a:off x="4330248" y="2341501"/>
            <a:ext cx="828" cy="0"/>
          </a:xfrm>
          <a:custGeom>
            <a:avLst/>
            <a:gdLst/>
            <a:ahLst/>
            <a:cxnLst/>
            <a:rect l="0" t="0" r="0" b="0"/>
            <a:pathLst>
              <a:path w="635">
                <a:moveTo>
                  <a:pt x="0" y="0"/>
                </a:moveTo>
                <a:lnTo>
                  <a:pt x="635"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47" name="Shape 65">
            <a:extLst>
              <a:ext uri="{FF2B5EF4-FFF2-40B4-BE49-F238E27FC236}">
                <a16:creationId xmlns:a16="http://schemas.microsoft.com/office/drawing/2014/main" id="{00000000-0008-0000-0D00-000093000000}"/>
              </a:ext>
            </a:extLst>
          </xdr:cNvPr>
          <xdr:cNvSpPr/>
        </xdr:nvSpPr>
        <xdr:spPr>
          <a:xfrm>
            <a:off x="429779" y="2390180"/>
            <a:ext cx="579" cy="450"/>
          </a:xfrm>
          <a:custGeom>
            <a:avLst/>
            <a:gdLst/>
            <a:ahLst/>
            <a:cxnLst/>
            <a:rect l="0" t="0" r="0" b="0"/>
            <a:pathLst>
              <a:path w="444" h="445">
                <a:moveTo>
                  <a:pt x="444" y="445"/>
                </a:moveTo>
                <a:lnTo>
                  <a:pt x="0"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48" name="Shape 66">
            <a:extLst>
              <a:ext uri="{FF2B5EF4-FFF2-40B4-BE49-F238E27FC236}">
                <a16:creationId xmlns:a16="http://schemas.microsoft.com/office/drawing/2014/main" id="{00000000-0008-0000-0D00-000094000000}"/>
              </a:ext>
            </a:extLst>
          </xdr:cNvPr>
          <xdr:cNvSpPr/>
        </xdr:nvSpPr>
        <xdr:spPr>
          <a:xfrm>
            <a:off x="382925" y="2353813"/>
            <a:ext cx="16294" cy="12648"/>
          </a:xfrm>
          <a:custGeom>
            <a:avLst/>
            <a:gdLst/>
            <a:ahLst/>
            <a:cxnLst/>
            <a:rect l="0" t="0" r="0" b="0"/>
            <a:pathLst>
              <a:path w="12497" h="12497">
                <a:moveTo>
                  <a:pt x="12497" y="12497"/>
                </a:moveTo>
                <a:lnTo>
                  <a:pt x="0" y="0"/>
                </a:lnTo>
              </a:path>
            </a:pathLst>
          </a:custGeom>
          <a:ln w="12700" cap="rnd">
            <a:custDash>
              <a:ds d="8700" sp="260900"/>
            </a:custDash>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49" name="Shape 67">
            <a:extLst>
              <a:ext uri="{FF2B5EF4-FFF2-40B4-BE49-F238E27FC236}">
                <a16:creationId xmlns:a16="http://schemas.microsoft.com/office/drawing/2014/main" id="{00000000-0008-0000-0D00-000095000000}"/>
              </a:ext>
            </a:extLst>
          </xdr:cNvPr>
          <xdr:cNvSpPr/>
        </xdr:nvSpPr>
        <xdr:spPr>
          <a:xfrm>
            <a:off x="367071" y="2341044"/>
            <a:ext cx="579" cy="913"/>
          </a:xfrm>
          <a:custGeom>
            <a:avLst/>
            <a:gdLst/>
            <a:ahLst/>
            <a:cxnLst/>
            <a:rect l="0" t="0" r="0" b="0"/>
            <a:pathLst>
              <a:path w="444" h="902">
                <a:moveTo>
                  <a:pt x="444" y="902"/>
                </a:moveTo>
                <a:lnTo>
                  <a:pt x="0" y="457"/>
                </a:lnTo>
                <a:lnTo>
                  <a:pt x="444"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50" name="Shape 68">
            <a:extLst>
              <a:ext uri="{FF2B5EF4-FFF2-40B4-BE49-F238E27FC236}">
                <a16:creationId xmlns:a16="http://schemas.microsoft.com/office/drawing/2014/main" id="{00000000-0008-0000-0D00-000096000000}"/>
              </a:ext>
            </a:extLst>
          </xdr:cNvPr>
          <xdr:cNvSpPr/>
        </xdr:nvSpPr>
        <xdr:spPr>
          <a:xfrm>
            <a:off x="398202" y="2304685"/>
            <a:ext cx="16294" cy="12648"/>
          </a:xfrm>
          <a:custGeom>
            <a:avLst/>
            <a:gdLst/>
            <a:ahLst/>
            <a:cxnLst/>
            <a:rect l="0" t="0" r="0" b="0"/>
            <a:pathLst>
              <a:path w="12497" h="12497">
                <a:moveTo>
                  <a:pt x="0" y="12497"/>
                </a:moveTo>
                <a:lnTo>
                  <a:pt x="12497" y="0"/>
                </a:lnTo>
              </a:path>
            </a:pathLst>
          </a:custGeom>
          <a:ln w="12700" cap="rnd">
            <a:custDash>
              <a:ds d="8700" sp="260900"/>
            </a:custDash>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51" name="Shape 69">
            <a:extLst>
              <a:ext uri="{FF2B5EF4-FFF2-40B4-BE49-F238E27FC236}">
                <a16:creationId xmlns:a16="http://schemas.microsoft.com/office/drawing/2014/main" id="{00000000-0008-0000-0D00-000097000000}"/>
              </a:ext>
            </a:extLst>
          </xdr:cNvPr>
          <xdr:cNvSpPr/>
        </xdr:nvSpPr>
        <xdr:spPr>
          <a:xfrm>
            <a:off x="429773" y="2292378"/>
            <a:ext cx="579" cy="450"/>
          </a:xfrm>
          <a:custGeom>
            <a:avLst/>
            <a:gdLst/>
            <a:ahLst/>
            <a:cxnLst/>
            <a:rect l="0" t="0" r="0" b="0"/>
            <a:pathLst>
              <a:path w="444" h="445">
                <a:moveTo>
                  <a:pt x="0" y="445"/>
                </a:moveTo>
                <a:lnTo>
                  <a:pt x="444"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52" name="Shape 70">
            <a:extLst>
              <a:ext uri="{FF2B5EF4-FFF2-40B4-BE49-F238E27FC236}">
                <a16:creationId xmlns:a16="http://schemas.microsoft.com/office/drawing/2014/main" id="{00000000-0008-0000-0D00-000098000000}"/>
              </a:ext>
            </a:extLst>
          </xdr:cNvPr>
          <xdr:cNvSpPr/>
        </xdr:nvSpPr>
        <xdr:spPr>
          <a:xfrm>
            <a:off x="8298817" y="2341501"/>
            <a:ext cx="828" cy="0"/>
          </a:xfrm>
          <a:custGeom>
            <a:avLst/>
            <a:gdLst/>
            <a:ahLst/>
            <a:cxnLst/>
            <a:rect l="0" t="0" r="0" b="0"/>
            <a:pathLst>
              <a:path w="635">
                <a:moveTo>
                  <a:pt x="635" y="0"/>
                </a:moveTo>
                <a:lnTo>
                  <a:pt x="0"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53" name="Shape 71">
            <a:extLst>
              <a:ext uri="{FF2B5EF4-FFF2-40B4-BE49-F238E27FC236}">
                <a16:creationId xmlns:a16="http://schemas.microsoft.com/office/drawing/2014/main" id="{00000000-0008-0000-0D00-000099000000}"/>
              </a:ext>
            </a:extLst>
          </xdr:cNvPr>
          <xdr:cNvSpPr/>
        </xdr:nvSpPr>
        <xdr:spPr>
          <a:xfrm>
            <a:off x="4356847" y="2344963"/>
            <a:ext cx="3892092" cy="0"/>
          </a:xfrm>
          <a:custGeom>
            <a:avLst/>
            <a:gdLst/>
            <a:ahLst/>
            <a:cxnLst/>
            <a:rect l="0" t="0" r="0" b="0"/>
            <a:pathLst>
              <a:path w="2985046">
                <a:moveTo>
                  <a:pt x="2985046" y="0"/>
                </a:moveTo>
                <a:lnTo>
                  <a:pt x="0" y="0"/>
                </a:lnTo>
              </a:path>
            </a:pathLst>
          </a:custGeom>
          <a:ln w="12700" cap="rnd">
            <a:custDash>
              <a:ds d="10000" sp="301200"/>
            </a:custDash>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54" name="Shape 72">
            <a:extLst>
              <a:ext uri="{FF2B5EF4-FFF2-40B4-BE49-F238E27FC236}">
                <a16:creationId xmlns:a16="http://schemas.microsoft.com/office/drawing/2014/main" id="{00000000-0008-0000-0D00-00009A000000}"/>
              </a:ext>
            </a:extLst>
          </xdr:cNvPr>
          <xdr:cNvSpPr/>
        </xdr:nvSpPr>
        <xdr:spPr>
          <a:xfrm>
            <a:off x="4331075" y="2341501"/>
            <a:ext cx="828" cy="0"/>
          </a:xfrm>
          <a:custGeom>
            <a:avLst/>
            <a:gdLst/>
            <a:ahLst/>
            <a:cxnLst/>
            <a:rect l="0" t="0" r="0" b="0"/>
            <a:pathLst>
              <a:path w="635">
                <a:moveTo>
                  <a:pt x="635" y="0"/>
                </a:moveTo>
                <a:lnTo>
                  <a:pt x="0"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55" name="Shape 73">
            <a:extLst>
              <a:ext uri="{FF2B5EF4-FFF2-40B4-BE49-F238E27FC236}">
                <a16:creationId xmlns:a16="http://schemas.microsoft.com/office/drawing/2014/main" id="{00000000-0008-0000-0D00-00009B000000}"/>
              </a:ext>
            </a:extLst>
          </xdr:cNvPr>
          <xdr:cNvSpPr/>
        </xdr:nvSpPr>
        <xdr:spPr>
          <a:xfrm>
            <a:off x="8236349" y="2390180"/>
            <a:ext cx="579" cy="450"/>
          </a:xfrm>
          <a:custGeom>
            <a:avLst/>
            <a:gdLst/>
            <a:ahLst/>
            <a:cxnLst/>
            <a:rect l="0" t="0" r="0" b="0"/>
            <a:pathLst>
              <a:path w="444" h="445">
                <a:moveTo>
                  <a:pt x="0" y="445"/>
                </a:moveTo>
                <a:lnTo>
                  <a:pt x="444"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56" name="Shape 74">
            <a:extLst>
              <a:ext uri="{FF2B5EF4-FFF2-40B4-BE49-F238E27FC236}">
                <a16:creationId xmlns:a16="http://schemas.microsoft.com/office/drawing/2014/main" id="{00000000-0008-0000-0D00-00009C000000}"/>
              </a:ext>
            </a:extLst>
          </xdr:cNvPr>
          <xdr:cNvSpPr/>
        </xdr:nvSpPr>
        <xdr:spPr>
          <a:xfrm>
            <a:off x="8267488" y="2353813"/>
            <a:ext cx="16294" cy="12648"/>
          </a:xfrm>
          <a:custGeom>
            <a:avLst/>
            <a:gdLst/>
            <a:ahLst/>
            <a:cxnLst/>
            <a:rect l="0" t="0" r="0" b="0"/>
            <a:pathLst>
              <a:path w="12497" h="12497">
                <a:moveTo>
                  <a:pt x="0" y="12497"/>
                </a:moveTo>
                <a:lnTo>
                  <a:pt x="12497" y="0"/>
                </a:lnTo>
              </a:path>
            </a:pathLst>
          </a:custGeom>
          <a:ln w="12700" cap="rnd">
            <a:custDash>
              <a:ds d="8700" sp="260900"/>
            </a:custDash>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57" name="Shape 75">
            <a:extLst>
              <a:ext uri="{FF2B5EF4-FFF2-40B4-BE49-F238E27FC236}">
                <a16:creationId xmlns:a16="http://schemas.microsoft.com/office/drawing/2014/main" id="{00000000-0008-0000-0D00-00009D000000}"/>
              </a:ext>
            </a:extLst>
          </xdr:cNvPr>
          <xdr:cNvSpPr/>
        </xdr:nvSpPr>
        <xdr:spPr>
          <a:xfrm>
            <a:off x="8299060" y="2341044"/>
            <a:ext cx="579" cy="913"/>
          </a:xfrm>
          <a:custGeom>
            <a:avLst/>
            <a:gdLst/>
            <a:ahLst/>
            <a:cxnLst/>
            <a:rect l="0" t="0" r="0" b="0"/>
            <a:pathLst>
              <a:path w="444" h="902">
                <a:moveTo>
                  <a:pt x="0" y="902"/>
                </a:moveTo>
                <a:lnTo>
                  <a:pt x="444" y="457"/>
                </a:lnTo>
                <a:lnTo>
                  <a:pt x="0"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58" name="Shape 76">
            <a:extLst>
              <a:ext uri="{FF2B5EF4-FFF2-40B4-BE49-F238E27FC236}">
                <a16:creationId xmlns:a16="http://schemas.microsoft.com/office/drawing/2014/main" id="{00000000-0008-0000-0D00-00009E000000}"/>
              </a:ext>
            </a:extLst>
          </xdr:cNvPr>
          <xdr:cNvSpPr/>
        </xdr:nvSpPr>
        <xdr:spPr>
          <a:xfrm>
            <a:off x="8252210" y="2304685"/>
            <a:ext cx="16294" cy="12648"/>
          </a:xfrm>
          <a:custGeom>
            <a:avLst/>
            <a:gdLst/>
            <a:ahLst/>
            <a:cxnLst/>
            <a:rect l="0" t="0" r="0" b="0"/>
            <a:pathLst>
              <a:path w="12497" h="12497">
                <a:moveTo>
                  <a:pt x="12497" y="12497"/>
                </a:moveTo>
                <a:lnTo>
                  <a:pt x="0" y="0"/>
                </a:lnTo>
              </a:path>
            </a:pathLst>
          </a:custGeom>
          <a:ln w="12700" cap="rnd">
            <a:custDash>
              <a:ds d="8700" sp="260900"/>
            </a:custDash>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59" name="Shape 77">
            <a:extLst>
              <a:ext uri="{FF2B5EF4-FFF2-40B4-BE49-F238E27FC236}">
                <a16:creationId xmlns:a16="http://schemas.microsoft.com/office/drawing/2014/main" id="{00000000-0008-0000-0D00-00009F000000}"/>
              </a:ext>
            </a:extLst>
          </xdr:cNvPr>
          <xdr:cNvSpPr/>
        </xdr:nvSpPr>
        <xdr:spPr>
          <a:xfrm>
            <a:off x="8236357" y="2292378"/>
            <a:ext cx="579" cy="450"/>
          </a:xfrm>
          <a:custGeom>
            <a:avLst/>
            <a:gdLst/>
            <a:ahLst/>
            <a:cxnLst/>
            <a:rect l="0" t="0" r="0" b="0"/>
            <a:pathLst>
              <a:path w="444" h="445">
                <a:moveTo>
                  <a:pt x="444" y="445"/>
                </a:moveTo>
                <a:lnTo>
                  <a:pt x="0"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60" name="Rectangle 159">
            <a:extLst>
              <a:ext uri="{FF2B5EF4-FFF2-40B4-BE49-F238E27FC236}">
                <a16:creationId xmlns:a16="http://schemas.microsoft.com/office/drawing/2014/main" id="{00000000-0008-0000-0D00-0000A0000000}"/>
              </a:ext>
            </a:extLst>
          </xdr:cNvPr>
          <xdr:cNvSpPr/>
        </xdr:nvSpPr>
        <xdr:spPr>
          <a:xfrm>
            <a:off x="5302211" y="2359821"/>
            <a:ext cx="1651521" cy="280527"/>
          </a:xfrm>
          <a:prstGeom prst="rect">
            <a:avLst/>
          </a:prstGeom>
          <a:ln>
            <a:noFill/>
          </a:ln>
        </xdr:spPr>
        <xdr:txBody>
          <a:bodyPr vert="horz" wrap="square" lIns="0" tIns="0" rIns="0" bIns="0" rtlCol="0">
            <a:no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lnSpc>
                <a:spcPct val="107000"/>
              </a:lnSpc>
              <a:spcAft>
                <a:spcPts val="800"/>
              </a:spcAft>
            </a:pPr>
            <a:r>
              <a:rPr lang="fr-FR" sz="1250">
                <a:solidFill>
                  <a:sysClr val="windowText" lastClr="000000"/>
                </a:solidFill>
                <a:effectLst/>
                <a:latin typeface="Calibri Light" panose="020F0302020204030204" pitchFamily="34" charset="0"/>
                <a:ea typeface="Lato" panose="020F0502020204030203" pitchFamily="34" charset="0"/>
                <a:cs typeface="Lato" panose="020F0502020204030203" pitchFamily="34" charset="0"/>
              </a:rPr>
              <a:t>Effet pro oestrogénique</a:t>
            </a:r>
          </a:p>
        </xdr:txBody>
      </xdr:sp>
      <xdr:sp macro="" textlink="">
        <xdr:nvSpPr>
          <xdr:cNvPr id="161" name="ZoneTexte 55">
            <a:extLst>
              <a:ext uri="{FF2B5EF4-FFF2-40B4-BE49-F238E27FC236}">
                <a16:creationId xmlns:a16="http://schemas.microsoft.com/office/drawing/2014/main" id="{00000000-0008-0000-0D00-0000A1000000}"/>
              </a:ext>
            </a:extLst>
          </xdr:cNvPr>
          <xdr:cNvSpPr txBox="1"/>
        </xdr:nvSpPr>
        <xdr:spPr>
          <a:xfrm>
            <a:off x="7011527" y="1715956"/>
            <a:ext cx="1135621" cy="421141"/>
          </a:xfrm>
          <a:prstGeom prst="rect">
            <a:avLst/>
          </a:prstGeom>
          <a:noFill/>
        </xdr:spPr>
        <xdr:txBody>
          <a:bodyPr wrap="square" rtlCol="0">
            <a:sp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fr-FR" sz="1050">
                <a:solidFill>
                  <a:srgbClr val="C00000"/>
                </a:solidFill>
                <a:latin typeface="Calibri Light" panose="020F0302020204030204" pitchFamily="34" charset="0"/>
              </a:rPr>
              <a:t>Evènement clé physiologique</a:t>
            </a:r>
          </a:p>
        </xdr:txBody>
      </xdr:sp>
      <xdr:sp macro="" textlink="">
        <xdr:nvSpPr>
          <xdr:cNvPr id="162" name="ZoneTexte 56">
            <a:extLst>
              <a:ext uri="{FF2B5EF4-FFF2-40B4-BE49-F238E27FC236}">
                <a16:creationId xmlns:a16="http://schemas.microsoft.com/office/drawing/2014/main" id="{00000000-0008-0000-0D00-0000A2000000}"/>
              </a:ext>
            </a:extLst>
          </xdr:cNvPr>
          <xdr:cNvSpPr txBox="1"/>
        </xdr:nvSpPr>
        <xdr:spPr>
          <a:xfrm>
            <a:off x="443646" y="1721744"/>
            <a:ext cx="1135621" cy="421141"/>
          </a:xfrm>
          <a:prstGeom prst="rect">
            <a:avLst/>
          </a:prstGeom>
          <a:noFill/>
        </xdr:spPr>
        <xdr:txBody>
          <a:bodyPr wrap="square" rtlCol="0">
            <a:sp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fr-FR" sz="1050">
                <a:solidFill>
                  <a:srgbClr val="C00000"/>
                </a:solidFill>
                <a:latin typeface="Calibri Light" panose="020F0302020204030204" pitchFamily="34" charset="0"/>
              </a:rPr>
              <a:t>Evènement clé physiologique</a:t>
            </a:r>
          </a:p>
        </xdr:txBody>
      </xdr:sp>
    </xdr:grpSp>
    <xdr:clientData/>
  </xdr:twoCellAnchor>
  <xdr:twoCellAnchor editAs="absolute">
    <xdr:from>
      <xdr:col>30</xdr:col>
      <xdr:colOff>95250</xdr:colOff>
      <xdr:row>4</xdr:row>
      <xdr:rowOff>197921</xdr:rowOff>
    </xdr:from>
    <xdr:to>
      <xdr:col>43</xdr:col>
      <xdr:colOff>284512</xdr:colOff>
      <xdr:row>17</xdr:row>
      <xdr:rowOff>43528</xdr:rowOff>
    </xdr:to>
    <xdr:graphicFrame macro="">
      <xdr:nvGraphicFramePr>
        <xdr:cNvPr id="163" name="Graphique 162">
          <a:extLst>
            <a:ext uri="{FF2B5EF4-FFF2-40B4-BE49-F238E27FC236}">
              <a16:creationId xmlns:a16="http://schemas.microsoft.com/office/drawing/2014/main" id="{00000000-0008-0000-0D00-0000A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absolute">
    <xdr:from>
      <xdr:col>29</xdr:col>
      <xdr:colOff>530680</xdr:colOff>
      <xdr:row>33</xdr:row>
      <xdr:rowOff>40820</xdr:rowOff>
    </xdr:from>
    <xdr:to>
      <xdr:col>43</xdr:col>
      <xdr:colOff>107620</xdr:colOff>
      <xdr:row>47</xdr:row>
      <xdr:rowOff>63320</xdr:rowOff>
    </xdr:to>
    <xdr:graphicFrame macro="">
      <xdr:nvGraphicFramePr>
        <xdr:cNvPr id="164" name="Graphique 163">
          <a:extLst>
            <a:ext uri="{FF2B5EF4-FFF2-40B4-BE49-F238E27FC236}">
              <a16:creationId xmlns:a16="http://schemas.microsoft.com/office/drawing/2014/main" id="{00000000-0008-0000-0D00-0000A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absolute">
    <xdr:from>
      <xdr:col>30</xdr:col>
      <xdr:colOff>1</xdr:colOff>
      <xdr:row>46</xdr:row>
      <xdr:rowOff>29696</xdr:rowOff>
    </xdr:from>
    <xdr:to>
      <xdr:col>43</xdr:col>
      <xdr:colOff>52809</xdr:colOff>
      <xdr:row>51</xdr:row>
      <xdr:rowOff>106544</xdr:rowOff>
    </xdr:to>
    <xdr:grpSp>
      <xdr:nvGrpSpPr>
        <xdr:cNvPr id="165" name="Groupe 164">
          <a:extLst>
            <a:ext uri="{FF2B5EF4-FFF2-40B4-BE49-F238E27FC236}">
              <a16:creationId xmlns:a16="http://schemas.microsoft.com/office/drawing/2014/main" id="{00000000-0008-0000-0D00-0000A5000000}"/>
            </a:ext>
          </a:extLst>
        </xdr:cNvPr>
        <xdr:cNvGrpSpPr/>
      </xdr:nvGrpSpPr>
      <xdr:grpSpPr>
        <a:xfrm>
          <a:off x="29754287" y="10062696"/>
          <a:ext cx="8425736" cy="1074705"/>
          <a:chOff x="367064" y="1542965"/>
          <a:chExt cx="7932581" cy="1097383"/>
        </a:xfrm>
      </xdr:grpSpPr>
      <xdr:sp macro="" textlink="">
        <xdr:nvSpPr>
          <xdr:cNvPr id="166" name="Shape 6">
            <a:extLst>
              <a:ext uri="{FF2B5EF4-FFF2-40B4-BE49-F238E27FC236}">
                <a16:creationId xmlns:a16="http://schemas.microsoft.com/office/drawing/2014/main" id="{00000000-0008-0000-0D00-0000A6000000}"/>
              </a:ext>
            </a:extLst>
          </xdr:cNvPr>
          <xdr:cNvSpPr/>
        </xdr:nvSpPr>
        <xdr:spPr>
          <a:xfrm>
            <a:off x="435015" y="2113493"/>
            <a:ext cx="730603" cy="180817"/>
          </a:xfrm>
          <a:custGeom>
            <a:avLst/>
            <a:gdLst/>
            <a:ahLst/>
            <a:cxnLst/>
            <a:rect l="0" t="0" r="0" b="0"/>
            <a:pathLst>
              <a:path w="560337" h="178664">
                <a:moveTo>
                  <a:pt x="114402" y="0"/>
                </a:moveTo>
                <a:lnTo>
                  <a:pt x="560337" y="0"/>
                </a:lnTo>
                <a:lnTo>
                  <a:pt x="560337" y="178664"/>
                </a:lnTo>
                <a:lnTo>
                  <a:pt x="114402" y="178664"/>
                </a:lnTo>
                <a:lnTo>
                  <a:pt x="0" y="89332"/>
                </a:lnTo>
                <a:lnTo>
                  <a:pt x="114402" y="0"/>
                </a:lnTo>
                <a:close/>
              </a:path>
            </a:pathLst>
          </a:custGeom>
          <a:ln w="0" cap="flat">
            <a:miter lim="127000"/>
          </a:ln>
        </xdr:spPr>
        <xdr:style>
          <a:lnRef idx="0">
            <a:srgbClr val="000000">
              <a:alpha val="0"/>
            </a:srgbClr>
          </a:lnRef>
          <a:fillRef idx="1">
            <a:srgbClr val="DD453C"/>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67" name="Shape 322">
            <a:extLst>
              <a:ext uri="{FF2B5EF4-FFF2-40B4-BE49-F238E27FC236}">
                <a16:creationId xmlns:a16="http://schemas.microsoft.com/office/drawing/2014/main" id="{00000000-0008-0000-0D00-0000A7000000}"/>
              </a:ext>
            </a:extLst>
          </xdr:cNvPr>
          <xdr:cNvSpPr/>
        </xdr:nvSpPr>
        <xdr:spPr>
          <a:xfrm>
            <a:off x="1157583" y="2113911"/>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DD453C"/>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68" name="Shape 323">
            <a:extLst>
              <a:ext uri="{FF2B5EF4-FFF2-40B4-BE49-F238E27FC236}">
                <a16:creationId xmlns:a16="http://schemas.microsoft.com/office/drawing/2014/main" id="{00000000-0008-0000-0D00-0000A8000000}"/>
              </a:ext>
            </a:extLst>
          </xdr:cNvPr>
          <xdr:cNvSpPr/>
        </xdr:nvSpPr>
        <xdr:spPr>
          <a:xfrm>
            <a:off x="1740131" y="2113911"/>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FADD39"/>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69" name="Shape 324">
            <a:extLst>
              <a:ext uri="{FF2B5EF4-FFF2-40B4-BE49-F238E27FC236}">
                <a16:creationId xmlns:a16="http://schemas.microsoft.com/office/drawing/2014/main" id="{00000000-0008-0000-0D00-0000A9000000}"/>
              </a:ext>
            </a:extLst>
          </xdr:cNvPr>
          <xdr:cNvSpPr/>
        </xdr:nvSpPr>
        <xdr:spPr>
          <a:xfrm>
            <a:off x="2295534"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FADD39"/>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70" name="Shape 325">
            <a:extLst>
              <a:ext uri="{FF2B5EF4-FFF2-40B4-BE49-F238E27FC236}">
                <a16:creationId xmlns:a16="http://schemas.microsoft.com/office/drawing/2014/main" id="{00000000-0008-0000-0D00-0000AA000000}"/>
              </a:ext>
            </a:extLst>
          </xdr:cNvPr>
          <xdr:cNvSpPr/>
        </xdr:nvSpPr>
        <xdr:spPr>
          <a:xfrm>
            <a:off x="2878082"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CED542"/>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71" name="Shape 326">
            <a:extLst>
              <a:ext uri="{FF2B5EF4-FFF2-40B4-BE49-F238E27FC236}">
                <a16:creationId xmlns:a16="http://schemas.microsoft.com/office/drawing/2014/main" id="{00000000-0008-0000-0D00-0000AB000000}"/>
              </a:ext>
            </a:extLst>
          </xdr:cNvPr>
          <xdr:cNvSpPr/>
        </xdr:nvSpPr>
        <xdr:spPr>
          <a:xfrm>
            <a:off x="3460647"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A2CC4A"/>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72" name="Shape 12">
            <a:extLst>
              <a:ext uri="{FF2B5EF4-FFF2-40B4-BE49-F238E27FC236}">
                <a16:creationId xmlns:a16="http://schemas.microsoft.com/office/drawing/2014/main" id="{00000000-0008-0000-0D00-0000AC000000}"/>
              </a:ext>
            </a:extLst>
          </xdr:cNvPr>
          <xdr:cNvSpPr/>
        </xdr:nvSpPr>
        <xdr:spPr>
          <a:xfrm>
            <a:off x="7514306" y="2112013"/>
            <a:ext cx="730603" cy="180817"/>
          </a:xfrm>
          <a:custGeom>
            <a:avLst/>
            <a:gdLst/>
            <a:ahLst/>
            <a:cxnLst/>
            <a:rect l="0" t="0" r="0" b="0"/>
            <a:pathLst>
              <a:path w="560337" h="178664">
                <a:moveTo>
                  <a:pt x="0" y="0"/>
                </a:moveTo>
                <a:lnTo>
                  <a:pt x="445935" y="0"/>
                </a:lnTo>
                <a:lnTo>
                  <a:pt x="560337" y="89332"/>
                </a:lnTo>
                <a:lnTo>
                  <a:pt x="445935" y="178664"/>
                </a:lnTo>
                <a:lnTo>
                  <a:pt x="0" y="178664"/>
                </a:lnTo>
                <a:lnTo>
                  <a:pt x="0" y="0"/>
                </a:lnTo>
                <a:close/>
              </a:path>
            </a:pathLst>
          </a:custGeom>
          <a:ln w="0" cap="flat">
            <a:miter lim="127000"/>
          </a:ln>
        </xdr:spPr>
        <xdr:style>
          <a:lnRef idx="0">
            <a:srgbClr val="000000">
              <a:alpha val="0"/>
            </a:srgbClr>
          </a:lnRef>
          <a:fillRef idx="1">
            <a:srgbClr val="DD453C"/>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73" name="Shape 327">
            <a:extLst>
              <a:ext uri="{FF2B5EF4-FFF2-40B4-BE49-F238E27FC236}">
                <a16:creationId xmlns:a16="http://schemas.microsoft.com/office/drawing/2014/main" id="{00000000-0008-0000-0D00-0000AD000000}"/>
              </a:ext>
            </a:extLst>
          </xdr:cNvPr>
          <xdr:cNvSpPr/>
        </xdr:nvSpPr>
        <xdr:spPr>
          <a:xfrm>
            <a:off x="6930047"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DD453C"/>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74" name="Shape 328">
            <a:extLst>
              <a:ext uri="{FF2B5EF4-FFF2-40B4-BE49-F238E27FC236}">
                <a16:creationId xmlns:a16="http://schemas.microsoft.com/office/drawing/2014/main" id="{00000000-0008-0000-0D00-0000AE000000}"/>
              </a:ext>
            </a:extLst>
          </xdr:cNvPr>
          <xdr:cNvSpPr/>
        </xdr:nvSpPr>
        <xdr:spPr>
          <a:xfrm>
            <a:off x="6364674"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FADD39"/>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75" name="Shape 329">
            <a:extLst>
              <a:ext uri="{FF2B5EF4-FFF2-40B4-BE49-F238E27FC236}">
                <a16:creationId xmlns:a16="http://schemas.microsoft.com/office/drawing/2014/main" id="{00000000-0008-0000-0D00-0000AF000000}"/>
              </a:ext>
            </a:extLst>
          </xdr:cNvPr>
          <xdr:cNvSpPr/>
        </xdr:nvSpPr>
        <xdr:spPr>
          <a:xfrm>
            <a:off x="5781746"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FADD39"/>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76" name="Shape 330">
            <a:extLst>
              <a:ext uri="{FF2B5EF4-FFF2-40B4-BE49-F238E27FC236}">
                <a16:creationId xmlns:a16="http://schemas.microsoft.com/office/drawing/2014/main" id="{00000000-0008-0000-0D00-0000B0000000}"/>
              </a:ext>
            </a:extLst>
          </xdr:cNvPr>
          <xdr:cNvSpPr/>
        </xdr:nvSpPr>
        <xdr:spPr>
          <a:xfrm>
            <a:off x="5207181"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CED542"/>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77" name="Shape 331">
            <a:extLst>
              <a:ext uri="{FF2B5EF4-FFF2-40B4-BE49-F238E27FC236}">
                <a16:creationId xmlns:a16="http://schemas.microsoft.com/office/drawing/2014/main" id="{00000000-0008-0000-0D00-0000B1000000}"/>
              </a:ext>
            </a:extLst>
          </xdr:cNvPr>
          <xdr:cNvSpPr/>
        </xdr:nvSpPr>
        <xdr:spPr>
          <a:xfrm>
            <a:off x="4624633"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A2CC4A"/>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78" name="Shape 332">
            <a:extLst>
              <a:ext uri="{FF2B5EF4-FFF2-40B4-BE49-F238E27FC236}">
                <a16:creationId xmlns:a16="http://schemas.microsoft.com/office/drawing/2014/main" id="{00000000-0008-0000-0D00-0000B2000000}"/>
              </a:ext>
            </a:extLst>
          </xdr:cNvPr>
          <xdr:cNvSpPr/>
        </xdr:nvSpPr>
        <xdr:spPr>
          <a:xfrm>
            <a:off x="4043195"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76C453"/>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pic>
        <xdr:nvPicPr>
          <xdr:cNvPr id="179" name="Picture 308">
            <a:extLst>
              <a:ext uri="{FF2B5EF4-FFF2-40B4-BE49-F238E27FC236}">
                <a16:creationId xmlns:a16="http://schemas.microsoft.com/office/drawing/2014/main" id="{00000000-0008-0000-0D00-0000B3000000}"/>
              </a:ext>
            </a:extLst>
          </xdr:cNvPr>
          <xdr:cNvPicPr/>
        </xdr:nvPicPr>
        <xdr:blipFill>
          <a:blip xmlns:r="http://schemas.openxmlformats.org/officeDocument/2006/relationships" r:embed="rId3"/>
          <a:stretch>
            <a:fillRect/>
          </a:stretch>
        </xdr:blipFill>
        <xdr:spPr>
          <a:xfrm>
            <a:off x="4245514" y="1729311"/>
            <a:ext cx="162941" cy="567590"/>
          </a:xfrm>
          <a:prstGeom prst="rect">
            <a:avLst/>
          </a:prstGeom>
        </xdr:spPr>
      </xdr:pic>
      <xdr:sp macro="" textlink="">
        <xdr:nvSpPr>
          <xdr:cNvPr id="180" name="Shape 20">
            <a:extLst>
              <a:ext uri="{FF2B5EF4-FFF2-40B4-BE49-F238E27FC236}">
                <a16:creationId xmlns:a16="http://schemas.microsoft.com/office/drawing/2014/main" id="{00000000-0008-0000-0D00-0000B4000000}"/>
              </a:ext>
            </a:extLst>
          </xdr:cNvPr>
          <xdr:cNvSpPr/>
        </xdr:nvSpPr>
        <xdr:spPr>
          <a:xfrm>
            <a:off x="4253445" y="1735390"/>
            <a:ext cx="155274" cy="559339"/>
          </a:xfrm>
          <a:custGeom>
            <a:avLst/>
            <a:gdLst/>
            <a:ahLst/>
            <a:cxnLst/>
            <a:rect l="0" t="0" r="0" b="0"/>
            <a:pathLst>
              <a:path w="119088" h="552679">
                <a:moveTo>
                  <a:pt x="0" y="552679"/>
                </a:moveTo>
                <a:lnTo>
                  <a:pt x="119088" y="552679"/>
                </a:lnTo>
                <a:lnTo>
                  <a:pt x="119088" y="0"/>
                </a:lnTo>
                <a:lnTo>
                  <a:pt x="0" y="0"/>
                </a:lnTo>
                <a:close/>
              </a:path>
            </a:pathLst>
          </a:custGeom>
          <a:ln w="3175" cap="flat">
            <a:miter lim="127000"/>
          </a:ln>
        </xdr:spPr>
        <xdr:style>
          <a:lnRef idx="1">
            <a:srgbClr val="000000">
              <a:alpha val="0"/>
            </a:srgbClr>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81" name="Shape 333">
            <a:extLst>
              <a:ext uri="{FF2B5EF4-FFF2-40B4-BE49-F238E27FC236}">
                <a16:creationId xmlns:a16="http://schemas.microsoft.com/office/drawing/2014/main" id="{00000000-0008-0000-0D00-0000B5000000}"/>
              </a:ext>
            </a:extLst>
          </xdr:cNvPr>
          <xdr:cNvSpPr/>
        </xdr:nvSpPr>
        <xdr:spPr>
          <a:xfrm>
            <a:off x="4267123" y="1758638"/>
            <a:ext cx="119722" cy="262639"/>
          </a:xfrm>
          <a:custGeom>
            <a:avLst/>
            <a:gdLst/>
            <a:ahLst/>
            <a:cxnLst/>
            <a:rect l="0" t="0" r="0" b="0"/>
            <a:pathLst>
              <a:path w="91821" h="259512">
                <a:moveTo>
                  <a:pt x="0" y="0"/>
                </a:moveTo>
                <a:lnTo>
                  <a:pt x="91821" y="0"/>
                </a:lnTo>
                <a:lnTo>
                  <a:pt x="91821" y="259512"/>
                </a:lnTo>
                <a:lnTo>
                  <a:pt x="0" y="259512"/>
                </a:lnTo>
                <a:lnTo>
                  <a:pt x="0" y="0"/>
                </a:lnTo>
              </a:path>
            </a:pathLst>
          </a:custGeom>
          <a:ln w="0" cap="flat">
            <a:miter lim="127000"/>
          </a:ln>
        </xdr:spPr>
        <xdr:style>
          <a:lnRef idx="0">
            <a:srgbClr val="000000">
              <a:alpha val="0"/>
            </a:srgbClr>
          </a:lnRef>
          <a:fillRef idx="1">
            <a:srgbClr val="76C453"/>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82" name="Rectangle 181">
            <a:extLst>
              <a:ext uri="{FF2B5EF4-FFF2-40B4-BE49-F238E27FC236}">
                <a16:creationId xmlns:a16="http://schemas.microsoft.com/office/drawing/2014/main" id="{00000000-0008-0000-0D00-0000B6000000}"/>
              </a:ext>
            </a:extLst>
          </xdr:cNvPr>
          <xdr:cNvSpPr/>
        </xdr:nvSpPr>
        <xdr:spPr>
          <a:xfrm>
            <a:off x="4220933" y="1549342"/>
            <a:ext cx="253715" cy="214210"/>
          </a:xfrm>
          <a:prstGeom prst="rect">
            <a:avLst/>
          </a:prstGeom>
          <a:ln>
            <a:noFill/>
          </a:ln>
        </xdr:spPr>
        <xdr:txBody>
          <a:bodyPr vert="horz" wrap="square" lIns="0" tIns="0" rIns="0" bIns="0" rtlCol="0">
            <a:no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nSpc>
                <a:spcPct val="107000"/>
              </a:lnSpc>
              <a:spcAft>
                <a:spcPts val="800"/>
              </a:spcAft>
            </a:pPr>
            <a:r>
              <a:rPr lang="fr-FR" sz="1250">
                <a:solidFill>
                  <a:srgbClr val="76C453"/>
                </a:solidFill>
                <a:effectLst/>
                <a:latin typeface="Calibri Light" panose="020F0302020204030204" pitchFamily="34" charset="0"/>
                <a:ea typeface="Lato" panose="020F0502020204030203" pitchFamily="34" charset="0"/>
                <a:cs typeface="Lato" panose="020F0502020204030203" pitchFamily="34" charset="0"/>
              </a:rPr>
              <a:t>0 </a:t>
            </a:r>
            <a:r>
              <a:rPr lang="fr-FR" sz="1100">
                <a:solidFill>
                  <a:srgbClr val="76C453"/>
                </a:solidFill>
                <a:latin typeface="Calibri Light" panose="020F0302020204030204" pitchFamily="34" charset="0"/>
                <a:ea typeface="Lato" panose="020F0502020204030203" pitchFamily="34" charset="0"/>
                <a:cs typeface="Lato" panose="020F0502020204030203" pitchFamily="34" charset="0"/>
              </a:rPr>
              <a:t>%</a:t>
            </a:r>
          </a:p>
        </xdr:txBody>
      </xdr:sp>
      <xdr:sp macro="" textlink="">
        <xdr:nvSpPr>
          <xdr:cNvPr id="183" name="Rectangle 182">
            <a:extLst>
              <a:ext uri="{FF2B5EF4-FFF2-40B4-BE49-F238E27FC236}">
                <a16:creationId xmlns:a16="http://schemas.microsoft.com/office/drawing/2014/main" id="{00000000-0008-0000-0D00-0000B7000000}"/>
              </a:ext>
            </a:extLst>
          </xdr:cNvPr>
          <xdr:cNvSpPr/>
        </xdr:nvSpPr>
        <xdr:spPr>
          <a:xfrm>
            <a:off x="4295745" y="1546865"/>
            <a:ext cx="260251" cy="214210"/>
          </a:xfrm>
          <a:prstGeom prst="rect">
            <a:avLst/>
          </a:prstGeom>
          <a:ln>
            <a:noFill/>
          </a:ln>
        </xdr:spPr>
        <xdr:txBody>
          <a:bodyPr vert="horz" wrap="square" lIns="0" tIns="0" rIns="0" bIns="0" rtlCol="0">
            <a:no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nSpc>
                <a:spcPct val="107000"/>
              </a:lnSpc>
              <a:spcAft>
                <a:spcPts val="800"/>
              </a:spcAft>
            </a:pPr>
            <a:r>
              <a:rPr lang="fr-FR" sz="1250">
                <a:solidFill>
                  <a:srgbClr val="76C453"/>
                </a:solidFill>
                <a:effectLst/>
                <a:latin typeface="Calibri Light" panose="020F0302020204030204" pitchFamily="34" charset="0"/>
                <a:ea typeface="Lato" panose="020F0502020204030203" pitchFamily="34" charset="0"/>
                <a:cs typeface="Lato" panose="020F0502020204030203" pitchFamily="34" charset="0"/>
              </a:rPr>
              <a:t> </a:t>
            </a:r>
            <a:endParaRPr lang="fr-FR" sz="1100">
              <a:solidFill>
                <a:srgbClr val="000000"/>
              </a:solidFill>
              <a:effectLst/>
              <a:latin typeface="Calibri Light" panose="020F0302020204030204" pitchFamily="34" charset="0"/>
              <a:ea typeface="Calibri" panose="020F0502020204030204" pitchFamily="34" charset="0"/>
              <a:cs typeface="Calibri" panose="020F0502020204030204" pitchFamily="34" charset="0"/>
            </a:endParaRPr>
          </a:p>
        </xdr:txBody>
      </xdr:sp>
      <xdr:pic>
        <xdr:nvPicPr>
          <xdr:cNvPr id="184" name="Picture 309">
            <a:extLst>
              <a:ext uri="{FF2B5EF4-FFF2-40B4-BE49-F238E27FC236}">
                <a16:creationId xmlns:a16="http://schemas.microsoft.com/office/drawing/2014/main" id="{00000000-0008-0000-0D00-0000B8000000}"/>
              </a:ext>
            </a:extLst>
          </xdr:cNvPr>
          <xdr:cNvPicPr/>
        </xdr:nvPicPr>
        <xdr:blipFill>
          <a:blip xmlns:r="http://schemas.openxmlformats.org/officeDocument/2006/relationships" r:embed="rId3"/>
          <a:stretch>
            <a:fillRect/>
          </a:stretch>
        </xdr:blipFill>
        <xdr:spPr>
          <a:xfrm>
            <a:off x="1648724" y="1729310"/>
            <a:ext cx="162941" cy="567590"/>
          </a:xfrm>
          <a:prstGeom prst="rect">
            <a:avLst/>
          </a:prstGeom>
        </xdr:spPr>
      </xdr:pic>
      <xdr:sp macro="" textlink="">
        <xdr:nvSpPr>
          <xdr:cNvPr id="185" name="Shape 334">
            <a:extLst>
              <a:ext uri="{FF2B5EF4-FFF2-40B4-BE49-F238E27FC236}">
                <a16:creationId xmlns:a16="http://schemas.microsoft.com/office/drawing/2014/main" id="{00000000-0008-0000-0D00-0000B9000000}"/>
              </a:ext>
            </a:extLst>
          </xdr:cNvPr>
          <xdr:cNvSpPr/>
        </xdr:nvSpPr>
        <xdr:spPr>
          <a:xfrm>
            <a:off x="1670333" y="1758637"/>
            <a:ext cx="119722" cy="262639"/>
          </a:xfrm>
          <a:custGeom>
            <a:avLst/>
            <a:gdLst/>
            <a:ahLst/>
            <a:cxnLst/>
            <a:rect l="0" t="0" r="0" b="0"/>
            <a:pathLst>
              <a:path w="91821" h="259512">
                <a:moveTo>
                  <a:pt x="0" y="0"/>
                </a:moveTo>
                <a:lnTo>
                  <a:pt x="91821" y="0"/>
                </a:lnTo>
                <a:lnTo>
                  <a:pt x="91821" y="259512"/>
                </a:lnTo>
                <a:lnTo>
                  <a:pt x="0" y="259512"/>
                </a:lnTo>
                <a:lnTo>
                  <a:pt x="0" y="0"/>
                </a:lnTo>
              </a:path>
            </a:pathLst>
          </a:custGeom>
          <a:ln w="0" cap="flat">
            <a:miter lim="127000"/>
          </a:ln>
        </xdr:spPr>
        <xdr:style>
          <a:lnRef idx="0">
            <a:srgbClr val="000000">
              <a:alpha val="0"/>
            </a:srgbClr>
          </a:lnRef>
          <a:fillRef idx="1">
            <a:srgbClr val="DD453C"/>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86" name="Rectangle 185">
            <a:extLst>
              <a:ext uri="{FF2B5EF4-FFF2-40B4-BE49-F238E27FC236}">
                <a16:creationId xmlns:a16="http://schemas.microsoft.com/office/drawing/2014/main" id="{00000000-0008-0000-0D00-0000BA000000}"/>
              </a:ext>
            </a:extLst>
          </xdr:cNvPr>
          <xdr:cNvSpPr/>
        </xdr:nvSpPr>
        <xdr:spPr>
          <a:xfrm>
            <a:off x="1541716" y="1549341"/>
            <a:ext cx="471705" cy="214210"/>
          </a:xfrm>
          <a:prstGeom prst="rect">
            <a:avLst/>
          </a:prstGeom>
          <a:ln>
            <a:noFill/>
          </a:ln>
        </xdr:spPr>
        <xdr:txBody>
          <a:bodyPr vert="horz" wrap="square" lIns="0" tIns="0" rIns="0" bIns="0" rtlCol="0">
            <a:no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lnSpc>
                <a:spcPct val="107000"/>
              </a:lnSpc>
              <a:spcAft>
                <a:spcPts val="800"/>
              </a:spcAft>
            </a:pPr>
            <a:r>
              <a:rPr lang="fr-FR" sz="1250">
                <a:solidFill>
                  <a:srgbClr val="C00000"/>
                </a:solidFill>
                <a:effectLst/>
                <a:latin typeface="Calibri Light" panose="020F0302020204030204" pitchFamily="34" charset="0"/>
                <a:ea typeface="Lato" panose="020F0502020204030203" pitchFamily="34" charset="0"/>
                <a:cs typeface="Lato" panose="020F0502020204030203" pitchFamily="34" charset="0"/>
              </a:rPr>
              <a:t>100 %</a:t>
            </a:r>
            <a:endParaRPr lang="fr-FR" sz="1100">
              <a:solidFill>
                <a:srgbClr val="C00000"/>
              </a:solidFill>
              <a:effectLst/>
              <a:latin typeface="Calibri Light" panose="020F0302020204030204" pitchFamily="34" charset="0"/>
              <a:ea typeface="Calibri" panose="020F0502020204030204" pitchFamily="34" charset="0"/>
              <a:cs typeface="Calibri" panose="020F0502020204030204" pitchFamily="34" charset="0"/>
            </a:endParaRPr>
          </a:p>
        </xdr:txBody>
      </xdr:sp>
      <xdr:pic>
        <xdr:nvPicPr>
          <xdr:cNvPr id="187" name="Picture 311">
            <a:extLst>
              <a:ext uri="{FF2B5EF4-FFF2-40B4-BE49-F238E27FC236}">
                <a16:creationId xmlns:a16="http://schemas.microsoft.com/office/drawing/2014/main" id="{00000000-0008-0000-0D00-0000BB000000}"/>
              </a:ext>
            </a:extLst>
          </xdr:cNvPr>
          <xdr:cNvPicPr/>
        </xdr:nvPicPr>
        <xdr:blipFill>
          <a:blip xmlns:r="http://schemas.openxmlformats.org/officeDocument/2006/relationships" r:embed="rId4"/>
          <a:stretch>
            <a:fillRect/>
          </a:stretch>
        </xdr:blipFill>
        <xdr:spPr>
          <a:xfrm>
            <a:off x="6856939" y="1729311"/>
            <a:ext cx="166915" cy="567590"/>
          </a:xfrm>
          <a:prstGeom prst="rect">
            <a:avLst/>
          </a:prstGeom>
        </xdr:spPr>
      </xdr:pic>
      <xdr:sp macro="" textlink="">
        <xdr:nvSpPr>
          <xdr:cNvPr id="188" name="Shape 30">
            <a:extLst>
              <a:ext uri="{FF2B5EF4-FFF2-40B4-BE49-F238E27FC236}">
                <a16:creationId xmlns:a16="http://schemas.microsoft.com/office/drawing/2014/main" id="{00000000-0008-0000-0D00-0000BC000000}"/>
              </a:ext>
            </a:extLst>
          </xdr:cNvPr>
          <xdr:cNvSpPr/>
        </xdr:nvSpPr>
        <xdr:spPr>
          <a:xfrm>
            <a:off x="7536628" y="1735390"/>
            <a:ext cx="155274" cy="559339"/>
          </a:xfrm>
          <a:custGeom>
            <a:avLst/>
            <a:gdLst/>
            <a:ahLst/>
            <a:cxnLst/>
            <a:rect l="0" t="0" r="0" b="0"/>
            <a:pathLst>
              <a:path w="119088" h="552679">
                <a:moveTo>
                  <a:pt x="0" y="552679"/>
                </a:moveTo>
                <a:lnTo>
                  <a:pt x="119088" y="552679"/>
                </a:lnTo>
                <a:lnTo>
                  <a:pt x="119088" y="0"/>
                </a:lnTo>
                <a:lnTo>
                  <a:pt x="0" y="0"/>
                </a:lnTo>
                <a:close/>
              </a:path>
            </a:pathLst>
          </a:custGeom>
          <a:ln w="3175" cap="flat">
            <a:miter lim="127000"/>
          </a:ln>
        </xdr:spPr>
        <xdr:style>
          <a:lnRef idx="1">
            <a:srgbClr val="000000">
              <a:alpha val="0"/>
            </a:srgbClr>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89" name="Shape 335">
            <a:extLst>
              <a:ext uri="{FF2B5EF4-FFF2-40B4-BE49-F238E27FC236}">
                <a16:creationId xmlns:a16="http://schemas.microsoft.com/office/drawing/2014/main" id="{00000000-0008-0000-0D00-0000BD000000}"/>
              </a:ext>
            </a:extLst>
          </xdr:cNvPr>
          <xdr:cNvSpPr/>
        </xdr:nvSpPr>
        <xdr:spPr>
          <a:xfrm>
            <a:off x="6880535" y="1758638"/>
            <a:ext cx="119722" cy="262639"/>
          </a:xfrm>
          <a:custGeom>
            <a:avLst/>
            <a:gdLst/>
            <a:ahLst/>
            <a:cxnLst/>
            <a:rect l="0" t="0" r="0" b="0"/>
            <a:pathLst>
              <a:path w="91821" h="259512">
                <a:moveTo>
                  <a:pt x="0" y="0"/>
                </a:moveTo>
                <a:lnTo>
                  <a:pt x="91821" y="0"/>
                </a:lnTo>
                <a:lnTo>
                  <a:pt x="91821" y="259512"/>
                </a:lnTo>
                <a:lnTo>
                  <a:pt x="0" y="259512"/>
                </a:lnTo>
                <a:lnTo>
                  <a:pt x="0" y="0"/>
                </a:lnTo>
              </a:path>
            </a:pathLst>
          </a:custGeom>
          <a:ln w="0" cap="flat">
            <a:miter lim="127000"/>
          </a:ln>
        </xdr:spPr>
        <xdr:style>
          <a:lnRef idx="0">
            <a:srgbClr val="000000">
              <a:alpha val="0"/>
            </a:srgbClr>
          </a:lnRef>
          <a:fillRef idx="1">
            <a:srgbClr val="DD453C"/>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90" name="Rectangle 189">
            <a:extLst>
              <a:ext uri="{FF2B5EF4-FFF2-40B4-BE49-F238E27FC236}">
                <a16:creationId xmlns:a16="http://schemas.microsoft.com/office/drawing/2014/main" id="{00000000-0008-0000-0D00-0000BE000000}"/>
              </a:ext>
            </a:extLst>
          </xdr:cNvPr>
          <xdr:cNvSpPr/>
        </xdr:nvSpPr>
        <xdr:spPr>
          <a:xfrm>
            <a:off x="6744631" y="1549342"/>
            <a:ext cx="471705" cy="214210"/>
          </a:xfrm>
          <a:prstGeom prst="rect">
            <a:avLst/>
          </a:prstGeom>
          <a:ln>
            <a:noFill/>
          </a:ln>
        </xdr:spPr>
        <xdr:txBody>
          <a:bodyPr vert="horz" wrap="square" lIns="0" tIns="0" rIns="0" bIns="0" rtlCol="0">
            <a:no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lnSpc>
                <a:spcPct val="107000"/>
              </a:lnSpc>
              <a:spcAft>
                <a:spcPts val="800"/>
              </a:spcAft>
            </a:pPr>
            <a:r>
              <a:rPr lang="fr-FR" sz="1250">
                <a:solidFill>
                  <a:srgbClr val="C00000"/>
                </a:solidFill>
                <a:effectLst/>
                <a:latin typeface="Calibri Light" panose="020F0302020204030204" pitchFamily="34" charset="0"/>
                <a:ea typeface="Lato" panose="020F0502020204030203" pitchFamily="34" charset="0"/>
                <a:cs typeface="Lato" panose="020F0502020204030203" pitchFamily="34" charset="0"/>
              </a:rPr>
              <a:t>100 %</a:t>
            </a:r>
            <a:endParaRPr lang="fr-FR" sz="1100">
              <a:solidFill>
                <a:srgbClr val="C00000"/>
              </a:solidFill>
              <a:effectLst/>
              <a:latin typeface="Calibri Light" panose="020F0302020204030204" pitchFamily="34" charset="0"/>
              <a:ea typeface="Calibri" panose="020F0502020204030204" pitchFamily="34" charset="0"/>
              <a:cs typeface="Calibri" panose="020F0502020204030204" pitchFamily="34" charset="0"/>
            </a:endParaRPr>
          </a:p>
        </xdr:txBody>
      </xdr:sp>
      <xdr:pic>
        <xdr:nvPicPr>
          <xdr:cNvPr id="191" name="Picture 310">
            <a:extLst>
              <a:ext uri="{FF2B5EF4-FFF2-40B4-BE49-F238E27FC236}">
                <a16:creationId xmlns:a16="http://schemas.microsoft.com/office/drawing/2014/main" id="{00000000-0008-0000-0D00-0000BF000000}"/>
              </a:ext>
            </a:extLst>
          </xdr:cNvPr>
          <xdr:cNvPicPr/>
        </xdr:nvPicPr>
        <xdr:blipFill>
          <a:blip xmlns:r="http://schemas.openxmlformats.org/officeDocument/2006/relationships" r:embed="rId5"/>
          <a:stretch>
            <a:fillRect/>
          </a:stretch>
        </xdr:blipFill>
        <xdr:spPr>
          <a:xfrm>
            <a:off x="2939936" y="1729311"/>
            <a:ext cx="166915" cy="567590"/>
          </a:xfrm>
          <a:prstGeom prst="rect">
            <a:avLst/>
          </a:prstGeom>
        </xdr:spPr>
      </xdr:pic>
      <xdr:sp macro="" textlink="">
        <xdr:nvSpPr>
          <xdr:cNvPr id="192" name="Shape 336">
            <a:extLst>
              <a:ext uri="{FF2B5EF4-FFF2-40B4-BE49-F238E27FC236}">
                <a16:creationId xmlns:a16="http://schemas.microsoft.com/office/drawing/2014/main" id="{00000000-0008-0000-0D00-0000C0000000}"/>
              </a:ext>
            </a:extLst>
          </xdr:cNvPr>
          <xdr:cNvSpPr/>
        </xdr:nvSpPr>
        <xdr:spPr>
          <a:xfrm>
            <a:off x="2963532" y="1758638"/>
            <a:ext cx="119722" cy="262639"/>
          </a:xfrm>
          <a:custGeom>
            <a:avLst/>
            <a:gdLst/>
            <a:ahLst/>
            <a:cxnLst/>
            <a:rect l="0" t="0" r="0" b="0"/>
            <a:pathLst>
              <a:path w="91821" h="259512">
                <a:moveTo>
                  <a:pt x="0" y="0"/>
                </a:moveTo>
                <a:lnTo>
                  <a:pt x="91821" y="0"/>
                </a:lnTo>
                <a:lnTo>
                  <a:pt x="91821" y="259512"/>
                </a:lnTo>
                <a:lnTo>
                  <a:pt x="0" y="259512"/>
                </a:lnTo>
                <a:lnTo>
                  <a:pt x="0" y="0"/>
                </a:lnTo>
              </a:path>
            </a:pathLst>
          </a:custGeom>
          <a:ln w="0" cap="flat">
            <a:miter lim="127000"/>
          </a:ln>
        </xdr:spPr>
        <xdr:style>
          <a:lnRef idx="0">
            <a:srgbClr val="000000">
              <a:alpha val="0"/>
            </a:srgbClr>
          </a:lnRef>
          <a:fillRef idx="1">
            <a:srgbClr val="CED542"/>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93" name="Rectangle 192">
            <a:extLst>
              <a:ext uri="{FF2B5EF4-FFF2-40B4-BE49-F238E27FC236}">
                <a16:creationId xmlns:a16="http://schemas.microsoft.com/office/drawing/2014/main" id="{00000000-0008-0000-0D00-0000C1000000}"/>
              </a:ext>
            </a:extLst>
          </xdr:cNvPr>
          <xdr:cNvSpPr/>
        </xdr:nvSpPr>
        <xdr:spPr>
          <a:xfrm>
            <a:off x="2861809" y="1542965"/>
            <a:ext cx="434333" cy="226964"/>
          </a:xfrm>
          <a:prstGeom prst="rect">
            <a:avLst/>
          </a:prstGeom>
          <a:ln>
            <a:noFill/>
          </a:ln>
        </xdr:spPr>
        <xdr:txBody>
          <a:bodyPr vert="horz" wrap="square" lIns="0" tIns="0" rIns="0" bIns="0" rtlCol="0">
            <a:no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lnSpc>
                <a:spcPct val="107000"/>
              </a:lnSpc>
              <a:spcAft>
                <a:spcPts val="800"/>
              </a:spcAft>
            </a:pPr>
            <a:r>
              <a:rPr lang="fr-FR" sz="1250">
                <a:solidFill>
                  <a:srgbClr val="CED542"/>
                </a:solidFill>
                <a:latin typeface="Calibri Light" panose="020F0302020204030204" pitchFamily="34" charset="0"/>
                <a:ea typeface="Lato" panose="020F0502020204030203" pitchFamily="34" charset="0"/>
                <a:cs typeface="Lato" panose="020F0502020204030203" pitchFamily="34" charset="0"/>
              </a:rPr>
              <a:t>50 %</a:t>
            </a:r>
          </a:p>
        </xdr:txBody>
      </xdr:sp>
      <xdr:pic>
        <xdr:nvPicPr>
          <xdr:cNvPr id="194" name="Picture 312">
            <a:extLst>
              <a:ext uri="{FF2B5EF4-FFF2-40B4-BE49-F238E27FC236}">
                <a16:creationId xmlns:a16="http://schemas.microsoft.com/office/drawing/2014/main" id="{00000000-0008-0000-0D00-0000C2000000}"/>
              </a:ext>
            </a:extLst>
          </xdr:cNvPr>
          <xdr:cNvPicPr/>
        </xdr:nvPicPr>
        <xdr:blipFill>
          <a:blip xmlns:r="http://schemas.openxmlformats.org/officeDocument/2006/relationships" r:embed="rId5"/>
          <a:stretch>
            <a:fillRect/>
          </a:stretch>
        </xdr:blipFill>
        <xdr:spPr>
          <a:xfrm>
            <a:off x="5555301" y="1729311"/>
            <a:ext cx="166915" cy="567590"/>
          </a:xfrm>
          <a:prstGeom prst="rect">
            <a:avLst/>
          </a:prstGeom>
        </xdr:spPr>
      </xdr:pic>
      <xdr:sp macro="" textlink="">
        <xdr:nvSpPr>
          <xdr:cNvPr id="195" name="Shape 337">
            <a:extLst>
              <a:ext uri="{FF2B5EF4-FFF2-40B4-BE49-F238E27FC236}">
                <a16:creationId xmlns:a16="http://schemas.microsoft.com/office/drawing/2014/main" id="{00000000-0008-0000-0D00-0000C3000000}"/>
              </a:ext>
            </a:extLst>
          </xdr:cNvPr>
          <xdr:cNvSpPr/>
        </xdr:nvSpPr>
        <xdr:spPr>
          <a:xfrm>
            <a:off x="5578897" y="1758638"/>
            <a:ext cx="119722" cy="262639"/>
          </a:xfrm>
          <a:custGeom>
            <a:avLst/>
            <a:gdLst/>
            <a:ahLst/>
            <a:cxnLst/>
            <a:rect l="0" t="0" r="0" b="0"/>
            <a:pathLst>
              <a:path w="91821" h="259512">
                <a:moveTo>
                  <a:pt x="0" y="0"/>
                </a:moveTo>
                <a:lnTo>
                  <a:pt x="91821" y="0"/>
                </a:lnTo>
                <a:lnTo>
                  <a:pt x="91821" y="259512"/>
                </a:lnTo>
                <a:lnTo>
                  <a:pt x="0" y="259512"/>
                </a:lnTo>
                <a:lnTo>
                  <a:pt x="0" y="0"/>
                </a:lnTo>
              </a:path>
            </a:pathLst>
          </a:custGeom>
          <a:ln w="0" cap="flat">
            <a:miter lim="127000"/>
          </a:ln>
        </xdr:spPr>
        <xdr:style>
          <a:lnRef idx="0">
            <a:srgbClr val="000000">
              <a:alpha val="0"/>
            </a:srgbClr>
          </a:lnRef>
          <a:fillRef idx="1">
            <a:srgbClr val="CED542"/>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96" name="Rectangle 195">
            <a:extLst>
              <a:ext uri="{FF2B5EF4-FFF2-40B4-BE49-F238E27FC236}">
                <a16:creationId xmlns:a16="http://schemas.microsoft.com/office/drawing/2014/main" id="{00000000-0008-0000-0D00-0000C4000000}"/>
              </a:ext>
            </a:extLst>
          </xdr:cNvPr>
          <xdr:cNvSpPr/>
        </xdr:nvSpPr>
        <xdr:spPr>
          <a:xfrm>
            <a:off x="5425508" y="1544583"/>
            <a:ext cx="429562" cy="223729"/>
          </a:xfrm>
          <a:prstGeom prst="rect">
            <a:avLst/>
          </a:prstGeom>
          <a:ln>
            <a:noFill/>
          </a:ln>
        </xdr:spPr>
        <xdr:txBody>
          <a:bodyPr vert="horz" wrap="square" lIns="0" tIns="0" rIns="0" bIns="0" rtlCol="0">
            <a:no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lnSpc>
                <a:spcPct val="107000"/>
              </a:lnSpc>
              <a:spcAft>
                <a:spcPts val="800"/>
              </a:spcAft>
            </a:pPr>
            <a:r>
              <a:rPr lang="fr-FR" sz="1250">
                <a:solidFill>
                  <a:srgbClr val="CED542"/>
                </a:solidFill>
                <a:latin typeface="Calibri Light" panose="020F0302020204030204" pitchFamily="34" charset="0"/>
                <a:ea typeface="Lato" panose="020F0502020204030203" pitchFamily="34" charset="0"/>
                <a:cs typeface="Lato" panose="020F0502020204030203" pitchFamily="34" charset="0"/>
              </a:rPr>
              <a:t>50 %</a:t>
            </a:r>
          </a:p>
        </xdr:txBody>
      </xdr:sp>
      <xdr:sp macro="" textlink="">
        <xdr:nvSpPr>
          <xdr:cNvPr id="197" name="Rectangle 196">
            <a:extLst>
              <a:ext uri="{FF2B5EF4-FFF2-40B4-BE49-F238E27FC236}">
                <a16:creationId xmlns:a16="http://schemas.microsoft.com/office/drawing/2014/main" id="{00000000-0008-0000-0D00-0000C5000000}"/>
              </a:ext>
            </a:extLst>
          </xdr:cNvPr>
          <xdr:cNvSpPr/>
        </xdr:nvSpPr>
        <xdr:spPr>
          <a:xfrm>
            <a:off x="1922161" y="2359821"/>
            <a:ext cx="1651522" cy="280526"/>
          </a:xfrm>
          <a:prstGeom prst="rect">
            <a:avLst/>
          </a:prstGeom>
          <a:ln>
            <a:noFill/>
          </a:ln>
        </xdr:spPr>
        <xdr:txBody>
          <a:bodyPr vert="horz" wrap="square" lIns="0" tIns="0" rIns="0" bIns="0" rtlCol="0">
            <a:no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lnSpc>
                <a:spcPct val="107000"/>
              </a:lnSpc>
              <a:spcAft>
                <a:spcPts val="800"/>
              </a:spcAft>
            </a:pPr>
            <a:r>
              <a:rPr lang="fr-FR" sz="1250">
                <a:solidFill>
                  <a:sysClr val="windowText" lastClr="000000"/>
                </a:solidFill>
                <a:effectLst/>
                <a:latin typeface="Calibri Light" panose="020F0302020204030204" pitchFamily="34" charset="0"/>
                <a:ea typeface="Lato" panose="020F0502020204030203" pitchFamily="34" charset="0"/>
                <a:cs typeface="Lato" panose="020F0502020204030203" pitchFamily="34" charset="0"/>
              </a:rPr>
              <a:t>Anti estrogen effect</a:t>
            </a:r>
          </a:p>
        </xdr:txBody>
      </xdr:sp>
      <xdr:sp macro="" textlink="">
        <xdr:nvSpPr>
          <xdr:cNvPr id="198" name="Shape 59">
            <a:extLst>
              <a:ext uri="{FF2B5EF4-FFF2-40B4-BE49-F238E27FC236}">
                <a16:creationId xmlns:a16="http://schemas.microsoft.com/office/drawing/2014/main" id="{00000000-0008-0000-0D00-0000C6000000}"/>
              </a:ext>
            </a:extLst>
          </xdr:cNvPr>
          <xdr:cNvSpPr/>
        </xdr:nvSpPr>
        <xdr:spPr>
          <a:xfrm>
            <a:off x="4321750" y="2113920"/>
            <a:ext cx="40948" cy="305457"/>
          </a:xfrm>
          <a:custGeom>
            <a:avLst/>
            <a:gdLst/>
            <a:ahLst/>
            <a:cxnLst/>
            <a:rect l="0" t="0" r="0" b="0"/>
            <a:pathLst>
              <a:path h="663715">
                <a:moveTo>
                  <a:pt x="0" y="0"/>
                </a:moveTo>
                <a:lnTo>
                  <a:pt x="0" y="663715"/>
                </a:lnTo>
              </a:path>
            </a:pathLst>
          </a:custGeom>
          <a:ln w="12700" cap="rnd">
            <a:custDash>
              <a:ds d="10000" sp="300000"/>
            </a:custDash>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endParaRPr lang="fr-FR">
              <a:latin typeface="Calibri Light" panose="020F0302020204030204" pitchFamily="34" charset="0"/>
            </a:endParaRPr>
          </a:p>
        </xdr:txBody>
      </xdr:sp>
      <xdr:sp macro="" textlink="">
        <xdr:nvSpPr>
          <xdr:cNvPr id="199" name="Shape 62">
            <a:extLst>
              <a:ext uri="{FF2B5EF4-FFF2-40B4-BE49-F238E27FC236}">
                <a16:creationId xmlns:a16="http://schemas.microsoft.com/office/drawing/2014/main" id="{00000000-0008-0000-0D00-0000C7000000}"/>
              </a:ext>
            </a:extLst>
          </xdr:cNvPr>
          <xdr:cNvSpPr/>
        </xdr:nvSpPr>
        <xdr:spPr>
          <a:xfrm>
            <a:off x="367064" y="2341501"/>
            <a:ext cx="828" cy="0"/>
          </a:xfrm>
          <a:custGeom>
            <a:avLst/>
            <a:gdLst/>
            <a:ahLst/>
            <a:cxnLst/>
            <a:rect l="0" t="0" r="0" b="0"/>
            <a:pathLst>
              <a:path w="635">
                <a:moveTo>
                  <a:pt x="0" y="0"/>
                </a:moveTo>
                <a:lnTo>
                  <a:pt x="635"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00" name="Shape 63">
            <a:extLst>
              <a:ext uri="{FF2B5EF4-FFF2-40B4-BE49-F238E27FC236}">
                <a16:creationId xmlns:a16="http://schemas.microsoft.com/office/drawing/2014/main" id="{00000000-0008-0000-0D00-0000C8000000}"/>
              </a:ext>
            </a:extLst>
          </xdr:cNvPr>
          <xdr:cNvSpPr/>
        </xdr:nvSpPr>
        <xdr:spPr>
          <a:xfrm>
            <a:off x="417713" y="2344963"/>
            <a:ext cx="3887621" cy="0"/>
          </a:xfrm>
          <a:custGeom>
            <a:avLst/>
            <a:gdLst/>
            <a:ahLst/>
            <a:cxnLst/>
            <a:rect l="0" t="0" r="0" b="0"/>
            <a:pathLst>
              <a:path w="2981617">
                <a:moveTo>
                  <a:pt x="0" y="0"/>
                </a:moveTo>
                <a:lnTo>
                  <a:pt x="2981617" y="0"/>
                </a:lnTo>
              </a:path>
            </a:pathLst>
          </a:custGeom>
          <a:ln w="12700" cap="rnd">
            <a:custDash>
              <a:ds d="10000" sp="300900"/>
            </a:custDash>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01" name="Shape 64">
            <a:extLst>
              <a:ext uri="{FF2B5EF4-FFF2-40B4-BE49-F238E27FC236}">
                <a16:creationId xmlns:a16="http://schemas.microsoft.com/office/drawing/2014/main" id="{00000000-0008-0000-0D00-0000C9000000}"/>
              </a:ext>
            </a:extLst>
          </xdr:cNvPr>
          <xdr:cNvSpPr/>
        </xdr:nvSpPr>
        <xdr:spPr>
          <a:xfrm>
            <a:off x="4330248" y="2341501"/>
            <a:ext cx="828" cy="0"/>
          </a:xfrm>
          <a:custGeom>
            <a:avLst/>
            <a:gdLst/>
            <a:ahLst/>
            <a:cxnLst/>
            <a:rect l="0" t="0" r="0" b="0"/>
            <a:pathLst>
              <a:path w="635">
                <a:moveTo>
                  <a:pt x="0" y="0"/>
                </a:moveTo>
                <a:lnTo>
                  <a:pt x="635"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02" name="Shape 65">
            <a:extLst>
              <a:ext uri="{FF2B5EF4-FFF2-40B4-BE49-F238E27FC236}">
                <a16:creationId xmlns:a16="http://schemas.microsoft.com/office/drawing/2014/main" id="{00000000-0008-0000-0D00-0000CA000000}"/>
              </a:ext>
            </a:extLst>
          </xdr:cNvPr>
          <xdr:cNvSpPr/>
        </xdr:nvSpPr>
        <xdr:spPr>
          <a:xfrm>
            <a:off x="429779" y="2390180"/>
            <a:ext cx="579" cy="450"/>
          </a:xfrm>
          <a:custGeom>
            <a:avLst/>
            <a:gdLst/>
            <a:ahLst/>
            <a:cxnLst/>
            <a:rect l="0" t="0" r="0" b="0"/>
            <a:pathLst>
              <a:path w="444" h="445">
                <a:moveTo>
                  <a:pt x="444" y="445"/>
                </a:moveTo>
                <a:lnTo>
                  <a:pt x="0"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03" name="Shape 66">
            <a:extLst>
              <a:ext uri="{FF2B5EF4-FFF2-40B4-BE49-F238E27FC236}">
                <a16:creationId xmlns:a16="http://schemas.microsoft.com/office/drawing/2014/main" id="{00000000-0008-0000-0D00-0000CB000000}"/>
              </a:ext>
            </a:extLst>
          </xdr:cNvPr>
          <xdr:cNvSpPr/>
        </xdr:nvSpPr>
        <xdr:spPr>
          <a:xfrm>
            <a:off x="382925" y="2353813"/>
            <a:ext cx="16294" cy="12648"/>
          </a:xfrm>
          <a:custGeom>
            <a:avLst/>
            <a:gdLst/>
            <a:ahLst/>
            <a:cxnLst/>
            <a:rect l="0" t="0" r="0" b="0"/>
            <a:pathLst>
              <a:path w="12497" h="12497">
                <a:moveTo>
                  <a:pt x="12497" y="12497"/>
                </a:moveTo>
                <a:lnTo>
                  <a:pt x="0" y="0"/>
                </a:lnTo>
              </a:path>
            </a:pathLst>
          </a:custGeom>
          <a:ln w="12700" cap="rnd">
            <a:custDash>
              <a:ds d="8700" sp="260900"/>
            </a:custDash>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04" name="Shape 67">
            <a:extLst>
              <a:ext uri="{FF2B5EF4-FFF2-40B4-BE49-F238E27FC236}">
                <a16:creationId xmlns:a16="http://schemas.microsoft.com/office/drawing/2014/main" id="{00000000-0008-0000-0D00-0000CC000000}"/>
              </a:ext>
            </a:extLst>
          </xdr:cNvPr>
          <xdr:cNvSpPr/>
        </xdr:nvSpPr>
        <xdr:spPr>
          <a:xfrm>
            <a:off x="367071" y="2341044"/>
            <a:ext cx="579" cy="913"/>
          </a:xfrm>
          <a:custGeom>
            <a:avLst/>
            <a:gdLst/>
            <a:ahLst/>
            <a:cxnLst/>
            <a:rect l="0" t="0" r="0" b="0"/>
            <a:pathLst>
              <a:path w="444" h="902">
                <a:moveTo>
                  <a:pt x="444" y="902"/>
                </a:moveTo>
                <a:lnTo>
                  <a:pt x="0" y="457"/>
                </a:lnTo>
                <a:lnTo>
                  <a:pt x="444"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05" name="Shape 68">
            <a:extLst>
              <a:ext uri="{FF2B5EF4-FFF2-40B4-BE49-F238E27FC236}">
                <a16:creationId xmlns:a16="http://schemas.microsoft.com/office/drawing/2014/main" id="{00000000-0008-0000-0D00-0000CD000000}"/>
              </a:ext>
            </a:extLst>
          </xdr:cNvPr>
          <xdr:cNvSpPr/>
        </xdr:nvSpPr>
        <xdr:spPr>
          <a:xfrm>
            <a:off x="398202" y="2304685"/>
            <a:ext cx="16294" cy="12648"/>
          </a:xfrm>
          <a:custGeom>
            <a:avLst/>
            <a:gdLst/>
            <a:ahLst/>
            <a:cxnLst/>
            <a:rect l="0" t="0" r="0" b="0"/>
            <a:pathLst>
              <a:path w="12497" h="12497">
                <a:moveTo>
                  <a:pt x="0" y="12497"/>
                </a:moveTo>
                <a:lnTo>
                  <a:pt x="12497" y="0"/>
                </a:lnTo>
              </a:path>
            </a:pathLst>
          </a:custGeom>
          <a:ln w="12700" cap="rnd">
            <a:custDash>
              <a:ds d="8700" sp="260900"/>
            </a:custDash>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06" name="Shape 69">
            <a:extLst>
              <a:ext uri="{FF2B5EF4-FFF2-40B4-BE49-F238E27FC236}">
                <a16:creationId xmlns:a16="http://schemas.microsoft.com/office/drawing/2014/main" id="{00000000-0008-0000-0D00-0000CE000000}"/>
              </a:ext>
            </a:extLst>
          </xdr:cNvPr>
          <xdr:cNvSpPr/>
        </xdr:nvSpPr>
        <xdr:spPr>
          <a:xfrm>
            <a:off x="429773" y="2292378"/>
            <a:ext cx="579" cy="450"/>
          </a:xfrm>
          <a:custGeom>
            <a:avLst/>
            <a:gdLst/>
            <a:ahLst/>
            <a:cxnLst/>
            <a:rect l="0" t="0" r="0" b="0"/>
            <a:pathLst>
              <a:path w="444" h="445">
                <a:moveTo>
                  <a:pt x="0" y="445"/>
                </a:moveTo>
                <a:lnTo>
                  <a:pt x="444"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07" name="Shape 70">
            <a:extLst>
              <a:ext uri="{FF2B5EF4-FFF2-40B4-BE49-F238E27FC236}">
                <a16:creationId xmlns:a16="http://schemas.microsoft.com/office/drawing/2014/main" id="{00000000-0008-0000-0D00-0000CF000000}"/>
              </a:ext>
            </a:extLst>
          </xdr:cNvPr>
          <xdr:cNvSpPr/>
        </xdr:nvSpPr>
        <xdr:spPr>
          <a:xfrm>
            <a:off x="8298817" y="2341501"/>
            <a:ext cx="828" cy="0"/>
          </a:xfrm>
          <a:custGeom>
            <a:avLst/>
            <a:gdLst/>
            <a:ahLst/>
            <a:cxnLst/>
            <a:rect l="0" t="0" r="0" b="0"/>
            <a:pathLst>
              <a:path w="635">
                <a:moveTo>
                  <a:pt x="635" y="0"/>
                </a:moveTo>
                <a:lnTo>
                  <a:pt x="0"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08" name="Shape 71">
            <a:extLst>
              <a:ext uri="{FF2B5EF4-FFF2-40B4-BE49-F238E27FC236}">
                <a16:creationId xmlns:a16="http://schemas.microsoft.com/office/drawing/2014/main" id="{00000000-0008-0000-0D00-0000D0000000}"/>
              </a:ext>
            </a:extLst>
          </xdr:cNvPr>
          <xdr:cNvSpPr/>
        </xdr:nvSpPr>
        <xdr:spPr>
          <a:xfrm>
            <a:off x="4356847" y="2344963"/>
            <a:ext cx="3892092" cy="0"/>
          </a:xfrm>
          <a:custGeom>
            <a:avLst/>
            <a:gdLst/>
            <a:ahLst/>
            <a:cxnLst/>
            <a:rect l="0" t="0" r="0" b="0"/>
            <a:pathLst>
              <a:path w="2985046">
                <a:moveTo>
                  <a:pt x="2985046" y="0"/>
                </a:moveTo>
                <a:lnTo>
                  <a:pt x="0" y="0"/>
                </a:lnTo>
              </a:path>
            </a:pathLst>
          </a:custGeom>
          <a:ln w="12700" cap="rnd">
            <a:custDash>
              <a:ds d="10000" sp="301200"/>
            </a:custDash>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09" name="Shape 72">
            <a:extLst>
              <a:ext uri="{FF2B5EF4-FFF2-40B4-BE49-F238E27FC236}">
                <a16:creationId xmlns:a16="http://schemas.microsoft.com/office/drawing/2014/main" id="{00000000-0008-0000-0D00-0000D1000000}"/>
              </a:ext>
            </a:extLst>
          </xdr:cNvPr>
          <xdr:cNvSpPr/>
        </xdr:nvSpPr>
        <xdr:spPr>
          <a:xfrm>
            <a:off x="4331075" y="2341501"/>
            <a:ext cx="828" cy="0"/>
          </a:xfrm>
          <a:custGeom>
            <a:avLst/>
            <a:gdLst/>
            <a:ahLst/>
            <a:cxnLst/>
            <a:rect l="0" t="0" r="0" b="0"/>
            <a:pathLst>
              <a:path w="635">
                <a:moveTo>
                  <a:pt x="635" y="0"/>
                </a:moveTo>
                <a:lnTo>
                  <a:pt x="0"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10" name="Shape 73">
            <a:extLst>
              <a:ext uri="{FF2B5EF4-FFF2-40B4-BE49-F238E27FC236}">
                <a16:creationId xmlns:a16="http://schemas.microsoft.com/office/drawing/2014/main" id="{00000000-0008-0000-0D00-0000D2000000}"/>
              </a:ext>
            </a:extLst>
          </xdr:cNvPr>
          <xdr:cNvSpPr/>
        </xdr:nvSpPr>
        <xdr:spPr>
          <a:xfrm>
            <a:off x="8236349" y="2390180"/>
            <a:ext cx="579" cy="450"/>
          </a:xfrm>
          <a:custGeom>
            <a:avLst/>
            <a:gdLst/>
            <a:ahLst/>
            <a:cxnLst/>
            <a:rect l="0" t="0" r="0" b="0"/>
            <a:pathLst>
              <a:path w="444" h="445">
                <a:moveTo>
                  <a:pt x="0" y="445"/>
                </a:moveTo>
                <a:lnTo>
                  <a:pt x="444"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11" name="Shape 74">
            <a:extLst>
              <a:ext uri="{FF2B5EF4-FFF2-40B4-BE49-F238E27FC236}">
                <a16:creationId xmlns:a16="http://schemas.microsoft.com/office/drawing/2014/main" id="{00000000-0008-0000-0D00-0000D3000000}"/>
              </a:ext>
            </a:extLst>
          </xdr:cNvPr>
          <xdr:cNvSpPr/>
        </xdr:nvSpPr>
        <xdr:spPr>
          <a:xfrm>
            <a:off x="8267488" y="2353813"/>
            <a:ext cx="16294" cy="12648"/>
          </a:xfrm>
          <a:custGeom>
            <a:avLst/>
            <a:gdLst/>
            <a:ahLst/>
            <a:cxnLst/>
            <a:rect l="0" t="0" r="0" b="0"/>
            <a:pathLst>
              <a:path w="12497" h="12497">
                <a:moveTo>
                  <a:pt x="0" y="12497"/>
                </a:moveTo>
                <a:lnTo>
                  <a:pt x="12497" y="0"/>
                </a:lnTo>
              </a:path>
            </a:pathLst>
          </a:custGeom>
          <a:ln w="12700" cap="rnd">
            <a:custDash>
              <a:ds d="8700" sp="260900"/>
            </a:custDash>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12" name="Shape 75">
            <a:extLst>
              <a:ext uri="{FF2B5EF4-FFF2-40B4-BE49-F238E27FC236}">
                <a16:creationId xmlns:a16="http://schemas.microsoft.com/office/drawing/2014/main" id="{00000000-0008-0000-0D00-0000D4000000}"/>
              </a:ext>
            </a:extLst>
          </xdr:cNvPr>
          <xdr:cNvSpPr/>
        </xdr:nvSpPr>
        <xdr:spPr>
          <a:xfrm>
            <a:off x="8299060" y="2341044"/>
            <a:ext cx="579" cy="913"/>
          </a:xfrm>
          <a:custGeom>
            <a:avLst/>
            <a:gdLst/>
            <a:ahLst/>
            <a:cxnLst/>
            <a:rect l="0" t="0" r="0" b="0"/>
            <a:pathLst>
              <a:path w="444" h="902">
                <a:moveTo>
                  <a:pt x="0" y="902"/>
                </a:moveTo>
                <a:lnTo>
                  <a:pt x="444" y="457"/>
                </a:lnTo>
                <a:lnTo>
                  <a:pt x="0"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13" name="Shape 76">
            <a:extLst>
              <a:ext uri="{FF2B5EF4-FFF2-40B4-BE49-F238E27FC236}">
                <a16:creationId xmlns:a16="http://schemas.microsoft.com/office/drawing/2014/main" id="{00000000-0008-0000-0D00-0000D5000000}"/>
              </a:ext>
            </a:extLst>
          </xdr:cNvPr>
          <xdr:cNvSpPr/>
        </xdr:nvSpPr>
        <xdr:spPr>
          <a:xfrm>
            <a:off x="8252210" y="2304685"/>
            <a:ext cx="16294" cy="12648"/>
          </a:xfrm>
          <a:custGeom>
            <a:avLst/>
            <a:gdLst/>
            <a:ahLst/>
            <a:cxnLst/>
            <a:rect l="0" t="0" r="0" b="0"/>
            <a:pathLst>
              <a:path w="12497" h="12497">
                <a:moveTo>
                  <a:pt x="12497" y="12497"/>
                </a:moveTo>
                <a:lnTo>
                  <a:pt x="0" y="0"/>
                </a:lnTo>
              </a:path>
            </a:pathLst>
          </a:custGeom>
          <a:ln w="12700" cap="rnd">
            <a:custDash>
              <a:ds d="8700" sp="260900"/>
            </a:custDash>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14" name="Shape 77">
            <a:extLst>
              <a:ext uri="{FF2B5EF4-FFF2-40B4-BE49-F238E27FC236}">
                <a16:creationId xmlns:a16="http://schemas.microsoft.com/office/drawing/2014/main" id="{00000000-0008-0000-0D00-0000D6000000}"/>
              </a:ext>
            </a:extLst>
          </xdr:cNvPr>
          <xdr:cNvSpPr/>
        </xdr:nvSpPr>
        <xdr:spPr>
          <a:xfrm>
            <a:off x="8236357" y="2292378"/>
            <a:ext cx="579" cy="450"/>
          </a:xfrm>
          <a:custGeom>
            <a:avLst/>
            <a:gdLst/>
            <a:ahLst/>
            <a:cxnLst/>
            <a:rect l="0" t="0" r="0" b="0"/>
            <a:pathLst>
              <a:path w="444" h="445">
                <a:moveTo>
                  <a:pt x="444" y="445"/>
                </a:moveTo>
                <a:lnTo>
                  <a:pt x="0"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15" name="Rectangle 214">
            <a:extLst>
              <a:ext uri="{FF2B5EF4-FFF2-40B4-BE49-F238E27FC236}">
                <a16:creationId xmlns:a16="http://schemas.microsoft.com/office/drawing/2014/main" id="{00000000-0008-0000-0D00-0000D7000000}"/>
              </a:ext>
            </a:extLst>
          </xdr:cNvPr>
          <xdr:cNvSpPr/>
        </xdr:nvSpPr>
        <xdr:spPr>
          <a:xfrm>
            <a:off x="5302211" y="2359821"/>
            <a:ext cx="1651521" cy="280527"/>
          </a:xfrm>
          <a:prstGeom prst="rect">
            <a:avLst/>
          </a:prstGeom>
          <a:ln>
            <a:noFill/>
          </a:ln>
        </xdr:spPr>
        <xdr:txBody>
          <a:bodyPr vert="horz" wrap="square" lIns="0" tIns="0" rIns="0" bIns="0" rtlCol="0">
            <a:no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lnSpc>
                <a:spcPct val="107000"/>
              </a:lnSpc>
              <a:spcAft>
                <a:spcPts val="800"/>
              </a:spcAft>
            </a:pPr>
            <a:r>
              <a:rPr lang="fr-FR" sz="1250">
                <a:solidFill>
                  <a:sysClr val="windowText" lastClr="000000"/>
                </a:solidFill>
                <a:effectLst/>
                <a:latin typeface="Calibri Light" panose="020F0302020204030204" pitchFamily="34" charset="0"/>
                <a:ea typeface="Lato" panose="020F0502020204030203" pitchFamily="34" charset="0"/>
                <a:cs typeface="Lato" panose="020F0502020204030203" pitchFamily="34" charset="0"/>
              </a:rPr>
              <a:t>Pro estrogen effect</a:t>
            </a:r>
          </a:p>
        </xdr:txBody>
      </xdr:sp>
      <xdr:sp macro="" textlink="">
        <xdr:nvSpPr>
          <xdr:cNvPr id="216" name="ZoneTexte 55">
            <a:extLst>
              <a:ext uri="{FF2B5EF4-FFF2-40B4-BE49-F238E27FC236}">
                <a16:creationId xmlns:a16="http://schemas.microsoft.com/office/drawing/2014/main" id="{00000000-0008-0000-0D00-0000D8000000}"/>
              </a:ext>
            </a:extLst>
          </xdr:cNvPr>
          <xdr:cNvSpPr txBox="1"/>
        </xdr:nvSpPr>
        <xdr:spPr>
          <a:xfrm>
            <a:off x="7011527" y="1715956"/>
            <a:ext cx="1135621" cy="421141"/>
          </a:xfrm>
          <a:prstGeom prst="rect">
            <a:avLst/>
          </a:prstGeom>
          <a:noFill/>
        </xdr:spPr>
        <xdr:txBody>
          <a:bodyPr wrap="square" rtlCol="0">
            <a:sp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fr-FR" sz="1050">
                <a:solidFill>
                  <a:srgbClr val="C00000"/>
                </a:solidFill>
                <a:latin typeface="Calibri Light" panose="020F0302020204030204" pitchFamily="34" charset="0"/>
              </a:rPr>
              <a:t>Key physiological event</a:t>
            </a:r>
          </a:p>
        </xdr:txBody>
      </xdr:sp>
      <xdr:sp macro="" textlink="">
        <xdr:nvSpPr>
          <xdr:cNvPr id="217" name="ZoneTexte 56">
            <a:extLst>
              <a:ext uri="{FF2B5EF4-FFF2-40B4-BE49-F238E27FC236}">
                <a16:creationId xmlns:a16="http://schemas.microsoft.com/office/drawing/2014/main" id="{00000000-0008-0000-0D00-0000D9000000}"/>
              </a:ext>
            </a:extLst>
          </xdr:cNvPr>
          <xdr:cNvSpPr txBox="1"/>
        </xdr:nvSpPr>
        <xdr:spPr>
          <a:xfrm>
            <a:off x="443646" y="1721744"/>
            <a:ext cx="1135621" cy="421141"/>
          </a:xfrm>
          <a:prstGeom prst="rect">
            <a:avLst/>
          </a:prstGeom>
          <a:noFill/>
        </xdr:spPr>
        <xdr:txBody>
          <a:bodyPr wrap="square" rtlCol="0">
            <a:sp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fr-FR" sz="1050">
                <a:solidFill>
                  <a:srgbClr val="C00000"/>
                </a:solidFill>
                <a:latin typeface="Calibri Light" panose="020F0302020204030204" pitchFamily="34" charset="0"/>
              </a:rPr>
              <a:t>Key physiological event</a:t>
            </a:r>
          </a:p>
        </xdr:txBody>
      </xdr:sp>
    </xdr:grpSp>
    <xdr:clientData/>
  </xdr:twoCellAnchor>
  <xdr:twoCellAnchor editAs="absolute">
    <xdr:from>
      <xdr:col>30</xdr:col>
      <xdr:colOff>163477</xdr:colOff>
      <xdr:row>15</xdr:row>
      <xdr:rowOff>189512</xdr:rowOff>
    </xdr:from>
    <xdr:to>
      <xdr:col>43</xdr:col>
      <xdr:colOff>216285</xdr:colOff>
      <xdr:row>21</xdr:row>
      <xdr:rowOff>62252</xdr:rowOff>
    </xdr:to>
    <xdr:grpSp>
      <xdr:nvGrpSpPr>
        <xdr:cNvPr id="218" name="Groupe 217">
          <a:extLst>
            <a:ext uri="{FF2B5EF4-FFF2-40B4-BE49-F238E27FC236}">
              <a16:creationId xmlns:a16="http://schemas.microsoft.com/office/drawing/2014/main" id="{00000000-0008-0000-0D00-0000DA000000}"/>
            </a:ext>
          </a:extLst>
        </xdr:cNvPr>
        <xdr:cNvGrpSpPr/>
      </xdr:nvGrpSpPr>
      <xdr:grpSpPr>
        <a:xfrm>
          <a:off x="29917763" y="3836226"/>
          <a:ext cx="8425736" cy="1070169"/>
          <a:chOff x="367064" y="1542965"/>
          <a:chExt cx="7932581" cy="1097383"/>
        </a:xfrm>
      </xdr:grpSpPr>
      <xdr:sp macro="" textlink="">
        <xdr:nvSpPr>
          <xdr:cNvPr id="219" name="Shape 6">
            <a:extLst>
              <a:ext uri="{FF2B5EF4-FFF2-40B4-BE49-F238E27FC236}">
                <a16:creationId xmlns:a16="http://schemas.microsoft.com/office/drawing/2014/main" id="{00000000-0008-0000-0D00-0000DB000000}"/>
              </a:ext>
            </a:extLst>
          </xdr:cNvPr>
          <xdr:cNvSpPr/>
        </xdr:nvSpPr>
        <xdr:spPr>
          <a:xfrm>
            <a:off x="435015" y="2113493"/>
            <a:ext cx="730603" cy="180817"/>
          </a:xfrm>
          <a:custGeom>
            <a:avLst/>
            <a:gdLst/>
            <a:ahLst/>
            <a:cxnLst/>
            <a:rect l="0" t="0" r="0" b="0"/>
            <a:pathLst>
              <a:path w="560337" h="178664">
                <a:moveTo>
                  <a:pt x="114402" y="0"/>
                </a:moveTo>
                <a:lnTo>
                  <a:pt x="560337" y="0"/>
                </a:lnTo>
                <a:lnTo>
                  <a:pt x="560337" y="178664"/>
                </a:lnTo>
                <a:lnTo>
                  <a:pt x="114402" y="178664"/>
                </a:lnTo>
                <a:lnTo>
                  <a:pt x="0" y="89332"/>
                </a:lnTo>
                <a:lnTo>
                  <a:pt x="114402" y="0"/>
                </a:lnTo>
                <a:close/>
              </a:path>
            </a:pathLst>
          </a:custGeom>
          <a:ln w="0" cap="flat">
            <a:miter lim="127000"/>
          </a:ln>
        </xdr:spPr>
        <xdr:style>
          <a:lnRef idx="0">
            <a:srgbClr val="000000">
              <a:alpha val="0"/>
            </a:srgbClr>
          </a:lnRef>
          <a:fillRef idx="1">
            <a:srgbClr val="DD453C"/>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20" name="Shape 322">
            <a:extLst>
              <a:ext uri="{FF2B5EF4-FFF2-40B4-BE49-F238E27FC236}">
                <a16:creationId xmlns:a16="http://schemas.microsoft.com/office/drawing/2014/main" id="{00000000-0008-0000-0D00-0000DC000000}"/>
              </a:ext>
            </a:extLst>
          </xdr:cNvPr>
          <xdr:cNvSpPr/>
        </xdr:nvSpPr>
        <xdr:spPr>
          <a:xfrm>
            <a:off x="1157583" y="2113911"/>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DD453C"/>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21" name="Shape 323">
            <a:extLst>
              <a:ext uri="{FF2B5EF4-FFF2-40B4-BE49-F238E27FC236}">
                <a16:creationId xmlns:a16="http://schemas.microsoft.com/office/drawing/2014/main" id="{00000000-0008-0000-0D00-0000DD000000}"/>
              </a:ext>
            </a:extLst>
          </xdr:cNvPr>
          <xdr:cNvSpPr/>
        </xdr:nvSpPr>
        <xdr:spPr>
          <a:xfrm>
            <a:off x="1740131" y="2113911"/>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FADD39"/>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22" name="Shape 324">
            <a:extLst>
              <a:ext uri="{FF2B5EF4-FFF2-40B4-BE49-F238E27FC236}">
                <a16:creationId xmlns:a16="http://schemas.microsoft.com/office/drawing/2014/main" id="{00000000-0008-0000-0D00-0000DE000000}"/>
              </a:ext>
            </a:extLst>
          </xdr:cNvPr>
          <xdr:cNvSpPr/>
        </xdr:nvSpPr>
        <xdr:spPr>
          <a:xfrm>
            <a:off x="2295534"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FADD39"/>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23" name="Shape 325">
            <a:extLst>
              <a:ext uri="{FF2B5EF4-FFF2-40B4-BE49-F238E27FC236}">
                <a16:creationId xmlns:a16="http://schemas.microsoft.com/office/drawing/2014/main" id="{00000000-0008-0000-0D00-0000DF000000}"/>
              </a:ext>
            </a:extLst>
          </xdr:cNvPr>
          <xdr:cNvSpPr/>
        </xdr:nvSpPr>
        <xdr:spPr>
          <a:xfrm>
            <a:off x="2878082"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CED542"/>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24" name="Shape 326">
            <a:extLst>
              <a:ext uri="{FF2B5EF4-FFF2-40B4-BE49-F238E27FC236}">
                <a16:creationId xmlns:a16="http://schemas.microsoft.com/office/drawing/2014/main" id="{00000000-0008-0000-0D00-0000E0000000}"/>
              </a:ext>
            </a:extLst>
          </xdr:cNvPr>
          <xdr:cNvSpPr/>
        </xdr:nvSpPr>
        <xdr:spPr>
          <a:xfrm>
            <a:off x="3460647"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A2CC4A"/>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25" name="Shape 12">
            <a:extLst>
              <a:ext uri="{FF2B5EF4-FFF2-40B4-BE49-F238E27FC236}">
                <a16:creationId xmlns:a16="http://schemas.microsoft.com/office/drawing/2014/main" id="{00000000-0008-0000-0D00-0000E1000000}"/>
              </a:ext>
            </a:extLst>
          </xdr:cNvPr>
          <xdr:cNvSpPr/>
        </xdr:nvSpPr>
        <xdr:spPr>
          <a:xfrm>
            <a:off x="7514306" y="2112013"/>
            <a:ext cx="730603" cy="180817"/>
          </a:xfrm>
          <a:custGeom>
            <a:avLst/>
            <a:gdLst/>
            <a:ahLst/>
            <a:cxnLst/>
            <a:rect l="0" t="0" r="0" b="0"/>
            <a:pathLst>
              <a:path w="560337" h="178664">
                <a:moveTo>
                  <a:pt x="0" y="0"/>
                </a:moveTo>
                <a:lnTo>
                  <a:pt x="445935" y="0"/>
                </a:lnTo>
                <a:lnTo>
                  <a:pt x="560337" y="89332"/>
                </a:lnTo>
                <a:lnTo>
                  <a:pt x="445935" y="178664"/>
                </a:lnTo>
                <a:lnTo>
                  <a:pt x="0" y="178664"/>
                </a:lnTo>
                <a:lnTo>
                  <a:pt x="0" y="0"/>
                </a:lnTo>
                <a:close/>
              </a:path>
            </a:pathLst>
          </a:custGeom>
          <a:ln w="0" cap="flat">
            <a:miter lim="127000"/>
          </a:ln>
        </xdr:spPr>
        <xdr:style>
          <a:lnRef idx="0">
            <a:srgbClr val="000000">
              <a:alpha val="0"/>
            </a:srgbClr>
          </a:lnRef>
          <a:fillRef idx="1">
            <a:srgbClr val="DD453C"/>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26" name="Shape 327">
            <a:extLst>
              <a:ext uri="{FF2B5EF4-FFF2-40B4-BE49-F238E27FC236}">
                <a16:creationId xmlns:a16="http://schemas.microsoft.com/office/drawing/2014/main" id="{00000000-0008-0000-0D00-0000E2000000}"/>
              </a:ext>
            </a:extLst>
          </xdr:cNvPr>
          <xdr:cNvSpPr/>
        </xdr:nvSpPr>
        <xdr:spPr>
          <a:xfrm>
            <a:off x="6930047"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DD453C"/>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27" name="Shape 328">
            <a:extLst>
              <a:ext uri="{FF2B5EF4-FFF2-40B4-BE49-F238E27FC236}">
                <a16:creationId xmlns:a16="http://schemas.microsoft.com/office/drawing/2014/main" id="{00000000-0008-0000-0D00-0000E3000000}"/>
              </a:ext>
            </a:extLst>
          </xdr:cNvPr>
          <xdr:cNvSpPr/>
        </xdr:nvSpPr>
        <xdr:spPr>
          <a:xfrm>
            <a:off x="6364674"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FADD39"/>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28" name="Shape 329">
            <a:extLst>
              <a:ext uri="{FF2B5EF4-FFF2-40B4-BE49-F238E27FC236}">
                <a16:creationId xmlns:a16="http://schemas.microsoft.com/office/drawing/2014/main" id="{00000000-0008-0000-0D00-0000E4000000}"/>
              </a:ext>
            </a:extLst>
          </xdr:cNvPr>
          <xdr:cNvSpPr/>
        </xdr:nvSpPr>
        <xdr:spPr>
          <a:xfrm>
            <a:off x="5781746"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FADD39"/>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29" name="Shape 330">
            <a:extLst>
              <a:ext uri="{FF2B5EF4-FFF2-40B4-BE49-F238E27FC236}">
                <a16:creationId xmlns:a16="http://schemas.microsoft.com/office/drawing/2014/main" id="{00000000-0008-0000-0D00-0000E5000000}"/>
              </a:ext>
            </a:extLst>
          </xdr:cNvPr>
          <xdr:cNvSpPr/>
        </xdr:nvSpPr>
        <xdr:spPr>
          <a:xfrm>
            <a:off x="5207181"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CED542"/>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30" name="Shape 331">
            <a:extLst>
              <a:ext uri="{FF2B5EF4-FFF2-40B4-BE49-F238E27FC236}">
                <a16:creationId xmlns:a16="http://schemas.microsoft.com/office/drawing/2014/main" id="{00000000-0008-0000-0D00-0000E6000000}"/>
              </a:ext>
            </a:extLst>
          </xdr:cNvPr>
          <xdr:cNvSpPr/>
        </xdr:nvSpPr>
        <xdr:spPr>
          <a:xfrm>
            <a:off x="4624633"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A2CC4A"/>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31" name="Shape 332">
            <a:extLst>
              <a:ext uri="{FF2B5EF4-FFF2-40B4-BE49-F238E27FC236}">
                <a16:creationId xmlns:a16="http://schemas.microsoft.com/office/drawing/2014/main" id="{00000000-0008-0000-0D00-0000E7000000}"/>
              </a:ext>
            </a:extLst>
          </xdr:cNvPr>
          <xdr:cNvSpPr/>
        </xdr:nvSpPr>
        <xdr:spPr>
          <a:xfrm>
            <a:off x="4043195"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76C453"/>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pic>
        <xdr:nvPicPr>
          <xdr:cNvPr id="232" name="Picture 308">
            <a:extLst>
              <a:ext uri="{FF2B5EF4-FFF2-40B4-BE49-F238E27FC236}">
                <a16:creationId xmlns:a16="http://schemas.microsoft.com/office/drawing/2014/main" id="{00000000-0008-0000-0D00-0000E8000000}"/>
              </a:ext>
            </a:extLst>
          </xdr:cNvPr>
          <xdr:cNvPicPr/>
        </xdr:nvPicPr>
        <xdr:blipFill>
          <a:blip xmlns:r="http://schemas.openxmlformats.org/officeDocument/2006/relationships" r:embed="rId3"/>
          <a:stretch>
            <a:fillRect/>
          </a:stretch>
        </xdr:blipFill>
        <xdr:spPr>
          <a:xfrm>
            <a:off x="4245514" y="1729311"/>
            <a:ext cx="162941" cy="567590"/>
          </a:xfrm>
          <a:prstGeom prst="rect">
            <a:avLst/>
          </a:prstGeom>
        </xdr:spPr>
      </xdr:pic>
      <xdr:sp macro="" textlink="">
        <xdr:nvSpPr>
          <xdr:cNvPr id="233" name="Shape 20">
            <a:extLst>
              <a:ext uri="{FF2B5EF4-FFF2-40B4-BE49-F238E27FC236}">
                <a16:creationId xmlns:a16="http://schemas.microsoft.com/office/drawing/2014/main" id="{00000000-0008-0000-0D00-0000E9000000}"/>
              </a:ext>
            </a:extLst>
          </xdr:cNvPr>
          <xdr:cNvSpPr/>
        </xdr:nvSpPr>
        <xdr:spPr>
          <a:xfrm>
            <a:off x="4253445" y="1735390"/>
            <a:ext cx="155274" cy="559339"/>
          </a:xfrm>
          <a:custGeom>
            <a:avLst/>
            <a:gdLst/>
            <a:ahLst/>
            <a:cxnLst/>
            <a:rect l="0" t="0" r="0" b="0"/>
            <a:pathLst>
              <a:path w="119088" h="552679">
                <a:moveTo>
                  <a:pt x="0" y="552679"/>
                </a:moveTo>
                <a:lnTo>
                  <a:pt x="119088" y="552679"/>
                </a:lnTo>
                <a:lnTo>
                  <a:pt x="119088" y="0"/>
                </a:lnTo>
                <a:lnTo>
                  <a:pt x="0" y="0"/>
                </a:lnTo>
                <a:close/>
              </a:path>
            </a:pathLst>
          </a:custGeom>
          <a:ln w="3175" cap="flat">
            <a:miter lim="127000"/>
          </a:ln>
        </xdr:spPr>
        <xdr:style>
          <a:lnRef idx="1">
            <a:srgbClr val="000000">
              <a:alpha val="0"/>
            </a:srgbClr>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34" name="Shape 333">
            <a:extLst>
              <a:ext uri="{FF2B5EF4-FFF2-40B4-BE49-F238E27FC236}">
                <a16:creationId xmlns:a16="http://schemas.microsoft.com/office/drawing/2014/main" id="{00000000-0008-0000-0D00-0000EA000000}"/>
              </a:ext>
            </a:extLst>
          </xdr:cNvPr>
          <xdr:cNvSpPr/>
        </xdr:nvSpPr>
        <xdr:spPr>
          <a:xfrm>
            <a:off x="4267123" y="1758638"/>
            <a:ext cx="119722" cy="262639"/>
          </a:xfrm>
          <a:custGeom>
            <a:avLst/>
            <a:gdLst/>
            <a:ahLst/>
            <a:cxnLst/>
            <a:rect l="0" t="0" r="0" b="0"/>
            <a:pathLst>
              <a:path w="91821" h="259512">
                <a:moveTo>
                  <a:pt x="0" y="0"/>
                </a:moveTo>
                <a:lnTo>
                  <a:pt x="91821" y="0"/>
                </a:lnTo>
                <a:lnTo>
                  <a:pt x="91821" y="259512"/>
                </a:lnTo>
                <a:lnTo>
                  <a:pt x="0" y="259512"/>
                </a:lnTo>
                <a:lnTo>
                  <a:pt x="0" y="0"/>
                </a:lnTo>
              </a:path>
            </a:pathLst>
          </a:custGeom>
          <a:ln w="0" cap="flat">
            <a:miter lim="127000"/>
          </a:ln>
        </xdr:spPr>
        <xdr:style>
          <a:lnRef idx="0">
            <a:srgbClr val="000000">
              <a:alpha val="0"/>
            </a:srgbClr>
          </a:lnRef>
          <a:fillRef idx="1">
            <a:srgbClr val="76C453"/>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35" name="Rectangle 234">
            <a:extLst>
              <a:ext uri="{FF2B5EF4-FFF2-40B4-BE49-F238E27FC236}">
                <a16:creationId xmlns:a16="http://schemas.microsoft.com/office/drawing/2014/main" id="{00000000-0008-0000-0D00-0000EB000000}"/>
              </a:ext>
            </a:extLst>
          </xdr:cNvPr>
          <xdr:cNvSpPr/>
        </xdr:nvSpPr>
        <xdr:spPr>
          <a:xfrm>
            <a:off x="4220933" y="1549342"/>
            <a:ext cx="253715" cy="214210"/>
          </a:xfrm>
          <a:prstGeom prst="rect">
            <a:avLst/>
          </a:prstGeom>
          <a:ln>
            <a:noFill/>
          </a:ln>
        </xdr:spPr>
        <xdr:txBody>
          <a:bodyPr vert="horz" wrap="square" lIns="0" tIns="0" rIns="0" bIns="0" rtlCol="0">
            <a:no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nSpc>
                <a:spcPct val="107000"/>
              </a:lnSpc>
              <a:spcAft>
                <a:spcPts val="800"/>
              </a:spcAft>
            </a:pPr>
            <a:r>
              <a:rPr lang="fr-FR" sz="1250">
                <a:solidFill>
                  <a:srgbClr val="76C453"/>
                </a:solidFill>
                <a:effectLst/>
                <a:latin typeface="Calibri Light" panose="020F0302020204030204" pitchFamily="34" charset="0"/>
                <a:ea typeface="Lato" panose="020F0502020204030203" pitchFamily="34" charset="0"/>
                <a:cs typeface="Lato" panose="020F0502020204030203" pitchFamily="34" charset="0"/>
              </a:rPr>
              <a:t>0 </a:t>
            </a:r>
            <a:r>
              <a:rPr lang="fr-FR" sz="1100">
                <a:solidFill>
                  <a:srgbClr val="76C453"/>
                </a:solidFill>
                <a:latin typeface="Calibri Light" panose="020F0302020204030204" pitchFamily="34" charset="0"/>
                <a:ea typeface="Lato" panose="020F0502020204030203" pitchFamily="34" charset="0"/>
                <a:cs typeface="Lato" panose="020F0502020204030203" pitchFamily="34" charset="0"/>
              </a:rPr>
              <a:t>%</a:t>
            </a:r>
          </a:p>
        </xdr:txBody>
      </xdr:sp>
      <xdr:sp macro="" textlink="">
        <xdr:nvSpPr>
          <xdr:cNvPr id="236" name="Rectangle 235">
            <a:extLst>
              <a:ext uri="{FF2B5EF4-FFF2-40B4-BE49-F238E27FC236}">
                <a16:creationId xmlns:a16="http://schemas.microsoft.com/office/drawing/2014/main" id="{00000000-0008-0000-0D00-0000EC000000}"/>
              </a:ext>
            </a:extLst>
          </xdr:cNvPr>
          <xdr:cNvSpPr/>
        </xdr:nvSpPr>
        <xdr:spPr>
          <a:xfrm>
            <a:off x="4295745" y="1546865"/>
            <a:ext cx="260251" cy="214210"/>
          </a:xfrm>
          <a:prstGeom prst="rect">
            <a:avLst/>
          </a:prstGeom>
          <a:ln>
            <a:noFill/>
          </a:ln>
        </xdr:spPr>
        <xdr:txBody>
          <a:bodyPr vert="horz" wrap="square" lIns="0" tIns="0" rIns="0" bIns="0" rtlCol="0">
            <a:no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nSpc>
                <a:spcPct val="107000"/>
              </a:lnSpc>
              <a:spcAft>
                <a:spcPts val="800"/>
              </a:spcAft>
            </a:pPr>
            <a:r>
              <a:rPr lang="fr-FR" sz="1250">
                <a:solidFill>
                  <a:srgbClr val="76C453"/>
                </a:solidFill>
                <a:effectLst/>
                <a:latin typeface="Calibri Light" panose="020F0302020204030204" pitchFamily="34" charset="0"/>
                <a:ea typeface="Lato" panose="020F0502020204030203" pitchFamily="34" charset="0"/>
                <a:cs typeface="Lato" panose="020F0502020204030203" pitchFamily="34" charset="0"/>
              </a:rPr>
              <a:t> </a:t>
            </a:r>
            <a:endParaRPr lang="fr-FR" sz="1100">
              <a:solidFill>
                <a:srgbClr val="000000"/>
              </a:solidFill>
              <a:effectLst/>
              <a:latin typeface="Calibri Light" panose="020F0302020204030204" pitchFamily="34" charset="0"/>
              <a:ea typeface="Calibri" panose="020F0502020204030204" pitchFamily="34" charset="0"/>
              <a:cs typeface="Calibri" panose="020F0502020204030204" pitchFamily="34" charset="0"/>
            </a:endParaRPr>
          </a:p>
        </xdr:txBody>
      </xdr:sp>
      <xdr:pic>
        <xdr:nvPicPr>
          <xdr:cNvPr id="237" name="Picture 309">
            <a:extLst>
              <a:ext uri="{FF2B5EF4-FFF2-40B4-BE49-F238E27FC236}">
                <a16:creationId xmlns:a16="http://schemas.microsoft.com/office/drawing/2014/main" id="{00000000-0008-0000-0D00-0000ED000000}"/>
              </a:ext>
            </a:extLst>
          </xdr:cNvPr>
          <xdr:cNvPicPr/>
        </xdr:nvPicPr>
        <xdr:blipFill>
          <a:blip xmlns:r="http://schemas.openxmlformats.org/officeDocument/2006/relationships" r:embed="rId3"/>
          <a:stretch>
            <a:fillRect/>
          </a:stretch>
        </xdr:blipFill>
        <xdr:spPr>
          <a:xfrm>
            <a:off x="1648724" y="1729310"/>
            <a:ext cx="162941" cy="567590"/>
          </a:xfrm>
          <a:prstGeom prst="rect">
            <a:avLst/>
          </a:prstGeom>
        </xdr:spPr>
      </xdr:pic>
      <xdr:sp macro="" textlink="">
        <xdr:nvSpPr>
          <xdr:cNvPr id="238" name="Shape 334">
            <a:extLst>
              <a:ext uri="{FF2B5EF4-FFF2-40B4-BE49-F238E27FC236}">
                <a16:creationId xmlns:a16="http://schemas.microsoft.com/office/drawing/2014/main" id="{00000000-0008-0000-0D00-0000EE000000}"/>
              </a:ext>
            </a:extLst>
          </xdr:cNvPr>
          <xdr:cNvSpPr/>
        </xdr:nvSpPr>
        <xdr:spPr>
          <a:xfrm>
            <a:off x="1670333" y="1758637"/>
            <a:ext cx="119722" cy="262639"/>
          </a:xfrm>
          <a:custGeom>
            <a:avLst/>
            <a:gdLst/>
            <a:ahLst/>
            <a:cxnLst/>
            <a:rect l="0" t="0" r="0" b="0"/>
            <a:pathLst>
              <a:path w="91821" h="259512">
                <a:moveTo>
                  <a:pt x="0" y="0"/>
                </a:moveTo>
                <a:lnTo>
                  <a:pt x="91821" y="0"/>
                </a:lnTo>
                <a:lnTo>
                  <a:pt x="91821" y="259512"/>
                </a:lnTo>
                <a:lnTo>
                  <a:pt x="0" y="259512"/>
                </a:lnTo>
                <a:lnTo>
                  <a:pt x="0" y="0"/>
                </a:lnTo>
              </a:path>
            </a:pathLst>
          </a:custGeom>
          <a:ln w="0" cap="flat">
            <a:miter lim="127000"/>
          </a:ln>
        </xdr:spPr>
        <xdr:style>
          <a:lnRef idx="0">
            <a:srgbClr val="000000">
              <a:alpha val="0"/>
            </a:srgbClr>
          </a:lnRef>
          <a:fillRef idx="1">
            <a:srgbClr val="DD453C"/>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39" name="Rectangle 238">
            <a:extLst>
              <a:ext uri="{FF2B5EF4-FFF2-40B4-BE49-F238E27FC236}">
                <a16:creationId xmlns:a16="http://schemas.microsoft.com/office/drawing/2014/main" id="{00000000-0008-0000-0D00-0000EF000000}"/>
              </a:ext>
            </a:extLst>
          </xdr:cNvPr>
          <xdr:cNvSpPr/>
        </xdr:nvSpPr>
        <xdr:spPr>
          <a:xfrm>
            <a:off x="1541716" y="1549341"/>
            <a:ext cx="471705" cy="214210"/>
          </a:xfrm>
          <a:prstGeom prst="rect">
            <a:avLst/>
          </a:prstGeom>
          <a:ln>
            <a:noFill/>
          </a:ln>
        </xdr:spPr>
        <xdr:txBody>
          <a:bodyPr vert="horz" wrap="square" lIns="0" tIns="0" rIns="0" bIns="0" rtlCol="0">
            <a:no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lnSpc>
                <a:spcPct val="107000"/>
              </a:lnSpc>
              <a:spcAft>
                <a:spcPts val="800"/>
              </a:spcAft>
            </a:pPr>
            <a:r>
              <a:rPr lang="fr-FR" sz="1250">
                <a:solidFill>
                  <a:srgbClr val="C00000"/>
                </a:solidFill>
                <a:effectLst/>
                <a:latin typeface="Calibri Light" panose="020F0302020204030204" pitchFamily="34" charset="0"/>
                <a:ea typeface="Lato" panose="020F0502020204030203" pitchFamily="34" charset="0"/>
                <a:cs typeface="Lato" panose="020F0502020204030203" pitchFamily="34" charset="0"/>
              </a:rPr>
              <a:t>100 %</a:t>
            </a:r>
            <a:endParaRPr lang="fr-FR" sz="1100">
              <a:solidFill>
                <a:srgbClr val="C00000"/>
              </a:solidFill>
              <a:effectLst/>
              <a:latin typeface="Calibri Light" panose="020F0302020204030204" pitchFamily="34" charset="0"/>
              <a:ea typeface="Calibri" panose="020F0502020204030204" pitchFamily="34" charset="0"/>
              <a:cs typeface="Calibri" panose="020F0502020204030204" pitchFamily="34" charset="0"/>
            </a:endParaRPr>
          </a:p>
        </xdr:txBody>
      </xdr:sp>
      <xdr:pic>
        <xdr:nvPicPr>
          <xdr:cNvPr id="240" name="Picture 311">
            <a:extLst>
              <a:ext uri="{FF2B5EF4-FFF2-40B4-BE49-F238E27FC236}">
                <a16:creationId xmlns:a16="http://schemas.microsoft.com/office/drawing/2014/main" id="{00000000-0008-0000-0D00-0000F0000000}"/>
              </a:ext>
            </a:extLst>
          </xdr:cNvPr>
          <xdr:cNvPicPr/>
        </xdr:nvPicPr>
        <xdr:blipFill>
          <a:blip xmlns:r="http://schemas.openxmlformats.org/officeDocument/2006/relationships" r:embed="rId4"/>
          <a:stretch>
            <a:fillRect/>
          </a:stretch>
        </xdr:blipFill>
        <xdr:spPr>
          <a:xfrm>
            <a:off x="6856939" y="1729311"/>
            <a:ext cx="166915" cy="567590"/>
          </a:xfrm>
          <a:prstGeom prst="rect">
            <a:avLst/>
          </a:prstGeom>
        </xdr:spPr>
      </xdr:pic>
      <xdr:sp macro="" textlink="">
        <xdr:nvSpPr>
          <xdr:cNvPr id="241" name="Shape 30">
            <a:extLst>
              <a:ext uri="{FF2B5EF4-FFF2-40B4-BE49-F238E27FC236}">
                <a16:creationId xmlns:a16="http://schemas.microsoft.com/office/drawing/2014/main" id="{00000000-0008-0000-0D00-0000F1000000}"/>
              </a:ext>
            </a:extLst>
          </xdr:cNvPr>
          <xdr:cNvSpPr/>
        </xdr:nvSpPr>
        <xdr:spPr>
          <a:xfrm>
            <a:off x="7536628" y="1735390"/>
            <a:ext cx="155274" cy="559339"/>
          </a:xfrm>
          <a:custGeom>
            <a:avLst/>
            <a:gdLst/>
            <a:ahLst/>
            <a:cxnLst/>
            <a:rect l="0" t="0" r="0" b="0"/>
            <a:pathLst>
              <a:path w="119088" h="552679">
                <a:moveTo>
                  <a:pt x="0" y="552679"/>
                </a:moveTo>
                <a:lnTo>
                  <a:pt x="119088" y="552679"/>
                </a:lnTo>
                <a:lnTo>
                  <a:pt x="119088" y="0"/>
                </a:lnTo>
                <a:lnTo>
                  <a:pt x="0" y="0"/>
                </a:lnTo>
                <a:close/>
              </a:path>
            </a:pathLst>
          </a:custGeom>
          <a:ln w="3175" cap="flat">
            <a:miter lim="127000"/>
          </a:ln>
        </xdr:spPr>
        <xdr:style>
          <a:lnRef idx="1">
            <a:srgbClr val="000000">
              <a:alpha val="0"/>
            </a:srgbClr>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42" name="Shape 335">
            <a:extLst>
              <a:ext uri="{FF2B5EF4-FFF2-40B4-BE49-F238E27FC236}">
                <a16:creationId xmlns:a16="http://schemas.microsoft.com/office/drawing/2014/main" id="{00000000-0008-0000-0D00-0000F2000000}"/>
              </a:ext>
            </a:extLst>
          </xdr:cNvPr>
          <xdr:cNvSpPr/>
        </xdr:nvSpPr>
        <xdr:spPr>
          <a:xfrm>
            <a:off x="6880535" y="1758638"/>
            <a:ext cx="119722" cy="262639"/>
          </a:xfrm>
          <a:custGeom>
            <a:avLst/>
            <a:gdLst/>
            <a:ahLst/>
            <a:cxnLst/>
            <a:rect l="0" t="0" r="0" b="0"/>
            <a:pathLst>
              <a:path w="91821" h="259512">
                <a:moveTo>
                  <a:pt x="0" y="0"/>
                </a:moveTo>
                <a:lnTo>
                  <a:pt x="91821" y="0"/>
                </a:lnTo>
                <a:lnTo>
                  <a:pt x="91821" y="259512"/>
                </a:lnTo>
                <a:lnTo>
                  <a:pt x="0" y="259512"/>
                </a:lnTo>
                <a:lnTo>
                  <a:pt x="0" y="0"/>
                </a:lnTo>
              </a:path>
            </a:pathLst>
          </a:custGeom>
          <a:ln w="0" cap="flat">
            <a:miter lim="127000"/>
          </a:ln>
        </xdr:spPr>
        <xdr:style>
          <a:lnRef idx="0">
            <a:srgbClr val="000000">
              <a:alpha val="0"/>
            </a:srgbClr>
          </a:lnRef>
          <a:fillRef idx="1">
            <a:srgbClr val="DD453C"/>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43" name="Rectangle 242">
            <a:extLst>
              <a:ext uri="{FF2B5EF4-FFF2-40B4-BE49-F238E27FC236}">
                <a16:creationId xmlns:a16="http://schemas.microsoft.com/office/drawing/2014/main" id="{00000000-0008-0000-0D00-0000F3000000}"/>
              </a:ext>
            </a:extLst>
          </xdr:cNvPr>
          <xdr:cNvSpPr/>
        </xdr:nvSpPr>
        <xdr:spPr>
          <a:xfrm>
            <a:off x="6744631" y="1549342"/>
            <a:ext cx="471705" cy="214210"/>
          </a:xfrm>
          <a:prstGeom prst="rect">
            <a:avLst/>
          </a:prstGeom>
          <a:ln>
            <a:noFill/>
          </a:ln>
        </xdr:spPr>
        <xdr:txBody>
          <a:bodyPr vert="horz" wrap="square" lIns="0" tIns="0" rIns="0" bIns="0" rtlCol="0">
            <a:no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lnSpc>
                <a:spcPct val="107000"/>
              </a:lnSpc>
              <a:spcAft>
                <a:spcPts val="800"/>
              </a:spcAft>
            </a:pPr>
            <a:r>
              <a:rPr lang="fr-FR" sz="1250">
                <a:solidFill>
                  <a:srgbClr val="C00000"/>
                </a:solidFill>
                <a:effectLst/>
                <a:latin typeface="Calibri Light" panose="020F0302020204030204" pitchFamily="34" charset="0"/>
                <a:ea typeface="Lato" panose="020F0502020204030203" pitchFamily="34" charset="0"/>
                <a:cs typeface="Lato" panose="020F0502020204030203" pitchFamily="34" charset="0"/>
              </a:rPr>
              <a:t>100 %</a:t>
            </a:r>
            <a:endParaRPr lang="fr-FR" sz="1100">
              <a:solidFill>
                <a:srgbClr val="C00000"/>
              </a:solidFill>
              <a:effectLst/>
              <a:latin typeface="Calibri Light" panose="020F0302020204030204" pitchFamily="34" charset="0"/>
              <a:ea typeface="Calibri" panose="020F0502020204030204" pitchFamily="34" charset="0"/>
              <a:cs typeface="Calibri" panose="020F0502020204030204" pitchFamily="34" charset="0"/>
            </a:endParaRPr>
          </a:p>
        </xdr:txBody>
      </xdr:sp>
      <xdr:pic>
        <xdr:nvPicPr>
          <xdr:cNvPr id="244" name="Picture 310">
            <a:extLst>
              <a:ext uri="{FF2B5EF4-FFF2-40B4-BE49-F238E27FC236}">
                <a16:creationId xmlns:a16="http://schemas.microsoft.com/office/drawing/2014/main" id="{00000000-0008-0000-0D00-0000F4000000}"/>
              </a:ext>
            </a:extLst>
          </xdr:cNvPr>
          <xdr:cNvPicPr/>
        </xdr:nvPicPr>
        <xdr:blipFill>
          <a:blip xmlns:r="http://schemas.openxmlformats.org/officeDocument/2006/relationships" r:embed="rId5"/>
          <a:stretch>
            <a:fillRect/>
          </a:stretch>
        </xdr:blipFill>
        <xdr:spPr>
          <a:xfrm>
            <a:off x="2939936" y="1729311"/>
            <a:ext cx="166915" cy="567590"/>
          </a:xfrm>
          <a:prstGeom prst="rect">
            <a:avLst/>
          </a:prstGeom>
        </xdr:spPr>
      </xdr:pic>
      <xdr:sp macro="" textlink="">
        <xdr:nvSpPr>
          <xdr:cNvPr id="245" name="Shape 336">
            <a:extLst>
              <a:ext uri="{FF2B5EF4-FFF2-40B4-BE49-F238E27FC236}">
                <a16:creationId xmlns:a16="http://schemas.microsoft.com/office/drawing/2014/main" id="{00000000-0008-0000-0D00-0000F5000000}"/>
              </a:ext>
            </a:extLst>
          </xdr:cNvPr>
          <xdr:cNvSpPr/>
        </xdr:nvSpPr>
        <xdr:spPr>
          <a:xfrm>
            <a:off x="2963532" y="1758638"/>
            <a:ext cx="119722" cy="262639"/>
          </a:xfrm>
          <a:custGeom>
            <a:avLst/>
            <a:gdLst/>
            <a:ahLst/>
            <a:cxnLst/>
            <a:rect l="0" t="0" r="0" b="0"/>
            <a:pathLst>
              <a:path w="91821" h="259512">
                <a:moveTo>
                  <a:pt x="0" y="0"/>
                </a:moveTo>
                <a:lnTo>
                  <a:pt x="91821" y="0"/>
                </a:lnTo>
                <a:lnTo>
                  <a:pt x="91821" y="259512"/>
                </a:lnTo>
                <a:lnTo>
                  <a:pt x="0" y="259512"/>
                </a:lnTo>
                <a:lnTo>
                  <a:pt x="0" y="0"/>
                </a:lnTo>
              </a:path>
            </a:pathLst>
          </a:custGeom>
          <a:ln w="0" cap="flat">
            <a:miter lim="127000"/>
          </a:ln>
        </xdr:spPr>
        <xdr:style>
          <a:lnRef idx="0">
            <a:srgbClr val="000000">
              <a:alpha val="0"/>
            </a:srgbClr>
          </a:lnRef>
          <a:fillRef idx="1">
            <a:srgbClr val="CED542"/>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46" name="Rectangle 245">
            <a:extLst>
              <a:ext uri="{FF2B5EF4-FFF2-40B4-BE49-F238E27FC236}">
                <a16:creationId xmlns:a16="http://schemas.microsoft.com/office/drawing/2014/main" id="{00000000-0008-0000-0D00-0000F6000000}"/>
              </a:ext>
            </a:extLst>
          </xdr:cNvPr>
          <xdr:cNvSpPr/>
        </xdr:nvSpPr>
        <xdr:spPr>
          <a:xfrm>
            <a:off x="2861809" y="1542965"/>
            <a:ext cx="434333" cy="226964"/>
          </a:xfrm>
          <a:prstGeom prst="rect">
            <a:avLst/>
          </a:prstGeom>
          <a:ln>
            <a:noFill/>
          </a:ln>
        </xdr:spPr>
        <xdr:txBody>
          <a:bodyPr vert="horz" wrap="square" lIns="0" tIns="0" rIns="0" bIns="0" rtlCol="0">
            <a:no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lnSpc>
                <a:spcPct val="107000"/>
              </a:lnSpc>
              <a:spcAft>
                <a:spcPts val="800"/>
              </a:spcAft>
            </a:pPr>
            <a:r>
              <a:rPr lang="fr-FR" sz="1250">
                <a:solidFill>
                  <a:srgbClr val="CED542"/>
                </a:solidFill>
                <a:latin typeface="Calibri Light" panose="020F0302020204030204" pitchFamily="34" charset="0"/>
                <a:ea typeface="Lato" panose="020F0502020204030203" pitchFamily="34" charset="0"/>
                <a:cs typeface="Lato" panose="020F0502020204030203" pitchFamily="34" charset="0"/>
              </a:rPr>
              <a:t>50 %</a:t>
            </a:r>
          </a:p>
        </xdr:txBody>
      </xdr:sp>
      <xdr:pic>
        <xdr:nvPicPr>
          <xdr:cNvPr id="247" name="Picture 312">
            <a:extLst>
              <a:ext uri="{FF2B5EF4-FFF2-40B4-BE49-F238E27FC236}">
                <a16:creationId xmlns:a16="http://schemas.microsoft.com/office/drawing/2014/main" id="{00000000-0008-0000-0D00-0000F7000000}"/>
              </a:ext>
            </a:extLst>
          </xdr:cNvPr>
          <xdr:cNvPicPr/>
        </xdr:nvPicPr>
        <xdr:blipFill>
          <a:blip xmlns:r="http://schemas.openxmlformats.org/officeDocument/2006/relationships" r:embed="rId5"/>
          <a:stretch>
            <a:fillRect/>
          </a:stretch>
        </xdr:blipFill>
        <xdr:spPr>
          <a:xfrm>
            <a:off x="5555301" y="1729311"/>
            <a:ext cx="166915" cy="567590"/>
          </a:xfrm>
          <a:prstGeom prst="rect">
            <a:avLst/>
          </a:prstGeom>
        </xdr:spPr>
      </xdr:pic>
      <xdr:sp macro="" textlink="">
        <xdr:nvSpPr>
          <xdr:cNvPr id="248" name="Shape 337">
            <a:extLst>
              <a:ext uri="{FF2B5EF4-FFF2-40B4-BE49-F238E27FC236}">
                <a16:creationId xmlns:a16="http://schemas.microsoft.com/office/drawing/2014/main" id="{00000000-0008-0000-0D00-0000F8000000}"/>
              </a:ext>
            </a:extLst>
          </xdr:cNvPr>
          <xdr:cNvSpPr/>
        </xdr:nvSpPr>
        <xdr:spPr>
          <a:xfrm>
            <a:off x="5578897" y="1758638"/>
            <a:ext cx="119722" cy="262639"/>
          </a:xfrm>
          <a:custGeom>
            <a:avLst/>
            <a:gdLst/>
            <a:ahLst/>
            <a:cxnLst/>
            <a:rect l="0" t="0" r="0" b="0"/>
            <a:pathLst>
              <a:path w="91821" h="259512">
                <a:moveTo>
                  <a:pt x="0" y="0"/>
                </a:moveTo>
                <a:lnTo>
                  <a:pt x="91821" y="0"/>
                </a:lnTo>
                <a:lnTo>
                  <a:pt x="91821" y="259512"/>
                </a:lnTo>
                <a:lnTo>
                  <a:pt x="0" y="259512"/>
                </a:lnTo>
                <a:lnTo>
                  <a:pt x="0" y="0"/>
                </a:lnTo>
              </a:path>
            </a:pathLst>
          </a:custGeom>
          <a:ln w="0" cap="flat">
            <a:miter lim="127000"/>
          </a:ln>
        </xdr:spPr>
        <xdr:style>
          <a:lnRef idx="0">
            <a:srgbClr val="000000">
              <a:alpha val="0"/>
            </a:srgbClr>
          </a:lnRef>
          <a:fillRef idx="1">
            <a:srgbClr val="CED542"/>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49" name="Rectangle 248">
            <a:extLst>
              <a:ext uri="{FF2B5EF4-FFF2-40B4-BE49-F238E27FC236}">
                <a16:creationId xmlns:a16="http://schemas.microsoft.com/office/drawing/2014/main" id="{00000000-0008-0000-0D00-0000F9000000}"/>
              </a:ext>
            </a:extLst>
          </xdr:cNvPr>
          <xdr:cNvSpPr/>
        </xdr:nvSpPr>
        <xdr:spPr>
          <a:xfrm>
            <a:off x="5425508" y="1544583"/>
            <a:ext cx="429562" cy="223729"/>
          </a:xfrm>
          <a:prstGeom prst="rect">
            <a:avLst/>
          </a:prstGeom>
          <a:ln>
            <a:noFill/>
          </a:ln>
        </xdr:spPr>
        <xdr:txBody>
          <a:bodyPr vert="horz" wrap="square" lIns="0" tIns="0" rIns="0" bIns="0" rtlCol="0">
            <a:no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lnSpc>
                <a:spcPct val="107000"/>
              </a:lnSpc>
              <a:spcAft>
                <a:spcPts val="800"/>
              </a:spcAft>
            </a:pPr>
            <a:r>
              <a:rPr lang="fr-FR" sz="1250">
                <a:solidFill>
                  <a:srgbClr val="CED542"/>
                </a:solidFill>
                <a:latin typeface="Calibri Light" panose="020F0302020204030204" pitchFamily="34" charset="0"/>
                <a:ea typeface="Lato" panose="020F0502020204030203" pitchFamily="34" charset="0"/>
                <a:cs typeface="Lato" panose="020F0502020204030203" pitchFamily="34" charset="0"/>
              </a:rPr>
              <a:t>50 %</a:t>
            </a:r>
          </a:p>
        </xdr:txBody>
      </xdr:sp>
      <xdr:sp macro="" textlink="">
        <xdr:nvSpPr>
          <xdr:cNvPr id="250" name="Rectangle 249">
            <a:extLst>
              <a:ext uri="{FF2B5EF4-FFF2-40B4-BE49-F238E27FC236}">
                <a16:creationId xmlns:a16="http://schemas.microsoft.com/office/drawing/2014/main" id="{00000000-0008-0000-0D00-0000FA000000}"/>
              </a:ext>
            </a:extLst>
          </xdr:cNvPr>
          <xdr:cNvSpPr/>
        </xdr:nvSpPr>
        <xdr:spPr>
          <a:xfrm>
            <a:off x="1922161" y="2359821"/>
            <a:ext cx="1651522" cy="280526"/>
          </a:xfrm>
          <a:prstGeom prst="rect">
            <a:avLst/>
          </a:prstGeom>
          <a:ln>
            <a:noFill/>
          </a:ln>
        </xdr:spPr>
        <xdr:txBody>
          <a:bodyPr vert="horz" wrap="square" lIns="0" tIns="0" rIns="0" bIns="0" rtlCol="0">
            <a:no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lnSpc>
                <a:spcPct val="107000"/>
              </a:lnSpc>
              <a:spcAft>
                <a:spcPts val="800"/>
              </a:spcAft>
            </a:pPr>
            <a:r>
              <a:rPr lang="fr-FR" sz="1250">
                <a:solidFill>
                  <a:sysClr val="windowText" lastClr="000000"/>
                </a:solidFill>
                <a:effectLst/>
                <a:latin typeface="Calibri Light" panose="020F0302020204030204" pitchFamily="34" charset="0"/>
                <a:ea typeface="Lato" panose="020F0502020204030203" pitchFamily="34" charset="0"/>
                <a:cs typeface="Lato" panose="020F0502020204030203" pitchFamily="34" charset="0"/>
              </a:rPr>
              <a:t>Anti estrogen effect</a:t>
            </a:r>
          </a:p>
        </xdr:txBody>
      </xdr:sp>
      <xdr:sp macro="" textlink="">
        <xdr:nvSpPr>
          <xdr:cNvPr id="251" name="Shape 59">
            <a:extLst>
              <a:ext uri="{FF2B5EF4-FFF2-40B4-BE49-F238E27FC236}">
                <a16:creationId xmlns:a16="http://schemas.microsoft.com/office/drawing/2014/main" id="{00000000-0008-0000-0D00-0000FB000000}"/>
              </a:ext>
            </a:extLst>
          </xdr:cNvPr>
          <xdr:cNvSpPr/>
        </xdr:nvSpPr>
        <xdr:spPr>
          <a:xfrm>
            <a:off x="4321750" y="2113920"/>
            <a:ext cx="40948" cy="305457"/>
          </a:xfrm>
          <a:custGeom>
            <a:avLst/>
            <a:gdLst/>
            <a:ahLst/>
            <a:cxnLst/>
            <a:rect l="0" t="0" r="0" b="0"/>
            <a:pathLst>
              <a:path h="663715">
                <a:moveTo>
                  <a:pt x="0" y="0"/>
                </a:moveTo>
                <a:lnTo>
                  <a:pt x="0" y="663715"/>
                </a:lnTo>
              </a:path>
            </a:pathLst>
          </a:custGeom>
          <a:ln w="12700" cap="rnd">
            <a:custDash>
              <a:ds d="10000" sp="300000"/>
            </a:custDash>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endParaRPr lang="fr-FR">
              <a:latin typeface="Calibri Light" panose="020F0302020204030204" pitchFamily="34" charset="0"/>
            </a:endParaRPr>
          </a:p>
        </xdr:txBody>
      </xdr:sp>
      <xdr:sp macro="" textlink="">
        <xdr:nvSpPr>
          <xdr:cNvPr id="252" name="Shape 62">
            <a:extLst>
              <a:ext uri="{FF2B5EF4-FFF2-40B4-BE49-F238E27FC236}">
                <a16:creationId xmlns:a16="http://schemas.microsoft.com/office/drawing/2014/main" id="{00000000-0008-0000-0D00-0000FC000000}"/>
              </a:ext>
            </a:extLst>
          </xdr:cNvPr>
          <xdr:cNvSpPr/>
        </xdr:nvSpPr>
        <xdr:spPr>
          <a:xfrm>
            <a:off x="367064" y="2341501"/>
            <a:ext cx="828" cy="0"/>
          </a:xfrm>
          <a:custGeom>
            <a:avLst/>
            <a:gdLst/>
            <a:ahLst/>
            <a:cxnLst/>
            <a:rect l="0" t="0" r="0" b="0"/>
            <a:pathLst>
              <a:path w="635">
                <a:moveTo>
                  <a:pt x="0" y="0"/>
                </a:moveTo>
                <a:lnTo>
                  <a:pt x="635"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53" name="Shape 63">
            <a:extLst>
              <a:ext uri="{FF2B5EF4-FFF2-40B4-BE49-F238E27FC236}">
                <a16:creationId xmlns:a16="http://schemas.microsoft.com/office/drawing/2014/main" id="{00000000-0008-0000-0D00-0000FD000000}"/>
              </a:ext>
            </a:extLst>
          </xdr:cNvPr>
          <xdr:cNvSpPr/>
        </xdr:nvSpPr>
        <xdr:spPr>
          <a:xfrm>
            <a:off x="417713" y="2344963"/>
            <a:ext cx="3887621" cy="0"/>
          </a:xfrm>
          <a:custGeom>
            <a:avLst/>
            <a:gdLst/>
            <a:ahLst/>
            <a:cxnLst/>
            <a:rect l="0" t="0" r="0" b="0"/>
            <a:pathLst>
              <a:path w="2981617">
                <a:moveTo>
                  <a:pt x="0" y="0"/>
                </a:moveTo>
                <a:lnTo>
                  <a:pt x="2981617" y="0"/>
                </a:lnTo>
              </a:path>
            </a:pathLst>
          </a:custGeom>
          <a:ln w="12700" cap="rnd">
            <a:custDash>
              <a:ds d="10000" sp="300900"/>
            </a:custDash>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54" name="Shape 64">
            <a:extLst>
              <a:ext uri="{FF2B5EF4-FFF2-40B4-BE49-F238E27FC236}">
                <a16:creationId xmlns:a16="http://schemas.microsoft.com/office/drawing/2014/main" id="{00000000-0008-0000-0D00-0000FE000000}"/>
              </a:ext>
            </a:extLst>
          </xdr:cNvPr>
          <xdr:cNvSpPr/>
        </xdr:nvSpPr>
        <xdr:spPr>
          <a:xfrm>
            <a:off x="4330248" y="2341501"/>
            <a:ext cx="828" cy="0"/>
          </a:xfrm>
          <a:custGeom>
            <a:avLst/>
            <a:gdLst/>
            <a:ahLst/>
            <a:cxnLst/>
            <a:rect l="0" t="0" r="0" b="0"/>
            <a:pathLst>
              <a:path w="635">
                <a:moveTo>
                  <a:pt x="0" y="0"/>
                </a:moveTo>
                <a:lnTo>
                  <a:pt x="635"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55" name="Shape 65">
            <a:extLst>
              <a:ext uri="{FF2B5EF4-FFF2-40B4-BE49-F238E27FC236}">
                <a16:creationId xmlns:a16="http://schemas.microsoft.com/office/drawing/2014/main" id="{00000000-0008-0000-0D00-0000FF000000}"/>
              </a:ext>
            </a:extLst>
          </xdr:cNvPr>
          <xdr:cNvSpPr/>
        </xdr:nvSpPr>
        <xdr:spPr>
          <a:xfrm>
            <a:off x="429779" y="2390180"/>
            <a:ext cx="579" cy="450"/>
          </a:xfrm>
          <a:custGeom>
            <a:avLst/>
            <a:gdLst/>
            <a:ahLst/>
            <a:cxnLst/>
            <a:rect l="0" t="0" r="0" b="0"/>
            <a:pathLst>
              <a:path w="444" h="445">
                <a:moveTo>
                  <a:pt x="444" y="445"/>
                </a:moveTo>
                <a:lnTo>
                  <a:pt x="0"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56" name="Shape 66">
            <a:extLst>
              <a:ext uri="{FF2B5EF4-FFF2-40B4-BE49-F238E27FC236}">
                <a16:creationId xmlns:a16="http://schemas.microsoft.com/office/drawing/2014/main" id="{00000000-0008-0000-0D00-000000010000}"/>
              </a:ext>
            </a:extLst>
          </xdr:cNvPr>
          <xdr:cNvSpPr/>
        </xdr:nvSpPr>
        <xdr:spPr>
          <a:xfrm>
            <a:off x="382925" y="2353813"/>
            <a:ext cx="16294" cy="12648"/>
          </a:xfrm>
          <a:custGeom>
            <a:avLst/>
            <a:gdLst/>
            <a:ahLst/>
            <a:cxnLst/>
            <a:rect l="0" t="0" r="0" b="0"/>
            <a:pathLst>
              <a:path w="12497" h="12497">
                <a:moveTo>
                  <a:pt x="12497" y="12497"/>
                </a:moveTo>
                <a:lnTo>
                  <a:pt x="0" y="0"/>
                </a:lnTo>
              </a:path>
            </a:pathLst>
          </a:custGeom>
          <a:ln w="12700" cap="rnd">
            <a:custDash>
              <a:ds d="8700" sp="260900"/>
            </a:custDash>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57" name="Shape 67">
            <a:extLst>
              <a:ext uri="{FF2B5EF4-FFF2-40B4-BE49-F238E27FC236}">
                <a16:creationId xmlns:a16="http://schemas.microsoft.com/office/drawing/2014/main" id="{00000000-0008-0000-0D00-000001010000}"/>
              </a:ext>
            </a:extLst>
          </xdr:cNvPr>
          <xdr:cNvSpPr/>
        </xdr:nvSpPr>
        <xdr:spPr>
          <a:xfrm>
            <a:off x="367071" y="2341044"/>
            <a:ext cx="579" cy="913"/>
          </a:xfrm>
          <a:custGeom>
            <a:avLst/>
            <a:gdLst/>
            <a:ahLst/>
            <a:cxnLst/>
            <a:rect l="0" t="0" r="0" b="0"/>
            <a:pathLst>
              <a:path w="444" h="902">
                <a:moveTo>
                  <a:pt x="444" y="902"/>
                </a:moveTo>
                <a:lnTo>
                  <a:pt x="0" y="457"/>
                </a:lnTo>
                <a:lnTo>
                  <a:pt x="444"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58" name="Shape 68">
            <a:extLst>
              <a:ext uri="{FF2B5EF4-FFF2-40B4-BE49-F238E27FC236}">
                <a16:creationId xmlns:a16="http://schemas.microsoft.com/office/drawing/2014/main" id="{00000000-0008-0000-0D00-000002010000}"/>
              </a:ext>
            </a:extLst>
          </xdr:cNvPr>
          <xdr:cNvSpPr/>
        </xdr:nvSpPr>
        <xdr:spPr>
          <a:xfrm>
            <a:off x="398202" y="2304685"/>
            <a:ext cx="16294" cy="12648"/>
          </a:xfrm>
          <a:custGeom>
            <a:avLst/>
            <a:gdLst/>
            <a:ahLst/>
            <a:cxnLst/>
            <a:rect l="0" t="0" r="0" b="0"/>
            <a:pathLst>
              <a:path w="12497" h="12497">
                <a:moveTo>
                  <a:pt x="0" y="12497"/>
                </a:moveTo>
                <a:lnTo>
                  <a:pt x="12497" y="0"/>
                </a:lnTo>
              </a:path>
            </a:pathLst>
          </a:custGeom>
          <a:ln w="12700" cap="rnd">
            <a:custDash>
              <a:ds d="8700" sp="260900"/>
            </a:custDash>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59" name="Shape 69">
            <a:extLst>
              <a:ext uri="{FF2B5EF4-FFF2-40B4-BE49-F238E27FC236}">
                <a16:creationId xmlns:a16="http://schemas.microsoft.com/office/drawing/2014/main" id="{00000000-0008-0000-0D00-000003010000}"/>
              </a:ext>
            </a:extLst>
          </xdr:cNvPr>
          <xdr:cNvSpPr/>
        </xdr:nvSpPr>
        <xdr:spPr>
          <a:xfrm>
            <a:off x="429773" y="2292378"/>
            <a:ext cx="579" cy="450"/>
          </a:xfrm>
          <a:custGeom>
            <a:avLst/>
            <a:gdLst/>
            <a:ahLst/>
            <a:cxnLst/>
            <a:rect l="0" t="0" r="0" b="0"/>
            <a:pathLst>
              <a:path w="444" h="445">
                <a:moveTo>
                  <a:pt x="0" y="445"/>
                </a:moveTo>
                <a:lnTo>
                  <a:pt x="444"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60" name="Shape 70">
            <a:extLst>
              <a:ext uri="{FF2B5EF4-FFF2-40B4-BE49-F238E27FC236}">
                <a16:creationId xmlns:a16="http://schemas.microsoft.com/office/drawing/2014/main" id="{00000000-0008-0000-0D00-000004010000}"/>
              </a:ext>
            </a:extLst>
          </xdr:cNvPr>
          <xdr:cNvSpPr/>
        </xdr:nvSpPr>
        <xdr:spPr>
          <a:xfrm>
            <a:off x="8298817" y="2341501"/>
            <a:ext cx="828" cy="0"/>
          </a:xfrm>
          <a:custGeom>
            <a:avLst/>
            <a:gdLst/>
            <a:ahLst/>
            <a:cxnLst/>
            <a:rect l="0" t="0" r="0" b="0"/>
            <a:pathLst>
              <a:path w="635">
                <a:moveTo>
                  <a:pt x="635" y="0"/>
                </a:moveTo>
                <a:lnTo>
                  <a:pt x="0"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61" name="Shape 71">
            <a:extLst>
              <a:ext uri="{FF2B5EF4-FFF2-40B4-BE49-F238E27FC236}">
                <a16:creationId xmlns:a16="http://schemas.microsoft.com/office/drawing/2014/main" id="{00000000-0008-0000-0D00-000005010000}"/>
              </a:ext>
            </a:extLst>
          </xdr:cNvPr>
          <xdr:cNvSpPr/>
        </xdr:nvSpPr>
        <xdr:spPr>
          <a:xfrm>
            <a:off x="4356847" y="2344963"/>
            <a:ext cx="3892092" cy="0"/>
          </a:xfrm>
          <a:custGeom>
            <a:avLst/>
            <a:gdLst/>
            <a:ahLst/>
            <a:cxnLst/>
            <a:rect l="0" t="0" r="0" b="0"/>
            <a:pathLst>
              <a:path w="2985046">
                <a:moveTo>
                  <a:pt x="2985046" y="0"/>
                </a:moveTo>
                <a:lnTo>
                  <a:pt x="0" y="0"/>
                </a:lnTo>
              </a:path>
            </a:pathLst>
          </a:custGeom>
          <a:ln w="12700" cap="rnd">
            <a:custDash>
              <a:ds d="10000" sp="301200"/>
            </a:custDash>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62" name="Shape 72">
            <a:extLst>
              <a:ext uri="{FF2B5EF4-FFF2-40B4-BE49-F238E27FC236}">
                <a16:creationId xmlns:a16="http://schemas.microsoft.com/office/drawing/2014/main" id="{00000000-0008-0000-0D00-000006010000}"/>
              </a:ext>
            </a:extLst>
          </xdr:cNvPr>
          <xdr:cNvSpPr/>
        </xdr:nvSpPr>
        <xdr:spPr>
          <a:xfrm>
            <a:off x="4331075" y="2341501"/>
            <a:ext cx="828" cy="0"/>
          </a:xfrm>
          <a:custGeom>
            <a:avLst/>
            <a:gdLst/>
            <a:ahLst/>
            <a:cxnLst/>
            <a:rect l="0" t="0" r="0" b="0"/>
            <a:pathLst>
              <a:path w="635">
                <a:moveTo>
                  <a:pt x="635" y="0"/>
                </a:moveTo>
                <a:lnTo>
                  <a:pt x="0"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63" name="Shape 73">
            <a:extLst>
              <a:ext uri="{FF2B5EF4-FFF2-40B4-BE49-F238E27FC236}">
                <a16:creationId xmlns:a16="http://schemas.microsoft.com/office/drawing/2014/main" id="{00000000-0008-0000-0D00-000007010000}"/>
              </a:ext>
            </a:extLst>
          </xdr:cNvPr>
          <xdr:cNvSpPr/>
        </xdr:nvSpPr>
        <xdr:spPr>
          <a:xfrm>
            <a:off x="8236349" y="2390180"/>
            <a:ext cx="579" cy="450"/>
          </a:xfrm>
          <a:custGeom>
            <a:avLst/>
            <a:gdLst/>
            <a:ahLst/>
            <a:cxnLst/>
            <a:rect l="0" t="0" r="0" b="0"/>
            <a:pathLst>
              <a:path w="444" h="445">
                <a:moveTo>
                  <a:pt x="0" y="445"/>
                </a:moveTo>
                <a:lnTo>
                  <a:pt x="444"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64" name="Shape 74">
            <a:extLst>
              <a:ext uri="{FF2B5EF4-FFF2-40B4-BE49-F238E27FC236}">
                <a16:creationId xmlns:a16="http://schemas.microsoft.com/office/drawing/2014/main" id="{00000000-0008-0000-0D00-000008010000}"/>
              </a:ext>
            </a:extLst>
          </xdr:cNvPr>
          <xdr:cNvSpPr/>
        </xdr:nvSpPr>
        <xdr:spPr>
          <a:xfrm>
            <a:off x="8267488" y="2353813"/>
            <a:ext cx="16294" cy="12648"/>
          </a:xfrm>
          <a:custGeom>
            <a:avLst/>
            <a:gdLst/>
            <a:ahLst/>
            <a:cxnLst/>
            <a:rect l="0" t="0" r="0" b="0"/>
            <a:pathLst>
              <a:path w="12497" h="12497">
                <a:moveTo>
                  <a:pt x="0" y="12497"/>
                </a:moveTo>
                <a:lnTo>
                  <a:pt x="12497" y="0"/>
                </a:lnTo>
              </a:path>
            </a:pathLst>
          </a:custGeom>
          <a:ln w="12700" cap="rnd">
            <a:custDash>
              <a:ds d="8700" sp="260900"/>
            </a:custDash>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65" name="Shape 75">
            <a:extLst>
              <a:ext uri="{FF2B5EF4-FFF2-40B4-BE49-F238E27FC236}">
                <a16:creationId xmlns:a16="http://schemas.microsoft.com/office/drawing/2014/main" id="{00000000-0008-0000-0D00-000009010000}"/>
              </a:ext>
            </a:extLst>
          </xdr:cNvPr>
          <xdr:cNvSpPr/>
        </xdr:nvSpPr>
        <xdr:spPr>
          <a:xfrm>
            <a:off x="8299060" y="2341044"/>
            <a:ext cx="579" cy="913"/>
          </a:xfrm>
          <a:custGeom>
            <a:avLst/>
            <a:gdLst/>
            <a:ahLst/>
            <a:cxnLst/>
            <a:rect l="0" t="0" r="0" b="0"/>
            <a:pathLst>
              <a:path w="444" h="902">
                <a:moveTo>
                  <a:pt x="0" y="902"/>
                </a:moveTo>
                <a:lnTo>
                  <a:pt x="444" y="457"/>
                </a:lnTo>
                <a:lnTo>
                  <a:pt x="0"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66" name="Shape 76">
            <a:extLst>
              <a:ext uri="{FF2B5EF4-FFF2-40B4-BE49-F238E27FC236}">
                <a16:creationId xmlns:a16="http://schemas.microsoft.com/office/drawing/2014/main" id="{00000000-0008-0000-0D00-00000A010000}"/>
              </a:ext>
            </a:extLst>
          </xdr:cNvPr>
          <xdr:cNvSpPr/>
        </xdr:nvSpPr>
        <xdr:spPr>
          <a:xfrm>
            <a:off x="8252210" y="2304685"/>
            <a:ext cx="16294" cy="12648"/>
          </a:xfrm>
          <a:custGeom>
            <a:avLst/>
            <a:gdLst/>
            <a:ahLst/>
            <a:cxnLst/>
            <a:rect l="0" t="0" r="0" b="0"/>
            <a:pathLst>
              <a:path w="12497" h="12497">
                <a:moveTo>
                  <a:pt x="12497" y="12497"/>
                </a:moveTo>
                <a:lnTo>
                  <a:pt x="0" y="0"/>
                </a:lnTo>
              </a:path>
            </a:pathLst>
          </a:custGeom>
          <a:ln w="12700" cap="rnd">
            <a:custDash>
              <a:ds d="8700" sp="260900"/>
            </a:custDash>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67" name="Shape 77">
            <a:extLst>
              <a:ext uri="{FF2B5EF4-FFF2-40B4-BE49-F238E27FC236}">
                <a16:creationId xmlns:a16="http://schemas.microsoft.com/office/drawing/2014/main" id="{00000000-0008-0000-0D00-00000B010000}"/>
              </a:ext>
            </a:extLst>
          </xdr:cNvPr>
          <xdr:cNvSpPr/>
        </xdr:nvSpPr>
        <xdr:spPr>
          <a:xfrm>
            <a:off x="8236357" y="2292378"/>
            <a:ext cx="579" cy="450"/>
          </a:xfrm>
          <a:custGeom>
            <a:avLst/>
            <a:gdLst/>
            <a:ahLst/>
            <a:cxnLst/>
            <a:rect l="0" t="0" r="0" b="0"/>
            <a:pathLst>
              <a:path w="444" h="445">
                <a:moveTo>
                  <a:pt x="444" y="445"/>
                </a:moveTo>
                <a:lnTo>
                  <a:pt x="0"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68" name="Rectangle 267">
            <a:extLst>
              <a:ext uri="{FF2B5EF4-FFF2-40B4-BE49-F238E27FC236}">
                <a16:creationId xmlns:a16="http://schemas.microsoft.com/office/drawing/2014/main" id="{00000000-0008-0000-0D00-00000C010000}"/>
              </a:ext>
            </a:extLst>
          </xdr:cNvPr>
          <xdr:cNvSpPr/>
        </xdr:nvSpPr>
        <xdr:spPr>
          <a:xfrm>
            <a:off x="5302211" y="2359821"/>
            <a:ext cx="1651521" cy="280527"/>
          </a:xfrm>
          <a:prstGeom prst="rect">
            <a:avLst/>
          </a:prstGeom>
          <a:ln>
            <a:noFill/>
          </a:ln>
        </xdr:spPr>
        <xdr:txBody>
          <a:bodyPr vert="horz" wrap="square" lIns="0" tIns="0" rIns="0" bIns="0" rtlCol="0">
            <a:no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lnSpc>
                <a:spcPct val="107000"/>
              </a:lnSpc>
              <a:spcAft>
                <a:spcPts val="800"/>
              </a:spcAft>
            </a:pPr>
            <a:r>
              <a:rPr lang="fr-FR" sz="1250">
                <a:solidFill>
                  <a:sysClr val="windowText" lastClr="000000"/>
                </a:solidFill>
                <a:effectLst/>
                <a:latin typeface="Calibri Light" panose="020F0302020204030204" pitchFamily="34" charset="0"/>
                <a:ea typeface="Lato" panose="020F0502020204030203" pitchFamily="34" charset="0"/>
                <a:cs typeface="Lato" panose="020F0502020204030203" pitchFamily="34" charset="0"/>
              </a:rPr>
              <a:t>Pro estrogen effect</a:t>
            </a:r>
          </a:p>
        </xdr:txBody>
      </xdr:sp>
      <xdr:sp macro="" textlink="">
        <xdr:nvSpPr>
          <xdr:cNvPr id="269" name="ZoneTexte 55">
            <a:extLst>
              <a:ext uri="{FF2B5EF4-FFF2-40B4-BE49-F238E27FC236}">
                <a16:creationId xmlns:a16="http://schemas.microsoft.com/office/drawing/2014/main" id="{00000000-0008-0000-0D00-00000D010000}"/>
              </a:ext>
            </a:extLst>
          </xdr:cNvPr>
          <xdr:cNvSpPr txBox="1"/>
        </xdr:nvSpPr>
        <xdr:spPr>
          <a:xfrm>
            <a:off x="7011527" y="1715956"/>
            <a:ext cx="1135621" cy="421141"/>
          </a:xfrm>
          <a:prstGeom prst="rect">
            <a:avLst/>
          </a:prstGeom>
          <a:noFill/>
        </xdr:spPr>
        <xdr:txBody>
          <a:bodyPr wrap="square" rtlCol="0">
            <a:sp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fr-FR" sz="1050">
                <a:solidFill>
                  <a:srgbClr val="C00000"/>
                </a:solidFill>
                <a:latin typeface="Calibri Light" panose="020F0302020204030204" pitchFamily="34" charset="0"/>
              </a:rPr>
              <a:t>Key physiological event</a:t>
            </a:r>
          </a:p>
        </xdr:txBody>
      </xdr:sp>
      <xdr:sp macro="" textlink="">
        <xdr:nvSpPr>
          <xdr:cNvPr id="270" name="ZoneTexte 56">
            <a:extLst>
              <a:ext uri="{FF2B5EF4-FFF2-40B4-BE49-F238E27FC236}">
                <a16:creationId xmlns:a16="http://schemas.microsoft.com/office/drawing/2014/main" id="{00000000-0008-0000-0D00-00000E010000}"/>
              </a:ext>
            </a:extLst>
          </xdr:cNvPr>
          <xdr:cNvSpPr txBox="1"/>
        </xdr:nvSpPr>
        <xdr:spPr>
          <a:xfrm>
            <a:off x="443646" y="1721744"/>
            <a:ext cx="1135621" cy="421141"/>
          </a:xfrm>
          <a:prstGeom prst="rect">
            <a:avLst/>
          </a:prstGeom>
          <a:noFill/>
        </xdr:spPr>
        <xdr:txBody>
          <a:bodyPr wrap="square" rtlCol="0">
            <a:sp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fr-FR" sz="1050">
                <a:solidFill>
                  <a:srgbClr val="C00000"/>
                </a:solidFill>
                <a:latin typeface="Calibri Light" panose="020F0302020204030204" pitchFamily="34" charset="0"/>
              </a:rPr>
              <a:t>Key physiological event</a:t>
            </a:r>
          </a:p>
        </xdr:txBody>
      </xdr:sp>
    </xdr:grpSp>
    <xdr:clientData/>
  </xdr:twoCellAnchor>
</xdr:wsDr>
</file>

<file path=xl/drawings/drawing9.xml><?xml version="1.0" encoding="utf-8"?>
<xdr:wsDr xmlns:xdr="http://schemas.openxmlformats.org/drawingml/2006/spreadsheetDrawing" xmlns:a="http://schemas.openxmlformats.org/drawingml/2006/main">
  <xdr:twoCellAnchor>
    <xdr:from>
      <xdr:col>0</xdr:col>
      <xdr:colOff>164043</xdr:colOff>
      <xdr:row>11</xdr:row>
      <xdr:rowOff>8466</xdr:rowOff>
    </xdr:from>
    <xdr:to>
      <xdr:col>8</xdr:col>
      <xdr:colOff>154781</xdr:colOff>
      <xdr:row>32</xdr:row>
      <xdr:rowOff>95250</xdr:rowOff>
    </xdr:to>
    <xdr:graphicFrame macro="">
      <xdr:nvGraphicFramePr>
        <xdr:cNvPr id="2" name="Graphique 1">
          <a:extLst>
            <a:ext uri="{FF2B5EF4-FFF2-40B4-BE49-F238E27FC236}">
              <a16:creationId xmlns:a16="http://schemas.microsoft.com/office/drawing/2014/main" id="{00000000-0008-0000-0E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8</xdr:col>
      <xdr:colOff>377031</xdr:colOff>
      <xdr:row>11</xdr:row>
      <xdr:rowOff>91810</xdr:rowOff>
    </xdr:from>
    <xdr:to>
      <xdr:col>15</xdr:col>
      <xdr:colOff>398319</xdr:colOff>
      <xdr:row>32</xdr:row>
      <xdr:rowOff>51955</xdr:rowOff>
    </xdr:to>
    <xdr:graphicFrame macro="">
      <xdr:nvGraphicFramePr>
        <xdr:cNvPr id="3" name="Graphique 1">
          <a:extLst>
            <a:ext uri="{FF2B5EF4-FFF2-40B4-BE49-F238E27FC236}">
              <a16:creationId xmlns:a16="http://schemas.microsoft.com/office/drawing/2014/main" id="{00000000-0008-0000-0E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35</xdr:row>
      <xdr:rowOff>0</xdr:rowOff>
    </xdr:from>
    <xdr:to>
      <xdr:col>7</xdr:col>
      <xdr:colOff>984059</xdr:colOff>
      <xdr:row>56</xdr:row>
      <xdr:rowOff>86784</xdr:rowOff>
    </xdr:to>
    <xdr:graphicFrame macro="">
      <xdr:nvGraphicFramePr>
        <xdr:cNvPr id="4" name="Graphique 3">
          <a:extLst>
            <a:ext uri="{FF2B5EF4-FFF2-40B4-BE49-F238E27FC236}">
              <a16:creationId xmlns:a16="http://schemas.microsoft.com/office/drawing/2014/main" id="{00000000-0008-0000-0E00-00000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absolute">
    <xdr:from>
      <xdr:col>8</xdr:col>
      <xdr:colOff>212988</xdr:colOff>
      <xdr:row>35</xdr:row>
      <xdr:rowOff>83344</xdr:rowOff>
    </xdr:from>
    <xdr:to>
      <xdr:col>15</xdr:col>
      <xdr:colOff>234276</xdr:colOff>
      <xdr:row>56</xdr:row>
      <xdr:rowOff>43489</xdr:rowOff>
    </xdr:to>
    <xdr:graphicFrame macro="">
      <xdr:nvGraphicFramePr>
        <xdr:cNvPr id="5" name="Graphique 1">
          <a:extLst>
            <a:ext uri="{FF2B5EF4-FFF2-40B4-BE49-F238E27FC236}">
              <a16:creationId xmlns:a16="http://schemas.microsoft.com/office/drawing/2014/main" id="{00000000-0008-0000-0E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10.xml><?xml version="1.0" encoding="utf-8"?>
<c:userShapes xmlns:c="http://schemas.openxmlformats.org/drawingml/2006/chart">
  <cdr:absSizeAnchor xmlns:cdr="http://schemas.openxmlformats.org/drawingml/2006/chartDrawing">
    <cdr:from>
      <cdr:x>0.82371</cdr:x>
      <cdr:y>0.55101</cdr:y>
    </cdr:from>
    <cdr:ext cx="796018" cy="436786"/>
    <cdr:sp macro="" textlink="">
      <cdr:nvSpPr>
        <cdr:cNvPr id="4" name="ZoneTexte 1"/>
        <cdr:cNvSpPr txBox="1"/>
      </cdr:nvSpPr>
      <cdr:spPr>
        <a:xfrm xmlns:a="http://schemas.openxmlformats.org/drawingml/2006/main">
          <a:off x="5876731" y="1937227"/>
          <a:ext cx="796018" cy="436786"/>
        </a:xfrm>
        <a:prstGeom xmlns:a="http://schemas.openxmlformats.org/drawingml/2006/main" prst="rect">
          <a:avLst/>
        </a:prstGeom>
      </cdr:spPr>
      <cdr:txBody>
        <a:bodyPr xmlns:a="http://schemas.openxmlformats.org/drawingml/2006/main" wrap="square" rtlCol="0">
          <a:spAutoFit/>
        </a:bodyPr>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r>
            <a:rPr lang="fr-FR" sz="1100" b="1">
              <a:solidFill>
                <a:srgbClr val="00B050"/>
              </a:solidFill>
            </a:rPr>
            <a:t>Niveau de référence</a:t>
          </a:r>
        </a:p>
      </cdr:txBody>
    </cdr:sp>
  </cdr:absSizeAnchor>
</c:userShapes>
</file>

<file path=xl/drawings/drawing11.xml><?xml version="1.0" encoding="utf-8"?>
<c:userShapes xmlns:c="http://schemas.openxmlformats.org/drawingml/2006/chart">
  <cdr:absSizeAnchor xmlns:cdr="http://schemas.openxmlformats.org/drawingml/2006/chartDrawing">
    <cdr:from>
      <cdr:x>0.8358</cdr:x>
      <cdr:y>0.20578</cdr:y>
    </cdr:from>
    <cdr:ext cx="850804" cy="436786"/>
    <cdr:sp macro="" textlink="">
      <cdr:nvSpPr>
        <cdr:cNvPr id="4" name="ZoneTexte 1"/>
        <cdr:cNvSpPr txBox="1"/>
      </cdr:nvSpPr>
      <cdr:spPr>
        <a:xfrm xmlns:a="http://schemas.openxmlformats.org/drawingml/2006/main">
          <a:off x="5829311" y="697435"/>
          <a:ext cx="850804" cy="436786"/>
        </a:xfrm>
        <a:prstGeom xmlns:a="http://schemas.openxmlformats.org/drawingml/2006/main" prst="rect">
          <a:avLst/>
        </a:prstGeom>
      </cdr:spPr>
      <cdr:txBody>
        <a:bodyPr xmlns:a="http://schemas.openxmlformats.org/drawingml/2006/main" wrap="square" rtlCol="0">
          <a:spAutoFit/>
        </a:bodyPr>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ctr"/>
          <a:r>
            <a:rPr lang="fr-FR" sz="1100" b="1">
              <a:solidFill>
                <a:srgbClr val="00B050"/>
              </a:solidFill>
            </a:rPr>
            <a:t>Niveau de référence</a:t>
          </a:r>
        </a:p>
      </cdr:txBody>
    </cdr:sp>
  </cdr:absSizeAnchor>
</c:userShapes>
</file>

<file path=xl/drawings/drawing12.xml><?xml version="1.0" encoding="utf-8"?>
<c:userShapes xmlns:c="http://schemas.openxmlformats.org/drawingml/2006/chart">
  <cdr:absSizeAnchor xmlns:cdr="http://schemas.openxmlformats.org/drawingml/2006/chartDrawing">
    <cdr:from>
      <cdr:x>0.81608</cdr:x>
      <cdr:y>0.54327</cdr:y>
    </cdr:from>
    <cdr:ext cx="796018" cy="436785"/>
    <cdr:sp macro="" textlink="">
      <cdr:nvSpPr>
        <cdr:cNvPr id="4" name="ZoneTexte 1"/>
        <cdr:cNvSpPr txBox="1"/>
      </cdr:nvSpPr>
      <cdr:spPr>
        <a:xfrm xmlns:a="http://schemas.openxmlformats.org/drawingml/2006/main">
          <a:off x="5822303" y="1910013"/>
          <a:ext cx="796018" cy="436785"/>
        </a:xfrm>
        <a:prstGeom xmlns:a="http://schemas.openxmlformats.org/drawingml/2006/main" prst="rect">
          <a:avLst/>
        </a:prstGeom>
      </cdr:spPr>
      <cdr:txBody>
        <a:bodyPr xmlns:a="http://schemas.openxmlformats.org/drawingml/2006/main" wrap="square" rtlCol="0">
          <a:spAutoFit/>
        </a:bodyPr>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ctr"/>
          <a:r>
            <a:rPr lang="fr-FR" sz="1100" b="1">
              <a:solidFill>
                <a:srgbClr val="00B050"/>
              </a:solidFill>
            </a:rPr>
            <a:t>Reference</a:t>
          </a:r>
          <a:r>
            <a:rPr lang="fr-FR" sz="1100" b="1" baseline="0">
              <a:solidFill>
                <a:srgbClr val="00B050"/>
              </a:solidFill>
            </a:rPr>
            <a:t> level</a:t>
          </a:r>
          <a:endParaRPr lang="fr-FR" sz="1100" b="1">
            <a:solidFill>
              <a:srgbClr val="00B050"/>
            </a:solidFill>
          </a:endParaRPr>
        </a:p>
      </cdr:txBody>
    </cdr:sp>
  </cdr:absSizeAnchor>
</c:userShapes>
</file>

<file path=xl/drawings/drawing13.xml><?xml version="1.0" encoding="utf-8"?>
<c:userShapes xmlns:c="http://schemas.openxmlformats.org/drawingml/2006/chart">
  <cdr:absSizeAnchor xmlns:cdr="http://schemas.openxmlformats.org/drawingml/2006/chartDrawing">
    <cdr:from>
      <cdr:x>0.82019</cdr:x>
      <cdr:y>0.2098</cdr:y>
    </cdr:from>
    <cdr:ext cx="850804" cy="436786"/>
    <cdr:sp macro="" textlink="">
      <cdr:nvSpPr>
        <cdr:cNvPr id="4" name="ZoneTexte 1"/>
        <cdr:cNvSpPr txBox="1"/>
      </cdr:nvSpPr>
      <cdr:spPr>
        <a:xfrm xmlns:a="http://schemas.openxmlformats.org/drawingml/2006/main">
          <a:off x="5720455" y="711042"/>
          <a:ext cx="850804" cy="436786"/>
        </a:xfrm>
        <a:prstGeom xmlns:a="http://schemas.openxmlformats.org/drawingml/2006/main" prst="rect">
          <a:avLst/>
        </a:prstGeom>
      </cdr:spPr>
      <cdr:txBody>
        <a:bodyPr xmlns:a="http://schemas.openxmlformats.org/drawingml/2006/main" wrap="square" rtlCol="0">
          <a:spAutoFit/>
        </a:bodyPr>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ctr"/>
          <a:r>
            <a:rPr lang="fr-FR" sz="1100" b="1">
              <a:solidFill>
                <a:srgbClr val="00B050"/>
              </a:solidFill>
            </a:rPr>
            <a:t>Reference level</a:t>
          </a:r>
        </a:p>
      </cdr:txBody>
    </cdr:sp>
  </cdr:absSizeAnchor>
</c:userShapes>
</file>

<file path=xl/drawings/drawing14.xml><?xml version="1.0" encoding="utf-8"?>
<xdr:wsDr xmlns:xdr="http://schemas.openxmlformats.org/drawingml/2006/spreadsheetDrawing" xmlns:a="http://schemas.openxmlformats.org/drawingml/2006/main">
  <xdr:twoCellAnchor>
    <xdr:from>
      <xdr:col>0</xdr:col>
      <xdr:colOff>164043</xdr:colOff>
      <xdr:row>11</xdr:row>
      <xdr:rowOff>8466</xdr:rowOff>
    </xdr:from>
    <xdr:to>
      <xdr:col>4</xdr:col>
      <xdr:colOff>122465</xdr:colOff>
      <xdr:row>30</xdr:row>
      <xdr:rowOff>95250</xdr:rowOff>
    </xdr:to>
    <xdr:graphicFrame macro="">
      <xdr:nvGraphicFramePr>
        <xdr:cNvPr id="2" name="Graphique 1">
          <a:extLst>
            <a:ext uri="{FF2B5EF4-FFF2-40B4-BE49-F238E27FC236}">
              <a16:creationId xmlns:a16="http://schemas.microsoft.com/office/drawing/2014/main" id="{00000000-0008-0000-0F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295389</xdr:colOff>
      <xdr:row>11</xdr:row>
      <xdr:rowOff>132631</xdr:rowOff>
    </xdr:from>
    <xdr:to>
      <xdr:col>8</xdr:col>
      <xdr:colOff>340180</xdr:colOff>
      <xdr:row>32</xdr:row>
      <xdr:rowOff>92776</xdr:rowOff>
    </xdr:to>
    <xdr:graphicFrame macro="">
      <xdr:nvGraphicFramePr>
        <xdr:cNvPr id="3" name="Graphique 1">
          <a:extLst>
            <a:ext uri="{FF2B5EF4-FFF2-40B4-BE49-F238E27FC236}">
              <a16:creationId xmlns:a16="http://schemas.microsoft.com/office/drawing/2014/main" id="{00000000-0008-0000-0F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33</xdr:row>
      <xdr:rowOff>0</xdr:rowOff>
    </xdr:from>
    <xdr:to>
      <xdr:col>3</xdr:col>
      <xdr:colOff>870100</xdr:colOff>
      <xdr:row>52</xdr:row>
      <xdr:rowOff>86784</xdr:rowOff>
    </xdr:to>
    <xdr:graphicFrame macro="">
      <xdr:nvGraphicFramePr>
        <xdr:cNvPr id="4" name="Graphique 3">
          <a:extLst>
            <a:ext uri="{FF2B5EF4-FFF2-40B4-BE49-F238E27FC236}">
              <a16:creationId xmlns:a16="http://schemas.microsoft.com/office/drawing/2014/main" id="{00000000-0008-0000-0F00-00000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131346</xdr:colOff>
      <xdr:row>33</xdr:row>
      <xdr:rowOff>124165</xdr:rowOff>
    </xdr:from>
    <xdr:to>
      <xdr:col>8</xdr:col>
      <xdr:colOff>176137</xdr:colOff>
      <xdr:row>54</xdr:row>
      <xdr:rowOff>84310</xdr:rowOff>
    </xdr:to>
    <xdr:graphicFrame macro="">
      <xdr:nvGraphicFramePr>
        <xdr:cNvPr id="5" name="Graphique 1">
          <a:extLst>
            <a:ext uri="{FF2B5EF4-FFF2-40B4-BE49-F238E27FC236}">
              <a16:creationId xmlns:a16="http://schemas.microsoft.com/office/drawing/2014/main" id="{00000000-0008-0000-0F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15.xml><?xml version="1.0" encoding="utf-8"?>
<c:userShapes xmlns:c="http://schemas.openxmlformats.org/drawingml/2006/chart">
  <cdr:absSizeAnchor xmlns:cdr="http://schemas.openxmlformats.org/drawingml/2006/chartDrawing">
    <cdr:from>
      <cdr:x>0.65754</cdr:x>
      <cdr:y>0.55369</cdr:y>
    </cdr:from>
    <cdr:ext cx="796018" cy="436786"/>
    <cdr:sp macro="" textlink="">
      <cdr:nvSpPr>
        <cdr:cNvPr id="4" name="ZoneTexte 1"/>
        <cdr:cNvSpPr txBox="1"/>
      </cdr:nvSpPr>
      <cdr:spPr>
        <a:xfrm xmlns:a="http://schemas.openxmlformats.org/drawingml/2006/main">
          <a:off x="2182630" y="1765836"/>
          <a:ext cx="796018" cy="436786"/>
        </a:xfrm>
        <a:prstGeom xmlns:a="http://schemas.openxmlformats.org/drawingml/2006/main" prst="rect">
          <a:avLst/>
        </a:prstGeom>
      </cdr:spPr>
      <cdr:txBody>
        <a:bodyPr xmlns:a="http://schemas.openxmlformats.org/drawingml/2006/main" wrap="square" rtlCol="0">
          <a:spAutoFit/>
        </a:bodyPr>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ctr"/>
          <a:r>
            <a:rPr lang="fr-FR" sz="1100" b="1">
              <a:solidFill>
                <a:srgbClr val="00B050"/>
              </a:solidFill>
            </a:rPr>
            <a:t>Niveau de référence</a:t>
          </a:r>
        </a:p>
      </cdr:txBody>
    </cdr:sp>
  </cdr:absSizeAnchor>
</c:userShapes>
</file>

<file path=xl/drawings/drawing16.xml><?xml version="1.0" encoding="utf-8"?>
<c:userShapes xmlns:c="http://schemas.openxmlformats.org/drawingml/2006/chart">
  <cdr:absSizeAnchor xmlns:cdr="http://schemas.openxmlformats.org/drawingml/2006/chartDrawing">
    <cdr:from>
      <cdr:x>0.65829</cdr:x>
      <cdr:y>0.30214</cdr:y>
    </cdr:from>
    <cdr:ext cx="850804" cy="436786"/>
    <cdr:sp macro="" textlink="">
      <cdr:nvSpPr>
        <cdr:cNvPr id="4" name="ZoneTexte 1"/>
        <cdr:cNvSpPr txBox="1"/>
      </cdr:nvSpPr>
      <cdr:spPr>
        <a:xfrm xmlns:a="http://schemas.openxmlformats.org/drawingml/2006/main">
          <a:off x="2215110" y="1024007"/>
          <a:ext cx="850804" cy="436786"/>
        </a:xfrm>
        <a:prstGeom xmlns:a="http://schemas.openxmlformats.org/drawingml/2006/main" prst="rect">
          <a:avLst/>
        </a:prstGeom>
      </cdr:spPr>
      <cdr:txBody>
        <a:bodyPr xmlns:a="http://schemas.openxmlformats.org/drawingml/2006/main" wrap="square" rtlCol="0">
          <a:spAutoFit/>
        </a:bodyPr>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ctr"/>
          <a:r>
            <a:rPr lang="fr-FR" sz="1100" b="1">
              <a:solidFill>
                <a:srgbClr val="00B050"/>
              </a:solidFill>
            </a:rPr>
            <a:t>Niveau de référence</a:t>
          </a:r>
        </a:p>
      </cdr:txBody>
    </cdr:sp>
  </cdr:absSizeAnchor>
</c:userShapes>
</file>

<file path=xl/drawings/drawing17.xml><?xml version="1.0" encoding="utf-8"?>
<c:userShapes xmlns:c="http://schemas.openxmlformats.org/drawingml/2006/chart">
  <cdr:absSizeAnchor xmlns:cdr="http://schemas.openxmlformats.org/drawingml/2006/chartDrawing">
    <cdr:from>
      <cdr:x>0.67394</cdr:x>
      <cdr:y>0.54089</cdr:y>
    </cdr:from>
    <cdr:ext cx="796018" cy="436786"/>
    <cdr:sp macro="" textlink="">
      <cdr:nvSpPr>
        <cdr:cNvPr id="4" name="ZoneTexte 1"/>
        <cdr:cNvSpPr txBox="1"/>
      </cdr:nvSpPr>
      <cdr:spPr>
        <a:xfrm xmlns:a="http://schemas.openxmlformats.org/drawingml/2006/main">
          <a:off x="2237059" y="1725014"/>
          <a:ext cx="796018" cy="436786"/>
        </a:xfrm>
        <a:prstGeom xmlns:a="http://schemas.openxmlformats.org/drawingml/2006/main" prst="rect">
          <a:avLst/>
        </a:prstGeom>
      </cdr:spPr>
      <cdr:txBody>
        <a:bodyPr xmlns:a="http://schemas.openxmlformats.org/drawingml/2006/main" wrap="square" rtlCol="0">
          <a:spAutoFit/>
        </a:bodyPr>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ctr"/>
          <a:r>
            <a:rPr lang="fr-FR" sz="1100" b="1">
              <a:solidFill>
                <a:srgbClr val="00B050"/>
              </a:solidFill>
            </a:rPr>
            <a:t>Reference level</a:t>
          </a:r>
        </a:p>
      </cdr:txBody>
    </cdr:sp>
  </cdr:absSizeAnchor>
</c:userShapes>
</file>

<file path=xl/drawings/drawing18.xml><?xml version="1.0" encoding="utf-8"?>
<c:userShapes xmlns:c="http://schemas.openxmlformats.org/drawingml/2006/chart">
  <cdr:absSizeAnchor xmlns:cdr="http://schemas.openxmlformats.org/drawingml/2006/chartDrawing">
    <cdr:from>
      <cdr:x>0.65829</cdr:x>
      <cdr:y>0.30214</cdr:y>
    </cdr:from>
    <cdr:ext cx="850804" cy="436786"/>
    <cdr:sp macro="" textlink="">
      <cdr:nvSpPr>
        <cdr:cNvPr id="4" name="ZoneTexte 1"/>
        <cdr:cNvSpPr txBox="1"/>
      </cdr:nvSpPr>
      <cdr:spPr>
        <a:xfrm xmlns:a="http://schemas.openxmlformats.org/drawingml/2006/main">
          <a:off x="2215102" y="1023996"/>
          <a:ext cx="850804" cy="436786"/>
        </a:xfrm>
        <a:prstGeom xmlns:a="http://schemas.openxmlformats.org/drawingml/2006/main" prst="rect">
          <a:avLst/>
        </a:prstGeom>
      </cdr:spPr>
      <cdr:txBody>
        <a:bodyPr xmlns:a="http://schemas.openxmlformats.org/drawingml/2006/main" wrap="square" rtlCol="0">
          <a:spAutoFit/>
        </a:bodyPr>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ctr"/>
          <a:r>
            <a:rPr lang="fr-FR" sz="1100" b="1">
              <a:solidFill>
                <a:srgbClr val="00B050"/>
              </a:solidFill>
            </a:rPr>
            <a:t>Reference level</a:t>
          </a:r>
        </a:p>
      </cdr:txBody>
    </cdr:sp>
  </cdr:absSizeAnchor>
</c:userShapes>
</file>

<file path=xl/externalLinks/_rels/externalLink1.xml.rels><?xml version="1.0" encoding="UTF-8" standalone="yes"?>
<Relationships xmlns="http://schemas.openxmlformats.org/package/2006/relationships"><Relationship Id="rId1" Type="http://schemas.openxmlformats.org/officeDocument/2006/relationships/externalLinkPath" Target="/RealStats/RealStats%202013%202016.xla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fig"/>
      <sheetName val="Wilcoxon Table"/>
      <sheetName val="Mann Table"/>
      <sheetName val="Runs Table"/>
      <sheetName val="KS Table"/>
      <sheetName val="KS2 Table"/>
      <sheetName val="Lil Table"/>
      <sheetName val="AD Table"/>
      <sheetName val="SW Table"/>
      <sheetName val="Stud. Q Table"/>
      <sheetName val="Stud. Q Table 2"/>
      <sheetName val="Sp Rho Table"/>
      <sheetName val="Ken Tau Table"/>
      <sheetName val="Durbin Table"/>
      <sheetName val="Dunnett Table"/>
      <sheetName val="Prime"/>
      <sheetName val="RealStats 2013 2016"/>
    </sheetNames>
    <definedNames>
      <definedName name="DPTEST"/>
      <definedName name="MTEST"/>
      <definedName name="SWTEST"/>
    </defined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refreshError="1"/>
    </sheetDataSet>
  </externalBook>
</externalLink>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_rels/pivotCacheDefinition4.xml.rels><?xml version="1.0" encoding="UTF-8" standalone="yes"?>
<Relationships xmlns="http://schemas.openxmlformats.org/package/2006/relationships"><Relationship Id="rId1" Type="http://schemas.openxmlformats.org/officeDocument/2006/relationships/pivotCacheRecords" Target="pivotCacheRecords4.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uteur" refreshedDate="44487.587119791664" createdVersion="5" refreshedVersion="7" minRefreshableVersion="3" recordCount="1556" xr:uid="{00000000-000A-0000-FFFF-FFFF0C000000}">
  <cacheSource type="worksheet">
    <worksheetSource name="Tableau4"/>
  </cacheSource>
  <cacheFields count="9">
    <cacheField name="Nom groupe" numFmtId="0">
      <sharedItems containsBlank="1" count="23">
        <s v=""/>
        <s v="1"/>
        <s v="13"/>
        <s v="14"/>
        <s v="15"/>
        <s v="16"/>
        <s v="2"/>
        <s v="3"/>
        <s v="4"/>
        <s v="5"/>
        <s v="6"/>
        <s v="7"/>
        <s v="10"/>
        <s v="11"/>
        <s v="12"/>
        <s v="17"/>
        <s v="18"/>
        <s v="19"/>
        <s v="20"/>
        <s v="21"/>
        <s v="8"/>
        <s v="9"/>
        <m u="1"/>
      </sharedItems>
    </cacheField>
    <cacheField name="N° de valeur" numFmtId="0">
      <sharedItems count="10">
        <e v="#VALUE!"/>
        <s v="A"/>
        <s v="B"/>
        <s v="C"/>
        <s v="D"/>
        <s v="E"/>
        <s v="F"/>
        <s v="G"/>
        <s v="H"/>
        <s v=" "/>
      </sharedItems>
    </cacheField>
    <cacheField name="file name" numFmtId="0">
      <sharedItems containsBlank="1"/>
    </cacheField>
    <cacheField name=" total area " numFmtId="0">
      <sharedItems containsBlank="1" containsMixedTypes="1" containsNumber="1" containsInteger="1" minValue="0" maxValue="0"/>
    </cacheField>
    <cacheField name=" mean intensity " numFmtId="0">
      <sharedItems containsBlank="1" containsMixedTypes="1" containsNumber="1" containsInteger="1" minValue="0" maxValue="36"/>
    </cacheField>
    <cacheField name=" " numFmtId="0">
      <sharedItems containsBlank="1" count="45">
        <s v=" "/>
        <m/>
        <s v=" SD mean fluo "/>
        <s v=" 14.2068 "/>
        <s v=" 4.1747 "/>
        <s v=" 3.6317 "/>
        <s v=" 3.8989 "/>
        <s v=" 7.7027 "/>
        <s v=" 2.9939 "/>
        <s v=" 11.4445 "/>
        <s v=" 7.8271 "/>
        <s v=" 2.3188 "/>
        <s v=" 11.013 "/>
        <s v=" 4.0711 "/>
        <s v=" 7.8081 "/>
        <s v=" 7.8686 "/>
        <s v=" 3.6769 "/>
        <s v=" 8.0902 "/>
        <s v=" 3.6788 "/>
        <s v=" 13.6005 "/>
        <s v=" 10.7645 "/>
        <s v=" 17.4493 "/>
        <s v=" 6.0053 "/>
        <s v=" 8.3736 "/>
        <s v=" 9.8373 " u="1"/>
        <s v=" 4.3254 " u="1"/>
        <s v=" 13.2229 " u="1"/>
        <s v=" 12.6426 " u="1"/>
        <s v=" 3.6832 " u="1"/>
        <s v=" 2.53 " u="1"/>
        <s v=" 10.5978 " u="1"/>
        <s v=" 2.7482 " u="1"/>
        <s v=" 3.3232 " u="1"/>
        <s v=" 3.5366 " u="1"/>
        <s v=" 10.8343 " u="1"/>
        <s v=" 5.8019 " u="1"/>
        <s v=" 10.0395 " u="1"/>
        <s v=" 4.981 " u="1"/>
        <s v=" 11.5766 " u="1"/>
        <s v=" 8.0859 " u="1"/>
        <s v=" 3.7472 " u="1"/>
        <s v=" 3.2173 " u="1"/>
        <s v=" 11.1287 " u="1"/>
        <s v=" 3.9927 " u="1"/>
        <s v=" 15.4064 " u="1"/>
      </sharedItems>
    </cacheField>
    <cacheField name=" total fluorescence" numFmtId="0">
      <sharedItems containsBlank="1" containsMixedTypes="1" containsNumber="1" containsInteger="1" minValue="0" maxValue="5180944"/>
    </cacheField>
    <cacheField name="         " numFmtId="0">
      <sharedItems containsBlank="1"/>
    </cacheField>
    <cacheField name="nbre de larves" numFmtId="0">
      <sharedItems containsNonDate="0" containsString="0" containsBlank="1"/>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uteur" refreshedDate="44487.587120138887" createdVersion="5" refreshedVersion="7" minRefreshableVersion="3" recordCount="1530" xr:uid="{00000000-000A-0000-FFFF-FFFF10000000}">
  <cacheSource type="worksheet">
    <worksheetSource name="Tableau46"/>
  </cacheSource>
  <cacheFields count="9">
    <cacheField name="Nom groupe" numFmtId="0">
      <sharedItems count="22">
        <s v=""/>
        <s v="1"/>
        <s v="13"/>
        <s v="14"/>
        <s v="15"/>
        <s v="16"/>
        <s v="2"/>
        <s v="3"/>
        <s v="4"/>
        <s v="5"/>
        <s v="6"/>
        <s v="7"/>
        <s v="10"/>
        <s v="11"/>
        <s v="12"/>
        <s v="17"/>
        <s v="18"/>
        <s v="19"/>
        <s v="20"/>
        <s v="21"/>
        <s v="8"/>
        <s v="9"/>
      </sharedItems>
    </cacheField>
    <cacheField name="N° de valeur" numFmtId="0">
      <sharedItems count="10">
        <e v="#VALUE!"/>
        <s v="A"/>
        <s v="B"/>
        <s v="C"/>
        <s v="D"/>
        <s v="E"/>
        <s v="F"/>
        <s v="G"/>
        <s v="H"/>
        <s v=" "/>
      </sharedItems>
    </cacheField>
    <cacheField name="file name" numFmtId="0">
      <sharedItems containsBlank="1"/>
    </cacheField>
    <cacheField name=" total area " numFmtId="0">
      <sharedItems containsBlank="1" containsMixedTypes="1" containsNumber="1" containsInteger="1" minValue="0" maxValue="0"/>
    </cacheField>
    <cacheField name=" mean intensity " numFmtId="0">
      <sharedItems containsBlank="1" containsMixedTypes="1" containsNumber="1" containsInteger="1" minValue="0" maxValue="32"/>
    </cacheField>
    <cacheField name=" " numFmtId="0">
      <sharedItems containsBlank="1" count="45">
        <s v=" "/>
        <m/>
        <s v=" SD mean fluo "/>
        <s v=" 13.1971 "/>
        <s v=" 6.0636 "/>
        <s v=" 4.8004 "/>
        <s v=" 15.7769 "/>
        <s v=" 15.7368 "/>
        <s v=" 13.863 "/>
        <s v=" 10.9426 "/>
        <s v=" 1.6867 "/>
        <s v=" 4.6043 "/>
        <s v=" 14.9929 "/>
        <s v=" 2.2937 "/>
        <s v=" 8.2293 "/>
        <s v=" 11.703 "/>
        <s v=" 10.7782 "/>
        <s v=" 9.2755 "/>
        <s v=" 10.3682 "/>
        <s v=" 18.0168 "/>
        <s v=" 11.0267 "/>
        <s v=" 13.0114 "/>
        <s v=" 9.5298 "/>
        <s v=" 8.357 "/>
        <s v=" 7.3552 " u="1"/>
        <s v=" 11.1335 " u="1"/>
        <s v=" 4.6858 " u="1"/>
        <s v=" 14.0282 " u="1"/>
        <s v=" 3.7881 " u="1"/>
        <s v=" 7.5914 " u="1"/>
        <s v=" 4.1161 " u="1"/>
        <s v=" 5.21 " u="1"/>
        <s v=" 3.5834 " u="1"/>
        <s v=" 7.9672 " u="1"/>
        <s v=" 2.8291 " u="1"/>
        <s v=" 13.8633 " u="1"/>
        <s v=" 15.9342 " u="1"/>
        <s v=" 8.0883 " u="1"/>
        <s v=" 13.7913 " u="1"/>
        <s v=" 12.0859 " u="1"/>
        <s v=" 3.506 " u="1"/>
        <s v=" 4.0759 " u="1"/>
        <s v=" 18.0199 " u="1"/>
        <s v=" 11.2114 " u="1"/>
        <s v=" 4.0077 " u="1"/>
      </sharedItems>
    </cacheField>
    <cacheField name=" total fluorescence" numFmtId="0">
      <sharedItems containsBlank="1" containsMixedTypes="1" containsNumber="1" containsInteger="1" minValue="0" maxValue="5785391"/>
    </cacheField>
    <cacheField name="         " numFmtId="0">
      <sharedItems containsBlank="1"/>
    </cacheField>
    <cacheField name="nbre de larves" numFmtId="0">
      <sharedItems containsNonDate="0" containsString="0" containsBlank="1"/>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uteur" refreshedDate="44487.587120370372" createdVersion="5" refreshedVersion="7" minRefreshableVersion="3" recordCount="1710" xr:uid="{00000000-000A-0000-FFFF-FFFF14000000}">
  <cacheSource type="worksheet">
    <worksheetSource name="Tableau467"/>
  </cacheSource>
  <cacheFields count="9">
    <cacheField name="Nom groupe" numFmtId="0">
      <sharedItems count="22">
        <s v=""/>
        <s v="1"/>
        <s v="13"/>
        <s v="14"/>
        <s v="15"/>
        <s v="16"/>
        <s v="2"/>
        <s v="3"/>
        <s v="4"/>
        <s v="5"/>
        <s v="6"/>
        <s v="7"/>
        <s v="10"/>
        <s v="11"/>
        <s v="12"/>
        <s v="17"/>
        <s v="18"/>
        <s v="19"/>
        <s v="20"/>
        <s v="21"/>
        <s v="9"/>
        <s v="8" u="1"/>
      </sharedItems>
    </cacheField>
    <cacheField name="N° de valeur" numFmtId="0">
      <sharedItems count="10">
        <e v="#VALUE!"/>
        <s v="A"/>
        <s v="B"/>
        <s v="C"/>
        <s v="D"/>
        <s v="E"/>
        <s v="F"/>
        <s v="G"/>
        <s v="H"/>
        <s v=" "/>
      </sharedItems>
    </cacheField>
    <cacheField name="file name" numFmtId="0">
      <sharedItems containsBlank="1"/>
    </cacheField>
    <cacheField name=" total area " numFmtId="0">
      <sharedItems containsBlank="1" containsMixedTypes="1" containsNumber="1" containsInteger="1" minValue="0" maxValue="0"/>
    </cacheField>
    <cacheField name=" mean intensity " numFmtId="0">
      <sharedItems containsBlank="1" containsMixedTypes="1" containsNumber="1" containsInteger="1" minValue="0" maxValue="37"/>
    </cacheField>
    <cacheField name=" " numFmtId="0">
      <sharedItems containsBlank="1" count="44">
        <s v=" "/>
        <m/>
        <s v=" SD mean fluo "/>
        <s v=" 7.8914 "/>
        <s v=" 4.3915 "/>
        <s v=" 2.3291 "/>
        <s v=" 5.7611 "/>
        <s v=" 11.7533 "/>
        <s v=" 4.146 "/>
        <s v=" 4.4246 "/>
        <s v=" 4.462 "/>
        <s v=" 3.874 "/>
        <s v=" 2.8049 "/>
        <s v=" 3.8689 "/>
        <s v=" 9.8348 "/>
        <s v=" 9.7224 "/>
        <s v=" 11.491 "/>
        <s v=" 9.5605 "/>
        <s v=" 2.6338 "/>
        <s v=" 9.6315 "/>
        <s v=" 18.1654 "/>
        <s v=" 15.277 "/>
        <s v=" 4.5233 "/>
        <s v=" 16.1241 " u="1"/>
        <s v=" 3.7926 " u="1"/>
        <s v=" 3.7601 " u="1"/>
        <s v=" 3.4436 " u="1"/>
        <s v=" 4.7693 " u="1"/>
        <s v=" 4.0338 " u="1"/>
        <s v=" 5.1424 " u="1"/>
        <s v=" 4.1715 " u="1"/>
        <s v=" 8.8315 " u="1"/>
        <s v=" 10.6545 " u="1"/>
        <s v=" 6.0853 " u="1"/>
        <s v=" 5.4589 " u="1"/>
        <s v=" 8.7464 " u="1"/>
        <s v=" 5.7513 " u="1"/>
        <s v=" 4.8141 " u="1"/>
        <s v=" 13.8638 " u="1"/>
        <s v=" 8.4902 " u="1"/>
        <s v=" 2.5852 " u="1"/>
        <s v=" 3.5196 " u="1"/>
        <s v=" 9.1309 " u="1"/>
        <s v=" 8.6965 " u="1"/>
      </sharedItems>
    </cacheField>
    <cacheField name=" total fluorescence" numFmtId="0">
      <sharedItems containsBlank="1" containsMixedTypes="1" containsNumber="1" containsInteger="1" minValue="0" maxValue="6700357"/>
    </cacheField>
    <cacheField name="         " numFmtId="0">
      <sharedItems containsBlank="1"/>
    </cacheField>
    <cacheField name="nbre de larves" numFmtId="0">
      <sharedItems containsNonDate="0" containsString="0" containsBlank="1"/>
    </cacheField>
  </cacheFields>
  <extLst>
    <ext xmlns:x14="http://schemas.microsoft.com/office/spreadsheetml/2009/9/main" uri="{725AE2AE-9491-48be-B2B4-4EB974FC3084}">
      <x14:pivotCacheDefinition/>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uteur" refreshedDate="44487.587120717595" createdVersion="6" refreshedVersion="7" minRefreshableVersion="3" recordCount="52" xr:uid="{8DEF666A-6C7D-4C16-AD6D-82242760D5D9}">
  <cacheSource type="worksheet">
    <worksheetSource name="liste_groupe"/>
  </cacheSource>
  <cacheFields count="6">
    <cacheField name="Nom sur le graphique" numFmtId="0">
      <sharedItems containsBlank="1" count="24">
        <s v="Témoin solvant"/>
        <s v="EE2-22,5ng/L"/>
        <s v="EE2-33,8ng/L"/>
        <s v="EE2-50,6ng/L"/>
        <s v="EE2-76ng/L"/>
        <s v="EE2-114ng/L"/>
        <s v="EE2-170,9ng/L"/>
        <s v="EE2-488ng/L"/>
        <m/>
        <s v=" "/>
        <s v="Testo -30µg/L"/>
        <s v="Testo 30µg/L + EE2 -64ng/L"/>
        <s v="Testo 30µg/L + FAD-10mg/L"/>
        <s v="0-00 + Testostérone"/>
        <s v="AN-2.9mg/L" u="1"/>
        <s v="AN-1,45mg/L + Testostérone" u="1"/>
        <s v="AN-1.45mg/L" u="1"/>
        <s v="AN-0,18mg/L + Testostérone" u="1"/>
        <s v="AN-0,36mg/L + Testostérone" u="1"/>
        <s v="AN-0,73mg/L + Testostérone" u="1"/>
        <s v="AN-0.36mg/L" u="1"/>
        <s v="AN-0.73mg/L" u="1"/>
        <s v="AN-0.18mg/L" u="1"/>
        <s v="AN-2,9mg/L + Testostérone" u="1"/>
      </sharedItems>
    </cacheField>
    <cacheField name="Code WF" numFmtId="0">
      <sharedItems containsBlank="1" containsMixedTypes="1" containsNumber="1" containsInteger="1" minValue="0" maxValue="0" count="3">
        <s v="Témoin"/>
        <m/>
        <n v="0"/>
      </sharedItems>
    </cacheField>
    <cacheField name="Concentration" numFmtId="0">
      <sharedItems containsString="0" containsBlank="1" containsNumber="1" minValue="0" maxValue="488"/>
    </cacheField>
    <cacheField name="Unité" numFmtId="0">
      <sharedItems containsBlank="1" containsMixedTypes="1" containsNumber="1" containsInteger="1" minValue="0" maxValue="0"/>
    </cacheField>
    <cacheField name="Nom de l'échantillon donné par le client" numFmtId="0">
      <sharedItems containsBlank="1" containsMixedTypes="1" containsNumber="1" containsInteger="1" minValue="0" maxValue="0"/>
    </cacheField>
    <cacheField name="Dopage (+Testostérone / + EE2, ….)" numFmtId="0">
      <sharedItems containsBlank="1" count="2">
        <m/>
        <s v=" + Testostérone"/>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556">
  <r>
    <x v="0"/>
    <x v="0"/>
    <s v="file name "/>
    <s v=" total area "/>
    <s v=" mean intensity "/>
    <x v="0"/>
    <s v=" total fluorescence"/>
    <m/>
    <m/>
  </r>
  <r>
    <x v="1"/>
    <x v="1"/>
    <s v="C:\Users\andre\Desktop\REACTIV CEFAS\Fadrozole\Fadrozole/20201201_Cefas_Test8_Run1/Plate 1/@1/A10_01- exclu.tif"/>
    <m/>
    <m/>
    <x v="1"/>
    <m/>
    <m/>
    <m/>
  </r>
  <r>
    <x v="1"/>
    <x v="1"/>
    <s v="C:\Users\andre\Desktop\REACTIV CEFAS\Fadrozole\Fadrozole/20201201_Cefas_Test8_Run1/Plate 1/@1/A10_02- exclu.tif"/>
    <m/>
    <m/>
    <x v="1"/>
    <m/>
    <m/>
    <m/>
  </r>
  <r>
    <x v="1"/>
    <x v="1"/>
    <s v="C:\Users\andre\Desktop\REACTIV CEFAS\Fadrozole\Fadrozole/20201201_Cefas_Test8_Run1/Plate 1/@1/A10_03- exclu.tif"/>
    <m/>
    <m/>
    <x v="1"/>
    <m/>
    <m/>
    <m/>
  </r>
  <r>
    <x v="1"/>
    <x v="2"/>
    <s v="C:\Users\andre\Desktop\REACTIV CEFAS\Fadrozole\Fadrozole/20201201_Cefas_Test8_Run1/Plate 1/@1/B10_01- exclu.tif"/>
    <m/>
    <m/>
    <x v="1"/>
    <m/>
    <m/>
    <m/>
  </r>
  <r>
    <x v="1"/>
    <x v="2"/>
    <s v="C:\Users\andre\Desktop\REACTIV CEFAS\Fadrozole\Fadrozole/20201201_Cefas_Test8_Run1/Plate 1/@1/B10_02- exclu.tif"/>
    <m/>
    <m/>
    <x v="1"/>
    <m/>
    <m/>
    <m/>
  </r>
  <r>
    <x v="1"/>
    <x v="2"/>
    <s v="C:\Users\andre\Desktop\REACTIV CEFAS\Fadrozole\Fadrozole/20201201_Cefas_Test8_Run1/Plate 1/@1/B10_03.tif "/>
    <s v=" 7267.6446 "/>
    <s v=" 37.8036 "/>
    <x v="0"/>
    <n v="274743"/>
    <m/>
    <m/>
  </r>
  <r>
    <x v="1"/>
    <x v="3"/>
    <s v="C:\Users\andre\Desktop\REACTIV CEFAS\Fadrozole\Fadrozole/20201201_Cefas_Test8_Run1/Plate 1/@1/C10_01.tif "/>
    <s v=" 6986.456 "/>
    <s v=" 39.4241 "/>
    <x v="0"/>
    <n v="275435"/>
    <m/>
    <m/>
  </r>
  <r>
    <x v="1"/>
    <x v="3"/>
    <s v="C:\Users\andre\Desktop\REACTIV CEFAS\Fadrozole\Fadrozole/20201201_Cefas_Test8_Run1/Plate 1/@1/C10_02.tif "/>
    <s v=" 6186.1499 "/>
    <s v=" 39.8147 "/>
    <x v="0"/>
    <n v="246300"/>
    <m/>
    <m/>
  </r>
  <r>
    <x v="1"/>
    <x v="3"/>
    <s v="C:\Users\andre\Desktop\REACTIV CEFAS\Fadrozole\Fadrozole/20201201_Cefas_Test8_Run1/Plate 1/@1/C10_03.tif "/>
    <s v=" 5991.4808 "/>
    <s v=" 37.9639 "/>
    <x v="0"/>
    <n v="227460"/>
    <m/>
    <m/>
  </r>
  <r>
    <x v="1"/>
    <x v="4"/>
    <s v="C:\Users\andre\Desktop\REACTIV CEFAS\Fadrozole\Fadrozole/20201201_Cefas_Test8_Run1/Plate 1/@1/D10_01.tif "/>
    <s v=" 3655.4522 "/>
    <s v=" 34.5503 "/>
    <x v="0"/>
    <n v="126297"/>
    <m/>
    <m/>
  </r>
  <r>
    <x v="1"/>
    <x v="4"/>
    <s v="C:\Users\andre\Desktop\REACTIV CEFAS\Fadrozole\Fadrozole/20201201_Cefas_Test8_Run1/Plate 1/@1/D10_02.tif "/>
    <s v=" 7592.093 "/>
    <s v=" 32.9202 "/>
    <x v="0"/>
    <n v="249933"/>
    <m/>
    <m/>
  </r>
  <r>
    <x v="1"/>
    <x v="4"/>
    <s v="C:\Users\andre\Desktop\REACTIV CEFAS\Fadrozole\Fadrozole/20201201_Cefas_Test8_Run1/Plate 1/@1/D10_03.tif "/>
    <s v=" 1838.541 "/>
    <s v=" 33.2235 "/>
    <x v="0"/>
    <n v="61083"/>
    <m/>
    <m/>
  </r>
  <r>
    <x v="1"/>
    <x v="5"/>
    <s v="C:\Users\andre\Desktop\REACTIV CEFAS\Fadrozole\Fadrozole/20201201_Cefas_Test8_Run1/Plate 1/@1/E10_01.tif "/>
    <s v=" 1752.0215 "/>
    <s v=" 37.358 "/>
    <x v="0"/>
    <n v="65452"/>
    <m/>
    <m/>
  </r>
  <r>
    <x v="1"/>
    <x v="5"/>
    <s v="C:\Users\andre\Desktop\REACTIV CEFAS\Fadrozole\Fadrozole/20201201_Cefas_Test8_Run1/Plate 1/@1/E10_02.tif "/>
    <s v=" 194.6691 "/>
    <s v=" 31.4444 "/>
    <x v="0"/>
    <n v="6121"/>
    <m/>
    <m/>
  </r>
  <r>
    <x v="1"/>
    <x v="5"/>
    <s v="C:\Users\andre\Desktop\REACTIV CEFAS\Fadrozole\Fadrozole/20201201_Cefas_Test8_Run1/Plate 1/@1/E10_03.tif "/>
    <n v="0"/>
    <n v="0"/>
    <x v="0"/>
    <n v="0"/>
    <m/>
    <m/>
  </r>
  <r>
    <x v="1"/>
    <x v="6"/>
    <s v="C:\Users\andre\Desktop\REACTIV CEFAS\Fadrozole\Fadrozole/20201201_Cefas_Test8_Run1/Plate 1/@1/F10_01.tif "/>
    <s v=" 4412.4985 "/>
    <s v=" 35.7255 "/>
    <x v="0"/>
    <n v="157639"/>
    <m/>
    <m/>
  </r>
  <r>
    <x v="1"/>
    <x v="6"/>
    <s v="C:\Users\andre\Desktop\REACTIV CEFAS\Fadrozole\Fadrozole/20201201_Cefas_Test8_Run1/Plate 1/@1/F10_02.tif "/>
    <s v=" 800.3061 "/>
    <s v=" 32.2703 "/>
    <x v="0"/>
    <n v="25826"/>
    <m/>
    <m/>
  </r>
  <r>
    <x v="1"/>
    <x v="6"/>
    <s v="C:\Users\andre\Desktop\REACTIV CEFAS\Fadrozole\Fadrozole/20201201_Cefas_Test8_Run1/Plate 1/@1/F10_03.tif "/>
    <n v="0"/>
    <n v="0"/>
    <x v="0"/>
    <n v="0"/>
    <m/>
    <m/>
  </r>
  <r>
    <x v="1"/>
    <x v="7"/>
    <s v="C:\Users\andre\Desktop\REACTIV CEFAS\Fadrozole\Fadrozole/20201201_Cefas_Test8_Run1/Plate 1/@1/G10_01.tif "/>
    <n v="0"/>
    <n v="0"/>
    <x v="0"/>
    <n v="0"/>
    <m/>
    <m/>
  </r>
  <r>
    <x v="1"/>
    <x v="7"/>
    <s v="C:\Users\andre\Desktop\REACTIV CEFAS\Fadrozole\Fadrozole/20201201_Cefas_Test8_Run1/Plate 1/@1/G10_02.tif "/>
    <s v=" 21.6299 "/>
    <n v="31"/>
    <x v="0"/>
    <n v="671"/>
    <m/>
    <m/>
  </r>
  <r>
    <x v="1"/>
    <x v="7"/>
    <s v="C:\Users\andre\Desktop\REACTIV CEFAS\Fadrozole\Fadrozole/20201201_Cefas_Test8_Run1/Plate 1/@1/G10_03.tif "/>
    <s v=" 21.6299 "/>
    <n v="30"/>
    <x v="0"/>
    <n v="649"/>
    <m/>
    <m/>
  </r>
  <r>
    <x v="1"/>
    <x v="8"/>
    <s v="C:\Users\andre\Desktop\REACTIV CEFAS\Fadrozole\Fadrozole/20201201_Cefas_Test8_Run1/Plate 1/@1/H10_01.tif "/>
    <s v=" 562.3773 "/>
    <s v=" 31.4231 "/>
    <x v="0"/>
    <n v="17672"/>
    <m/>
    <m/>
  </r>
  <r>
    <x v="1"/>
    <x v="8"/>
    <s v="C:\Users\andre\Desktop\REACTIV CEFAS\Fadrozole\Fadrozole/20201201_Cefas_Test8_Run1/Plate 1/@1/H10_02.tif "/>
    <s v=" 6467.3385 "/>
    <s v=" 37.4582 "/>
    <x v="0"/>
    <n v="242255"/>
    <m/>
    <m/>
  </r>
  <r>
    <x v="1"/>
    <x v="8"/>
    <s v="C:\Users\andre\Desktop\REACTIV CEFAS\Fadrozole\Fadrozole/20201201_Cefas_Test8_Run1/Plate 1/@1/H10_03.tif "/>
    <s v=" 7786.7621 "/>
    <s v=" 39.6639 "/>
    <x v="0"/>
    <n v="308853"/>
    <m/>
    <m/>
  </r>
  <r>
    <x v="0"/>
    <x v="0"/>
    <s v=" "/>
    <m/>
    <m/>
    <x v="1"/>
    <m/>
    <m/>
    <m/>
  </r>
  <r>
    <x v="0"/>
    <x v="0"/>
    <s v="group "/>
    <s v=" "/>
    <s v=" mean of mean fluo "/>
    <x v="2"/>
    <s v=" mean of total fluo "/>
    <s v=" SD total fluo "/>
    <m/>
  </r>
  <r>
    <x v="1"/>
    <x v="9"/>
    <s v="C:\Users\andre\Desktop\REACTIV CEFAS\Fadrozole\Fadrozole/20201201_Cefas_Test8_Run1/Plate 1/@1/ "/>
    <s v=" "/>
    <s v=" 29.8795 "/>
    <x v="3"/>
    <s v=" 140170.792 "/>
    <s v=" 147850.892 "/>
    <m/>
  </r>
  <r>
    <x v="0"/>
    <x v="0"/>
    <s v=" "/>
    <m/>
    <m/>
    <x v="1"/>
    <m/>
    <m/>
    <m/>
  </r>
  <r>
    <x v="0"/>
    <x v="0"/>
    <s v=" "/>
    <m/>
    <m/>
    <x v="1"/>
    <m/>
    <m/>
    <m/>
  </r>
  <r>
    <x v="0"/>
    <x v="0"/>
    <s v=" "/>
    <m/>
    <m/>
    <x v="1"/>
    <m/>
    <m/>
    <m/>
  </r>
  <r>
    <x v="0"/>
    <x v="0"/>
    <s v=" "/>
    <m/>
    <m/>
    <x v="1"/>
    <m/>
    <m/>
    <m/>
  </r>
  <r>
    <x v="0"/>
    <x v="0"/>
    <s v=" "/>
    <m/>
    <m/>
    <x v="1"/>
    <m/>
    <m/>
    <m/>
  </r>
  <r>
    <x v="0"/>
    <x v="0"/>
    <s v="file name "/>
    <s v=" total area "/>
    <s v=" mean intensity "/>
    <x v="0"/>
    <s v=" total fluorescence"/>
    <m/>
    <m/>
  </r>
  <r>
    <x v="2"/>
    <x v="1"/>
    <s v="C:\Users\andre\Desktop\REACTIV CEFAS\Fadrozole\Fadrozole/20201201_Cefas_Test8_Run1/Plate 1/@13/A8_01.tif "/>
    <s v=" 24312.0016 "/>
    <s v=" 35.6423 "/>
    <x v="0"/>
    <n v="866537"/>
    <m/>
    <m/>
  </r>
  <r>
    <x v="2"/>
    <x v="1"/>
    <s v="C:\Users\andre\Desktop\REACTIV CEFAS\Fadrozole\Fadrozole/20201201_Cefas_Test8_Run1/Plate 1/@13/A8_02.tif "/>
    <s v=" 15140.9262 "/>
    <s v=" 35.39 "/>
    <x v="0"/>
    <n v="535837"/>
    <m/>
    <m/>
  </r>
  <r>
    <x v="2"/>
    <x v="1"/>
    <s v="C:\Users\andre\Desktop\REACTIV CEFAS\Fadrozole\Fadrozole/20201201_Cefas_Test8_Run1/Plate 1/@13/A8_03.tif "/>
    <s v=" 21911.0833 "/>
    <s v=" 35.157 "/>
    <x v="0"/>
    <n v="770327"/>
    <m/>
    <m/>
  </r>
  <r>
    <x v="2"/>
    <x v="2"/>
    <s v="C:\Users\andre\Desktop\REACTIV CEFAS\Fadrozole\Fadrozole/20201201_Cefas_Test8_Run1/Plate 1/@13/B8_01.tif "/>
    <s v=" 47239.6899 "/>
    <s v=" 36.8214 "/>
    <x v="0"/>
    <n v="1739433"/>
    <m/>
    <m/>
  </r>
  <r>
    <x v="2"/>
    <x v="2"/>
    <s v="C:\Users\andre\Desktop\REACTIV CEFAS\Fadrozole\Fadrozole/20201201_Cefas_Test8_Run1/Plate 1/@13/B8_02.tif "/>
    <s v=" 60217.6266 "/>
    <s v=" 38.5862 "/>
    <x v="0"/>
    <n v="2323570"/>
    <m/>
    <m/>
  </r>
  <r>
    <x v="2"/>
    <x v="2"/>
    <s v="C:\Users\andre\Desktop\REACTIV CEFAS\Fadrozole\Fadrozole/20201201_Cefas_Test8_Run1/Plate 1/@13/B8_03.tif "/>
    <s v=" 51046.5513 "/>
    <s v=" 37.1699 "/>
    <x v="0"/>
    <n v="1897396"/>
    <m/>
    <m/>
  </r>
  <r>
    <x v="2"/>
    <x v="3"/>
    <s v="C:\Users\andre\Desktop\REACTIV CEFAS\Fadrozole\Fadrozole/20201201_Cefas_Test8_Run1/Plate 1/@13/C8_01.tif "/>
    <s v=" 69756.4102 "/>
    <s v=" 42.9181 "/>
    <x v="0"/>
    <n v="2993815"/>
    <m/>
    <m/>
  </r>
  <r>
    <x v="2"/>
    <x v="3"/>
    <s v="C:\Users\andre\Desktop\REACTIV CEFAS\Fadrozole\Fadrozole/20201201_Cefas_Test8_Run1/Plate 1/@13/C8_02.tif "/>
    <s v=" 74644.7664 "/>
    <s v=" 47.8621 "/>
    <x v="0"/>
    <n v="3572653"/>
    <m/>
    <m/>
  </r>
  <r>
    <x v="2"/>
    <x v="3"/>
    <s v="C:\Users\andre\Desktop\REACTIV CEFAS\Fadrozole\Fadrozole/20201201_Cefas_Test8_Run1/Plate 1/@13/C8_03.tif "/>
    <s v=" 74298.6881 "/>
    <s v=" 47.5345 "/>
    <x v="0"/>
    <n v="3531751"/>
    <m/>
    <m/>
  </r>
  <r>
    <x v="2"/>
    <x v="4"/>
    <s v="C:\Users\andre\Desktop\REACTIV CEFAS\Fadrozole\Fadrozole/20201201_Cefas_Test8_Run1/Plate 1/@13/D8_01.tif "/>
    <s v=" 50895.1421 "/>
    <s v=" 39.4717 "/>
    <x v="0"/>
    <n v="2008920"/>
    <m/>
    <m/>
  </r>
  <r>
    <x v="2"/>
    <x v="4"/>
    <s v="C:\Users\andre\Desktop\REACTIV CEFAS\Fadrozole\Fadrozole/20201201_Cefas_Test8_Run1/Plate 1/@13/D8_02.tif "/>
    <s v=" 42459.4832 "/>
    <s v=" 36.0683 "/>
    <x v="0"/>
    <n v="1531440"/>
    <m/>
    <m/>
  </r>
  <r>
    <x v="2"/>
    <x v="4"/>
    <s v="C:\Users\andre\Desktop\REACTIV CEFAS\Fadrozole\Fadrozole/20201201_Cefas_Test8_Run1/Plate 1/@13/D8_03.tif "/>
    <s v=" 41507.7678 "/>
    <s v=" 37.468 "/>
    <x v="0"/>
    <n v="1555211"/>
    <m/>
    <m/>
  </r>
  <r>
    <x v="2"/>
    <x v="5"/>
    <s v="C:\Users\andre\Desktop\REACTIV CEFAS\Fadrozole\Fadrozole/20201201_Cefas_Test8_Run1/Plate 1/@13/E8_01.tif "/>
    <s v=" 8132.8404 "/>
    <s v=" 33.8218 "/>
    <x v="0"/>
    <n v="275067"/>
    <m/>
    <m/>
  </r>
  <r>
    <x v="2"/>
    <x v="5"/>
    <s v="C:\Users\andre\Desktop\REACTIV CEFAS\Fadrozole\Fadrozole/20201201_Cefas_Test8_Run1/Plate 1/@13/E8_02.tif "/>
    <s v=" 5472.3633 "/>
    <s v=" 32.8735 "/>
    <x v="0"/>
    <n v="179896"/>
    <m/>
    <m/>
  </r>
  <r>
    <x v="2"/>
    <x v="5"/>
    <s v="C:\Users\andre\Desktop\REACTIV CEFAS\Fadrozole\Fadrozole/20201201_Cefas_Test8_Run1/Plate 1/@13/E8_03.tif "/>
    <s v=" 3828.4913 "/>
    <s v=" 32.1808 "/>
    <x v="0"/>
    <n v="123204"/>
    <m/>
    <m/>
  </r>
  <r>
    <x v="2"/>
    <x v="6"/>
    <s v="C:\Users\andre\Desktop\REACTIV CEFAS\Fadrozole\Fadrozole/20201201_Cefas_Test8_Run1/Plate 1/@13/F8_01.tif "/>
    <s v=" 37571.127 "/>
    <s v=" 39.4865 "/>
    <x v="0"/>
    <n v="1483551"/>
    <m/>
    <m/>
  </r>
  <r>
    <x v="2"/>
    <x v="6"/>
    <s v="C:\Users\andre\Desktop\REACTIV CEFAS\Fadrozole\Fadrozole/20201201_Cefas_Test8_Run1/Plate 1/@13/F8_02.tif "/>
    <s v=" 29503.1763 "/>
    <s v=" 38.5249 "/>
    <x v="0"/>
    <n v="1136608"/>
    <m/>
    <m/>
  </r>
  <r>
    <x v="2"/>
    <x v="6"/>
    <s v="C:\Users\andre\Desktop\REACTIV CEFAS\Fadrozole\Fadrozole/20201201_Cefas_Test8_Run1/Plate 1/@13/F8_03.tif "/>
    <s v=" 38003.7249 "/>
    <s v=" 39.7063 "/>
    <x v="0"/>
    <n v="1508988"/>
    <m/>
    <m/>
  </r>
  <r>
    <x v="2"/>
    <x v="7"/>
    <s v="C:\Users\andre\Desktop\REACTIV CEFAS\Fadrozole\Fadrozole/20201201_Cefas_Test8_Run1/Plate 1/@13/G8_01.tif "/>
    <s v=" 51630.5585 "/>
    <s v=" 36.4001 "/>
    <x v="0"/>
    <n v="1879357"/>
    <m/>
    <m/>
  </r>
  <r>
    <x v="2"/>
    <x v="7"/>
    <s v="C:\Users\andre\Desktop\REACTIV CEFAS\Fadrozole\Fadrozole/20201201_Cefas_Test8_Run1/Plate 1/@13/G8_02.tif "/>
    <s v=" 42632.5223 "/>
    <s v=" 36.1187 "/>
    <x v="0"/>
    <n v="1539832"/>
    <m/>
    <m/>
  </r>
  <r>
    <x v="2"/>
    <x v="7"/>
    <s v="C:\Users\andre\Desktop\REACTIV CEFAS\Fadrozole\Fadrozole/20201201_Cefas_Test8_Run1/Plate 1/@13/G8_03.tif "/>
    <s v=" 47499.2486 "/>
    <s v=" 36.51 "/>
    <x v="0"/>
    <n v="1734198"/>
    <m/>
    <m/>
  </r>
  <r>
    <x v="2"/>
    <x v="8"/>
    <s v="C:\Users\andre\Desktop\REACTIV CEFAS\Fadrozole\Fadrozole/20201201_Cefas_Test8_Run1/Plate 1/@13/H8_01- exclu.tif"/>
    <m/>
    <m/>
    <x v="1"/>
    <m/>
    <m/>
    <m/>
  </r>
  <r>
    <x v="2"/>
    <x v="8"/>
    <s v="C:\Users\andre\Desktop\REACTIV CEFAS\Fadrozole\Fadrozole/20201201_Cefas_Test8_Run1/Plate 1/@13/H8_02- exclu.tif"/>
    <m/>
    <m/>
    <x v="1"/>
    <m/>
    <m/>
    <m/>
  </r>
  <r>
    <x v="2"/>
    <x v="8"/>
    <s v="C:\Users\andre\Desktop\REACTIV CEFAS\Fadrozole\Fadrozole/20201201_Cefas_Test8_Run1/Plate 1/@13/H8_03- exclu.tif"/>
    <m/>
    <m/>
    <x v="1"/>
    <m/>
    <m/>
    <m/>
  </r>
  <r>
    <x v="0"/>
    <x v="0"/>
    <s v=" "/>
    <m/>
    <m/>
    <x v="1"/>
    <m/>
    <m/>
    <m/>
  </r>
  <r>
    <x v="0"/>
    <x v="0"/>
    <s v="group "/>
    <s v=" "/>
    <s v=" mean of mean fluo "/>
    <x v="2"/>
    <s v=" mean of total fluo "/>
    <s v=" SD total fluo "/>
    <m/>
  </r>
  <r>
    <x v="2"/>
    <x v="9"/>
    <s v="C:\Users\andre\Desktop\REACTIV CEFAS\Fadrozole\Fadrozole/20201201_Cefas_Test8_Run1/Plate 1/@13/ "/>
    <s v=" "/>
    <s v=" 37.2545 "/>
    <x v="4"/>
    <s v=" 1401409.88 "/>
    <s v=" 1029844.4 "/>
    <m/>
  </r>
  <r>
    <x v="0"/>
    <x v="0"/>
    <s v=" "/>
    <m/>
    <m/>
    <x v="1"/>
    <m/>
    <m/>
    <m/>
  </r>
  <r>
    <x v="0"/>
    <x v="0"/>
    <s v=" "/>
    <m/>
    <m/>
    <x v="1"/>
    <m/>
    <m/>
    <m/>
  </r>
  <r>
    <x v="0"/>
    <x v="0"/>
    <s v=" "/>
    <m/>
    <m/>
    <x v="1"/>
    <m/>
    <m/>
    <m/>
  </r>
  <r>
    <x v="0"/>
    <x v="0"/>
    <s v=" "/>
    <m/>
    <m/>
    <x v="1"/>
    <m/>
    <m/>
    <m/>
  </r>
  <r>
    <x v="0"/>
    <x v="0"/>
    <s v=" "/>
    <m/>
    <m/>
    <x v="1"/>
    <m/>
    <m/>
    <m/>
  </r>
  <r>
    <x v="0"/>
    <x v="0"/>
    <s v="file name "/>
    <s v=" total area "/>
    <s v=" mean intensity "/>
    <x v="0"/>
    <s v=" total fluorescence"/>
    <m/>
    <m/>
  </r>
  <r>
    <x v="3"/>
    <x v="1"/>
    <s v="C:\Users\andre\Desktop\REACTIV CEFAS\Fadrozole\Fadrozole/20201201_Cefas_Test8_Run1/Plate 1/@14/A9_01.tif "/>
    <s v=" 53620.5088 "/>
    <s v=" 45.5264 "/>
    <x v="0"/>
    <n v="2441150"/>
    <m/>
    <m/>
  </r>
  <r>
    <x v="3"/>
    <x v="1"/>
    <s v="C:\Users\andre\Desktop\REACTIV CEFAS\Fadrozole\Fadrozole/20201201_Cefas_Test8_Run1/Plate 1/@14/A9_02.tif "/>
    <s v=" 56345.8755 "/>
    <s v=" 47.2418 "/>
    <x v="0"/>
    <n v="2661883"/>
    <m/>
    <m/>
  </r>
  <r>
    <x v="3"/>
    <x v="1"/>
    <s v="C:\Users\andre\Desktop\REACTIV CEFAS\Fadrozole\Fadrozole/20201201_Cefas_Test8_Run1/Plate 1/@14/A9_03.tif "/>
    <s v=" 63224.182 "/>
    <s v=" 48.338 "/>
    <x v="0"/>
    <n v="3056131"/>
    <m/>
    <m/>
  </r>
  <r>
    <x v="3"/>
    <x v="2"/>
    <s v="C:\Users\andre\Desktop\REACTIV CEFAS\Fadrozole\Fadrozole/20201201_Cefas_Test8_Run1/Plate 1/@14/B9_01.tif "/>
    <s v=" 57838.3382 "/>
    <s v=" 40.2427 "/>
    <x v="0"/>
    <n v="2327571"/>
    <m/>
    <m/>
  </r>
  <r>
    <x v="3"/>
    <x v="2"/>
    <s v="C:\Users\andre\Desktop\REACTIV CEFAS\Fadrozole\Fadrozole/20201201_Cefas_Test8_Run1/Plate 1/@14/B9_02.tif "/>
    <s v=" 55350.9004 "/>
    <s v=" 41.4412 "/>
    <x v="0"/>
    <n v="2293807"/>
    <m/>
    <m/>
  </r>
  <r>
    <x v="3"/>
    <x v="2"/>
    <s v="C:\Users\andre\Desktop\REACTIV CEFAS\Fadrozole\Fadrozole/20201201_Cefas_Test8_Run1/Plate 1/@14/B9_03.tif "/>
    <s v=" 56735.2136 "/>
    <s v=" 40.9344 "/>
    <x v="0"/>
    <n v="2322423"/>
    <m/>
    <m/>
  </r>
  <r>
    <x v="3"/>
    <x v="3"/>
    <s v="C:\Users\andre\Desktop\REACTIV CEFAS\Fadrozole\Fadrozole/20201201_Cefas_Test8_Run1/Plate 1/@14/C9_01.tif "/>
    <s v=" 61126.0822 "/>
    <s v=" 45.4306 "/>
    <x v="0"/>
    <n v="2776997"/>
    <m/>
    <m/>
  </r>
  <r>
    <x v="3"/>
    <x v="3"/>
    <s v="C:\Users\andre\Desktop\REACTIV CEFAS\Fadrozole\Fadrozole/20201201_Cefas_Test8_Run1/Plate 1/@14/C9_02.tif "/>
    <s v=" 57232.7012 "/>
    <s v=" 44.8141 "/>
    <x v="0"/>
    <n v="2564830"/>
    <m/>
    <m/>
  </r>
  <r>
    <x v="3"/>
    <x v="3"/>
    <s v="C:\Users\andre\Desktop\REACTIV CEFAS\Fadrozole\Fadrozole/20201201_Cefas_Test8_Run1/Plate 1/@14/C9_03.tif "/>
    <s v=" 55199.4911 "/>
    <s v=" 42.2092 "/>
    <x v="0"/>
    <n v="2329929"/>
    <m/>
    <m/>
  </r>
  <r>
    <x v="3"/>
    <x v="4"/>
    <s v="C:\Users\andre\Desktop\REACTIV CEFAS\Fadrozole\Fadrozole/20201201_Cefas_Test8_Run1/Plate 1/@14/D9_01.tif "/>
    <s v=" 65408.8014 "/>
    <s v=" 44.8185 "/>
    <x v="0"/>
    <n v="2931521"/>
    <m/>
    <m/>
  </r>
  <r>
    <x v="3"/>
    <x v="4"/>
    <s v="C:\Users\andre\Desktop\REACTIV CEFAS\Fadrozole\Fadrozole/20201201_Cefas_Test8_Run1/Plate 1/@14/D9_02.tif "/>
    <s v=" 54853.4128 "/>
    <s v=" 42.1928 "/>
    <x v="0"/>
    <n v="2314420"/>
    <m/>
    <m/>
  </r>
  <r>
    <x v="3"/>
    <x v="4"/>
    <s v="C:\Users\andre\Desktop\REACTIV CEFAS\Fadrozole\Fadrozole/20201201_Cefas_Test8_Run1/Plate 1/@14/D9_03.tif "/>
    <s v=" 59720.1391 "/>
    <s v=" 44.2912 "/>
    <x v="0"/>
    <n v="2645077"/>
    <m/>
    <m/>
  </r>
  <r>
    <x v="3"/>
    <x v="5"/>
    <s v="C:\Users\andre\Desktop\REACTIV CEFAS\Fadrozole\Fadrozole/20201201_Cefas_Test8_Run1/Plate 1/@14/E9_01.tif "/>
    <s v=" 51500.7791 "/>
    <s v=" 46.0302 "/>
    <x v="0"/>
    <n v="2370593"/>
    <m/>
    <m/>
  </r>
  <r>
    <x v="3"/>
    <x v="5"/>
    <s v="C:\Users\andre\Desktop\REACTIV CEFAS\Fadrozole\Fadrozole/20201201_Cefas_Test8_Run1/Plate 1/@14/E9_02- exclu.tif"/>
    <m/>
    <m/>
    <x v="1"/>
    <m/>
    <m/>
    <m/>
  </r>
  <r>
    <x v="3"/>
    <x v="5"/>
    <s v="C:\Users\andre\Desktop\REACTIV CEFAS\Fadrozole\Fadrozole/20201201_Cefas_Test8_Run1/Plate 1/@14/E9_03.tif "/>
    <s v=" 43995.2057 "/>
    <s v=" 45.826 "/>
    <x v="0"/>
    <n v="2016122"/>
    <m/>
    <m/>
  </r>
  <r>
    <x v="3"/>
    <x v="6"/>
    <s v="C:\Users\andre\Desktop\REACTIV CEFAS\Fadrozole\Fadrozole/20201201_Cefas_Test8_Run1/Plate 1/@14/F9_01.tif "/>
    <s v=" 36987.1198 "/>
    <s v=" 42.5357 "/>
    <x v="0"/>
    <n v="1573272"/>
    <m/>
    <m/>
  </r>
  <r>
    <x v="3"/>
    <x v="6"/>
    <s v="C:\Users\andre\Desktop\REACTIV CEFAS\Fadrozole\Fadrozole/20201201_Cefas_Test8_Run1/Plate 1/@14/F9_02.tif "/>
    <s v=" 32012.2441 "/>
    <s v=" 43.7878 "/>
    <x v="0"/>
    <n v="1401747"/>
    <m/>
    <m/>
  </r>
  <r>
    <x v="3"/>
    <x v="6"/>
    <s v="C:\Users\andre\Desktop\REACTIV CEFAS\Fadrozole\Fadrozole/20201201_Cefas_Test8_Run1/Plate 1/@14/F9_03.tif "/>
    <s v=" 30108.8133 "/>
    <s v=" 42.1803 "/>
    <x v="0"/>
    <n v="1269999"/>
    <m/>
    <m/>
  </r>
  <r>
    <x v="3"/>
    <x v="7"/>
    <s v="C:\Users\andre\Desktop\REACTIV CEFAS\Fadrozole\Fadrozole/20201201_Cefas_Test8_Run1/Plate 1/@14/G9_01.tif "/>
    <s v=" 5818.4417 "/>
    <s v=" 37.8885 "/>
    <x v="0"/>
    <n v="220452"/>
    <m/>
    <m/>
  </r>
  <r>
    <x v="3"/>
    <x v="7"/>
    <s v="C:\Users\andre\Desktop\REACTIV CEFAS\Fadrozole\Fadrozole/20201201_Cefas_Test8_Run1/Plate 1/@14/G9_02.tif "/>
    <s v=" 10274.1999 "/>
    <s v=" 43.7263 "/>
    <x v="0"/>
    <n v="449253"/>
    <m/>
    <m/>
  </r>
  <r>
    <x v="3"/>
    <x v="7"/>
    <s v="C:\Users\andre\Desktop\REACTIV CEFAS\Fadrozole\Fadrozole/20201201_Cefas_Test8_Run1/Plate 1/@14/G9_03.tif "/>
    <s v=" 6488.9684 "/>
    <s v=" 40.9467 "/>
    <x v="0"/>
    <n v="265702"/>
    <m/>
    <m/>
  </r>
  <r>
    <x v="3"/>
    <x v="8"/>
    <s v="C:\Users\andre\Desktop\REACTIV CEFAS\Fadrozole\Fadrozole/20201201_Cefas_Test8_Run1/Plate 1/@14/H9_01.tif "/>
    <s v=" 31147.0483 "/>
    <s v=" 35.1354 "/>
    <x v="0"/>
    <n v="1094365"/>
    <m/>
    <m/>
  </r>
  <r>
    <x v="3"/>
    <x v="8"/>
    <s v="C:\Users\andre\Desktop\REACTIV CEFAS\Fadrozole\Fadrozole/20201201_Cefas_Test8_Run1/Plate 1/@14/H9_02.tif "/>
    <s v=" 35062.0592 "/>
    <s v=" 36.2918 "/>
    <x v="0"/>
    <n v="1272465"/>
    <m/>
    <m/>
  </r>
  <r>
    <x v="3"/>
    <x v="8"/>
    <s v="C:\Users\andre\Desktop\REACTIV CEFAS\Fadrozole\Fadrozole/20201201_Cefas_Test8_Run1/Plate 1/@14/H9_03.tif "/>
    <s v=" 36143.5539 "/>
    <s v=" 35.2328 "/>
    <x v="0"/>
    <n v="1273438"/>
    <m/>
    <m/>
  </r>
  <r>
    <x v="0"/>
    <x v="0"/>
    <s v=" "/>
    <m/>
    <m/>
    <x v="1"/>
    <m/>
    <m/>
    <m/>
  </r>
  <r>
    <x v="0"/>
    <x v="0"/>
    <s v="group "/>
    <s v=" "/>
    <s v=" mean of mean fluo "/>
    <x v="2"/>
    <s v=" mean of total fluo "/>
    <s v=" SD total fluo "/>
    <m/>
  </r>
  <r>
    <x v="3"/>
    <x v="9"/>
    <s v="C:\Users\andre\Desktop\REACTIV CEFAS\Fadrozole\Fadrozole/20201201_Cefas_Test8_Run1/Plate 1/@14/ "/>
    <s v=" "/>
    <s v=" 42.6169 "/>
    <x v="5"/>
    <s v=" 1901017.12 "/>
    <s v=" 832858.493 "/>
    <m/>
  </r>
  <r>
    <x v="0"/>
    <x v="0"/>
    <s v=" "/>
    <m/>
    <m/>
    <x v="1"/>
    <m/>
    <m/>
    <m/>
  </r>
  <r>
    <x v="0"/>
    <x v="0"/>
    <s v=" "/>
    <m/>
    <m/>
    <x v="1"/>
    <m/>
    <m/>
    <m/>
  </r>
  <r>
    <x v="0"/>
    <x v="0"/>
    <s v=" "/>
    <m/>
    <m/>
    <x v="1"/>
    <m/>
    <m/>
    <m/>
  </r>
  <r>
    <x v="0"/>
    <x v="0"/>
    <s v=" "/>
    <m/>
    <m/>
    <x v="1"/>
    <m/>
    <m/>
    <m/>
  </r>
  <r>
    <x v="0"/>
    <x v="0"/>
    <s v=" "/>
    <m/>
    <m/>
    <x v="1"/>
    <m/>
    <m/>
    <m/>
  </r>
  <r>
    <x v="0"/>
    <x v="0"/>
    <s v="file name "/>
    <s v=" total area "/>
    <s v=" mean intensity "/>
    <x v="0"/>
    <s v=" total fluorescence"/>
    <m/>
    <m/>
  </r>
  <r>
    <x v="4"/>
    <x v="1"/>
    <s v="C:\Users\andre\Desktop\REACTIV CEFAS\Fadrozole\Fadrozole/20201201_Cefas_Test8_Run1/Plate 1/@15/A11_01.tif "/>
    <s v=" 79403.3432 "/>
    <s v=" 51.1351 "/>
    <x v="0"/>
    <n v="4060299"/>
    <m/>
    <m/>
  </r>
  <r>
    <x v="4"/>
    <x v="1"/>
    <s v="C:\Users\andre\Desktop\REACTIV CEFAS\Fadrozole\Fadrozole/20201201_Cefas_Test8_Run1/Plate 1/@15/A11_02.tif "/>
    <s v=" 73498.3819 "/>
    <s v=" 49.7969 "/>
    <x v="0"/>
    <n v="3659994"/>
    <m/>
    <m/>
  </r>
  <r>
    <x v="4"/>
    <x v="1"/>
    <s v="C:\Users\andre\Desktop\REACTIV CEFAS\Fadrozole\Fadrozole/20201201_Cefas_Test8_Run1/Plate 1/@15/A11_03.tif "/>
    <s v=" 75055.7344 "/>
    <s v=" 53.9562 "/>
    <x v="0"/>
    <n v="4049722"/>
    <m/>
    <m/>
  </r>
  <r>
    <x v="4"/>
    <x v="2"/>
    <s v="C:\Users\andre\Desktop\REACTIV CEFAS\Fadrozole\Fadrozole/20201201_Cefas_Test8_Run1/Plate 1/@15/B11_01.tif "/>
    <s v=" 72957.6346 "/>
    <s v=" 51.3694 "/>
    <x v="0"/>
    <n v="3747790"/>
    <m/>
    <m/>
  </r>
  <r>
    <x v="4"/>
    <x v="2"/>
    <s v="C:\Users\andre\Desktop\REACTIV CEFAS\Fadrozole\Fadrozole/20201201_Cefas_Test8_Run1/Plate 1/@15/B11_02.tif "/>
    <s v=" 79057.2649 "/>
    <s v=" 51.3666 "/>
    <x v="0"/>
    <n v="4060905"/>
    <m/>
    <m/>
  </r>
  <r>
    <x v="4"/>
    <x v="2"/>
    <s v="C:\Users\andre\Desktop\REACTIV CEFAS\Fadrozole\Fadrozole/20201201_Cefas_Test8_Run1/Plate 1/@15/B11_03.tif "/>
    <s v=" 75380.1828 "/>
    <s v=" 52.1392 "/>
    <x v="0"/>
    <n v="3930260"/>
    <m/>
    <m/>
  </r>
  <r>
    <x v="4"/>
    <x v="3"/>
    <s v="C:\Users\andre\Desktop\REACTIV CEFAS\Fadrozole\Fadrozole/20201201_Cefas_Test8_Run1/Plate 1/@15/C11_01.tif "/>
    <s v=" 87730.8526 "/>
    <s v=" 49.747 "/>
    <x v="0"/>
    <n v="4364350"/>
    <m/>
    <m/>
  </r>
  <r>
    <x v="4"/>
    <x v="3"/>
    <s v="C:\Users\andre\Desktop\REACTIV CEFAS\Fadrozole\Fadrozole/20201201_Cefas_Test8_Run1/Plate 1/@15/C11_02.tif "/>
    <s v=" 85849.0518 "/>
    <s v=" 48.5006 "/>
    <x v="0"/>
    <n v="4163733"/>
    <m/>
    <m/>
  </r>
  <r>
    <x v="4"/>
    <x v="3"/>
    <s v="C:\Users\andre\Desktop\REACTIV CEFAS\Fadrozole\Fadrozole/20201201_Cefas_Test8_Run1/Plate 1/@15/C11_03.tif "/>
    <s v=" 93484.4046 "/>
    <s v=" 52.6617 "/>
    <x v="0"/>
    <n v="4923051"/>
    <m/>
    <m/>
  </r>
  <r>
    <x v="4"/>
    <x v="4"/>
    <s v="C:\Users\andre\Desktop\REACTIV CEFAS\Fadrozole\Fadrozole/20201201_Cefas_Test8_Run1/Plate 1/@15/D11_01- exclu.tif"/>
    <m/>
    <m/>
    <x v="1"/>
    <m/>
    <m/>
    <m/>
  </r>
  <r>
    <x v="4"/>
    <x v="4"/>
    <s v="C:\Users\andre\Desktop\REACTIV CEFAS\Fadrozole\Fadrozole/20201201_Cefas_Test8_Run1/Plate 1/@15/D11_02.tif "/>
    <s v=" 53123.0212 "/>
    <s v=" 43.9951 "/>
    <x v="0"/>
    <n v="2337153"/>
    <m/>
    <m/>
  </r>
  <r>
    <x v="4"/>
    <x v="4"/>
    <s v="C:\Users\andre\Desktop\REACTIV CEFAS\Fadrozole\Fadrozole/20201201_Cefas_Test8_Run1/Plate 1/@15/D11_03.tif "/>
    <s v=" 50332.7648 "/>
    <s v=" 41.1771 "/>
    <x v="0"/>
    <n v="2072555"/>
    <m/>
    <m/>
  </r>
  <r>
    <x v="4"/>
    <x v="5"/>
    <s v="C:\Users\andre\Desktop\REACTIV CEFAS\Fadrozole\Fadrozole/20201201_Cefas_Test8_Run1/Plate 1/@15/E11_01.tif "/>
    <s v=" 86043.7208 "/>
    <s v=" 57.5178 "/>
    <x v="0"/>
    <n v="4949050"/>
    <m/>
    <m/>
  </r>
  <r>
    <x v="4"/>
    <x v="5"/>
    <s v="C:\Users\andre\Desktop\REACTIV CEFAS\Fadrozole\Fadrozole/20201201_Cefas_Test8_Run1/Plate 1/@15/E11_02.tif "/>
    <s v=" 80117.1297 "/>
    <s v=" 53.5359 "/>
    <x v="0"/>
    <n v="4289143"/>
    <m/>
    <m/>
  </r>
  <r>
    <x v="4"/>
    <x v="5"/>
    <s v="C:\Users\andre\Desktop\REACTIV CEFAS\Fadrozole\Fadrozole/20201201_Cefas_Test8_Run1/Plate 1/@15/E11_03.tif "/>
    <s v=" 83102.0552 "/>
    <s v=" 58.6065 "/>
    <x v="0"/>
    <n v="4870317"/>
    <m/>
    <m/>
  </r>
  <r>
    <x v="4"/>
    <x v="6"/>
    <s v="C:\Users\andre\Desktop\REACTIV CEFAS\Fadrozole\Fadrozole/20201201_Cefas_Test8_Run1/Plate 1/@15/F11_01.tif "/>
    <s v=" 66706.595 "/>
    <s v=" 47.4056 "/>
    <x v="0"/>
    <n v="3162269"/>
    <m/>
    <m/>
  </r>
  <r>
    <x v="4"/>
    <x v="6"/>
    <s v="C:\Users\andre\Desktop\REACTIV CEFAS\Fadrozole\Fadrozole/20201201_Cefas_Test8_Run1/Plate 1/@15/F11_02.tif "/>
    <s v=" 66230.7374 "/>
    <s v=" 50.87 "/>
    <x v="0"/>
    <n v="3369159"/>
    <m/>
    <m/>
  </r>
  <r>
    <x v="4"/>
    <x v="6"/>
    <s v="C:\Users\andre\Desktop\REACTIV CEFAS\Fadrozole\Fadrozole/20201201_Cefas_Test8_Run1/Plate 1/@15/F11_03- exclu.tif"/>
    <m/>
    <m/>
    <x v="1"/>
    <m/>
    <m/>
    <m/>
  </r>
  <r>
    <x v="4"/>
    <x v="7"/>
    <s v="C:\Users\andre\Desktop\REACTIV CEFAS\Fadrozole\Fadrozole/20201201_Cefas_Test8_Run1/Plate 1/@15/G11_01.tif "/>
    <s v=" 94219.821 "/>
    <s v=" 52.9431 "/>
    <x v="0"/>
    <n v="4988286"/>
    <m/>
    <m/>
  </r>
  <r>
    <x v="4"/>
    <x v="7"/>
    <s v="C:\Users\andre\Desktop\REACTIV CEFAS\Fadrozole\Fadrozole/20201201_Cefas_Test8_Run1/Plate 1/@15/G11_02.tif "/>
    <s v=" 85978.8311 "/>
    <s v=" 50.8503 "/>
    <x v="0"/>
    <n v="4372051"/>
    <m/>
    <m/>
  </r>
  <r>
    <x v="4"/>
    <x v="7"/>
    <s v="C:\Users\andre\Desktop\REACTIV CEFAS\Fadrozole\Fadrozole/20201201_Cefas_Test8_Run1/Plate 1/@15/G11_03.tif "/>
    <s v=" 92186.6109 "/>
    <s v=" 54.7189 "/>
    <x v="0"/>
    <n v="5044351"/>
    <m/>
    <m/>
  </r>
  <r>
    <x v="4"/>
    <x v="8"/>
    <s v="C:\Users\andre\Desktop\REACTIV CEFAS\Fadrozole\Fadrozole/20201201_Cefas_Test8_Run1/Plate 1/@15/H11_01.tif "/>
    <s v=" 44773.8819 "/>
    <s v=" 51.8604 "/>
    <x v="0"/>
    <n v="2321991"/>
    <m/>
    <m/>
  </r>
  <r>
    <x v="4"/>
    <x v="8"/>
    <s v="C:\Users\andre\Desktop\REACTIV CEFAS\Fadrozole\Fadrozole/20201201_Cefas_Test8_Run1/Plate 1/@15/H11_02.tif "/>
    <s v=" 51608.9286 "/>
    <s v=" 49.6551 "/>
    <x v="0"/>
    <n v="2562645"/>
    <m/>
    <m/>
  </r>
  <r>
    <x v="4"/>
    <x v="8"/>
    <s v="C:\Users\andre\Desktop\REACTIV CEFAS\Fadrozole\Fadrozole/20201201_Cefas_Test8_Run1/Plate 1/@15/H11_03.tif "/>
    <s v=" 50376.0246 "/>
    <s v=" 48.0854 "/>
    <x v="0"/>
    <n v="2422354"/>
    <m/>
    <m/>
  </r>
  <r>
    <x v="0"/>
    <x v="0"/>
    <s v=" "/>
    <m/>
    <m/>
    <x v="1"/>
    <m/>
    <m/>
    <m/>
  </r>
  <r>
    <x v="0"/>
    <x v="0"/>
    <s v="group "/>
    <s v=" "/>
    <s v=" mean of mean fluo "/>
    <x v="2"/>
    <s v=" mean of total fluo "/>
    <s v=" SD total fluo "/>
    <m/>
  </r>
  <r>
    <x v="4"/>
    <x v="9"/>
    <s v="C:\Users\andre\Desktop\REACTIV CEFAS\Fadrozole\Fadrozole/20201201_Cefas_Test8_Run1/Plate 1/@15/ "/>
    <s v=" "/>
    <s v=" 50.8315 "/>
    <x v="6"/>
    <s v=" 3690184.42 "/>
    <s v=" 1018859.53 "/>
    <m/>
  </r>
  <r>
    <x v="0"/>
    <x v="0"/>
    <s v=" "/>
    <m/>
    <m/>
    <x v="1"/>
    <m/>
    <m/>
    <m/>
  </r>
  <r>
    <x v="0"/>
    <x v="0"/>
    <s v=" "/>
    <m/>
    <m/>
    <x v="1"/>
    <m/>
    <m/>
    <m/>
  </r>
  <r>
    <x v="0"/>
    <x v="0"/>
    <s v=" "/>
    <m/>
    <m/>
    <x v="1"/>
    <m/>
    <m/>
    <m/>
  </r>
  <r>
    <x v="0"/>
    <x v="0"/>
    <s v=" "/>
    <m/>
    <m/>
    <x v="1"/>
    <m/>
    <m/>
    <m/>
  </r>
  <r>
    <x v="0"/>
    <x v="0"/>
    <s v=" "/>
    <m/>
    <m/>
    <x v="1"/>
    <m/>
    <m/>
    <m/>
  </r>
  <r>
    <x v="0"/>
    <x v="0"/>
    <s v="file name "/>
    <s v=" total area "/>
    <s v=" mean intensity "/>
    <x v="0"/>
    <s v=" total fluorescence"/>
    <m/>
    <m/>
  </r>
  <r>
    <x v="5"/>
    <x v="1"/>
    <s v="C:\Users\andre\Desktop\REACTIV CEFAS\Fadrozole\Fadrozole/20201201_Cefas_Test8_Run1/Plate 1/@16/A12_01.tif "/>
    <s v=" 4217.8295 "/>
    <s v=" 35.1538 "/>
    <x v="0"/>
    <n v="148273"/>
    <m/>
    <m/>
  </r>
  <r>
    <x v="5"/>
    <x v="1"/>
    <s v="C:\Users\andre\Desktop\REACTIV CEFAS\Fadrozole\Fadrozole/20201201_Cefas_Test8_Run1/Plate 1/@16/A12_02.tif "/>
    <s v=" 757.0463 "/>
    <s v=" 31.5143 "/>
    <x v="0"/>
    <n v="23858"/>
    <m/>
    <m/>
  </r>
  <r>
    <x v="5"/>
    <x v="1"/>
    <s v="C:\Users\andre\Desktop\REACTIV CEFAS\Fadrozole\Fadrozole/20201201_Cefas_Test8_Run1/Plate 1/@16/A12_03.tif "/>
    <s v=" 216.2989 "/>
    <n v="32"/>
    <x v="0"/>
    <n v="6922"/>
    <m/>
    <m/>
  </r>
  <r>
    <x v="5"/>
    <x v="2"/>
    <s v="C:\Users\andre\Desktop\REACTIV CEFAS\Fadrozole\Fadrozole/20201201_Cefas_Test8_Run1/Plate 1/@16/B12_01.tif "/>
    <s v=" 2227.8791 "/>
    <s v=" 32.8641 "/>
    <x v="0"/>
    <n v="73217"/>
    <m/>
    <m/>
  </r>
  <r>
    <x v="5"/>
    <x v="2"/>
    <s v="C:\Users\andre\Desktop\REACTIV CEFAS\Fadrozole\Fadrozole/20201201_Cefas_Test8_Run1/Plate 1/@16/B12_02.tif "/>
    <s v=" 2898.4059 "/>
    <s v=" 36.1642 "/>
    <x v="0"/>
    <n v="104818"/>
    <m/>
    <m/>
  </r>
  <r>
    <x v="5"/>
    <x v="2"/>
    <s v="C:\Users\andre\Desktop\REACTIV CEFAS\Fadrozole\Fadrozole/20201201_Cefas_Test8_Run1/Plate 1/@16/B12_03.tif "/>
    <s v=" 3028.1852 "/>
    <s v=" 34.8214 "/>
    <x v="0"/>
    <n v="105446"/>
    <m/>
    <m/>
  </r>
  <r>
    <x v="5"/>
    <x v="3"/>
    <s v="C:\Users\andre\Desktop\REACTIV CEFAS\Fadrozole\Fadrozole/20201201_Cefas_Test8_Run1/Plate 1/@16/C12_01.tif "/>
    <s v=" 2920.0358 "/>
    <s v=" 33.7111 "/>
    <x v="0"/>
    <n v="98438"/>
    <m/>
    <m/>
  </r>
  <r>
    <x v="5"/>
    <x v="3"/>
    <s v="C:\Users\andre\Desktop\REACTIV CEFAS\Fadrozole\Fadrozole/20201201_Cefas_Test8_Run1/Plate 1/@16/C12_02- exclu.tif"/>
    <m/>
    <m/>
    <x v="1"/>
    <m/>
    <m/>
    <m/>
  </r>
  <r>
    <x v="5"/>
    <x v="3"/>
    <s v="C:\Users\andre\Desktop\REACTIV CEFAS\Fadrozole\Fadrozole/20201201_Cefas_Test8_Run1/Plate 1/@16/C12_03.tif "/>
    <s v=" 648.8968 "/>
    <s v=" 30.8333 "/>
    <x v="0"/>
    <n v="20008"/>
    <m/>
    <m/>
  </r>
  <r>
    <x v="5"/>
    <x v="4"/>
    <s v="C:\Users\andre\Desktop\REACTIV CEFAS\Fadrozole\Fadrozole/20201201_Cefas_Test8_Run1/Plate 1/@16/D12_01.tif "/>
    <s v=" 8630.328 "/>
    <s v=" 38.4511 "/>
    <x v="0"/>
    <n v="331846"/>
    <m/>
    <m/>
  </r>
  <r>
    <x v="5"/>
    <x v="4"/>
    <s v="C:\Users\andre\Desktop\REACTIV CEFAS\Fadrozole\Fadrozole/20201201_Cefas_Test8_Run1/Plate 1/@16/D12_02.tif "/>
    <s v=" 2725.3667 "/>
    <s v=" 33.7222 "/>
    <x v="0"/>
    <n v="91905"/>
    <m/>
    <m/>
  </r>
  <r>
    <x v="5"/>
    <x v="4"/>
    <s v="C:\Users\andre\Desktop\REACTIV CEFAS\Fadrozole\Fadrozole/20201201_Cefas_Test8_Run1/Plate 1/@16/D12_03.tif "/>
    <s v=" 3417.5234 "/>
    <s v=" 33.0253 "/>
    <x v="0"/>
    <n v="112865"/>
    <m/>
    <m/>
  </r>
  <r>
    <x v="5"/>
    <x v="5"/>
    <s v="C:\Users\andre\Desktop\REACTIV CEFAS\Fadrozole\Fadrozole/20201201_Cefas_Test8_Run1/Plate 1/@16/E12_01.tif "/>
    <s v=" 4347.6088 "/>
    <s v=" 35.1244 "/>
    <x v="0"/>
    <n v="152707"/>
    <m/>
    <m/>
  </r>
  <r>
    <x v="5"/>
    <x v="5"/>
    <s v="C:\Users\andre\Desktop\REACTIV CEFAS\Fadrozole\Fadrozole/20201201_Cefas_Test8_Run1/Plate 1/@16/E12_02- exclu.tif"/>
    <m/>
    <m/>
    <x v="1"/>
    <m/>
    <m/>
    <m/>
  </r>
  <r>
    <x v="5"/>
    <x v="5"/>
    <s v="C:\Users\andre\Desktop\REACTIV CEFAS\Fadrozole\Fadrozole/20201201_Cefas_Test8_Run1/Plate 1/@16/E12_03- exclu.tif"/>
    <m/>
    <m/>
    <x v="1"/>
    <m/>
    <m/>
    <m/>
  </r>
  <r>
    <x v="5"/>
    <x v="6"/>
    <s v="C:\Users\andre\Desktop\REACTIV CEFAS\Fadrozole\Fadrozole/20201201_Cefas_Test8_Run1/Plate 1/@16/F12_01.tif "/>
    <s v=" 10555.3886 "/>
    <s v=" 39.2766 "/>
    <x v="0"/>
    <n v="414580"/>
    <m/>
    <m/>
  </r>
  <r>
    <x v="5"/>
    <x v="6"/>
    <s v="C:\Users\andre\Desktop\REACTIV CEFAS\Fadrozole\Fadrozole/20201201_Cefas_Test8_Run1/Plate 1/@16/F12_02.tif "/>
    <s v=" 5840.0715 "/>
    <s v=" 37.4815 "/>
    <x v="0"/>
    <n v="218895"/>
    <m/>
    <m/>
  </r>
  <r>
    <x v="5"/>
    <x v="6"/>
    <s v="C:\Users\andre\Desktop\REACTIV CEFAS\Fadrozole\Fadrozole/20201201_Cefas_Test8_Run1/Plate 1/@16/F12_03.tif "/>
    <s v=" 4650.4273 "/>
    <s v=" 35.6186 "/>
    <x v="0"/>
    <n v="165642"/>
    <m/>
    <m/>
  </r>
  <r>
    <x v="5"/>
    <x v="7"/>
    <s v="C:\Users\andre\Desktop\REACTIV CEFAS\Fadrozole\Fadrozole/20201201_Cefas_Test8_Run1/Plate 1/@16/G12_01.tif "/>
    <s v=" 1795.2813 "/>
    <s v=" 31.0843 "/>
    <x v="0"/>
    <n v="55805"/>
    <m/>
    <m/>
  </r>
  <r>
    <x v="5"/>
    <x v="7"/>
    <s v="C:\Users\andre\Desktop\REACTIV CEFAS\Fadrozole\Fadrozole/20201201_Cefas_Test8_Run1/Plate 1/@16/G12_02.tif "/>
    <s v=" 951.7154 "/>
    <s v=" 32.6818 "/>
    <x v="0"/>
    <n v="31104"/>
    <m/>
    <m/>
  </r>
  <r>
    <x v="5"/>
    <x v="7"/>
    <s v="C:\Users\andre\Desktop\REACTIV CEFAS\Fadrozole\Fadrozole/20201201_Cefas_Test8_Run1/Plate 1/@16/G12_03.tif "/>
    <s v=" 3439.1532 "/>
    <s v=" 36.6164 "/>
    <x v="0"/>
    <n v="125929"/>
    <m/>
    <m/>
  </r>
  <r>
    <x v="5"/>
    <x v="8"/>
    <s v="C:\Users\andre\Desktop\REACTIV CEFAS\Fadrozole\Fadrozole/20201201_Cefas_Test8_Run1/Plate 1/@16/H12_01.tif "/>
    <s v=" 4390.8686 "/>
    <s v=" 35.1823 "/>
    <x v="0"/>
    <n v="154481"/>
    <m/>
    <m/>
  </r>
  <r>
    <x v="5"/>
    <x v="8"/>
    <s v="C:\Users\andre\Desktop\REACTIV CEFAS\Fadrozole\Fadrozole/20201201_Cefas_Test8_Run1/Plate 1/@16/H12_02.tif "/>
    <s v=" 2768.6265 "/>
    <s v=" 34.4375 "/>
    <x v="0"/>
    <n v="95345"/>
    <m/>
    <m/>
  </r>
  <r>
    <x v="5"/>
    <x v="8"/>
    <s v="C:\Users\andre\Desktop\REACTIV CEFAS\Fadrozole\Fadrozole/20201201_Cefas_Test8_Run1/Plate 1/@16/H12_03.tif "/>
    <s v=" 4369.2387 "/>
    <s v=" 37.3515 "/>
    <x v="0"/>
    <n v="163198"/>
    <m/>
    <m/>
  </r>
  <r>
    <x v="0"/>
    <x v="0"/>
    <s v=" "/>
    <m/>
    <m/>
    <x v="1"/>
    <m/>
    <m/>
    <m/>
  </r>
  <r>
    <x v="0"/>
    <x v="0"/>
    <s v="group "/>
    <s v=" "/>
    <s v=" mean of mean fluo "/>
    <x v="2"/>
    <s v=" mean of total fluo "/>
    <s v=" SD total fluo "/>
    <m/>
  </r>
  <r>
    <x v="5"/>
    <x v="9"/>
    <s v="C:\Users\andre\Desktop\REACTIV CEFAS\Fadrozole\Fadrozole/20201201_Cefas_Test8_Run1/Plate 1/@16/ "/>
    <s v=" "/>
    <s v=" 33.6831 "/>
    <x v="7"/>
    <s v=" 137755.5 "/>
    <s v=" 108930.994 "/>
    <m/>
  </r>
  <r>
    <x v="0"/>
    <x v="0"/>
    <s v=" "/>
    <m/>
    <m/>
    <x v="1"/>
    <m/>
    <m/>
    <m/>
  </r>
  <r>
    <x v="0"/>
    <x v="0"/>
    <s v=" "/>
    <m/>
    <m/>
    <x v="1"/>
    <m/>
    <m/>
    <m/>
  </r>
  <r>
    <x v="0"/>
    <x v="0"/>
    <s v=" "/>
    <m/>
    <m/>
    <x v="1"/>
    <m/>
    <m/>
    <m/>
  </r>
  <r>
    <x v="0"/>
    <x v="0"/>
    <s v=" "/>
    <m/>
    <m/>
    <x v="1"/>
    <m/>
    <m/>
    <m/>
  </r>
  <r>
    <x v="0"/>
    <x v="0"/>
    <s v=" "/>
    <m/>
    <m/>
    <x v="1"/>
    <m/>
    <m/>
    <m/>
  </r>
  <r>
    <x v="0"/>
    <x v="0"/>
    <s v="file name "/>
    <s v=" total area "/>
    <s v=" mean intensity "/>
    <x v="0"/>
    <s v=" total fluorescence"/>
    <m/>
    <m/>
  </r>
  <r>
    <x v="6"/>
    <x v="1"/>
    <s v="C:\Users\andre\Desktop\REACTIV CEFAS\Fadrozole\Fadrozole/20201201_Cefas_Test8_Run1/Plate 1/@2/A2_01.tif "/>
    <s v=" 2314.3987 "/>
    <s v=" 36.0935 "/>
    <x v="0"/>
    <n v="83535"/>
    <m/>
    <m/>
  </r>
  <r>
    <x v="6"/>
    <x v="1"/>
    <s v="C:\Users\andre\Desktop\REACTIV CEFAS\Fadrozole\Fadrozole/20201201_Cefas_Test8_Run1/Plate 1/@2/A2_02.tif "/>
    <s v=" 3222.8543 "/>
    <s v=" 35.3826 "/>
    <x v="0"/>
    <n v="114033"/>
    <m/>
    <m/>
  </r>
  <r>
    <x v="6"/>
    <x v="1"/>
    <s v="C:\Users\andre\Desktop\REACTIV CEFAS\Fadrozole\Fadrozole/20201201_Cefas_Test8_Run1/Plate 1/@2/A2_03.tif "/>
    <s v=" 2422.5482 "/>
    <s v=" 35.5625 "/>
    <x v="0"/>
    <n v="86152"/>
    <m/>
    <m/>
  </r>
  <r>
    <x v="6"/>
    <x v="2"/>
    <s v="C:\Users\andre\Desktop\REACTIV CEFAS\Fadrozole\Fadrozole/20201201_Cefas_Test8_Run1/Plate 1/@2/B2_01.tif "/>
    <s v=" 6445.7086 "/>
    <s v=" 37.4262 "/>
    <x v="0"/>
    <n v="241238"/>
    <m/>
    <m/>
  </r>
  <r>
    <x v="6"/>
    <x v="2"/>
    <s v="C:\Users\andre\Desktop\REACTIV CEFAS\Fadrozole\Fadrozole/20201201_Cefas_Test8_Run1/Plate 1/@2/B2_02.tif "/>
    <s v=" 5018.1356 "/>
    <s v=" 35.8621 "/>
    <x v="0"/>
    <n v="179961"/>
    <m/>
    <m/>
  </r>
  <r>
    <x v="6"/>
    <x v="2"/>
    <s v="C:\Users\andre\Desktop\REACTIV CEFAS\Fadrozole\Fadrozole/20201201_Cefas_Test8_Run1/Plate 1/@2/B2_03.tif "/>
    <s v=" 6251.0395 "/>
    <s v=" 37.4187 "/>
    <x v="0"/>
    <n v="233906"/>
    <m/>
    <m/>
  </r>
  <r>
    <x v="6"/>
    <x v="3"/>
    <s v="C:\Users\andre\Desktop\REACTIV CEFAS\Fadrozole\Fadrozole/20201201_Cefas_Test8_Run1/Plate 1/@2/C2_01.tif "/>
    <s v=" 302.8185 "/>
    <s v=" 31.2857 "/>
    <x v="0"/>
    <n v="9474"/>
    <m/>
    <m/>
  </r>
  <r>
    <x v="6"/>
    <x v="3"/>
    <s v="C:\Users\andre\Desktop\REACTIV CEFAS\Fadrozole\Fadrozole/20201201_Cefas_Test8_Run1/Plate 1/@2/C2_02.tif "/>
    <s v=" 4174.5697 "/>
    <s v=" 37.2124 "/>
    <x v="0"/>
    <n v="155346"/>
    <m/>
    <m/>
  </r>
  <r>
    <x v="6"/>
    <x v="3"/>
    <s v="C:\Users\andre\Desktop\REACTIV CEFAS\Fadrozole\Fadrozole/20201201_Cefas_Test8_Run1/Plate 1/@2/C2_03.tif "/>
    <s v=" 6121.2602 "/>
    <s v=" 40.8198 "/>
    <x v="0"/>
    <n v="249869"/>
    <m/>
    <m/>
  </r>
  <r>
    <x v="6"/>
    <x v="4"/>
    <s v="C:\Users\andre\Desktop\REACTIV CEFAS\Fadrozole\Fadrozole/20201201_Cefas_Test8_Run1/Plate 1/@2/D2_01.tif "/>
    <s v=" 4261.0892 "/>
    <s v=" 33.0558 "/>
    <x v="0"/>
    <n v="140854"/>
    <m/>
    <m/>
  </r>
  <r>
    <x v="6"/>
    <x v="4"/>
    <s v="C:\Users\andre\Desktop\REACTIV CEFAS\Fadrozole\Fadrozole/20201201_Cefas_Test8_Run1/Plate 1/@2/D2_02.tif "/>
    <s v=" 4499.0181 "/>
    <s v=" 37.6875 "/>
    <x v="0"/>
    <n v="169557"/>
    <m/>
    <m/>
  </r>
  <r>
    <x v="6"/>
    <x v="4"/>
    <s v="C:\Users\andre\Desktop\REACTIV CEFAS\Fadrozole\Fadrozole/20201201_Cefas_Test8_Run1/Plate 1/@2/D2_03.tif "/>
    <s v=" 5147.9149 "/>
    <s v=" 39.7647 "/>
    <x v="0"/>
    <n v="204705"/>
    <m/>
    <m/>
  </r>
  <r>
    <x v="6"/>
    <x v="5"/>
    <s v="C:\Users\andre\Desktop\REACTIV CEFAS\Fadrozole\Fadrozole/20201201_Cefas_Test8_Run1/Plate 1/@2/E2_01.tif "/>
    <s v=" 6510.5983 "/>
    <s v=" 38.6279 "/>
    <x v="0"/>
    <n v="251491"/>
    <m/>
    <m/>
  </r>
  <r>
    <x v="6"/>
    <x v="5"/>
    <s v="C:\Users\andre\Desktop\REACTIV CEFAS\Fadrozole\Fadrozole/20201201_Cefas_Test8_Run1/Plate 1/@2/E2_02.tif "/>
    <s v=" 6078.0004 "/>
    <s v=" 41.8221 "/>
    <x v="0"/>
    <n v="254195"/>
    <m/>
    <m/>
  </r>
  <r>
    <x v="6"/>
    <x v="5"/>
    <s v="C:\Users\andre\Desktop\REACTIV CEFAS\Fadrozole\Fadrozole/20201201_Cefas_Test8_Run1/Plate 1/@2/E2_03.tif "/>
    <s v=" 6964.8261 "/>
    <s v=" 39.5031 "/>
    <x v="0"/>
    <n v="275132"/>
    <m/>
    <m/>
  </r>
  <r>
    <x v="6"/>
    <x v="6"/>
    <s v="C:\Users\andre\Desktop\REACTIV CEFAS\Fadrozole\Fadrozole/20201201_Cefas_Test8_Run1/Plate 1/@2/F2_01.tif "/>
    <s v=" 3309.3739 "/>
    <s v=" 37.719 "/>
    <x v="0"/>
    <n v="124826"/>
    <m/>
    <m/>
  </r>
  <r>
    <x v="6"/>
    <x v="6"/>
    <s v="C:\Users\andre\Desktop\REACTIV CEFAS\Fadrozole\Fadrozole/20201201_Cefas_Test8_Run1/Plate 1/@2/F2_02.tif "/>
    <s v=" 5320.9541 "/>
    <s v=" 41.9553 "/>
    <x v="0"/>
    <n v="223242"/>
    <m/>
    <m/>
  </r>
  <r>
    <x v="6"/>
    <x v="6"/>
    <s v="C:\Users\andre\Desktop\REACTIV CEFAS\Fadrozole\Fadrozole/20201201_Cefas_Test8_Run1/Plate 1/@2/F2_03.tif "/>
    <s v=" 7419.0539 "/>
    <s v=" 40.0671 "/>
    <x v="0"/>
    <n v="297260"/>
    <m/>
    <m/>
  </r>
  <r>
    <x v="6"/>
    <x v="7"/>
    <s v="C:\Users\andre\Desktop\REACTIV CEFAS\Fadrozole\Fadrozole/20201201_Cefas_Test8_Run1/Plate 1/@2/G2_01.tif "/>
    <s v=" 129.7794 "/>
    <s v=" 30.8333 "/>
    <x v="0"/>
    <n v="4002"/>
    <m/>
    <m/>
  </r>
  <r>
    <x v="6"/>
    <x v="7"/>
    <s v="C:\Users\andre\Desktop\REACTIV CEFAS\Fadrozole\Fadrozole/20201201_Cefas_Test8_Run1/Plate 1/@2/G2_02.tif "/>
    <s v=" 2768.6265 "/>
    <s v=" 35.3672 "/>
    <x v="0"/>
    <n v="97919"/>
    <m/>
    <m/>
  </r>
  <r>
    <x v="6"/>
    <x v="7"/>
    <s v="C:\Users\andre\Desktop\REACTIV CEFAS\Fadrozole\Fadrozole/20201201_Cefas_Test8_Run1/Plate 1/@2/G2_03.tif "/>
    <s v=" 3871.7511 "/>
    <s v=" 39.9777 "/>
    <x v="0"/>
    <n v="154784"/>
    <m/>
    <m/>
  </r>
  <r>
    <x v="6"/>
    <x v="8"/>
    <s v="C:\Users\andre\Desktop\REACTIV CEFAS\Fadrozole\Fadrozole/20201201_Cefas_Test8_Run1/Plate 1/@2/H2_01.tif "/>
    <s v=" 6402.4488 "/>
    <s v=" 34.5304 "/>
    <x v="0"/>
    <n v="221079"/>
    <m/>
    <m/>
  </r>
  <r>
    <x v="6"/>
    <x v="8"/>
    <s v="C:\Users\andre\Desktop\REACTIV CEFAS\Fadrozole\Fadrozole/20201201_Cefas_Test8_Run1/Plate 1/@2/H2_02.tif "/>
    <s v=" 4542.2779 "/>
    <s v=" 36.9857 "/>
    <x v="0"/>
    <n v="167999"/>
    <m/>
    <m/>
  </r>
  <r>
    <x v="6"/>
    <x v="8"/>
    <s v="C:\Users\andre\Desktop\REACTIV CEFAS\Fadrozole\Fadrozole/20201201_Cefas_Test8_Run1/Plate 1/@2/H2_03.tif "/>
    <s v=" 5493.9932 "/>
    <s v=" 39.7598 "/>
    <x v="0"/>
    <n v="218440"/>
    <m/>
    <m/>
  </r>
  <r>
    <x v="0"/>
    <x v="0"/>
    <s v=" "/>
    <m/>
    <m/>
    <x v="1"/>
    <m/>
    <m/>
    <m/>
  </r>
  <r>
    <x v="0"/>
    <x v="0"/>
    <s v="group "/>
    <s v=" "/>
    <s v=" mean of mean fluo "/>
    <x v="2"/>
    <s v=" mean of total fluo "/>
    <s v=" SD total fluo "/>
    <m/>
  </r>
  <r>
    <x v="6"/>
    <x v="9"/>
    <s v="C:\Users\andre\Desktop\REACTIV CEFAS\Fadrozole\Fadrozole/20201201_Cefas_Test8_Run1/Plate 1/@2/ "/>
    <s v=" "/>
    <s v=" 37.28 "/>
    <x v="8"/>
    <s v=" 173291.625 "/>
    <s v=" 79358.4007 "/>
    <m/>
  </r>
  <r>
    <x v="0"/>
    <x v="0"/>
    <s v=" "/>
    <m/>
    <m/>
    <x v="1"/>
    <m/>
    <m/>
    <m/>
  </r>
  <r>
    <x v="0"/>
    <x v="0"/>
    <s v=" "/>
    <m/>
    <m/>
    <x v="1"/>
    <m/>
    <m/>
    <m/>
  </r>
  <r>
    <x v="0"/>
    <x v="0"/>
    <s v=" "/>
    <m/>
    <m/>
    <x v="1"/>
    <m/>
    <m/>
    <m/>
  </r>
  <r>
    <x v="0"/>
    <x v="0"/>
    <s v=" "/>
    <m/>
    <m/>
    <x v="1"/>
    <m/>
    <m/>
    <m/>
  </r>
  <r>
    <x v="0"/>
    <x v="0"/>
    <s v=" "/>
    <m/>
    <m/>
    <x v="1"/>
    <m/>
    <m/>
    <m/>
  </r>
  <r>
    <x v="0"/>
    <x v="0"/>
    <s v="file name "/>
    <s v=" total area "/>
    <s v=" mean intensity "/>
    <x v="0"/>
    <s v=" total fluorescence"/>
    <m/>
    <m/>
  </r>
  <r>
    <x v="7"/>
    <x v="1"/>
    <s v="C:\Users\andre\Desktop\REACTIV CEFAS\Fadrozole\Fadrozole/20201201_Cefas_Test8_Run1/Plate 1/@3/A3_01.tif "/>
    <s v=" 6315.9292 "/>
    <s v=" 41.9555 "/>
    <x v="0"/>
    <n v="264988"/>
    <m/>
    <m/>
  </r>
  <r>
    <x v="7"/>
    <x v="1"/>
    <s v="C:\Users\andre\Desktop\REACTIV CEFAS\Fadrozole\Fadrozole/20201201_Cefas_Test8_Run1/Plate 1/@3/A3_02.tif "/>
    <s v=" 6835.0467 "/>
    <s v=" 43.3703 "/>
    <x v="0"/>
    <n v="296438"/>
    <m/>
    <m/>
  </r>
  <r>
    <x v="7"/>
    <x v="1"/>
    <s v="C:\Users\andre\Desktop\REACTIV CEFAS\Fadrozole\Fadrozole/20201201_Cefas_Test8_Run1/Plate 1/@3/A3_03.tif "/>
    <n v="0"/>
    <n v="0"/>
    <x v="0"/>
    <n v="0"/>
    <m/>
    <m/>
  </r>
  <r>
    <x v="7"/>
    <x v="2"/>
    <s v="C:\Users\andre\Desktop\REACTIV CEFAS\Fadrozole\Fadrozole/20201201_Cefas_Test8_Run1/Plate 1/@3/B3_01.tif "/>
    <s v=" 40556.0524 "/>
    <s v=" 36.832 "/>
    <x v="0"/>
    <n v="1493761"/>
    <m/>
    <m/>
  </r>
  <r>
    <x v="7"/>
    <x v="2"/>
    <s v="C:\Users\andre\Desktop\REACTIV CEFAS\Fadrozole\Fadrozole/20201201_Cefas_Test8_Run1/Plate 1/@3/B3_02.tif "/>
    <s v=" 33461.447 "/>
    <s v=" 34.9315 "/>
    <x v="0"/>
    <n v="1168858"/>
    <m/>
    <m/>
  </r>
  <r>
    <x v="7"/>
    <x v="2"/>
    <s v="C:\Users\andre\Desktop\REACTIV CEFAS\Fadrozole\Fadrozole/20201201_Cefas_Test8_Run1/Plate 1/@3/B3_03.tif "/>
    <s v=" 38479.5825 "/>
    <s v=" 35.6521 "/>
    <x v="0"/>
    <n v="1371876"/>
    <m/>
    <m/>
  </r>
  <r>
    <x v="7"/>
    <x v="3"/>
    <s v="C:\Users\andre\Desktop\REACTIV CEFAS\Fadrozole\Fadrozole/20201201_Cefas_Test8_Run1/Plate 1/@3/C3_01.tif "/>
    <s v=" 2855.1461 "/>
    <s v=" 35.1515 "/>
    <x v="0"/>
    <n v="100363"/>
    <m/>
    <m/>
  </r>
  <r>
    <x v="7"/>
    <x v="3"/>
    <s v="C:\Users\andre\Desktop\REACTIV CEFAS\Fadrozole\Fadrozole/20201201_Cefas_Test8_Run1/Plate 1/@3/C3_02.tif "/>
    <s v=" 2465.808 "/>
    <s v=" 34.6491 "/>
    <x v="0"/>
    <n v="85438"/>
    <m/>
    <m/>
  </r>
  <r>
    <x v="7"/>
    <x v="3"/>
    <s v="C:\Users\andre\Desktop\REACTIV CEFAS\Fadrozole\Fadrozole/20201201_Cefas_Test8_Run1/Plate 1/@3/C3_03.tif "/>
    <s v=" 1578.9823 "/>
    <s v=" 32.0959 "/>
    <x v="0"/>
    <n v="50679"/>
    <m/>
    <m/>
  </r>
  <r>
    <x v="7"/>
    <x v="4"/>
    <s v="C:\Users\andre\Desktop\REACTIV CEFAS\Fadrozole\Fadrozole/20201201_Cefas_Test8_Run1/Plate 1/@3/D3_01.tif "/>
    <s v=" 5515.6231 "/>
    <s v=" 40.0784 "/>
    <x v="0"/>
    <n v="221058"/>
    <m/>
    <m/>
  </r>
  <r>
    <x v="7"/>
    <x v="4"/>
    <s v="C:\Users\andre\Desktop\REACTIV CEFAS\Fadrozole\Fadrozole/20201201_Cefas_Test8_Run1/Plate 1/@3/D3_02.tif "/>
    <s v=" 6078.0004 "/>
    <s v=" 36.121 "/>
    <x v="0"/>
    <n v="219543"/>
    <m/>
    <m/>
  </r>
  <r>
    <x v="7"/>
    <x v="4"/>
    <s v="C:\Users\andre\Desktop\REACTIV CEFAS\Fadrozole\Fadrozole/20201201_Cefas_Test8_Run1/Plate 1/@3/D3_03.tif "/>
    <s v=" 3741.9718 "/>
    <s v=" 36.0173 "/>
    <x v="0"/>
    <n v="134776"/>
    <m/>
    <m/>
  </r>
  <r>
    <x v="7"/>
    <x v="5"/>
    <s v="C:\Users\andre\Desktop\REACTIV CEFAS\Fadrozole\Fadrozole/20201201_Cefas_Test8_Run1/Plate 1/@3/E3_01.tif "/>
    <n v="0"/>
    <n v="0"/>
    <x v="0"/>
    <n v="0"/>
    <m/>
    <m/>
  </r>
  <r>
    <x v="7"/>
    <x v="5"/>
    <s v="C:\Users\andre\Desktop\REACTIV CEFAS\Fadrozole\Fadrozole/20201201_Cefas_Test8_Run1/Plate 1/@3/E3_02.tif "/>
    <s v=" 1925.0606 "/>
    <s v=" 33.0899 "/>
    <x v="0"/>
    <n v="63700"/>
    <m/>
    <m/>
  </r>
  <r>
    <x v="7"/>
    <x v="5"/>
    <s v="C:\Users\andre\Desktop\REACTIV CEFAS\Fadrozole\Fadrozole/20201201_Cefas_Test8_Run1/Plate 1/@3/E3_03.tif "/>
    <s v=" 2941.6657 "/>
    <s v=" 36.4559 "/>
    <x v="0"/>
    <n v="107241"/>
    <m/>
    <m/>
  </r>
  <r>
    <x v="7"/>
    <x v="6"/>
    <s v="C:\Users\andre\Desktop\REACTIV CEFAS\Fadrozole\Fadrozole/20201201_Cefas_Test8_Run1/Plate 1/@3/F3_01- exclu.tif"/>
    <m/>
    <m/>
    <x v="1"/>
    <m/>
    <m/>
    <m/>
  </r>
  <r>
    <x v="7"/>
    <x v="6"/>
    <s v="C:\Users\andre\Desktop\REACTIV CEFAS\Fadrozole\Fadrozole/20201201_Cefas_Test8_Run1/Plate 1/@3/F3_02- exclu.tif"/>
    <m/>
    <m/>
    <x v="1"/>
    <m/>
    <m/>
    <m/>
  </r>
  <r>
    <x v="7"/>
    <x v="6"/>
    <s v="C:\Users\andre\Desktop\REACTIV CEFAS\Fadrozole\Fadrozole/20201201_Cefas_Test8_Run1/Plate 1/@3/F3_03- exclu.tif"/>
    <m/>
    <m/>
    <x v="1"/>
    <m/>
    <m/>
    <m/>
  </r>
  <r>
    <x v="7"/>
    <x v="7"/>
    <s v="C:\Users\andre\Desktop\REACTIV CEFAS\Fadrozole\Fadrozole/20201201_Cefas_Test8_Run1/Plate 1/@3/G3_01- exclu.tif"/>
    <m/>
    <m/>
    <x v="1"/>
    <m/>
    <m/>
    <m/>
  </r>
  <r>
    <x v="7"/>
    <x v="7"/>
    <s v="C:\Users\andre\Desktop\REACTIV CEFAS\Fadrozole\Fadrozole/20201201_Cefas_Test8_Run1/Plate 1/@3/G3_02.tif "/>
    <s v=" 4023.1604 "/>
    <s v=" 35.9194 "/>
    <x v="0"/>
    <n v="144509"/>
    <m/>
    <m/>
  </r>
  <r>
    <x v="7"/>
    <x v="7"/>
    <s v="C:\Users\andre\Desktop\REACTIV CEFAS\Fadrozole\Fadrozole/20201201_Cefas_Test8_Run1/Plate 1/@3/G3_03- exclu.tif"/>
    <m/>
    <m/>
    <x v="1"/>
    <m/>
    <m/>
    <m/>
  </r>
  <r>
    <x v="7"/>
    <x v="8"/>
    <s v="C:\Users\andre\Desktop\REACTIV CEFAS\Fadrozole\Fadrozole/20201201_Cefas_Test8_Run1/Plate 1/@3/H3_01.tif "/>
    <s v=" 2119.7297 "/>
    <s v=" 31.5204 "/>
    <x v="0"/>
    <n v="66815"/>
    <m/>
    <m/>
  </r>
  <r>
    <x v="7"/>
    <x v="8"/>
    <s v="C:\Users\andre\Desktop\REACTIV CEFAS\Fadrozole\Fadrozole/20201201_Cefas_Test8_Run1/Plate 1/@3/H3_02.tif "/>
    <s v=" 908.4556 "/>
    <s v=" 31.3571 "/>
    <x v="0"/>
    <n v="28487"/>
    <m/>
    <m/>
  </r>
  <r>
    <x v="7"/>
    <x v="8"/>
    <s v="C:\Users\andre\Desktop\REACTIV CEFAS\Fadrozole\Fadrozole/20201201_Cefas_Test8_Run1/Plate 1/@3/H3_03.tif "/>
    <s v=" 2638.8471 "/>
    <s v=" 33.4098 "/>
    <x v="0"/>
    <n v="88163"/>
    <m/>
    <m/>
  </r>
  <r>
    <x v="0"/>
    <x v="0"/>
    <s v=" "/>
    <m/>
    <m/>
    <x v="1"/>
    <m/>
    <m/>
    <m/>
  </r>
  <r>
    <x v="0"/>
    <x v="0"/>
    <s v="group "/>
    <s v=" "/>
    <s v=" mean of mean fluo "/>
    <x v="2"/>
    <s v=" mean of total fluo "/>
    <s v=" SD total fluo "/>
    <m/>
  </r>
  <r>
    <x v="7"/>
    <x v="9"/>
    <s v="C:\Users\andre\Desktop\REACTIV CEFAS\Fadrozole\Fadrozole/20201201_Cefas_Test8_Run1/Plate 1/@3/ "/>
    <s v=" "/>
    <s v=" 34.0583 "/>
    <x v="9"/>
    <s v=" 338262.75 "/>
    <s v=" 433708.039 "/>
    <m/>
  </r>
  <r>
    <x v="0"/>
    <x v="0"/>
    <s v=" "/>
    <m/>
    <m/>
    <x v="1"/>
    <m/>
    <m/>
    <m/>
  </r>
  <r>
    <x v="0"/>
    <x v="0"/>
    <s v=" "/>
    <m/>
    <m/>
    <x v="1"/>
    <m/>
    <m/>
    <m/>
  </r>
  <r>
    <x v="0"/>
    <x v="0"/>
    <s v=" "/>
    <m/>
    <m/>
    <x v="1"/>
    <m/>
    <m/>
    <m/>
  </r>
  <r>
    <x v="0"/>
    <x v="0"/>
    <s v=" "/>
    <m/>
    <m/>
    <x v="1"/>
    <m/>
    <m/>
    <m/>
  </r>
  <r>
    <x v="0"/>
    <x v="0"/>
    <s v=" "/>
    <m/>
    <m/>
    <x v="1"/>
    <m/>
    <m/>
    <m/>
  </r>
  <r>
    <x v="0"/>
    <x v="0"/>
    <s v="file name "/>
    <s v=" total area "/>
    <s v=" mean intensity "/>
    <x v="0"/>
    <s v=" total fluorescence"/>
    <m/>
    <m/>
  </r>
  <r>
    <x v="8"/>
    <x v="1"/>
    <s v="C:\Users\andre\Desktop\REACTIV CEFAS\Fadrozole\Fadrozole/20201201_Cefas_Test8_Run1/Plate 1/@4/A4_01.tif "/>
    <s v=" 8305.8795 "/>
    <s v=" 38.7161 "/>
    <x v="0"/>
    <n v="321572"/>
    <m/>
    <m/>
  </r>
  <r>
    <x v="8"/>
    <x v="1"/>
    <s v="C:\Users\andre\Desktop\REACTIV CEFAS\Fadrozole\Fadrozole/20201201_Cefas_Test8_Run1/Plate 1/@4/A4_02- exclu.tif"/>
    <m/>
    <m/>
    <x v="1"/>
    <m/>
    <m/>
    <m/>
  </r>
  <r>
    <x v="8"/>
    <x v="1"/>
    <s v="C:\Users\andre\Desktop\REACTIV CEFAS\Fadrozole\Fadrozole/20201201_Cefas_Test8_Run1/Plate 1/@4/A4_03.tif "/>
    <s v=" 6618.7478 "/>
    <s v=" 36.0948 "/>
    <x v="0"/>
    <n v="238902"/>
    <m/>
    <m/>
  </r>
  <r>
    <x v="8"/>
    <x v="2"/>
    <s v="C:\Users\andre\Desktop\REACTIV CEFAS\Fadrozole\Fadrozole/20201201_Cefas_Test8_Run1/Plate 1/@4/B4_01.tif "/>
    <s v=" 6921.5663 "/>
    <s v=" 37.4438 "/>
    <x v="0"/>
    <n v="259169"/>
    <m/>
    <m/>
  </r>
  <r>
    <x v="8"/>
    <x v="2"/>
    <s v="C:\Users\andre\Desktop\REACTIV CEFAS\Fadrozole\Fadrozole/20201201_Cefas_Test8_Run1/Plate 1/@4/B4_02.tif "/>
    <s v=" 13864.7625 "/>
    <s v=" 42.6786 "/>
    <x v="0"/>
    <n v="591729"/>
    <m/>
    <m/>
  </r>
  <r>
    <x v="8"/>
    <x v="2"/>
    <s v="C:\Users\andre\Desktop\REACTIV CEFAS\Fadrozole\Fadrozole/20201201_Cefas_Test8_Run1/Plate 1/@4/B4_03.tif "/>
    <s v=" 8954.7764 "/>
    <s v=" 42.8237 "/>
    <x v="0"/>
    <n v="383476"/>
    <m/>
    <m/>
  </r>
  <r>
    <x v="8"/>
    <x v="3"/>
    <s v="C:\Users\andre\Desktop\REACTIV CEFAS\Fadrozole\Fadrozole/20201201_Cefas_Test8_Run1/Plate 1/@4/C4_01.tif "/>
    <s v=" 21997.6028 "/>
    <s v=" 32.8387 "/>
    <x v="0"/>
    <n v="722374"/>
    <m/>
    <m/>
  </r>
  <r>
    <x v="8"/>
    <x v="3"/>
    <s v="C:\Users\andre\Desktop\REACTIV CEFAS\Fadrozole\Fadrozole/20201201_Cefas_Test8_Run1/Plate 1/@4/C4_02.tif "/>
    <s v=" 29957.4041 "/>
    <s v=" 33.7292 "/>
    <x v="0"/>
    <n v="1010441"/>
    <m/>
    <m/>
  </r>
  <r>
    <x v="8"/>
    <x v="3"/>
    <s v="C:\Users\andre\Desktop\REACTIV CEFAS\Fadrozole\Fadrozole/20201201_Cefas_Test8_Run1/Plate 1/@4/C4_03.tif "/>
    <s v=" 37138.5291 "/>
    <s v=" 35.2935 "/>
    <x v="0"/>
    <n v="1310750"/>
    <m/>
    <m/>
  </r>
  <r>
    <x v="8"/>
    <x v="4"/>
    <s v="C:\Users\andre\Desktop\REACTIV CEFAS\Fadrozole\Fadrozole/20201201_Cefas_Test8_Run1/Plate 1/@4/D4_01.tif "/>
    <s v=" 18493.5599 "/>
    <s v=" 34.1825 "/>
    <x v="0"/>
    <n v="632155"/>
    <m/>
    <m/>
  </r>
  <r>
    <x v="8"/>
    <x v="4"/>
    <s v="C:\Users\andre\Desktop\REACTIV CEFAS\Fadrozole\Fadrozole/20201201_Cefas_Test8_Run1/Plate 1/@4/D4_02.tif "/>
    <s v=" 24722.9696 "/>
    <s v=" 33.7804 "/>
    <x v="0"/>
    <n v="835152"/>
    <m/>
    <m/>
  </r>
  <r>
    <x v="8"/>
    <x v="4"/>
    <s v="C:\Users\andre\Desktop\REACTIV CEFAS\Fadrozole\Fadrozole/20201201_Cefas_Test8_Run1/Plate 1/@4/D4_03.tif "/>
    <s v=" 19293.866 "/>
    <s v=" 32.3004 "/>
    <x v="0"/>
    <n v="623201"/>
    <m/>
    <m/>
  </r>
  <r>
    <x v="8"/>
    <x v="5"/>
    <s v="C:\Users\andre\Desktop\REACTIV CEFAS\Fadrozole\Fadrozole/20201201_Cefas_Test8_Run1/Plate 1/@4/E4_01.tif "/>
    <s v=" 27145.5178 "/>
    <s v=" 36.4135 "/>
    <x v="0"/>
    <n v="988465"/>
    <m/>
    <m/>
  </r>
  <r>
    <x v="8"/>
    <x v="5"/>
    <s v="C:\Users\andre\Desktop\REACTIV CEFAS\Fadrozole\Fadrozole/20201201_Cefas_Test8_Run1/Plate 1/@4/E4_02.tif "/>
    <s v=" 23446.8058 "/>
    <s v=" 35.8616 "/>
    <x v="0"/>
    <n v="840841"/>
    <m/>
    <m/>
  </r>
  <r>
    <x v="8"/>
    <x v="5"/>
    <s v="C:\Users\andre\Desktop\REACTIV CEFAS\Fadrozole\Fadrozole/20201201_Cefas_Test8_Run1/Plate 1/@4/E4_03.tif "/>
    <s v=" 16157.5313 "/>
    <s v=" 35.2383 "/>
    <x v="0"/>
    <n v="569364"/>
    <m/>
    <m/>
  </r>
  <r>
    <x v="8"/>
    <x v="6"/>
    <s v="C:\Users\andre\Desktop\REACTIV CEFAS\Fadrozole\Fadrozole/20201201_Cefas_Test8_Run1/Plate 1/@4/F4_01.tif "/>
    <s v=" 3006.5554 "/>
    <s v=" 31.7626 "/>
    <x v="0"/>
    <n v="95496"/>
    <m/>
    <m/>
  </r>
  <r>
    <x v="8"/>
    <x v="6"/>
    <s v="C:\Users\andre\Desktop\REACTIV CEFAS\Fadrozole\Fadrozole/20201201_Cefas_Test8_Run1/Plate 1/@4/F4_02.tif "/>
    <s v=" 7419.0539 "/>
    <s v=" 32.2624 "/>
    <x v="0"/>
    <n v="239356"/>
    <m/>
    <m/>
  </r>
  <r>
    <x v="8"/>
    <x v="6"/>
    <s v="C:\Users\andre\Desktop\REACTIV CEFAS\Fadrozole\Fadrozole/20201201_Cefas_Test8_Run1/Plate 1/@4/F4_03.tif "/>
    <s v=" 4758.5768 "/>
    <s v=" 32.4364 "/>
    <x v="0"/>
    <n v="154351"/>
    <m/>
    <m/>
  </r>
  <r>
    <x v="8"/>
    <x v="7"/>
    <s v="C:\Users\andre\Desktop\REACTIV CEFAS\Fadrozole\Fadrozole/20201201_Cefas_Test8_Run1/Plate 1/@4/G4_01.tif "/>
    <s v=" 24095.7026 "/>
    <s v=" 33.991 "/>
    <x v="0"/>
    <n v="819038"/>
    <m/>
    <m/>
  </r>
  <r>
    <x v="8"/>
    <x v="7"/>
    <s v="C:\Users\andre\Desktop\REACTIV CEFAS\Fadrozole\Fadrozole/20201201_Cefas_Test8_Run1/Plate 1/@4/G4_02.tif "/>
    <s v=" 35624.4365 "/>
    <s v=" 37.7747 "/>
    <x v="0"/>
    <n v="1345704"/>
    <m/>
    <m/>
  </r>
  <r>
    <x v="8"/>
    <x v="7"/>
    <s v="C:\Users\andre\Desktop\REACTIV CEFAS\Fadrozole\Fadrozole/20201201_Cefas_Test8_Run1/Plate 1/@4/G4_03.tif "/>
    <s v=" 23143.9873 "/>
    <s v=" 35.3486 "/>
    <x v="0"/>
    <n v="818108"/>
    <m/>
    <m/>
  </r>
  <r>
    <x v="8"/>
    <x v="8"/>
    <s v="C:\Users\andre\Desktop\REACTIV CEFAS\Fadrozole\Fadrozole/20201201_Cefas_Test8_Run1/Plate 1/@4/H4_01.tif "/>
    <s v=" 778.6762 "/>
    <s v=" 31.0833 "/>
    <x v="0"/>
    <n v="24204"/>
    <m/>
    <m/>
  </r>
  <r>
    <x v="8"/>
    <x v="8"/>
    <s v="C:\Users\andre\Desktop\REACTIV CEFAS\Fadrozole\Fadrozole/20201201_Cefas_Test8_Run1/Plate 1/@4/H4_02- exclu.tif"/>
    <m/>
    <m/>
    <x v="1"/>
    <m/>
    <m/>
    <m/>
  </r>
  <r>
    <x v="8"/>
    <x v="8"/>
    <s v="C:\Users\andre\Desktop\REACTIV CEFAS\Fadrozole\Fadrozole/20201201_Cefas_Test8_Run1/Plate 1/@4/H4_03.tif "/>
    <s v=" 4023.1604 "/>
    <s v=" 31.1613 "/>
    <x v="0"/>
    <n v="125367"/>
    <m/>
    <m/>
  </r>
  <r>
    <x v="0"/>
    <x v="0"/>
    <s v=" "/>
    <m/>
    <m/>
    <x v="1"/>
    <m/>
    <m/>
    <m/>
  </r>
  <r>
    <x v="0"/>
    <x v="0"/>
    <s v="group "/>
    <s v=" "/>
    <s v=" mean of mean fluo "/>
    <x v="2"/>
    <s v=" mean of total fluo "/>
    <s v=" SD total fluo "/>
    <m/>
  </r>
  <r>
    <x v="8"/>
    <x v="9"/>
    <s v="C:\Users\andre\Desktop\REACTIV CEFAS\Fadrozole\Fadrozole/20201201_Cefas_Test8_Run1/Plate 1/@4/ "/>
    <s v=" "/>
    <s v=" 33.5251 "/>
    <x v="10"/>
    <s v=" 544727.375 "/>
    <s v=" 397328.388 "/>
    <m/>
  </r>
  <r>
    <x v="0"/>
    <x v="0"/>
    <s v=" "/>
    <m/>
    <m/>
    <x v="1"/>
    <m/>
    <m/>
    <m/>
  </r>
  <r>
    <x v="0"/>
    <x v="0"/>
    <s v=" "/>
    <m/>
    <m/>
    <x v="1"/>
    <m/>
    <m/>
    <m/>
  </r>
  <r>
    <x v="0"/>
    <x v="0"/>
    <s v=" "/>
    <m/>
    <m/>
    <x v="1"/>
    <m/>
    <m/>
    <m/>
  </r>
  <r>
    <x v="0"/>
    <x v="0"/>
    <s v=" "/>
    <m/>
    <m/>
    <x v="1"/>
    <m/>
    <m/>
    <m/>
  </r>
  <r>
    <x v="0"/>
    <x v="0"/>
    <s v=" "/>
    <m/>
    <m/>
    <x v="1"/>
    <m/>
    <m/>
    <m/>
  </r>
  <r>
    <x v="0"/>
    <x v="0"/>
    <s v="file name "/>
    <s v=" total area "/>
    <s v=" mean intensity "/>
    <x v="0"/>
    <s v=" total fluorescence"/>
    <m/>
    <m/>
  </r>
  <r>
    <x v="9"/>
    <x v="1"/>
    <s v="C:\Users\andre\Desktop\REACTIV CEFAS\Fadrozole\Fadrozole/20201201_Cefas_Test8_Run1/Plate 1/@5/A5_01.tif "/>
    <s v=" 23079.0976 "/>
    <s v=" 36.5492 "/>
    <x v="0"/>
    <n v="843523"/>
    <m/>
    <m/>
  </r>
  <r>
    <x v="9"/>
    <x v="1"/>
    <s v="C:\Users\andre\Desktop\REACTIV CEFAS\Fadrozole\Fadrozole/20201201_Cefas_Test8_Run1/Plate 1/@5/A5_02- exclu.tif"/>
    <m/>
    <m/>
    <x v="1"/>
    <m/>
    <m/>
    <m/>
  </r>
  <r>
    <x v="9"/>
    <x v="1"/>
    <s v="C:\Users\andre\Desktop\REACTIV CEFAS\Fadrozole\Fadrozole/20201201_Cefas_Test8_Run1/Plate 1/@5/A5_03.tif "/>
    <s v=" 23554.9553 "/>
    <s v=" 36.6538 "/>
    <x v="0"/>
    <n v="863379"/>
    <m/>
    <m/>
  </r>
  <r>
    <x v="9"/>
    <x v="2"/>
    <s v="C:\Users\andre\Desktop\REACTIV CEFAS\Fadrozole\Fadrozole/20201201_Cefas_Test8_Run1/Plate 1/@5/B5_01.tif "/>
    <s v=" 53555.6191 "/>
    <s v=" 38.2645 "/>
    <x v="0"/>
    <n v="2049281"/>
    <m/>
    <m/>
  </r>
  <r>
    <x v="9"/>
    <x v="2"/>
    <s v="C:\Users\andre\Desktop\REACTIV CEFAS\Fadrozole\Fadrozole/20201201_Cefas_Test8_Run1/Plate 1/@5/B5_02.tif "/>
    <s v=" 53490.7294 "/>
    <s v=" 37.4905 "/>
    <x v="0"/>
    <n v="2005394"/>
    <m/>
    <m/>
  </r>
  <r>
    <x v="9"/>
    <x v="2"/>
    <s v="C:\Users\andre\Desktop\REACTIV CEFAS\Fadrozole\Fadrozole/20201201_Cefas_Test8_Run1/Plate 1/@5/B5_03.tif "/>
    <s v=" 67982.7588 "/>
    <s v=" 40.2074 "/>
    <x v="0"/>
    <n v="2733413"/>
    <m/>
    <m/>
  </r>
  <r>
    <x v="9"/>
    <x v="3"/>
    <s v="C:\Users\andre\Desktop\REACTIV CEFAS\Fadrozole\Fadrozole/20201201_Cefas_Test8_Run1/Plate 1/@5/C5_01.tif "/>
    <s v=" 28508.2011 "/>
    <s v=" 37.717 "/>
    <x v="0"/>
    <n v="1075244"/>
    <m/>
    <m/>
  </r>
  <r>
    <x v="9"/>
    <x v="3"/>
    <s v="C:\Users\andre\Desktop\REACTIV CEFAS\Fadrozole\Fadrozole/20201201_Cefas_Test8_Run1/Plate 1/@5/C5_02.tif "/>
    <s v=" 19812.9835 "/>
    <s v=" 37.6299 "/>
    <x v="0"/>
    <n v="745561"/>
    <m/>
    <m/>
  </r>
  <r>
    <x v="9"/>
    <x v="3"/>
    <s v="C:\Users\andre\Desktop\REACTIV CEFAS\Fadrozole\Fadrozole/20201201_Cefas_Test8_Run1/Plate 1/@5/C5_03.tif "/>
    <s v=" 28767.7599 "/>
    <s v=" 40.9383 "/>
    <x v="0"/>
    <n v="1177705"/>
    <m/>
    <m/>
  </r>
  <r>
    <x v="9"/>
    <x v="4"/>
    <s v="C:\Users\andre\Desktop\REACTIV CEFAS\Fadrozole\Fadrozole/20201201_Cefas_Test8_Run1/Plate 1/@5/D5_01.tif "/>
    <s v=" 83988.8808 "/>
    <s v=" 43.6902 "/>
    <x v="0"/>
    <n v="3669490"/>
    <m/>
    <m/>
  </r>
  <r>
    <x v="9"/>
    <x v="4"/>
    <s v="C:\Users\andre\Desktop\REACTIV CEFAS\Fadrozole\Fadrozole/20201201_Cefas_Test8_Run1/Plate 1/@5/D5_02.tif "/>
    <s v=" 80246.9091 "/>
    <s v=" 42.4073 "/>
    <x v="0"/>
    <n v="3403053"/>
    <m/>
    <m/>
  </r>
  <r>
    <x v="9"/>
    <x v="4"/>
    <s v="C:\Users\andre\Desktop\REACTIV CEFAS\Fadrozole\Fadrozole/20201201_Cefas_Test8_Run1/Plate 1/@5/D5_03.tif "/>
    <s v=" 79122.1546 "/>
    <s v=" 43.193 "/>
    <x v="0"/>
    <n v="3417523"/>
    <m/>
    <m/>
  </r>
  <r>
    <x v="9"/>
    <x v="5"/>
    <s v="C:\Users\andre\Desktop\REACTIV CEFAS\Fadrozole\Fadrozole/20201201_Cefas_Test8_Run1/Plate 1/@5/E5_01.tif "/>
    <s v=" 43951.9459 "/>
    <s v=" 34.4405 "/>
    <x v="0"/>
    <n v="1513725"/>
    <m/>
    <m/>
  </r>
  <r>
    <x v="9"/>
    <x v="5"/>
    <s v="C:\Users\andre\Desktop\REACTIV CEFAS\Fadrozole\Fadrozole/20201201_Cefas_Test8_Run1/Plate 1/@5/E5_02- exclu.tif"/>
    <m/>
    <m/>
    <x v="1"/>
    <m/>
    <m/>
    <m/>
  </r>
  <r>
    <x v="9"/>
    <x v="5"/>
    <s v="C:\Users\andre\Desktop\REACTIV CEFAS\Fadrozole\Fadrozole/20201201_Cefas_Test8_Run1/Plate 1/@5/E5_03- exclu.tif"/>
    <m/>
    <m/>
    <x v="1"/>
    <m/>
    <m/>
    <m/>
  </r>
  <r>
    <x v="9"/>
    <x v="6"/>
    <s v="C:\Users\andre\Desktop\REACTIV CEFAS\Fadrozole\Fadrozole/20201201_Cefas_Test8_Run1/Plate 1/@5/F5_01.tif "/>
    <s v=" 50051.5762 "/>
    <s v=" 39.0372 "/>
    <x v="0"/>
    <n v="1953872"/>
    <m/>
    <m/>
  </r>
  <r>
    <x v="9"/>
    <x v="6"/>
    <s v="C:\Users\andre\Desktop\REACTIV CEFAS\Fadrozole\Fadrozole/20201201_Cefas_Test8_Run1/Plate 1/@5/F5_02.tif "/>
    <s v=" 44665.7324 "/>
    <s v=" 41.247 "/>
    <x v="0"/>
    <n v="1842326"/>
    <m/>
    <m/>
  </r>
  <r>
    <x v="9"/>
    <x v="6"/>
    <s v="C:\Users\andre\Desktop\REACTIV CEFAS\Fadrozole\Fadrozole/20201201_Cefas_Test8_Run1/Plate 1/@5/F5_03.tif "/>
    <s v=" 55545.5694 "/>
    <s v=" 41.4202 "/>
    <x v="0"/>
    <n v="2300707"/>
    <m/>
    <m/>
  </r>
  <r>
    <x v="9"/>
    <x v="7"/>
    <s v="C:\Users\andre\Desktop\REACTIV CEFAS\Fadrozole\Fadrozole/20201201_Cefas_Test8_Run1/Plate 1/@5/G5_01.tif "/>
    <s v=" 64651.755 "/>
    <s v=" 40.6591 "/>
    <x v="0"/>
    <n v="2628681"/>
    <m/>
    <m/>
  </r>
  <r>
    <x v="9"/>
    <x v="7"/>
    <s v="C:\Users\andre\Desktop\REACTIV CEFAS\Fadrozole\Fadrozole/20201201_Cefas_Test8_Run1/Plate 1/@5/G5_02.tif "/>
    <s v=" 54291.0355 "/>
    <s v=" 36.7112 "/>
    <x v="0"/>
    <n v="1993087"/>
    <m/>
    <m/>
  </r>
  <r>
    <x v="9"/>
    <x v="7"/>
    <s v="C:\Users\andre\Desktop\REACTIV CEFAS\Fadrozole\Fadrozole/20201201_Cefas_Test8_Run1/Plate 1/@5/G5_03.tif "/>
    <s v=" 61169.342 "/>
    <s v=" 40.8586 "/>
    <x v="0"/>
    <n v="2499291"/>
    <m/>
    <m/>
  </r>
  <r>
    <x v="9"/>
    <x v="8"/>
    <s v="C:\Users\andre\Desktop\REACTIV CEFAS\Fadrozole\Fadrozole/20201201_Cefas_Test8_Run1/Plate 1/@5/H5_01.tif "/>
    <s v=" 66014.4384 "/>
    <s v=" 40.7126 "/>
    <x v="0"/>
    <n v="2687623"/>
    <m/>
    <m/>
  </r>
  <r>
    <x v="9"/>
    <x v="8"/>
    <s v="C:\Users\andre\Desktop\REACTIV CEFAS\Fadrozole\Fadrozole/20201201_Cefas_Test8_Run1/Plate 1/@5/H5_02.tif "/>
    <s v=" 71616.5811 "/>
    <s v=" 41.396 "/>
    <x v="0"/>
    <n v="2964637"/>
    <m/>
    <m/>
  </r>
  <r>
    <x v="9"/>
    <x v="8"/>
    <s v="C:\Users\andre\Desktop\REACTIV CEFAS\Fadrozole\Fadrozole/20201201_Cefas_Test8_Run1/Plate 1/@5/H5_03.tif "/>
    <s v=" 58400.7155 "/>
    <s v=" 41.1056 "/>
    <x v="0"/>
    <n v="2400594"/>
    <m/>
    <m/>
  </r>
  <r>
    <x v="0"/>
    <x v="0"/>
    <s v=" "/>
    <m/>
    <m/>
    <x v="1"/>
    <m/>
    <m/>
    <m/>
  </r>
  <r>
    <x v="0"/>
    <x v="0"/>
    <s v="group "/>
    <s v=" "/>
    <s v=" mean of mean fluo "/>
    <x v="2"/>
    <s v=" mean of total fluo "/>
    <s v=" SD total fluo "/>
    <m/>
  </r>
  <r>
    <x v="9"/>
    <x v="9"/>
    <s v="C:\Users\andre\Desktop\REACTIV CEFAS\Fadrozole\Fadrozole/20201201_Cefas_Test8_Run1/Plate 1/@5/ "/>
    <s v=" "/>
    <s v=" 39.5958 "/>
    <x v="11"/>
    <s v=" 2007622.04 "/>
    <s v=" 883631.368 "/>
    <m/>
  </r>
  <r>
    <x v="0"/>
    <x v="0"/>
    <s v=" "/>
    <m/>
    <m/>
    <x v="1"/>
    <m/>
    <m/>
    <m/>
  </r>
  <r>
    <x v="0"/>
    <x v="0"/>
    <s v=" "/>
    <m/>
    <m/>
    <x v="1"/>
    <m/>
    <m/>
    <m/>
  </r>
  <r>
    <x v="0"/>
    <x v="0"/>
    <s v=" "/>
    <m/>
    <m/>
    <x v="1"/>
    <m/>
    <m/>
    <m/>
  </r>
  <r>
    <x v="0"/>
    <x v="0"/>
    <s v=" "/>
    <m/>
    <m/>
    <x v="1"/>
    <m/>
    <m/>
    <m/>
  </r>
  <r>
    <x v="0"/>
    <x v="0"/>
    <s v=" "/>
    <m/>
    <m/>
    <x v="1"/>
    <m/>
    <m/>
    <m/>
  </r>
  <r>
    <x v="0"/>
    <x v="0"/>
    <s v="file name "/>
    <s v=" total area "/>
    <s v=" mean intensity "/>
    <x v="0"/>
    <s v=" total fluorescence"/>
    <m/>
    <m/>
  </r>
  <r>
    <x v="10"/>
    <x v="1"/>
    <s v="C:\Users\andre\Desktop\REACTIV CEFAS\Fadrozole\Fadrozole/20201201_Cefas_Test8_Run1/Plate 1/@6/A6_01.tif "/>
    <s v=" 57254.3311 "/>
    <s v=" 41.0363 "/>
    <x v="0"/>
    <n v="2349504"/>
    <m/>
    <m/>
  </r>
  <r>
    <x v="10"/>
    <x v="1"/>
    <s v="C:\Users\andre\Desktop\REACTIV CEFAS\Fadrozole\Fadrozole/20201201_Cefas_Test8_Run1/Plate 1/@6/A6_02- exclu.tif"/>
    <m/>
    <m/>
    <x v="1"/>
    <m/>
    <m/>
    <m/>
  </r>
  <r>
    <x v="10"/>
    <x v="1"/>
    <s v="C:\Users\andre\Desktop\REACTIV CEFAS\Fadrozole\Fadrozole/20201201_Cefas_Test8_Run1/Plate 1/@6/A6_03.tif "/>
    <s v=" 46980.1311 "/>
    <s v=" 40.6285 "/>
    <x v="0"/>
    <n v="1908730"/>
    <m/>
    <m/>
  </r>
  <r>
    <x v="10"/>
    <x v="2"/>
    <s v="C:\Users\andre\Desktop\REACTIV CEFAS\Fadrozole\Fadrozole/20201201_Cefas_Test8_Run1/Plate 1/@6/B6_01.tif "/>
    <s v=" 56454.025 "/>
    <s v=" 44.2326 "/>
    <x v="0"/>
    <n v="2497106"/>
    <m/>
    <m/>
  </r>
  <r>
    <x v="10"/>
    <x v="2"/>
    <s v="C:\Users\andre\Desktop\REACTIV CEFAS\Fadrozole\Fadrozole/20201201_Cefas_Test8_Run1/Plate 1/@6/B6_02.tif "/>
    <s v=" 50376.0246 "/>
    <s v=" 41.2941 "/>
    <x v="0"/>
    <n v="2080233"/>
    <m/>
    <m/>
  </r>
  <r>
    <x v="10"/>
    <x v="2"/>
    <s v="C:\Users\andre\Desktop\REACTIV CEFAS\Fadrozole\Fadrozole/20201201_Cefas_Test8_Run1/Plate 1/@6/B6_03.tif "/>
    <s v=" 64997.8334 "/>
    <s v=" 41.6912 "/>
    <x v="0"/>
    <n v="2709836"/>
    <m/>
    <m/>
  </r>
  <r>
    <x v="10"/>
    <x v="3"/>
    <s v="C:\Users\andre\Desktop\REACTIV CEFAS\Fadrozole\Fadrozole/20201201_Cefas_Test8_Run1/Plate 1/@6/C6_01.tif "/>
    <s v=" 69172.403 "/>
    <s v=" 52.2861 "/>
    <x v="0"/>
    <n v="3616756"/>
    <m/>
    <m/>
  </r>
  <r>
    <x v="10"/>
    <x v="3"/>
    <s v="C:\Users\andre\Desktop\REACTIV CEFAS\Fadrozole\Fadrozole/20201201_Cefas_Test8_Run1/Plate 1/@6/C6_02.tif "/>
    <s v=" 63245.8119 "/>
    <s v=" 53.6837 "/>
    <x v="0"/>
    <n v="3395266"/>
    <m/>
    <m/>
  </r>
  <r>
    <x v="10"/>
    <x v="3"/>
    <s v="C:\Users\andre\Desktop\REACTIV CEFAS\Fadrozole\Fadrozole/20201201_Cefas_Test8_Run1/Plate 1/@6/C6_03.tif "/>
    <s v=" 65105.9828 "/>
    <s v=" 50.813 "/>
    <x v="0"/>
    <n v="3308227"/>
    <m/>
    <m/>
  </r>
  <r>
    <x v="10"/>
    <x v="4"/>
    <s v="C:\Users\andre\Desktop\REACTIV CEFAS\Fadrozole\Fadrozole/20201201_Cefas_Test8_Run1/Plate 1/@6/D6_01.tif "/>
    <s v=" 77716.2114 "/>
    <s v=" 51.5853 "/>
    <x v="0"/>
    <n v="4009014"/>
    <m/>
    <m/>
  </r>
  <r>
    <x v="10"/>
    <x v="4"/>
    <s v="C:\Users\andre\Desktop\REACTIV CEFAS\Fadrozole\Fadrozole/20201201_Cefas_Test8_Run1/Plate 1/@6/D6_02.tif "/>
    <s v=" 77045.6847 "/>
    <s v=" 46.3857 "/>
    <x v="0"/>
    <n v="3573821"/>
    <m/>
    <m/>
  </r>
  <r>
    <x v="10"/>
    <x v="4"/>
    <s v="C:\Users\andre\Desktop\REACTIV CEFAS\Fadrozole\Fadrozole/20201201_Cefas_Test8_Run1/Plate 1/@6/D6_03.tif "/>
    <s v=" 60109.4772 "/>
    <s v=" 51.6463 "/>
    <x v="0"/>
    <n v="3104431"/>
    <m/>
    <m/>
  </r>
  <r>
    <x v="10"/>
    <x v="5"/>
    <s v="C:\Users\andre\Desktop\REACTIV CEFAS\Fadrozole\Fadrozole/20201201_Cefas_Test8_Run1/Plate 1/@6/E6_01.tif "/>
    <s v=" 55696.9787 "/>
    <s v=" 45.8804 "/>
    <x v="0"/>
    <n v="2555399"/>
    <m/>
    <m/>
  </r>
  <r>
    <x v="10"/>
    <x v="5"/>
    <s v="C:\Users\andre\Desktop\REACTIV CEFAS\Fadrozole\Fadrozole/20201201_Cefas_Test8_Run1/Plate 1/@6/E6_02.tif "/>
    <s v=" 52949.9821 "/>
    <s v=" 49.7177 "/>
    <x v="0"/>
    <n v="2632553"/>
    <m/>
    <m/>
  </r>
  <r>
    <x v="10"/>
    <x v="5"/>
    <s v="C:\Users\andre\Desktop\REACTIV CEFAS\Fadrozole\Fadrozole/20201201_Cefas_Test8_Run1/Plate 1/@6/E6_03.tif "/>
    <s v=" 64543.6056 "/>
    <s v=" 46.8271 "/>
    <x v="0"/>
    <n v="3022388"/>
    <m/>
    <m/>
  </r>
  <r>
    <x v="10"/>
    <x v="6"/>
    <s v="C:\Users\andre\Desktop\REACTIV CEFAS\Fadrozole\Fadrozole/20201201_Cefas_Test8_Run1/Plate 1/@6/F6_01.tif "/>
    <s v=" 84745.9272 "/>
    <s v=" 46.7483 "/>
    <x v="0"/>
    <n v="3961732"/>
    <m/>
    <m/>
  </r>
  <r>
    <x v="10"/>
    <x v="6"/>
    <s v="C:\Users\andre\Desktop\REACTIV CEFAS\Fadrozole\Fadrozole/20201201_Cefas_Test8_Run1/Plate 1/@6/F6_02.tif "/>
    <s v=" 86822.397 "/>
    <s v=" 49.0252 "/>
    <x v="0"/>
    <n v="4256482"/>
    <m/>
    <m/>
  </r>
  <r>
    <x v="10"/>
    <x v="6"/>
    <s v="C:\Users\andre\Desktop\REACTIV CEFAS\Fadrozole\Fadrozole/20201201_Cefas_Test8_Run1/Plate 1/@6/F6_03.tif "/>
    <s v=" 87536.1836 "/>
    <s v=" 46.8411 "/>
    <x v="0"/>
    <n v="4100293"/>
    <m/>
    <m/>
  </r>
  <r>
    <x v="10"/>
    <x v="7"/>
    <s v="C:\Users\andre\Desktop\REACTIV CEFAS\Fadrozole\Fadrozole/20201201_Cefas_Test8_Run1/Plate 1/@6/G6_01.tif "/>
    <s v=" 69064.2535 "/>
    <s v=" 46.5205 "/>
    <x v="0"/>
    <n v="3212905"/>
    <m/>
    <m/>
  </r>
  <r>
    <x v="10"/>
    <x v="7"/>
    <s v="C:\Users\andre\Desktop\REACTIV CEFAS\Fadrozole\Fadrozole/20201201_Cefas_Test8_Run1/Plate 1/@6/G6_02.tif "/>
    <s v=" 76418.4177 "/>
    <s v=" 50.7305 "/>
    <x v="0"/>
    <n v="3876748"/>
    <m/>
    <m/>
  </r>
  <r>
    <x v="10"/>
    <x v="7"/>
    <s v="C:\Users\andre\Desktop\REACTIV CEFAS\Fadrozole\Fadrozole/20201201_Cefas_Test8_Run1/Plate 1/@6/G6_03.tif "/>
    <s v=" 79835.9411 "/>
    <s v=" 51.8309 "/>
    <x v="0"/>
    <n v="4137972"/>
    <m/>
    <m/>
  </r>
  <r>
    <x v="10"/>
    <x v="8"/>
    <s v="C:\Users\andre\Desktop\REACTIV CEFAS\Fadrozole\Fadrozole/20201201_Cefas_Test8_Run1/Plate 1/@6/H6_01- exclu.tif"/>
    <m/>
    <m/>
    <x v="1"/>
    <m/>
    <m/>
    <m/>
  </r>
  <r>
    <x v="10"/>
    <x v="8"/>
    <s v="C:\Users\andre\Desktop\REACTIV CEFAS\Fadrozole\Fadrozole/20201201_Cefas_Test8_Run1/Plate 1/@6/H6_02- exclu.tif"/>
    <m/>
    <m/>
    <x v="1"/>
    <m/>
    <m/>
    <m/>
  </r>
  <r>
    <x v="10"/>
    <x v="8"/>
    <s v="C:\Users\andre\Desktop\REACTIV CEFAS\Fadrozole\Fadrozole/20201201_Cefas_Test8_Run1/Plate 1/@6/H6_03- exclu.tif"/>
    <m/>
    <m/>
    <x v="1"/>
    <m/>
    <m/>
    <m/>
  </r>
  <r>
    <x v="0"/>
    <x v="0"/>
    <s v=" "/>
    <m/>
    <m/>
    <x v="1"/>
    <m/>
    <m/>
    <m/>
  </r>
  <r>
    <x v="0"/>
    <x v="0"/>
    <s v="group "/>
    <s v=" "/>
    <s v=" mean of mean fluo "/>
    <x v="2"/>
    <s v=" mean of total fluo "/>
    <s v=" SD total fluo "/>
    <m/>
  </r>
  <r>
    <x v="10"/>
    <x v="9"/>
    <s v="C:\Users\andre\Desktop\REACTIV CEFAS\Fadrozole\Fadrozole/20201201_Cefas_Test8_Run1/Plate 1/@6/ "/>
    <s v=" "/>
    <s v=" 44.1984 "/>
    <x v="12"/>
    <s v=" 2787551.75 "/>
    <s v=" 1268150.55 "/>
    <m/>
  </r>
  <r>
    <x v="0"/>
    <x v="0"/>
    <s v=" "/>
    <m/>
    <m/>
    <x v="1"/>
    <m/>
    <m/>
    <m/>
  </r>
  <r>
    <x v="0"/>
    <x v="0"/>
    <s v=" "/>
    <m/>
    <m/>
    <x v="1"/>
    <m/>
    <m/>
    <m/>
  </r>
  <r>
    <x v="0"/>
    <x v="0"/>
    <s v=" "/>
    <m/>
    <m/>
    <x v="1"/>
    <m/>
    <m/>
    <m/>
  </r>
  <r>
    <x v="0"/>
    <x v="0"/>
    <s v=" "/>
    <m/>
    <m/>
    <x v="1"/>
    <m/>
    <m/>
    <m/>
  </r>
  <r>
    <x v="0"/>
    <x v="0"/>
    <s v=" "/>
    <m/>
    <m/>
    <x v="1"/>
    <m/>
    <m/>
    <m/>
  </r>
  <r>
    <x v="0"/>
    <x v="0"/>
    <s v="file name "/>
    <s v=" total area "/>
    <s v=" mean intensity "/>
    <x v="0"/>
    <s v=" total fluorescence"/>
    <m/>
    <m/>
  </r>
  <r>
    <x v="11"/>
    <x v="1"/>
    <s v="C:\Users\andre\Desktop\REACTIV CEFAS\Fadrozole\Fadrozole/20201201_Cefas_Test8_Run1/Plate 1/@7/A7_01.tif "/>
    <s v=" 89893.8421 "/>
    <s v=" 50.4981 "/>
    <x v="0"/>
    <n v="4539466"/>
    <m/>
    <m/>
  </r>
  <r>
    <x v="11"/>
    <x v="1"/>
    <s v="C:\Users\andre\Desktop\REACTIV CEFAS\Fadrozole\Fadrozole/20201201_Cefas_Test8_Run1/Plate 1/@7/A7_02.tif "/>
    <s v=" 91472.8244 "/>
    <s v=" 51.5784 "/>
    <x v="0"/>
    <n v="4718021"/>
    <m/>
    <m/>
  </r>
  <r>
    <x v="11"/>
    <x v="1"/>
    <s v="C:\Users\andre\Desktop\REACTIV CEFAS\Fadrozole\Fadrozole/20201201_Cefas_Test8_Run1/Plate 1/@7/A7_03.tif "/>
    <s v=" 59568.7298 "/>
    <s v=" 54.6801 "/>
    <x v="0"/>
    <n v="3257224"/>
    <m/>
    <m/>
  </r>
  <r>
    <x v="11"/>
    <x v="2"/>
    <s v="C:\Users\andre\Desktop\REACTIV CEFAS\Fadrozole\Fadrozole/20201201_Cefas_Test8_Run1/Plate 1/@7/B7_01.tif "/>
    <s v=" 66641.7054 "/>
    <s v=" 49.9818 "/>
    <x v="0"/>
    <n v="3330874"/>
    <m/>
    <m/>
  </r>
  <r>
    <x v="11"/>
    <x v="2"/>
    <s v="C:\Users\andre\Desktop\REACTIV CEFAS\Fadrozole\Fadrozole/20201201_Cefas_Test8_Run1/Plate 1/@7/B7_02.tif "/>
    <s v=" 65798.1395 "/>
    <s v=" 50.9471 "/>
    <x v="0"/>
    <n v="3352223"/>
    <m/>
    <m/>
  </r>
  <r>
    <x v="11"/>
    <x v="2"/>
    <s v="C:\Users\andre\Desktop\REACTIV CEFAS\Fadrozole\Fadrozole/20201201_Cefas_Test8_Run1/Plate 1/@7/B7_03.tif "/>
    <s v=" 70578.3462 "/>
    <s v=" 54.19 "/>
    <x v="0"/>
    <n v="3824641"/>
    <m/>
    <m/>
  </r>
  <r>
    <x v="11"/>
    <x v="3"/>
    <s v="C:\Users\andre\Desktop\REACTIV CEFAS\Fadrozole\Fadrozole/20201201_Cefas_Test8_Run1/Plate 1/@7/C7_01.tif "/>
    <s v=" 68977.734 "/>
    <s v=" 53.8272 "/>
    <x v="0"/>
    <n v="3712880"/>
    <m/>
    <m/>
  </r>
  <r>
    <x v="11"/>
    <x v="3"/>
    <s v="C:\Users\andre\Desktop\REACTIV CEFAS\Fadrozole\Fadrozole/20201201_Cefas_Test8_Run1/Plate 1/@7/C7_02- exclu.tif"/>
    <m/>
    <m/>
    <x v="1"/>
    <m/>
    <m/>
    <m/>
  </r>
  <r>
    <x v="11"/>
    <x v="3"/>
    <s v="C:\Users\andre\Desktop\REACTIV CEFAS\Fadrozole\Fadrozole/20201201_Cefas_Test8_Run1/Plate 1/@7/C7_03.tif "/>
    <s v=" 71941.0295 "/>
    <s v=" 56.5658 "/>
    <x v="0"/>
    <n v="4069405"/>
    <m/>
    <m/>
  </r>
  <r>
    <x v="11"/>
    <x v="4"/>
    <s v="C:\Users\andre\Desktop\REACTIV CEFAS\Fadrozole\Fadrozole/20201201_Cefas_Test8_Run1/Plate 1/@7/D7_01.tif "/>
    <s v=" 71551.6914 "/>
    <s v=" 50.8458 "/>
    <x v="0"/>
    <n v="3638105"/>
    <m/>
    <m/>
  </r>
  <r>
    <x v="11"/>
    <x v="4"/>
    <s v="C:\Users\andre\Desktop\REACTIV CEFAS\Fadrozole\Fadrozole/20201201_Cefas_Test8_Run1/Plate 1/@7/D7_02.tif "/>
    <s v=" 72265.478 "/>
    <s v=" 52.8578 "/>
    <x v="0"/>
    <n v="3819796"/>
    <m/>
    <m/>
  </r>
  <r>
    <x v="11"/>
    <x v="4"/>
    <s v="C:\Users\andre\Desktop\REACTIV CEFAS\Fadrozole\Fadrozole/20201201_Cefas_Test8_Run1/Plate 1/@7/D7_03.tif "/>
    <s v=" 69691.5205 "/>
    <s v=" 54.7616 "/>
    <x v="0"/>
    <n v="3816422"/>
    <m/>
    <m/>
  </r>
  <r>
    <x v="11"/>
    <x v="5"/>
    <s v="C:\Users\andre\Desktop\REACTIV CEFAS\Fadrozole\Fadrozole/20201201_Cefas_Test8_Run1/Plate 1/@7/E7_01.tif "/>
    <s v=" 80766.0265 "/>
    <s v=" 60.7469 "/>
    <x v="0"/>
    <n v="4906287"/>
    <m/>
    <m/>
  </r>
  <r>
    <x v="11"/>
    <x v="5"/>
    <s v="C:\Users\andre\Desktop\REACTIV CEFAS\Fadrozole\Fadrozole/20201201_Cefas_Test8_Run1/Plate 1/@7/E7_02.tif "/>
    <s v=" 80852.5461 "/>
    <s v=" 63.0516 "/>
    <x v="0"/>
    <n v="5097885"/>
    <m/>
    <m/>
  </r>
  <r>
    <x v="11"/>
    <x v="5"/>
    <s v="C:\Users\andre\Desktop\REACTIV CEFAS\Fadrozole\Fadrozole/20201201_Cefas_Test8_Run1/Plate 1/@7/E7_03.tif "/>
    <s v=" 79684.5318 "/>
    <s v=" 61.256 "/>
    <x v="0"/>
    <n v="4881153"/>
    <m/>
    <m/>
  </r>
  <r>
    <x v="11"/>
    <x v="6"/>
    <s v="C:\Users\andre\Desktop\REACTIV CEFAS\Fadrozole\Fadrozole/20201201_Cefas_Test8_Run1/Plate 1/@7/F7_01.tif "/>
    <s v=" 88185.0804 "/>
    <s v=" 58.7508 "/>
    <x v="0"/>
    <n v="5180944"/>
    <m/>
    <m/>
  </r>
  <r>
    <x v="11"/>
    <x v="6"/>
    <s v="C:\Users\andre\Desktop\REACTIV CEFAS\Fadrozole\Fadrozole/20201201_Cefas_Test8_Run1/Plate 1/@7/F7_02.tif "/>
    <s v=" 81804.2615 "/>
    <s v=" 58.4109 "/>
    <x v="0"/>
    <n v="4778260"/>
    <m/>
    <m/>
  </r>
  <r>
    <x v="11"/>
    <x v="6"/>
    <s v="C:\Users\andre\Desktop\REACTIV CEFAS\Fadrozole\Fadrozole/20201201_Cefas_Test8_Run1/Plate 1/@7/F7_03.tif "/>
    <s v=" 85221.7848 "/>
    <s v=" 56.2566 "/>
    <x v="0"/>
    <n v="4794288"/>
    <m/>
    <m/>
  </r>
  <r>
    <x v="11"/>
    <x v="7"/>
    <s v="C:\Users\andre\Desktop\REACTIV CEFAS\Fadrozole\Fadrozole/20201201_Cefas_Test8_Run1/Plate 1/@7/G7_01.tif "/>
    <s v=" 71876.1399 "/>
    <s v=" 54.0674 "/>
    <x v="0"/>
    <n v="3886157"/>
    <m/>
    <m/>
  </r>
  <r>
    <x v="11"/>
    <x v="7"/>
    <s v="C:\Users\andre\Desktop\REACTIV CEFAS\Fadrozole\Fadrozole/20201201_Cefas_Test8_Run1/Plate 1/@7/G7_02.tif "/>
    <s v=" 77088.9445 "/>
    <s v=" 56.8123 "/>
    <x v="0"/>
    <n v="4379599"/>
    <m/>
    <m/>
  </r>
  <r>
    <x v="11"/>
    <x v="7"/>
    <s v="C:\Users\andre\Desktop\REACTIV CEFAS\Fadrozole\Fadrozole/20201201_Cefas_Test8_Run1/Plate 1/@7/G7_03.tif "/>
    <s v=" 75509.9621 "/>
    <s v=" 54.4658 "/>
    <x v="0"/>
    <n v="4112708"/>
    <m/>
    <m/>
  </r>
  <r>
    <x v="11"/>
    <x v="8"/>
    <s v="C:\Users\andre\Desktop\REACTIV CEFAS\Fadrozole\Fadrozole/20201201_Cefas_Test8_Run1/Plate 1/@7/H7_01.tif "/>
    <s v=" 40534.4225 "/>
    <s v=" 47.3991 "/>
    <x v="0"/>
    <n v="1921297"/>
    <m/>
    <m/>
  </r>
  <r>
    <x v="11"/>
    <x v="8"/>
    <s v="C:\Users\andre\Desktop\REACTIV CEFAS\Fadrozole\Fadrozole/20201201_Cefas_Test8_Run1/Plate 1/@7/H7_02.tif "/>
    <s v=" 40620.9421 "/>
    <s v=" 47.7077 "/>
    <x v="0"/>
    <n v="1937930"/>
    <m/>
    <m/>
  </r>
  <r>
    <x v="11"/>
    <x v="8"/>
    <s v="C:\Users\andre\Desktop\REACTIV CEFAS\Fadrozole\Fadrozole/20201201_Cefas_Test8_Run1/Plate 1/@7/H7_03.tif "/>
    <s v=" 44882.0314 "/>
    <s v=" 52.1137 "/>
    <x v="0"/>
    <n v="2338970"/>
    <m/>
    <m/>
  </r>
  <r>
    <x v="0"/>
    <x v="0"/>
    <s v=" "/>
    <m/>
    <m/>
    <x v="1"/>
    <m/>
    <m/>
    <m/>
  </r>
  <r>
    <x v="0"/>
    <x v="0"/>
    <s v="group "/>
    <s v=" "/>
    <s v=" mean of mean fluo "/>
    <x v="2"/>
    <s v=" mean of total fluo "/>
    <s v=" SD total fluo "/>
    <m/>
  </r>
  <r>
    <x v="11"/>
    <x v="9"/>
    <s v="C:\Users\andre\Desktop\REACTIV CEFAS\Fadrozole\Fadrozole/20201201_Cefas_Test8_Run1/Plate 1/@7/ "/>
    <s v=" "/>
    <s v=" 54.3885 "/>
    <x v="13"/>
    <s v=" 3901850.92 "/>
    <s v=" 924744.452 "/>
    <m/>
  </r>
  <r>
    <x v="0"/>
    <x v="0"/>
    <s v=" "/>
    <m/>
    <m/>
    <x v="1"/>
    <m/>
    <m/>
    <m/>
  </r>
  <r>
    <x v="0"/>
    <x v="0"/>
    <s v=" "/>
    <m/>
    <m/>
    <x v="1"/>
    <m/>
    <m/>
    <m/>
  </r>
  <r>
    <x v="0"/>
    <x v="0"/>
    <s v=" "/>
    <m/>
    <m/>
    <x v="1"/>
    <m/>
    <m/>
    <m/>
  </r>
  <r>
    <x v="0"/>
    <x v="0"/>
    <s v=" "/>
    <m/>
    <m/>
    <x v="1"/>
    <m/>
    <m/>
    <m/>
  </r>
  <r>
    <x v="0"/>
    <x v="0"/>
    <s v=" "/>
    <m/>
    <m/>
    <x v="1"/>
    <m/>
    <m/>
    <m/>
  </r>
  <r>
    <x v="0"/>
    <x v="0"/>
    <s v="file name "/>
    <s v=" total area "/>
    <s v=" mean intensity "/>
    <x v="0"/>
    <s v=" total fluorescence"/>
    <m/>
    <m/>
  </r>
  <r>
    <x v="12"/>
    <x v="1"/>
    <s v="C:\Users\andre\Desktop\REACTIV CEFAS\Fadrozole\Fadrozole/20201201_Cefas_Test8_Run1/Plate 5/@10/A4_01- exclu.tif"/>
    <m/>
    <m/>
    <x v="1"/>
    <m/>
    <m/>
    <m/>
  </r>
  <r>
    <x v="12"/>
    <x v="1"/>
    <s v="C:\Users\andre\Desktop\REACTIV CEFAS\Fadrozole\Fadrozole/20201201_Cefas_Test8_Run1/Plate 5/@10/A4_02- exclu.tif"/>
    <m/>
    <m/>
    <x v="1"/>
    <m/>
    <m/>
    <m/>
  </r>
  <r>
    <x v="12"/>
    <x v="1"/>
    <s v="C:\Users\andre\Desktop\REACTIV CEFAS\Fadrozole\Fadrozole/20201201_Cefas_Test8_Run1/Plate 5/@10/A4_03- exclu.tif"/>
    <m/>
    <m/>
    <x v="1"/>
    <m/>
    <m/>
    <m/>
  </r>
  <r>
    <x v="12"/>
    <x v="2"/>
    <s v="C:\Users\andre\Desktop\REACTIV CEFAS\Fadrozole\Fadrozole/20201201_Cefas_Test8_Run1/Plate 5/@10/B4_01.tif "/>
    <s v=" 3179.5945 "/>
    <s v=" 37.1293 "/>
    <x v="0"/>
    <n v="118056"/>
    <m/>
    <m/>
  </r>
  <r>
    <x v="12"/>
    <x v="2"/>
    <s v="C:\Users\andre\Desktop\REACTIV CEFAS\Fadrozole\Fadrozole/20201201_Cefas_Test8_Run1/Plate 5/@10/B4_02.tif "/>
    <s v=" 43.2598 "/>
    <n v="30"/>
    <x v="0"/>
    <n v="1298"/>
    <m/>
    <m/>
  </r>
  <r>
    <x v="12"/>
    <x v="2"/>
    <s v="C:\Users\andre\Desktop\REACTIV CEFAS\Fadrozole\Fadrozole/20201201_Cefas_Test8_Run1/Plate 5/@10/B4_03.tif "/>
    <s v=" 5731.9221 "/>
    <s v=" 36.5472 "/>
    <x v="0"/>
    <n v="209486"/>
    <m/>
    <m/>
  </r>
  <r>
    <x v="12"/>
    <x v="3"/>
    <s v="C:\Users\andre\Desktop\REACTIV CEFAS\Fadrozole\Fadrozole/20201201_Cefas_Test8_Run1/Plate 5/@10/C4_01.tif "/>
    <s v=" 5753.552 "/>
    <s v=" 38.5414 "/>
    <x v="0"/>
    <n v="221750"/>
    <m/>
    <m/>
  </r>
  <r>
    <x v="12"/>
    <x v="3"/>
    <s v="C:\Users\andre\Desktop\REACTIV CEFAS\Fadrozole\Fadrozole/20201201_Cefas_Test8_Run1/Plate 5/@10/C4_02.tif "/>
    <s v=" 6445.7086 "/>
    <s v=" 38.2987 "/>
    <x v="0"/>
    <n v="246862"/>
    <m/>
    <m/>
  </r>
  <r>
    <x v="12"/>
    <x v="3"/>
    <s v="C:\Users\andre\Desktop\REACTIV CEFAS\Fadrozole\Fadrozole/20201201_Cefas_Test8_Run1/Plate 5/@10/C4_03.tif "/>
    <s v=" 4131.3099 "/>
    <s v=" 36.9581 "/>
    <x v="0"/>
    <n v="152685"/>
    <m/>
    <m/>
  </r>
  <r>
    <x v="12"/>
    <x v="4"/>
    <s v="C:\Users\andre\Desktop\REACTIV CEFAS\Fadrozole\Fadrozole/20201201_Cefas_Test8_Run1/Plate 5/@10/D4_01.tif "/>
    <s v=" 2011.5802 "/>
    <s v=" 34.2473 "/>
    <x v="0"/>
    <n v="68891"/>
    <m/>
    <m/>
  </r>
  <r>
    <x v="12"/>
    <x v="4"/>
    <s v="C:\Users\andre\Desktop\REACTIV CEFAS\Fadrozole\Fadrozole/20201201_Cefas_Test8_Run1/Plate 5/@10/D4_02.tif "/>
    <s v=" 3179.5945 "/>
    <s v=" 35.3061 "/>
    <x v="0"/>
    <n v="112259"/>
    <m/>
    <m/>
  </r>
  <r>
    <x v="12"/>
    <x v="4"/>
    <s v="C:\Users\andre\Desktop\REACTIV CEFAS\Fadrozole\Fadrozole/20201201_Cefas_Test8_Run1/Plate 5/@10/D4_03.tif "/>
    <s v=" 1925.0606 "/>
    <s v=" 33.7865 "/>
    <x v="0"/>
    <n v="65041"/>
    <m/>
    <m/>
  </r>
  <r>
    <x v="12"/>
    <x v="5"/>
    <s v="C:\Users\andre\Desktop\REACTIV CEFAS\Fadrozole\Fadrozole/20201201_Cefas_Test8_Run1/Plate 5/@10/E4_01.tif "/>
    <s v=" 4347.6088 "/>
    <s v=" 36.3284 "/>
    <x v="0"/>
    <n v="157941"/>
    <m/>
    <m/>
  </r>
  <r>
    <x v="12"/>
    <x v="5"/>
    <s v="C:\Users\andre\Desktop\REACTIV CEFAS\Fadrozole\Fadrozole/20201201_Cefas_Test8_Run1/Plate 5/@10/E4_02.tif "/>
    <s v=" 6251.0395 "/>
    <s v=" 38.0623 "/>
    <x v="0"/>
    <n v="237929"/>
    <m/>
    <m/>
  </r>
  <r>
    <x v="12"/>
    <x v="5"/>
    <s v="C:\Users\andre\Desktop\REACTIV CEFAS\Fadrozole\Fadrozole/20201201_Cefas_Test8_Run1/Plate 5/@10/E4_03.tif "/>
    <s v=" 7678.6126 "/>
    <s v=" 36.2451 "/>
    <x v="0"/>
    <n v="278312"/>
    <m/>
    <m/>
  </r>
  <r>
    <x v="12"/>
    <x v="6"/>
    <s v="C:\Users\andre\Desktop\REACTIV CEFAS\Fadrozole\Fadrozole/20201201_Cefas_Test8_Run1/Plate 5/@10/F4_01.tif "/>
    <s v=" 237.9288 "/>
    <s v=" 31.2727 "/>
    <x v="0"/>
    <n v="7441"/>
    <m/>
    <m/>
  </r>
  <r>
    <x v="12"/>
    <x v="6"/>
    <s v="C:\Users\andre\Desktop\REACTIV CEFAS\Fadrozole\Fadrozole/20201201_Cefas_Test8_Run1/Plate 5/@10/F4_02.tif "/>
    <s v=" 454.2278 "/>
    <n v="34"/>
    <x v="0"/>
    <n v="15444"/>
    <m/>
    <m/>
  </r>
  <r>
    <x v="12"/>
    <x v="6"/>
    <s v="C:\Users\andre\Desktop\REACTIV CEFAS\Fadrozole\Fadrozole/20201201_Cefas_Test8_Run1/Plate 5/@10/F4_03.tif "/>
    <s v=" 2898.4059 "/>
    <s v=" 34.8731 "/>
    <x v="0"/>
    <n v="101076"/>
    <m/>
    <m/>
  </r>
  <r>
    <x v="12"/>
    <x v="7"/>
    <s v="C:\Users\andre\Desktop\REACTIV CEFAS\Fadrozole\Fadrozole/20201201_Cefas_Test8_Run1/Plate 5/@10/G4_01.tif "/>
    <s v=" 432.5979 "/>
    <s v=" 32.4 "/>
    <x v="0"/>
    <n v="14016"/>
    <m/>
    <m/>
  </r>
  <r>
    <x v="12"/>
    <x v="7"/>
    <s v="C:\Users\andre\Desktop\REACTIV CEFAS\Fadrozole\Fadrozole/20201201_Cefas_Test8_Run1/Plate 5/@10/G4_02.tif "/>
    <s v=" 259.5587 "/>
    <s v=" 31.9167 "/>
    <x v="0"/>
    <n v="8284"/>
    <m/>
    <m/>
  </r>
  <r>
    <x v="12"/>
    <x v="7"/>
    <s v="C:\Users\andre\Desktop\REACTIV CEFAS\Fadrozole\Fadrozole/20201201_Cefas_Test8_Run1/Plate 5/@10/G4_03.tif "/>
    <s v=" 8478.9187 "/>
    <s v=" 38.5893 "/>
    <x v="0"/>
    <n v="327195"/>
    <m/>
    <m/>
  </r>
  <r>
    <x v="12"/>
    <x v="8"/>
    <s v="C:\Users\andre\Desktop\REACTIV CEFAS\Fadrozole\Fadrozole/20201201_Cefas_Test8_Run1/Plate 5/@10/H4_01.tif "/>
    <s v=" 173.0392 "/>
    <s v=" 30.25 "/>
    <x v="0"/>
    <n v="5234"/>
    <m/>
    <m/>
  </r>
  <r>
    <x v="12"/>
    <x v="8"/>
    <s v="C:\Users\andre\Desktop\REACTIV CEFAS\Fadrozole\Fadrozole/20201201_Cefas_Test8_Run1/Plate 5/@10/H4_02.tif "/>
    <s v=" 10339.0896 "/>
    <s v=" 41.295 "/>
    <x v="0"/>
    <n v="426952"/>
    <m/>
    <m/>
  </r>
  <r>
    <x v="12"/>
    <x v="8"/>
    <s v="C:\Users\andre\Desktop\REACTIV CEFAS\Fadrozole\Fadrozole/20201201_Cefas_Test8_Run1/Plate 5/@10/H4_03- exclu.tif"/>
    <m/>
    <m/>
    <x v="1"/>
    <m/>
    <m/>
    <m/>
  </r>
  <r>
    <x v="0"/>
    <x v="0"/>
    <s v=" "/>
    <m/>
    <m/>
    <x v="1"/>
    <m/>
    <m/>
    <m/>
  </r>
  <r>
    <x v="0"/>
    <x v="0"/>
    <s v="group "/>
    <s v=" "/>
    <s v=" mean of mean fluo "/>
    <x v="2"/>
    <s v=" mean of total fluo "/>
    <s v=" SD total fluo "/>
    <m/>
  </r>
  <r>
    <x v="12"/>
    <x v="9"/>
    <s v="C:\Users\andre\Desktop\REACTIV CEFAS\Fadrozole\Fadrozole/20201201_Cefas_Test8_Run1/Plate 5/@10/ "/>
    <s v=" "/>
    <s v=" 34.033 "/>
    <x v="14"/>
    <s v=" 136210.583 "/>
    <s v=" 122942.717 "/>
    <m/>
  </r>
  <r>
    <x v="0"/>
    <x v="0"/>
    <s v=" "/>
    <m/>
    <m/>
    <x v="1"/>
    <m/>
    <m/>
    <m/>
  </r>
  <r>
    <x v="0"/>
    <x v="0"/>
    <s v=" "/>
    <m/>
    <m/>
    <x v="1"/>
    <m/>
    <m/>
    <m/>
  </r>
  <r>
    <x v="0"/>
    <x v="0"/>
    <s v=" "/>
    <m/>
    <m/>
    <x v="1"/>
    <m/>
    <m/>
    <m/>
  </r>
  <r>
    <x v="0"/>
    <x v="0"/>
    <s v=" "/>
    <m/>
    <m/>
    <x v="1"/>
    <m/>
    <m/>
    <m/>
  </r>
  <r>
    <x v="0"/>
    <x v="0"/>
    <s v=" "/>
    <m/>
    <m/>
    <x v="1"/>
    <m/>
    <m/>
    <m/>
  </r>
  <r>
    <x v="0"/>
    <x v="0"/>
    <s v="file name "/>
    <s v=" total area "/>
    <s v=" mean intensity "/>
    <x v="0"/>
    <s v=" total fluorescence"/>
    <m/>
    <m/>
  </r>
  <r>
    <x v="13"/>
    <x v="1"/>
    <s v="C:\Users\andre\Desktop\REACTIV CEFAS\Fadrozole\Fadrozole/20201201_Cefas_Test8_Run1/Plate 5/@11/A5_01.tif "/>
    <s v=" 1557.3524 "/>
    <s v=" 32.1806 "/>
    <x v="0"/>
    <n v="50116"/>
    <m/>
    <m/>
  </r>
  <r>
    <x v="13"/>
    <x v="1"/>
    <s v="C:\Users\andre\Desktop\REACTIV CEFAS\Fadrozole\Fadrozole/20201201_Cefas_Test8_Run1/Plate 5/@11/A5_02.tif "/>
    <s v=" 2746.9966 "/>
    <s v=" 32.5276 "/>
    <x v="0"/>
    <n v="89353"/>
    <m/>
    <m/>
  </r>
  <r>
    <x v="13"/>
    <x v="1"/>
    <s v="C:\Users\andre\Desktop\REACTIV CEFAS\Fadrozole\Fadrozole/20201201_Cefas_Test8_Run1/Plate 5/@11/A5_03.tif "/>
    <s v=" 346.0783 "/>
    <s v=" 30.8125 "/>
    <x v="0"/>
    <n v="10664"/>
    <m/>
    <m/>
  </r>
  <r>
    <x v="13"/>
    <x v="2"/>
    <s v="C:\Users\andre\Desktop\REACTIV CEFAS\Fadrozole\Fadrozole/20201201_Cefas_Test8_Run1/Plate 5/@11/B5_01.tif "/>
    <s v=" 3049.8151 "/>
    <s v=" 34.2128 "/>
    <x v="0"/>
    <n v="104343"/>
    <m/>
    <m/>
  </r>
  <r>
    <x v="13"/>
    <x v="2"/>
    <s v="C:\Users\andre\Desktop\REACTIV CEFAS\Fadrozole\Fadrozole/20201201_Cefas_Test8_Run1/Plate 5/@11/B5_02.tif "/>
    <s v=" 2379.2884 "/>
    <s v=" 34.7364 "/>
    <x v="0"/>
    <n v="82648"/>
    <m/>
    <m/>
  </r>
  <r>
    <x v="13"/>
    <x v="2"/>
    <s v="C:\Users\andre\Desktop\REACTIV CEFAS\Fadrozole\Fadrozole/20201201_Cefas_Test8_Run1/Plate 5/@11/B5_03.tif "/>
    <s v=" 5645.4025 "/>
    <s v=" 37.0843 "/>
    <x v="0"/>
    <n v="209356"/>
    <m/>
    <m/>
  </r>
  <r>
    <x v="13"/>
    <x v="3"/>
    <s v="C:\Users\andre\Desktop\REACTIV CEFAS\Fadrozole\Fadrozole/20201201_Cefas_Test8_Run1/Plate 5/@11/C5_01.tif "/>
    <s v=" 4520.648 "/>
    <s v=" 35.2584 "/>
    <x v="0"/>
    <n v="159391"/>
    <m/>
    <m/>
  </r>
  <r>
    <x v="13"/>
    <x v="3"/>
    <s v="C:\Users\andre\Desktop\REACTIV CEFAS\Fadrozole\Fadrozole/20201201_Cefas_Test8_Run1/Plate 5/@11/C5_02.tif "/>
    <s v=" 5061.3953 "/>
    <s v=" 37.0171 "/>
    <x v="0"/>
    <n v="187358"/>
    <m/>
    <m/>
  </r>
  <r>
    <x v="13"/>
    <x v="3"/>
    <s v="C:\Users\andre\Desktop\REACTIV CEFAS\Fadrozole\Fadrozole/20201201_Cefas_Test8_Run1/Plate 5/@11/C5_03.tif "/>
    <s v=" 4044.7903 "/>
    <s v=" 36.0321 "/>
    <x v="0"/>
    <n v="145742"/>
    <m/>
    <m/>
  </r>
  <r>
    <x v="13"/>
    <x v="4"/>
    <s v="C:\Users\andre\Desktop\REACTIV CEFAS\Fadrozole\Fadrozole/20201201_Cefas_Test8_Run1/Plate 5/@11/D5_01.tif "/>
    <s v=" 410.968 "/>
    <s v=" 31.3158 "/>
    <x v="0"/>
    <n v="12870"/>
    <m/>
    <m/>
  </r>
  <r>
    <x v="13"/>
    <x v="4"/>
    <s v="C:\Users\andre\Desktop\REACTIV CEFAS\Fadrozole\Fadrozole/20201201_Cefas_Test8_Run1/Plate 5/@11/D5_02.tif "/>
    <s v=" 7029.7158 "/>
    <s v=" 42.8585 "/>
    <x v="0"/>
    <n v="301283"/>
    <m/>
    <m/>
  </r>
  <r>
    <x v="13"/>
    <x v="4"/>
    <s v="C:\Users\andre\Desktop\REACTIV CEFAS\Fadrozole\Fadrozole/20201201_Cefas_Test8_Run1/Plate 5/@11/D5_03.tif "/>
    <s v=" 2811.8863 "/>
    <s v=" 33.8692 "/>
    <x v="0"/>
    <n v="95236"/>
    <m/>
    <m/>
  </r>
  <r>
    <x v="13"/>
    <x v="5"/>
    <s v="C:\Users\andre\Desktop\REACTIV CEFAS\Fadrozole\Fadrozole/20201201_Cefas_Test8_Run1/Plate 5/@11/E5_01.tif "/>
    <s v=" 519.1175 "/>
    <s v=" 32.5417 "/>
    <x v="0"/>
    <n v="16893"/>
    <m/>
    <m/>
  </r>
  <r>
    <x v="13"/>
    <x v="5"/>
    <s v="C:\Users\andre\Desktop\REACTIV CEFAS\Fadrozole\Fadrozole/20201201_Cefas_Test8_Run1/Plate 5/@11/E5_02.tif "/>
    <s v=" 1297.7937 "/>
    <s v=" 33.3 "/>
    <x v="0"/>
    <n v="43217"/>
    <m/>
    <m/>
  </r>
  <r>
    <x v="13"/>
    <x v="5"/>
    <s v="C:\Users\andre\Desktop\REACTIV CEFAS\Fadrozole\Fadrozole/20201201_Cefas_Test8_Run1/Plate 5/@11/E5_03.tif "/>
    <s v=" 389.3381 "/>
    <s v=" 33.5 "/>
    <x v="0"/>
    <n v="13043"/>
    <m/>
    <m/>
  </r>
  <r>
    <x v="13"/>
    <x v="6"/>
    <s v="C:\Users\andre\Desktop\REACTIV CEFAS\Fadrozole\Fadrozole/20201201_Cefas_Test8_Run1/Plate 5/@11/F5_01.tif "/>
    <s v=" 5450.7334 "/>
    <s v=" 35.6627 "/>
    <x v="0"/>
    <n v="194388"/>
    <m/>
    <m/>
  </r>
  <r>
    <x v="13"/>
    <x v="6"/>
    <s v="C:\Users\andre\Desktop\REACTIV CEFAS\Fadrozole\Fadrozole/20201201_Cefas_Test8_Run1/Plate 5/@11/F5_02.tif "/>
    <s v=" 7981.4311 "/>
    <s v=" 43.103 "/>
    <x v="0"/>
    <n v="344023"/>
    <m/>
    <m/>
  </r>
  <r>
    <x v="13"/>
    <x v="6"/>
    <s v="C:\Users\andre\Desktop\REACTIV CEFAS\Fadrozole\Fadrozole/20201201_Cefas_Test8_Run1/Plate 5/@11/F5_03.tif "/>
    <s v=" 6597.1179 "/>
    <s v=" 37.0721 "/>
    <x v="0"/>
    <n v="244569"/>
    <m/>
    <m/>
  </r>
  <r>
    <x v="13"/>
    <x v="7"/>
    <s v="C:\Users\andre\Desktop\REACTIV CEFAS\Fadrozole\Fadrozole/20201201_Cefas_Test8_Run1/Plate 5/@11/G5_01.tif "/>
    <s v=" 1903.4307 "/>
    <s v=" 34.6023 "/>
    <x v="0"/>
    <n v="65863"/>
    <m/>
    <m/>
  </r>
  <r>
    <x v="13"/>
    <x v="7"/>
    <s v="C:\Users\andre\Desktop\REACTIV CEFAS\Fadrozole\Fadrozole/20201201_Cefas_Test8_Run1/Plate 5/@11/G5_02.tif "/>
    <s v=" 6813.4168 "/>
    <s v=" 40.4667 "/>
    <x v="0"/>
    <n v="275716"/>
    <m/>
    <m/>
  </r>
  <r>
    <x v="13"/>
    <x v="7"/>
    <s v="C:\Users\andre\Desktop\REACTIV CEFAS\Fadrozole\Fadrozole/20201201_Cefas_Test8_Run1/Plate 5/@11/G5_03.tif "/>
    <n v="0"/>
    <n v="0"/>
    <x v="0"/>
    <n v="0"/>
    <m/>
    <m/>
  </r>
  <r>
    <x v="13"/>
    <x v="8"/>
    <s v="C:\Users\andre\Desktop\REACTIV CEFAS\Fadrozole\Fadrozole/20201201_Cefas_Test8_Run1/Plate 5/@11/H5_01.tif "/>
    <s v=" 1665.5019 "/>
    <s v=" 35.1948 "/>
    <x v="0"/>
    <n v="58617"/>
    <m/>
    <m/>
  </r>
  <r>
    <x v="13"/>
    <x v="8"/>
    <s v="C:\Users\andre\Desktop\REACTIV CEFAS\Fadrozole\Fadrozole/20201201_Cefas_Test8_Run1/Plate 5/@11/H5_02.tif "/>
    <s v=" 432.5979 "/>
    <s v=" 32.7 "/>
    <x v="0"/>
    <n v="14146"/>
    <m/>
    <m/>
  </r>
  <r>
    <x v="13"/>
    <x v="8"/>
    <s v="C:\Users\andre\Desktop\REACTIV CEFAS\Fadrozole\Fadrozole/20201201_Cefas_Test8_Run1/Plate 5/@11/H5_03.tif "/>
    <s v=" 2249.509 "/>
    <s v=" 33.4038 "/>
    <x v="0"/>
    <n v="75142"/>
    <m/>
    <m/>
  </r>
  <r>
    <x v="0"/>
    <x v="0"/>
    <s v=" "/>
    <m/>
    <m/>
    <x v="1"/>
    <m/>
    <m/>
    <m/>
  </r>
  <r>
    <x v="0"/>
    <x v="0"/>
    <s v="group "/>
    <s v=" "/>
    <s v=" mean of mean fluo "/>
    <x v="2"/>
    <s v=" mean of total fluo "/>
    <s v=" SD total fluo "/>
    <m/>
  </r>
  <r>
    <x v="13"/>
    <x v="9"/>
    <s v="C:\Users\andre\Desktop\REACTIV CEFAS\Fadrozole\Fadrozole/20201201_Cefas_Test8_Run1/Plate 5/@11/ "/>
    <s v=" "/>
    <s v=" 33.7272 "/>
    <x v="15"/>
    <s v=" 116415.708 "/>
    <s v=" 101417.376 "/>
    <m/>
  </r>
  <r>
    <x v="0"/>
    <x v="0"/>
    <s v=" "/>
    <m/>
    <m/>
    <x v="1"/>
    <m/>
    <m/>
    <m/>
  </r>
  <r>
    <x v="0"/>
    <x v="0"/>
    <s v=" "/>
    <m/>
    <m/>
    <x v="1"/>
    <m/>
    <m/>
    <m/>
  </r>
  <r>
    <x v="0"/>
    <x v="0"/>
    <s v=" "/>
    <m/>
    <m/>
    <x v="1"/>
    <m/>
    <m/>
    <m/>
  </r>
  <r>
    <x v="0"/>
    <x v="0"/>
    <s v=" "/>
    <m/>
    <m/>
    <x v="1"/>
    <m/>
    <m/>
    <m/>
  </r>
  <r>
    <x v="0"/>
    <x v="0"/>
    <s v=" "/>
    <m/>
    <m/>
    <x v="1"/>
    <m/>
    <m/>
    <m/>
  </r>
  <r>
    <x v="0"/>
    <x v="0"/>
    <s v="file name "/>
    <s v=" total area "/>
    <s v=" mean intensity "/>
    <x v="0"/>
    <s v=" total fluorescence"/>
    <m/>
    <m/>
  </r>
  <r>
    <x v="14"/>
    <x v="1"/>
    <s v="C:\Users\andre\Desktop\REACTIV CEFAS\Fadrozole\Fadrozole/20201201_Cefas_Test8_Run1/Plate 5/@12/A6_01.tif "/>
    <s v=" 5558.8829 "/>
    <s v=" 39.7121 "/>
    <x v="0"/>
    <n v="220755"/>
    <m/>
    <m/>
  </r>
  <r>
    <x v="14"/>
    <x v="1"/>
    <s v="C:\Users\andre\Desktop\REACTIV CEFAS\Fadrozole\Fadrozole/20201201_Cefas_Test8_Run1/Plate 5/@12/A6_02.tif "/>
    <s v=" 129.7794 "/>
    <s v=" 30.3333 "/>
    <x v="0"/>
    <n v="3937"/>
    <m/>
    <m/>
  </r>
  <r>
    <x v="14"/>
    <x v="1"/>
    <s v="C:\Users\andre\Desktop\REACTIV CEFAS\Fadrozole\Fadrozole/20201201_Cefas_Test8_Run1/Plate 5/@12/A6_03.tif "/>
    <s v=" 6899.9364 "/>
    <s v=" 39.9467 "/>
    <x v="0"/>
    <n v="275630"/>
    <m/>
    <m/>
  </r>
  <r>
    <x v="14"/>
    <x v="2"/>
    <s v="C:\Users\andre\Desktop\REACTIV CEFAS\Fadrozole\Fadrozole/20201201_Cefas_Test8_Run1/Plate 5/@12/B6_01.tif "/>
    <s v=" 4131.3099 "/>
    <s v=" 36.4712 "/>
    <x v="0"/>
    <n v="150674"/>
    <m/>
    <m/>
  </r>
  <r>
    <x v="14"/>
    <x v="2"/>
    <s v="C:\Users\andre\Desktop\REACTIV CEFAS\Fadrozole\Fadrozole/20201201_Cefas_Test8_Run1/Plate 5/@12/B6_02.tif "/>
    <s v=" 3093.0749 "/>
    <s v=" 35.5315 "/>
    <x v="0"/>
    <n v="109901"/>
    <m/>
    <m/>
  </r>
  <r>
    <x v="14"/>
    <x v="2"/>
    <s v="C:\Users\andre\Desktop\REACTIV CEFAS\Fadrozole\Fadrozole/20201201_Cefas_Test8_Run1/Plate 5/@12/B6_03.tif "/>
    <s v=" 3633.8223 "/>
    <s v=" 36.6548 "/>
    <x v="0"/>
    <n v="133197"/>
    <m/>
    <m/>
  </r>
  <r>
    <x v="14"/>
    <x v="3"/>
    <s v="C:\Users\andre\Desktop\REACTIV CEFAS\Fadrozole\Fadrozole/20201201_Cefas_Test8_Run1/Plate 5/@12/C6_01.tif "/>
    <s v=" 6294.2993 "/>
    <s v=" 40.7216 "/>
    <x v="0"/>
    <n v="256314"/>
    <m/>
    <m/>
  </r>
  <r>
    <x v="14"/>
    <x v="3"/>
    <s v="C:\Users\andre\Desktop\REACTIV CEFAS\Fadrozole\Fadrozole/20201201_Cefas_Test8_Run1/Plate 5/@12/C6_02.tif "/>
    <s v=" 5104.6551 "/>
    <s v=" 39.8136 "/>
    <x v="0"/>
    <n v="203234"/>
    <m/>
    <m/>
  </r>
  <r>
    <x v="14"/>
    <x v="3"/>
    <s v="C:\Users\andre\Desktop\REACTIV CEFAS\Fadrozole\Fadrozole/20201201_Cefas_Test8_Run1/Plate 5/@12/C6_03.tif "/>
    <s v=" 5515.6231 "/>
    <s v=" 39.1059 "/>
    <x v="0"/>
    <n v="215693"/>
    <m/>
    <m/>
  </r>
  <r>
    <x v="14"/>
    <x v="4"/>
    <s v="C:\Users\andre\Desktop\REACTIV CEFAS\Fadrozole\Fadrozole/20201201_Cefas_Test8_Run1/Plate 5/@12/D6_01.tif "/>
    <s v=" 5602.1427 "/>
    <s v=" 39.1544 "/>
    <x v="0"/>
    <n v="219349"/>
    <m/>
    <m/>
  </r>
  <r>
    <x v="14"/>
    <x v="4"/>
    <s v="C:\Users\andre\Desktop\REACTIV CEFAS\Fadrozole\Fadrozole/20201201_Cefas_Test8_Run1/Plate 5/@12/D6_02.tif "/>
    <s v=" 4196.1996 "/>
    <s v=" 37.5979 "/>
    <x v="0"/>
    <n v="157768"/>
    <m/>
    <m/>
  </r>
  <r>
    <x v="14"/>
    <x v="4"/>
    <s v="C:\Users\andre\Desktop\REACTIV CEFAS\Fadrozole\Fadrozole/20201201_Cefas_Test8_Run1/Plate 5/@12/D6_03.tif "/>
    <s v=" 2638.8471 "/>
    <s v=" 34.2131 "/>
    <x v="0"/>
    <n v="90283"/>
    <m/>
    <m/>
  </r>
  <r>
    <x v="14"/>
    <x v="5"/>
    <s v="C:\Users\andre\Desktop\REACTIV CEFAS\Fadrozole\Fadrozole/20201201_Cefas_Test8_Run1/Plate 5/@12/E6_01- exclu.tif"/>
    <m/>
    <m/>
    <x v="1"/>
    <m/>
    <m/>
    <m/>
  </r>
  <r>
    <x v="14"/>
    <x v="5"/>
    <s v="C:\Users\andre\Desktop\REACTIV CEFAS\Fadrozole\Fadrozole/20201201_Cefas_Test8_Run1/Plate 5/@12/E6_02.tif "/>
    <s v=" 2465.808 "/>
    <s v=" 33.9123 "/>
    <x v="0"/>
    <n v="83621"/>
    <m/>
    <m/>
  </r>
  <r>
    <x v="14"/>
    <x v="5"/>
    <s v="C:\Users\andre\Desktop\REACTIV CEFAS\Fadrozole\Fadrozole/20201201_Cefas_Test8_Run1/Plate 5/@12/E6_03.tif "/>
    <s v=" 6078.0004 "/>
    <s v=" 36.363 "/>
    <x v="0"/>
    <n v="221014"/>
    <m/>
    <m/>
  </r>
  <r>
    <x v="14"/>
    <x v="6"/>
    <s v="C:\Users\andre\Desktop\REACTIV CEFAS\Fadrozole\Fadrozole/20201201_Cefas_Test8_Run1/Plate 5/@12/F6_01.tif "/>
    <s v=" 3525.6728 "/>
    <s v=" 35.681 "/>
    <x v="0"/>
    <n v="125799"/>
    <m/>
    <m/>
  </r>
  <r>
    <x v="14"/>
    <x v="6"/>
    <s v="C:\Users\andre\Desktop\REACTIV CEFAS\Fadrozole\Fadrozole/20201201_Cefas_Test8_Run1/Plate 5/@12/F6_02- exclu.tif"/>
    <m/>
    <m/>
    <x v="1"/>
    <m/>
    <m/>
    <m/>
  </r>
  <r>
    <x v="14"/>
    <x v="6"/>
    <s v="C:\Users\andre\Desktop\REACTIV CEFAS\Fadrozole\Fadrozole/20201201_Cefas_Test8_Run1/Plate 5/@12/F6_03.tif "/>
    <s v=" 3093.0749 "/>
    <s v=" 34.007 "/>
    <x v="0"/>
    <n v="105186"/>
    <m/>
    <m/>
  </r>
  <r>
    <x v="14"/>
    <x v="7"/>
    <s v="C:\Users\andre\Desktop\REACTIV CEFAS\Fadrozole\Fadrozole/20201201_Cefas_Test8_Run1/Plate 5/@12/G6_01.tif "/>
    <s v=" 4715.317 "/>
    <s v=" 37.633 "/>
    <x v="0"/>
    <n v="177452"/>
    <m/>
    <m/>
  </r>
  <r>
    <x v="14"/>
    <x v="7"/>
    <s v="C:\Users\andre\Desktop\REACTIV CEFAS\Fadrozole\Fadrozole/20201201_Cefas_Test8_Run1/Plate 5/@12/G6_02.tif "/>
    <s v=" 4455.7583 "/>
    <s v=" 39.767 "/>
    <x v="0"/>
    <n v="177192"/>
    <m/>
    <m/>
  </r>
  <r>
    <x v="14"/>
    <x v="7"/>
    <s v="C:\Users\andre\Desktop\REACTIV CEFAS\Fadrozole\Fadrozole/20201201_Cefas_Test8_Run1/Plate 5/@12/G6_03.tif "/>
    <s v=" 5472.3633 "/>
    <s v=" 37.8142 "/>
    <x v="0"/>
    <n v="206933"/>
    <m/>
    <m/>
  </r>
  <r>
    <x v="14"/>
    <x v="8"/>
    <s v="C:\Users\andre\Desktop\REACTIV CEFAS\Fadrozole\Fadrozole/20201201_Cefas_Test8_Run1/Plate 5/@12/H6_01.tif "/>
    <s v=" 8327.5094 "/>
    <s v=" 41.2416 "/>
    <x v="0"/>
    <n v="343439"/>
    <m/>
    <m/>
  </r>
  <r>
    <x v="14"/>
    <x v="8"/>
    <s v="C:\Users\andre\Desktop\REACTIV CEFAS\Fadrozole\Fadrozole/20201201_Cefas_Test8_Run1/Plate 5/@12/H6_02.tif "/>
    <s v=" 8305.8795 "/>
    <s v=" 40.1693 "/>
    <x v="0"/>
    <n v="333641"/>
    <m/>
    <m/>
  </r>
  <r>
    <x v="14"/>
    <x v="8"/>
    <s v="C:\Users\andre\Desktop\REACTIV CEFAS\Fadrozole\Fadrozole/20201201_Cefas_Test8_Run1/Plate 5/@12/H6_03.tif "/>
    <s v=" 64.8897 "/>
    <s v=" 31.6667 "/>
    <x v="0"/>
    <n v="2055"/>
    <m/>
    <m/>
  </r>
  <r>
    <x v="0"/>
    <x v="0"/>
    <s v=" "/>
    <m/>
    <m/>
    <x v="1"/>
    <m/>
    <m/>
    <m/>
  </r>
  <r>
    <x v="0"/>
    <x v="0"/>
    <s v="group "/>
    <s v=" "/>
    <s v=" mean of mean fluo "/>
    <x v="2"/>
    <s v=" mean of total fluo "/>
    <s v=" SD total fluo "/>
    <m/>
  </r>
  <r>
    <x v="14"/>
    <x v="9"/>
    <s v="C:\Users\andre\Desktop\REACTIV CEFAS\Fadrozole\Fadrozole/20201201_Cefas_Test8_Run1/Plate 5/@12/ "/>
    <s v=" "/>
    <s v=" 37.2778 "/>
    <x v="16"/>
    <s v=" 182966.292 "/>
    <s v=" 123586.304 "/>
    <m/>
  </r>
  <r>
    <x v="0"/>
    <x v="0"/>
    <s v=" "/>
    <m/>
    <m/>
    <x v="1"/>
    <m/>
    <m/>
    <m/>
  </r>
  <r>
    <x v="0"/>
    <x v="0"/>
    <s v=" "/>
    <m/>
    <m/>
    <x v="1"/>
    <m/>
    <m/>
    <m/>
  </r>
  <r>
    <x v="0"/>
    <x v="0"/>
    <s v=" "/>
    <m/>
    <m/>
    <x v="1"/>
    <m/>
    <m/>
    <m/>
  </r>
  <r>
    <x v="0"/>
    <x v="0"/>
    <s v=" "/>
    <m/>
    <m/>
    <x v="1"/>
    <m/>
    <m/>
    <m/>
  </r>
  <r>
    <x v="0"/>
    <x v="0"/>
    <s v=" "/>
    <m/>
    <m/>
    <x v="1"/>
    <m/>
    <m/>
    <m/>
  </r>
  <r>
    <x v="0"/>
    <x v="0"/>
    <s v="file name "/>
    <s v=" total area "/>
    <s v=" mean intensity "/>
    <x v="0"/>
    <s v=" total fluorescence"/>
    <m/>
    <m/>
  </r>
  <r>
    <x v="15"/>
    <x v="1"/>
    <s v="C:\Users\andre\Desktop\REACTIV CEFAS\Fadrozole\Fadrozole/20201201_Cefas_Test8_Run1/Plate 5/@17/A8_01.tif "/>
    <s v=" 10057.901 "/>
    <s v=" 37.7978 "/>
    <x v="0"/>
    <n v="380167"/>
    <m/>
    <m/>
  </r>
  <r>
    <x v="15"/>
    <x v="1"/>
    <s v="C:\Users\andre\Desktop\REACTIV CEFAS\Fadrozole\Fadrozole/20201201_Cefas_Test8_Run1/Plate 5/@17/A8_02.tif "/>
    <s v=" 5018.1356 "/>
    <s v=" 35.6293 "/>
    <x v="0"/>
    <n v="178793"/>
    <m/>
    <m/>
  </r>
  <r>
    <x v="15"/>
    <x v="1"/>
    <s v="C:\Users\andre\Desktop\REACTIV CEFAS\Fadrozole\Fadrozole/20201201_Cefas_Test8_Run1/Plate 5/@17/A8_03.tif "/>
    <s v=" 2682.1069 "/>
    <s v=" 33.871 "/>
    <x v="0"/>
    <n v="90846"/>
    <m/>
    <m/>
  </r>
  <r>
    <x v="15"/>
    <x v="2"/>
    <s v="C:\Users\andre\Desktop\REACTIV CEFAS\Fadrozole\Fadrozole/20201201_Cefas_Test8_Run1/Plate 5/@17/B8_01.tif "/>
    <s v=" 3871.7511 "/>
    <s v=" 36.0112 "/>
    <x v="0"/>
    <n v="139426"/>
    <m/>
    <m/>
  </r>
  <r>
    <x v="15"/>
    <x v="2"/>
    <s v="C:\Users\andre\Desktop\REACTIV CEFAS\Fadrozole\Fadrozole/20201201_Cefas_Test8_Run1/Plate 5/@17/B8_02.tif "/>
    <s v=" 10490.4989 "/>
    <s v=" 40.6515 "/>
    <x v="0"/>
    <n v="426455"/>
    <m/>
    <m/>
  </r>
  <r>
    <x v="15"/>
    <x v="2"/>
    <s v="C:\Users\andre\Desktop\REACTIV CEFAS\Fadrozole\Fadrozole/20201201_Cefas_Test8_Run1/Plate 5/@17/B8_03.tif "/>
    <s v=" 6943.1962 "/>
    <s v=" 35.2617 "/>
    <x v="0"/>
    <n v="244829"/>
    <m/>
    <m/>
  </r>
  <r>
    <x v="15"/>
    <x v="3"/>
    <s v="C:\Users\andre\Desktop\REACTIV CEFAS\Fadrozole\Fadrozole/20201201_Cefas_Test8_Run1/Plate 5/@17/C8_01.tif "/>
    <s v=" 173.0392 "/>
    <s v=" 30.5 "/>
    <x v="0"/>
    <n v="5278"/>
    <m/>
    <m/>
  </r>
  <r>
    <x v="15"/>
    <x v="3"/>
    <s v="C:\Users\andre\Desktop\REACTIV CEFAS\Fadrozole\Fadrozole/20201201_Cefas_Test8_Run1/Plate 5/@17/C8_02.tif "/>
    <s v=" 800.3061 "/>
    <s v=" 31.6757 "/>
    <x v="0"/>
    <n v="25350"/>
    <m/>
    <m/>
  </r>
  <r>
    <x v="15"/>
    <x v="3"/>
    <s v="C:\Users\andre\Desktop\REACTIV CEFAS\Fadrozole\Fadrozole/20201201_Cefas_Test8_Run1/Plate 5/@17/C8_03.tif "/>
    <s v=" 1081.4947 "/>
    <s v=" 31.92 "/>
    <x v="0"/>
    <n v="34521"/>
    <m/>
    <m/>
  </r>
  <r>
    <x v="15"/>
    <x v="4"/>
    <s v="C:\Users\andre\Desktop\REACTIV CEFAS\Fadrozole\Fadrozole/20201201_Cefas_Test8_Run1/Plate 5/@17/D8_01.tif "/>
    <s v=" 5688.6623 "/>
    <s v=" 35.6084 "/>
    <x v="0"/>
    <n v="202564"/>
    <m/>
    <m/>
  </r>
  <r>
    <x v="15"/>
    <x v="4"/>
    <s v="C:\Users\andre\Desktop\REACTIV CEFAS\Fadrozole\Fadrozole/20201201_Cefas_Test8_Run1/Plate 5/@17/D8_02.tif "/>
    <s v=" 6921.5663 "/>
    <s v=" 36.5 "/>
    <x v="0"/>
    <n v="252637"/>
    <m/>
    <m/>
  </r>
  <r>
    <x v="15"/>
    <x v="4"/>
    <s v="C:\Users\andre\Desktop\REACTIV CEFAS\Fadrozole\Fadrozole/20201201_Cefas_Test8_Run1/Plate 5/@17/D8_03.tif "/>
    <s v=" 3806.8615 "/>
    <s v=" 33.75 "/>
    <x v="0"/>
    <n v="128482"/>
    <m/>
    <m/>
  </r>
  <r>
    <x v="15"/>
    <x v="5"/>
    <s v="C:\Users\andre\Desktop\REACTIV CEFAS\Fadrozole\Fadrozole/20201201_Cefas_Test8_Run1/Plate 5/@17/E8_01.tif "/>
    <s v=" 2336.0286 "/>
    <s v=" 33.6019 "/>
    <x v="0"/>
    <n v="78495"/>
    <m/>
    <m/>
  </r>
  <r>
    <x v="15"/>
    <x v="5"/>
    <s v="C:\Users\andre\Desktop\REACTIV CEFAS\Fadrozole\Fadrozole/20201201_Cefas_Test8_Run1/Plate 5/@17/E8_02.tif "/>
    <s v=" 5537.253 "/>
    <s v=" 37.668 "/>
    <x v="0"/>
    <n v="208577"/>
    <m/>
    <m/>
  </r>
  <r>
    <x v="15"/>
    <x v="5"/>
    <s v="C:\Users\andre\Desktop\REACTIV CEFAS\Fadrozole\Fadrozole/20201201_Cefas_Test8_Run1/Plate 5/@17/E8_03.tif "/>
    <s v=" 4325.9789 "/>
    <s v=" 34.28 "/>
    <x v="0"/>
    <n v="148295"/>
    <m/>
    <m/>
  </r>
  <r>
    <x v="15"/>
    <x v="6"/>
    <s v="C:\Users\andre\Desktop\REACTIV CEFAS\Fadrozole\Fadrozole/20201201_Cefas_Test8_Run1/Plate 5/@17/F8_01.tif "/>
    <s v=" 7830.0219 "/>
    <s v=" 32.6547 "/>
    <x v="0"/>
    <n v="255687"/>
    <m/>
    <m/>
  </r>
  <r>
    <x v="15"/>
    <x v="6"/>
    <s v="C:\Users\andre\Desktop\REACTIV CEFAS\Fadrozole\Fadrozole/20201201_Cefas_Test8_Run1/Plate 5/@17/F8_02.tif "/>
    <s v=" 4152.9398 "/>
    <s v=" 36.7344 "/>
    <x v="0"/>
    <n v="152556"/>
    <m/>
    <m/>
  </r>
  <r>
    <x v="15"/>
    <x v="6"/>
    <s v="C:\Users\andre\Desktop\REACTIV CEFAS\Fadrozole\Fadrozole/20201201_Cefas_Test8_Run1/Plate 5/@17/F8_03.tif "/>
    <s v=" 346.0783 "/>
    <s v=" 32.1875 "/>
    <x v="0"/>
    <n v="11139"/>
    <m/>
    <m/>
  </r>
  <r>
    <x v="15"/>
    <x v="7"/>
    <s v="C:\Users\andre\Desktop\REACTIV CEFAS\Fadrozole\Fadrozole/20201201_Cefas_Test8_Run1/Plate 5/@17/G8_01.tif "/>
    <s v=" 10533.7587 "/>
    <s v=" 46.8645 "/>
    <x v="0"/>
    <n v="493659"/>
    <m/>
    <m/>
  </r>
  <r>
    <x v="15"/>
    <x v="7"/>
    <s v="C:\Users\andre\Desktop\REACTIV CEFAS\Fadrozole\Fadrozole/20201201_Cefas_Test8_Run1/Plate 5/@17/G8_02.tif "/>
    <n v="0"/>
    <n v="0"/>
    <x v="0"/>
    <n v="0"/>
    <m/>
    <m/>
  </r>
  <r>
    <x v="15"/>
    <x v="7"/>
    <s v="C:\Users\andre\Desktop\REACTIV CEFAS\Fadrozole\Fadrozole/20201201_Cefas_Test8_Run1/Plate 5/@17/G8_03- exclu.tif"/>
    <m/>
    <m/>
    <x v="1"/>
    <m/>
    <m/>
    <m/>
  </r>
  <r>
    <x v="15"/>
    <x v="8"/>
    <s v="C:\Users\andre\Desktop\REACTIV CEFAS\Fadrozole\Fadrozole/20201201_Cefas_Test8_Run1/Plate 5/@17/H8_01.tif "/>
    <s v=" 2638.8471 "/>
    <s v=" 35.0082 "/>
    <x v="0"/>
    <n v="92381"/>
    <m/>
    <m/>
  </r>
  <r>
    <x v="15"/>
    <x v="8"/>
    <s v="C:\Users\andre\Desktop\REACTIV CEFAS\Fadrozole\Fadrozole/20201201_Cefas_Test8_Run1/Plate 5/@17/H8_02.tif "/>
    <s v=" 3157.9646 "/>
    <s v=" 35.0068 "/>
    <x v="0"/>
    <n v="110550"/>
    <m/>
    <m/>
  </r>
  <r>
    <x v="15"/>
    <x v="8"/>
    <s v="C:\Users\andre\Desktop\REACTIV CEFAS\Fadrozole\Fadrozole/20201201_Cefas_Test8_Run1/Plate 5/@17/H8_03.tif "/>
    <s v=" 886.8257 "/>
    <s v=" 33.6098 "/>
    <x v="0"/>
    <n v="29806"/>
    <m/>
    <m/>
  </r>
  <r>
    <x v="0"/>
    <x v="0"/>
    <s v=" "/>
    <m/>
    <m/>
    <x v="1"/>
    <m/>
    <m/>
    <m/>
  </r>
  <r>
    <x v="0"/>
    <x v="0"/>
    <s v="group "/>
    <s v=" "/>
    <s v=" mean of mean fluo "/>
    <x v="2"/>
    <s v=" mean of total fluo "/>
    <s v=" SD total fluo "/>
    <m/>
  </r>
  <r>
    <x v="15"/>
    <x v="9"/>
    <s v="C:\Users\andre\Desktop\REACTIV CEFAS\Fadrozole\Fadrozole/20201201_Cefas_Test8_Run1/Plate 5/@17/ "/>
    <s v=" "/>
    <s v=" 34.0999 "/>
    <x v="17"/>
    <s v=" 167531.667 "/>
    <s v=" 136805.851 "/>
    <m/>
  </r>
  <r>
    <x v="0"/>
    <x v="0"/>
    <s v=" "/>
    <m/>
    <m/>
    <x v="1"/>
    <m/>
    <m/>
    <m/>
  </r>
  <r>
    <x v="0"/>
    <x v="0"/>
    <s v=" "/>
    <m/>
    <m/>
    <x v="1"/>
    <m/>
    <m/>
    <m/>
  </r>
  <r>
    <x v="0"/>
    <x v="0"/>
    <s v=" "/>
    <m/>
    <m/>
    <x v="1"/>
    <m/>
    <m/>
    <m/>
  </r>
  <r>
    <x v="0"/>
    <x v="0"/>
    <s v=" "/>
    <m/>
    <m/>
    <x v="1"/>
    <m/>
    <m/>
    <m/>
  </r>
  <r>
    <x v="0"/>
    <x v="0"/>
    <s v=" "/>
    <m/>
    <m/>
    <x v="1"/>
    <m/>
    <m/>
    <m/>
  </r>
  <r>
    <x v="0"/>
    <x v="0"/>
    <s v="file name "/>
    <s v=" total area "/>
    <s v=" mean intensity "/>
    <x v="0"/>
    <s v=" total fluorescence"/>
    <m/>
    <m/>
  </r>
  <r>
    <x v="16"/>
    <x v="1"/>
    <s v="C:\Users\andre\Desktop\REACTIV CEFAS\Fadrozole\Fadrozole/20201201_Cefas_Test8_Run1/Plate 5/@18/A9_01.tif "/>
    <s v=" 6229.4097 "/>
    <s v=" 37.4201 "/>
    <x v="0"/>
    <n v="233105"/>
    <m/>
    <m/>
  </r>
  <r>
    <x v="16"/>
    <x v="1"/>
    <s v="C:\Users\andre\Desktop\REACTIV CEFAS\Fadrozole\Fadrozole/20201201_Cefas_Test8_Run1/Plate 5/@18/A9_02.tif "/>
    <s v=" 4953.2459 "/>
    <s v=" 39.6638 "/>
    <x v="0"/>
    <n v="196464"/>
    <m/>
    <m/>
  </r>
  <r>
    <x v="16"/>
    <x v="1"/>
    <s v="C:\Users\andre\Desktop\REACTIV CEFAS\Fadrozole\Fadrozole/20201201_Cefas_Test8_Run1/Plate 5/@18/A9_03.tif "/>
    <s v=" 7008.0859 "/>
    <s v=" 43.929 "/>
    <x v="0"/>
    <n v="307858"/>
    <m/>
    <m/>
  </r>
  <r>
    <x v="16"/>
    <x v="2"/>
    <s v="C:\Users\andre\Desktop\REACTIV CEFAS\Fadrozole\Fadrozole/20201201_Cefas_Test8_Run1/Plate 5/@18/B9_01.tif "/>
    <s v=" 14427.1397 "/>
    <s v=" 39.3118 "/>
    <x v="0"/>
    <n v="567157"/>
    <m/>
    <m/>
  </r>
  <r>
    <x v="16"/>
    <x v="2"/>
    <s v="C:\Users\andre\Desktop\REACTIV CEFAS\Fadrozole\Fadrozole/20201201_Cefas_Test8_Run1/Plate 5/@18/B9_02.tif "/>
    <s v=" 12545.3389 "/>
    <s v=" 38.2776 "/>
    <x v="0"/>
    <n v="480205"/>
    <m/>
    <m/>
  </r>
  <r>
    <x v="16"/>
    <x v="2"/>
    <s v="C:\Users\andre\Desktop\REACTIV CEFAS\Fadrozole\Fadrozole/20201201_Cefas_Test8_Run1/Plate 5/@18/B9_03.tif "/>
    <s v=" 8500.5486 "/>
    <s v=" 39.0025 "/>
    <x v="0"/>
    <n v="331543"/>
    <m/>
    <m/>
  </r>
  <r>
    <x v="16"/>
    <x v="3"/>
    <s v="C:\Users\andre\Desktop\REACTIV CEFAS\Fadrozole\Fadrozole/20201201_Cefas_Test8_Run1/Plate 5/@18/C9_01.tif "/>
    <s v=" 7721.8724 "/>
    <s v=" 37.07 "/>
    <x v="0"/>
    <n v="286250"/>
    <m/>
    <m/>
  </r>
  <r>
    <x v="16"/>
    <x v="3"/>
    <s v="C:\Users\andre\Desktop\REACTIV CEFAS\Fadrozole\Fadrozole/20201201_Cefas_Test8_Run1/Plate 5/@18/C9_02.tif "/>
    <s v=" 4261.0892 "/>
    <s v=" 33.7563 "/>
    <x v="0"/>
    <n v="143839"/>
    <m/>
    <m/>
  </r>
  <r>
    <x v="16"/>
    <x v="3"/>
    <s v="C:\Users\andre\Desktop\REACTIV CEFAS\Fadrozole\Fadrozole/20201201_Cefas_Test8_Run1/Plate 5/@18/C9_03.tif "/>
    <s v=" 216.2989 "/>
    <s v=" 31.9 "/>
    <x v="0"/>
    <n v="6900"/>
    <m/>
    <m/>
  </r>
  <r>
    <x v="16"/>
    <x v="4"/>
    <s v="C:\Users\andre\Desktop\REACTIV CEFAS\Fadrozole\Fadrozole/20201201_Cefas_Test8_Run1/Plate 5/@18/D9_01.tif "/>
    <s v=" 3201.2244 "/>
    <s v=" 36.8919 "/>
    <x v="0"/>
    <n v="118099"/>
    <m/>
    <m/>
  </r>
  <r>
    <x v="16"/>
    <x v="4"/>
    <s v="C:\Users\andre\Desktop\REACTIV CEFAS\Fadrozole\Fadrozole/20201201_Cefas_Test8_Run1/Plate 5/@18/D9_02- exclu.tif"/>
    <m/>
    <m/>
    <x v="1"/>
    <m/>
    <m/>
    <m/>
  </r>
  <r>
    <x v="16"/>
    <x v="4"/>
    <s v="C:\Users\andre\Desktop\REACTIV CEFAS\Fadrozole\Fadrozole/20201201_Cefas_Test8_Run1/Plate 5/@18/D9_03- exclu.tif"/>
    <m/>
    <m/>
    <x v="1"/>
    <m/>
    <m/>
    <m/>
  </r>
  <r>
    <x v="16"/>
    <x v="5"/>
    <s v="C:\Users\andre\Desktop\REACTIV CEFAS\Fadrozole\Fadrozole/20201201_Cefas_Test8_Run1/Plate 5/@18/E9_01.tif "/>
    <s v=" 6791.7869 "/>
    <s v=" 33.8599 "/>
    <x v="0"/>
    <n v="229969"/>
    <m/>
    <m/>
  </r>
  <r>
    <x v="16"/>
    <x v="5"/>
    <s v="C:\Users\andre\Desktop\REACTIV CEFAS\Fadrozole\Fadrozole/20201201_Cefas_Test8_Run1/Plate 5/@18/E9_02.tif "/>
    <s v=" 13107.7161 "/>
    <s v=" 37.0396 "/>
    <x v="0"/>
    <n v="485505"/>
    <m/>
    <m/>
  </r>
  <r>
    <x v="16"/>
    <x v="5"/>
    <s v="C:\Users\andre\Desktop\REACTIV CEFAS\Fadrozole\Fadrozole/20201201_Cefas_Test8_Run1/Plate 5/@18/E9_03.tif "/>
    <s v=" 7051.3456 "/>
    <s v=" 37.681 "/>
    <x v="0"/>
    <n v="265702"/>
    <m/>
    <m/>
  </r>
  <r>
    <x v="16"/>
    <x v="6"/>
    <s v="C:\Users\andre\Desktop\REACTIV CEFAS\Fadrozole\Fadrozole/20201201_Cefas_Test8_Run1/Plate 5/@18/F9_01.tif "/>
    <s v=" 5385.8438 "/>
    <s v=" 36.9839 "/>
    <x v="0"/>
    <n v="199190"/>
    <m/>
    <m/>
  </r>
  <r>
    <x v="16"/>
    <x v="6"/>
    <s v="C:\Users\andre\Desktop\REACTIV CEFAS\Fadrozole\Fadrozole/20201201_Cefas_Test8_Run1/Plate 5/@18/F9_02- exclu.tif"/>
    <m/>
    <m/>
    <x v="1"/>
    <m/>
    <m/>
    <m/>
  </r>
  <r>
    <x v="16"/>
    <x v="6"/>
    <s v="C:\Users\andre\Desktop\REACTIV CEFAS\Fadrozole\Fadrozole/20201201_Cefas_Test8_Run1/Plate 5/@18/F9_03.tif "/>
    <s v=" 3201.2244 "/>
    <s v=" 34.9459 "/>
    <x v="0"/>
    <n v="111870"/>
    <m/>
    <m/>
  </r>
  <r>
    <x v="16"/>
    <x v="7"/>
    <s v="C:\Users\andre\Desktop\REACTIV CEFAS\Fadrozole\Fadrozole/20201201_Cefas_Test8_Run1/Plate 5/@18/G9_01.tif "/>
    <s v=" 10014.6412 "/>
    <s v=" 45.1425 "/>
    <x v="0"/>
    <n v="452086"/>
    <m/>
    <m/>
  </r>
  <r>
    <x v="16"/>
    <x v="7"/>
    <s v="C:\Users\andre\Desktop\REACTIV CEFAS\Fadrozole\Fadrozole/20201201_Cefas_Test8_Run1/Plate 5/@18/G9_02.tif "/>
    <s v=" 8889.8867 "/>
    <s v=" 43.438 "/>
    <x v="0"/>
    <n v="386159"/>
    <m/>
    <m/>
  </r>
  <r>
    <x v="16"/>
    <x v="7"/>
    <s v="C:\Users\andre\Desktop\REACTIV CEFAS\Fadrozole\Fadrozole/20201201_Cefas_Test8_Run1/Plate 5/@18/G9_03.tif "/>
    <s v=" 13518.6841 "/>
    <s v=" 41.5568 "/>
    <x v="0"/>
    <n v="561793"/>
    <m/>
    <m/>
  </r>
  <r>
    <x v="16"/>
    <x v="8"/>
    <s v="C:\Users\andre\Desktop\REACTIV CEFAS\Fadrozole\Fadrozole/20201201_Cefas_Test8_Run1/Plate 5/@18/H9_01.tif "/>
    <s v=" 9257.5949 "/>
    <s v=" 43.5164 "/>
    <x v="0"/>
    <n v="402857"/>
    <m/>
    <m/>
  </r>
  <r>
    <x v="16"/>
    <x v="8"/>
    <s v="C:\Users\andre\Desktop\REACTIV CEFAS\Fadrozole\Fadrozole/20201201_Cefas_Test8_Run1/Plate 5/@18/H9_02.tif "/>
    <s v=" 9430.6341 "/>
    <s v=" 43.5206 "/>
    <x v="0"/>
    <n v="410427"/>
    <m/>
    <m/>
  </r>
  <r>
    <x v="16"/>
    <x v="8"/>
    <s v="C:\Users\andre\Desktop\REACTIV CEFAS\Fadrozole\Fadrozole/20201201_Cefas_Test8_Run1/Plate 5/@18/H9_03.tif "/>
    <s v=" 9884.8618 "/>
    <s v=" 43.9497 "/>
    <x v="0"/>
    <n v="434436"/>
    <m/>
    <m/>
  </r>
  <r>
    <x v="0"/>
    <x v="0"/>
    <s v=" "/>
    <m/>
    <m/>
    <x v="1"/>
    <m/>
    <m/>
    <m/>
  </r>
  <r>
    <x v="0"/>
    <x v="0"/>
    <s v="group "/>
    <s v=" "/>
    <s v=" mean of mean fluo "/>
    <x v="2"/>
    <s v=" mean of total fluo "/>
    <s v=" SD total fluo "/>
    <m/>
  </r>
  <r>
    <x v="16"/>
    <x v="9"/>
    <s v="C:\Users\andre\Desktop\REACTIV CEFAS\Fadrozole\Fadrozole/20201201_Cefas_Test8_Run1/Plate 5/@18/ "/>
    <s v=" "/>
    <s v=" 38.9273 "/>
    <x v="18"/>
    <s v=" 316974.333 "/>
    <s v=" 148488.552 "/>
    <m/>
  </r>
  <r>
    <x v="0"/>
    <x v="0"/>
    <s v=" "/>
    <m/>
    <m/>
    <x v="1"/>
    <m/>
    <m/>
    <m/>
  </r>
  <r>
    <x v="0"/>
    <x v="0"/>
    <s v=" "/>
    <m/>
    <m/>
    <x v="1"/>
    <m/>
    <m/>
    <m/>
  </r>
  <r>
    <x v="0"/>
    <x v="0"/>
    <s v=" "/>
    <m/>
    <m/>
    <x v="1"/>
    <m/>
    <m/>
    <m/>
  </r>
  <r>
    <x v="0"/>
    <x v="0"/>
    <s v=" "/>
    <m/>
    <m/>
    <x v="1"/>
    <m/>
    <m/>
    <m/>
  </r>
  <r>
    <x v="0"/>
    <x v="0"/>
    <s v=" "/>
    <m/>
    <m/>
    <x v="1"/>
    <m/>
    <m/>
    <m/>
  </r>
  <r>
    <x v="0"/>
    <x v="0"/>
    <s v="file name "/>
    <s v=" total area "/>
    <s v=" mean intensity "/>
    <x v="0"/>
    <s v=" total fluorescence"/>
    <m/>
    <m/>
  </r>
  <r>
    <x v="17"/>
    <x v="1"/>
    <s v="C:\Users\andre\Desktop\REACTIV CEFAS\Fadrozole\Fadrozole/20201201_Cefas_Test8_Run1/Plate 5/@19/A10_01.tif "/>
    <s v=" 3936.6408 "/>
    <s v=" 37.6813 "/>
    <x v="0"/>
    <n v="148338"/>
    <m/>
    <m/>
  </r>
  <r>
    <x v="17"/>
    <x v="1"/>
    <s v="C:\Users\andre\Desktop\REACTIV CEFAS\Fadrozole\Fadrozole/20201201_Cefas_Test8_Run1/Plate 5/@19/A10_02.tif "/>
    <s v=" 2033.2101 "/>
    <s v=" 37.1064 "/>
    <x v="0"/>
    <n v="75445"/>
    <m/>
    <m/>
  </r>
  <r>
    <x v="17"/>
    <x v="1"/>
    <s v="C:\Users\andre\Desktop\REACTIV CEFAS\Fadrozole\Fadrozole/20201201_Cefas_Test8_Run1/Plate 5/@19/A10_03- exclu.tif"/>
    <m/>
    <m/>
    <x v="1"/>
    <m/>
    <m/>
    <m/>
  </r>
  <r>
    <x v="17"/>
    <x v="2"/>
    <s v="C:\Users\andre\Desktop\REACTIV CEFAS\Fadrozole\Fadrozole/20201201_Cefas_Test8_Run1/Plate 5/@19/B10_01.tif "/>
    <s v=" 10360.7195 "/>
    <s v=" 43.9415 "/>
    <x v="0"/>
    <n v="455266"/>
    <m/>
    <m/>
  </r>
  <r>
    <x v="17"/>
    <x v="2"/>
    <s v="C:\Users\andre\Desktop\REACTIV CEFAS\Fadrozole\Fadrozole/20201201_Cefas_Test8_Run1/Plate 5/@19/B10_02.tif "/>
    <s v=" 10512.1288 "/>
    <s v=" 43.3066 "/>
    <x v="0"/>
    <n v="455244"/>
    <m/>
    <m/>
  </r>
  <r>
    <x v="17"/>
    <x v="2"/>
    <s v="C:\Users\andre\Desktop\REACTIV CEFAS\Fadrozole\Fadrozole/20201201_Cefas_Test8_Run1/Plate 5/@19/B10_03.tif "/>
    <s v=" 3244.4842 "/>
    <s v=" 34.44 "/>
    <x v="0"/>
    <n v="111740"/>
    <m/>
    <m/>
  </r>
  <r>
    <x v="17"/>
    <x v="3"/>
    <s v="C:\Users\andre\Desktop\REACTIV CEFAS\Fadrozole\Fadrozole/20201201_Cefas_Test8_Run1/Plate 5/@19/C10_01.tif "/>
    <s v=" 151.4093 "/>
    <s v=" 30.4286 "/>
    <x v="0"/>
    <n v="4607"/>
    <m/>
    <m/>
  </r>
  <r>
    <x v="17"/>
    <x v="3"/>
    <s v="C:\Users\andre\Desktop\REACTIV CEFAS\Fadrozole\Fadrozole/20201201_Cefas_Test8_Run1/Plate 5/@19/C10_02.tif "/>
    <s v=" 2703.7368 "/>
    <s v=" 34.896 "/>
    <x v="0"/>
    <n v="94350"/>
    <m/>
    <m/>
  </r>
  <r>
    <x v="17"/>
    <x v="3"/>
    <s v="C:\Users\andre\Desktop\REACTIV CEFAS\Fadrozole\Fadrozole/20201201_Cefas_Test8_Run1/Plate 5/@19/C10_03.tif "/>
    <s v=" 2271.1389 "/>
    <s v=" 35.1524 "/>
    <x v="0"/>
    <n v="79836"/>
    <m/>
    <m/>
  </r>
  <r>
    <x v="17"/>
    <x v="4"/>
    <s v="C:\Users\andre\Desktop\REACTIV CEFAS\Fadrozole\Fadrozole/20201201_Cefas_Test8_Run1/Plate 5/@19/D10_01- exclu.tif"/>
    <m/>
    <m/>
    <x v="1"/>
    <m/>
    <m/>
    <m/>
  </r>
  <r>
    <x v="17"/>
    <x v="4"/>
    <s v="C:\Users\andre\Desktop\REACTIV CEFAS\Fadrozole\Fadrozole/20201201_Cefas_Test8_Run1/Plate 5/@19/D10_02.tif "/>
    <s v=" 6186.1499 "/>
    <s v=" 34.8427 "/>
    <x v="0"/>
    <n v="215542"/>
    <m/>
    <m/>
  </r>
  <r>
    <x v="17"/>
    <x v="4"/>
    <s v="C:\Users\andre\Desktop\REACTIV CEFAS\Fadrozole\Fadrozole/20201201_Cefas_Test8_Run1/Plate 5/@19/D10_03.tif "/>
    <s v=" 5429.1036 "/>
    <s v=" 35.761 "/>
    <x v="0"/>
    <n v="194150"/>
    <m/>
    <m/>
  </r>
  <r>
    <x v="17"/>
    <x v="5"/>
    <s v="C:\Users\andre\Desktop\REACTIV CEFAS\Fadrozole\Fadrozole/20201201_Cefas_Test8_Run1/Plate 5/@19/E10_01.tif "/>
    <s v=" 4845.0964 "/>
    <s v=" 35.933 "/>
    <x v="0"/>
    <n v="174099"/>
    <m/>
    <m/>
  </r>
  <r>
    <x v="17"/>
    <x v="5"/>
    <s v="C:\Users\andre\Desktop\REACTIV CEFAS\Fadrozole\Fadrozole/20201201_Cefas_Test8_Run1/Plate 5/@19/E10_02.tif "/>
    <s v=" 281.1886 "/>
    <s v=" 31.8462 "/>
    <x v="0"/>
    <n v="8955"/>
    <m/>
    <m/>
  </r>
  <r>
    <x v="17"/>
    <x v="5"/>
    <s v="C:\Users\andre\Desktop\REACTIV CEFAS\Fadrozole\Fadrozole/20201201_Cefas_Test8_Run1/Plate 5/@19/E10_03.tif "/>
    <s v=" 6921.5663 "/>
    <s v=" 38.4188 "/>
    <x v="0"/>
    <n v="265918"/>
    <m/>
    <m/>
  </r>
  <r>
    <x v="17"/>
    <x v="6"/>
    <s v="C:\Users\andre\Desktop\REACTIV CEFAS\Fadrozole\Fadrozole/20201201_Cefas_Test8_Run1/Plate 5/@19/F10_01- exclu.tif"/>
    <m/>
    <m/>
    <x v="1"/>
    <m/>
    <m/>
    <m/>
  </r>
  <r>
    <x v="17"/>
    <x v="6"/>
    <s v="C:\Users\andre\Desktop\REACTIV CEFAS\Fadrozole\Fadrozole/20201201_Cefas_Test8_Run1/Plate 5/@19/F10_02.tif "/>
    <n v="0"/>
    <n v="0"/>
    <x v="0"/>
    <n v="0"/>
    <m/>
    <m/>
  </r>
  <r>
    <x v="17"/>
    <x v="6"/>
    <s v="C:\Users\andre\Desktop\REACTIV CEFAS\Fadrozole\Fadrozole/20201201_Cefas_Test8_Run1/Plate 5/@19/F10_03.tif "/>
    <n v="0"/>
    <n v="0"/>
    <x v="0"/>
    <n v="0"/>
    <m/>
    <m/>
  </r>
  <r>
    <x v="17"/>
    <x v="7"/>
    <s v="C:\Users\andre\Desktop\REACTIV CEFAS\Fadrozole\Fadrozole/20201201_Cefas_Test8_Run1/Plate 5/@19/G10_01.tif "/>
    <s v=" 6705.2673 "/>
    <s v=" 37.4935 "/>
    <x v="0"/>
    <n v="251404"/>
    <m/>
    <m/>
  </r>
  <r>
    <x v="17"/>
    <x v="7"/>
    <s v="C:\Users\andre\Desktop\REACTIV CEFAS\Fadrozole\Fadrozole/20201201_Cefas_Test8_Run1/Plate 5/@19/G10_02- exclu.tif"/>
    <m/>
    <m/>
    <x v="1"/>
    <m/>
    <m/>
    <m/>
  </r>
  <r>
    <x v="17"/>
    <x v="7"/>
    <s v="C:\Users\andre\Desktop\REACTIV CEFAS\Fadrozole\Fadrozole/20201201_Cefas_Test8_Run1/Plate 5/@19/G10_03- exclu.tif"/>
    <m/>
    <m/>
    <x v="1"/>
    <m/>
    <m/>
    <m/>
  </r>
  <r>
    <x v="17"/>
    <x v="8"/>
    <s v="C:\Users\andre\Desktop\REACTIV CEFAS\Fadrozole\Fadrozole/20201201_Cefas_Test8_Run1/Plate 5/@19/H10_01.tif "/>
    <s v=" 11701.773 "/>
    <s v=" 36.8762 "/>
    <x v="0"/>
    <n v="431516"/>
    <m/>
    <m/>
  </r>
  <r>
    <x v="17"/>
    <x v="8"/>
    <s v="C:\Users\andre\Desktop\REACTIV CEFAS\Fadrozole\Fadrozole/20201201_Cefas_Test8_Run1/Plate 5/@19/H10_02.tif "/>
    <s v=" 7743.5023 "/>
    <s v=" 38.6313 "/>
    <x v="0"/>
    <n v="299141"/>
    <m/>
    <m/>
  </r>
  <r>
    <x v="17"/>
    <x v="8"/>
    <s v="C:\Users\andre\Desktop\REACTIV CEFAS\Fadrozole\Fadrozole/20201201_Cefas_Test8_Run1/Plate 5/@19/H10_03- exclu.tif"/>
    <m/>
    <m/>
    <x v="1"/>
    <m/>
    <m/>
    <m/>
  </r>
  <r>
    <x v="0"/>
    <x v="0"/>
    <s v=" "/>
    <m/>
    <m/>
    <x v="1"/>
    <m/>
    <m/>
    <m/>
  </r>
  <r>
    <x v="0"/>
    <x v="0"/>
    <s v="group "/>
    <s v=" "/>
    <s v=" mean of mean fluo "/>
    <x v="2"/>
    <s v=" mean of total fluo "/>
    <s v=" SD total fluo "/>
    <m/>
  </r>
  <r>
    <x v="17"/>
    <x v="9"/>
    <s v="C:\Users\andre\Desktop\REACTIV CEFAS\Fadrozole\Fadrozole/20201201_Cefas_Test8_Run1/Plate 5/@19/ "/>
    <s v=" "/>
    <s v=" 33.5357 "/>
    <x v="19"/>
    <s v=" 241809.583 "/>
    <s v=" 210450.576 "/>
    <m/>
  </r>
  <r>
    <x v="0"/>
    <x v="0"/>
    <s v=" "/>
    <m/>
    <m/>
    <x v="1"/>
    <m/>
    <m/>
    <m/>
  </r>
  <r>
    <x v="0"/>
    <x v="0"/>
    <s v=" "/>
    <m/>
    <m/>
    <x v="1"/>
    <m/>
    <m/>
    <m/>
  </r>
  <r>
    <x v="0"/>
    <x v="0"/>
    <s v=" "/>
    <m/>
    <m/>
    <x v="1"/>
    <m/>
    <m/>
    <m/>
  </r>
  <r>
    <x v="0"/>
    <x v="0"/>
    <s v=" "/>
    <m/>
    <m/>
    <x v="1"/>
    <m/>
    <m/>
    <m/>
  </r>
  <r>
    <x v="0"/>
    <x v="0"/>
    <s v=" "/>
    <m/>
    <m/>
    <x v="1"/>
    <m/>
    <m/>
    <m/>
  </r>
  <r>
    <x v="0"/>
    <x v="0"/>
    <s v="file name "/>
    <s v=" total area "/>
    <s v=" mean intensity "/>
    <x v="0"/>
    <s v=" total fluorescence"/>
    <m/>
    <m/>
  </r>
  <r>
    <x v="18"/>
    <x v="1"/>
    <s v="C:\Users\andre\Desktop\REACTIV CEFAS\Fadrozole\Fadrozole/20201201_Cefas_Test8_Run1/Plate 5/@20/A11_01.tif "/>
    <s v=" 5515.6231 "/>
    <s v=" 36.9725 "/>
    <x v="0"/>
    <n v="203927"/>
    <m/>
    <m/>
  </r>
  <r>
    <x v="18"/>
    <x v="1"/>
    <s v="C:\Users\andre\Desktop\REACTIV CEFAS\Fadrozole\Fadrozole/20201201_Cefas_Test8_Run1/Plate 5/@20/A11_02.tif "/>
    <s v=" 6251.0395 "/>
    <s v=" 38.2353 "/>
    <x v="0"/>
    <n v="239010"/>
    <m/>
    <m/>
  </r>
  <r>
    <x v="18"/>
    <x v="1"/>
    <s v="C:\Users\andre\Desktop\REACTIV CEFAS\Fadrozole\Fadrozole/20201201_Cefas_Test8_Run1/Plate 5/@20/A11_03- exclu.tif"/>
    <m/>
    <m/>
    <x v="1"/>
    <m/>
    <m/>
    <m/>
  </r>
  <r>
    <x v="18"/>
    <x v="2"/>
    <s v="C:\Users\andre\Desktop\REACTIV CEFAS\Fadrozole\Fadrozole/20201201_Cefas_Test8_Run1/Plate 5/@20/B11_01.tif "/>
    <s v=" 5472.3633 "/>
    <s v=" 36.2688 "/>
    <x v="0"/>
    <n v="198476"/>
    <m/>
    <m/>
  </r>
  <r>
    <x v="18"/>
    <x v="2"/>
    <s v="C:\Users\andre\Desktop\REACTIV CEFAS\Fadrozole\Fadrozole/20201201_Cefas_Test8_Run1/Plate 5/@20/B11_02.tif "/>
    <s v=" 6099.6303 "/>
    <s v=" 36.344 "/>
    <x v="0"/>
    <n v="221685"/>
    <m/>
    <m/>
  </r>
  <r>
    <x v="18"/>
    <x v="2"/>
    <s v="C:\Users\andre\Desktop\REACTIV CEFAS\Fadrozole\Fadrozole/20201201_Cefas_Test8_Run1/Plate 5/@20/B11_03.tif "/>
    <s v=" 7202.7549 "/>
    <s v=" 39.7988 "/>
    <x v="0"/>
    <n v="286661"/>
    <m/>
    <m/>
  </r>
  <r>
    <x v="18"/>
    <x v="3"/>
    <s v="C:\Users\andre\Desktop\REACTIV CEFAS\Fadrozole\Fadrozole/20201201_Cefas_Test8_Run1/Plate 5/@20/C11_01.tif "/>
    <s v=" 1665.5019 "/>
    <s v=" 32.4286 "/>
    <x v="0"/>
    <n v="54010"/>
    <m/>
    <m/>
  </r>
  <r>
    <x v="18"/>
    <x v="3"/>
    <s v="C:\Users\andre\Desktop\REACTIV CEFAS\Fadrozole\Fadrozole/20201201_Cefas_Test8_Run1/Plate 5/@20/C11_02.tif "/>
    <s v=" 151.4093 "/>
    <s v=" 31.1429 "/>
    <x v="0"/>
    <n v="4715"/>
    <m/>
    <m/>
  </r>
  <r>
    <x v="18"/>
    <x v="3"/>
    <s v="C:\Users\andre\Desktop\REACTIV CEFAS\Fadrozole\Fadrozole/20201201_Cefas_Test8_Run1/Plate 5/@20/C11_03.tif "/>
    <s v=" 1578.9823 "/>
    <s v=" 33.6849 "/>
    <x v="0"/>
    <n v="53188"/>
    <m/>
    <m/>
  </r>
  <r>
    <x v="18"/>
    <x v="4"/>
    <s v="C:\Users\andre\Desktop\REACTIV CEFAS\Fadrozole\Fadrozole/20201201_Cefas_Test8_Run1/Plate 5/@20/D11_01.tif "/>
    <s v=" 7786.7621 "/>
    <s v=" 38.3389 "/>
    <x v="0"/>
    <n v="298536"/>
    <m/>
    <m/>
  </r>
  <r>
    <x v="18"/>
    <x v="4"/>
    <s v="C:\Users\andre\Desktop\REACTIV CEFAS\Fadrozole\Fadrozole/20201201_Cefas_Test8_Run1/Plate 5/@20/D11_02- exclu.tif"/>
    <m/>
    <m/>
    <x v="1"/>
    <m/>
    <m/>
    <m/>
  </r>
  <r>
    <x v="18"/>
    <x v="4"/>
    <s v="C:\Users\andre\Desktop\REACTIV CEFAS\Fadrozole\Fadrozole/20201201_Cefas_Test8_Run1/Plate 5/@20/D11_03- exclu.tif"/>
    <m/>
    <m/>
    <x v="1"/>
    <m/>
    <m/>
    <m/>
  </r>
  <r>
    <x v="18"/>
    <x v="5"/>
    <s v="C:\Users\andre\Desktop\REACTIV CEFAS\Fadrozole\Fadrozole/20201201_Cefas_Test8_Run1/Plate 5/@20/E11_01.tif "/>
    <s v=" 6164.52 "/>
    <s v=" 35.4351 "/>
    <x v="0"/>
    <n v="218440"/>
    <m/>
    <m/>
  </r>
  <r>
    <x v="18"/>
    <x v="5"/>
    <s v="C:\Users\andre\Desktop\REACTIV CEFAS\Fadrozole\Fadrozole/20201201_Cefas_Test8_Run1/Plate 5/@20/E11_02- exclu.tif"/>
    <m/>
    <m/>
    <x v="1"/>
    <m/>
    <m/>
    <m/>
  </r>
  <r>
    <x v="18"/>
    <x v="5"/>
    <s v="C:\Users\andre\Desktop\REACTIV CEFAS\Fadrozole\Fadrozole/20201201_Cefas_Test8_Run1/Plate 5/@20/E11_03.tif "/>
    <s v=" 5623.7726 "/>
    <s v=" 36.6692 "/>
    <x v="0"/>
    <n v="206219"/>
    <m/>
    <m/>
  </r>
  <r>
    <x v="18"/>
    <x v="6"/>
    <s v="C:\Users\andre\Desktop\REACTIV CEFAS\Fadrozole\Fadrozole/20201201_Cefas_Test8_Run1/Plate 5/@20/F11_01.tif "/>
    <s v=" 1470.8328 "/>
    <s v=" 31.7794 "/>
    <x v="0"/>
    <n v="46742"/>
    <m/>
    <m/>
  </r>
  <r>
    <x v="18"/>
    <x v="6"/>
    <s v="C:\Users\andre\Desktop\REACTIV CEFAS\Fadrozole\Fadrozole/20201201_Cefas_Test8_Run1/Plate 5/@20/F11_02- exclu.tif"/>
    <m/>
    <m/>
    <x v="1"/>
    <m/>
    <m/>
    <m/>
  </r>
  <r>
    <x v="18"/>
    <x v="6"/>
    <s v="C:\Users\andre\Desktop\REACTIV CEFAS\Fadrozole\Fadrozole/20201201_Cefas_Test8_Run1/Plate 5/@20/F11_03.tif "/>
    <s v=" 4088.0501 "/>
    <s v=" 35.0794 "/>
    <x v="0"/>
    <n v="143406"/>
    <m/>
    <m/>
  </r>
  <r>
    <x v="18"/>
    <x v="7"/>
    <s v="C:\Users\andre\Desktop\REACTIV CEFAS\Fadrozole\Fadrozole/20201201_Cefas_Test8_Run1/Plate 5/@20/G11_01.tif "/>
    <s v=" 7916.5414 "/>
    <s v=" 40.3852 "/>
    <x v="0"/>
    <n v="319711"/>
    <m/>
    <m/>
  </r>
  <r>
    <x v="18"/>
    <x v="7"/>
    <s v="C:\Users\andre\Desktop\REACTIV CEFAS\Fadrozole\Fadrozole/20201201_Cefas_Test8_Run1/Plate 5/@20/G11_02.tif "/>
    <s v=" 7072.9755 "/>
    <s v=" 36.7462 "/>
    <x v="0"/>
    <n v="259905"/>
    <m/>
    <m/>
  </r>
  <r>
    <x v="18"/>
    <x v="7"/>
    <s v="C:\Users\andre\Desktop\REACTIV CEFAS\Fadrozole\Fadrozole/20201201_Cefas_Test8_Run1/Plate 5/@20/G11_03.tif "/>
    <s v=" 9906.4917 "/>
    <s v=" 40.3559 "/>
    <x v="0"/>
    <n v="399785"/>
    <m/>
    <m/>
  </r>
  <r>
    <x v="18"/>
    <x v="8"/>
    <s v="C:\Users\andre\Desktop\REACTIV CEFAS\Fadrozole\Fadrozole/20201201_Cefas_Test8_Run1/Plate 5/@20/H11_01.tif "/>
    <s v=" 778.6762 "/>
    <s v=" 32.8889 "/>
    <x v="0"/>
    <n v="25610"/>
    <m/>
    <m/>
  </r>
  <r>
    <x v="18"/>
    <x v="8"/>
    <s v="C:\Users\andre\Desktop\REACTIV CEFAS\Fadrozole\Fadrozole/20201201_Cefas_Test8_Run1/Plate 5/@20/H11_02.tif "/>
    <n v="0"/>
    <n v="0"/>
    <x v="0"/>
    <n v="0"/>
    <m/>
    <m/>
  </r>
  <r>
    <x v="18"/>
    <x v="8"/>
    <s v="C:\Users\andre\Desktop\REACTIV CEFAS\Fadrozole\Fadrozole/20201201_Cefas_Test8_Run1/Plate 5/@20/H11_03.tif "/>
    <n v="0"/>
    <n v="0"/>
    <x v="0"/>
    <n v="0"/>
    <m/>
    <m/>
  </r>
  <r>
    <x v="0"/>
    <x v="0"/>
    <s v=" "/>
    <m/>
    <m/>
    <x v="1"/>
    <m/>
    <m/>
    <m/>
  </r>
  <r>
    <x v="0"/>
    <x v="0"/>
    <s v="group "/>
    <s v=" "/>
    <s v=" mean of mean fluo "/>
    <x v="2"/>
    <s v=" mean of total fluo "/>
    <s v=" SD total fluo "/>
    <m/>
  </r>
  <r>
    <x v="18"/>
    <x v="9"/>
    <s v="C:\Users\andre\Desktop\REACTIV CEFAS\Fadrozole\Fadrozole/20201201_Cefas_Test8_Run1/Plate 5/@20/ "/>
    <s v=" "/>
    <s v=" 33.4761 "/>
    <x v="20"/>
    <s v=" 168878.042 "/>
    <s v=" 131207.316 "/>
    <m/>
  </r>
  <r>
    <x v="0"/>
    <x v="0"/>
    <s v=" "/>
    <m/>
    <m/>
    <x v="1"/>
    <m/>
    <m/>
    <m/>
  </r>
  <r>
    <x v="0"/>
    <x v="0"/>
    <s v=" "/>
    <m/>
    <m/>
    <x v="1"/>
    <m/>
    <m/>
    <m/>
  </r>
  <r>
    <x v="0"/>
    <x v="0"/>
    <s v=" "/>
    <m/>
    <m/>
    <x v="1"/>
    <m/>
    <m/>
    <m/>
  </r>
  <r>
    <x v="0"/>
    <x v="0"/>
    <s v=" "/>
    <m/>
    <m/>
    <x v="1"/>
    <m/>
    <m/>
    <m/>
  </r>
  <r>
    <x v="0"/>
    <x v="0"/>
    <s v=" "/>
    <m/>
    <m/>
    <x v="1"/>
    <m/>
    <m/>
    <m/>
  </r>
  <r>
    <x v="0"/>
    <x v="0"/>
    <s v="file name "/>
    <s v=" total area "/>
    <s v=" mean intensity "/>
    <x v="0"/>
    <s v=" total fluorescence"/>
    <m/>
    <m/>
  </r>
  <r>
    <x v="19"/>
    <x v="1"/>
    <s v="C:\Users\andre\Desktop\REACTIV CEFAS\Fadrozole\Fadrozole/20201201_Cefas_Test8_Run1/Plate 5/@21/A12_01.tif "/>
    <s v=" 5320.9541 "/>
    <s v=" 39.9797 "/>
    <x v="0"/>
    <n v="212730"/>
    <m/>
    <m/>
  </r>
  <r>
    <x v="19"/>
    <x v="1"/>
    <s v="C:\Users\andre\Desktop\REACTIV CEFAS\Fadrozole\Fadrozole/20201201_Cefas_Test8_Run1/Plate 5/@21/A12_02.tif "/>
    <s v=" 5948.221 "/>
    <s v=" 40.9673 "/>
    <x v="0"/>
    <n v="243682"/>
    <m/>
    <m/>
  </r>
  <r>
    <x v="19"/>
    <x v="1"/>
    <s v="C:\Users\andre\Desktop\REACTIV CEFAS\Fadrozole\Fadrozole/20201201_Cefas_Test8_Run1/Plate 5/@21/A12_03.tif "/>
    <s v=" 8132.8404 "/>
    <s v=" 43.7207 "/>
    <x v="0"/>
    <n v="355574"/>
    <m/>
    <m/>
  </r>
  <r>
    <x v="19"/>
    <x v="2"/>
    <s v="C:\Users\andre\Desktop\REACTIV CEFAS\Fadrozole\Fadrozole/20201201_Cefas_Test8_Run1/Plate 5/@21/B12_01.tif "/>
    <s v=" 5883.3313 "/>
    <s v=" 38.6654 "/>
    <x v="0"/>
    <n v="227482"/>
    <m/>
    <m/>
  </r>
  <r>
    <x v="19"/>
    <x v="2"/>
    <s v="C:\Users\andre\Desktop\REACTIV CEFAS\Fadrozole\Fadrozole/20201201_Cefas_Test8_Run1/Plate 5/@21/B12_02.tif "/>
    <n v="0"/>
    <n v="0"/>
    <x v="0"/>
    <n v="0"/>
    <m/>
    <m/>
  </r>
  <r>
    <x v="19"/>
    <x v="2"/>
    <s v="C:\Users\andre\Desktop\REACTIV CEFAS\Fadrozole\Fadrozole/20201201_Cefas_Test8_Run1/Plate 5/@21/B12_03.tif "/>
    <n v="0"/>
    <n v="0"/>
    <x v="0"/>
    <n v="0"/>
    <m/>
    <m/>
  </r>
  <r>
    <x v="19"/>
    <x v="3"/>
    <s v="C:\Users\andre\Desktop\REACTIV CEFAS\Fadrozole\Fadrozole/20201201_Cefas_Test8_Run1/Plate 5/@21/C12_01.tif "/>
    <s v=" 12372.2997 "/>
    <s v=" 39.5105 "/>
    <x v="0"/>
    <n v="488836"/>
    <m/>
    <m/>
  </r>
  <r>
    <x v="19"/>
    <x v="3"/>
    <s v="C:\Users\andre\Desktop\REACTIV CEFAS\Fadrozole\Fadrozole/20201201_Cefas_Test8_Run1/Plate 5/@21/C12_02.tif "/>
    <s v=" 11896.442 "/>
    <s v=" 39.3564 "/>
    <x v="0"/>
    <n v="468201"/>
    <m/>
    <m/>
  </r>
  <r>
    <x v="19"/>
    <x v="3"/>
    <s v="C:\Users\andre\Desktop\REACTIV CEFAS\Fadrozole\Fadrozole/20201201_Cefas_Test8_Run1/Plate 5/@21/C12_03.tif "/>
    <s v=" 8305.8795 "/>
    <s v=" 39.5859 "/>
    <x v="0"/>
    <n v="328796"/>
    <m/>
    <m/>
  </r>
  <r>
    <x v="19"/>
    <x v="4"/>
    <s v="C:\Users\andre\Desktop\REACTIV CEFAS\Fadrozole\Fadrozole/20201201_Cefas_Test8_Run1/Plate 5/@21/D12_01.tif "/>
    <s v=" 5061.3953 "/>
    <s v=" 34.6838 "/>
    <x v="0"/>
    <n v="175548"/>
    <m/>
    <m/>
  </r>
  <r>
    <x v="19"/>
    <x v="4"/>
    <s v="C:\Users\andre\Desktop\REACTIV CEFAS\Fadrozole\Fadrozole/20201201_Cefas_Test8_Run1/Plate 5/@21/D12_02.tif "/>
    <s v=" 2227.8791 "/>
    <s v=" 32.9903 "/>
    <x v="0"/>
    <n v="73498"/>
    <m/>
    <m/>
  </r>
  <r>
    <x v="19"/>
    <x v="4"/>
    <s v="C:\Users\andre\Desktop\REACTIV CEFAS\Fadrozole\Fadrozole/20201201_Cefas_Test8_Run1/Plate 5/@21/D12_03.tif "/>
    <s v=" 2400.9183 "/>
    <s v=" 33.7027 "/>
    <x v="0"/>
    <n v="80917"/>
    <m/>
    <m/>
  </r>
  <r>
    <x v="19"/>
    <x v="5"/>
    <s v="C:\Users\andre\Desktop\REACTIV CEFAS\Fadrozole\Fadrozole/20201201_Cefas_Test8_Run1/Plate 5/@21/E12_01- exclu.tif"/>
    <m/>
    <m/>
    <x v="1"/>
    <m/>
    <m/>
    <m/>
  </r>
  <r>
    <x v="19"/>
    <x v="5"/>
    <s v="C:\Users\andre\Desktop\REACTIV CEFAS\Fadrozole\Fadrozole/20201201_Cefas_Test8_Run1/Plate 5/@21/E12_02- exclu.tif"/>
    <m/>
    <m/>
    <x v="1"/>
    <m/>
    <m/>
    <m/>
  </r>
  <r>
    <x v="19"/>
    <x v="5"/>
    <s v="C:\Users\andre\Desktop\REACTIV CEFAS\Fadrozole\Fadrozole/20201201_Cefas_Test8_Run1/Plate 5/@21/E12_03- exclu.tif"/>
    <m/>
    <m/>
    <x v="1"/>
    <m/>
    <m/>
    <m/>
  </r>
  <r>
    <x v="19"/>
    <x v="6"/>
    <s v="C:\Users\andre\Desktop\REACTIV CEFAS\Fadrozole\Fadrozole/20201201_Cefas_Test8_Run1/Plate 5/@21/F12_01.tif "/>
    <s v=" 3915.0109 "/>
    <s v=" 37.5801 "/>
    <x v="0"/>
    <n v="147127"/>
    <m/>
    <m/>
  </r>
  <r>
    <x v="19"/>
    <x v="6"/>
    <s v="C:\Users\andre\Desktop\REACTIV CEFAS\Fadrozole\Fadrozole/20201201_Cefas_Test8_Run1/Plate 5/@21/F12_02.tif "/>
    <s v=" 2855.1461 "/>
    <s v=" 38.053 "/>
    <x v="0"/>
    <n v="108647"/>
    <m/>
    <m/>
  </r>
  <r>
    <x v="19"/>
    <x v="6"/>
    <s v="C:\Users\andre\Desktop\REACTIV CEFAS\Fadrozole\Fadrozole/20201201_Cefas_Test8_Run1/Plate 5/@21/F12_03- exclu.tif"/>
    <m/>
    <m/>
    <x v="1"/>
    <m/>
    <m/>
    <m/>
  </r>
  <r>
    <x v="19"/>
    <x v="7"/>
    <s v="C:\Users\andre\Desktop\REACTIV CEFAS\Fadrozole\Fadrozole/20201201_Cefas_Test8_Run1/Plate 5/@21/G12_01.tif "/>
    <s v=" 6337.5591 "/>
    <s v=" 42.3174 "/>
    <x v="0"/>
    <n v="268189"/>
    <m/>
    <m/>
  </r>
  <r>
    <x v="19"/>
    <x v="7"/>
    <s v="C:\Users\andre\Desktop\REACTIV CEFAS\Fadrozole\Fadrozole/20201201_Cefas_Test8_Run1/Plate 5/@21/G12_02.tif "/>
    <s v=" 8111.2105 "/>
    <s v=" 45.1627 "/>
    <x v="0"/>
    <n v="366324"/>
    <m/>
    <m/>
  </r>
  <r>
    <x v="19"/>
    <x v="7"/>
    <s v="C:\Users\andre\Desktop\REACTIV CEFAS\Fadrozole\Fadrozole/20201201_Cefas_Test8_Run1/Plate 5/@21/G12_03- exclu.tif"/>
    <m/>
    <m/>
    <x v="1"/>
    <m/>
    <m/>
    <m/>
  </r>
  <r>
    <x v="19"/>
    <x v="8"/>
    <s v="C:\Users\andre\Desktop\REACTIV CEFAS\Fadrozole\Fadrozole/20201201_Cefas_Test8_Run1/Plate 5/@21/H12_01.tif "/>
    <n v="0"/>
    <n v="0"/>
    <x v="0"/>
    <n v="0"/>
    <m/>
    <m/>
  </r>
  <r>
    <x v="19"/>
    <x v="8"/>
    <s v="C:\Users\andre\Desktop\REACTIV CEFAS\Fadrozole\Fadrozole/20201201_Cefas_Test8_Run1/Plate 5/@21/H12_02.tif "/>
    <s v=" 6899.9364 "/>
    <s v=" 33.6113 "/>
    <x v="0"/>
    <n v="231916"/>
    <m/>
    <m/>
  </r>
  <r>
    <x v="19"/>
    <x v="8"/>
    <s v="C:\Users\andre\Desktop\REACTIV CEFAS\Fadrozole\Fadrozole/20201201_Cefas_Test8_Run1/Plate 5/@21/H12_03.tif "/>
    <n v="0"/>
    <n v="0"/>
    <x v="0"/>
    <n v="0"/>
    <m/>
    <m/>
  </r>
  <r>
    <x v="0"/>
    <x v="0"/>
    <s v=" "/>
    <m/>
    <m/>
    <x v="1"/>
    <m/>
    <m/>
    <m/>
  </r>
  <r>
    <x v="0"/>
    <x v="0"/>
    <s v="group "/>
    <s v=" "/>
    <s v=" mean of mean fluo "/>
    <x v="2"/>
    <s v=" mean of total fluo "/>
    <s v=" SD total fluo "/>
    <m/>
  </r>
  <r>
    <x v="19"/>
    <x v="9"/>
    <s v="C:\Users\andre\Desktop\REACTIV CEFAS\Fadrozole\Fadrozole/20201201_Cefas_Test8_Run1/Plate 5/@21/ "/>
    <s v=" "/>
    <s v=" 34.9624 "/>
    <x v="21"/>
    <s v=" 300682.625 "/>
    <s v=" 265723.043 "/>
    <m/>
  </r>
  <r>
    <x v="0"/>
    <x v="0"/>
    <s v=" "/>
    <m/>
    <m/>
    <x v="1"/>
    <m/>
    <m/>
    <m/>
  </r>
  <r>
    <x v="0"/>
    <x v="0"/>
    <s v=" "/>
    <m/>
    <m/>
    <x v="1"/>
    <m/>
    <m/>
    <m/>
  </r>
  <r>
    <x v="0"/>
    <x v="0"/>
    <s v=" "/>
    <m/>
    <m/>
    <x v="1"/>
    <m/>
    <m/>
    <m/>
  </r>
  <r>
    <x v="0"/>
    <x v="0"/>
    <s v=" "/>
    <m/>
    <m/>
    <x v="1"/>
    <m/>
    <m/>
    <m/>
  </r>
  <r>
    <x v="0"/>
    <x v="0"/>
    <s v=" "/>
    <m/>
    <m/>
    <x v="1"/>
    <m/>
    <m/>
    <m/>
  </r>
  <r>
    <x v="0"/>
    <x v="0"/>
    <s v="file name "/>
    <s v=" total area "/>
    <s v=" mean intensity "/>
    <x v="0"/>
    <s v=" total fluorescence"/>
    <m/>
    <m/>
  </r>
  <r>
    <x v="20"/>
    <x v="1"/>
    <s v="C:\Users\andre\Desktop\REACTIV CEFAS\Fadrozole\Fadrozole/20201201_Cefas_Test8_Run1/Plate 5/@8/A2_01.tif "/>
    <s v=" 540.7474 "/>
    <s v=" 32.48 "/>
    <x v="0"/>
    <n v="17563"/>
    <m/>
    <m/>
  </r>
  <r>
    <x v="20"/>
    <x v="1"/>
    <s v="C:\Users\andre\Desktop\REACTIV CEFAS\Fadrozole\Fadrozole/20201201_Cefas_Test8_Run1/Plate 5/@8/A2_02.tif "/>
    <s v=" 410.968 "/>
    <n v="34"/>
    <x v="0"/>
    <n v="13973"/>
    <m/>
    <m/>
  </r>
  <r>
    <x v="20"/>
    <x v="1"/>
    <s v="C:\Users\andre\Desktop\REACTIV CEFAS\Fadrozole\Fadrozole/20201201_Cefas_Test8_Run1/Plate 5/@8/A2_03.tif "/>
    <s v=" 108.1495 "/>
    <n v="32"/>
    <x v="0"/>
    <n v="3461"/>
    <m/>
    <m/>
  </r>
  <r>
    <x v="20"/>
    <x v="2"/>
    <s v="C:\Users\andre\Desktop\REACTIV CEFAS\Fadrozole\Fadrozole/20201201_Cefas_Test8_Run1/Plate 5/@8/B2_01.tif "/>
    <s v=" 605.637 "/>
    <s v=" 33.0714 "/>
    <x v="0"/>
    <n v="20029"/>
    <m/>
    <m/>
  </r>
  <r>
    <x v="20"/>
    <x v="2"/>
    <s v="C:\Users\andre\Desktop\REACTIV CEFAS\Fadrozole\Fadrozole/20201201_Cefas_Test8_Run1/Plate 5/@8/B2_02.tif "/>
    <s v=" 4217.8295 "/>
    <s v=" 35.1128 "/>
    <x v="0"/>
    <n v="148100"/>
    <m/>
    <m/>
  </r>
  <r>
    <x v="20"/>
    <x v="2"/>
    <s v="C:\Users\andre\Desktop\REACTIV CEFAS\Fadrozole\Fadrozole/20201201_Cefas_Test8_Run1/Plate 5/@8/B2_03.tif "/>
    <s v=" 3179.5945 "/>
    <s v=" 34.4898 "/>
    <x v="0"/>
    <n v="109664"/>
    <m/>
    <m/>
  </r>
  <r>
    <x v="20"/>
    <x v="3"/>
    <s v="C:\Users\andre\Desktop\REACTIV CEFAS\Fadrozole\Fadrozole/20201201_Cefas_Test8_Run1/Plate 5/@8/C2_01.tif "/>
    <s v=" 11096.1359 "/>
    <s v=" 46.7427 "/>
    <x v="0"/>
    <n v="518663"/>
    <m/>
    <m/>
  </r>
  <r>
    <x v="20"/>
    <x v="3"/>
    <s v="C:\Users\andre\Desktop\REACTIV CEFAS\Fadrozole\Fadrozole/20201201_Cefas_Test8_Run1/Plate 5/@8/C2_02.tif "/>
    <s v=" 9711.8227 "/>
    <s v=" 44.3764 "/>
    <x v="0"/>
    <n v="430976"/>
    <m/>
    <m/>
  </r>
  <r>
    <x v="20"/>
    <x v="3"/>
    <s v="C:\Users\andre\Desktop\REACTIV CEFAS\Fadrozole\Fadrozole/20201201_Cefas_Test8_Run1/Plate 5/@8/C2_03.tif "/>
    <s v=" 10339.0896 "/>
    <s v=" 44.2197 "/>
    <x v="0"/>
    <n v="457191"/>
    <m/>
    <m/>
  </r>
  <r>
    <x v="20"/>
    <x v="4"/>
    <s v="C:\Users\andre\Desktop\REACTIV CEFAS\Fadrozole\Fadrozole/20201201_Cefas_Test8_Run1/Plate 5/@8/D2_01.tif "/>
    <s v=" 410.968 "/>
    <s v=" 32.9474 "/>
    <x v="0"/>
    <n v="13540"/>
    <m/>
    <m/>
  </r>
  <r>
    <x v="20"/>
    <x v="4"/>
    <s v="C:\Users\andre\Desktop\REACTIV CEFAS\Fadrozole\Fadrozole/20201201_Cefas_Test8_Run1/Plate 5/@8/D2_02- exclu.tif"/>
    <m/>
    <m/>
    <x v="1"/>
    <m/>
    <m/>
    <m/>
  </r>
  <r>
    <x v="20"/>
    <x v="4"/>
    <s v="C:\Users\andre\Desktop\REACTIV CEFAS\Fadrozole\Fadrozole/20201201_Cefas_Test8_Run1/Plate 5/@8/D2_03.tif "/>
    <s v=" 43.2598 "/>
    <s v=" 30.5 "/>
    <x v="0"/>
    <n v="1319"/>
    <m/>
    <m/>
  </r>
  <r>
    <x v="20"/>
    <x v="5"/>
    <s v="C:\Users\andre\Desktop\REACTIV CEFAS\Fadrozole\Fadrozole/20201201_Cefas_Test8_Run1/Plate 5/@8/E2_01.tif "/>
    <s v=" 5191.1747 "/>
    <s v=" 41.5083 "/>
    <x v="0"/>
    <n v="215477"/>
    <m/>
    <m/>
  </r>
  <r>
    <x v="20"/>
    <x v="5"/>
    <s v="C:\Users\andre\Desktop\REACTIV CEFAS\Fadrozole\Fadrozole/20201201_Cefas_Test8_Run1/Plate 5/@8/E2_02.tif "/>
    <s v=" 4542.2779 "/>
    <s v=" 39.3905 "/>
    <x v="0"/>
    <n v="178922"/>
    <m/>
    <m/>
  </r>
  <r>
    <x v="20"/>
    <x v="5"/>
    <s v="C:\Users\andre\Desktop\REACTIV CEFAS\Fadrozole\Fadrozole/20201201_Cefas_Test8_Run1/Plate 5/@8/E2_03.tif "/>
    <s v=" 6337.5591 "/>
    <s v=" 43.6451 "/>
    <x v="0"/>
    <n v="276603"/>
    <m/>
    <m/>
  </r>
  <r>
    <x v="20"/>
    <x v="6"/>
    <s v="C:\Users\andre\Desktop\REACTIV CEFAS\Fadrozole\Fadrozole/20201201_Cefas_Test8_Run1/Plate 5/@8/F2_01.tif "/>
    <s v=" 64.8897 "/>
    <n v="31"/>
    <x v="0"/>
    <n v="2012"/>
    <m/>
    <m/>
  </r>
  <r>
    <x v="20"/>
    <x v="6"/>
    <s v="C:\Users\andre\Desktop\REACTIV CEFAS\Fadrozole\Fadrozole/20201201_Cefas_Test8_Run1/Plate 5/@8/F2_02.tif "/>
    <s v=" 21.6299 "/>
    <n v="30"/>
    <x v="0"/>
    <n v="649"/>
    <m/>
    <m/>
  </r>
  <r>
    <x v="20"/>
    <x v="6"/>
    <s v="C:\Users\andre\Desktop\REACTIV CEFAS\Fadrozole\Fadrozole/20201201_Cefas_Test8_Run1/Plate 5/@8/F2_03.tif "/>
    <s v=" 389.3381 "/>
    <s v=" 31.6667 "/>
    <x v="0"/>
    <n v="12329"/>
    <m/>
    <m/>
  </r>
  <r>
    <x v="20"/>
    <x v="7"/>
    <s v="C:\Users\andre\Desktop\REACTIV CEFAS\Fadrozole\Fadrozole/20201201_Cefas_Test8_Run1/Plate 5/@8/G2_01- exclu.tif"/>
    <m/>
    <m/>
    <x v="1"/>
    <m/>
    <m/>
    <m/>
  </r>
  <r>
    <x v="20"/>
    <x v="7"/>
    <s v="C:\Users\andre\Desktop\REACTIV CEFAS\Fadrozole\Fadrozole/20201201_Cefas_Test8_Run1/Plate 5/@8/G2_02.tif "/>
    <s v=" 7959.8012 "/>
    <s v=" 37.3397 "/>
    <x v="0"/>
    <n v="297216"/>
    <m/>
    <m/>
  </r>
  <r>
    <x v="20"/>
    <x v="7"/>
    <s v="C:\Users\andre\Desktop\REACTIV CEFAS\Fadrozole\Fadrozole/20201201_Cefas_Test8_Run1/Plate 5/@8/G2_03.tif "/>
    <s v=" 7310.9044 "/>
    <s v=" 37.142 "/>
    <x v="0"/>
    <n v="271542"/>
    <m/>
    <m/>
  </r>
  <r>
    <x v="20"/>
    <x v="8"/>
    <s v="C:\Users\andre\Desktop\REACTIV CEFAS\Fadrozole\Fadrozole/20201201_Cefas_Test8_Run1/Plate 5/@8/H2_01- exclu.tif"/>
    <m/>
    <m/>
    <x v="1"/>
    <m/>
    <m/>
    <m/>
  </r>
  <r>
    <x v="20"/>
    <x v="8"/>
    <s v="C:\Users\andre\Desktop\REACTIV CEFAS\Fadrozole\Fadrozole/20201201_Cefas_Test8_Run1/Plate 5/@8/H2_02- exclu.tif"/>
    <m/>
    <m/>
    <x v="1"/>
    <m/>
    <m/>
    <m/>
  </r>
  <r>
    <x v="20"/>
    <x v="8"/>
    <s v="C:\Users\andre\Desktop\REACTIV CEFAS\Fadrozole\Fadrozole/20201201_Cefas_Test8_Run1/Plate 5/@8/H2_03- exclu.tif"/>
    <m/>
    <m/>
    <x v="1"/>
    <m/>
    <m/>
    <m/>
  </r>
  <r>
    <x v="0"/>
    <x v="0"/>
    <s v=" "/>
    <m/>
    <m/>
    <x v="1"/>
    <m/>
    <m/>
    <m/>
  </r>
  <r>
    <x v="0"/>
    <x v="0"/>
    <s v="group "/>
    <s v=" "/>
    <s v=" mean of mean fluo "/>
    <x v="2"/>
    <s v=" mean of total fluo "/>
    <s v=" SD total fluo "/>
    <m/>
  </r>
  <r>
    <x v="20"/>
    <x v="9"/>
    <s v="C:\Users\andre\Desktop\REACTIV CEFAS\Fadrozole\Fadrozole/20201201_Cefas_Test8_Run1/Plate 5/@8/ "/>
    <s v=" "/>
    <s v=" 37.7293 "/>
    <x v="22"/>
    <s v=" 208063.333 "/>
    <s v=" 194175.842 "/>
    <m/>
  </r>
  <r>
    <x v="0"/>
    <x v="0"/>
    <s v=" "/>
    <m/>
    <m/>
    <x v="1"/>
    <m/>
    <m/>
    <m/>
  </r>
  <r>
    <x v="0"/>
    <x v="0"/>
    <s v=" "/>
    <m/>
    <m/>
    <x v="1"/>
    <m/>
    <m/>
    <m/>
  </r>
  <r>
    <x v="0"/>
    <x v="0"/>
    <s v=" "/>
    <m/>
    <m/>
    <x v="1"/>
    <m/>
    <m/>
    <m/>
  </r>
  <r>
    <x v="0"/>
    <x v="0"/>
    <s v=" "/>
    <m/>
    <m/>
    <x v="1"/>
    <m/>
    <m/>
    <m/>
  </r>
  <r>
    <x v="0"/>
    <x v="0"/>
    <s v=" "/>
    <m/>
    <m/>
    <x v="1"/>
    <m/>
    <m/>
    <m/>
  </r>
  <r>
    <x v="0"/>
    <x v="0"/>
    <s v="file name "/>
    <s v=" total area "/>
    <s v=" mean intensity "/>
    <x v="0"/>
    <s v=" total fluorescence"/>
    <m/>
    <m/>
  </r>
  <r>
    <x v="21"/>
    <x v="1"/>
    <s v="C:\Users\andre\Desktop\REACTIV CEFAS\Fadrozole\Fadrozole/20201201_Cefas_Test8_Run1/Plate 5/@9/A3_01.tif "/>
    <s v=" 8803.3671 "/>
    <s v=" 39.9926 "/>
    <x v="0"/>
    <n v="352070"/>
    <m/>
    <m/>
  </r>
  <r>
    <x v="21"/>
    <x v="1"/>
    <s v="C:\Users\andre\Desktop\REACTIV CEFAS\Fadrozole\Fadrozole/20201201_Cefas_Test8_Run1/Plate 5/@9/A3_02.tif "/>
    <s v=" 4953.2459 "/>
    <s v=" 33.4934 "/>
    <x v="0"/>
    <n v="165901"/>
    <m/>
    <m/>
  </r>
  <r>
    <x v="21"/>
    <x v="1"/>
    <s v="C:\Users\andre\Desktop\REACTIV CEFAS\Fadrozole\Fadrozole/20201201_Cefas_Test8_Run1/Plate 5/@9/A3_03.tif "/>
    <s v=" 4152.9398 "/>
    <s v=" 33.6146 "/>
    <x v="0"/>
    <n v="139599"/>
    <m/>
    <m/>
  </r>
  <r>
    <x v="21"/>
    <x v="2"/>
    <s v="C:\Users\andre\Desktop\REACTIV CEFAS\Fadrozole\Fadrozole/20201201_Cefas_Test8_Run1/Plate 5/@9/B3_01.tif "/>
    <s v=" 3720.3419 "/>
    <s v=" 33.7674 "/>
    <x v="0"/>
    <n v="125626"/>
    <m/>
    <m/>
  </r>
  <r>
    <x v="21"/>
    <x v="2"/>
    <s v="C:\Users\andre\Desktop\REACTIV CEFAS\Fadrozole\Fadrozole/20201201_Cefas_Test8_Run1/Plate 5/@9/B3_02.tif "/>
    <s v=" 6640.3777 "/>
    <s v=" 37.3485 "/>
    <x v="0"/>
    <n v="248008"/>
    <m/>
    <m/>
  </r>
  <r>
    <x v="21"/>
    <x v="2"/>
    <s v="C:\Users\andre\Desktop\REACTIV CEFAS\Fadrozole\Fadrozole/20201201_Cefas_Test8_Run1/Plate 5/@9/B3_03.tif "/>
    <s v=" 4607.1676 "/>
    <s v=" 36.0798 "/>
    <x v="0"/>
    <n v="166226"/>
    <m/>
    <m/>
  </r>
  <r>
    <x v="21"/>
    <x v="3"/>
    <s v="C:\Users\andre\Desktop\REACTIV CEFAS\Fadrozole\Fadrozole/20201201_Cefas_Test8_Run1/Plate 5/@9/C3_01.tif "/>
    <s v=" 4780.2067 "/>
    <s v=" 41.267 "/>
    <x v="0"/>
    <n v="197265"/>
    <m/>
    <m/>
  </r>
  <r>
    <x v="21"/>
    <x v="3"/>
    <s v="C:\Users\andre\Desktop\REACTIV CEFAS\Fadrozole\Fadrozole/20201201_Cefas_Test8_Run1/Plate 5/@9/C3_02.tif "/>
    <s v=" 13691.7233 "/>
    <s v=" 38.7741 "/>
    <x v="0"/>
    <n v="530884"/>
    <m/>
    <m/>
  </r>
  <r>
    <x v="21"/>
    <x v="3"/>
    <s v="C:\Users\andre\Desktop\REACTIV CEFAS\Fadrozole\Fadrozole/20201201_Cefas_Test8_Run1/Plate 5/@9/C3_03- exclu.tif"/>
    <m/>
    <m/>
    <x v="1"/>
    <m/>
    <m/>
    <m/>
  </r>
  <r>
    <x v="21"/>
    <x v="4"/>
    <s v="C:\Users\andre\Desktop\REACTIV CEFAS\Fadrozole\Fadrozole/20201201_Cefas_Test8_Run1/Plate 5/@9/D3_01- exclu.tif"/>
    <m/>
    <m/>
    <x v="1"/>
    <m/>
    <m/>
    <m/>
  </r>
  <r>
    <x v="21"/>
    <x v="4"/>
    <s v="C:\Users\andre\Desktop\REACTIV CEFAS\Fadrozole\Fadrozole/20201201_Cefas_Test8_Run1/Plate 5/@9/D3_02- exclu.tif"/>
    <m/>
    <m/>
    <x v="1"/>
    <m/>
    <m/>
    <m/>
  </r>
  <r>
    <x v="21"/>
    <x v="4"/>
    <s v="C:\Users\andre\Desktop\REACTIV CEFAS\Fadrozole\Fadrozole/20201201_Cefas_Test8_Run1/Plate 5/@9/D3_03.tif "/>
    <n v="0"/>
    <n v="0"/>
    <x v="0"/>
    <n v="0"/>
    <m/>
    <m/>
  </r>
  <r>
    <x v="21"/>
    <x v="5"/>
    <s v="C:\Users\andre\Desktop\REACTIV CEFAS\Fadrozole\Fadrozole/20201201_Cefas_Test8_Run1/Plate 5/@9/E3_01.tif "/>
    <s v=" 2206.2493 "/>
    <s v=" 34.4608 "/>
    <x v="0"/>
    <n v="76029"/>
    <m/>
    <m/>
  </r>
  <r>
    <x v="21"/>
    <x v="5"/>
    <s v="C:\Users\andre\Desktop\REACTIV CEFAS\Fadrozole\Fadrozole/20201201_Cefas_Test8_Run1/Plate 5/@9/E3_02.tif "/>
    <s v=" 1168.0143 "/>
    <s v=" 33.8704 "/>
    <x v="0"/>
    <n v="39561"/>
    <m/>
    <m/>
  </r>
  <r>
    <x v="21"/>
    <x v="5"/>
    <s v="C:\Users\andre\Desktop\REACTIV CEFAS\Fadrozole\Fadrozole/20201201_Cefas_Test8_Run1/Plate 5/@9/E3_03.tif "/>
    <s v=" 2162.9895 "/>
    <n v="36"/>
    <x v="0"/>
    <n v="77868"/>
    <m/>
    <m/>
  </r>
  <r>
    <x v="21"/>
    <x v="6"/>
    <s v="C:\Users\andre\Desktop\REACTIV CEFAS\Fadrozole\Fadrozole/20201201_Cefas_Test8_Run1/Plate 5/@9/F3_01- exclu.tif"/>
    <m/>
    <m/>
    <x v="1"/>
    <m/>
    <m/>
    <m/>
  </r>
  <r>
    <x v="21"/>
    <x v="6"/>
    <s v="C:\Users\andre\Desktop\REACTIV CEFAS\Fadrozole\Fadrozole/20201201_Cefas_Test8_Run1/Plate 5/@9/F3_02.tif "/>
    <s v=" 8132.8404 "/>
    <s v=" 40.359 "/>
    <x v="0"/>
    <n v="328234"/>
    <m/>
    <m/>
  </r>
  <r>
    <x v="21"/>
    <x v="6"/>
    <s v="C:\Users\andre\Desktop\REACTIV CEFAS\Fadrozole\Fadrozole/20201201_Cefas_Test8_Run1/Plate 5/@9/F3_03.tif "/>
    <s v=" 9062.9258 "/>
    <s v=" 35.2888 "/>
    <x v="0"/>
    <n v="319820"/>
    <m/>
    <m/>
  </r>
  <r>
    <x v="21"/>
    <x v="7"/>
    <s v="C:\Users\andre\Desktop\REACTIV CEFAS\Fadrozole\Fadrozole/20201201_Cefas_Test8_Run1/Plate 5/@9/G3_01.tif "/>
    <s v=" 6402.4488 "/>
    <s v=" 36.5169 "/>
    <x v="0"/>
    <n v="233798"/>
    <m/>
    <m/>
  </r>
  <r>
    <x v="21"/>
    <x v="7"/>
    <s v="C:\Users\andre\Desktop\REACTIV CEFAS\Fadrozole\Fadrozole/20201201_Cefas_Test8_Run1/Plate 5/@9/G3_02.tif "/>
    <s v=" 2292.7688 "/>
    <s v=" 34.1509 "/>
    <x v="0"/>
    <n v="78300"/>
    <m/>
    <m/>
  </r>
  <r>
    <x v="21"/>
    <x v="7"/>
    <s v="C:\Users\andre\Desktop\REACTIV CEFAS\Fadrozole\Fadrozole/20201201_Cefas_Test8_Run1/Plate 5/@9/G3_03.tif "/>
    <s v=" 1514.0926 "/>
    <s v=" 33.8429 "/>
    <x v="0"/>
    <n v="51241"/>
    <m/>
    <m/>
  </r>
  <r>
    <x v="21"/>
    <x v="8"/>
    <s v="C:\Users\andre\Desktop\REACTIV CEFAS\Fadrozole\Fadrozole/20201201_Cefas_Test8_Run1/Plate 5/@9/H3_01.tif "/>
    <s v=" 1384.3133 "/>
    <s v=" 33.2031 "/>
    <x v="0"/>
    <n v="45964"/>
    <m/>
    <m/>
  </r>
  <r>
    <x v="21"/>
    <x v="8"/>
    <s v="C:\Users\andre\Desktop\REACTIV CEFAS\Fadrozole\Fadrozole/20201201_Cefas_Test8_Run1/Plate 5/@9/H3_02.tif "/>
    <s v=" 2768.6265 "/>
    <s v=" 34.9453 "/>
    <x v="0"/>
    <n v="96751"/>
    <m/>
    <m/>
  </r>
  <r>
    <x v="21"/>
    <x v="8"/>
    <s v="C:\Users\andre\Desktop\REACTIV CEFAS\Fadrozole\Fadrozole/20201201_Cefas_Test8_Run1/Plate 5/@9/H3_03.tif "/>
    <s v=" 2703.7368 "/>
    <s v=" 33.768 "/>
    <x v="0"/>
    <n v="91300"/>
    <m/>
    <m/>
  </r>
  <r>
    <x v="0"/>
    <x v="0"/>
    <s v=" "/>
    <m/>
    <m/>
    <x v="1"/>
    <m/>
    <m/>
    <m/>
  </r>
  <r>
    <x v="0"/>
    <x v="0"/>
    <s v="group "/>
    <s v=" "/>
    <s v=" mean of mean fluo "/>
    <x v="2"/>
    <s v=" mean of total fluo "/>
    <s v=" SD total fluo "/>
    <m/>
  </r>
  <r>
    <x v="21"/>
    <x v="9"/>
    <s v="C:\Users\andre\Desktop\REACTIV CEFAS\Fadrozole\Fadrozole/20201201_Cefas_Test8_Run1/Plate 5/@9/ "/>
    <s v=" "/>
    <s v=" 35.4985 "/>
    <x v="23"/>
    <s v=" 215284.208 "/>
    <s v=" 168226.399 "/>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530">
  <r>
    <x v="0"/>
    <x v="0"/>
    <s v="file name "/>
    <s v=" total area "/>
    <s v=" mean intensity "/>
    <x v="0"/>
    <s v=" total fluorescence"/>
    <m/>
    <m/>
  </r>
  <r>
    <x v="1"/>
    <x v="1"/>
    <s v="C:\Users\andre\Desktop\REACTIV CEFAS\Fadrozole\Fadrozole/20201203_Cefas_Test8_Run3/Plate 1/@1/A10_01.tif "/>
    <s v=" 1643.872 "/>
    <s v=" 34.1316 "/>
    <x v="0"/>
    <n v="56108"/>
    <m/>
    <m/>
  </r>
  <r>
    <x v="1"/>
    <x v="1"/>
    <s v="C:\Users\andre\Desktop\REACTIV CEFAS\Fadrozole\Fadrozole/20201203_Cefas_Test8_Run3/Plate 1/@1/A10_02.tif "/>
    <s v=" 6662.0075 "/>
    <s v=" 36.3149 "/>
    <x v="0"/>
    <n v="241930"/>
    <m/>
    <m/>
  </r>
  <r>
    <x v="1"/>
    <x v="1"/>
    <s v="C:\Users\andre\Desktop\REACTIV CEFAS\Fadrozole\Fadrozole/20201203_Cefas_Test8_Run3/Plate 1/@1/A10_03.tif "/>
    <s v=" 7894.9115 "/>
    <s v=" 39.0521 "/>
    <x v="0"/>
    <n v="308313"/>
    <m/>
    <m/>
  </r>
  <r>
    <x v="1"/>
    <x v="2"/>
    <s v="C:\Users\andre\Desktop\REACTIV CEFAS\Fadrozole\Fadrozole/20201203_Cefas_Test8_Run3/Plate 1/@1/B10_01.tif "/>
    <s v=" 21.6299 "/>
    <n v="30"/>
    <x v="0"/>
    <n v="649"/>
    <m/>
    <m/>
  </r>
  <r>
    <x v="1"/>
    <x v="2"/>
    <s v="C:\Users\andre\Desktop\REACTIV CEFAS\Fadrozole\Fadrozole/20201203_Cefas_Test8_Run3/Plate 1/@1/B10_02- exclu.tif"/>
    <m/>
    <m/>
    <x v="1"/>
    <m/>
    <m/>
    <m/>
  </r>
  <r>
    <x v="1"/>
    <x v="2"/>
    <s v="C:\Users\andre\Desktop\REACTIV CEFAS\Fadrozole\Fadrozole/20201203_Cefas_Test8_Run3/Plate 1/@1/B10_03.tif "/>
    <s v=" 1557.3524 "/>
    <s v=" 32.3472 "/>
    <x v="0"/>
    <n v="50376"/>
    <m/>
    <m/>
  </r>
  <r>
    <x v="1"/>
    <x v="3"/>
    <s v="C:\Users\andre\Desktop\REACTIV CEFAS\Fadrozole\Fadrozole/20201203_Cefas_Test8_Run3/Plate 1/@1/C10_01.tif "/>
    <s v=" 8608.6981 "/>
    <s v=" 39.2839 "/>
    <x v="0"/>
    <n v="338183"/>
    <m/>
    <m/>
  </r>
  <r>
    <x v="1"/>
    <x v="3"/>
    <s v="C:\Users\andre\Desktop\REACTIV CEFAS\Fadrozole\Fadrozole/20201203_Cefas_Test8_Run3/Plate 1/@1/C10_02.tif "/>
    <s v=" 2963.2956 "/>
    <s v=" 38.3577 "/>
    <x v="0"/>
    <n v="113665"/>
    <m/>
    <m/>
  </r>
  <r>
    <x v="1"/>
    <x v="3"/>
    <s v="C:\Users\andre\Desktop\REACTIV CEFAS\Fadrozole\Fadrozole/20201203_Cefas_Test8_Run3/Plate 1/@1/C10_03.tif "/>
    <s v=" 13302.3852 "/>
    <s v=" 39.4276 "/>
    <x v="0"/>
    <n v="524482"/>
    <m/>
    <m/>
  </r>
  <r>
    <x v="1"/>
    <x v="4"/>
    <s v="C:\Users\andre\Desktop\REACTIV CEFAS\Fadrozole\Fadrozole/20201203_Cefas_Test8_Run3/Plate 1/@1/D10_01- exclu.tif"/>
    <m/>
    <m/>
    <x v="1"/>
    <m/>
    <m/>
    <m/>
  </r>
  <r>
    <x v="1"/>
    <x v="4"/>
    <s v="C:\Users\andre\Desktop\REACTIV CEFAS\Fadrozole\Fadrozole/20201203_Cefas_Test8_Run3/Plate 1/@1/D10_02.tif "/>
    <s v=" 2703.7368 "/>
    <s v=" 36.56 "/>
    <x v="0"/>
    <n v="98849"/>
    <m/>
    <m/>
  </r>
  <r>
    <x v="1"/>
    <x v="4"/>
    <s v="C:\Users\andre\Desktop\REACTIV CEFAS\Fadrozole\Fadrozole/20201203_Cefas_Test8_Run3/Plate 1/@1/D10_03.tif "/>
    <s v=" 9084.5557 "/>
    <s v=" 43.5976 "/>
    <x v="0"/>
    <n v="396065"/>
    <m/>
    <m/>
  </r>
  <r>
    <x v="1"/>
    <x v="5"/>
    <s v="C:\Users\andre\Desktop\REACTIV CEFAS\Fadrozole\Fadrozole/20201203_Cefas_Test8_Run3/Plate 1/@1/E10_01.tif "/>
    <s v=" 5385.8438 "/>
    <s v=" 34.0602 "/>
    <x v="0"/>
    <n v="183443"/>
    <m/>
    <m/>
  </r>
  <r>
    <x v="1"/>
    <x v="5"/>
    <s v="C:\Users\andre\Desktop\REACTIV CEFAS\Fadrozole\Fadrozole/20201203_Cefas_Test8_Run3/Plate 1/@1/E10_02.tif "/>
    <s v=" 6164.52 "/>
    <s v=" 33.6035 "/>
    <x v="0"/>
    <n v="207150"/>
    <m/>
    <m/>
  </r>
  <r>
    <x v="1"/>
    <x v="5"/>
    <s v="C:\Users\andre\Desktop\REACTIV CEFAS\Fadrozole\Fadrozole/20201203_Cefas_Test8_Run3/Plate 1/@1/E10_03.tif "/>
    <s v=" 7440.6838 "/>
    <s v=" 33.1134 "/>
    <x v="0"/>
    <n v="246386"/>
    <m/>
    <m/>
  </r>
  <r>
    <x v="1"/>
    <x v="6"/>
    <s v="C:\Users\andre\Desktop\REACTIV CEFAS\Fadrozole\Fadrozole/20201203_Cefas_Test8_Run3/Plate 1/@1/F10_01.tif "/>
    <s v=" 1989.9503 "/>
    <s v=" 36.4022 "/>
    <x v="0"/>
    <n v="72439"/>
    <m/>
    <m/>
  </r>
  <r>
    <x v="1"/>
    <x v="6"/>
    <s v="C:\Users\andre\Desktop\REACTIV CEFAS\Fadrozole\Fadrozole/20201203_Cefas_Test8_Run3/Plate 1/@1/F10_02.tif "/>
    <s v=" 2184.6194 "/>
    <s v=" 30.6139 "/>
    <x v="0"/>
    <n v="66880"/>
    <m/>
    <m/>
  </r>
  <r>
    <x v="1"/>
    <x v="6"/>
    <s v="C:\Users\andre\Desktop\REACTIV CEFAS\Fadrozole\Fadrozole/20201203_Cefas_Test8_Run3/Plate 1/@1/F10_03.tif "/>
    <s v=" 410.968 "/>
    <s v=" 30.8421 "/>
    <x v="0"/>
    <n v="12675"/>
    <m/>
    <m/>
  </r>
  <r>
    <x v="1"/>
    <x v="7"/>
    <s v="C:\Users\andre\Desktop\REACTIV CEFAS\Fadrozole\Fadrozole/20201203_Cefas_Test8_Run3/Plate 1/@1/G10_01.tif "/>
    <n v="0"/>
    <n v="0"/>
    <x v="0"/>
    <n v="0"/>
    <m/>
    <m/>
  </r>
  <r>
    <x v="1"/>
    <x v="7"/>
    <s v="C:\Users\andre\Desktop\REACTIV CEFAS\Fadrozole\Fadrozole/20201203_Cefas_Test8_Run3/Plate 1/@1/G10_02.tif "/>
    <s v=" 7072.9755 "/>
    <s v=" 38.8043 "/>
    <x v="0"/>
    <n v="274462"/>
    <m/>
    <m/>
  </r>
  <r>
    <x v="1"/>
    <x v="7"/>
    <s v="C:\Users\andre\Desktop\REACTIV CEFAS\Fadrozole\Fadrozole/20201203_Cefas_Test8_Run3/Plate 1/@1/G10_03.tif "/>
    <s v=" 7570.4631 "/>
    <s v=" 38.6686 "/>
    <x v="0"/>
    <n v="292739"/>
    <m/>
    <m/>
  </r>
  <r>
    <x v="1"/>
    <x v="8"/>
    <s v="C:\Users\andre\Desktop\REACTIV CEFAS\Fadrozole\Fadrozole/20201203_Cefas_Test8_Run3/Plate 1/@1/H10_01.tif "/>
    <n v="0"/>
    <n v="0"/>
    <x v="0"/>
    <n v="0"/>
    <m/>
    <m/>
  </r>
  <r>
    <x v="1"/>
    <x v="8"/>
    <s v="C:\Users\andre\Desktop\REACTIV CEFAS\Fadrozole\Fadrozole/20201203_Cefas_Test8_Run3/Plate 1/@1/H10_02.tif "/>
    <s v=" 10274.1999 "/>
    <s v=" 46.0211 "/>
    <x v="0"/>
    <n v="472829"/>
    <m/>
    <m/>
  </r>
  <r>
    <x v="1"/>
    <x v="8"/>
    <s v="C:\Users\andre\Desktop\REACTIV CEFAS\Fadrozole\Fadrozole/20201203_Cefas_Test8_Run3/Plate 1/@1/H10_03.tif "/>
    <s v=" 7916.5414 "/>
    <s v=" 47.2568 "/>
    <x v="0"/>
    <n v="374111"/>
    <m/>
    <m/>
  </r>
  <r>
    <x v="0"/>
    <x v="0"/>
    <s v=" "/>
    <m/>
    <m/>
    <x v="1"/>
    <m/>
    <m/>
    <m/>
  </r>
  <r>
    <x v="0"/>
    <x v="0"/>
    <s v="group "/>
    <s v=" "/>
    <s v=" mean of mean fluo "/>
    <x v="2"/>
    <s v=" mean of total fluo "/>
    <s v=" SD total fluo "/>
    <m/>
  </r>
  <r>
    <x v="1"/>
    <x v="9"/>
    <s v="C:\Users\andre\Desktop\REACTIV CEFAS\Fadrozole\Fadrozole/20201203_Cefas_Test8_Run3/Plate 1/@1/ "/>
    <s v=" "/>
    <s v=" 32.1702 "/>
    <x v="3"/>
    <s v=" 180731.333 "/>
    <s v=" 163665.138 "/>
    <m/>
  </r>
  <r>
    <x v="0"/>
    <x v="0"/>
    <s v=" "/>
    <m/>
    <m/>
    <x v="1"/>
    <m/>
    <m/>
    <m/>
  </r>
  <r>
    <x v="0"/>
    <x v="0"/>
    <s v=" "/>
    <m/>
    <m/>
    <x v="1"/>
    <m/>
    <m/>
    <m/>
  </r>
  <r>
    <x v="0"/>
    <x v="0"/>
    <s v=" "/>
    <m/>
    <m/>
    <x v="1"/>
    <m/>
    <m/>
    <m/>
  </r>
  <r>
    <x v="0"/>
    <x v="0"/>
    <s v=" "/>
    <m/>
    <m/>
    <x v="1"/>
    <m/>
    <m/>
    <m/>
  </r>
  <r>
    <x v="0"/>
    <x v="0"/>
    <s v=" "/>
    <m/>
    <m/>
    <x v="1"/>
    <m/>
    <m/>
    <m/>
  </r>
  <r>
    <x v="0"/>
    <x v="0"/>
    <s v="file name "/>
    <s v=" total area "/>
    <s v=" mean intensity "/>
    <x v="0"/>
    <s v=" total fluorescence"/>
    <m/>
    <m/>
  </r>
  <r>
    <x v="2"/>
    <x v="1"/>
    <s v="C:\Users\andre\Desktop\REACTIV CEFAS\Fadrozole\Fadrozole/20201203_Cefas_Test8_Run3/Plate 1/@13/A8_01- exclu.tif"/>
    <m/>
    <m/>
    <x v="1"/>
    <m/>
    <m/>
    <m/>
  </r>
  <r>
    <x v="2"/>
    <x v="1"/>
    <s v="C:\Users\andre\Desktop\REACTIV CEFAS\Fadrozole\Fadrozole/20201203_Cefas_Test8_Run3/Plate 1/@13/A8_02- exclu.tif"/>
    <m/>
    <m/>
    <x v="1"/>
    <m/>
    <m/>
    <m/>
  </r>
  <r>
    <x v="2"/>
    <x v="1"/>
    <s v="C:\Users\andre\Desktop\REACTIV CEFAS\Fadrozole\Fadrozole/20201203_Cefas_Test8_Run3/Plate 1/@13/A8_03.tif "/>
    <s v=" 15811.453 "/>
    <s v=" 33.1737 "/>
    <x v="0"/>
    <n v="524525"/>
    <m/>
    <m/>
  </r>
  <r>
    <x v="2"/>
    <x v="2"/>
    <s v="C:\Users\andre\Desktop\REACTIV CEFAS\Fadrozole\Fadrozole/20201203_Cefas_Test8_Run3/Plate 1/@13/B8_01.tif "/>
    <s v=" 72460.147 "/>
    <s v=" 50.7788 "/>
    <x v="0"/>
    <n v="3679440"/>
    <m/>
    <m/>
  </r>
  <r>
    <x v="2"/>
    <x v="2"/>
    <s v="C:\Users\andre\Desktop\REACTIV CEFAS\Fadrozole\Fadrozole/20201203_Cefas_Test8_Run3/Plate 1/@13/B8_02.tif "/>
    <s v=" 64197.5273 "/>
    <s v=" 48.597 "/>
    <x v="0"/>
    <n v="3119809"/>
    <m/>
    <m/>
  </r>
  <r>
    <x v="2"/>
    <x v="2"/>
    <s v="C:\Users\andre\Desktop\REACTIV CEFAS\Fadrozole\Fadrozole/20201203_Cefas_Test8_Run3/Plate 1/@13/B8_03.tif "/>
    <s v=" 60909.7833 "/>
    <s v=" 50.8775 "/>
    <x v="0"/>
    <n v="3098937"/>
    <m/>
    <m/>
  </r>
  <r>
    <x v="2"/>
    <x v="3"/>
    <s v="C:\Users\andre\Desktop\REACTIV CEFAS\Fadrozole\Fadrozole/20201203_Cefas_Test8_Run3/Plate 1/@13/C8_01.tif "/>
    <s v=" 51046.5513 "/>
    <s v=" 47.7466 "/>
    <x v="0"/>
    <n v="2437300"/>
    <m/>
    <m/>
  </r>
  <r>
    <x v="2"/>
    <x v="3"/>
    <s v="C:\Users\andre\Desktop\REACTIV CEFAS\Fadrozole\Fadrozole/20201203_Cefas_Test8_Run3/Plate 1/@13/C8_02.tif "/>
    <s v=" 68069.2784 "/>
    <s v=" 44.2854 "/>
    <x v="0"/>
    <n v="3014472"/>
    <m/>
    <m/>
  </r>
  <r>
    <x v="2"/>
    <x v="3"/>
    <s v="C:\Users\andre\Desktop\REACTIV CEFAS\Fadrozole\Fadrozole/20201203_Cefas_Test8_Run3/Plate 1/@13/C8_03.tif "/>
    <s v=" 74341.9478 "/>
    <s v=" 42.7221 "/>
    <x v="0"/>
    <n v="3176047"/>
    <m/>
    <m/>
  </r>
  <r>
    <x v="2"/>
    <x v="4"/>
    <s v="C:\Users\andre\Desktop\REACTIV CEFAS\Fadrozole\Fadrozole/20201203_Cefas_Test8_Run3/Plate 1/@13/D8_01.tif "/>
    <s v=" 33807.5253 "/>
    <s v=" 37.1843 "/>
    <x v="0"/>
    <n v="1257108"/>
    <m/>
    <m/>
  </r>
  <r>
    <x v="2"/>
    <x v="4"/>
    <s v="C:\Users\andre\Desktop\REACTIV CEFAS\Fadrozole\Fadrozole/20201203_Cefas_Test8_Run3/Plate 1/@13/D8_02.tif "/>
    <s v=" 30390.002 "/>
    <s v=" 35.5922 "/>
    <x v="0"/>
    <n v="1081646"/>
    <m/>
    <m/>
  </r>
  <r>
    <x v="2"/>
    <x v="4"/>
    <s v="C:\Users\andre\Desktop\REACTIV CEFAS\Fadrozole\Fadrozole/20201203_Cefas_Test8_Run3/Plate 1/@13/D8_03.tif "/>
    <s v=" 32250.1729 "/>
    <s v=" 35.4299 "/>
    <x v="0"/>
    <n v="1142621"/>
    <m/>
    <m/>
  </r>
  <r>
    <x v="2"/>
    <x v="5"/>
    <s v="C:\Users\andre\Desktop\REACTIV CEFAS\Fadrozole\Fadrozole/20201203_Cefas_Test8_Run3/Plate 1/@13/E8_01.tif "/>
    <s v=" 57730.1888 "/>
    <s v=" 38.1135 "/>
    <x v="0"/>
    <n v="2200301"/>
    <m/>
    <m/>
  </r>
  <r>
    <x v="2"/>
    <x v="5"/>
    <s v="C:\Users\andre\Desktop\REACTIV CEFAS\Fadrozole\Fadrozole/20201203_Cefas_Test8_Run3/Plate 1/@13/E8_02.tif "/>
    <s v=" 60455.5555 "/>
    <s v=" 40.771 "/>
    <x v="0"/>
    <n v="2464835"/>
    <m/>
    <m/>
  </r>
  <r>
    <x v="2"/>
    <x v="5"/>
    <s v="C:\Users\andre\Desktop\REACTIV CEFAS\Fadrozole\Fadrozole/20201203_Cefas_Test8_Run3/Plate 1/@13/E8_03.tif "/>
    <s v=" 58206.0464 "/>
    <s v=" 37.5151 "/>
    <x v="0"/>
    <n v="2183603"/>
    <m/>
    <m/>
  </r>
  <r>
    <x v="2"/>
    <x v="6"/>
    <s v="C:\Users\andre\Desktop\REACTIV CEFAS\Fadrozole\Fadrozole/20201203_Cefas_Test8_Run3/Plate 1/@13/F8_01.tif "/>
    <s v=" 1341.0535 "/>
    <s v=" 33.4355 "/>
    <x v="0"/>
    <n v="44839"/>
    <m/>
    <m/>
  </r>
  <r>
    <x v="2"/>
    <x v="6"/>
    <s v="C:\Users\andre\Desktop\REACTIV CEFAS\Fadrozole\Fadrozole/20201203_Cefas_Test8_Run3/Plate 1/@13/F8_02.tif "/>
    <s v=" 1600.6122 "/>
    <s v=" 31.7027 "/>
    <x v="0"/>
    <n v="50744"/>
    <m/>
    <m/>
  </r>
  <r>
    <x v="2"/>
    <x v="6"/>
    <s v="C:\Users\andre\Desktop\REACTIV CEFAS\Fadrozole\Fadrozole/20201203_Cefas_Test8_Run3/Plate 1/@13/F8_03.tif "/>
    <s v=" 194.6691 "/>
    <s v=" 31.1111 "/>
    <x v="0"/>
    <n v="6056"/>
    <m/>
    <m/>
  </r>
  <r>
    <x v="2"/>
    <x v="7"/>
    <s v="C:\Users\andre\Desktop\REACTIV CEFAS\Fadrozole\Fadrozole/20201203_Cefas_Test8_Run3/Plate 1/@13/G8_01.tif "/>
    <s v=" 73736.3108 "/>
    <s v=" 41.9607 "/>
    <x v="0"/>
    <n v="3094027"/>
    <m/>
    <m/>
  </r>
  <r>
    <x v="2"/>
    <x v="7"/>
    <s v="C:\Users\andre\Desktop\REACTIV CEFAS\Fadrozole\Fadrozole/20201203_Cefas_Test8_Run3/Plate 1/@13/G8_02.tif "/>
    <s v=" 75055.7344 "/>
    <s v=" 44.0905 "/>
    <x v="0"/>
    <n v="3309244"/>
    <m/>
    <m/>
  </r>
  <r>
    <x v="2"/>
    <x v="7"/>
    <s v="C:\Users\andre\Desktop\REACTIV CEFAS\Fadrozole\Fadrozole/20201203_Cefas_Test8_Run3/Plate 1/@13/G8_03.tif "/>
    <s v=" 85438.0838 "/>
    <s v=" 49.0529 "/>
    <x v="0"/>
    <n v="4190987"/>
    <m/>
    <m/>
  </r>
  <r>
    <x v="2"/>
    <x v="8"/>
    <s v="C:\Users\andre\Desktop\REACTIV CEFAS\Fadrozole\Fadrozole/20201203_Cefas_Test8_Run3/Plate 1/@13/H8_01.tif "/>
    <s v=" 62012.9079 "/>
    <s v=" 41.4077 "/>
    <x v="0"/>
    <n v="2567815"/>
    <m/>
    <m/>
  </r>
  <r>
    <x v="2"/>
    <x v="8"/>
    <s v="C:\Users\andre\Desktop\REACTIV CEFAS\Fadrozole\Fadrozole/20201203_Cefas_Test8_Run3/Plate 1/@13/H8_02.tif "/>
    <s v=" 47520.8785 "/>
    <s v=" 38.7633 "/>
    <x v="0"/>
    <n v="1842067"/>
    <m/>
    <m/>
  </r>
  <r>
    <x v="2"/>
    <x v="8"/>
    <s v="C:\Users\andre\Desktop\REACTIV CEFAS\Fadrozole\Fadrozole/20201203_Cefas_Test8_Run3/Plate 1/@13/H8_03.tif "/>
    <s v=" 61277.4915 "/>
    <s v=" 41.15 "/>
    <x v="0"/>
    <n v="2521570"/>
    <m/>
    <m/>
  </r>
  <r>
    <x v="0"/>
    <x v="0"/>
    <s v=" "/>
    <m/>
    <m/>
    <x v="1"/>
    <m/>
    <m/>
    <m/>
  </r>
  <r>
    <x v="0"/>
    <x v="0"/>
    <s v="group "/>
    <s v=" "/>
    <s v=" mean of mean fluo "/>
    <x v="2"/>
    <s v=" mean of total fluo "/>
    <s v=" SD total fluo "/>
    <m/>
  </r>
  <r>
    <x v="2"/>
    <x v="9"/>
    <s v="C:\Users\andre\Desktop\REACTIV CEFAS\Fadrozole\Fadrozole/20201203_Cefas_Test8_Run3/Plate 1/@13/ "/>
    <s v=" "/>
    <s v=" 40.4829 "/>
    <x v="4"/>
    <s v=" 2004108.08 "/>
    <s v=" 1264555.13 "/>
    <m/>
  </r>
  <r>
    <x v="0"/>
    <x v="0"/>
    <s v=" "/>
    <m/>
    <m/>
    <x v="1"/>
    <m/>
    <m/>
    <m/>
  </r>
  <r>
    <x v="0"/>
    <x v="0"/>
    <s v=" "/>
    <m/>
    <m/>
    <x v="1"/>
    <m/>
    <m/>
    <m/>
  </r>
  <r>
    <x v="0"/>
    <x v="0"/>
    <s v=" "/>
    <m/>
    <m/>
    <x v="1"/>
    <m/>
    <m/>
    <m/>
  </r>
  <r>
    <x v="0"/>
    <x v="0"/>
    <s v=" "/>
    <m/>
    <m/>
    <x v="1"/>
    <m/>
    <m/>
    <m/>
  </r>
  <r>
    <x v="0"/>
    <x v="0"/>
    <s v=" "/>
    <m/>
    <m/>
    <x v="1"/>
    <m/>
    <m/>
    <m/>
  </r>
  <r>
    <x v="0"/>
    <x v="0"/>
    <s v="file name "/>
    <s v=" total area "/>
    <s v=" mean intensity "/>
    <x v="0"/>
    <s v=" total fluorescence"/>
    <m/>
    <m/>
  </r>
  <r>
    <x v="3"/>
    <x v="1"/>
    <s v="C:\Users\andre\Desktop\REACTIV CEFAS\Fadrozole\Fadrozole/20201203_Cefas_Test8_Run3/Plate 1/@14/A9_01.tif "/>
    <s v=" 48861.932 "/>
    <s v=" 42.1961 "/>
    <x v="0"/>
    <n v="2061783"/>
    <m/>
    <m/>
  </r>
  <r>
    <x v="3"/>
    <x v="1"/>
    <s v="C:\Users\andre\Desktop\REACTIV CEFAS\Fadrozole\Fadrozole/20201203_Cefas_Test8_Run3/Plate 1/@14/A9_02.tif "/>
    <s v=" 39561.0773 "/>
    <s v=" 41.3554 "/>
    <x v="0"/>
    <n v="1636064"/>
    <m/>
    <m/>
  </r>
  <r>
    <x v="3"/>
    <x v="1"/>
    <s v="C:\Users\andre\Desktop\REACTIV CEFAS\Fadrozole\Fadrozole/20201203_Cefas_Test8_Run3/Plate 1/@14/A9_03.tif "/>
    <s v=" 42827.1914 "/>
    <s v=" 37.9515 "/>
    <x v="0"/>
    <n v="1625357"/>
    <m/>
    <m/>
  </r>
  <r>
    <x v="3"/>
    <x v="2"/>
    <s v="C:\Users\andre\Desktop\REACTIV CEFAS\Fadrozole\Fadrozole/20201203_Cefas_Test8_Run3/Plate 1/@14/B9_01.tif "/>
    <s v=" 69691.5205 "/>
    <s v=" 45.2048 "/>
    <x v="0"/>
    <n v="3150394"/>
    <m/>
    <m/>
  </r>
  <r>
    <x v="3"/>
    <x v="2"/>
    <s v="C:\Users\andre\Desktop\REACTIV CEFAS\Fadrozole\Fadrozole/20201203_Cefas_Test8_Run3/Plate 1/@14/B9_02.tif "/>
    <s v=" 73346.9727 "/>
    <s v=" 43.2365 "/>
    <x v="0"/>
    <n v="3171267"/>
    <m/>
    <m/>
  </r>
  <r>
    <x v="3"/>
    <x v="2"/>
    <s v="C:\Users\andre\Desktop\REACTIV CEFAS\Fadrozole\Fadrozole/20201203_Cefas_Test8_Run3/Plate 1/@14/B9_03.tif "/>
    <s v=" 75336.923 "/>
    <s v=" 47.4574 "/>
    <x v="0"/>
    <n v="3575292"/>
    <m/>
    <m/>
  </r>
  <r>
    <x v="3"/>
    <x v="3"/>
    <s v="C:\Users\andre\Desktop\REACTIV CEFAS\Fadrozole\Fadrozole/20201203_Cefas_Test8_Run3/Plate 1/@14/C9_01- exclu.tif"/>
    <m/>
    <m/>
    <x v="1"/>
    <m/>
    <m/>
    <m/>
  </r>
  <r>
    <x v="3"/>
    <x v="3"/>
    <s v="C:\Users\andre\Desktop\REACTIV CEFAS\Fadrozole\Fadrozole/20201203_Cefas_Test8_Run3/Plate 1/@14/C9_02- exclu.tif"/>
    <m/>
    <m/>
    <x v="1"/>
    <m/>
    <m/>
    <m/>
  </r>
  <r>
    <x v="3"/>
    <x v="3"/>
    <s v="C:\Users\andre\Desktop\REACTIV CEFAS\Fadrozole\Fadrozole/20201203_Cefas_Test8_Run3/Plate 1/@14/C9_03- exclu.tif"/>
    <m/>
    <m/>
    <x v="1"/>
    <m/>
    <m/>
    <m/>
  </r>
  <r>
    <x v="3"/>
    <x v="4"/>
    <s v="C:\Users\andre\Desktop\REACTIV CEFAS\Fadrozole\Fadrozole/20201203_Cefas_Test8_Run3/Plate 1/@14/D9_01.tif "/>
    <s v=" 61190.9719 "/>
    <s v=" 38.2683 "/>
    <x v="0"/>
    <n v="2341674"/>
    <m/>
    <m/>
  </r>
  <r>
    <x v="3"/>
    <x v="4"/>
    <s v="C:\Users\andre\Desktop\REACTIV CEFAS\Fadrozole\Fadrozole/20201203_Cefas_Test8_Run3/Plate 1/@14/D9_02.tif "/>
    <s v=" 50722.1029 "/>
    <s v=" 38.7416 "/>
    <x v="0"/>
    <n v="1965054"/>
    <m/>
    <m/>
  </r>
  <r>
    <x v="3"/>
    <x v="4"/>
    <s v="C:\Users\andre\Desktop\REACTIV CEFAS\Fadrozole\Fadrozole/20201203_Cefas_Test8_Run3/Plate 1/@14/D9_03.tif "/>
    <s v=" 54247.7757 "/>
    <s v=" 38.8477 "/>
    <x v="0"/>
    <n v="2107401"/>
    <m/>
    <m/>
  </r>
  <r>
    <x v="3"/>
    <x v="5"/>
    <s v="C:\Users\andre\Desktop\REACTIV CEFAS\Fadrozole\Fadrozole/20201203_Cefas_Test8_Run3/Plate 1/@14/E9_01.tif "/>
    <s v=" 59525.47 "/>
    <s v=" 38.8612 "/>
    <x v="0"/>
    <n v="2313231"/>
    <m/>
    <m/>
  </r>
  <r>
    <x v="3"/>
    <x v="5"/>
    <s v="C:\Users\andre\Desktop\REACTIV CEFAS\Fadrozole\Fadrozole/20201203_Cefas_Test8_Run3/Plate 1/@14/E9_02.tif "/>
    <s v=" 67139.1929 "/>
    <s v=" 43.2072 "/>
    <x v="0"/>
    <n v="2900893"/>
    <m/>
    <m/>
  </r>
  <r>
    <x v="3"/>
    <x v="5"/>
    <s v="C:\Users\andre\Desktop\REACTIV CEFAS\Fadrozole\Fadrozole/20201203_Cefas_Test8_Run3/Plate 1/@14/E9_03.tif "/>
    <s v=" 55783.4982 "/>
    <s v=" 39.071 "/>
    <x v="0"/>
    <n v="2179515"/>
    <m/>
    <m/>
  </r>
  <r>
    <x v="3"/>
    <x v="6"/>
    <s v="C:\Users\andre\Desktop\REACTIV CEFAS\Fadrozole\Fadrozole/20201203_Cefas_Test8_Run3/Plate 1/@14/F9_01.tif "/>
    <s v=" 59958.0679 "/>
    <s v=" 39.825 "/>
    <x v="0"/>
    <n v="2387832"/>
    <m/>
    <m/>
  </r>
  <r>
    <x v="3"/>
    <x v="6"/>
    <s v="C:\Users\andre\Desktop\REACTIV CEFAS\Fadrozole\Fadrozole/20201203_Cefas_Test8_Run3/Plate 1/@14/F9_02.tif "/>
    <s v=" 54983.1921 "/>
    <s v=" 40.9603 "/>
    <x v="0"/>
    <n v="2252126"/>
    <m/>
    <m/>
  </r>
  <r>
    <x v="3"/>
    <x v="6"/>
    <s v="C:\Users\andre\Desktop\REACTIV CEFAS\Fadrozole\Fadrozole/20201203_Cefas_Test8_Run3/Plate 1/@14/F9_03.tif "/>
    <s v=" 59633.6195 "/>
    <s v=" 41.1821 "/>
    <x v="0"/>
    <n v="2455837"/>
    <m/>
    <m/>
  </r>
  <r>
    <x v="3"/>
    <x v="7"/>
    <s v="C:\Users\andre\Desktop\REACTIV CEFAS\Fadrozole\Fadrozole/20201203_Cefas_Test8_Run3/Plate 1/@14/G9_01.tif "/>
    <s v=" 18082.5919 "/>
    <s v=" 32.4318 "/>
    <x v="0"/>
    <n v="586451"/>
    <m/>
    <m/>
  </r>
  <r>
    <x v="3"/>
    <x v="7"/>
    <s v="C:\Users\andre\Desktop\REACTIV CEFAS\Fadrozole\Fadrozole/20201203_Cefas_Test8_Run3/Plate 1/@14/G9_02.tif "/>
    <s v=" 13518.6841 "/>
    <s v=" 31.9152 "/>
    <x v="0"/>
    <n v="431452"/>
    <m/>
    <m/>
  </r>
  <r>
    <x v="3"/>
    <x v="7"/>
    <s v="C:\Users\andre\Desktop\REACTIV CEFAS\Fadrozole\Fadrozole/20201203_Cefas_Test8_Run3/Plate 1/@14/G9_03.tif "/>
    <s v=" 19185.7165 "/>
    <s v=" 32.6618 "/>
    <x v="0"/>
    <n v="626640"/>
    <m/>
    <m/>
  </r>
  <r>
    <x v="3"/>
    <x v="8"/>
    <s v="C:\Users\andre\Desktop\REACTIV CEFAS\Fadrozole\Fadrozole/20201203_Cefas_Test8_Run3/Plate 1/@14/H9_01.tif "/>
    <s v=" 41572.6575 "/>
    <s v=" 42.7503 "/>
    <x v="0"/>
    <n v="1777242"/>
    <m/>
    <m/>
  </r>
  <r>
    <x v="3"/>
    <x v="8"/>
    <s v="C:\Users\andre\Desktop\REACTIV CEFAS\Fadrozole\Fadrozole/20201203_Cefas_Test8_Run3/Plate 1/@14/H9_02.tif "/>
    <s v=" 42437.8533 "/>
    <s v=" 39.3078 "/>
    <x v="0"/>
    <n v="1668141"/>
    <m/>
    <m/>
  </r>
  <r>
    <x v="3"/>
    <x v="8"/>
    <s v="C:\Users\andre\Desktop\REACTIV CEFAS\Fadrozole\Fadrozole/20201203_Cefas_Test8_Run3/Plate 1/@14/H9_03- exclu.tif"/>
    <m/>
    <m/>
    <x v="1"/>
    <m/>
    <m/>
    <m/>
  </r>
  <r>
    <x v="0"/>
    <x v="0"/>
    <s v=" "/>
    <m/>
    <m/>
    <x v="1"/>
    <m/>
    <m/>
    <m/>
  </r>
  <r>
    <x v="0"/>
    <x v="0"/>
    <s v="group "/>
    <s v=" "/>
    <s v=" mean of mean fluo "/>
    <x v="2"/>
    <s v=" mean of total fluo "/>
    <s v=" SD total fluo "/>
    <m/>
  </r>
  <r>
    <x v="3"/>
    <x v="9"/>
    <s v="C:\Users\andre\Desktop\REACTIV CEFAS\Fadrozole\Fadrozole/20201203_Cefas_Test8_Run3/Plate 1/@14/ "/>
    <s v=" "/>
    <s v=" 38.7894 "/>
    <x v="5"/>
    <n v="1809475"/>
    <s v=" 1033538.59 "/>
    <m/>
  </r>
  <r>
    <x v="0"/>
    <x v="0"/>
    <s v=" "/>
    <m/>
    <m/>
    <x v="1"/>
    <m/>
    <m/>
    <m/>
  </r>
  <r>
    <x v="0"/>
    <x v="0"/>
    <s v=" "/>
    <m/>
    <m/>
    <x v="1"/>
    <m/>
    <m/>
    <m/>
  </r>
  <r>
    <x v="0"/>
    <x v="0"/>
    <s v=" "/>
    <m/>
    <m/>
    <x v="1"/>
    <m/>
    <m/>
    <m/>
  </r>
  <r>
    <x v="0"/>
    <x v="0"/>
    <s v=" "/>
    <m/>
    <m/>
    <x v="1"/>
    <m/>
    <m/>
    <m/>
  </r>
  <r>
    <x v="0"/>
    <x v="0"/>
    <s v=" "/>
    <m/>
    <m/>
    <x v="1"/>
    <m/>
    <m/>
    <m/>
  </r>
  <r>
    <x v="0"/>
    <x v="0"/>
    <s v="file name "/>
    <s v=" total area "/>
    <s v=" mean intensity "/>
    <x v="0"/>
    <s v=" total fluorescence"/>
    <m/>
    <m/>
  </r>
  <r>
    <x v="4"/>
    <x v="1"/>
    <s v="C:\Users\andre\Desktop\REACTIV CEFAS\Fadrozole\Fadrozole/20201203_Cefas_Test8_Run3/Plate 1/@15/A11_01.tif "/>
    <s v=" 73044.1542 "/>
    <s v=" 47.2926 "/>
    <x v="0"/>
    <n v="3454446"/>
    <m/>
    <m/>
  </r>
  <r>
    <x v="4"/>
    <x v="1"/>
    <s v="C:\Users\andre\Desktop\REACTIV CEFAS\Fadrozole\Fadrozole/20201203_Cefas_Test8_Run3/Plate 1/@15/A11_02.tif "/>
    <s v=" 68090.9083 "/>
    <s v=" 45.0753 "/>
    <x v="0"/>
    <n v="3069217"/>
    <m/>
    <m/>
  </r>
  <r>
    <x v="4"/>
    <x v="1"/>
    <s v="C:\Users\andre\Desktop\REACTIV CEFAS\Fadrozole\Fadrozole/20201203_Cefas_Test8_Run3/Plate 1/@15/A11_03.tif "/>
    <s v=" 67442.0115 "/>
    <s v=" 47.4885 "/>
    <x v="0"/>
    <n v="3202717"/>
    <m/>
    <m/>
  </r>
  <r>
    <x v="4"/>
    <x v="2"/>
    <s v="C:\Users\andre\Desktop\REACTIV CEFAS\Fadrozole\Fadrozole/20201203_Cefas_Test8_Run3/Plate 1/@15/B11_01.tif "/>
    <s v=" 73390.2325 "/>
    <s v=" 40.5385 "/>
    <x v="0"/>
    <n v="2975127"/>
    <m/>
    <m/>
  </r>
  <r>
    <x v="4"/>
    <x v="2"/>
    <s v="C:\Users\andre\Desktop\REACTIV CEFAS\Fadrozole\Fadrozole/20201203_Cefas_Test8_Run3/Plate 1/@15/B11_02.tif "/>
    <s v=" 73952.6097 "/>
    <s v=" 40.4899 "/>
    <x v="0"/>
    <n v="2994334"/>
    <m/>
    <m/>
  </r>
  <r>
    <x v="4"/>
    <x v="2"/>
    <s v="C:\Users\andre\Desktop\REACTIV CEFAS\Fadrozole\Fadrozole/20201203_Cefas_Test8_Run3/Plate 1/@15/B11_03.tif "/>
    <s v=" 78105.5495 "/>
    <s v=" 45.2088 "/>
    <x v="0"/>
    <n v="3531059"/>
    <m/>
    <m/>
  </r>
  <r>
    <x v="4"/>
    <x v="3"/>
    <s v="C:\Users\andre\Desktop\REACTIV CEFAS\Fadrozole\Fadrozole/20201203_Cefas_Test8_Run3/Plate 1/@15/C11_01.tif "/>
    <s v=" 67831.3496 "/>
    <s v=" 45.8029 "/>
    <x v="0"/>
    <n v="3106875"/>
    <m/>
    <m/>
  </r>
  <r>
    <x v="4"/>
    <x v="3"/>
    <s v="C:\Users\andre\Desktop\REACTIV CEFAS\Fadrozole\Fadrozole/20201203_Cefas_Test8_Run3/Plate 1/@15/C11_02.tif "/>
    <s v=" 60433.9256 "/>
    <s v=" 46.8096 "/>
    <x v="0"/>
    <n v="2828887"/>
    <m/>
    <m/>
  </r>
  <r>
    <x v="4"/>
    <x v="3"/>
    <s v="C:\Users\andre\Desktop\REACTIV CEFAS\Fadrozole\Fadrozole/20201203_Cefas_Test8_Run3/Plate 1/@15/C11_03.tif "/>
    <s v=" 69626.6308 "/>
    <s v=" 45.1066 "/>
    <x v="0"/>
    <n v="3140617"/>
    <m/>
    <m/>
  </r>
  <r>
    <x v="4"/>
    <x v="4"/>
    <s v="C:\Users\andre\Desktop\REACTIV CEFAS\Fadrozole\Fadrozole/20201203_Cefas_Test8_Run3/Plate 1/@15/D11_01.tif "/>
    <s v=" 54658.7437 "/>
    <s v=" 48.4044 "/>
    <x v="0"/>
    <n v="2645725"/>
    <m/>
    <m/>
  </r>
  <r>
    <x v="4"/>
    <x v="4"/>
    <s v="C:\Users\andre\Desktop\REACTIV CEFAS\Fadrozole\Fadrozole/20201203_Cefas_Test8_Run3/Plate 1/@15/D11_02.tif "/>
    <s v=" 58249.3062 "/>
    <s v=" 45.8147 "/>
    <x v="0"/>
    <n v="2668675"/>
    <m/>
    <m/>
  </r>
  <r>
    <x v="4"/>
    <x v="4"/>
    <s v="C:\Users\andre\Desktop\REACTIV CEFAS\Fadrozole\Fadrozole/20201203_Cefas_Test8_Run3/Plate 1/@15/D11_03.tif "/>
    <s v=" 62726.6944 "/>
    <s v=" 48.1848 "/>
    <x v="0"/>
    <n v="3022475"/>
    <m/>
    <m/>
  </r>
  <r>
    <x v="4"/>
    <x v="5"/>
    <s v="C:\Users\andre\Desktop\REACTIV CEFAS\Fadrozole\Fadrozole/20201203_Cefas_Test8_Run3/Plate 1/@15/E11_01.tif "/>
    <s v=" 70318.7874 "/>
    <s v=" 45.7032 "/>
    <x v="0"/>
    <n v="3213791"/>
    <m/>
    <m/>
  </r>
  <r>
    <x v="4"/>
    <x v="5"/>
    <s v="C:\Users\andre\Desktop\REACTIV CEFAS\Fadrozole\Fadrozole/20201203_Cefas_Test8_Run3/Plate 1/@15/E11_02.tif "/>
    <s v=" 74385.2076 "/>
    <s v=" 50.8587 "/>
    <x v="0"/>
    <n v="3783133"/>
    <m/>
    <m/>
  </r>
  <r>
    <x v="4"/>
    <x v="5"/>
    <s v="C:\Users\andre\Desktop\REACTIV CEFAS\Fadrozole\Fadrozole/20201203_Cefas_Test8_Run3/Plate 1/@15/E11_03.tif "/>
    <s v=" 69215.6628 "/>
    <s v=" 46.4684 "/>
    <x v="0"/>
    <n v="3216344"/>
    <m/>
    <m/>
  </r>
  <r>
    <x v="4"/>
    <x v="6"/>
    <s v="C:\Users\andre\Desktop\REACTIV CEFAS\Fadrozole\Fadrozole/20201203_Cefas_Test8_Run3/Plate 1/@15/F11_01.tif "/>
    <s v=" 95322.9456 "/>
    <s v=" 49.4329 "/>
    <x v="0"/>
    <n v="4712094"/>
    <m/>
    <m/>
  </r>
  <r>
    <x v="4"/>
    <x v="6"/>
    <s v="C:\Users\andre\Desktop\REACTIV CEFAS\Fadrozole\Fadrozole/20201203_Cefas_Test8_Run3/Plate 1/@15/F11_02.tif "/>
    <s v=" 95604.1343 "/>
    <s v=" 49.8353 "/>
    <x v="0"/>
    <n v="4764460"/>
    <m/>
    <m/>
  </r>
  <r>
    <x v="4"/>
    <x v="6"/>
    <s v="C:\Users\andre\Desktop\REACTIV CEFAS\Fadrozole\Fadrozole/20201203_Cefas_Test8_Run3/Plate 1/@15/F11_03.tif "/>
    <s v=" 96923.5578 "/>
    <s v=" 47.4084 "/>
    <x v="0"/>
    <n v="4594990"/>
    <m/>
    <m/>
  </r>
  <r>
    <x v="4"/>
    <x v="7"/>
    <s v="C:\Users\andre\Desktop\REACTIV CEFAS\Fadrozole\Fadrozole/20201203_Cefas_Test8_Run3/Plate 1/@15/G11_01- exclu.tif"/>
    <m/>
    <m/>
    <x v="1"/>
    <m/>
    <m/>
    <m/>
  </r>
  <r>
    <x v="4"/>
    <x v="7"/>
    <s v="C:\Users\andre\Desktop\REACTIV CEFAS\Fadrozole\Fadrozole/20201203_Cefas_Test8_Run3/Plate 1/@15/G11_02- exclu.tif"/>
    <m/>
    <m/>
    <x v="1"/>
    <m/>
    <m/>
    <m/>
  </r>
  <r>
    <x v="4"/>
    <x v="7"/>
    <s v="C:\Users\andre\Desktop\REACTIV CEFAS\Fadrozole\Fadrozole/20201203_Cefas_Test8_Run3/Plate 1/@15/G11_03- exclu.tif"/>
    <m/>
    <m/>
    <x v="1"/>
    <m/>
    <m/>
    <m/>
  </r>
  <r>
    <x v="4"/>
    <x v="8"/>
    <s v="C:\Users\andre\Desktop\REACTIV CEFAS\Fadrozole\Fadrozole/20201203_Cefas_Test8_Run3/Plate 1/@15/H11_01.tif "/>
    <s v=" 35710.956 "/>
    <s v=" 36.2362 "/>
    <x v="0"/>
    <n v="1294030"/>
    <m/>
    <m/>
  </r>
  <r>
    <x v="4"/>
    <x v="8"/>
    <s v="C:\Users\andre\Desktop\REACTIV CEFAS\Fadrozole\Fadrozole/20201203_Cefas_Test8_Run3/Plate 1/@15/H11_02.tif "/>
    <s v=" 41529.3977 "/>
    <s v=" 36.3109 "/>
    <x v="0"/>
    <n v="1507971"/>
    <m/>
    <m/>
  </r>
  <r>
    <x v="4"/>
    <x v="8"/>
    <s v="C:\Users\andre\Desktop\REACTIV CEFAS\Fadrozole\Fadrozole/20201203_Cefas_Test8_Run3/Plate 1/@15/H11_03.tif "/>
    <s v=" 27188.7775 "/>
    <s v=" 33.922 "/>
    <x v="0"/>
    <n v="922299"/>
    <m/>
    <m/>
  </r>
  <r>
    <x v="0"/>
    <x v="0"/>
    <s v=" "/>
    <m/>
    <m/>
    <x v="1"/>
    <m/>
    <m/>
    <m/>
  </r>
  <r>
    <x v="0"/>
    <x v="0"/>
    <s v="group "/>
    <s v=" "/>
    <s v=" mean of mean fluo "/>
    <x v="2"/>
    <s v=" mean of total fluo "/>
    <s v=" SD total fluo "/>
    <m/>
  </r>
  <r>
    <x v="4"/>
    <x v="9"/>
    <s v="C:\Users\andre\Desktop\REACTIV CEFAS\Fadrozole\Fadrozole/20201203_Cefas_Test8_Run3/Plate 1/@15/ "/>
    <s v=" "/>
    <s v=" 39.2664 "/>
    <x v="6"/>
    <s v=" 2693719.42 "/>
    <s v=" 1388268.76 "/>
    <m/>
  </r>
  <r>
    <x v="0"/>
    <x v="0"/>
    <s v=" "/>
    <m/>
    <m/>
    <x v="1"/>
    <m/>
    <m/>
    <m/>
  </r>
  <r>
    <x v="0"/>
    <x v="0"/>
    <s v=" "/>
    <m/>
    <m/>
    <x v="1"/>
    <m/>
    <m/>
    <m/>
  </r>
  <r>
    <x v="0"/>
    <x v="0"/>
    <s v=" "/>
    <m/>
    <m/>
    <x v="1"/>
    <m/>
    <m/>
    <m/>
  </r>
  <r>
    <x v="0"/>
    <x v="0"/>
    <s v=" "/>
    <m/>
    <m/>
    <x v="1"/>
    <m/>
    <m/>
    <m/>
  </r>
  <r>
    <x v="0"/>
    <x v="0"/>
    <s v=" "/>
    <m/>
    <m/>
    <x v="1"/>
    <m/>
    <m/>
    <m/>
  </r>
  <r>
    <x v="0"/>
    <x v="0"/>
    <s v="file name "/>
    <s v=" total area "/>
    <s v=" mean intensity "/>
    <x v="0"/>
    <s v=" total fluorescence"/>
    <m/>
    <m/>
  </r>
  <r>
    <x v="5"/>
    <x v="1"/>
    <s v="C:\Users\andre\Desktop\REACTIV CEFAS\Fadrozole\Fadrozole/20201203_Cefas_Test8_Run3/Plate 1/@16/A12_01.tif "/>
    <n v="0"/>
    <n v="0"/>
    <x v="0"/>
    <n v="0"/>
    <m/>
    <m/>
  </r>
  <r>
    <x v="5"/>
    <x v="1"/>
    <s v="C:\Users\andre\Desktop\REACTIV CEFAS\Fadrozole\Fadrozole/20201203_Cefas_Test8_Run3/Plate 1/@16/A12_02.tif "/>
    <s v=" 237.9288 "/>
    <s v=" 31.6364 "/>
    <x v="0"/>
    <n v="7527"/>
    <m/>
    <m/>
  </r>
  <r>
    <x v="5"/>
    <x v="1"/>
    <s v="C:\Users\andre\Desktop\REACTIV CEFAS\Fadrozole\Fadrozole/20201203_Cefas_Test8_Run3/Plate 1/@16/A12_03.tif "/>
    <s v=" 1254.5339 "/>
    <s v=" 31.7586 "/>
    <x v="0"/>
    <n v="39842"/>
    <m/>
    <m/>
  </r>
  <r>
    <x v="5"/>
    <x v="2"/>
    <s v="C:\Users\andre\Desktop\REACTIV CEFAS\Fadrozole\Fadrozole/20201203_Cefas_Test8_Run3/Plate 1/@16/B12_01.tif "/>
    <s v=" 4477.3882 "/>
    <s v=" 34.2222 "/>
    <x v="0"/>
    <n v="153226"/>
    <m/>
    <m/>
  </r>
  <r>
    <x v="5"/>
    <x v="2"/>
    <s v="C:\Users\andre\Desktop\REACTIV CEFAS\Fadrozole\Fadrozole/20201203_Cefas_Test8_Run3/Plate 1/@16/B12_02.tif "/>
    <s v=" 1514.0926 "/>
    <s v=" 32.1857 "/>
    <x v="0"/>
    <n v="48732"/>
    <m/>
    <m/>
  </r>
  <r>
    <x v="5"/>
    <x v="2"/>
    <s v="C:\Users\andre\Desktop\REACTIV CEFAS\Fadrozole\Fadrozole/20201203_Cefas_Test8_Run3/Plate 1/@16/B12_03.tif "/>
    <s v=" 2357.6585 "/>
    <s v=" 32.1284 "/>
    <x v="0"/>
    <n v="75748"/>
    <m/>
    <m/>
  </r>
  <r>
    <x v="5"/>
    <x v="3"/>
    <s v="C:\Users\andre\Desktop\REACTIV CEFAS\Fadrozole\Fadrozole/20201203_Cefas_Test8_Run3/Plate 1/@16/C12_01.tif "/>
    <s v=" 6986.456 "/>
    <s v=" 41.7059 "/>
    <x v="0"/>
    <n v="291376"/>
    <m/>
    <m/>
  </r>
  <r>
    <x v="5"/>
    <x v="3"/>
    <s v="C:\Users\andre\Desktop\REACTIV CEFAS\Fadrozole\Fadrozole/20201203_Cefas_Test8_Run3/Plate 1/@16/C12_02- exclu.tif"/>
    <m/>
    <m/>
    <x v="1"/>
    <m/>
    <m/>
    <m/>
  </r>
  <r>
    <x v="5"/>
    <x v="3"/>
    <s v="C:\Users\andre\Desktop\REACTIV CEFAS\Fadrozole\Fadrozole/20201203_Cefas_Test8_Run3/Plate 1/@16/C12_03.tif "/>
    <n v="0"/>
    <n v="0"/>
    <x v="0"/>
    <n v="0"/>
    <m/>
    <m/>
  </r>
  <r>
    <x v="5"/>
    <x v="4"/>
    <s v="C:\Users\andre\Desktop\REACTIV CEFAS\Fadrozole\Fadrozole/20201203_Cefas_Test8_Run3/Plate 1/@16/D12_01.tif "/>
    <n v="0"/>
    <n v="0"/>
    <x v="0"/>
    <n v="0"/>
    <m/>
    <m/>
  </r>
  <r>
    <x v="5"/>
    <x v="4"/>
    <s v="C:\Users\andre\Desktop\REACTIV CEFAS\Fadrozole\Fadrozole/20201203_Cefas_Test8_Run3/Plate 1/@16/D12_02.tif "/>
    <s v=" 3720.3419 "/>
    <s v=" 37.1628 "/>
    <x v="0"/>
    <n v="138258"/>
    <m/>
    <m/>
  </r>
  <r>
    <x v="5"/>
    <x v="4"/>
    <s v="C:\Users\andre\Desktop\REACTIV CEFAS\Fadrozole\Fadrozole/20201203_Cefas_Test8_Run3/Plate 1/@16/D12_03.tif "/>
    <s v=" 1189.6442 "/>
    <s v=" 33.1636 "/>
    <x v="0"/>
    <n v="39453"/>
    <m/>
    <m/>
  </r>
  <r>
    <x v="5"/>
    <x v="5"/>
    <s v="C:\Users\andre\Desktop\REACTIV CEFAS\Fadrozole\Fadrozole/20201203_Cefas_Test8_Run3/Plate 1/@16/E12_01.tif "/>
    <s v=" 3006.5554 "/>
    <s v=" 33.7194 "/>
    <x v="0"/>
    <n v="101379"/>
    <m/>
    <m/>
  </r>
  <r>
    <x v="5"/>
    <x v="5"/>
    <s v="C:\Users\andre\Desktop\REACTIV CEFAS\Fadrozole\Fadrozole/20201203_Cefas_Test8_Run3/Plate 1/@16/E12_02.tif "/>
    <s v=" 1643.872 "/>
    <s v=" 33.3421 "/>
    <x v="0"/>
    <n v="54810"/>
    <m/>
    <m/>
  </r>
  <r>
    <x v="5"/>
    <x v="5"/>
    <s v="C:\Users\andre\Desktop\REACTIV CEFAS\Fadrozole\Fadrozole/20201203_Cefas_Test8_Run3/Plate 1/@16/E12_03.tif "/>
    <s v=" 1860.1709 "/>
    <s v=" 31.9535 "/>
    <x v="0"/>
    <n v="59439"/>
    <m/>
    <m/>
  </r>
  <r>
    <x v="5"/>
    <x v="6"/>
    <s v="C:\Users\andre\Desktop\REACTIV CEFAS\Fadrozole\Fadrozole/20201203_Cefas_Test8_Run3/Plate 1/@16/F12_01.tif "/>
    <s v=" 2682.1069 "/>
    <s v=" 33.9435 "/>
    <x v="0"/>
    <n v="91040"/>
    <m/>
    <m/>
  </r>
  <r>
    <x v="5"/>
    <x v="6"/>
    <s v="C:\Users\andre\Desktop\REACTIV CEFAS\Fadrozole\Fadrozole/20201203_Cefas_Test8_Run3/Plate 1/@16/F12_02.tif "/>
    <s v=" 432.5979 "/>
    <s v=" 32.6 "/>
    <x v="0"/>
    <n v="14103"/>
    <m/>
    <m/>
  </r>
  <r>
    <x v="5"/>
    <x v="6"/>
    <s v="C:\Users\andre\Desktop\REACTIV CEFAS\Fadrozole\Fadrozole/20201203_Cefas_Test8_Run3/Plate 1/@16/F12_03.tif "/>
    <s v=" 4304.349 "/>
    <s v=" 35.1508 "/>
    <x v="0"/>
    <n v="151301"/>
    <m/>
    <m/>
  </r>
  <r>
    <x v="5"/>
    <x v="7"/>
    <s v="C:\Users\andre\Desktop\REACTIV CEFAS\Fadrozole\Fadrozole/20201203_Cefas_Test8_Run3/Plate 1/@16/G12_01.tif "/>
    <s v=" 9625.3031 "/>
    <s v=" 40.5461 "/>
    <x v="0"/>
    <n v="390268"/>
    <m/>
    <m/>
  </r>
  <r>
    <x v="5"/>
    <x v="7"/>
    <s v="C:\Users\andre\Desktop\REACTIV CEFAS\Fadrozole\Fadrozole/20201203_Cefas_Test8_Run3/Plate 1/@16/G12_02.tif "/>
    <s v=" 9214.3351 "/>
    <s v=" 41.3263 "/>
    <x v="0"/>
    <n v="380794"/>
    <m/>
    <m/>
  </r>
  <r>
    <x v="5"/>
    <x v="7"/>
    <s v="C:\Users\andre\Desktop\REACTIV CEFAS\Fadrozole\Fadrozole/20201203_Cefas_Test8_Run3/Plate 1/@16/G12_03.tif "/>
    <s v=" 5775.1819 "/>
    <s v=" 39.5243 "/>
    <x v="0"/>
    <n v="228260"/>
    <m/>
    <m/>
  </r>
  <r>
    <x v="5"/>
    <x v="8"/>
    <s v="C:\Users\andre\Desktop\REACTIV CEFAS\Fadrozole\Fadrozole/20201203_Cefas_Test8_Run3/Plate 1/@16/H12_01- exclu.tif"/>
    <m/>
    <m/>
    <x v="1"/>
    <m/>
    <m/>
    <m/>
  </r>
  <r>
    <x v="5"/>
    <x v="8"/>
    <s v="C:\Users\andre\Desktop\REACTIV CEFAS\Fadrozole\Fadrozole/20201203_Cefas_Test8_Run3/Plate 1/@16/H12_02- exclu.tif"/>
    <m/>
    <m/>
    <x v="1"/>
    <m/>
    <m/>
    <m/>
  </r>
  <r>
    <x v="5"/>
    <x v="8"/>
    <s v="C:\Users\andre\Desktop\REACTIV CEFAS\Fadrozole\Fadrozole/20201203_Cefas_Test8_Run3/Plate 1/@16/H12_03- exclu.tif"/>
    <m/>
    <m/>
    <x v="1"/>
    <m/>
    <m/>
    <m/>
  </r>
  <r>
    <x v="0"/>
    <x v="0"/>
    <s v=" "/>
    <m/>
    <m/>
    <x v="1"/>
    <m/>
    <m/>
    <m/>
  </r>
  <r>
    <x v="0"/>
    <x v="0"/>
    <s v="group "/>
    <s v=" "/>
    <s v=" mean of mean fluo "/>
    <x v="2"/>
    <s v=" mean of total fluo "/>
    <s v=" SD total fluo "/>
    <m/>
  </r>
  <r>
    <x v="5"/>
    <x v="9"/>
    <s v="C:\Users\andre\Desktop\REACTIV CEFAS\Fadrozole\Fadrozole/20201203_Cefas_Test8_Run3/Plate 1/@16/ "/>
    <s v=" "/>
    <s v=" 26.1865 "/>
    <x v="7"/>
    <s v=" 108680.208 "/>
    <s v=" 126908.679 "/>
    <m/>
  </r>
  <r>
    <x v="0"/>
    <x v="0"/>
    <s v=" "/>
    <m/>
    <m/>
    <x v="1"/>
    <m/>
    <m/>
    <m/>
  </r>
  <r>
    <x v="0"/>
    <x v="0"/>
    <s v=" "/>
    <m/>
    <m/>
    <x v="1"/>
    <m/>
    <m/>
    <m/>
  </r>
  <r>
    <x v="0"/>
    <x v="0"/>
    <s v=" "/>
    <m/>
    <m/>
    <x v="1"/>
    <m/>
    <m/>
    <m/>
  </r>
  <r>
    <x v="0"/>
    <x v="0"/>
    <s v=" "/>
    <m/>
    <m/>
    <x v="1"/>
    <m/>
    <m/>
    <m/>
  </r>
  <r>
    <x v="0"/>
    <x v="0"/>
    <s v=" "/>
    <m/>
    <m/>
    <x v="1"/>
    <m/>
    <m/>
    <m/>
  </r>
  <r>
    <x v="0"/>
    <x v="0"/>
    <s v="file name "/>
    <s v=" total area "/>
    <s v=" mean intensity "/>
    <x v="0"/>
    <s v=" total fluorescence"/>
    <m/>
    <m/>
  </r>
  <r>
    <x v="6"/>
    <x v="1"/>
    <s v="C:\Users\andre\Desktop\REACTIV CEFAS\Fadrozole\Fadrozole/20201203_Cefas_Test8_Run3/Plate 1/@2/A2_01.tif "/>
    <s v=" 8868.2568 "/>
    <s v=" 43.5439 "/>
    <x v="0"/>
    <n v="386159"/>
    <m/>
    <m/>
  </r>
  <r>
    <x v="6"/>
    <x v="1"/>
    <s v="C:\Users\andre\Desktop\REACTIV CEFAS\Fadrozole\Fadrozole/20201203_Cefas_Test8_Run3/Plate 1/@2/A2_02.tif "/>
    <s v=" 11117.7658 "/>
    <s v=" 49.0953 "/>
    <x v="0"/>
    <n v="545830"/>
    <m/>
    <m/>
  </r>
  <r>
    <x v="6"/>
    <x v="1"/>
    <s v="C:\Users\andre\Desktop\REACTIV CEFAS\Fadrozole\Fadrozole/20201203_Cefas_Test8_Run3/Plate 1/@2/A2_03- exclu.tif"/>
    <m/>
    <m/>
    <x v="1"/>
    <m/>
    <m/>
    <m/>
  </r>
  <r>
    <x v="6"/>
    <x v="2"/>
    <s v="C:\Users\andre\Desktop\REACTIV CEFAS\Fadrozole\Fadrozole/20201203_Cefas_Test8_Run3/Plate 1/@2/B2_01.tif "/>
    <s v=" 5753.552 "/>
    <s v=" 39.9098 "/>
    <x v="0"/>
    <n v="229623"/>
    <m/>
    <m/>
  </r>
  <r>
    <x v="6"/>
    <x v="2"/>
    <s v="C:\Users\andre\Desktop\REACTIV CEFAS\Fadrozole\Fadrozole/20201203_Cefas_Test8_Run3/Plate 1/@2/B2_02- exclu.tif"/>
    <m/>
    <m/>
    <x v="1"/>
    <m/>
    <m/>
    <m/>
  </r>
  <r>
    <x v="6"/>
    <x v="2"/>
    <s v="C:\Users\andre\Desktop\REACTIV CEFAS\Fadrozole\Fadrozole/20201203_Cefas_Test8_Run3/Plate 1/@2/B2_03- exclu.tif"/>
    <m/>
    <m/>
    <x v="1"/>
    <m/>
    <m/>
    <m/>
  </r>
  <r>
    <x v="6"/>
    <x v="3"/>
    <s v="C:\Users\andre\Desktop\REACTIV CEFAS\Fadrozole\Fadrozole/20201203_Cefas_Test8_Run3/Plate 1/@2/C2_01.tif "/>
    <n v="0"/>
    <n v="0"/>
    <x v="0"/>
    <n v="0"/>
    <m/>
    <m/>
  </r>
  <r>
    <x v="6"/>
    <x v="3"/>
    <s v="C:\Users\andre\Desktop\REACTIV CEFAS\Fadrozole\Fadrozole/20201203_Cefas_Test8_Run3/Plate 1/@2/C2_02.tif "/>
    <s v=" 3287.744 "/>
    <s v=" 36.1447 "/>
    <x v="0"/>
    <n v="118835"/>
    <m/>
    <m/>
  </r>
  <r>
    <x v="6"/>
    <x v="3"/>
    <s v="C:\Users\andre\Desktop\REACTIV CEFAS\Fadrozole\Fadrozole/20201203_Cefas_Test8_Run3/Plate 1/@2/C2_03.tif "/>
    <s v=" 540.7474 "/>
    <s v=" 33.2 "/>
    <x v="0"/>
    <n v="17953"/>
    <m/>
    <m/>
  </r>
  <r>
    <x v="6"/>
    <x v="4"/>
    <s v="C:\Users\andre\Desktop\REACTIV CEFAS\Fadrozole\Fadrozole/20201203_Cefas_Test8_Run3/Plate 1/@2/D2_01.tif "/>
    <s v=" 11182.6555 "/>
    <s v=" 38.1683 "/>
    <x v="0"/>
    <n v="426823"/>
    <m/>
    <m/>
  </r>
  <r>
    <x v="6"/>
    <x v="4"/>
    <s v="C:\Users\andre\Desktop\REACTIV CEFAS\Fadrozole\Fadrozole/20201203_Cefas_Test8_Run3/Plate 1/@2/D2_02.tif "/>
    <s v=" 8435.6589 "/>
    <s v=" 36.8846 "/>
    <x v="0"/>
    <n v="311146"/>
    <m/>
    <m/>
  </r>
  <r>
    <x v="6"/>
    <x v="4"/>
    <s v="C:\Users\andre\Desktop\REACTIV CEFAS\Fadrozole\Fadrozole/20201203_Cefas_Test8_Run3/Plate 1/@2/D2_03.tif "/>
    <s v=" 8522.1785 "/>
    <s v=" 35.9188 "/>
    <x v="0"/>
    <n v="306106"/>
    <m/>
    <m/>
  </r>
  <r>
    <x v="6"/>
    <x v="5"/>
    <s v="C:\Users\andre\Desktop\REACTIV CEFAS\Fadrozole\Fadrozole/20201203_Cefas_Test8_Run3/Plate 1/@2/E2_01- exclu.tif"/>
    <m/>
    <m/>
    <x v="1"/>
    <m/>
    <m/>
    <m/>
  </r>
  <r>
    <x v="6"/>
    <x v="5"/>
    <s v="C:\Users\andre\Desktop\REACTIV CEFAS\Fadrozole\Fadrozole/20201203_Cefas_Test8_Run3/Plate 1/@2/E2_02- exclu.tif"/>
    <m/>
    <m/>
    <x v="1"/>
    <m/>
    <m/>
    <m/>
  </r>
  <r>
    <x v="6"/>
    <x v="5"/>
    <s v="C:\Users\andre\Desktop\REACTIV CEFAS\Fadrozole\Fadrozole/20201203_Cefas_Test8_Run3/Plate 1/@2/E2_03- exclu.tif"/>
    <m/>
    <m/>
    <x v="1"/>
    <m/>
    <m/>
    <m/>
  </r>
  <r>
    <x v="6"/>
    <x v="6"/>
    <s v="C:\Users\andre\Desktop\REACTIV CEFAS\Fadrozole\Fadrozole/20201203_Cefas_Test8_Run3/Plate 1/@2/F2_01.tif "/>
    <s v=" 3979.9006 "/>
    <s v=" 36.837 "/>
    <x v="0"/>
    <n v="146607"/>
    <m/>
    <m/>
  </r>
  <r>
    <x v="6"/>
    <x v="6"/>
    <s v="C:\Users\andre\Desktop\REACTIV CEFAS\Fadrozole\Fadrozole/20201203_Cefas_Test8_Run3/Plate 1/@2/F2_02.tif "/>
    <s v=" 5602.1427 "/>
    <s v=" 39.7838 "/>
    <x v="0"/>
    <n v="222874"/>
    <m/>
    <m/>
  </r>
  <r>
    <x v="6"/>
    <x v="6"/>
    <s v="C:\Users\andre\Desktop\REACTIV CEFAS\Fadrozole\Fadrozole/20201203_Cefas_Test8_Run3/Plate 1/@2/F2_03.tif "/>
    <s v=" 1838.541 "/>
    <s v=" 36.5294 "/>
    <x v="0"/>
    <n v="67161"/>
    <m/>
    <m/>
  </r>
  <r>
    <x v="6"/>
    <x v="7"/>
    <s v="C:\Users\andre\Desktop\REACTIV CEFAS\Fadrozole\Fadrozole/20201203_Cefas_Test8_Run3/Plate 1/@2/G2_01.tif "/>
    <s v=" 519.1175 "/>
    <s v=" 31.6667 "/>
    <x v="0"/>
    <n v="16439"/>
    <m/>
    <m/>
  </r>
  <r>
    <x v="6"/>
    <x v="7"/>
    <s v="C:\Users\andre\Desktop\REACTIV CEFAS\Fadrozole\Fadrozole/20201203_Cefas_Test8_Run3/Plate 1/@2/G2_02.tif "/>
    <s v=" 64.8897 "/>
    <s v=" 32.3333 "/>
    <x v="0"/>
    <n v="2098"/>
    <m/>
    <m/>
  </r>
  <r>
    <x v="6"/>
    <x v="7"/>
    <s v="C:\Users\andre\Desktop\REACTIV CEFAS\Fadrozole\Fadrozole/20201203_Cefas_Test8_Run3/Plate 1/@2/G2_03.tif "/>
    <s v=" 8846.6269 "/>
    <s v=" 38.0782 "/>
    <x v="0"/>
    <n v="336864"/>
    <m/>
    <m/>
  </r>
  <r>
    <x v="6"/>
    <x v="8"/>
    <s v="C:\Users\andre\Desktop\REACTIV CEFAS\Fadrozole\Fadrozole/20201203_Cefas_Test8_Run3/Plate 1/@2/H2_01.tif "/>
    <s v=" 8673.5877 "/>
    <s v=" 37.8928 "/>
    <x v="0"/>
    <n v="328666"/>
    <m/>
    <m/>
  </r>
  <r>
    <x v="6"/>
    <x v="8"/>
    <s v="C:\Users\andre\Desktop\REACTIV CEFAS\Fadrozole\Fadrozole/20201203_Cefas_Test8_Run3/Plate 1/@2/H2_02.tif "/>
    <s v=" 3850.1212 "/>
    <s v=" 37.7697 "/>
    <x v="0"/>
    <n v="145418"/>
    <m/>
    <m/>
  </r>
  <r>
    <x v="6"/>
    <x v="8"/>
    <s v="C:\Users\andre\Desktop\REACTIV CEFAS\Fadrozole\Fadrozole/20201203_Cefas_Test8_Run3/Plate 1/@2/H2_03.tif "/>
    <s v=" 7765.1322 "/>
    <s v=" 38.585 "/>
    <x v="0"/>
    <n v="299617"/>
    <m/>
    <m/>
  </r>
  <r>
    <x v="0"/>
    <x v="0"/>
    <s v=" "/>
    <m/>
    <m/>
    <x v="1"/>
    <m/>
    <m/>
    <m/>
  </r>
  <r>
    <x v="0"/>
    <x v="0"/>
    <s v="group "/>
    <s v=" "/>
    <s v=" mean of mean fluo "/>
    <x v="2"/>
    <s v=" mean of total fluo "/>
    <s v=" SD total fluo "/>
    <m/>
  </r>
  <r>
    <x v="6"/>
    <x v="9"/>
    <s v="C:\Users\andre\Desktop\REACTIV CEFAS\Fadrozole\Fadrozole/20201203_Cefas_Test8_Run3/Plate 1/@2/ "/>
    <s v=" "/>
    <s v=" 37.7109 "/>
    <x v="8"/>
    <s v=" 332434.333 "/>
    <s v=" 346843.6 "/>
    <m/>
  </r>
  <r>
    <x v="0"/>
    <x v="0"/>
    <s v=" "/>
    <m/>
    <m/>
    <x v="1"/>
    <m/>
    <m/>
    <m/>
  </r>
  <r>
    <x v="0"/>
    <x v="0"/>
    <s v=" "/>
    <m/>
    <m/>
    <x v="1"/>
    <m/>
    <m/>
    <m/>
  </r>
  <r>
    <x v="0"/>
    <x v="0"/>
    <s v=" "/>
    <m/>
    <m/>
    <x v="1"/>
    <m/>
    <m/>
    <m/>
  </r>
  <r>
    <x v="0"/>
    <x v="0"/>
    <s v=" "/>
    <m/>
    <m/>
    <x v="1"/>
    <m/>
    <m/>
    <m/>
  </r>
  <r>
    <x v="0"/>
    <x v="0"/>
    <s v=" "/>
    <m/>
    <m/>
    <x v="1"/>
    <m/>
    <m/>
    <m/>
  </r>
  <r>
    <x v="0"/>
    <x v="0"/>
    <s v="file name "/>
    <s v=" total area "/>
    <s v=" mean intensity "/>
    <x v="0"/>
    <s v=" total fluorescence"/>
    <m/>
    <m/>
  </r>
  <r>
    <x v="7"/>
    <x v="1"/>
    <s v="C:\Users\andre\Desktop\REACTIV CEFAS\Fadrozole\Fadrozole/20201203_Cefas_Test8_Run3/Plate 1/@3/A3_01.tif "/>
    <s v=" 108.1495 "/>
    <s v=" 31.8 "/>
    <x v="0"/>
    <n v="3439"/>
    <m/>
    <m/>
  </r>
  <r>
    <x v="7"/>
    <x v="1"/>
    <s v="C:\Users\andre\Desktop\REACTIV CEFAS\Fadrozole\Fadrozole/20201203_Cefas_Test8_Run3/Plate 1/@3/A3_02- exclu.tif"/>
    <m/>
    <m/>
    <x v="1"/>
    <m/>
    <m/>
    <m/>
  </r>
  <r>
    <x v="7"/>
    <x v="1"/>
    <s v="C:\Users\andre\Desktop\REACTIV CEFAS\Fadrozole\Fadrozole/20201203_Cefas_Test8_Run3/Plate 1/@3/A3_03- exclu.tif"/>
    <m/>
    <m/>
    <x v="1"/>
    <m/>
    <m/>
    <m/>
  </r>
  <r>
    <x v="7"/>
    <x v="2"/>
    <s v="C:\Users\andre\Desktop\REACTIV CEFAS\Fadrozole\Fadrozole/20201203_Cefas_Test8_Run3/Plate 1/@3/B3_01- exclu.tif"/>
    <m/>
    <m/>
    <x v="1"/>
    <m/>
    <m/>
    <m/>
  </r>
  <r>
    <x v="7"/>
    <x v="2"/>
    <s v="C:\Users\andre\Desktop\REACTIV CEFAS\Fadrozole\Fadrozole/20201203_Cefas_Test8_Run3/Plate 1/@3/B3_02.tif "/>
    <s v=" 2119.7297 "/>
    <s v=" 34.8469 "/>
    <x v="0"/>
    <n v="73866"/>
    <m/>
    <m/>
  </r>
  <r>
    <x v="7"/>
    <x v="2"/>
    <s v="C:\Users\andre\Desktop\REACTIV CEFAS\Fadrozole\Fadrozole/20201203_Cefas_Test8_Run3/Plate 1/@3/B3_03.tif "/>
    <n v="0"/>
    <n v="0"/>
    <x v="0"/>
    <n v="0"/>
    <m/>
    <m/>
  </r>
  <r>
    <x v="7"/>
    <x v="3"/>
    <s v="C:\Users\andre\Desktop\REACTIV CEFAS\Fadrozole\Fadrozole/20201203_Cefas_Test8_Run3/Plate 1/@3/C3_01.tif "/>
    <s v=" 3677.0821 "/>
    <s v=" 33.8941 "/>
    <x v="0"/>
    <n v="124631"/>
    <m/>
    <m/>
  </r>
  <r>
    <x v="7"/>
    <x v="3"/>
    <s v="C:\Users\andre\Desktop\REACTIV CEFAS\Fadrozole\Fadrozole/20201203_Cefas_Test8_Run3/Plate 1/@3/C3_02.tif "/>
    <s v=" 1622.2421 "/>
    <s v=" 32.2133 "/>
    <x v="0"/>
    <n v="52258"/>
    <m/>
    <m/>
  </r>
  <r>
    <x v="7"/>
    <x v="3"/>
    <s v="C:\Users\andre\Desktop\REACTIV CEFAS\Fadrozole\Fadrozole/20201203_Cefas_Test8_Run3/Plate 1/@3/C3_03.tif "/>
    <s v=" 1535.7225 "/>
    <s v=" 32.2113 "/>
    <x v="0"/>
    <n v="49468"/>
    <m/>
    <m/>
  </r>
  <r>
    <x v="7"/>
    <x v="4"/>
    <s v="C:\Users\andre\Desktop\REACTIV CEFAS\Fadrozole\Fadrozole/20201203_Cefas_Test8_Run3/Plate 1/@3/D3_01.tif "/>
    <s v=" 6553.8581 "/>
    <s v=" 39.9241 "/>
    <x v="0"/>
    <n v="261657"/>
    <m/>
    <m/>
  </r>
  <r>
    <x v="7"/>
    <x v="4"/>
    <s v="C:\Users\andre\Desktop\REACTIV CEFAS\Fadrozole\Fadrozole/20201203_Cefas_Test8_Run3/Plate 1/@3/D3_02.tif "/>
    <s v=" 9841.6021 "/>
    <s v=" 45.6527 "/>
    <x v="0"/>
    <n v="449296"/>
    <m/>
    <m/>
  </r>
  <r>
    <x v="7"/>
    <x v="4"/>
    <s v="C:\Users\andre\Desktop\REACTIV CEFAS\Fadrozole\Fadrozole/20201203_Cefas_Test8_Run3/Plate 1/@3/D3_03.tif "/>
    <s v=" 10663.5381 "/>
    <s v=" 44.1765 "/>
    <x v="0"/>
    <n v="471077"/>
    <m/>
    <m/>
  </r>
  <r>
    <x v="7"/>
    <x v="5"/>
    <s v="C:\Users\andre\Desktop\REACTIV CEFAS\Fadrozole\Fadrozole/20201203_Cefas_Test8_Run3/Plate 1/@3/E3_01.tif "/>
    <s v=" 5580.5128 "/>
    <s v=" 39.8876 "/>
    <x v="0"/>
    <n v="222593"/>
    <m/>
    <m/>
  </r>
  <r>
    <x v="7"/>
    <x v="5"/>
    <s v="C:\Users\andre\Desktop\REACTIV CEFAS\Fadrozole\Fadrozole/20201203_Cefas_Test8_Run3/Plate 1/@3/E3_02.tif "/>
    <s v=" 5299.3242 "/>
    <s v=" 40.6531 "/>
    <x v="0"/>
    <n v="215434"/>
    <m/>
    <m/>
  </r>
  <r>
    <x v="7"/>
    <x v="5"/>
    <s v="C:\Users\andre\Desktop\REACTIV CEFAS\Fadrozole\Fadrozole/20201203_Cefas_Test8_Run3/Plate 1/@3/E3_03.tif "/>
    <n v="0"/>
    <n v="0"/>
    <x v="0"/>
    <n v="0"/>
    <m/>
    <m/>
  </r>
  <r>
    <x v="7"/>
    <x v="6"/>
    <s v="C:\Users\andre\Desktop\REACTIV CEFAS\Fadrozole\Fadrozole/20201203_Cefas_Test8_Run3/Plate 1/@3/F3_01.tif "/>
    <s v=" 3374.2636 "/>
    <s v=" 37.0256 "/>
    <x v="0"/>
    <n v="124934"/>
    <m/>
    <m/>
  </r>
  <r>
    <x v="7"/>
    <x v="6"/>
    <s v="C:\Users\andre\Desktop\REACTIV CEFAS\Fadrozole\Fadrozole/20201203_Cefas_Test8_Run3/Plate 1/@3/F3_02.tif "/>
    <s v=" 2119.7297 "/>
    <s v=" 34.8776 "/>
    <x v="0"/>
    <n v="73931"/>
    <m/>
    <m/>
  </r>
  <r>
    <x v="7"/>
    <x v="6"/>
    <s v="C:\Users\andre\Desktop\REACTIV CEFAS\Fadrozole\Fadrozole/20201203_Cefas_Test8_Run3/Plate 1/@3/F3_03.tif "/>
    <s v=" 3612.1924 "/>
    <s v=" 35.6587 "/>
    <x v="0"/>
    <n v="128806"/>
    <m/>
    <m/>
  </r>
  <r>
    <x v="7"/>
    <x v="7"/>
    <s v="C:\Users\andre\Desktop\REACTIV CEFAS\Fadrozole\Fadrozole/20201203_Cefas_Test8_Run3/Plate 1/@3/G3_01.tif "/>
    <s v=" 13518.6841 "/>
    <s v=" 32.88 "/>
    <x v="0"/>
    <n v="444494"/>
    <m/>
    <m/>
  </r>
  <r>
    <x v="7"/>
    <x v="7"/>
    <s v="C:\Users\andre\Desktop\REACTIV CEFAS\Fadrozole\Fadrozole/20201203_Cefas_Test8_Run3/Plate 1/@3/G3_02.tif "/>
    <s v=" 22646.4997 "/>
    <s v=" 33.8023 "/>
    <x v="0"/>
    <n v="765504"/>
    <m/>
    <m/>
  </r>
  <r>
    <x v="7"/>
    <x v="7"/>
    <s v="C:\Users\andre\Desktop\REACTIV CEFAS\Fadrozole\Fadrozole/20201203_Cefas_Test8_Run3/Plate 1/@3/G3_03.tif "/>
    <s v=" 9084.5557 "/>
    <s v=" 32.4238 "/>
    <x v="0"/>
    <n v="294556"/>
    <m/>
    <m/>
  </r>
  <r>
    <x v="7"/>
    <x v="8"/>
    <s v="C:\Users\andre\Desktop\REACTIV CEFAS\Fadrozole\Fadrozole/20201203_Cefas_Test8_Run3/Plate 1/@3/H3_01.tif "/>
    <s v=" 7548.8332 "/>
    <s v=" 37.2521 "/>
    <x v="0"/>
    <n v="281210"/>
    <m/>
    <m/>
  </r>
  <r>
    <x v="7"/>
    <x v="8"/>
    <s v="C:\Users\andre\Desktop\REACTIV CEFAS\Fadrozole\Fadrozole/20201203_Cefas_Test8_Run3/Plate 1/@3/H3_02.tif "/>
    <s v=" 17974.4424 "/>
    <s v=" 35.1023 "/>
    <x v="0"/>
    <n v="630944"/>
    <m/>
    <m/>
  </r>
  <r>
    <x v="7"/>
    <x v="8"/>
    <s v="C:\Users\andre\Desktop\REACTIV CEFAS\Fadrozole\Fadrozole/20201203_Cefas_Test8_Run3/Plate 1/@3/H3_03.tif "/>
    <s v=" 9582.0433 "/>
    <s v=" 34.7788 "/>
    <x v="0"/>
    <n v="333252"/>
    <m/>
    <m/>
  </r>
  <r>
    <x v="0"/>
    <x v="0"/>
    <s v=" "/>
    <m/>
    <m/>
    <x v="1"/>
    <m/>
    <m/>
    <m/>
  </r>
  <r>
    <x v="0"/>
    <x v="0"/>
    <s v="group "/>
    <s v=" "/>
    <s v=" mean of mean fluo "/>
    <x v="2"/>
    <s v=" mean of total fluo "/>
    <s v=" SD total fluo "/>
    <m/>
  </r>
  <r>
    <x v="7"/>
    <x v="9"/>
    <s v="C:\Users\andre\Desktop\REACTIV CEFAS\Fadrozole\Fadrozole/20201203_Cefas_Test8_Run3/Plate 1/@3/ "/>
    <s v=" "/>
    <s v=" 33.2496 "/>
    <x v="9"/>
    <s v=" 228032.208 "/>
    <s v=" 214814.989 "/>
    <m/>
  </r>
  <r>
    <x v="0"/>
    <x v="0"/>
    <s v=" "/>
    <m/>
    <m/>
    <x v="1"/>
    <m/>
    <m/>
    <m/>
  </r>
  <r>
    <x v="0"/>
    <x v="0"/>
    <s v=" "/>
    <m/>
    <m/>
    <x v="1"/>
    <m/>
    <m/>
    <m/>
  </r>
  <r>
    <x v="0"/>
    <x v="0"/>
    <s v=" "/>
    <m/>
    <m/>
    <x v="1"/>
    <m/>
    <m/>
    <m/>
  </r>
  <r>
    <x v="0"/>
    <x v="0"/>
    <s v=" "/>
    <m/>
    <m/>
    <x v="1"/>
    <m/>
    <m/>
    <m/>
  </r>
  <r>
    <x v="0"/>
    <x v="0"/>
    <s v=" "/>
    <m/>
    <m/>
    <x v="1"/>
    <m/>
    <m/>
    <m/>
  </r>
  <r>
    <x v="0"/>
    <x v="0"/>
    <s v="file name "/>
    <s v=" total area "/>
    <s v=" mean intensity "/>
    <x v="0"/>
    <s v=" total fluorescence"/>
    <m/>
    <m/>
  </r>
  <r>
    <x v="8"/>
    <x v="1"/>
    <s v="C:\Users\andre\Desktop\REACTIV CEFAS\Fadrozole\Fadrozole/20201203_Cefas_Test8_Run3/Plate 1/@4/A4_01.tif "/>
    <s v=" 12653.4884 "/>
    <s v=" 34.5641 "/>
    <x v="0"/>
    <n v="437356"/>
    <m/>
    <m/>
  </r>
  <r>
    <x v="8"/>
    <x v="1"/>
    <s v="C:\Users\andre\Desktop\REACTIV CEFAS\Fadrozole\Fadrozole/20201203_Cefas_Test8_Run3/Plate 1/@4/A4_02.tif "/>
    <s v=" 12610.2286 "/>
    <s v=" 34.1046 "/>
    <x v="0"/>
    <n v="430067"/>
    <m/>
    <m/>
  </r>
  <r>
    <x v="8"/>
    <x v="1"/>
    <s v="C:\Users\andre\Desktop\REACTIV CEFAS\Fadrozole\Fadrozole/20201203_Cefas_Test8_Run3/Plate 1/@4/A4_03.tif "/>
    <s v=" 19553.4247 "/>
    <s v=" 34.6195 "/>
    <x v="0"/>
    <n v="676929"/>
    <m/>
    <m/>
  </r>
  <r>
    <x v="8"/>
    <x v="2"/>
    <s v="C:\Users\andre\Desktop\REACTIV CEFAS\Fadrozole\Fadrozole/20201203_Cefas_Test8_Run3/Plate 1/@4/B4_01.tif "/>
    <s v=" 3785.2316 "/>
    <s v=" 33.5886 "/>
    <x v="0"/>
    <n v="127141"/>
    <m/>
    <m/>
  </r>
  <r>
    <x v="8"/>
    <x v="2"/>
    <s v="C:\Users\andre\Desktop\REACTIV CEFAS\Fadrozole\Fadrozole/20201203_Cefas_Test8_Run3/Plate 1/@4/B4_02.tif "/>
    <s v=" 3352.6337 "/>
    <s v=" 33.2323 "/>
    <x v="0"/>
    <n v="111416"/>
    <m/>
    <m/>
  </r>
  <r>
    <x v="8"/>
    <x v="2"/>
    <s v="C:\Users\andre\Desktop\REACTIV CEFAS\Fadrozole\Fadrozole/20201203_Cefas_Test8_Run3/Plate 1/@4/B4_03.tif "/>
    <s v=" 11139.3957 "/>
    <s v=" 33.233 "/>
    <x v="0"/>
    <n v="370196"/>
    <m/>
    <m/>
  </r>
  <r>
    <x v="8"/>
    <x v="3"/>
    <s v="C:\Users\andre\Desktop\REACTIV CEFAS\Fadrozole\Fadrozole/20201203_Cefas_Test8_Run3/Plate 1/@4/C4_01.tif "/>
    <s v=" 11161.0256 "/>
    <s v=" 34.7713 "/>
    <x v="0"/>
    <n v="388084"/>
    <m/>
    <m/>
  </r>
  <r>
    <x v="8"/>
    <x v="3"/>
    <s v="C:\Users\andre\Desktop\REACTIV CEFAS\Fadrozole\Fadrozole/20201203_Cefas_Test8_Run3/Plate 1/@4/C4_02.tif "/>
    <s v=" 86.5196 "/>
    <s v=" 30.5 "/>
    <x v="0"/>
    <n v="2639"/>
    <m/>
    <m/>
  </r>
  <r>
    <x v="8"/>
    <x v="3"/>
    <s v="C:\Users\andre\Desktop\REACTIV CEFAS\Fadrozole\Fadrozole/20201203_Cefas_Test8_Run3/Plate 1/@4/C4_03.tif "/>
    <s v=" 11161.0256 "/>
    <s v=" 34.5 "/>
    <x v="0"/>
    <n v="385055"/>
    <m/>
    <m/>
  </r>
  <r>
    <x v="8"/>
    <x v="4"/>
    <s v="C:\Users\andre\Desktop\REACTIV CEFAS\Fadrozole\Fadrozole/20201203_Cefas_Test8_Run3/Plate 1/@4/D4_01.tif "/>
    <s v=" 5169.5448 "/>
    <s v=" 35.9749 "/>
    <x v="0"/>
    <n v="185974"/>
    <m/>
    <m/>
  </r>
  <r>
    <x v="8"/>
    <x v="4"/>
    <s v="C:\Users\andre\Desktop\REACTIV CEFAS\Fadrozole\Fadrozole/20201203_Cefas_Test8_Run3/Plate 1/@4/D4_02.tif "/>
    <s v=" 5558.8829 "/>
    <s v=" 33.6459 "/>
    <x v="0"/>
    <n v="187034"/>
    <m/>
    <m/>
  </r>
  <r>
    <x v="8"/>
    <x v="4"/>
    <s v="C:\Users\andre\Desktop\REACTIV CEFAS\Fadrozole\Fadrozole/20201203_Cefas_Test8_Run3/Plate 1/@4/D4_03.tif "/>
    <s v=" 7116.2353 "/>
    <s v=" 33.2918 "/>
    <x v="0"/>
    <n v="236912"/>
    <m/>
    <m/>
  </r>
  <r>
    <x v="8"/>
    <x v="5"/>
    <s v="C:\Users\andre\Desktop\REACTIV CEFAS\Fadrozole\Fadrozole/20201203_Cefas_Test8_Run3/Plate 1/@4/E4_01.tif "/>
    <s v=" 8067.9507 "/>
    <s v=" 37.9115 "/>
    <x v="0"/>
    <n v="305868"/>
    <m/>
    <m/>
  </r>
  <r>
    <x v="8"/>
    <x v="5"/>
    <s v="C:\Users\andre\Desktop\REACTIV CEFAS\Fadrozole\Fadrozole/20201203_Cefas_Test8_Run3/Plate 1/@4/E4_02.tif "/>
    <s v=" 2595.5874 "/>
    <s v=" 33.3417 "/>
    <x v="0"/>
    <n v="86541"/>
    <m/>
    <m/>
  </r>
  <r>
    <x v="8"/>
    <x v="5"/>
    <s v="C:\Users\andre\Desktop\REACTIV CEFAS\Fadrozole\Fadrozole/20201203_Cefas_Test8_Run3/Plate 1/@4/E4_03.tif "/>
    <s v=" 3698.712 "/>
    <s v=" 33.8655 "/>
    <x v="0"/>
    <n v="125259"/>
    <m/>
    <m/>
  </r>
  <r>
    <x v="8"/>
    <x v="6"/>
    <s v="C:\Users\andre\Desktop\REACTIV CEFAS\Fadrozole\Fadrozole/20201203_Cefas_Test8_Run3/Plate 1/@4/F4_01.tif "/>
    <s v=" 48948.4515 "/>
    <s v=" 37.0866 "/>
    <x v="0"/>
    <n v="1815332"/>
    <m/>
    <m/>
  </r>
  <r>
    <x v="8"/>
    <x v="6"/>
    <s v="C:\Users\andre\Desktop\REACTIV CEFAS\Fadrozole\Fadrozole/20201203_Cefas_Test8_Run3/Plate 1/@4/F4_02.tif "/>
    <s v=" 45292.9994 "/>
    <s v=" 36.1662 "/>
    <x v="0"/>
    <n v="1638075"/>
    <m/>
    <m/>
  </r>
  <r>
    <x v="8"/>
    <x v="6"/>
    <s v="C:\Users\andre\Desktop\REACTIV CEFAS\Fadrozole\Fadrozole/20201203_Cefas_Test8_Run3/Plate 1/@4/F4_03.tif "/>
    <s v=" 48861.932 "/>
    <s v=" 37.1399 "/>
    <x v="0"/>
    <n v="1814727"/>
    <m/>
    <m/>
  </r>
  <r>
    <x v="8"/>
    <x v="7"/>
    <s v="C:\Users\andre\Desktop\REACTIV CEFAS\Fadrozole\Fadrozole/20201203_Cefas_Test8_Run3/Plate 1/@4/G4_01.tif "/>
    <s v=" 5883.3313 "/>
    <s v=" 34.5625 "/>
    <x v="0"/>
    <n v="203343"/>
    <m/>
    <m/>
  </r>
  <r>
    <x v="8"/>
    <x v="7"/>
    <s v="C:\Users\andre\Desktop\REACTIV CEFAS\Fadrozole\Fadrozole/20201203_Cefas_Test8_Run3/Plate 1/@4/G4_02.tif "/>
    <s v=" 1470.8328 "/>
    <s v=" 31.4265 "/>
    <x v="0"/>
    <n v="46223"/>
    <m/>
    <m/>
  </r>
  <r>
    <x v="8"/>
    <x v="7"/>
    <s v="C:\Users\andre\Desktop\REACTIV CEFAS\Fadrozole\Fadrozole/20201203_Cefas_Test8_Run3/Plate 1/@4/G4_03.tif "/>
    <s v=" 5623.7726 "/>
    <s v=" 35.2154 "/>
    <x v="0"/>
    <n v="198043"/>
    <m/>
    <m/>
  </r>
  <r>
    <x v="8"/>
    <x v="8"/>
    <s v="C:\Users\andre\Desktop\REACTIV CEFAS\Fadrozole\Fadrozole/20201203_Cefas_Test8_Run3/Plate 1/@4/H4_01.tif "/>
    <s v=" 10425.6092 "/>
    <s v=" 33.8527 "/>
    <x v="0"/>
    <n v="352935"/>
    <m/>
    <m/>
  </r>
  <r>
    <x v="8"/>
    <x v="8"/>
    <s v="C:\Users\andre\Desktop\REACTIV CEFAS\Fadrozole\Fadrozole/20201203_Cefas_Test8_Run3/Plate 1/@4/H4_02.tif "/>
    <s v=" 17217.3961 "/>
    <s v=" 34.7776 "/>
    <x v="0"/>
    <n v="598780"/>
    <m/>
    <m/>
  </r>
  <r>
    <x v="8"/>
    <x v="8"/>
    <s v="C:\Users\andre\Desktop\REACTIV CEFAS\Fadrozole\Fadrozole/20201203_Cefas_Test8_Run3/Plate 1/@4/H4_03.tif "/>
    <s v=" 10966.3566 "/>
    <s v=" 33.5523 "/>
    <x v="0"/>
    <n v="367946"/>
    <m/>
    <m/>
  </r>
  <r>
    <x v="0"/>
    <x v="0"/>
    <s v=" "/>
    <m/>
    <m/>
    <x v="1"/>
    <m/>
    <m/>
    <m/>
  </r>
  <r>
    <x v="0"/>
    <x v="0"/>
    <s v="group "/>
    <s v=" "/>
    <s v=" mean of mean fluo "/>
    <x v="2"/>
    <s v=" mean of total fluo "/>
    <s v=" SD total fluo "/>
    <m/>
  </r>
  <r>
    <x v="8"/>
    <x v="9"/>
    <s v="C:\Users\andre\Desktop\REACTIV CEFAS\Fadrozole\Fadrozole/20201203_Cefas_Test8_Run3/Plate 1/@4/ "/>
    <s v=" "/>
    <s v=" 34.3718 "/>
    <x v="10"/>
    <s v=" 462161.458 "/>
    <s v=" 527022.614 "/>
    <m/>
  </r>
  <r>
    <x v="0"/>
    <x v="0"/>
    <s v=" "/>
    <m/>
    <m/>
    <x v="1"/>
    <m/>
    <m/>
    <m/>
  </r>
  <r>
    <x v="0"/>
    <x v="0"/>
    <s v=" "/>
    <m/>
    <m/>
    <x v="1"/>
    <m/>
    <m/>
    <m/>
  </r>
  <r>
    <x v="0"/>
    <x v="0"/>
    <s v=" "/>
    <m/>
    <m/>
    <x v="1"/>
    <m/>
    <m/>
    <m/>
  </r>
  <r>
    <x v="0"/>
    <x v="0"/>
    <s v=" "/>
    <m/>
    <m/>
    <x v="1"/>
    <m/>
    <m/>
    <m/>
  </r>
  <r>
    <x v="0"/>
    <x v="0"/>
    <s v=" "/>
    <m/>
    <m/>
    <x v="1"/>
    <m/>
    <m/>
    <m/>
  </r>
  <r>
    <x v="0"/>
    <x v="0"/>
    <s v="file name "/>
    <s v=" total area "/>
    <s v=" mean intensity "/>
    <x v="0"/>
    <s v=" total fluorescence"/>
    <m/>
    <m/>
  </r>
  <r>
    <x v="9"/>
    <x v="1"/>
    <s v="C:\Users\andre\Desktop\REACTIV CEFAS\Fadrozole\Fadrozole/20201203_Cefas_Test8_Run3/Plate 1/@5/A5_01.tif "/>
    <s v=" 52192.9357 "/>
    <s v=" 38.5446 "/>
    <x v="0"/>
    <n v="2011753"/>
    <m/>
    <m/>
  </r>
  <r>
    <x v="9"/>
    <x v="1"/>
    <s v="C:\Users\andre\Desktop\REACTIV CEFAS\Fadrozole\Fadrozole/20201203_Cefas_Test8_Run3/Plate 1/@5/A5_02.tif "/>
    <s v=" 51630.5585 "/>
    <s v=" 40.7248 "/>
    <x v="0"/>
    <n v="2102642"/>
    <m/>
    <m/>
  </r>
  <r>
    <x v="9"/>
    <x v="1"/>
    <s v="C:\Users\andre\Desktop\REACTIV CEFAS\Fadrozole\Fadrozole/20201203_Cefas_Test8_Run3/Plate 1/@5/A5_03.tif "/>
    <s v=" 53836.8077 "/>
    <s v=" 43.4166 "/>
    <x v="0"/>
    <n v="2337413"/>
    <m/>
    <m/>
  </r>
  <r>
    <x v="9"/>
    <x v="2"/>
    <s v="C:\Users\andre\Desktop\REACTIV CEFAS\Fadrozole\Fadrozole/20201203_Cefas_Test8_Run3/Plate 1/@5/B5_01.tif "/>
    <s v=" 13410.5347 "/>
    <s v=" 33.5355 "/>
    <x v="0"/>
    <n v="449729"/>
    <m/>
    <m/>
  </r>
  <r>
    <x v="9"/>
    <x v="2"/>
    <s v="C:\Users\andre\Desktop\REACTIV CEFAS\Fadrozole\Fadrozole/20201203_Cefas_Test8_Run3/Plate 1/@5/B5_02.tif "/>
    <s v=" 11550.3637 "/>
    <s v=" 32.4888 "/>
    <x v="0"/>
    <n v="375257"/>
    <m/>
    <m/>
  </r>
  <r>
    <x v="9"/>
    <x v="2"/>
    <s v="C:\Users\andre\Desktop\REACTIV CEFAS\Fadrozole\Fadrozole/20201203_Cefas_Test8_Run3/Plate 1/@5/B5_03.tif "/>
    <s v=" 13345.645 "/>
    <s v=" 33.2998 "/>
    <x v="0"/>
    <n v="444408"/>
    <m/>
    <m/>
  </r>
  <r>
    <x v="9"/>
    <x v="3"/>
    <s v="C:\Users\andre\Desktop\REACTIV CEFAS\Fadrozole\Fadrozole/20201203_Cefas_Test8_Run3/Plate 1/@5/C5_01.tif "/>
    <s v=" 38998.7 "/>
    <s v=" 36.178 "/>
    <x v="0"/>
    <n v="1410896"/>
    <m/>
    <m/>
  </r>
  <r>
    <x v="9"/>
    <x v="3"/>
    <s v="C:\Users\andre\Desktop\REACTIV CEFAS\Fadrozole\Fadrozole/20201203_Cefas_Test8_Run3/Plate 1/@5/C5_02.tif "/>
    <s v=" 35170.2087 "/>
    <s v=" 35.8659 "/>
    <x v="0"/>
    <n v="1261412"/>
    <m/>
    <m/>
  </r>
  <r>
    <x v="9"/>
    <x v="3"/>
    <s v="C:\Users\andre\Desktop\REACTIV CEFAS\Fadrozole\Fadrozole/20201203_Cefas_Test8_Run3/Plate 1/@5/C5_03.tif "/>
    <s v=" 43432.8284 "/>
    <s v=" 38.3889 "/>
    <x v="0"/>
    <n v="1667340"/>
    <m/>
    <m/>
  </r>
  <r>
    <x v="9"/>
    <x v="4"/>
    <s v="C:\Users\andre\Desktop\REACTIV CEFAS\Fadrozole\Fadrozole/20201203_Cefas_Test8_Run3/Plate 1/@5/D5_01.tif "/>
    <s v=" 63656.7799 "/>
    <s v=" 47.6184 "/>
    <x v="0"/>
    <n v="3031235"/>
    <m/>
    <m/>
  </r>
  <r>
    <x v="9"/>
    <x v="4"/>
    <s v="C:\Users\andre\Desktop\REACTIV CEFAS\Fadrozole\Fadrozole/20201203_Cefas_Test8_Run3/Plate 1/@5/D5_02.tif "/>
    <s v=" 70362.0472 "/>
    <s v=" 46.7608 "/>
    <x v="0"/>
    <n v="3290188"/>
    <m/>
    <m/>
  </r>
  <r>
    <x v="9"/>
    <x v="4"/>
    <s v="C:\Users\andre\Desktop\REACTIV CEFAS\Fadrozole\Fadrozole/20201203_Cefas_Test8_Run3/Plate 1/@5/D5_03.tif "/>
    <s v=" 70491.8266 "/>
    <s v=" 47.8487 "/>
    <x v="0"/>
    <n v="3372944"/>
    <m/>
    <m/>
  </r>
  <r>
    <x v="9"/>
    <x v="5"/>
    <s v="C:\Users\andre\Desktop\REACTIV CEFAS\Fadrozole\Fadrozole/20201203_Cefas_Test8_Run3/Plate 1/@5/E5_01.tif "/>
    <s v=" 29827.6247 "/>
    <s v=" 35.5874 "/>
    <x v="0"/>
    <n v="1061487"/>
    <m/>
    <m/>
  </r>
  <r>
    <x v="9"/>
    <x v="5"/>
    <s v="C:\Users\andre\Desktop\REACTIV CEFAS\Fadrozole\Fadrozole/20201203_Cefas_Test8_Run3/Plate 1/@5/E5_02.tif "/>
    <s v=" 34283.383 "/>
    <s v=" 37.3155 "/>
    <x v="0"/>
    <n v="1279300"/>
    <m/>
    <m/>
  </r>
  <r>
    <x v="9"/>
    <x v="5"/>
    <s v="C:\Users\andre\Desktop\REACTIV CEFAS\Fadrozole\Fadrozole/20201203_Cefas_Test8_Run3/Plate 1/@5/E5_03.tif "/>
    <s v=" 42351.3337 "/>
    <s v=" 37.1103 "/>
    <x v="0"/>
    <n v="1571671"/>
    <m/>
    <m/>
  </r>
  <r>
    <x v="9"/>
    <x v="6"/>
    <s v="C:\Users\andre\Desktop\REACTIV CEFAS\Fadrozole\Fadrozole/20201203_Cefas_Test8_Run3/Plate 1/@5/F5_01.tif "/>
    <s v=" 50332.7648 "/>
    <s v=" 42.1723 "/>
    <x v="0"/>
    <n v="2122650"/>
    <m/>
    <m/>
  </r>
  <r>
    <x v="9"/>
    <x v="6"/>
    <s v="C:\Users\andre\Desktop\REACTIV CEFAS\Fadrozole\Fadrozole/20201203_Cefas_Test8_Run3/Plate 1/@5/F5_02.tif "/>
    <s v=" 45660.7076 "/>
    <s v=" 39.6774 "/>
    <x v="0"/>
    <n v="1811698"/>
    <m/>
    <m/>
  </r>
  <r>
    <x v="9"/>
    <x v="6"/>
    <s v="C:\Users\andre\Desktop\REACTIV CEFAS\Fadrozole\Fadrozole/20201203_Cefas_Test8_Run3/Plate 1/@5/F5_03.tif "/>
    <s v=" 46114.9353 "/>
    <s v=" 38.6454 "/>
    <x v="0"/>
    <n v="1782130"/>
    <m/>
    <m/>
  </r>
  <r>
    <x v="9"/>
    <x v="7"/>
    <s v="C:\Users\andre\Desktop\REACTIV CEFAS\Fadrozole\Fadrozole/20201203_Cefas_Test8_Run3/Plate 1/@5/G5_01.tif "/>
    <s v=" 4931.616 "/>
    <s v=" 32.8684 "/>
    <x v="0"/>
    <n v="162094"/>
    <m/>
    <m/>
  </r>
  <r>
    <x v="9"/>
    <x v="7"/>
    <s v="C:\Users\andre\Desktop\REACTIV CEFAS\Fadrozole\Fadrozole/20201203_Cefas_Test8_Run3/Plate 1/@5/G5_02.tif "/>
    <s v=" 11853.1823 "/>
    <s v=" 33.1113 "/>
    <x v="0"/>
    <n v="392474"/>
    <m/>
    <m/>
  </r>
  <r>
    <x v="9"/>
    <x v="7"/>
    <s v="C:\Users\andre\Desktop\REACTIV CEFAS\Fadrozole\Fadrozole/20201203_Cefas_Test8_Run3/Plate 1/@5/G5_03.tif "/>
    <s v=" 5277.6943 "/>
    <s v=" 32.9016 "/>
    <x v="0"/>
    <n v="173645"/>
    <m/>
    <m/>
  </r>
  <r>
    <x v="9"/>
    <x v="8"/>
    <s v="C:\Users\andre\Desktop\REACTIV CEFAS\Fadrozole\Fadrozole/20201203_Cefas_Test8_Run3/Plate 1/@5/H5_01.tif "/>
    <s v=" 32531.3615 "/>
    <s v=" 39.1257 "/>
    <x v="0"/>
    <n v="1272811"/>
    <m/>
    <m/>
  </r>
  <r>
    <x v="9"/>
    <x v="8"/>
    <s v="C:\Users\andre\Desktop\REACTIV CEFAS\Fadrozole\Fadrozole/20201203_Cefas_Test8_Run3/Plate 1/@5/H5_02.tif "/>
    <s v=" 28075.6032 "/>
    <s v=" 37.3259 "/>
    <x v="0"/>
    <n v="1047947"/>
    <m/>
    <m/>
  </r>
  <r>
    <x v="9"/>
    <x v="8"/>
    <s v="C:\Users\andre\Desktop\REACTIV CEFAS\Fadrozole\Fadrozole/20201203_Cefas_Test8_Run3/Plate 1/@5/H5_03.tif "/>
    <s v=" 28724.5001 "/>
    <s v=" 38.4413 "/>
    <x v="0"/>
    <n v="1104206"/>
    <m/>
    <m/>
  </r>
  <r>
    <x v="0"/>
    <x v="0"/>
    <s v=" "/>
    <m/>
    <m/>
    <x v="1"/>
    <m/>
    <m/>
    <m/>
  </r>
  <r>
    <x v="0"/>
    <x v="0"/>
    <s v="group "/>
    <s v=" "/>
    <s v=" mean of mean fluo "/>
    <x v="2"/>
    <s v=" mean of total fluo "/>
    <s v=" SD total fluo "/>
    <m/>
  </r>
  <r>
    <x v="9"/>
    <x v="9"/>
    <s v="C:\Users\andre\Desktop\REACTIV CEFAS\Fadrozole\Fadrozole/20201203_Cefas_Test8_Run3/Plate 1/@5/ "/>
    <s v=" "/>
    <s v=" 38.2897 "/>
    <x v="11"/>
    <s v=" 1480722.08 "/>
    <s v=" 931316.692 "/>
    <m/>
  </r>
  <r>
    <x v="0"/>
    <x v="0"/>
    <s v=" "/>
    <m/>
    <m/>
    <x v="1"/>
    <m/>
    <m/>
    <m/>
  </r>
  <r>
    <x v="0"/>
    <x v="0"/>
    <s v=" "/>
    <m/>
    <m/>
    <x v="1"/>
    <m/>
    <m/>
    <m/>
  </r>
  <r>
    <x v="0"/>
    <x v="0"/>
    <s v=" "/>
    <m/>
    <m/>
    <x v="1"/>
    <m/>
    <m/>
    <m/>
  </r>
  <r>
    <x v="0"/>
    <x v="0"/>
    <s v=" "/>
    <m/>
    <m/>
    <x v="1"/>
    <m/>
    <m/>
    <m/>
  </r>
  <r>
    <x v="0"/>
    <x v="0"/>
    <s v=" "/>
    <m/>
    <m/>
    <x v="1"/>
    <m/>
    <m/>
    <m/>
  </r>
  <r>
    <x v="0"/>
    <x v="0"/>
    <s v="file name "/>
    <s v=" total area "/>
    <s v=" mean intensity "/>
    <x v="0"/>
    <s v=" total fluorescence"/>
    <m/>
    <m/>
  </r>
  <r>
    <x v="10"/>
    <x v="1"/>
    <s v="C:\Users\andre\Desktop\REACTIV CEFAS\Fadrozole\Fadrozole/20201203_Cefas_Test8_Run3/Plate 1/@6/A6_01- exclu.tif"/>
    <m/>
    <m/>
    <x v="1"/>
    <m/>
    <m/>
    <m/>
  </r>
  <r>
    <x v="10"/>
    <x v="1"/>
    <s v="C:\Users\andre\Desktop\REACTIV CEFAS\Fadrozole\Fadrozole/20201203_Cefas_Test8_Run3/Plate 1/@6/A6_02- exclu.tif"/>
    <m/>
    <m/>
    <x v="1"/>
    <m/>
    <m/>
    <m/>
  </r>
  <r>
    <x v="10"/>
    <x v="1"/>
    <s v="C:\Users\andre\Desktop\REACTIV CEFAS\Fadrozole\Fadrozole/20201203_Cefas_Test8_Run3/Plate 1/@6/A6_03- exclu.tif"/>
    <m/>
    <m/>
    <x v="1"/>
    <m/>
    <m/>
    <m/>
  </r>
  <r>
    <x v="10"/>
    <x v="2"/>
    <s v="C:\Users\andre\Desktop\REACTIV CEFAS\Fadrozole\Fadrozole/20201203_Cefas_Test8_Run3/Plate 1/@6/B6_01.tif "/>
    <s v=" 49921.7968 "/>
    <s v=" 43.8544 "/>
    <x v="0"/>
    <n v="2189291"/>
    <m/>
    <m/>
  </r>
  <r>
    <x v="10"/>
    <x v="2"/>
    <s v="C:\Users\andre\Desktop\REACTIV CEFAS\Fadrozole\Fadrozole/20201203_Cefas_Test8_Run3/Plate 1/@6/B6_02.tif "/>
    <s v=" 49078.2309 "/>
    <s v=" 44.3795 "/>
    <x v="0"/>
    <n v="2178065"/>
    <m/>
    <m/>
  </r>
  <r>
    <x v="10"/>
    <x v="2"/>
    <s v="C:\Users\andre\Desktop\REACTIV CEFAS\Fadrozole\Fadrozole/20201203_Cefas_Test8_Run3/Plate 1/@6/B6_03.tif "/>
    <s v=" 48429.3341 "/>
    <s v=" 41.7517 "/>
    <x v="0"/>
    <n v="2022006"/>
    <m/>
    <m/>
  </r>
  <r>
    <x v="10"/>
    <x v="3"/>
    <s v="C:\Users\andre\Desktop\REACTIV CEFAS\Fadrozole\Fadrozole/20201203_Cefas_Test8_Run3/Plate 1/@6/C6_01.tif "/>
    <s v=" 69085.8834 "/>
    <s v=" 42.5914 "/>
    <x v="0"/>
    <n v="2942466"/>
    <m/>
    <m/>
  </r>
  <r>
    <x v="10"/>
    <x v="3"/>
    <s v="C:\Users\andre\Desktop\REACTIV CEFAS\Fadrozole\Fadrozole/20201203_Cefas_Test8_Run3/Plate 1/@6/C6_02.tif "/>
    <s v=" 50981.6616 "/>
    <s v=" 41.1039 "/>
    <x v="0"/>
    <n v="2095547"/>
    <m/>
    <m/>
  </r>
  <r>
    <x v="10"/>
    <x v="3"/>
    <s v="C:\Users\andre\Desktop\REACTIV CEFAS\Fadrozole\Fadrozole/20201203_Cefas_Test8_Run3/Plate 1/@6/C6_03.tif "/>
    <s v=" 63678.4098 "/>
    <s v=" 43.5428 "/>
    <x v="0"/>
    <n v="2772736"/>
    <m/>
    <m/>
  </r>
  <r>
    <x v="10"/>
    <x v="4"/>
    <s v="C:\Users\andre\Desktop\REACTIV CEFAS\Fadrozole\Fadrozole/20201203_Cefas_Test8_Run3/Plate 1/@6/D6_01.tif "/>
    <s v=" 46698.9425 "/>
    <s v=" 41.1149 "/>
    <x v="0"/>
    <n v="1920021"/>
    <m/>
    <m/>
  </r>
  <r>
    <x v="10"/>
    <x v="4"/>
    <s v="C:\Users\andre\Desktop\REACTIV CEFAS\Fadrozole\Fadrozole/20201203_Cefas_Test8_Run3/Plate 1/@6/D6_02.tif "/>
    <s v=" 40145.0844 "/>
    <s v=" 39.2247 "/>
    <x v="0"/>
    <n v="1574678"/>
    <m/>
    <m/>
  </r>
  <r>
    <x v="10"/>
    <x v="4"/>
    <s v="C:\Users\andre\Desktop\REACTIV CEFAS\Fadrozole\Fadrozole/20201203_Cefas_Test8_Run3/Plate 1/@6/D6_03.tif "/>
    <s v=" 40512.7926 "/>
    <s v=" 37.8484 "/>
    <x v="0"/>
    <n v="1533343"/>
    <m/>
    <m/>
  </r>
  <r>
    <x v="10"/>
    <x v="5"/>
    <s v="C:\Users\andre\Desktop\REACTIV CEFAS\Fadrozole\Fadrozole/20201203_Cefas_Test8_Run3/Plate 1/@6/E6_01.tif "/>
    <s v=" 58443.9753 "/>
    <s v=" 37.9915 "/>
    <x v="0"/>
    <n v="2220374"/>
    <m/>
    <m/>
  </r>
  <r>
    <x v="10"/>
    <x v="5"/>
    <s v="C:\Users\andre\Desktop\REACTIV CEFAS\Fadrozole\Fadrozole/20201203_Cefas_Test8_Run3/Plate 1/@6/E6_02.tif "/>
    <s v=" 68718.1752 "/>
    <s v=" 40.7044 "/>
    <x v="0"/>
    <n v="2797135"/>
    <m/>
    <m/>
  </r>
  <r>
    <x v="10"/>
    <x v="5"/>
    <s v="C:\Users\andre\Desktop\REACTIV CEFAS\Fadrozole\Fadrozole/20201203_Cefas_Test8_Run3/Plate 1/@6/E6_03.tif "/>
    <s v=" 69280.5525 "/>
    <s v=" 40.4889 "/>
    <x v="0"/>
    <n v="2805095"/>
    <m/>
    <m/>
  </r>
  <r>
    <x v="10"/>
    <x v="6"/>
    <s v="C:\Users\andre\Desktop\REACTIV CEFAS\Fadrozole\Fadrozole/20201203_Cefas_Test8_Run3/Plate 1/@6/F6_01.tif "/>
    <s v=" 48039.996 "/>
    <s v=" 40.8685 "/>
    <x v="0"/>
    <n v="1963324"/>
    <m/>
    <m/>
  </r>
  <r>
    <x v="10"/>
    <x v="6"/>
    <s v="C:\Users\andre\Desktop\REACTIV CEFAS\Fadrozole\Fadrozole/20201203_Cefas_Test8_Run3/Plate 1/@6/F6_02- exclu.tif"/>
    <m/>
    <m/>
    <x v="1"/>
    <m/>
    <m/>
    <m/>
  </r>
  <r>
    <x v="10"/>
    <x v="6"/>
    <s v="C:\Users\andre\Desktop\REACTIV CEFAS\Fadrozole\Fadrozole/20201203_Cefas_Test8_Run3/Plate 1/@6/F6_03- exclu.tif"/>
    <m/>
    <m/>
    <x v="1"/>
    <m/>
    <m/>
    <m/>
  </r>
  <r>
    <x v="10"/>
    <x v="7"/>
    <s v="C:\Users\andre\Desktop\REACTIV CEFAS\Fadrozole\Fadrozole/20201203_Cefas_Test8_Run3/Plate 1/@6/G6_01.tif "/>
    <s v=" 53620.5088 "/>
    <s v=" 43.8862 "/>
    <x v="0"/>
    <n v="2353203"/>
    <m/>
    <m/>
  </r>
  <r>
    <x v="10"/>
    <x v="7"/>
    <s v="C:\Users\andre\Desktop\REACTIV CEFAS\Fadrozole\Fadrozole/20201203_Cefas_Test8_Run3/Plate 1/@6/G6_02.tif "/>
    <s v=" 59287.5412 "/>
    <s v=" 43.9146 "/>
    <x v="0"/>
    <n v="2603590"/>
    <m/>
    <m/>
  </r>
  <r>
    <x v="10"/>
    <x v="7"/>
    <s v="C:\Users\andre\Desktop\REACTIV CEFAS\Fadrozole\Fadrozole/20201203_Cefas_Test8_Run3/Plate 1/@6/G6_03.tif "/>
    <s v=" 64846.4241 "/>
    <s v=" 45.1618 "/>
    <x v="0"/>
    <n v="2928580"/>
    <m/>
    <m/>
  </r>
  <r>
    <x v="10"/>
    <x v="8"/>
    <s v="C:\Users\andre\Desktop\REACTIV CEFAS\Fadrozole\Fadrozole/20201203_Cefas_Test8_Run3/Plate 1/@6/H6_01.tif "/>
    <s v=" 68328.8371 "/>
    <s v=" 49.4517 "/>
    <x v="0"/>
    <n v="3378979"/>
    <m/>
    <m/>
  </r>
  <r>
    <x v="10"/>
    <x v="8"/>
    <s v="C:\Users\andre\Desktop\REACTIV CEFAS\Fadrozole\Fadrozole/20201203_Cefas_Test8_Run3/Plate 1/@6/H6_02.tif "/>
    <s v=" 70708.1255 "/>
    <s v=" 52.1661 "/>
    <x v="0"/>
    <n v="3688568"/>
    <m/>
    <m/>
  </r>
  <r>
    <x v="10"/>
    <x v="8"/>
    <s v="C:\Users\andre\Desktop\REACTIV CEFAS\Fadrozole\Fadrozole/20201203_Cefas_Test8_Run3/Plate 1/@6/H6_03.tif "/>
    <s v=" 67636.6805 "/>
    <s v=" 50.6936 "/>
    <x v="0"/>
    <n v="3428749"/>
    <m/>
    <m/>
  </r>
  <r>
    <x v="0"/>
    <x v="0"/>
    <s v=" "/>
    <m/>
    <m/>
    <x v="1"/>
    <m/>
    <m/>
    <m/>
  </r>
  <r>
    <x v="0"/>
    <x v="0"/>
    <s v="group "/>
    <s v=" "/>
    <s v=" mean of mean fluo "/>
    <x v="2"/>
    <s v=" mean of total fluo "/>
    <s v=" SD total fluo "/>
    <m/>
  </r>
  <r>
    <x v="10"/>
    <x v="9"/>
    <s v="C:\Users\andre\Desktop\REACTIV CEFAS\Fadrozole\Fadrozole/20201203_Cefas_Test8_Run3/Plate 1/@6/ "/>
    <s v=" "/>
    <s v=" 36.9639 "/>
    <x v="12"/>
    <s v=" 1990627.17 "/>
    <s v=" 1143424.6 "/>
    <m/>
  </r>
  <r>
    <x v="0"/>
    <x v="0"/>
    <s v=" "/>
    <m/>
    <m/>
    <x v="1"/>
    <m/>
    <m/>
    <m/>
  </r>
  <r>
    <x v="0"/>
    <x v="0"/>
    <s v=" "/>
    <m/>
    <m/>
    <x v="1"/>
    <m/>
    <m/>
    <m/>
  </r>
  <r>
    <x v="0"/>
    <x v="0"/>
    <s v=" "/>
    <m/>
    <m/>
    <x v="1"/>
    <m/>
    <m/>
    <m/>
  </r>
  <r>
    <x v="0"/>
    <x v="0"/>
    <s v=" "/>
    <m/>
    <m/>
    <x v="1"/>
    <m/>
    <m/>
    <m/>
  </r>
  <r>
    <x v="0"/>
    <x v="0"/>
    <s v=" "/>
    <m/>
    <m/>
    <x v="1"/>
    <m/>
    <m/>
    <m/>
  </r>
  <r>
    <x v="0"/>
    <x v="0"/>
    <s v="file name "/>
    <s v=" total area "/>
    <s v=" mean intensity "/>
    <x v="0"/>
    <s v=" total fluorescence"/>
    <m/>
    <m/>
  </r>
  <r>
    <x v="11"/>
    <x v="1"/>
    <s v="C:\Users\andre\Desktop\REACTIV CEFAS\Fadrozole\Fadrozole/20201203_Cefas_Test8_Run3/Plate 1/@7/A7_01.tif "/>
    <s v=" 69215.6628 "/>
    <s v=" 48.2559 "/>
    <x v="0"/>
    <n v="3340067"/>
    <m/>
    <m/>
  </r>
  <r>
    <x v="11"/>
    <x v="1"/>
    <s v="C:\Users\andre\Desktop\REACTIV CEFAS\Fadrozole\Fadrozole/20201203_Cefas_Test8_Run3/Plate 1/@7/A7_02.tif "/>
    <s v=" 69778.0401 "/>
    <s v=" 52.4709 "/>
    <x v="0"/>
    <n v="3661314"/>
    <m/>
    <m/>
  </r>
  <r>
    <x v="11"/>
    <x v="1"/>
    <s v="C:\Users\andre\Desktop\REACTIV CEFAS\Fadrozole\Fadrozole/20201203_Cefas_Test8_Run3/Plate 1/@7/A7_03.tif "/>
    <s v=" 64630.1252 "/>
    <s v=" 51.2784 "/>
    <x v="0"/>
    <n v="3314132"/>
    <m/>
    <m/>
  </r>
  <r>
    <x v="11"/>
    <x v="2"/>
    <s v="C:\Users\andre\Desktop\REACTIV CEFAS\Fadrozole\Fadrozole/20201203_Cefas_Test8_Run3/Plate 1/@7/B7_01.tif "/>
    <s v=" 63397.2212 "/>
    <s v=" 50.6977 "/>
    <x v="0"/>
    <n v="3214094"/>
    <m/>
    <m/>
  </r>
  <r>
    <x v="11"/>
    <x v="2"/>
    <s v="C:\Users\andre\Desktop\REACTIV CEFAS\Fadrozole\Fadrozole/20201203_Cefas_Test8_Run3/Plate 1/@7/B7_02.tif "/>
    <s v=" 72676.446 "/>
    <s v=" 53.847 "/>
    <x v="0"/>
    <n v="3913410"/>
    <m/>
    <m/>
  </r>
  <r>
    <x v="11"/>
    <x v="2"/>
    <s v="C:\Users\andre\Desktop\REACTIV CEFAS\Fadrozole\Fadrozole/20201203_Cefas_Test8_Run3/Plate 1/@7/B7_03.tif "/>
    <s v=" 66641.7054 "/>
    <s v=" 50.2821 "/>
    <x v="0"/>
    <n v="3350882"/>
    <m/>
    <m/>
  </r>
  <r>
    <x v="11"/>
    <x v="3"/>
    <s v="C:\Users\andre\Desktop\REACTIV CEFAS\Fadrozole\Fadrozole/20201203_Cefas_Test8_Run3/Plate 1/@7/C7_01- exclu.tif"/>
    <m/>
    <m/>
    <x v="1"/>
    <m/>
    <m/>
    <m/>
  </r>
  <r>
    <x v="11"/>
    <x v="3"/>
    <s v="C:\Users\andre\Desktop\REACTIV CEFAS\Fadrozole\Fadrozole/20201203_Cefas_Test8_Run3/Plate 1/@7/C7_02- exclu.tif"/>
    <m/>
    <m/>
    <x v="1"/>
    <m/>
    <m/>
    <m/>
  </r>
  <r>
    <x v="11"/>
    <x v="3"/>
    <s v="C:\Users\andre\Desktop\REACTIV CEFAS\Fadrozole\Fadrozole/20201203_Cefas_Test8_Run3/Plate 1/@7/C7_03- exclu.tif"/>
    <m/>
    <m/>
    <x v="1"/>
    <m/>
    <m/>
    <m/>
  </r>
  <r>
    <x v="11"/>
    <x v="4"/>
    <s v="C:\Users\andre\Desktop\REACTIV CEFAS\Fadrozole\Fadrozole/20201203_Cefas_Test8_Run3/Plate 1/@7/D7_01.tif "/>
    <s v=" 103109.708 "/>
    <s v=" 56.1091 "/>
    <x v="0"/>
    <n v="5785391"/>
    <m/>
    <m/>
  </r>
  <r>
    <x v="11"/>
    <x v="4"/>
    <s v="C:\Users\andre\Desktop\REACTIV CEFAS\Fadrozole\Fadrozole/20201203_Cefas_Test8_Run3/Plate 1/@7/D7_02.tif "/>
    <s v=" 95258.0559 "/>
    <s v=" 52.2448 "/>
    <x v="0"/>
    <n v="4976736"/>
    <m/>
    <m/>
  </r>
  <r>
    <x v="11"/>
    <x v="4"/>
    <s v="C:\Users\andre\Desktop\REACTIV CEFAS\Fadrozole\Fadrozole/20201203_Cefas_Test8_Run3/Plate 1/@7/D7_03.tif "/>
    <s v=" 94003.5221 "/>
    <s v=" 54.488 "/>
    <x v="0"/>
    <n v="5122067"/>
    <m/>
    <m/>
  </r>
  <r>
    <x v="11"/>
    <x v="5"/>
    <s v="C:\Users\andre\Desktop\REACTIV CEFAS\Fadrozole\Fadrozole/20201203_Cefas_Test8_Run3/Plate 1/@7/E7_01.tif "/>
    <s v=" 65452.0611 "/>
    <s v=" 56.2445 "/>
    <x v="0"/>
    <n v="3681322"/>
    <m/>
    <m/>
  </r>
  <r>
    <x v="11"/>
    <x v="5"/>
    <s v="C:\Users\andre\Desktop\REACTIV CEFAS\Fadrozole\Fadrozole/20201203_Cefas_Test8_Run3/Plate 1/@7/E7_02- exclu.tif"/>
    <m/>
    <m/>
    <x v="1"/>
    <m/>
    <m/>
    <m/>
  </r>
  <r>
    <x v="11"/>
    <x v="5"/>
    <s v="C:\Users\andre\Desktop\REACTIV CEFAS\Fadrozole\Fadrozole/20201203_Cefas_Test8_Run3/Plate 1/@7/E7_03- exclu.tif"/>
    <m/>
    <m/>
    <x v="1"/>
    <m/>
    <m/>
    <m/>
  </r>
  <r>
    <x v="11"/>
    <x v="6"/>
    <s v="C:\Users\andre\Desktop\REACTIV CEFAS\Fadrozole\Fadrozole/20201203_Cefas_Test8_Run3/Plate 1/@7/F7_01.tif "/>
    <s v=" 96772.1486 "/>
    <s v=" 53.5255 "/>
    <x v="0"/>
    <n v="5179776"/>
    <m/>
    <m/>
  </r>
  <r>
    <x v="11"/>
    <x v="6"/>
    <s v="C:\Users\andre\Desktop\REACTIV CEFAS\Fadrozole\Fadrozole/20201203_Cefas_Test8_Run3/Plate 1/@7/F7_02.tif "/>
    <s v=" 91537.7141 "/>
    <s v=" 52.8774 "/>
    <x v="0"/>
    <n v="4840273"/>
    <m/>
    <m/>
  </r>
  <r>
    <x v="11"/>
    <x v="6"/>
    <s v="C:\Users\andre\Desktop\REACTIV CEFAS\Fadrozole\Fadrozole/20201203_Cefas_Test8_Run3/Plate 1/@7/F7_03.tif "/>
    <s v=" 95733.9136 "/>
    <s v=" 57.8681 "/>
    <x v="0"/>
    <n v="5539935"/>
    <m/>
    <m/>
  </r>
  <r>
    <x v="11"/>
    <x v="7"/>
    <s v="C:\Users\andre\Desktop\REACTIV CEFAS\Fadrozole\Fadrozole/20201203_Cefas_Test8_Run3/Plate 1/@7/G7_01.tif "/>
    <s v=" 85676.0126 "/>
    <s v=" 51.7251 "/>
    <x v="0"/>
    <n v="4431598"/>
    <m/>
    <m/>
  </r>
  <r>
    <x v="11"/>
    <x v="7"/>
    <s v="C:\Users\andre\Desktop\REACTIV CEFAS\Fadrozole\Fadrozole/20201203_Cefas_Test8_Run3/Plate 1/@7/G7_02.tif "/>
    <s v=" 83426.5036 "/>
    <s v=" 53.8652 "/>
    <x v="0"/>
    <n v="4493784"/>
    <m/>
    <m/>
  </r>
  <r>
    <x v="11"/>
    <x v="7"/>
    <s v="C:\Users\andre\Desktop\REACTIV CEFAS\Fadrozole\Fadrozole/20201203_Cefas_Test8_Run3/Plate 1/@7/G7_03.tif "/>
    <s v=" 97507.565 "/>
    <s v=" 53.7695 "/>
    <x v="0"/>
    <n v="5242935"/>
    <m/>
    <m/>
  </r>
  <r>
    <x v="11"/>
    <x v="8"/>
    <s v="C:\Users\andre\Desktop\REACTIV CEFAS\Fadrozole\Fadrozole/20201203_Cefas_Test8_Run3/Plate 1/@7/H7_01.tif "/>
    <s v=" 85762.5322 "/>
    <s v=" 55.4207 "/>
    <x v="0"/>
    <n v="4753018"/>
    <m/>
    <m/>
  </r>
  <r>
    <x v="11"/>
    <x v="8"/>
    <s v="C:\Users\andre\Desktop\REACTIV CEFAS\Fadrozole\Fadrozole/20201203_Cefas_Test8_Run3/Plate 1/@7/H7_02.tif "/>
    <s v=" 88531.1587 "/>
    <s v=" 55.0667 "/>
    <x v="0"/>
    <n v="4875119"/>
    <m/>
    <m/>
  </r>
  <r>
    <x v="11"/>
    <x v="8"/>
    <s v="C:\Users\andre\Desktop\REACTIV CEFAS\Fadrozole\Fadrozole/20201203_Cefas_Test8_Run3/Plate 1/@7/H7_03.tif "/>
    <s v=" 88898.8669 "/>
    <s v=" 55.0056 "/>
    <x v="0"/>
    <n v="4889935"/>
    <m/>
    <m/>
  </r>
  <r>
    <x v="0"/>
    <x v="0"/>
    <s v=" "/>
    <m/>
    <m/>
    <x v="1"/>
    <m/>
    <m/>
    <m/>
  </r>
  <r>
    <x v="0"/>
    <x v="0"/>
    <s v="group "/>
    <s v=" "/>
    <s v=" mean of mean fluo "/>
    <x v="2"/>
    <s v=" mean of total fluo "/>
    <s v=" SD total fluo "/>
    <m/>
  </r>
  <r>
    <x v="11"/>
    <x v="9"/>
    <s v="C:\Users\andre\Desktop\REACTIV CEFAS\Fadrozole\Fadrozole/20201203_Cefas_Test8_Run3/Plate 1/@7/ "/>
    <s v=" "/>
    <s v=" 53.4539 "/>
    <x v="13"/>
    <s v=" 4187836.92 "/>
    <s v=" 909734.53 "/>
    <m/>
  </r>
  <r>
    <x v="0"/>
    <x v="0"/>
    <s v=" "/>
    <m/>
    <m/>
    <x v="1"/>
    <m/>
    <m/>
    <m/>
  </r>
  <r>
    <x v="0"/>
    <x v="0"/>
    <s v=" "/>
    <m/>
    <m/>
    <x v="1"/>
    <m/>
    <m/>
    <m/>
  </r>
  <r>
    <x v="0"/>
    <x v="0"/>
    <s v=" "/>
    <m/>
    <m/>
    <x v="1"/>
    <m/>
    <m/>
    <m/>
  </r>
  <r>
    <x v="0"/>
    <x v="0"/>
    <s v=" "/>
    <m/>
    <m/>
    <x v="1"/>
    <m/>
    <m/>
    <m/>
  </r>
  <r>
    <x v="0"/>
    <x v="0"/>
    <s v=" "/>
    <m/>
    <m/>
    <x v="1"/>
    <m/>
    <m/>
    <m/>
  </r>
  <r>
    <x v="0"/>
    <x v="0"/>
    <s v="file name "/>
    <s v=" total area "/>
    <s v=" mean intensity "/>
    <x v="0"/>
    <s v=" total fluorescence"/>
    <m/>
    <m/>
  </r>
  <r>
    <x v="12"/>
    <x v="1"/>
    <s v="C:\Users\andre\Desktop\REACTIV CEFAS\Fadrozole\Fadrozole/20201203_Cefas_Test8_Run3/Plate 5/@10/A4_01- exclu.tif"/>
    <m/>
    <m/>
    <x v="1"/>
    <m/>
    <m/>
    <m/>
  </r>
  <r>
    <x v="12"/>
    <x v="1"/>
    <s v="C:\Users\andre\Desktop\REACTIV CEFAS\Fadrozole\Fadrozole/20201203_Cefas_Test8_Run3/Plate 5/@10/A4_02- exclu.tif"/>
    <m/>
    <m/>
    <x v="1"/>
    <m/>
    <m/>
    <m/>
  </r>
  <r>
    <x v="12"/>
    <x v="1"/>
    <s v="C:\Users\andre\Desktop\REACTIV CEFAS\Fadrozole\Fadrozole/20201203_Cefas_Test8_Run3/Plate 5/@10/A4_03- exclu.tif"/>
    <m/>
    <m/>
    <x v="1"/>
    <m/>
    <m/>
    <m/>
  </r>
  <r>
    <x v="12"/>
    <x v="2"/>
    <s v="C:\Users\andre\Desktop\REACTIV CEFAS\Fadrozole\Fadrozole/20201203_Cefas_Test8_Run3/Plate 5/@10/B4_01.tif "/>
    <s v=" 1773.6514 "/>
    <s v=" 34.8049 "/>
    <x v="0"/>
    <n v="61732"/>
    <m/>
    <m/>
  </r>
  <r>
    <x v="12"/>
    <x v="2"/>
    <s v="C:\Users\andre\Desktop\REACTIV CEFAS\Fadrozole\Fadrozole/20201203_Cefas_Test8_Run3/Plate 5/@10/B4_02.tif "/>
    <s v=" 108.1495 "/>
    <n v="31"/>
    <x v="0"/>
    <n v="3353"/>
    <m/>
    <m/>
  </r>
  <r>
    <x v="12"/>
    <x v="2"/>
    <s v="C:\Users\andre\Desktop\REACTIV CEFAS\Fadrozole\Fadrozole/20201203_Cefas_Test8_Run3/Plate 5/@10/B4_03.tif "/>
    <s v=" 3850.1212 "/>
    <s v=" 34.1517 "/>
    <x v="0"/>
    <n v="131488"/>
    <m/>
    <m/>
  </r>
  <r>
    <x v="12"/>
    <x v="3"/>
    <s v="C:\Users\andre\Desktop\REACTIV CEFAS\Fadrozole\Fadrozole/20201203_Cefas_Test8_Run3/Plate 5/@10/C4_01.tif "/>
    <s v=" 7743.5023 "/>
    <s v=" 37.1229 "/>
    <x v="0"/>
    <n v="287461"/>
    <m/>
    <m/>
  </r>
  <r>
    <x v="12"/>
    <x v="3"/>
    <s v="C:\Users\andre\Desktop\REACTIV CEFAS\Fadrozole\Fadrozole/20201203_Cefas_Test8_Run3/Plate 5/@10/C4_02.tif "/>
    <s v=" 4542.2779 "/>
    <s v=" 33.3952 "/>
    <x v="0"/>
    <n v="151690"/>
    <m/>
    <m/>
  </r>
  <r>
    <x v="12"/>
    <x v="3"/>
    <s v="C:\Users\andre\Desktop\REACTIV CEFAS\Fadrozole\Fadrozole/20201203_Cefas_Test8_Run3/Plate 5/@10/C4_03.tif "/>
    <s v=" 4715.317 "/>
    <s v=" 34.7156 "/>
    <x v="0"/>
    <n v="163695"/>
    <m/>
    <m/>
  </r>
  <r>
    <x v="12"/>
    <x v="4"/>
    <s v="C:\Users\andre\Desktop\REACTIV CEFAS\Fadrozole\Fadrozole/20201203_Cefas_Test8_Run3/Plate 5/@10/D4_01.tif "/>
    <s v=" 5602.1427 "/>
    <s v=" 38.1815 "/>
    <x v="0"/>
    <n v="213898"/>
    <m/>
    <m/>
  </r>
  <r>
    <x v="12"/>
    <x v="4"/>
    <s v="C:\Users\andre\Desktop\REACTIV CEFAS\Fadrozole\Fadrozole/20201203_Cefas_Test8_Run3/Plate 5/@10/D4_02.tif "/>
    <s v=" 7289.2745 "/>
    <s v=" 41.724 "/>
    <x v="0"/>
    <n v="304138"/>
    <m/>
    <m/>
  </r>
  <r>
    <x v="12"/>
    <x v="4"/>
    <s v="C:\Users\andre\Desktop\REACTIV CEFAS\Fadrozole\Fadrozole/20201203_Cefas_Test8_Run3/Plate 5/@10/D4_03.tif "/>
    <s v=" 4953.2459 "/>
    <s v=" 36.4061 "/>
    <x v="0"/>
    <n v="180328"/>
    <m/>
    <m/>
  </r>
  <r>
    <x v="12"/>
    <x v="5"/>
    <s v="C:\Users\andre\Desktop\REACTIV CEFAS\Fadrozole\Fadrozole/20201203_Cefas_Test8_Run3/Plate 5/@10/E4_01.tif "/>
    <s v=" 2119.7297 "/>
    <s v=" 36.2959 "/>
    <x v="0"/>
    <n v="76938"/>
    <m/>
    <m/>
  </r>
  <r>
    <x v="12"/>
    <x v="5"/>
    <s v="C:\Users\andre\Desktop\REACTIV CEFAS\Fadrozole\Fadrozole/20201203_Cefas_Test8_Run3/Plate 5/@10/E4_02- exclu.tif"/>
    <m/>
    <m/>
    <x v="1"/>
    <m/>
    <m/>
    <m/>
  </r>
  <r>
    <x v="12"/>
    <x v="5"/>
    <s v="C:\Users\andre\Desktop\REACTIV CEFAS\Fadrozole\Fadrozole/20201203_Cefas_Test8_Run3/Plate 5/@10/E4_03- exclu.tif"/>
    <m/>
    <m/>
    <x v="1"/>
    <m/>
    <m/>
    <m/>
  </r>
  <r>
    <x v="12"/>
    <x v="6"/>
    <s v="C:\Users\andre\Desktop\REACTIV CEFAS\Fadrozole\Fadrozole/20201203_Cefas_Test8_Run3/Plate 5/@10/F4_01.tif "/>
    <s v=" 7094.6054 "/>
    <s v=" 40.5305 "/>
    <x v="0"/>
    <n v="287548"/>
    <m/>
    <m/>
  </r>
  <r>
    <x v="12"/>
    <x v="6"/>
    <s v="C:\Users\andre\Desktop\REACTIV CEFAS\Fadrozole\Fadrozole/20201203_Cefas_Test8_Run3/Plate 5/@10/F4_02.tif "/>
    <s v=" 8565.4383 "/>
    <s v=" 41.6717 "/>
    <x v="0"/>
    <n v="356937"/>
    <m/>
    <m/>
  </r>
  <r>
    <x v="12"/>
    <x v="6"/>
    <s v="C:\Users\andre\Desktop\REACTIV CEFAS\Fadrozole\Fadrozole/20201203_Cefas_Test8_Run3/Plate 5/@10/F4_03.tif "/>
    <s v=" 8781.7372 "/>
    <s v=" 40.2365 "/>
    <x v="0"/>
    <n v="353346"/>
    <m/>
    <m/>
  </r>
  <r>
    <x v="12"/>
    <x v="7"/>
    <s v="C:\Users\andre\Desktop\REACTIV CEFAS\Fadrozole\Fadrozole/20201203_Cefas_Test8_Run3/Plate 5/@10/G4_01.tif "/>
    <s v=" 129.7794 "/>
    <s v=" 30.8333 "/>
    <x v="0"/>
    <n v="4002"/>
    <m/>
    <m/>
  </r>
  <r>
    <x v="12"/>
    <x v="7"/>
    <s v="C:\Users\andre\Desktop\REACTIV CEFAS\Fadrozole\Fadrozole/20201203_Cefas_Test8_Run3/Plate 5/@10/G4_02.tif "/>
    <s v=" 8868.2568 "/>
    <s v=" 43.7512 "/>
    <x v="0"/>
    <n v="387997"/>
    <m/>
    <m/>
  </r>
  <r>
    <x v="12"/>
    <x v="7"/>
    <s v="C:\Users\andre\Desktop\REACTIV CEFAS\Fadrozole\Fadrozole/20201203_Cefas_Test8_Run3/Plate 5/@10/G4_03.tif "/>
    <s v=" 7419.0539 "/>
    <s v=" 41.8717 "/>
    <x v="0"/>
    <n v="310649"/>
    <m/>
    <m/>
  </r>
  <r>
    <x v="12"/>
    <x v="8"/>
    <s v="C:\Users\andre\Desktop\REACTIV CEFAS\Fadrozole\Fadrozole/20201203_Cefas_Test8_Run3/Plate 5/@10/H4_01.tif "/>
    <s v=" 5623.7726 "/>
    <s v=" 38.2423 "/>
    <x v="0"/>
    <n v="215066"/>
    <m/>
    <m/>
  </r>
  <r>
    <x v="12"/>
    <x v="8"/>
    <s v="C:\Users\andre\Desktop\REACTIV CEFAS\Fadrozole\Fadrozole/20201203_Cefas_Test8_Run3/Plate 5/@10/H4_02- exclu.tif"/>
    <m/>
    <m/>
    <x v="1"/>
    <m/>
    <m/>
    <m/>
  </r>
  <r>
    <x v="12"/>
    <x v="8"/>
    <s v="C:\Users\andre\Desktop\REACTIV CEFAS\Fadrozole\Fadrozole/20201203_Cefas_Test8_Run3/Plate 5/@10/H4_03.tif "/>
    <s v=" 6921.5663 "/>
    <s v=" 34.9031 "/>
    <x v="0"/>
    <n v="241584"/>
    <m/>
    <m/>
  </r>
  <r>
    <x v="0"/>
    <x v="0"/>
    <s v=" "/>
    <m/>
    <m/>
    <x v="1"/>
    <m/>
    <m/>
    <m/>
  </r>
  <r>
    <x v="0"/>
    <x v="0"/>
    <s v="group "/>
    <s v=" "/>
    <s v=" mean of mean fluo "/>
    <x v="2"/>
    <s v=" mean of total fluo "/>
    <s v=" SD total fluo "/>
    <m/>
  </r>
  <r>
    <x v="12"/>
    <x v="9"/>
    <s v="C:\Users\andre\Desktop\REACTIV CEFAS\Fadrozole\Fadrozole/20201203_Cefas_Test8_Run3/Plate 5/@10/ "/>
    <s v=" "/>
    <s v=" 40.452 "/>
    <x v="14"/>
    <s v=" 326414.042 "/>
    <s v=" 288174.453 "/>
    <m/>
  </r>
  <r>
    <x v="0"/>
    <x v="0"/>
    <s v=" "/>
    <m/>
    <m/>
    <x v="1"/>
    <m/>
    <m/>
    <m/>
  </r>
  <r>
    <x v="0"/>
    <x v="0"/>
    <s v=" "/>
    <m/>
    <m/>
    <x v="1"/>
    <m/>
    <m/>
    <m/>
  </r>
  <r>
    <x v="0"/>
    <x v="0"/>
    <s v=" "/>
    <m/>
    <m/>
    <x v="1"/>
    <m/>
    <m/>
    <m/>
  </r>
  <r>
    <x v="0"/>
    <x v="0"/>
    <s v=" "/>
    <m/>
    <m/>
    <x v="1"/>
    <m/>
    <m/>
    <m/>
  </r>
  <r>
    <x v="0"/>
    <x v="0"/>
    <s v=" "/>
    <m/>
    <m/>
    <x v="1"/>
    <m/>
    <m/>
    <m/>
  </r>
  <r>
    <x v="0"/>
    <x v="0"/>
    <s v="file name "/>
    <s v=" total area "/>
    <s v=" mean intensity "/>
    <x v="0"/>
    <s v=" total fluorescence"/>
    <m/>
    <m/>
  </r>
  <r>
    <x v="13"/>
    <x v="1"/>
    <s v="C:\Users\andre\Desktop\REACTIV CEFAS\Fadrozole\Fadrozole/20201203_Cefas_Test8_Run3/Plate 5/@11/A5_01.tif "/>
    <s v=" 3266.1141 "/>
    <s v=" 32.5828 "/>
    <x v="0"/>
    <n v="106419"/>
    <m/>
    <m/>
  </r>
  <r>
    <x v="13"/>
    <x v="1"/>
    <s v="C:\Users\andre\Desktop\REACTIV CEFAS\Fadrozole\Fadrozole/20201203_Cefas_Test8_Run3/Plate 5/@11/A5_02.tif "/>
    <s v=" 3222.8543 "/>
    <s v=" 33.8121 "/>
    <x v="0"/>
    <n v="108971"/>
    <m/>
    <m/>
  </r>
  <r>
    <x v="13"/>
    <x v="1"/>
    <s v="C:\Users\andre\Desktop\REACTIV CEFAS\Fadrozole\Fadrozole/20201203_Cefas_Test8_Run3/Plate 5/@11/A5_03.tif "/>
    <s v=" 3266.1141 "/>
    <s v=" 33.457 "/>
    <x v="0"/>
    <n v="109274"/>
    <m/>
    <m/>
  </r>
  <r>
    <x v="13"/>
    <x v="2"/>
    <s v="C:\Users\andre\Desktop\REACTIV CEFAS\Fadrozole\Fadrozole/20201203_Cefas_Test8_Run3/Plate 5/@11/B5_01.tif "/>
    <s v=" 2054.84 "/>
    <s v=" 32.1684 "/>
    <x v="0"/>
    <n v="66101"/>
    <m/>
    <m/>
  </r>
  <r>
    <x v="13"/>
    <x v="2"/>
    <s v="C:\Users\andre\Desktop\REACTIV CEFAS\Fadrozole\Fadrozole/20201203_Cefas_Test8_Run3/Plate 5/@11/B5_02.tif "/>
    <s v=" 1189.6442 "/>
    <s v=" 31.6909 "/>
    <x v="0"/>
    <n v="37701"/>
    <m/>
    <m/>
  </r>
  <r>
    <x v="13"/>
    <x v="2"/>
    <s v="C:\Users\andre\Desktop\REACTIV CEFAS\Fadrozole\Fadrozole/20201203_Cefas_Test8_Run3/Plate 5/@11/B5_03.tif "/>
    <s v=" 475.8577 "/>
    <s v=" 31.9545 "/>
    <x v="0"/>
    <n v="15206"/>
    <m/>
    <m/>
  </r>
  <r>
    <x v="13"/>
    <x v="3"/>
    <s v="C:\Users\andre\Desktop\REACTIV CEFAS\Fadrozole\Fadrozole/20201203_Cefas_Test8_Run3/Plate 5/@11/C5_01.tif "/>
    <s v=" 11550.3637 "/>
    <s v=" 41.3146 "/>
    <x v="0"/>
    <n v="477199"/>
    <m/>
    <m/>
  </r>
  <r>
    <x v="13"/>
    <x v="3"/>
    <s v="C:\Users\andre\Desktop\REACTIV CEFAS\Fadrozole\Fadrozole/20201203_Cefas_Test8_Run3/Plate 5/@11/C5_02.tif "/>
    <s v=" 10793.3174 "/>
    <s v=" 45.3908 "/>
    <x v="0"/>
    <n v="489917"/>
    <m/>
    <m/>
  </r>
  <r>
    <x v="13"/>
    <x v="3"/>
    <s v="C:\Users\andre\Desktop\REACTIV CEFAS\Fadrozole\Fadrozole/20201203_Cefas_Test8_Run3/Plate 5/@11/C5_03.tif "/>
    <s v=" 12480.4492 "/>
    <s v=" 39.9983 "/>
    <x v="0"/>
    <n v="499196"/>
    <m/>
    <m/>
  </r>
  <r>
    <x v="13"/>
    <x v="4"/>
    <s v="C:\Users\andre\Desktop\REACTIV CEFAS\Fadrozole\Fadrozole/20201203_Cefas_Test8_Run3/Plate 5/@11/D5_01.tif "/>
    <s v=" 1276.1638 "/>
    <s v=" 32.9661 "/>
    <x v="0"/>
    <n v="42070"/>
    <m/>
    <m/>
  </r>
  <r>
    <x v="13"/>
    <x v="4"/>
    <s v="C:\Users\andre\Desktop\REACTIV CEFAS\Fadrozole\Fadrozole/20201203_Cefas_Test8_Run3/Plate 5/@11/D5_02.tif "/>
    <s v=" 1016.605 "/>
    <s v=" 32.2766 "/>
    <x v="0"/>
    <n v="32813"/>
    <m/>
    <m/>
  </r>
  <r>
    <x v="13"/>
    <x v="4"/>
    <s v="C:\Users\andre\Desktop\REACTIV CEFAS\Fadrozole\Fadrozole/20201203_Cefas_Test8_Run3/Plate 5/@11/D5_03.tif "/>
    <s v=" 800.3061 "/>
    <s v=" 32.0811 "/>
    <x v="0"/>
    <n v="25675"/>
    <m/>
    <m/>
  </r>
  <r>
    <x v="13"/>
    <x v="5"/>
    <s v="C:\Users\andre\Desktop\REACTIV CEFAS\Fadrozole\Fadrozole/20201203_Cefas_Test8_Run3/Plate 5/@11/E5_01.tif "/>
    <s v=" 9841.6021 "/>
    <s v=" 43.3912 "/>
    <x v="0"/>
    <n v="427039"/>
    <m/>
    <m/>
  </r>
  <r>
    <x v="13"/>
    <x v="5"/>
    <s v="C:\Users\andre\Desktop\REACTIV CEFAS\Fadrozole\Fadrozole/20201203_Cefas_Test8_Run3/Plate 5/@11/E5_02.tif "/>
    <s v=" 9733.4526 "/>
    <s v=" 43.1533 "/>
    <x v="0"/>
    <n v="420031"/>
    <m/>
    <m/>
  </r>
  <r>
    <x v="13"/>
    <x v="5"/>
    <s v="C:\Users\andre\Desktop\REACTIV CEFAS\Fadrozole\Fadrozole/20201203_Cefas_Test8_Run3/Plate 5/@11/E5_03.tif "/>
    <s v=" 9690.1928 "/>
    <s v=" 43.9821 "/>
    <x v="0"/>
    <n v="426195"/>
    <m/>
    <m/>
  </r>
  <r>
    <x v="13"/>
    <x v="6"/>
    <s v="C:\Users\andre\Desktop\REACTIV CEFAS\Fadrozole\Fadrozole/20201203_Cefas_Test8_Run3/Plate 5/@11/F5_01.tif "/>
    <s v=" 7267.6446 "/>
    <s v=" 40.9405 "/>
    <x v="0"/>
    <n v="297541"/>
    <m/>
    <m/>
  </r>
  <r>
    <x v="13"/>
    <x v="6"/>
    <s v="C:\Users\andre\Desktop\REACTIV CEFAS\Fadrozole\Fadrozole/20201203_Cefas_Test8_Run3/Plate 5/@11/F5_02.tif "/>
    <s v=" 10144.4206 "/>
    <s v=" 42.4371 "/>
    <x v="0"/>
    <n v="430500"/>
    <m/>
    <m/>
  </r>
  <r>
    <x v="13"/>
    <x v="6"/>
    <s v="C:\Users\andre\Desktop\REACTIV CEFAS\Fadrozole\Fadrozole/20201203_Cefas_Test8_Run3/Plate 5/@11/F5_03.tif "/>
    <s v=" 9322.4846 "/>
    <s v=" 40.8399 "/>
    <x v="0"/>
    <n v="380729"/>
    <m/>
    <m/>
  </r>
  <r>
    <x v="13"/>
    <x v="7"/>
    <s v="C:\Users\andre\Desktop\REACTIV CEFAS\Fadrozole\Fadrozole/20201203_Cefas_Test8_Run3/Plate 5/@11/G5_01.tif "/>
    <s v=" 1427.573 "/>
    <s v=" 34.4697 "/>
    <x v="0"/>
    <n v="49208"/>
    <m/>
    <m/>
  </r>
  <r>
    <x v="13"/>
    <x v="7"/>
    <s v="C:\Users\andre\Desktop\REACTIV CEFAS\Fadrozole\Fadrozole/20201203_Cefas_Test8_Run3/Plate 5/@11/G5_02.tif "/>
    <s v=" 7483.9435 "/>
    <s v=" 41.685 "/>
    <x v="0"/>
    <n v="311968"/>
    <m/>
    <m/>
  </r>
  <r>
    <x v="13"/>
    <x v="7"/>
    <s v="C:\Users\andre\Desktop\REACTIV CEFAS\Fadrozole\Fadrozole/20201203_Cefas_Test8_Run3/Plate 5/@11/G5_03.tif "/>
    <s v=" 6683.6374 "/>
    <s v=" 42.4239 "/>
    <x v="0"/>
    <n v="283546"/>
    <m/>
    <m/>
  </r>
  <r>
    <x v="13"/>
    <x v="8"/>
    <s v="C:\Users\andre\Desktop\REACTIV CEFAS\Fadrozole\Fadrozole/20201203_Cefas_Test8_Run3/Plate 5/@11/H5_01.tif "/>
    <n v="0"/>
    <n v="0"/>
    <x v="0"/>
    <n v="0"/>
    <m/>
    <m/>
  </r>
  <r>
    <x v="13"/>
    <x v="8"/>
    <s v="C:\Users\andre\Desktop\REACTIV CEFAS\Fadrozole\Fadrozole/20201203_Cefas_Test8_Run3/Plate 5/@11/H5_02- exclu.tif"/>
    <m/>
    <m/>
    <x v="1"/>
    <m/>
    <m/>
    <m/>
  </r>
  <r>
    <x v="13"/>
    <x v="8"/>
    <s v="C:\Users\andre\Desktop\REACTIV CEFAS\Fadrozole\Fadrozole/20201203_Cefas_Test8_Run3/Plate 5/@11/H5_03.tif "/>
    <s v=" 9171.0753 "/>
    <s v=" 40.3656 "/>
    <x v="0"/>
    <n v="370196"/>
    <m/>
    <m/>
  </r>
  <r>
    <x v="0"/>
    <x v="0"/>
    <s v=" "/>
    <m/>
    <m/>
    <x v="1"/>
    <m/>
    <m/>
    <m/>
  </r>
  <r>
    <x v="0"/>
    <x v="0"/>
    <s v="group "/>
    <s v=" "/>
    <s v=" mean of mean fluo "/>
    <x v="2"/>
    <s v=" mean of total fluo "/>
    <s v=" SD total fluo "/>
    <m/>
  </r>
  <r>
    <x v="13"/>
    <x v="9"/>
    <s v="C:\Users\andre\Desktop\REACTIV CEFAS\Fadrozole\Fadrozole/20201203_Cefas_Test8_Run3/Plate 5/@11/ "/>
    <s v=" "/>
    <s v=" 34.7242 "/>
    <x v="15"/>
    <s v=" 225312.292 "/>
    <s v=" 188778.934 "/>
    <m/>
  </r>
  <r>
    <x v="0"/>
    <x v="0"/>
    <s v=" "/>
    <m/>
    <m/>
    <x v="1"/>
    <m/>
    <m/>
    <m/>
  </r>
  <r>
    <x v="0"/>
    <x v="0"/>
    <s v=" "/>
    <m/>
    <m/>
    <x v="1"/>
    <m/>
    <m/>
    <m/>
  </r>
  <r>
    <x v="0"/>
    <x v="0"/>
    <s v=" "/>
    <m/>
    <m/>
    <x v="1"/>
    <m/>
    <m/>
    <m/>
  </r>
  <r>
    <x v="0"/>
    <x v="0"/>
    <s v=" "/>
    <m/>
    <m/>
    <x v="1"/>
    <m/>
    <m/>
    <m/>
  </r>
  <r>
    <x v="0"/>
    <x v="0"/>
    <s v=" "/>
    <m/>
    <m/>
    <x v="1"/>
    <m/>
    <m/>
    <m/>
  </r>
  <r>
    <x v="0"/>
    <x v="0"/>
    <s v="file name "/>
    <s v=" total area "/>
    <s v=" mean intensity "/>
    <x v="0"/>
    <s v=" total fluorescence"/>
    <m/>
    <m/>
  </r>
  <r>
    <x v="14"/>
    <x v="1"/>
    <s v="C:\Users\andre\Desktop\REACTIV CEFAS\Fadrozole\Fadrozole/20201203_Cefas_Test8_Run3/Plate 5/@12/A6_01- exclu.tif"/>
    <m/>
    <m/>
    <x v="1"/>
    <m/>
    <m/>
    <m/>
  </r>
  <r>
    <x v="14"/>
    <x v="1"/>
    <s v="C:\Users\andre\Desktop\REACTIV CEFAS\Fadrozole\Fadrozole/20201203_Cefas_Test8_Run3/Plate 5/@12/A6_02.tif "/>
    <s v=" 108.1495 "/>
    <n v="30"/>
    <x v="0"/>
    <n v="3244"/>
    <m/>
    <m/>
  </r>
  <r>
    <x v="14"/>
    <x v="1"/>
    <s v="C:\Users\andre\Desktop\REACTIV CEFAS\Fadrozole\Fadrozole/20201203_Cefas_Test8_Run3/Plate 5/@12/A6_03.tif "/>
    <s v=" 216.2989 "/>
    <s v=" 30.4 "/>
    <x v="0"/>
    <n v="6575"/>
    <m/>
    <m/>
  </r>
  <r>
    <x v="14"/>
    <x v="2"/>
    <s v="C:\Users\andre\Desktop\REACTIV CEFAS\Fadrozole\Fadrozole/20201203_Cefas_Test8_Run3/Plate 5/@12/B6_01.tif "/>
    <s v=" 11031.2463 "/>
    <s v=" 42.0235 "/>
    <x v="0"/>
    <n v="463572"/>
    <m/>
    <m/>
  </r>
  <r>
    <x v="14"/>
    <x v="2"/>
    <s v="C:\Users\andre\Desktop\REACTIV CEFAS\Fadrozole\Fadrozole/20201203_Cefas_Test8_Run3/Plate 5/@12/B6_02.tif "/>
    <s v=" 5277.6943 "/>
    <s v=" 35.0779 "/>
    <x v="0"/>
    <n v="185130"/>
    <m/>
    <m/>
  </r>
  <r>
    <x v="14"/>
    <x v="2"/>
    <s v="C:\Users\andre\Desktop\REACTIV CEFAS\Fadrozole\Fadrozole/20201203_Cefas_Test8_Run3/Plate 5/@12/B6_03.tif "/>
    <s v=" 7289.2745 "/>
    <s v=" 38.2938 "/>
    <x v="0"/>
    <n v="279134"/>
    <m/>
    <m/>
  </r>
  <r>
    <x v="14"/>
    <x v="3"/>
    <s v="C:\Users\andre\Desktop\REACTIV CEFAS\Fadrozole\Fadrozole/20201203_Cefas_Test8_Run3/Plate 5/@12/C6_01.tif "/>
    <s v=" 8478.9187 "/>
    <s v=" 39.5357 "/>
    <x v="0"/>
    <n v="335220"/>
    <m/>
    <m/>
  </r>
  <r>
    <x v="14"/>
    <x v="3"/>
    <s v="C:\Users\andre\Desktop\REACTIV CEFAS\Fadrozole\Fadrozole/20201203_Cefas_Test8_Run3/Plate 5/@12/C6_02.tif "/>
    <s v=" 6705.2673 "/>
    <s v=" 40.5 "/>
    <x v="0"/>
    <n v="271563"/>
    <m/>
    <m/>
  </r>
  <r>
    <x v="14"/>
    <x v="3"/>
    <s v="C:\Users\andre\Desktop\REACTIV CEFAS\Fadrozole\Fadrozole/20201203_Cefas_Test8_Run3/Plate 5/@12/C6_03.tif "/>
    <s v=" 7029.7158 "/>
    <s v=" 41.0246 "/>
    <x v="0"/>
    <n v="288391"/>
    <m/>
    <m/>
  </r>
  <r>
    <x v="14"/>
    <x v="4"/>
    <s v="C:\Users\andre\Desktop\REACTIV CEFAS\Fadrozole\Fadrozole/20201203_Cefas_Test8_Run3/Plate 5/@12/D6_01.tif "/>
    <s v=" 9192.7052 "/>
    <s v=" 40.4494 "/>
    <x v="0"/>
    <n v="371840"/>
    <m/>
    <m/>
  </r>
  <r>
    <x v="14"/>
    <x v="4"/>
    <s v="C:\Users\andre\Desktop\REACTIV CEFAS\Fadrozole\Fadrozole/20201203_Cefas_Test8_Run3/Plate 5/@12/D6_02.tif "/>
    <s v=" 6272.6694 "/>
    <s v=" 35.2138 "/>
    <x v="0"/>
    <n v="220884"/>
    <m/>
    <m/>
  </r>
  <r>
    <x v="14"/>
    <x v="4"/>
    <s v="C:\Users\andre\Desktop\REACTIV CEFAS\Fadrozole\Fadrozole/20201203_Cefas_Test8_Run3/Plate 5/@12/D6_03.tif "/>
    <s v=" 6921.5663 "/>
    <s v=" 35.1688 "/>
    <x v="0"/>
    <n v="243423"/>
    <m/>
    <m/>
  </r>
  <r>
    <x v="14"/>
    <x v="5"/>
    <s v="C:\Users\andre\Desktop\REACTIV CEFAS\Fadrozole\Fadrozole/20201203_Cefas_Test8_Run3/Plate 5/@12/E6_01.tif "/>
    <s v=" 3850.1212 "/>
    <s v=" 38.691 "/>
    <x v="0"/>
    <n v="148965"/>
    <m/>
    <m/>
  </r>
  <r>
    <x v="14"/>
    <x v="5"/>
    <s v="C:\Users\andre\Desktop\REACTIV CEFAS\Fadrozole\Fadrozole/20201203_Cefas_Test8_Run3/Plate 5/@12/E6_02.tif "/>
    <s v=" 4066.4202 "/>
    <s v=" 37.1543 "/>
    <x v="0"/>
    <n v="151085"/>
    <m/>
    <m/>
  </r>
  <r>
    <x v="14"/>
    <x v="5"/>
    <s v="C:\Users\andre\Desktop\REACTIV CEFAS\Fadrozole\Fadrozole/20201203_Cefas_Test8_Run3/Plate 5/@12/E6_03.tif "/>
    <s v=" 3720.3419 "/>
    <s v=" 37.5407 "/>
    <x v="0"/>
    <n v="139664"/>
    <m/>
    <m/>
  </r>
  <r>
    <x v="14"/>
    <x v="6"/>
    <s v="C:\Users\andre\Desktop\REACTIV CEFAS\Fadrozole\Fadrozole/20201203_Cefas_Test8_Run3/Plate 5/@12/F6_01.tif "/>
    <s v=" 86.5196 "/>
    <s v=" 30.75 "/>
    <x v="0"/>
    <n v="2660"/>
    <m/>
    <m/>
  </r>
  <r>
    <x v="14"/>
    <x v="6"/>
    <s v="C:\Users\andre\Desktop\REACTIV CEFAS\Fadrozole\Fadrozole/20201203_Cefas_Test8_Run3/Plate 5/@12/F6_02.tif "/>
    <s v=" 129.7794 "/>
    <s v=" 32.6667 "/>
    <x v="0"/>
    <n v="4239"/>
    <m/>
    <m/>
  </r>
  <r>
    <x v="14"/>
    <x v="6"/>
    <s v="C:\Users\andre\Desktop\REACTIV CEFAS\Fadrozole\Fadrozole/20201203_Cefas_Test8_Run3/Plate 5/@12/F6_03- exclu.tif"/>
    <m/>
    <m/>
    <x v="1"/>
    <m/>
    <m/>
    <m/>
  </r>
  <r>
    <x v="14"/>
    <x v="7"/>
    <s v="C:\Users\andre\Desktop\REACTIV CEFAS\Fadrozole\Fadrozole/20201203_Cefas_Test8_Run3/Plate 5/@12/G6_01.tif "/>
    <s v=" 2465.808 "/>
    <s v=" 34.9386 "/>
    <x v="0"/>
    <n v="86152"/>
    <m/>
    <m/>
  </r>
  <r>
    <x v="14"/>
    <x v="7"/>
    <s v="C:\Users\andre\Desktop\REACTIV CEFAS\Fadrozole\Fadrozole/20201203_Cefas_Test8_Run3/Plate 5/@12/G6_02.tif "/>
    <s v=" 648.8968 "/>
    <s v=" 32.0667 "/>
    <x v="0"/>
    <n v="20808"/>
    <m/>
    <m/>
  </r>
  <r>
    <x v="14"/>
    <x v="7"/>
    <s v="C:\Users\andre\Desktop\REACTIV CEFAS\Fadrozole\Fadrozole/20201203_Cefas_Test8_Run3/Plate 5/@12/G6_03.tif "/>
    <s v=" 1643.872 "/>
    <s v=" 36.1711 "/>
    <x v="0"/>
    <n v="59461"/>
    <m/>
    <m/>
  </r>
  <r>
    <x v="14"/>
    <x v="8"/>
    <s v="C:\Users\andre\Desktop\REACTIV CEFAS\Fadrozole\Fadrozole/20201203_Cefas_Test8_Run3/Plate 5/@12/H6_01.tif "/>
    <s v=" 5515.6231 "/>
    <s v=" 37.9961 "/>
    <x v="0"/>
    <n v="209572"/>
    <m/>
    <m/>
  </r>
  <r>
    <x v="14"/>
    <x v="8"/>
    <s v="C:\Users\andre\Desktop\REACTIV CEFAS\Fadrozole\Fadrozole/20201203_Cefas_Test8_Run3/Plate 5/@12/H6_02.tif "/>
    <s v=" 64.8897 "/>
    <s v=" 30.6667 "/>
    <x v="0"/>
    <n v="1990"/>
    <m/>
    <m/>
  </r>
  <r>
    <x v="14"/>
    <x v="8"/>
    <s v="C:\Users\andre\Desktop\REACTIV CEFAS\Fadrozole\Fadrozole/20201203_Cefas_Test8_Run3/Plate 5/@12/H6_03.tif "/>
    <s v=" 10252.5701 "/>
    <s v=" 36.9346 "/>
    <x v="0"/>
    <n v="378675"/>
    <m/>
    <m/>
  </r>
  <r>
    <x v="0"/>
    <x v="0"/>
    <s v=" "/>
    <m/>
    <m/>
    <x v="1"/>
    <m/>
    <m/>
    <m/>
  </r>
  <r>
    <x v="0"/>
    <x v="0"/>
    <s v="group "/>
    <s v=" "/>
    <s v=" mean of mean fluo "/>
    <x v="2"/>
    <s v=" mean of total fluo "/>
    <s v=" SD total fluo "/>
    <m/>
  </r>
  <r>
    <x v="14"/>
    <x v="9"/>
    <s v="C:\Users\andre\Desktop\REACTIV CEFAS\Fadrozole\Fadrozole/20201203_Cefas_Test8_Run3/Plate 5/@12/ "/>
    <s v=" "/>
    <s v=" 33.0527 "/>
    <x v="16"/>
    <s v=" 161343.625 "/>
    <s v=" 144648.791 "/>
    <m/>
  </r>
  <r>
    <x v="0"/>
    <x v="0"/>
    <s v=" "/>
    <m/>
    <m/>
    <x v="1"/>
    <m/>
    <m/>
    <m/>
  </r>
  <r>
    <x v="0"/>
    <x v="0"/>
    <s v=" "/>
    <m/>
    <m/>
    <x v="1"/>
    <m/>
    <m/>
    <m/>
  </r>
  <r>
    <x v="0"/>
    <x v="0"/>
    <s v=" "/>
    <m/>
    <m/>
    <x v="1"/>
    <m/>
    <m/>
    <m/>
  </r>
  <r>
    <x v="0"/>
    <x v="0"/>
    <s v=" "/>
    <m/>
    <m/>
    <x v="1"/>
    <m/>
    <m/>
    <m/>
  </r>
  <r>
    <x v="0"/>
    <x v="0"/>
    <s v=" "/>
    <m/>
    <m/>
    <x v="1"/>
    <m/>
    <m/>
    <m/>
  </r>
  <r>
    <x v="0"/>
    <x v="0"/>
    <s v="file name "/>
    <s v=" total area "/>
    <s v=" mean intensity "/>
    <x v="0"/>
    <s v=" total fluorescence"/>
    <m/>
    <m/>
  </r>
  <r>
    <x v="15"/>
    <x v="1"/>
    <s v="C:\Users\andre\Desktop\REACTIV CEFAS\Fadrozole\Fadrozole/20201203_Cefas_Test8_Run3/Plate 5/@17/A8_01- exclu.tif"/>
    <m/>
    <m/>
    <x v="1"/>
    <m/>
    <m/>
    <m/>
  </r>
  <r>
    <x v="15"/>
    <x v="1"/>
    <s v="C:\Users\andre\Desktop\REACTIV CEFAS\Fadrozole\Fadrozole/20201203_Cefas_Test8_Run3/Plate 5/@17/A8_02- exclu.tif"/>
    <m/>
    <m/>
    <x v="1"/>
    <m/>
    <m/>
    <m/>
  </r>
  <r>
    <x v="15"/>
    <x v="1"/>
    <s v="C:\Users\andre\Desktop\REACTIV CEFAS\Fadrozole\Fadrozole/20201203_Cefas_Test8_Run3/Plate 5/@17/A8_03- exclu.tif"/>
    <m/>
    <m/>
    <x v="1"/>
    <m/>
    <m/>
    <m/>
  </r>
  <r>
    <x v="15"/>
    <x v="2"/>
    <s v="C:\Users\andre\Desktop\REACTIV CEFAS\Fadrozole\Fadrozole/20201203_Cefas_Test8_Run3/Plate 5/@17/B8_01.tif "/>
    <s v=" 4174.5697 "/>
    <s v=" 36.1088 "/>
    <x v="0"/>
    <n v="150739"/>
    <m/>
    <m/>
  </r>
  <r>
    <x v="15"/>
    <x v="2"/>
    <s v="C:\Users\andre\Desktop\REACTIV CEFAS\Fadrozole\Fadrozole/20201203_Cefas_Test8_Run3/Plate 5/@17/B8_02.tif "/>
    <s v=" 6013.1107 "/>
    <s v=" 37.3453 "/>
    <x v="0"/>
    <n v="224562"/>
    <m/>
    <m/>
  </r>
  <r>
    <x v="15"/>
    <x v="2"/>
    <s v="C:\Users\andre\Desktop\REACTIV CEFAS\Fadrozole\Fadrozole/20201203_Cefas_Test8_Run3/Plate 5/@17/B8_03.tif "/>
    <s v=" 5948.221 "/>
    <s v=" 38.8073 "/>
    <x v="0"/>
    <n v="230834"/>
    <m/>
    <m/>
  </r>
  <r>
    <x v="15"/>
    <x v="3"/>
    <s v="C:\Users\andre\Desktop\REACTIV CEFAS\Fadrozole\Fadrozole/20201203_Cefas_Test8_Run3/Plate 5/@17/C8_01.tif "/>
    <s v=" 10771.6875 "/>
    <s v=" 45.5582 "/>
    <x v="0"/>
    <n v="490739"/>
    <m/>
    <m/>
  </r>
  <r>
    <x v="15"/>
    <x v="3"/>
    <s v="C:\Users\andre\Desktop\REACTIV CEFAS\Fadrozole\Fadrozole/20201203_Cefas_Test8_Run3/Plate 5/@17/C8_02.tif "/>
    <s v=" 302.8185 "/>
    <s v=" 31.7143 "/>
    <x v="0"/>
    <n v="9604"/>
    <m/>
    <m/>
  </r>
  <r>
    <x v="15"/>
    <x v="3"/>
    <s v="C:\Users\andre\Desktop\REACTIV CEFAS\Fadrozole\Fadrozole/20201203_Cefas_Test8_Run3/Plate 5/@17/C8_03.tif "/>
    <s v=" 10057.901 "/>
    <s v=" 43.9247 "/>
    <x v="0"/>
    <n v="441791"/>
    <m/>
    <m/>
  </r>
  <r>
    <x v="15"/>
    <x v="4"/>
    <s v="C:\Users\andre\Desktop\REACTIV CEFAS\Fadrozole\Fadrozole/20201203_Cefas_Test8_Run3/Plate 5/@17/D8_01.tif "/>
    <n v="0"/>
    <n v="0"/>
    <x v="0"/>
    <n v="0"/>
    <m/>
    <m/>
  </r>
  <r>
    <x v="15"/>
    <x v="4"/>
    <s v="C:\Users\andre\Desktop\REACTIV CEFAS\Fadrozole\Fadrozole/20201203_Cefas_Test8_Run3/Plate 5/@17/D8_02.tif "/>
    <s v=" 86.5196 "/>
    <s v=" 30.25 "/>
    <x v="0"/>
    <n v="2617"/>
    <m/>
    <m/>
  </r>
  <r>
    <x v="15"/>
    <x v="4"/>
    <s v="C:\Users\andre\Desktop\REACTIV CEFAS\Fadrozole\Fadrozole/20201203_Cefas_Test8_Run3/Plate 5/@17/D8_03.tif "/>
    <s v=" 21.6299 "/>
    <n v="31"/>
    <x v="0"/>
    <n v="671"/>
    <m/>
    <m/>
  </r>
  <r>
    <x v="15"/>
    <x v="5"/>
    <s v="C:\Users\andre\Desktop\REACTIV CEFAS\Fadrozole\Fadrozole/20201203_Cefas_Test8_Run3/Plate 5/@17/E8_01.tif "/>
    <s v=" 5039.7654 "/>
    <s v=" 34.7124 "/>
    <x v="0"/>
    <n v="174943"/>
    <m/>
    <m/>
  </r>
  <r>
    <x v="15"/>
    <x v="5"/>
    <s v="C:\Users\andre\Desktop\REACTIV CEFAS\Fadrozole\Fadrozole/20201203_Cefas_Test8_Run3/Plate 5/@17/E8_02.tif "/>
    <s v=" 540.7474 "/>
    <s v=" 31.4 "/>
    <x v="0"/>
    <n v="16979"/>
    <m/>
    <m/>
  </r>
  <r>
    <x v="15"/>
    <x v="5"/>
    <s v="C:\Users\andre\Desktop\REACTIV CEFAS\Fadrozole\Fadrozole/20201203_Cefas_Test8_Run3/Plate 5/@17/E8_03.tif "/>
    <s v=" 4909.9861 "/>
    <s v=" 39.1057 "/>
    <x v="0"/>
    <n v="192009"/>
    <m/>
    <m/>
  </r>
  <r>
    <x v="15"/>
    <x v="6"/>
    <s v="C:\Users\andre\Desktop\REACTIV CEFAS\Fadrozole\Fadrozole/20201203_Cefas_Test8_Run3/Plate 5/@17/F8_01.tif "/>
    <s v=" 7570.4631 "/>
    <s v=" 41.4286 "/>
    <x v="0"/>
    <n v="313633"/>
    <m/>
    <m/>
  </r>
  <r>
    <x v="15"/>
    <x v="6"/>
    <s v="C:\Users\andre\Desktop\REACTIV CEFAS\Fadrozole\Fadrozole/20201203_Cefas_Test8_Run3/Plate 5/@17/F8_02- exclu.tif"/>
    <m/>
    <m/>
    <x v="1"/>
    <m/>
    <m/>
    <m/>
  </r>
  <r>
    <x v="15"/>
    <x v="6"/>
    <s v="C:\Users\andre\Desktop\REACTIV CEFAS\Fadrozole\Fadrozole/20201203_Cefas_Test8_Run3/Plate 5/@17/F8_03.tif "/>
    <s v=" 11052.8762 "/>
    <s v=" 39.7515 "/>
    <x v="0"/>
    <n v="439368"/>
    <m/>
    <m/>
  </r>
  <r>
    <x v="15"/>
    <x v="7"/>
    <s v="C:\Users\andre\Desktop\REACTIV CEFAS\Fadrozole\Fadrozole/20201203_Cefas_Test8_Run3/Plate 5/@17/G8_01.tif "/>
    <s v=" 519.1175 "/>
    <s v=" 33.25 "/>
    <x v="0"/>
    <n v="17261"/>
    <m/>
    <m/>
  </r>
  <r>
    <x v="15"/>
    <x v="7"/>
    <s v="C:\Users\andre\Desktop\REACTIV CEFAS\Fadrozole\Fadrozole/20201203_Cefas_Test8_Run3/Plate 5/@17/G8_02.tif "/>
    <s v=" 5775.1819 "/>
    <s v=" 40.4157 "/>
    <x v="0"/>
    <n v="233408"/>
    <m/>
    <m/>
  </r>
  <r>
    <x v="15"/>
    <x v="7"/>
    <s v="C:\Users\andre\Desktop\REACTIV CEFAS\Fadrozole\Fadrozole/20201203_Cefas_Test8_Run3/Plate 5/@17/G8_03.tif "/>
    <s v=" 6251.0395 "/>
    <s v=" 39.8408 "/>
    <x v="0"/>
    <n v="249047"/>
    <m/>
    <m/>
  </r>
  <r>
    <x v="15"/>
    <x v="8"/>
    <s v="C:\Users\andre\Desktop\REACTIV CEFAS\Fadrozole\Fadrozole/20201203_Cefas_Test8_Run3/Plate 5/@17/H8_01.tif "/>
    <s v=" 4044.7903 "/>
    <s v=" 35.8396 "/>
    <x v="0"/>
    <n v="144964"/>
    <m/>
    <m/>
  </r>
  <r>
    <x v="15"/>
    <x v="8"/>
    <s v="C:\Users\andre\Desktop\REACTIV CEFAS\Fadrozole\Fadrozole/20201203_Cefas_Test8_Run3/Plate 5/@17/H8_02.tif "/>
    <s v=" 2768.6265 "/>
    <s v=" 34.8672 "/>
    <x v="0"/>
    <n v="96534"/>
    <m/>
    <m/>
  </r>
  <r>
    <x v="15"/>
    <x v="8"/>
    <s v="C:\Users\andre\Desktop\REACTIV CEFAS\Fadrozole\Fadrozole/20201203_Cefas_Test8_Run3/Plate 5/@17/H8_03.tif "/>
    <s v=" 3244.4842 "/>
    <s v=" 33.6333 "/>
    <x v="0"/>
    <n v="109123"/>
    <m/>
    <m/>
  </r>
  <r>
    <x v="0"/>
    <x v="0"/>
    <s v=" "/>
    <m/>
    <m/>
    <x v="1"/>
    <m/>
    <m/>
    <m/>
  </r>
  <r>
    <x v="0"/>
    <x v="0"/>
    <s v="group "/>
    <s v=" "/>
    <s v=" mean of mean fluo "/>
    <x v="2"/>
    <s v=" mean of total fluo "/>
    <s v=" SD total fluo "/>
    <m/>
  </r>
  <r>
    <x v="15"/>
    <x v="9"/>
    <s v="C:\Users\andre\Desktop\REACTIV CEFAS\Fadrozole\Fadrozole/20201203_Cefas_Test8_Run3/Plate 5/@17/ "/>
    <s v=" "/>
    <s v=" 35.3021 "/>
    <x v="17"/>
    <s v=" 190915.458 "/>
    <s v=" 191429.068 "/>
    <m/>
  </r>
  <r>
    <x v="0"/>
    <x v="0"/>
    <s v=" "/>
    <m/>
    <m/>
    <x v="1"/>
    <m/>
    <m/>
    <m/>
  </r>
  <r>
    <x v="0"/>
    <x v="0"/>
    <s v=" "/>
    <m/>
    <m/>
    <x v="1"/>
    <m/>
    <m/>
    <m/>
  </r>
  <r>
    <x v="0"/>
    <x v="0"/>
    <s v=" "/>
    <m/>
    <m/>
    <x v="1"/>
    <m/>
    <m/>
    <m/>
  </r>
  <r>
    <x v="0"/>
    <x v="0"/>
    <s v=" "/>
    <m/>
    <m/>
    <x v="1"/>
    <m/>
    <m/>
    <m/>
  </r>
  <r>
    <x v="0"/>
    <x v="0"/>
    <s v=" "/>
    <m/>
    <m/>
    <x v="1"/>
    <m/>
    <m/>
    <m/>
  </r>
  <r>
    <x v="0"/>
    <x v="0"/>
    <s v="file name "/>
    <s v=" total area "/>
    <s v=" mean intensity "/>
    <x v="0"/>
    <s v=" total fluorescence"/>
    <m/>
    <m/>
  </r>
  <r>
    <x v="16"/>
    <x v="1"/>
    <s v="C:\Users\andre\Desktop\REACTIV CEFAS\Fadrozole\Fadrozole/20201203_Cefas_Test8_Run3/Plate 5/@18/A9_01.tif "/>
    <s v=" 389.3381 "/>
    <s v=" 33.1111 "/>
    <x v="0"/>
    <n v="12891"/>
    <m/>
    <m/>
  </r>
  <r>
    <x v="16"/>
    <x v="1"/>
    <s v="C:\Users\andre\Desktop\REACTIV CEFAS\Fadrozole\Fadrozole/20201203_Cefas_Test8_Run3/Plate 5/@18/A9_02.tif "/>
    <s v=" 194.6691 "/>
    <s v=" 30.5556 "/>
    <x v="0"/>
    <n v="5948"/>
    <m/>
    <m/>
  </r>
  <r>
    <x v="16"/>
    <x v="1"/>
    <s v="C:\Users\andre\Desktop\REACTIV CEFAS\Fadrozole\Fadrozole/20201203_Cefas_Test8_Run3/Plate 5/@18/A9_03.tif "/>
    <n v="0"/>
    <n v="0"/>
    <x v="0"/>
    <n v="0"/>
    <m/>
    <m/>
  </r>
  <r>
    <x v="16"/>
    <x v="2"/>
    <s v="C:\Users\andre\Desktop\REACTIV CEFAS\Fadrozole\Fadrozole/20201203_Cefas_Test8_Run3/Plate 5/@18/B9_01- exclu.tif"/>
    <m/>
    <m/>
    <x v="1"/>
    <m/>
    <m/>
    <m/>
  </r>
  <r>
    <x v="16"/>
    <x v="2"/>
    <s v="C:\Users\andre\Desktop\REACTIV CEFAS\Fadrozole\Fadrozole/20201203_Cefas_Test8_Run3/Plate 5/@18/B9_02- exclu.tif"/>
    <m/>
    <m/>
    <x v="1"/>
    <m/>
    <m/>
    <m/>
  </r>
  <r>
    <x v="16"/>
    <x v="2"/>
    <s v="C:\Users\andre\Desktop\REACTIV CEFAS\Fadrozole\Fadrozole/20201203_Cefas_Test8_Run3/Plate 5/@18/B9_03.tif "/>
    <s v=" 11550.3637 "/>
    <s v=" 46.9944 "/>
    <x v="0"/>
    <n v="542802"/>
    <m/>
    <m/>
  </r>
  <r>
    <x v="16"/>
    <x v="3"/>
    <s v="C:\Users\andre\Desktop\REACTIV CEFAS\Fadrozole\Fadrozole/20201203_Cefas_Test8_Run3/Plate 5/@18/C9_01.tif "/>
    <n v="0"/>
    <n v="0"/>
    <x v="0"/>
    <n v="0"/>
    <m/>
    <m/>
  </r>
  <r>
    <x v="16"/>
    <x v="3"/>
    <s v="C:\Users\andre\Desktop\REACTIV CEFAS\Fadrozole\Fadrozole/20201203_Cefas_Test8_Run3/Plate 5/@18/C9_02.tif "/>
    <s v=" 1297.7937 "/>
    <s v=" 32.5167 "/>
    <x v="0"/>
    <n v="42200"/>
    <m/>
    <m/>
  </r>
  <r>
    <x v="16"/>
    <x v="3"/>
    <s v="C:\Users\andre\Desktop\REACTIV CEFAS\Fadrozole\Fadrozole/20201203_Cefas_Test8_Run3/Plate 5/@18/C9_03.tif "/>
    <s v=" 1341.0535 "/>
    <s v=" 34.0806 "/>
    <x v="0"/>
    <n v="45704"/>
    <m/>
    <m/>
  </r>
  <r>
    <x v="16"/>
    <x v="4"/>
    <s v="C:\Users\andre\Desktop\REACTIV CEFAS\Fadrozole\Fadrozole/20201203_Cefas_Test8_Run3/Plate 5/@18/D9_01.tif "/>
    <s v=" 3525.6728 "/>
    <s v=" 34.0982 "/>
    <x v="0"/>
    <n v="120219"/>
    <m/>
    <m/>
  </r>
  <r>
    <x v="16"/>
    <x v="4"/>
    <s v="C:\Users\andre\Desktop\REACTIV CEFAS\Fadrozole\Fadrozole/20201203_Cefas_Test8_Run3/Plate 5/@18/D9_02.tif "/>
    <s v=" 4780.2067 "/>
    <s v=" 34.4706 "/>
    <x v="0"/>
    <n v="164777"/>
    <m/>
    <m/>
  </r>
  <r>
    <x v="16"/>
    <x v="4"/>
    <s v="C:\Users\andre\Desktop\REACTIV CEFAS\Fadrozole\Fadrozole/20201203_Cefas_Test8_Run3/Plate 5/@18/D9_03.tif "/>
    <s v=" 4390.8686 "/>
    <s v=" 37.0394 "/>
    <x v="0"/>
    <n v="162635"/>
    <m/>
    <m/>
  </r>
  <r>
    <x v="16"/>
    <x v="5"/>
    <s v="C:\Users\andre\Desktop\REACTIV CEFAS\Fadrozole\Fadrozole/20201203_Cefas_Test8_Run3/Plate 5/@18/E9_01.tif "/>
    <s v=" 2422.5482 "/>
    <s v=" 35.1696 "/>
    <x v="0"/>
    <n v="85200"/>
    <m/>
    <m/>
  </r>
  <r>
    <x v="16"/>
    <x v="5"/>
    <s v="C:\Users\andre\Desktop\REACTIV CEFAS\Fadrozole\Fadrozole/20201203_Cefas_Test8_Run3/Plate 5/@18/E9_02.tif "/>
    <s v=" 973.3453 "/>
    <s v=" 32.4889 "/>
    <x v="0"/>
    <n v="31623"/>
    <m/>
    <m/>
  </r>
  <r>
    <x v="16"/>
    <x v="5"/>
    <s v="C:\Users\andre\Desktop\REACTIV CEFAS\Fadrozole\Fadrozole/20201203_Cefas_Test8_Run3/Plate 5/@18/E9_03.tif "/>
    <s v=" 6748.5271 "/>
    <s v=" 40.1827 "/>
    <x v="0"/>
    <n v="271174"/>
    <m/>
    <m/>
  </r>
  <r>
    <x v="16"/>
    <x v="6"/>
    <s v="C:\Users\andre\Desktop\REACTIV CEFAS\Fadrozole\Fadrozole/20201203_Cefas_Test8_Run3/Plate 5/@18/F9_01.tif "/>
    <s v=" 2054.84 "/>
    <s v=" 33.6421 "/>
    <x v="0"/>
    <n v="69129"/>
    <m/>
    <m/>
  </r>
  <r>
    <x v="16"/>
    <x v="6"/>
    <s v="C:\Users\andre\Desktop\REACTIV CEFAS\Fadrozole\Fadrozole/20201203_Cefas_Test8_Run3/Plate 5/@18/F9_02.tif "/>
    <s v=" 2011.5802 "/>
    <s v=" 32.6989 "/>
    <x v="0"/>
    <n v="65777"/>
    <m/>
    <m/>
  </r>
  <r>
    <x v="16"/>
    <x v="6"/>
    <s v="C:\Users\andre\Desktop\REACTIV CEFAS\Fadrozole\Fadrozole/20201203_Cefas_Test8_Run3/Plate 5/@18/F9_03.tif "/>
    <s v=" 4390.8686 "/>
    <s v=" 37.5961 "/>
    <x v="0"/>
    <n v="165079"/>
    <m/>
    <m/>
  </r>
  <r>
    <x v="16"/>
    <x v="7"/>
    <s v="C:\Users\andre\Desktop\REACTIV CEFAS\Fadrozole\Fadrozole/20201203_Cefas_Test8_Run3/Plate 5/@18/G9_01.tif "/>
    <s v=" 7483.9435 "/>
    <s v=" 35.2746 "/>
    <x v="0"/>
    <n v="263993"/>
    <m/>
    <m/>
  </r>
  <r>
    <x v="16"/>
    <x v="7"/>
    <s v="C:\Users\andre\Desktop\REACTIV CEFAS\Fadrozole\Fadrozole/20201203_Cefas_Test8_Run3/Plate 5/@18/G9_02.tif "/>
    <s v=" 3201.2244 "/>
    <s v=" 32.223 "/>
    <x v="0"/>
    <n v="103153"/>
    <m/>
    <m/>
  </r>
  <r>
    <x v="16"/>
    <x v="7"/>
    <s v="C:\Users\andre\Desktop\REACTIV CEFAS\Fadrozole\Fadrozole/20201203_Cefas_Test8_Run3/Plate 5/@18/G9_03.tif "/>
    <s v=" 4434.1284 "/>
    <s v=" 33.8585 "/>
    <x v="0"/>
    <n v="150133"/>
    <m/>
    <m/>
  </r>
  <r>
    <x v="16"/>
    <x v="8"/>
    <s v="C:\Users\andre\Desktop\REACTIV CEFAS\Fadrozole\Fadrozole/20201203_Cefas_Test8_Run3/Plate 5/@18/H9_01.tif "/>
    <s v=" 6856.6766 "/>
    <s v=" 35.1388 "/>
    <x v="0"/>
    <n v="240935"/>
    <m/>
    <m/>
  </r>
  <r>
    <x v="16"/>
    <x v="8"/>
    <s v="C:\Users\andre\Desktop\REACTIV CEFAS\Fadrozole\Fadrozole/20201203_Cefas_Test8_Run3/Plate 5/@18/H9_02.tif "/>
    <s v=" 8824.997 "/>
    <s v=" 34.9877 "/>
    <x v="0"/>
    <n v="308767"/>
    <m/>
    <m/>
  </r>
  <r>
    <x v="16"/>
    <x v="8"/>
    <s v="C:\Users\andre\Desktop\REACTIV CEFAS\Fadrozole\Fadrozole/20201203_Cefas_Test8_Run3/Plate 5/@18/H9_03.tif "/>
    <s v=" 5342.584 "/>
    <s v=" 34.6356 "/>
    <x v="0"/>
    <n v="185044"/>
    <m/>
    <m/>
  </r>
  <r>
    <x v="0"/>
    <x v="0"/>
    <s v=" "/>
    <m/>
    <m/>
    <x v="1"/>
    <m/>
    <m/>
    <m/>
  </r>
  <r>
    <x v="0"/>
    <x v="0"/>
    <s v="group "/>
    <s v=" "/>
    <s v=" mean of mean fluo "/>
    <x v="2"/>
    <s v=" mean of total fluo "/>
    <s v=" SD total fluo "/>
    <m/>
  </r>
  <r>
    <x v="16"/>
    <x v="9"/>
    <s v="C:\Users\andre\Desktop\REACTIV CEFAS\Fadrozole\Fadrozole/20201203_Cefas_Test8_Run3/Plate 5/@18/ "/>
    <s v=" "/>
    <s v=" 31.9276 "/>
    <x v="18"/>
    <s v=" 126636.708 "/>
    <s v=" 130305.496 "/>
    <m/>
  </r>
  <r>
    <x v="0"/>
    <x v="0"/>
    <s v=" "/>
    <m/>
    <m/>
    <x v="1"/>
    <m/>
    <m/>
    <m/>
  </r>
  <r>
    <x v="0"/>
    <x v="0"/>
    <s v=" "/>
    <m/>
    <m/>
    <x v="1"/>
    <m/>
    <m/>
    <m/>
  </r>
  <r>
    <x v="0"/>
    <x v="0"/>
    <s v=" "/>
    <m/>
    <m/>
    <x v="1"/>
    <m/>
    <m/>
    <m/>
  </r>
  <r>
    <x v="0"/>
    <x v="0"/>
    <s v=" "/>
    <m/>
    <m/>
    <x v="1"/>
    <m/>
    <m/>
    <m/>
  </r>
  <r>
    <x v="0"/>
    <x v="0"/>
    <s v=" "/>
    <m/>
    <m/>
    <x v="1"/>
    <m/>
    <m/>
    <m/>
  </r>
  <r>
    <x v="0"/>
    <x v="0"/>
    <s v="file name "/>
    <s v=" total area "/>
    <s v=" mean intensity "/>
    <x v="0"/>
    <s v=" total fluorescence"/>
    <m/>
    <m/>
  </r>
  <r>
    <x v="17"/>
    <x v="1"/>
    <s v="C:\Users\andre\Desktop\REACTIV CEFAS\Fadrozole\Fadrozole/20201203_Cefas_Test8_Run3/Plate 5/@19/A10_01- exclu.tif"/>
    <m/>
    <m/>
    <x v="1"/>
    <m/>
    <m/>
    <m/>
  </r>
  <r>
    <x v="17"/>
    <x v="1"/>
    <s v="C:\Users\andre\Desktop\REACTIV CEFAS\Fadrozole\Fadrozole/20201203_Cefas_Test8_Run3/Plate 5/@19/A10_02.tif "/>
    <s v=" 13561.9439 "/>
    <s v=" 49.9888 "/>
    <x v="0"/>
    <n v="677946"/>
    <m/>
    <m/>
  </r>
  <r>
    <x v="17"/>
    <x v="1"/>
    <s v="C:\Users\andre\Desktop\REACTIV CEFAS\Fadrozole\Fadrozole/20201203_Cefas_Test8_Run3/Plate 5/@19/A10_03- exclu.tif"/>
    <m/>
    <m/>
    <x v="1"/>
    <m/>
    <m/>
    <m/>
  </r>
  <r>
    <x v="17"/>
    <x v="2"/>
    <s v="C:\Users\andre\Desktop\REACTIV CEFAS\Fadrozole\Fadrozole/20201203_Cefas_Test8_Run3/Plate 5/@19/B10_01.tif "/>
    <n v="0"/>
    <n v="0"/>
    <x v="0"/>
    <n v="0"/>
    <m/>
    <m/>
  </r>
  <r>
    <x v="17"/>
    <x v="2"/>
    <s v="C:\Users\andre\Desktop\REACTIV CEFAS\Fadrozole\Fadrozole/20201203_Cefas_Test8_Run3/Plate 5/@19/B10_02.tif "/>
    <n v="0"/>
    <n v="0"/>
    <x v="0"/>
    <n v="0"/>
    <m/>
    <m/>
  </r>
  <r>
    <x v="17"/>
    <x v="2"/>
    <s v="C:\Users\andre\Desktop\REACTIV CEFAS\Fadrozole\Fadrozole/20201203_Cefas_Test8_Run3/Plate 5/@19/B10_03- exclu.tif"/>
    <m/>
    <m/>
    <x v="1"/>
    <m/>
    <m/>
    <m/>
  </r>
  <r>
    <x v="17"/>
    <x v="3"/>
    <s v="C:\Users\andre\Desktop\REACTIV CEFAS\Fadrozole\Fadrozole/20201203_Cefas_Test8_Run3/Plate 5/@19/C10_01.tif "/>
    <s v=" 973.3453 "/>
    <s v=" 31.9333 "/>
    <x v="0"/>
    <n v="31082"/>
    <m/>
    <m/>
  </r>
  <r>
    <x v="17"/>
    <x v="3"/>
    <s v="C:\Users\andre\Desktop\REACTIV CEFAS\Fadrozole\Fadrozole/20201203_Cefas_Test8_Run3/Plate 5/@19/C10_02.tif "/>
    <s v=" 259.5587 "/>
    <s v=" 32.3333 "/>
    <x v="0"/>
    <n v="8392"/>
    <m/>
    <m/>
  </r>
  <r>
    <x v="17"/>
    <x v="3"/>
    <s v="C:\Users\andre\Desktop\REACTIV CEFAS\Fadrozole\Fadrozole/20201203_Cefas_Test8_Run3/Plate 5/@19/C10_03.tif "/>
    <s v=" 1730.3916 "/>
    <s v=" 32.4875 "/>
    <x v="0"/>
    <n v="56216"/>
    <m/>
    <m/>
  </r>
  <r>
    <x v="17"/>
    <x v="4"/>
    <s v="C:\Users\andre\Desktop\REACTIV CEFAS\Fadrozole\Fadrozole/20201203_Cefas_Test8_Run3/Plate 5/@19/D10_01.tif "/>
    <s v=" 4152.9398 "/>
    <s v=" 35.8646 "/>
    <x v="0"/>
    <n v="148943"/>
    <m/>
    <m/>
  </r>
  <r>
    <x v="17"/>
    <x v="4"/>
    <s v="C:\Users\andre\Desktop\REACTIV CEFAS\Fadrozole\Fadrozole/20201203_Cefas_Test8_Run3/Plate 5/@19/D10_02.tif "/>
    <s v=" 4174.5697 "/>
    <s v=" 35.7098 "/>
    <x v="0"/>
    <n v="149073"/>
    <m/>
    <m/>
  </r>
  <r>
    <x v="17"/>
    <x v="4"/>
    <s v="C:\Users\andre\Desktop\REACTIV CEFAS\Fadrozole\Fadrozole/20201203_Cefas_Test8_Run3/Plate 5/@19/D10_03.tif "/>
    <s v=" 3006.5554 "/>
    <s v=" 33.2662 "/>
    <x v="0"/>
    <n v="100017"/>
    <m/>
    <m/>
  </r>
  <r>
    <x v="17"/>
    <x v="5"/>
    <s v="C:\Users\andre\Desktop\REACTIV CEFAS\Fadrozole\Fadrozole/20201203_Cefas_Test8_Run3/Plate 5/@19/E10_01- exclu.tif"/>
    <m/>
    <m/>
    <x v="1"/>
    <m/>
    <m/>
    <m/>
  </r>
  <r>
    <x v="17"/>
    <x v="5"/>
    <s v="C:\Users\andre\Desktop\REACTIV CEFAS\Fadrozole\Fadrozole/20201203_Cefas_Test8_Run3/Plate 5/@19/E10_02.tif "/>
    <s v=" 4369.2387 "/>
    <s v=" 39.2772 "/>
    <x v="0"/>
    <n v="171612"/>
    <m/>
    <m/>
  </r>
  <r>
    <x v="17"/>
    <x v="5"/>
    <s v="C:\Users\andre\Desktop\REACTIV CEFAS\Fadrozole\Fadrozole/20201203_Cefas_Test8_Run3/Plate 5/@19/E10_03.tif "/>
    <s v=" 454.2278 "/>
    <s v=" 32.2381 "/>
    <x v="0"/>
    <n v="14643"/>
    <m/>
    <m/>
  </r>
  <r>
    <x v="17"/>
    <x v="6"/>
    <s v="C:\Users\andre\Desktop\REACTIV CEFAS\Fadrozole\Fadrozole/20201203_Cefas_Test8_Run3/Plate 5/@19/F10_01- exclu.tif"/>
    <m/>
    <m/>
    <x v="1"/>
    <m/>
    <m/>
    <m/>
  </r>
  <r>
    <x v="17"/>
    <x v="6"/>
    <s v="C:\Users\andre\Desktop\REACTIV CEFAS\Fadrozole\Fadrozole/20201203_Cefas_Test8_Run3/Plate 5/@19/F10_02- exclu.tif"/>
    <m/>
    <m/>
    <x v="1"/>
    <m/>
    <m/>
    <m/>
  </r>
  <r>
    <x v="17"/>
    <x v="6"/>
    <s v="C:\Users\andre\Desktop\REACTIV CEFAS\Fadrozole\Fadrozole/20201203_Cefas_Test8_Run3/Plate 5/@19/F10_03- exclu.tif"/>
    <m/>
    <m/>
    <x v="1"/>
    <m/>
    <m/>
    <m/>
  </r>
  <r>
    <x v="17"/>
    <x v="7"/>
    <s v="C:\Users\andre\Desktop\REACTIV CEFAS\Fadrozole\Fadrozole/20201203_Cefas_Test8_Run3/Plate 5/@19/G10_01.tif "/>
    <s v=" 3655.4522 "/>
    <s v=" 34.9349 "/>
    <x v="0"/>
    <n v="127703"/>
    <m/>
    <m/>
  </r>
  <r>
    <x v="17"/>
    <x v="7"/>
    <s v="C:\Users\andre\Desktop\REACTIV CEFAS\Fadrozole\Fadrozole/20201203_Cefas_Test8_Run3/Plate 5/@19/G10_02.tif "/>
    <n v="0"/>
    <n v="0"/>
    <x v="0"/>
    <n v="0"/>
    <m/>
    <m/>
  </r>
  <r>
    <x v="17"/>
    <x v="7"/>
    <s v="C:\Users\andre\Desktop\REACTIV CEFAS\Fadrozole\Fadrozole/20201203_Cefas_Test8_Run3/Plate 5/@19/G10_03.tif "/>
    <s v=" 5191.1747 "/>
    <s v=" 36.075 "/>
    <x v="0"/>
    <n v="187272"/>
    <m/>
    <m/>
  </r>
  <r>
    <x v="17"/>
    <x v="8"/>
    <s v="C:\Users\andre\Desktop\REACTIV CEFAS\Fadrozole\Fadrozole/20201203_Cefas_Test8_Run3/Plate 5/@19/H10_01.tif "/>
    <s v=" 216.2989 "/>
    <s v=" 30.4 "/>
    <x v="0"/>
    <n v="6575"/>
    <m/>
    <m/>
  </r>
  <r>
    <x v="17"/>
    <x v="8"/>
    <s v="C:\Users\andre\Desktop\REACTIV CEFAS\Fadrozole\Fadrozole/20201203_Cefas_Test8_Run3/Plate 5/@19/H10_02.tif "/>
    <s v=" 129.7794 "/>
    <s v=" 31.3333 "/>
    <x v="0"/>
    <n v="4066"/>
    <m/>
    <m/>
  </r>
  <r>
    <x v="17"/>
    <x v="8"/>
    <s v="C:\Users\andre\Desktop\REACTIV CEFAS\Fadrozole\Fadrozole/20201203_Cefas_Test8_Run3/Plate 5/@19/H10_03.tif "/>
    <s v=" 2573.9575 "/>
    <s v=" 34.0084 "/>
    <x v="0"/>
    <n v="87536"/>
    <m/>
    <m/>
  </r>
  <r>
    <x v="0"/>
    <x v="0"/>
    <s v=" "/>
    <m/>
    <m/>
    <x v="1"/>
    <m/>
    <m/>
    <m/>
  </r>
  <r>
    <x v="0"/>
    <x v="0"/>
    <s v="group "/>
    <s v=" "/>
    <s v=" mean of mean fluo "/>
    <x v="2"/>
    <s v=" mean of total fluo "/>
    <s v=" SD total fluo "/>
    <m/>
  </r>
  <r>
    <x v="17"/>
    <x v="9"/>
    <s v="C:\Users\andre\Desktop\REACTIV CEFAS\Fadrozole\Fadrozole/20201203_Cefas_Test8_Run3/Plate 5/@19/ "/>
    <s v=" "/>
    <s v=" 26.0171 "/>
    <x v="19"/>
    <s v=" 157747.708 "/>
    <s v=" 297500.82 "/>
    <m/>
  </r>
  <r>
    <x v="0"/>
    <x v="0"/>
    <s v=" "/>
    <m/>
    <m/>
    <x v="1"/>
    <m/>
    <m/>
    <m/>
  </r>
  <r>
    <x v="0"/>
    <x v="0"/>
    <s v=" "/>
    <m/>
    <m/>
    <x v="1"/>
    <m/>
    <m/>
    <m/>
  </r>
  <r>
    <x v="0"/>
    <x v="0"/>
    <s v=" "/>
    <m/>
    <m/>
    <x v="1"/>
    <m/>
    <m/>
    <m/>
  </r>
  <r>
    <x v="0"/>
    <x v="0"/>
    <s v=" "/>
    <m/>
    <m/>
    <x v="1"/>
    <m/>
    <m/>
    <m/>
  </r>
  <r>
    <x v="0"/>
    <x v="0"/>
    <s v=" "/>
    <m/>
    <m/>
    <x v="1"/>
    <m/>
    <m/>
    <m/>
  </r>
  <r>
    <x v="0"/>
    <x v="0"/>
    <s v="file name "/>
    <s v=" total area "/>
    <s v=" mean intensity "/>
    <x v="0"/>
    <s v=" total fluorescence"/>
    <m/>
    <m/>
  </r>
  <r>
    <x v="18"/>
    <x v="1"/>
    <s v="C:\Users\andre\Desktop\REACTIV CEFAS\Fadrozole\Fadrozole/20201203_Cefas_Test8_Run3/Plate 5/@20/A11_01.tif "/>
    <s v=" 108.1495 "/>
    <s v=" 30.4 "/>
    <x v="0"/>
    <n v="3288"/>
    <m/>
    <m/>
  </r>
  <r>
    <x v="18"/>
    <x v="1"/>
    <s v="C:\Users\andre\Desktop\REACTIV CEFAS\Fadrozole\Fadrozole/20201203_Cefas_Test8_Run3/Plate 5/@20/A11_02.tif "/>
    <s v=" 7981.4311 "/>
    <s v=" 37.9377 "/>
    <x v="0"/>
    <n v="302797"/>
    <m/>
    <m/>
  </r>
  <r>
    <x v="18"/>
    <x v="1"/>
    <s v="C:\Users\andre\Desktop\REACTIV CEFAS\Fadrozole\Fadrozole/20201203_Cefas_Test8_Run3/Plate 5/@20/A11_03.tif "/>
    <s v=" 7202.7549 "/>
    <s v=" 37.2853 "/>
    <x v="0"/>
    <n v="268557"/>
    <m/>
    <m/>
  </r>
  <r>
    <x v="18"/>
    <x v="2"/>
    <s v="C:\Users\andre\Desktop\REACTIV CEFAS\Fadrozole\Fadrozole/20201203_Cefas_Test8_Run3/Plate 5/@20/B11_01.tif "/>
    <s v=" 13691.7233 "/>
    <s v=" 46.0395 "/>
    <x v="0"/>
    <n v="630360"/>
    <m/>
    <m/>
  </r>
  <r>
    <x v="18"/>
    <x v="2"/>
    <s v="C:\Users\andre\Desktop\REACTIV CEFAS\Fadrozole\Fadrozole/20201203_Cefas_Test8_Run3/Plate 5/@20/B11_02.tif "/>
    <s v=" 9841.6021 "/>
    <s v=" 42.3143 "/>
    <x v="0"/>
    <n v="416440"/>
    <m/>
    <m/>
  </r>
  <r>
    <x v="18"/>
    <x v="2"/>
    <s v="C:\Users\andre\Desktop\REACTIV CEFAS\Fadrozole\Fadrozole/20201203_Cefas_Test8_Run3/Plate 5/@20/B11_03.tif "/>
    <s v=" 8327.5094 "/>
    <s v=" 46.6571 "/>
    <x v="0"/>
    <n v="388538"/>
    <m/>
    <m/>
  </r>
  <r>
    <x v="18"/>
    <x v="3"/>
    <s v="C:\Users\andre\Desktop\REACTIV CEFAS\Fadrozole\Fadrozole/20201203_Cefas_Test8_Run3/Plate 5/@20/C11_01.tif "/>
    <s v=" 1146.3844 "/>
    <s v=" 33.9434 "/>
    <x v="0"/>
    <n v="38912"/>
    <m/>
    <m/>
  </r>
  <r>
    <x v="18"/>
    <x v="3"/>
    <s v="C:\Users\andre\Desktop\REACTIV CEFAS\Fadrozole\Fadrozole/20201203_Cefas_Test8_Run3/Plate 5/@20/C11_02.tif "/>
    <s v=" 1535.7225 "/>
    <s v=" 32.8451 "/>
    <x v="0"/>
    <n v="50441"/>
    <m/>
    <m/>
  </r>
  <r>
    <x v="18"/>
    <x v="3"/>
    <s v="C:\Users\andre\Desktop\REACTIV CEFAS\Fadrozole\Fadrozole/20201203_Cefas_Test8_Run3/Plate 5/@20/C11_03.tif "/>
    <s v=" 302.8185 "/>
    <s v=" 31.6429 "/>
    <x v="0"/>
    <n v="9582"/>
    <m/>
    <m/>
  </r>
  <r>
    <x v="18"/>
    <x v="4"/>
    <s v="C:\Users\andre\Desktop\REACTIV CEFAS\Fadrozole\Fadrozole/20201203_Cefas_Test8_Run3/Plate 5/@20/D11_01- exclu.tif"/>
    <m/>
    <m/>
    <x v="1"/>
    <m/>
    <m/>
    <m/>
  </r>
  <r>
    <x v="18"/>
    <x v="4"/>
    <s v="C:\Users\andre\Desktop\REACTIV CEFAS\Fadrozole\Fadrozole/20201203_Cefas_Test8_Run3/Plate 5/@20/D11_02- exclu.tif"/>
    <m/>
    <m/>
    <x v="1"/>
    <m/>
    <m/>
    <m/>
  </r>
  <r>
    <x v="18"/>
    <x v="4"/>
    <s v="C:\Users\andre\Desktop\REACTIV CEFAS\Fadrozole\Fadrozole/20201203_Cefas_Test8_Run3/Plate 5/@20/D11_03- exclu.tif"/>
    <m/>
    <m/>
    <x v="1"/>
    <m/>
    <m/>
    <m/>
  </r>
  <r>
    <x v="18"/>
    <x v="5"/>
    <s v="C:\Users\andre\Desktop\REACTIV CEFAS\Fadrozole\Fadrozole/20201203_Cefas_Test8_Run3/Plate 5/@20/E11_01.tif "/>
    <s v=" 3958.2707 "/>
    <s v=" 36.4754 "/>
    <x v="0"/>
    <n v="144380"/>
    <m/>
    <m/>
  </r>
  <r>
    <x v="18"/>
    <x v="5"/>
    <s v="C:\Users\andre\Desktop\REACTIV CEFAS\Fadrozole\Fadrozole/20201203_Cefas_Test8_Run3/Plate 5/@20/E11_02.tif "/>
    <s v=" 4325.9789 "/>
    <s v=" 36.795 "/>
    <x v="0"/>
    <n v="159174"/>
    <m/>
    <m/>
  </r>
  <r>
    <x v="18"/>
    <x v="5"/>
    <s v="C:\Users\andre\Desktop\REACTIV CEFAS\Fadrozole\Fadrozole/20201203_Cefas_Test8_Run3/Plate 5/@20/E11_03.tif "/>
    <s v=" 4628.7975 "/>
    <s v=" 37.271 "/>
    <x v="0"/>
    <n v="172520"/>
    <m/>
    <m/>
  </r>
  <r>
    <x v="18"/>
    <x v="6"/>
    <s v="C:\Users\andre\Desktop\REACTIV CEFAS\Fadrozole\Fadrozole/20201203_Cefas_Test8_Run3/Plate 5/@20/F11_01.tif "/>
    <s v=" 5212.8046 "/>
    <s v=" 36.2988 "/>
    <x v="0"/>
    <n v="189218"/>
    <m/>
    <m/>
  </r>
  <r>
    <x v="18"/>
    <x v="6"/>
    <s v="C:\Users\andre\Desktop\REACTIV CEFAS\Fadrozole\Fadrozole/20201203_Cefas_Test8_Run3/Plate 5/@20/F11_02.tif "/>
    <s v=" 5450.7334 "/>
    <s v=" 36.3294 "/>
    <x v="0"/>
    <n v="198022"/>
    <m/>
    <m/>
  </r>
  <r>
    <x v="18"/>
    <x v="6"/>
    <s v="C:\Users\andre\Desktop\REACTIV CEFAS\Fadrozole\Fadrozole/20201203_Cefas_Test8_Run3/Plate 5/@20/F11_03.tif "/>
    <s v=" 3309.3739 "/>
    <s v=" 34.3072 "/>
    <x v="0"/>
    <n v="113535"/>
    <m/>
    <m/>
  </r>
  <r>
    <x v="18"/>
    <x v="7"/>
    <s v="C:\Users\andre\Desktop\REACTIV CEFAS\Fadrozole\Fadrozole/20201203_Cefas_Test8_Run3/Plate 5/@20/G11_01.tif "/>
    <s v=" 10209.3103 "/>
    <s v=" 50.7945 "/>
    <x v="0"/>
    <n v="518577"/>
    <m/>
    <m/>
  </r>
  <r>
    <x v="18"/>
    <x v="7"/>
    <s v="C:\Users\andre\Desktop\REACTIV CEFAS\Fadrozole\Fadrozole/20201203_Cefas_Test8_Run3/Plate 5/@20/G11_02.tif "/>
    <s v=" 13843.1326 "/>
    <s v=" 51.8062 "/>
    <x v="0"/>
    <n v="717161"/>
    <m/>
    <m/>
  </r>
  <r>
    <x v="18"/>
    <x v="7"/>
    <s v="C:\Users\andre\Desktop\REACTIV CEFAS\Fadrozole\Fadrozole/20201203_Cefas_Test8_Run3/Plate 5/@20/G11_03.tif "/>
    <s v=" 281.1886 "/>
    <s v=" 31.7692 "/>
    <x v="0"/>
    <n v="8933"/>
    <m/>
    <m/>
  </r>
  <r>
    <x v="18"/>
    <x v="8"/>
    <s v="C:\Users\andre\Desktop\REACTIV CEFAS\Fadrozole\Fadrozole/20201203_Cefas_Test8_Run3/Plate 5/@20/H11_01.tif "/>
    <s v=" 5299.3242 "/>
    <s v=" 36.0163 "/>
    <x v="0"/>
    <n v="190862"/>
    <m/>
    <m/>
  </r>
  <r>
    <x v="18"/>
    <x v="8"/>
    <s v="C:\Users\andre\Desktop\REACTIV CEFAS\Fadrozole\Fadrozole/20201203_Cefas_Test8_Run3/Plate 5/@20/H11_02.tif "/>
    <n v="0"/>
    <n v="0"/>
    <x v="0"/>
    <n v="0"/>
    <m/>
    <m/>
  </r>
  <r>
    <x v="18"/>
    <x v="8"/>
    <s v="C:\Users\andre\Desktop\REACTIV CEFAS\Fadrozole\Fadrozole/20201203_Cefas_Test8_Run3/Plate 5/@20/H11_03.tif "/>
    <s v=" 43.2598 "/>
    <s v=" 35.5 "/>
    <x v="0"/>
    <n v="1536"/>
    <m/>
    <m/>
  </r>
  <r>
    <x v="0"/>
    <x v="0"/>
    <s v=" "/>
    <m/>
    <m/>
    <x v="1"/>
    <m/>
    <m/>
    <m/>
  </r>
  <r>
    <x v="0"/>
    <x v="0"/>
    <s v="group "/>
    <s v=" "/>
    <s v=" mean of mean fluo "/>
    <x v="2"/>
    <s v=" mean of total fluo "/>
    <s v=" SD total fluo "/>
    <m/>
  </r>
  <r>
    <x v="18"/>
    <x v="9"/>
    <s v="C:\Users\andre\Desktop\REACTIV CEFAS\Fadrozole\Fadrozole/20201203_Cefas_Test8_Run3/Plate 5/@20/ "/>
    <s v=" "/>
    <s v=" 38.2639 "/>
    <x v="20"/>
    <s v=" 273164.833 "/>
    <s v=" 289477.632 "/>
    <m/>
  </r>
  <r>
    <x v="0"/>
    <x v="0"/>
    <s v=" "/>
    <m/>
    <m/>
    <x v="1"/>
    <m/>
    <m/>
    <m/>
  </r>
  <r>
    <x v="0"/>
    <x v="0"/>
    <s v=" "/>
    <m/>
    <m/>
    <x v="1"/>
    <m/>
    <m/>
    <m/>
  </r>
  <r>
    <x v="0"/>
    <x v="0"/>
    <s v=" "/>
    <m/>
    <m/>
    <x v="1"/>
    <m/>
    <m/>
    <m/>
  </r>
  <r>
    <x v="0"/>
    <x v="0"/>
    <s v=" "/>
    <m/>
    <m/>
    <x v="1"/>
    <m/>
    <m/>
    <m/>
  </r>
  <r>
    <x v="0"/>
    <x v="0"/>
    <s v=" "/>
    <m/>
    <m/>
    <x v="1"/>
    <m/>
    <m/>
    <m/>
  </r>
  <r>
    <x v="0"/>
    <x v="0"/>
    <s v="file name "/>
    <s v=" total area "/>
    <s v=" mean intensity "/>
    <x v="0"/>
    <s v=" total fluorescence"/>
    <m/>
    <m/>
  </r>
  <r>
    <x v="19"/>
    <x v="1"/>
    <s v="C:\Users\andre\Desktop\REACTIV CEFAS\Fadrozole\Fadrozole/20201203_Cefas_Test8_Run3/Plate 5/@21/A12_01.tif "/>
    <s v=" 1470.8328 "/>
    <s v=" 32.0294 "/>
    <x v="0"/>
    <n v="47110"/>
    <m/>
    <m/>
  </r>
  <r>
    <x v="19"/>
    <x v="1"/>
    <s v="C:\Users\andre\Desktop\REACTIV CEFAS\Fadrozole\Fadrozole/20201203_Cefas_Test8_Run3/Plate 5/@21/A12_02.tif "/>
    <n v="0"/>
    <n v="0"/>
    <x v="0"/>
    <n v="0"/>
    <m/>
    <m/>
  </r>
  <r>
    <x v="19"/>
    <x v="1"/>
    <s v="C:\Users\andre\Desktop\REACTIV CEFAS\Fadrozole\Fadrozole/20201203_Cefas_Test8_Run3/Plate 5/@21/A12_03.tif "/>
    <s v=" 454.2278 "/>
    <s v=" 30.8571 "/>
    <x v="0"/>
    <n v="14016"/>
    <m/>
    <m/>
  </r>
  <r>
    <x v="19"/>
    <x v="2"/>
    <s v="C:\Users\andre\Desktop\REACTIV CEFAS\Fadrozole\Fadrozole/20201203_Cefas_Test8_Run3/Plate 5/@21/B12_01.tif "/>
    <s v=" 8781.7372 "/>
    <s v=" 38.0271 "/>
    <x v="0"/>
    <n v="333944"/>
    <m/>
    <m/>
  </r>
  <r>
    <x v="19"/>
    <x v="2"/>
    <s v="C:\Users\andre\Desktop\REACTIV CEFAS\Fadrozole\Fadrozole/20201203_Cefas_Test8_Run3/Plate 5/@21/B12_02.tif "/>
    <s v=" 8846.6269 "/>
    <s v=" 37.8191 "/>
    <x v="0"/>
    <n v="334571"/>
    <m/>
    <m/>
  </r>
  <r>
    <x v="19"/>
    <x v="2"/>
    <s v="C:\Users\andre\Desktop\REACTIV CEFAS\Fadrozole\Fadrozole/20201203_Cefas_Test8_Run3/Plate 5/@21/B12_03.tif "/>
    <n v="0"/>
    <n v="0"/>
    <x v="0"/>
    <n v="0"/>
    <m/>
    <m/>
  </r>
  <r>
    <x v="19"/>
    <x v="3"/>
    <s v="C:\Users\andre\Desktop\REACTIV CEFAS\Fadrozole\Fadrozole/20201203_Cefas_Test8_Run3/Plate 5/@21/C12_01.tif "/>
    <s v=" 8435.6589 "/>
    <s v=" 40.3897 "/>
    <x v="0"/>
    <n v="340714"/>
    <m/>
    <m/>
  </r>
  <r>
    <x v="19"/>
    <x v="3"/>
    <s v="C:\Users\andre\Desktop\REACTIV CEFAS\Fadrozole\Fadrozole/20201203_Cefas_Test8_Run3/Plate 5/@21/C12_02- exclu.tif"/>
    <m/>
    <m/>
    <x v="1"/>
    <m/>
    <m/>
    <m/>
  </r>
  <r>
    <x v="19"/>
    <x v="3"/>
    <s v="C:\Users\andre\Desktop\REACTIV CEFAS\Fadrozole\Fadrozole/20201203_Cefas_Test8_Run3/Plate 5/@21/C12_03.tif "/>
    <s v=" 6640.3777 "/>
    <s v=" 35.4919 "/>
    <x v="0"/>
    <n v="235679"/>
    <m/>
    <m/>
  </r>
  <r>
    <x v="19"/>
    <x v="4"/>
    <s v="C:\Users\andre\Desktop\REACTIV CEFAS\Fadrozole\Fadrozole/20201203_Cefas_Test8_Run3/Plate 5/@21/D12_01.tif "/>
    <s v=" 8803.3671 "/>
    <s v=" 38.6437 "/>
    <x v="0"/>
    <n v="340195"/>
    <m/>
    <m/>
  </r>
  <r>
    <x v="19"/>
    <x v="4"/>
    <s v="C:\Users\andre\Desktop\REACTIV CEFAS\Fadrozole\Fadrozole/20201203_Cefas_Test8_Run3/Plate 5/@21/D12_02.tif "/>
    <s v=" 10987.9865 "/>
    <s v=" 38.3484 "/>
    <x v="0"/>
    <n v="421372"/>
    <m/>
    <m/>
  </r>
  <r>
    <x v="19"/>
    <x v="4"/>
    <s v="C:\Users\andre\Desktop\REACTIV CEFAS\Fadrozole\Fadrozole/20201203_Cefas_Test8_Run3/Plate 5/@21/D12_03.tif "/>
    <s v=" 8500.5486 "/>
    <s v=" 38.43 "/>
    <x v="0"/>
    <n v="326676"/>
    <m/>
    <m/>
  </r>
  <r>
    <x v="19"/>
    <x v="5"/>
    <s v="C:\Users\andre\Desktop\REACTIV CEFAS\Fadrozole\Fadrozole/20201203_Cefas_Test8_Run3/Plate 5/@21/E12_01- exclu.tif"/>
    <m/>
    <m/>
    <x v="1"/>
    <m/>
    <m/>
    <m/>
  </r>
  <r>
    <x v="19"/>
    <x v="5"/>
    <s v="C:\Users\andre\Desktop\REACTIV CEFAS\Fadrozole\Fadrozole/20201203_Cefas_Test8_Run3/Plate 5/@21/E12_02- exclu.tif"/>
    <m/>
    <m/>
    <x v="1"/>
    <m/>
    <m/>
    <m/>
  </r>
  <r>
    <x v="19"/>
    <x v="5"/>
    <s v="C:\Users\andre\Desktop\REACTIV CEFAS\Fadrozole\Fadrozole/20201203_Cefas_Test8_Run3/Plate 5/@21/E12_03- exclu.tif"/>
    <m/>
    <m/>
    <x v="1"/>
    <m/>
    <m/>
    <m/>
  </r>
  <r>
    <x v="19"/>
    <x v="6"/>
    <s v="C:\Users\andre\Desktop\REACTIV CEFAS\Fadrozole\Fadrozole/20201203_Cefas_Test8_Run3/Plate 5/@21/F12_01.tif "/>
    <s v=" 9949.7515 "/>
    <s v=" 39.5239 "/>
    <x v="0"/>
    <n v="393253"/>
    <m/>
    <m/>
  </r>
  <r>
    <x v="19"/>
    <x v="6"/>
    <s v="C:\Users\andre\Desktop\REACTIV CEFAS\Fadrozole\Fadrozole/20201203_Cefas_Test8_Run3/Plate 5/@21/F12_02.tif "/>
    <s v=" 11031.2463 "/>
    <s v=" 43.8725 "/>
    <x v="0"/>
    <n v="483969"/>
    <m/>
    <m/>
  </r>
  <r>
    <x v="19"/>
    <x v="6"/>
    <s v="C:\Users\andre\Desktop\REACTIV CEFAS\Fadrozole\Fadrozole/20201203_Cefas_Test8_Run3/Plate 5/@21/F12_03.tif "/>
    <s v=" 8262.6197 "/>
    <s v=" 41.5 "/>
    <x v="0"/>
    <n v="342899"/>
    <m/>
    <m/>
  </r>
  <r>
    <x v="19"/>
    <x v="7"/>
    <s v="C:\Users\andre\Desktop\REACTIV CEFAS\Fadrozole\Fadrozole/20201203_Cefas_Test8_Run3/Plate 5/@21/G12_01.tif "/>
    <s v=" 11961.3317 "/>
    <s v=" 45.3418 "/>
    <x v="0"/>
    <n v="542348"/>
    <m/>
    <m/>
  </r>
  <r>
    <x v="19"/>
    <x v="7"/>
    <s v="C:\Users\andre\Desktop\REACTIV CEFAS\Fadrozole\Fadrozole/20201203_Cefas_Test8_Run3/Plate 5/@21/G12_02.tif "/>
    <s v=" 4499.0181 "/>
    <s v=" 36.2019 "/>
    <x v="0"/>
    <n v="162873"/>
    <m/>
    <m/>
  </r>
  <r>
    <x v="19"/>
    <x v="7"/>
    <s v="C:\Users\andre\Desktop\REACTIV CEFAS\Fadrozole\Fadrozole/20201203_Cefas_Test8_Run3/Plate 5/@21/G12_03.tif "/>
    <s v=" 8111.2105 "/>
    <s v=" 41.152 "/>
    <x v="0"/>
    <n v="333793"/>
    <m/>
    <m/>
  </r>
  <r>
    <x v="19"/>
    <x v="8"/>
    <s v="C:\Users\andre\Desktop\REACTIV CEFAS\Fadrozole\Fadrozole/20201203_Cefas_Test8_Run3/Plate 5/@21/H12_01- exclu.tif"/>
    <m/>
    <m/>
    <x v="1"/>
    <m/>
    <m/>
    <m/>
  </r>
  <r>
    <x v="19"/>
    <x v="8"/>
    <s v="C:\Users\andre\Desktop\REACTIV CEFAS\Fadrozole\Fadrozole/20201203_Cefas_Test8_Run3/Plate 5/@21/H12_02.tif "/>
    <s v=" 6424.0787 "/>
    <s v=" 39.6633 "/>
    <x v="0"/>
    <n v="254800"/>
    <m/>
    <m/>
  </r>
  <r>
    <x v="19"/>
    <x v="8"/>
    <s v="C:\Users\andre\Desktop\REACTIV CEFAS\Fadrozole\Fadrozole/20201203_Cefas_Test8_Run3/Plate 5/@21/H12_03.tif "/>
    <s v=" 11939.7018 "/>
    <s v=" 47.6558 "/>
    <x v="0"/>
    <n v="568996"/>
    <m/>
    <m/>
  </r>
  <r>
    <x v="0"/>
    <x v="0"/>
    <s v=" "/>
    <m/>
    <m/>
    <x v="1"/>
    <m/>
    <m/>
    <m/>
  </r>
  <r>
    <x v="0"/>
    <x v="0"/>
    <s v="group "/>
    <s v=" "/>
    <s v=" mean of mean fluo "/>
    <x v="2"/>
    <s v=" mean of total fluo "/>
    <s v=" SD total fluo "/>
    <m/>
  </r>
  <r>
    <x v="19"/>
    <x v="9"/>
    <s v="C:\Users\andre\Desktop\REACTIV CEFAS\Fadrozole\Fadrozole/20201203_Cefas_Test8_Run3/Plate 5/@21/ "/>
    <s v=" "/>
    <s v=" 38.0599 "/>
    <x v="21"/>
    <s v=" 384241.542 "/>
    <s v=" 249500.845 "/>
    <m/>
  </r>
  <r>
    <x v="0"/>
    <x v="0"/>
    <s v=" "/>
    <m/>
    <m/>
    <x v="1"/>
    <m/>
    <m/>
    <m/>
  </r>
  <r>
    <x v="0"/>
    <x v="0"/>
    <s v=" "/>
    <m/>
    <m/>
    <x v="1"/>
    <m/>
    <m/>
    <m/>
  </r>
  <r>
    <x v="0"/>
    <x v="0"/>
    <s v=" "/>
    <m/>
    <m/>
    <x v="1"/>
    <m/>
    <m/>
    <m/>
  </r>
  <r>
    <x v="0"/>
    <x v="0"/>
    <s v=" "/>
    <m/>
    <m/>
    <x v="1"/>
    <m/>
    <m/>
    <m/>
  </r>
  <r>
    <x v="0"/>
    <x v="0"/>
    <s v=" "/>
    <m/>
    <m/>
    <x v="1"/>
    <m/>
    <m/>
    <m/>
  </r>
  <r>
    <x v="0"/>
    <x v="0"/>
    <s v="file name "/>
    <s v=" total area "/>
    <s v=" mean intensity "/>
    <x v="0"/>
    <s v=" total fluorescence"/>
    <m/>
    <m/>
  </r>
  <r>
    <x v="20"/>
    <x v="1"/>
    <s v="C:\Users\andre\Desktop\REACTIV CEFAS\Fadrozole\Fadrozole/20201203_Cefas_Test8_Run3/Plate 5/@8/A2_01.tif "/>
    <s v=" 11874.8122 "/>
    <s v=" 47.0401 "/>
    <x v="0"/>
    <n v="558592"/>
    <m/>
    <m/>
  </r>
  <r>
    <x v="20"/>
    <x v="1"/>
    <s v="C:\Users\andre\Desktop\REACTIV CEFAS\Fadrozole\Fadrozole/20201203_Cefas_Test8_Run3/Plate 5/@8/A2_02.tif "/>
    <s v=" 12242.5204 "/>
    <s v=" 46.4435 "/>
    <x v="0"/>
    <n v="568585"/>
    <m/>
    <m/>
  </r>
  <r>
    <x v="20"/>
    <x v="1"/>
    <s v="C:\Users\andre\Desktop\REACTIV CEFAS\Fadrozole\Fadrozole/20201203_Cefas_Test8_Run3/Plate 5/@8/A2_03.tif "/>
    <s v=" 11939.7018 "/>
    <s v=" 42.4185 "/>
    <x v="0"/>
    <n v="506464"/>
    <m/>
    <m/>
  </r>
  <r>
    <x v="20"/>
    <x v="2"/>
    <s v="C:\Users\andre\Desktop\REACTIV CEFAS\Fadrozole\Fadrozole/20201203_Cefas_Test8_Run3/Plate 5/@8/B2_01.tif "/>
    <s v=" 21.6299 "/>
    <n v="32"/>
    <x v="0"/>
    <n v="692"/>
    <m/>
    <m/>
  </r>
  <r>
    <x v="20"/>
    <x v="2"/>
    <s v="C:\Users\andre\Desktop\REACTIV CEFAS\Fadrozole\Fadrozole/20201203_Cefas_Test8_Run3/Plate 5/@8/B2_02.tif "/>
    <s v=" 281.1886 "/>
    <s v=" 31.2308 "/>
    <x v="0"/>
    <n v="8782"/>
    <m/>
    <m/>
  </r>
  <r>
    <x v="20"/>
    <x v="2"/>
    <s v="C:\Users\andre\Desktop\REACTIV CEFAS\Fadrozole\Fadrozole/20201203_Cefas_Test8_Run3/Plate 5/@8/B2_03.tif "/>
    <s v=" 800.3061 "/>
    <s v=" 31.5676 "/>
    <x v="0"/>
    <n v="25264"/>
    <m/>
    <m/>
  </r>
  <r>
    <x v="20"/>
    <x v="3"/>
    <s v="C:\Users\andre\Desktop\REACTIV CEFAS\Fadrozole\Fadrozole/20201203_Cefas_Test8_Run3/Plate 5/@8/C2_01.tif "/>
    <s v=" 7224.3848 "/>
    <s v=" 37.1257 "/>
    <x v="0"/>
    <n v="268211"/>
    <m/>
    <m/>
  </r>
  <r>
    <x v="20"/>
    <x v="3"/>
    <s v="C:\Users\andre\Desktop\REACTIV CEFAS\Fadrozole\Fadrozole/20201203_Cefas_Test8_Run3/Plate 5/@8/C2_02.tif "/>
    <s v=" 6986.456 "/>
    <s v=" 37.644 "/>
    <x v="0"/>
    <n v="262998"/>
    <m/>
    <m/>
  </r>
  <r>
    <x v="20"/>
    <x v="3"/>
    <s v="C:\Users\andre\Desktop\REACTIV CEFAS\Fadrozole\Fadrozole/20201203_Cefas_Test8_Run3/Plate 5/@8/C2_03.tif "/>
    <s v=" 4693.6871 "/>
    <s v=" 36.2857 "/>
    <x v="0"/>
    <n v="170314"/>
    <m/>
    <m/>
  </r>
  <r>
    <x v="20"/>
    <x v="4"/>
    <s v="C:\Users\andre\Desktop\REACTIV CEFAS\Fadrozole\Fadrozole/20201203_Cefas_Test8_Run3/Plate 5/@8/D2_01.tif "/>
    <n v="0"/>
    <n v="0"/>
    <x v="0"/>
    <n v="0"/>
    <m/>
    <m/>
  </r>
  <r>
    <x v="20"/>
    <x v="4"/>
    <s v="C:\Users\andre\Desktop\REACTIV CEFAS\Fadrozole\Fadrozole/20201203_Cefas_Test8_Run3/Plate 5/@8/D2_02.tif "/>
    <s v=" 2465.808 "/>
    <s v=" 34.9912 "/>
    <x v="0"/>
    <n v="86282"/>
    <m/>
    <m/>
  </r>
  <r>
    <x v="20"/>
    <x v="4"/>
    <s v="C:\Users\andre\Desktop\REACTIV CEFAS\Fadrozole\Fadrozole/20201203_Cefas_Test8_Run3/Plate 5/@8/D2_03.tif "/>
    <s v=" 4282.7191 "/>
    <s v=" 34.6414 "/>
    <x v="0"/>
    <n v="148359"/>
    <m/>
    <m/>
  </r>
  <r>
    <x v="20"/>
    <x v="5"/>
    <s v="C:\Users\andre\Desktop\REACTIV CEFAS\Fadrozole\Fadrozole/20201203_Cefas_Test8_Run3/Plate 5/@8/E2_01- exclu.tif"/>
    <m/>
    <m/>
    <x v="1"/>
    <m/>
    <m/>
    <m/>
  </r>
  <r>
    <x v="20"/>
    <x v="5"/>
    <s v="C:\Users\andre\Desktop\REACTIV CEFAS\Fadrozole\Fadrozole/20201203_Cefas_Test8_Run3/Plate 5/@8/E2_02- exclu.tif"/>
    <m/>
    <m/>
    <x v="1"/>
    <m/>
    <m/>
    <m/>
  </r>
  <r>
    <x v="20"/>
    <x v="5"/>
    <s v="C:\Users\andre\Desktop\REACTIV CEFAS\Fadrozole\Fadrozole/20201203_Cefas_Test8_Run3/Plate 5/@8/E2_03- exclu.tif"/>
    <m/>
    <m/>
    <x v="1"/>
    <m/>
    <m/>
    <m/>
  </r>
  <r>
    <x v="20"/>
    <x v="6"/>
    <s v="C:\Users\andre\Desktop\REACTIV CEFAS\Fadrozole\Fadrozole/20201203_Cefas_Test8_Run3/Plate 5/@8/F2_01.tif "/>
    <s v=" 11982.9616 "/>
    <s v=" 45.296 "/>
    <x v="0"/>
    <n v="542781"/>
    <m/>
    <m/>
  </r>
  <r>
    <x v="20"/>
    <x v="6"/>
    <s v="C:\Users\andre\Desktop\REACTIV CEFAS\Fadrozole\Fadrozole/20201203_Cefas_Test8_Run3/Plate 5/@8/F2_02.tif "/>
    <s v=" 10403.9793 "/>
    <s v=" 38.7048 "/>
    <x v="0"/>
    <n v="402684"/>
    <m/>
    <m/>
  </r>
  <r>
    <x v="20"/>
    <x v="6"/>
    <s v="C:\Users\andre\Desktop\REACTIV CEFAS\Fadrozole\Fadrozole/20201203_Cefas_Test8_Run3/Plate 5/@8/F2_03.tif "/>
    <s v=" 8824.997 "/>
    <s v=" 38.6005 "/>
    <x v="0"/>
    <n v="340649"/>
    <m/>
    <m/>
  </r>
  <r>
    <x v="20"/>
    <x v="7"/>
    <s v="C:\Users\andre\Desktop\REACTIV CEFAS\Fadrozole\Fadrozole/20201203_Cefas_Test8_Run3/Plate 5/@8/G2_01.tif "/>
    <s v=" 9214.3351 "/>
    <s v=" 36.8099 "/>
    <x v="0"/>
    <n v="339178"/>
    <m/>
    <m/>
  </r>
  <r>
    <x v="20"/>
    <x v="7"/>
    <s v="C:\Users\andre\Desktop\REACTIV CEFAS\Fadrozole\Fadrozole/20201203_Cefas_Test8_Run3/Plate 5/@8/G2_02.tif "/>
    <s v=" 7246.0147 "/>
    <s v=" 36.6418 "/>
    <x v="0"/>
    <n v="265507"/>
    <m/>
    <m/>
  </r>
  <r>
    <x v="20"/>
    <x v="7"/>
    <s v="C:\Users\andre\Desktop\REACTIV CEFAS\Fadrozole\Fadrozole/20201203_Cefas_Test8_Run3/Plate 5/@8/G2_03.tif "/>
    <s v=" 6791.7869 "/>
    <s v=" 35.3089 "/>
    <x v="0"/>
    <n v="239811"/>
    <m/>
    <m/>
  </r>
  <r>
    <x v="20"/>
    <x v="8"/>
    <s v="C:\Users\andre\Desktop\REACTIV CEFAS\Fadrozole\Fadrozole/20201203_Cefas_Test8_Run3/Plate 5/@8/H2_01.tif "/>
    <s v=" 3547.3027 "/>
    <s v=" 31.9512 "/>
    <x v="0"/>
    <n v="113341"/>
    <m/>
    <m/>
  </r>
  <r>
    <x v="20"/>
    <x v="8"/>
    <s v="C:\Users\andre\Desktop\REACTIV CEFAS\Fadrozole\Fadrozole/20201203_Cefas_Test8_Run3/Plate 5/@8/H2_02.tif "/>
    <s v=" 9841.6021 "/>
    <s v=" 40.4066 "/>
    <x v="0"/>
    <n v="397666"/>
    <m/>
    <m/>
  </r>
  <r>
    <x v="20"/>
    <x v="8"/>
    <s v="C:\Users\andre\Desktop\REACTIV CEFAS\Fadrozole\Fadrozole/20201203_Cefas_Test8_Run3/Plate 5/@8/H2_03.tif "/>
    <s v=" 4239.4593 "/>
    <s v=" 36.4337 "/>
    <x v="0"/>
    <n v="154459"/>
    <m/>
    <m/>
  </r>
  <r>
    <x v="0"/>
    <x v="0"/>
    <s v=" "/>
    <m/>
    <m/>
    <x v="1"/>
    <m/>
    <m/>
    <m/>
  </r>
  <r>
    <x v="0"/>
    <x v="0"/>
    <s v="group "/>
    <s v=" "/>
    <s v=" mean of mean fluo "/>
    <x v="2"/>
    <s v=" mean of total fluo "/>
    <s v=" SD total fluo "/>
    <m/>
  </r>
  <r>
    <x v="20"/>
    <x v="9"/>
    <s v="C:\Users\andre\Desktop\REACTIV CEFAS\Fadrozole\Fadrozole/20201203_Cefas_Test8_Run3/Plate 5/@8/ "/>
    <s v=" "/>
    <s v=" 37.0816 "/>
    <x v="22"/>
    <n v="304257"/>
    <s v=" 222142.245 "/>
    <m/>
  </r>
  <r>
    <x v="0"/>
    <x v="0"/>
    <s v=" "/>
    <m/>
    <m/>
    <x v="1"/>
    <m/>
    <m/>
    <m/>
  </r>
  <r>
    <x v="0"/>
    <x v="0"/>
    <s v=" "/>
    <m/>
    <m/>
    <x v="1"/>
    <m/>
    <m/>
    <m/>
  </r>
  <r>
    <x v="0"/>
    <x v="0"/>
    <s v=" "/>
    <m/>
    <m/>
    <x v="1"/>
    <m/>
    <m/>
    <m/>
  </r>
  <r>
    <x v="0"/>
    <x v="0"/>
    <s v=" "/>
    <m/>
    <m/>
    <x v="1"/>
    <m/>
    <m/>
    <m/>
  </r>
  <r>
    <x v="0"/>
    <x v="0"/>
    <s v=" "/>
    <m/>
    <m/>
    <x v="1"/>
    <m/>
    <m/>
    <m/>
  </r>
  <r>
    <x v="0"/>
    <x v="0"/>
    <s v="file name "/>
    <s v=" total area "/>
    <s v=" mean intensity "/>
    <x v="0"/>
    <s v=" total fluorescence"/>
    <m/>
    <m/>
  </r>
  <r>
    <x v="21"/>
    <x v="1"/>
    <s v="C:\Users\andre\Desktop\REACTIV CEFAS\Fadrozole\Fadrozole/20201203_Cefas_Test8_Run3/Plate 5/@9/A3_01- exclu.tif"/>
    <m/>
    <m/>
    <x v="1"/>
    <m/>
    <m/>
    <m/>
  </r>
  <r>
    <x v="21"/>
    <x v="1"/>
    <s v="C:\Users\andre\Desktop\REACTIV CEFAS\Fadrozole\Fadrozole/20201203_Cefas_Test8_Run3/Plate 5/@9/A3_02- exclu.tif"/>
    <m/>
    <m/>
    <x v="1"/>
    <m/>
    <m/>
    <m/>
  </r>
  <r>
    <x v="21"/>
    <x v="1"/>
    <s v="C:\Users\andre\Desktop\REACTIV CEFAS\Fadrozole\Fadrozole/20201203_Cefas_Test8_Run3/Plate 5/@9/A3_03- exclu.tif"/>
    <m/>
    <m/>
    <x v="1"/>
    <m/>
    <m/>
    <m/>
  </r>
  <r>
    <x v="21"/>
    <x v="2"/>
    <s v="C:\Users\andre\Desktop\REACTIV CEFAS\Fadrozole\Fadrozole/20201203_Cefas_Test8_Run3/Plate 5/@9/B3_01.tif "/>
    <s v=" 9776.7124 "/>
    <s v=" 40.9226 "/>
    <x v="0"/>
    <n v="400088"/>
    <m/>
    <m/>
  </r>
  <r>
    <x v="21"/>
    <x v="2"/>
    <s v="C:\Users\andre\Desktop\REACTIV CEFAS\Fadrozole\Fadrozole/20201203_Cefas_Test8_Run3/Plate 5/@9/B3_02.tif "/>
    <s v=" 4801.8366 "/>
    <s v=" 37.3784 "/>
    <x v="0"/>
    <n v="179485"/>
    <m/>
    <m/>
  </r>
  <r>
    <x v="21"/>
    <x v="2"/>
    <s v="C:\Users\andre\Desktop\REACTIV CEFAS\Fadrozole\Fadrozole/20201203_Cefas_Test8_Run3/Plate 5/@9/B3_03.tif "/>
    <s v=" 6921.5663 "/>
    <s v=" 38.075 "/>
    <x v="0"/>
    <n v="263539"/>
    <m/>
    <m/>
  </r>
  <r>
    <x v="21"/>
    <x v="3"/>
    <s v="C:\Users\andre\Desktop\REACTIV CEFAS\Fadrozole\Fadrozole/20201203_Cefas_Test8_Run3/Plate 5/@9/C3_01.tif "/>
    <s v=" 14167.581 "/>
    <s v=" 37.6763 "/>
    <x v="0"/>
    <n v="533783"/>
    <m/>
    <m/>
  </r>
  <r>
    <x v="21"/>
    <x v="3"/>
    <s v="C:\Users\andre\Desktop\REACTIV CEFAS\Fadrozole\Fadrozole/20201203_Cefas_Test8_Run3/Plate 5/@9/C3_02.tif "/>
    <s v=" 13302.3852 "/>
    <s v=" 38.2211 "/>
    <x v="0"/>
    <n v="508432"/>
    <m/>
    <m/>
  </r>
  <r>
    <x v="21"/>
    <x v="3"/>
    <s v="C:\Users\andre\Desktop\REACTIV CEFAS\Fadrozole\Fadrozole/20201203_Cefas_Test8_Run3/Plate 5/@9/C3_03.tif "/>
    <s v=" 13778.2429 "/>
    <s v=" 38.9184 "/>
    <x v="0"/>
    <n v="536227"/>
    <m/>
    <m/>
  </r>
  <r>
    <x v="21"/>
    <x v="4"/>
    <s v="C:\Users\andre\Desktop\REACTIV CEFAS\Fadrozole\Fadrozole/20201203_Cefas_Test8_Run3/Plate 5/@9/D3_01.tif "/>
    <s v=" 2876.776 "/>
    <s v=" 31.9248 "/>
    <x v="0"/>
    <n v="91841"/>
    <m/>
    <m/>
  </r>
  <r>
    <x v="21"/>
    <x v="4"/>
    <s v="C:\Users\andre\Desktop\REACTIV CEFAS\Fadrozole\Fadrozole/20201203_Cefas_Test8_Run3/Plate 5/@9/D3_02.tif "/>
    <s v=" 2703.7368 "/>
    <s v=" 32.28 "/>
    <x v="0"/>
    <n v="87277"/>
    <m/>
    <m/>
  </r>
  <r>
    <x v="21"/>
    <x v="4"/>
    <s v="C:\Users\andre\Desktop\REACTIV CEFAS\Fadrozole\Fadrozole/20201203_Cefas_Test8_Run3/Plate 5/@9/D3_03.tif "/>
    <s v=" 4672.0572 "/>
    <s v=" 34.625 "/>
    <x v="0"/>
    <n v="161770"/>
    <m/>
    <m/>
  </r>
  <r>
    <x v="21"/>
    <x v="5"/>
    <s v="C:\Users\andre\Desktop\REACTIV CEFAS\Fadrozole\Fadrozole/20201203_Cefas_Test8_Run3/Plate 5/@9/E3_01.tif "/>
    <s v=" 8868.2568 "/>
    <s v=" 39.4659 "/>
    <x v="0"/>
    <n v="349993"/>
    <m/>
    <m/>
  </r>
  <r>
    <x v="21"/>
    <x v="5"/>
    <s v="C:\Users\andre\Desktop\REACTIV CEFAS\Fadrozole\Fadrozole/20201203_Cefas_Test8_Run3/Plate 5/@9/E3_02.tif "/>
    <s v=" 6899.9364 "/>
    <s v=" 39.8934 "/>
    <x v="0"/>
    <n v="275262"/>
    <m/>
    <m/>
  </r>
  <r>
    <x v="21"/>
    <x v="5"/>
    <s v="C:\Users\andre\Desktop\REACTIV CEFAS\Fadrozole\Fadrozole/20201203_Cefas_Test8_Run3/Plate 5/@9/E3_03.tif "/>
    <s v=" 9495.5237 "/>
    <s v=" 40.3713 "/>
    <x v="0"/>
    <n v="383347"/>
    <m/>
    <m/>
  </r>
  <r>
    <x v="21"/>
    <x v="6"/>
    <s v="C:\Users\andre\Desktop\REACTIV CEFAS\Fadrozole\Fadrozole/20201203_Cefas_Test8_Run3/Plate 5/@9/F3_01.tif "/>
    <s v=" 1341.0535 "/>
    <s v=" 32.8226 "/>
    <x v="0"/>
    <n v="44017"/>
    <m/>
    <m/>
  </r>
  <r>
    <x v="21"/>
    <x v="6"/>
    <s v="C:\Users\andre\Desktop\REACTIV CEFAS\Fadrozole\Fadrozole/20201203_Cefas_Test8_Run3/Plate 5/@9/F3_02.tif "/>
    <s v=" 7051.3456 "/>
    <s v=" 39.1564 "/>
    <x v="0"/>
    <n v="276106"/>
    <m/>
    <m/>
  </r>
  <r>
    <x v="21"/>
    <x v="6"/>
    <s v="C:\Users\andre\Desktop\REACTIV CEFAS\Fadrozole\Fadrozole/20201203_Cefas_Test8_Run3/Plate 5/@9/F3_03.tif "/>
    <s v=" 4282.7191 "/>
    <s v=" 37.4697 "/>
    <x v="0"/>
    <n v="160472"/>
    <m/>
    <m/>
  </r>
  <r>
    <x v="21"/>
    <x v="7"/>
    <s v="C:\Users\andre\Desktop\REACTIV CEFAS\Fadrozole\Fadrozole/20201203_Cefas_Test8_Run3/Plate 5/@9/G3_01.tif "/>
    <s v=" 3590.5625 "/>
    <s v=" 38.012 "/>
    <x v="0"/>
    <n v="136485"/>
    <m/>
    <m/>
  </r>
  <r>
    <x v="21"/>
    <x v="7"/>
    <s v="C:\Users\andre\Desktop\REACTIV CEFAS\Fadrozole\Fadrozole/20201203_Cefas_Test8_Run3/Plate 5/@9/G3_02.tif "/>
    <s v=" 2811.8863 "/>
    <s v=" 37.3769 "/>
    <x v="0"/>
    <n v="105100"/>
    <m/>
    <m/>
  </r>
  <r>
    <x v="21"/>
    <x v="7"/>
    <s v="C:\Users\andre\Desktop\REACTIV CEFAS\Fadrozole\Fadrozole/20201203_Cefas_Test8_Run3/Plate 5/@9/G3_03.tif "/>
    <s v=" 4023.1604 "/>
    <s v=" 37.172 "/>
    <x v="0"/>
    <n v="149549"/>
    <m/>
    <m/>
  </r>
  <r>
    <x v="21"/>
    <x v="8"/>
    <s v="C:\Users\andre\Desktop\REACTIV CEFAS\Fadrozole\Fadrozole/20201203_Cefas_Test8_Run3/Plate 5/@9/H3_01.tif "/>
    <s v=" 12415.5595 "/>
    <s v=" 41.1202 "/>
    <x v="0"/>
    <n v="510530"/>
    <m/>
    <m/>
  </r>
  <r>
    <x v="21"/>
    <x v="8"/>
    <s v="C:\Users\andre\Desktop\REACTIV CEFAS\Fadrozole\Fadrozole/20201203_Cefas_Test8_Run3/Plate 5/@9/H3_02.tif "/>
    <s v=" 10360.7195 "/>
    <s v=" 43.2985 "/>
    <x v="0"/>
    <n v="448604"/>
    <m/>
    <m/>
  </r>
  <r>
    <x v="21"/>
    <x v="8"/>
    <s v="C:\Users\andre\Desktop\REACTIV CEFAS\Fadrozole\Fadrozole/20201203_Cefas_Test8_Run3/Plate 5/@9/H3_03.tif "/>
    <s v=" 9711.8227 "/>
    <s v=" 39.6347 "/>
    <x v="0"/>
    <n v="384926"/>
    <m/>
    <m/>
  </r>
  <r>
    <x v="0"/>
    <x v="0"/>
    <s v=" "/>
    <m/>
    <m/>
    <x v="1"/>
    <m/>
    <m/>
    <m/>
  </r>
  <r>
    <x v="0"/>
    <x v="0"/>
    <s v="group "/>
    <s v=" "/>
    <s v=" mean of mean fluo "/>
    <x v="2"/>
    <s v=" mean of total fluo "/>
    <s v=" SD total fluo "/>
    <m/>
  </r>
  <r>
    <x v="21"/>
    <x v="9"/>
    <s v="C:\Users\andre\Desktop\REACTIV CEFAS\Fadrozole\Fadrozole/20201203_Cefas_Test8_Run3/Plate 5/@9/ "/>
    <s v=" "/>
    <s v=" 35.684 "/>
    <x v="23"/>
    <s v=" 249616.292 "/>
    <s v=" 180672.027 "/>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710">
  <r>
    <x v="0"/>
    <x v="0"/>
    <s v="file name "/>
    <s v=" total area "/>
    <s v=" mean intensity "/>
    <x v="0"/>
    <s v=" total fluorescence"/>
    <m/>
    <m/>
  </r>
  <r>
    <x v="1"/>
    <x v="1"/>
    <s v="C:\Users\andre\Desktop\REACTIV CEFAS\Fadrozole\Fadrozole/20201217_Cefas_Test10_Run1/Plate 1/@1/A10_01.tif "/>
    <s v=" 9625.3031 "/>
    <s v=" 39.5348 "/>
    <x v="0"/>
    <n v="380535"/>
    <m/>
    <m/>
  </r>
  <r>
    <x v="1"/>
    <x v="1"/>
    <s v="C:\Users\andre\Desktop\REACTIV CEFAS\Fadrozole\Fadrozole/20201217_Cefas_Test10_Run1/Plate 1/@1/A10_02- exclu.tif"/>
    <m/>
    <m/>
    <x v="1"/>
    <m/>
    <m/>
    <m/>
  </r>
  <r>
    <x v="1"/>
    <x v="1"/>
    <s v="C:\Users\andre\Desktop\REACTIV CEFAS\Fadrozole\Fadrozole/20201217_Cefas_Test10_Run1/Plate 1/@1/A10_03.tif "/>
    <s v=" 2682.1069 "/>
    <s v=" 37.2823 "/>
    <x v="0"/>
    <n v="99995"/>
    <m/>
    <m/>
  </r>
  <r>
    <x v="1"/>
    <x v="1"/>
    <s v="C:\Users\andre\Desktop\REACTIV CEFAS\Fadrozole\Fadrozole/20201217_Cefas_Test10_Run1/Plate 1/@1/A10_04.tif "/>
    <s v=" 9365.7444 "/>
    <s v=" 37.3048 "/>
    <x v="0"/>
    <n v="349388"/>
    <m/>
    <m/>
  </r>
  <r>
    <x v="1"/>
    <x v="2"/>
    <s v="C:\Users\andre\Desktop\REACTIV CEFAS\Fadrozole\Fadrozole/20201217_Cefas_Test10_Run1/Plate 1/@1/B10_01.tif "/>
    <s v=" 5385.8438 "/>
    <s v=" 34.9157 "/>
    <x v="0"/>
    <n v="188050"/>
    <m/>
    <m/>
  </r>
  <r>
    <x v="1"/>
    <x v="2"/>
    <s v="C:\Users\andre\Desktop\REACTIV CEFAS\Fadrozole\Fadrozole/20201217_Cefas_Test10_Run1/Plate 1/@1/B10_02.tif "/>
    <s v=" 4585.5377 "/>
    <s v=" 34.0377 "/>
    <x v="0"/>
    <n v="156081"/>
    <m/>
    <m/>
  </r>
  <r>
    <x v="1"/>
    <x v="2"/>
    <s v="C:\Users\andre\Desktop\REACTIV CEFAS\Fadrozole\Fadrozole/20201217_Cefas_Test10_Run1/Plate 1/@1/B10_03.tif "/>
    <s v=" 5234.4345 "/>
    <s v=" 36.0537 "/>
    <x v="0"/>
    <n v="188721"/>
    <m/>
    <m/>
  </r>
  <r>
    <x v="1"/>
    <x v="2"/>
    <s v="C:\Users\andre\Desktop\REACTIV CEFAS\Fadrozole\Fadrozole/20201217_Cefas_Test10_Run1/Plate 1/@1/B10_04.tif "/>
    <s v=" 1752.0215 "/>
    <s v=" 34.1605 "/>
    <x v="0"/>
    <n v="59850"/>
    <m/>
    <m/>
  </r>
  <r>
    <x v="1"/>
    <x v="3"/>
    <s v="C:\Users\andre\Desktop\REACTIV CEFAS\Fadrozole\Fadrozole/20201217_Cefas_Test10_Run1/Plate 1/@1/C10_01.tif "/>
    <s v=" 108.1495 "/>
    <s v=" 30.2 "/>
    <x v="0"/>
    <n v="3266"/>
    <m/>
    <m/>
  </r>
  <r>
    <x v="1"/>
    <x v="3"/>
    <s v="C:\Users\andre\Desktop\REACTIV CEFAS\Fadrozole\Fadrozole/20201217_Cefas_Test10_Run1/Plate 1/@1/C10_02.tif "/>
    <s v=" 8500.5486 "/>
    <s v=" 45.5267 "/>
    <x v="0"/>
    <n v="387002"/>
    <m/>
    <m/>
  </r>
  <r>
    <x v="1"/>
    <x v="3"/>
    <s v="C:\Users\andre\Desktop\REACTIV CEFAS\Fadrozole\Fadrozole/20201217_Cefas_Test10_Run1/Plate 1/@1/C10_03.tif "/>
    <s v=" 151.4093 "/>
    <s v=" 30.7143 "/>
    <x v="0"/>
    <n v="4650"/>
    <m/>
    <m/>
  </r>
  <r>
    <x v="1"/>
    <x v="3"/>
    <s v="C:\Users\andre\Desktop\REACTIV CEFAS\Fadrozole\Fadrozole/20201217_Cefas_Test10_Run1/Plate 1/@1/C10_04.tif "/>
    <s v=" 21.6299 "/>
    <n v="30"/>
    <x v="0"/>
    <n v="649"/>
    <m/>
    <m/>
  </r>
  <r>
    <x v="1"/>
    <x v="4"/>
    <s v="C:\Users\andre\Desktop\REACTIV CEFAS\Fadrozole\Fadrozole/20201217_Cefas_Test10_Run1/Plate 1/@1/D10_01.tif "/>
    <s v=" 10490.4989 "/>
    <s v=" 36.7835 "/>
    <x v="0"/>
    <n v="385877"/>
    <m/>
    <m/>
  </r>
  <r>
    <x v="1"/>
    <x v="4"/>
    <s v="C:\Users\andre\Desktop\REACTIV CEFAS\Fadrozole\Fadrozole/20201217_Cefas_Test10_Run1/Plate 1/@1/D10_02.tif "/>
    <s v=" 7743.5023 "/>
    <s v=" 38.7709 "/>
    <x v="0"/>
    <n v="300223"/>
    <m/>
    <m/>
  </r>
  <r>
    <x v="1"/>
    <x v="4"/>
    <s v="C:\Users\andre\Desktop\REACTIV CEFAS\Fadrozole\Fadrozole/20201217_Cefas_Test10_Run1/Plate 1/@1/D10_03.tif "/>
    <s v=" 10901.4669 "/>
    <s v=" 39.9901 "/>
    <x v="0"/>
    <n v="435951"/>
    <m/>
    <m/>
  </r>
  <r>
    <x v="1"/>
    <x v="4"/>
    <s v="C:\Users\andre\Desktop\REACTIV CEFAS\Fadrozole\Fadrozole/20201217_Cefas_Test10_Run1/Plate 1/@1/D10_04.tif "/>
    <s v=" 6835.0467 "/>
    <s v=" 38.5854 "/>
    <x v="0"/>
    <n v="263733"/>
    <m/>
    <m/>
  </r>
  <r>
    <x v="1"/>
    <x v="5"/>
    <s v="C:\Users\andre\Desktop\REACTIV CEFAS\Fadrozole\Fadrozole/20201217_Cefas_Test10_Run1/Plate 1/@1/E10_01.tif "/>
    <s v=" 6294.2993 "/>
    <s v=" 43.4192 "/>
    <x v="0"/>
    <n v="273294"/>
    <m/>
    <m/>
  </r>
  <r>
    <x v="1"/>
    <x v="5"/>
    <s v="C:\Users\andre\Desktop\REACTIV CEFAS\Fadrozole\Fadrozole/20201217_Cefas_Test10_Run1/Plate 1/@1/E10_02.tif "/>
    <s v=" 6575.488 "/>
    <s v=" 45.7599 "/>
    <x v="0"/>
    <n v="300893"/>
    <m/>
    <m/>
  </r>
  <r>
    <x v="1"/>
    <x v="5"/>
    <s v="C:\Users\andre\Desktop\REACTIV CEFAS\Fadrozole\Fadrozole/20201217_Cefas_Test10_Run1/Plate 1/@1/E10_03.tif "/>
    <s v=" 5450.7334 "/>
    <s v=" 39.4246 "/>
    <x v="0"/>
    <n v="214893"/>
    <m/>
    <m/>
  </r>
  <r>
    <x v="1"/>
    <x v="5"/>
    <s v="C:\Users\andre\Desktop\REACTIV CEFAS\Fadrozole\Fadrozole/20201217_Cefas_Test10_Run1/Plate 1/@1/E10_04.tif "/>
    <s v=" 6337.5591 "/>
    <s v=" 42.3379 "/>
    <x v="0"/>
    <n v="268319"/>
    <m/>
    <m/>
  </r>
  <r>
    <x v="1"/>
    <x v="6"/>
    <s v="C:\Users\andre\Desktop\REACTIV CEFAS\Fadrozole\Fadrozole/20201217_Cefas_Test10_Run1/Plate 1/@1/F10_01.tif "/>
    <s v=" 6359.189 "/>
    <s v=" 38.2789 "/>
    <x v="0"/>
    <n v="243423"/>
    <m/>
    <m/>
  </r>
  <r>
    <x v="1"/>
    <x v="6"/>
    <s v="C:\Users\andre\Desktop\REACTIV CEFAS\Fadrozole\Fadrozole/20201217_Cefas_Test10_Run1/Plate 1/@1/F10_02.tif "/>
    <s v=" 9646.933 "/>
    <s v=" 44.0022 "/>
    <x v="0"/>
    <n v="424487"/>
    <m/>
    <m/>
  </r>
  <r>
    <x v="1"/>
    <x v="6"/>
    <s v="C:\Users\andre\Desktop\REACTIV CEFAS\Fadrozole\Fadrozole/20201217_Cefas_Test10_Run1/Plate 1/@1/F10_03.tif "/>
    <s v=" 8803.3671 "/>
    <s v=" 41.0885 "/>
    <x v="0"/>
    <n v="361717"/>
    <m/>
    <m/>
  </r>
  <r>
    <x v="1"/>
    <x v="6"/>
    <s v="C:\Users\andre\Desktop\REACTIV CEFAS\Fadrozole\Fadrozole/20201217_Cefas_Test10_Run1/Plate 1/@1/F10_04.tif "/>
    <s v=" 6380.8189 "/>
    <s v=" 37.7763 "/>
    <x v="0"/>
    <n v="241044"/>
    <m/>
    <m/>
  </r>
  <r>
    <x v="1"/>
    <x v="7"/>
    <s v="C:\Users\andre\Desktop\REACTIV CEFAS\Fadrozole\Fadrozole/20201217_Cefas_Test10_Run1/Plate 1/@1/G10_01.tif "/>
    <s v=" 8284.2496 "/>
    <s v=" 39.9765 "/>
    <x v="0"/>
    <n v="331175"/>
    <m/>
    <m/>
  </r>
  <r>
    <x v="1"/>
    <x v="7"/>
    <s v="C:\Users\andre\Desktop\REACTIV CEFAS\Fadrozole\Fadrozole/20201217_Cefas_Test10_Run1/Plate 1/@1/G10_02.tif "/>
    <s v=" 5904.9612 "/>
    <s v=" 37.5788 "/>
    <x v="0"/>
    <n v="221901"/>
    <m/>
    <m/>
  </r>
  <r>
    <x v="1"/>
    <x v="7"/>
    <s v="C:\Users\andre\Desktop\REACTIV CEFAS\Fadrozole\Fadrozole/20201217_Cefas_Test10_Run1/Plate 1/@1/G10_03.tif "/>
    <s v=" 4412.4985 "/>
    <s v=" 37.8284 "/>
    <x v="0"/>
    <n v="166918"/>
    <m/>
    <m/>
  </r>
  <r>
    <x v="1"/>
    <x v="7"/>
    <s v="C:\Users\andre\Desktop\REACTIV CEFAS\Fadrozole\Fadrozole/20201217_Cefas_Test10_Run1/Plate 1/@1/G10_04.tif "/>
    <s v=" 11334.0648 "/>
    <s v=" 41.7004 "/>
    <x v="0"/>
    <n v="472635"/>
    <m/>
    <m/>
  </r>
  <r>
    <x v="1"/>
    <x v="8"/>
    <s v="C:\Users\andre\Desktop\REACTIV CEFAS\Fadrozole\Fadrozole/20201217_Cefas_Test10_Run1/Plate 1/@1/H10_01.tif "/>
    <s v=" 6078.0004 "/>
    <s v=" 36.2598 "/>
    <x v="0"/>
    <n v="220387"/>
    <m/>
    <m/>
  </r>
  <r>
    <x v="1"/>
    <x v="8"/>
    <s v="C:\Users\andre\Desktop\REACTIV CEFAS\Fadrozole\Fadrozole/20201217_Cefas_Test10_Run1/Plate 1/@1/H10_02.tif "/>
    <s v=" 173.0392 "/>
    <s v=" 30.375 "/>
    <x v="0"/>
    <n v="5256"/>
    <m/>
    <m/>
  </r>
  <r>
    <x v="1"/>
    <x v="8"/>
    <s v="C:\Users\andre\Desktop\REACTIV CEFAS\Fadrozole\Fadrozole/20201217_Cefas_Test10_Run1/Plate 1/@1/H10_03.tif "/>
    <s v=" 5515.6231 "/>
    <s v=" 40.1843 "/>
    <x v="0"/>
    <n v="221642"/>
    <m/>
    <m/>
  </r>
  <r>
    <x v="1"/>
    <x v="8"/>
    <s v="C:\Users\andre\Desktop\REACTIV CEFAS\Fadrozole\Fadrozole/20201217_Cefas_Test10_Run1/Plate 1/@1/H10_04.tif "/>
    <s v=" 7419.0539 "/>
    <s v=" 39.1603 "/>
    <x v="0"/>
    <n v="290533"/>
    <m/>
    <m/>
  </r>
  <r>
    <x v="0"/>
    <x v="0"/>
    <s v=" "/>
    <m/>
    <m/>
    <x v="1"/>
    <m/>
    <m/>
    <m/>
  </r>
  <r>
    <x v="0"/>
    <x v="0"/>
    <s v="group "/>
    <s v=" "/>
    <s v=" mean of mean fluo "/>
    <x v="2"/>
    <s v=" mean of total fluo "/>
    <s v=" SD total fluo "/>
    <m/>
  </r>
  <r>
    <x v="1"/>
    <x v="9"/>
    <s v="C:\Users\andre\Desktop\REACTIV CEFAS\Fadrozole\Fadrozole/20201217_Cefas_Test10_Run1/Plate 1/@1/ "/>
    <s v=" "/>
    <s v=" 36.8441 "/>
    <x v="3"/>
    <s v=" 233202.75 "/>
    <s v=" 137729.762 "/>
    <m/>
  </r>
  <r>
    <x v="0"/>
    <x v="0"/>
    <s v=" "/>
    <m/>
    <m/>
    <x v="1"/>
    <m/>
    <m/>
    <m/>
  </r>
  <r>
    <x v="0"/>
    <x v="0"/>
    <s v=" "/>
    <m/>
    <m/>
    <x v="1"/>
    <m/>
    <m/>
    <m/>
  </r>
  <r>
    <x v="0"/>
    <x v="0"/>
    <s v=" "/>
    <m/>
    <m/>
    <x v="1"/>
    <m/>
    <m/>
    <m/>
  </r>
  <r>
    <x v="0"/>
    <x v="0"/>
    <s v=" "/>
    <m/>
    <m/>
    <x v="1"/>
    <m/>
    <m/>
    <m/>
  </r>
  <r>
    <x v="0"/>
    <x v="0"/>
    <s v=" "/>
    <m/>
    <m/>
    <x v="1"/>
    <m/>
    <m/>
    <m/>
  </r>
  <r>
    <x v="0"/>
    <x v="0"/>
    <s v="file name "/>
    <s v=" total area "/>
    <s v=" mean intensity "/>
    <x v="0"/>
    <s v=" total fluorescence"/>
    <m/>
    <m/>
  </r>
  <r>
    <x v="2"/>
    <x v="1"/>
    <s v="C:\Users\andre\Desktop\REACTIV CEFAS\Fadrozole\Fadrozole/20201217_Cefas_Test10_Run1/Plate 1/@13/A8_01.tif "/>
    <s v=" 7830.0219 "/>
    <s v=" 41.1685 "/>
    <x v="0"/>
    <n v="322350"/>
    <m/>
    <m/>
  </r>
  <r>
    <x v="2"/>
    <x v="1"/>
    <s v="C:\Users\andre\Desktop\REACTIV CEFAS\Fadrozole\Fadrozole/20201217_Cefas_Test10_Run1/Plate 1/@13/A8_02.tif "/>
    <s v=" 2725.3667 "/>
    <s v=" 33.6587 "/>
    <x v="0"/>
    <n v="91732"/>
    <m/>
    <m/>
  </r>
  <r>
    <x v="2"/>
    <x v="1"/>
    <s v="C:\Users\andre\Desktop\REACTIV CEFAS\Fadrozole\Fadrozole/20201217_Cefas_Test10_Run1/Plate 1/@13/A8_03.tif "/>
    <s v=" 7613.7229 "/>
    <s v=" 40.0199 "/>
    <x v="0"/>
    <n v="304700"/>
    <m/>
    <m/>
  </r>
  <r>
    <x v="2"/>
    <x v="1"/>
    <s v="C:\Users\andre\Desktop\REACTIV CEFAS\Fadrozole\Fadrozole/20201217_Cefas_Test10_Run1/Plate 1/@13/A8_04.tif "/>
    <s v=" 5039.7654 "/>
    <s v=" 35.4292 "/>
    <x v="0"/>
    <n v="178555"/>
    <m/>
    <m/>
  </r>
  <r>
    <x v="2"/>
    <x v="2"/>
    <s v="C:\Users\andre\Desktop\REACTIV CEFAS\Fadrozole\Fadrozole/20201217_Cefas_Test10_Run1/Plate 1/@13/B8_01.tif "/>
    <s v=" 42913.7109 "/>
    <s v=" 37.5146 "/>
    <x v="0"/>
    <n v="1609891"/>
    <m/>
    <m/>
  </r>
  <r>
    <x v="2"/>
    <x v="2"/>
    <s v="C:\Users\andre\Desktop\REACTIV CEFAS\Fadrozole\Fadrozole/20201217_Cefas_Test10_Run1/Plate 1/@13/B8_02.tif "/>
    <s v=" 59785.0288 "/>
    <s v=" 40.9801 "/>
    <x v="0"/>
    <n v="2449997"/>
    <m/>
    <m/>
  </r>
  <r>
    <x v="2"/>
    <x v="2"/>
    <s v="C:\Users\andre\Desktop\REACTIV CEFAS\Fadrozole\Fadrozole/20201217_Cefas_Test10_Run1/Plate 1/@13/B8_03.tif "/>
    <s v=" 56951.5126 "/>
    <s v=" 38.8982 "/>
    <x v="0"/>
    <n v="2215312"/>
    <m/>
    <m/>
  </r>
  <r>
    <x v="2"/>
    <x v="2"/>
    <s v="C:\Users\andre\Desktop\REACTIV CEFAS\Fadrozole\Fadrozole/20201217_Cefas_Test10_Run1/Plate 1/@13/B8_04.tif "/>
    <s v=" 77716.2114 "/>
    <s v=" 41.9385 "/>
    <x v="0"/>
    <n v="3259301"/>
    <m/>
    <m/>
  </r>
  <r>
    <x v="2"/>
    <x v="3"/>
    <s v="C:\Users\andre\Desktop\REACTIV CEFAS\Fadrozole\Fadrozole/20201217_Cefas_Test10_Run1/Plate 1/@13/C8_01.tif "/>
    <s v=" 45098.3303 "/>
    <s v=" 39.1856 "/>
    <x v="0"/>
    <n v="1767206"/>
    <m/>
    <m/>
  </r>
  <r>
    <x v="2"/>
    <x v="3"/>
    <s v="C:\Users\andre\Desktop\REACTIV CEFAS\Fadrozole\Fadrozole/20201217_Cefas_Test10_Run1/Plate 1/@13/C8_02.tif "/>
    <s v=" 47109.9105 "/>
    <s v=" 38.1253 "/>
    <x v="0"/>
    <n v="1796082"/>
    <m/>
    <m/>
  </r>
  <r>
    <x v="2"/>
    <x v="3"/>
    <s v="C:\Users\andre\Desktop\REACTIV CEFAS\Fadrozole\Fadrozole/20201217_Cefas_Test10_Run1/Plate 1/@13/C8_03.tif "/>
    <s v=" 47953.4764 "/>
    <s v=" 37.4899 "/>
    <x v="0"/>
    <n v="1797769"/>
    <m/>
    <m/>
  </r>
  <r>
    <x v="2"/>
    <x v="3"/>
    <s v="C:\Users\andre\Desktop\REACTIV CEFAS\Fadrozole\Fadrozole/20201217_Cefas_Test10_Run1/Plate 1/@13/C8_04.tif "/>
    <s v=" 47672.2878 "/>
    <s v=" 38.9088 "/>
    <x v="0"/>
    <n v="1854872"/>
    <m/>
    <m/>
  </r>
  <r>
    <x v="2"/>
    <x v="4"/>
    <s v="C:\Users\andre\Desktop\REACTIV CEFAS\Fadrozole\Fadrozole/20201217_Cefas_Test10_Run1/Plate 1/@13/D8_01.tif "/>
    <s v=" 54723.6334 "/>
    <s v=" 45.0051 "/>
    <x v="0"/>
    <n v="2462845"/>
    <m/>
    <m/>
  </r>
  <r>
    <x v="2"/>
    <x v="4"/>
    <s v="C:\Users\andre\Desktop\REACTIV CEFAS\Fadrozole\Fadrozole/20201217_Cefas_Test10_Run1/Plate 1/@13/D8_02- exclu.tif"/>
    <m/>
    <m/>
    <x v="1"/>
    <m/>
    <m/>
    <m/>
  </r>
  <r>
    <x v="2"/>
    <x v="4"/>
    <s v="C:\Users\andre\Desktop\REACTIV CEFAS\Fadrozole\Fadrozole/20201217_Cefas_Test10_Run1/Plate 1/@13/D8_03.tif "/>
    <s v=" 54399.185 "/>
    <s v=" 45.8537 "/>
    <x v="0"/>
    <n v="2494403"/>
    <m/>
    <m/>
  </r>
  <r>
    <x v="2"/>
    <x v="4"/>
    <s v="C:\Users\andre\Desktop\REACTIV CEFAS\Fadrozole\Fadrozole/20201217_Cefas_Test10_Run1/Plate 1/@13/D8_04.tif "/>
    <s v=" 51176.3307 "/>
    <s v=" 46.9484 "/>
    <x v="0"/>
    <n v="2402649"/>
    <m/>
    <m/>
  </r>
  <r>
    <x v="2"/>
    <x v="5"/>
    <s v="C:\Users\andre\Desktop\REACTIV CEFAS\Fadrozole\Fadrozole/20201217_Cefas_Test10_Run1/Plate 1/@13/E8_01.tif "/>
    <s v=" 18601.7094 "/>
    <s v=" 35.343 "/>
    <x v="0"/>
    <n v="657441"/>
    <m/>
    <m/>
  </r>
  <r>
    <x v="2"/>
    <x v="5"/>
    <s v="C:\Users\andre\Desktop\REACTIV CEFAS\Fadrozole\Fadrozole/20201217_Cefas_Test10_Run1/Plate 1/@13/E8_02- exclu.tif"/>
    <m/>
    <m/>
    <x v="1"/>
    <m/>
    <m/>
    <m/>
  </r>
  <r>
    <x v="2"/>
    <x v="5"/>
    <s v="C:\Users\andre\Desktop\REACTIV CEFAS\Fadrozole\Fadrozole/20201217_Cefas_Test10_Run1/Plate 1/@13/E8_03.tif "/>
    <s v=" 23490.0656 "/>
    <s v=" 36.0617 "/>
    <x v="0"/>
    <n v="847092"/>
    <m/>
    <m/>
  </r>
  <r>
    <x v="2"/>
    <x v="5"/>
    <s v="C:\Users\andre\Desktop\REACTIV CEFAS\Fadrozole\Fadrozole/20201217_Cefas_Test10_Run1/Plate 1/@13/E8_04.tif "/>
    <s v=" 11571.9936 "/>
    <s v=" 35.3196 "/>
    <x v="0"/>
    <n v="408718"/>
    <m/>
    <m/>
  </r>
  <r>
    <x v="2"/>
    <x v="6"/>
    <s v="C:\Users\andre\Desktop\REACTIV CEFAS\Fadrozole\Fadrozole/20201217_Cefas_Test10_Run1/Plate 1/@13/F8_01- exclu.tif"/>
    <m/>
    <m/>
    <x v="1"/>
    <m/>
    <m/>
    <m/>
  </r>
  <r>
    <x v="2"/>
    <x v="6"/>
    <s v="C:\Users\andre\Desktop\REACTIV CEFAS\Fadrozole\Fadrozole/20201217_Cefas_Test10_Run1/Plate 1/@13/F8_02.tif "/>
    <s v=" 74320.3179 "/>
    <s v=" 42.2884 "/>
    <x v="0"/>
    <n v="3142889"/>
    <m/>
    <m/>
  </r>
  <r>
    <x v="2"/>
    <x v="6"/>
    <s v="C:\Users\andre\Desktop\REACTIV CEFAS\Fadrozole\Fadrozole/20201217_Cefas_Test10_Run1/Plate 1/@13/F8_03.tif "/>
    <s v=" 80333.4287 "/>
    <s v=" 44.6117 "/>
    <x v="0"/>
    <n v="3583814"/>
    <m/>
    <m/>
  </r>
  <r>
    <x v="2"/>
    <x v="6"/>
    <s v="C:\Users\andre\Desktop\REACTIV CEFAS\Fadrozole\Fadrozole/20201217_Cefas_Test10_Run1/Plate 1/@13/F8_04.tif "/>
    <s v=" 78365.1082 "/>
    <s v=" 43.4041 "/>
    <x v="0"/>
    <n v="3401366"/>
    <m/>
    <m/>
  </r>
  <r>
    <x v="2"/>
    <x v="7"/>
    <s v="C:\Users\andre\Desktop\REACTIV CEFAS\Fadrozole\Fadrozole/20201217_Cefas_Test10_Run1/Plate 1/@13/G8_01.tif "/>
    <s v=" 61450.5306 "/>
    <s v=" 39.6586 "/>
    <x v="0"/>
    <n v="2437040"/>
    <m/>
    <m/>
  </r>
  <r>
    <x v="2"/>
    <x v="7"/>
    <s v="C:\Users\andre\Desktop\REACTIV CEFAS\Fadrozole\Fadrozole/20201217_Cefas_Test10_Run1/Plate 1/@13/G8_02.tif "/>
    <s v=" 58487.2351 "/>
    <s v=" 39.0074 "/>
    <x v="0"/>
    <n v="2281435"/>
    <m/>
    <m/>
  </r>
  <r>
    <x v="2"/>
    <x v="7"/>
    <s v="C:\Users\andre\Desktop\REACTIV CEFAS\Fadrozole\Fadrozole/20201217_Cefas_Test10_Run1/Plate 1/@13/G8_03.tif "/>
    <s v=" 64089.3778 "/>
    <s v=" 38.9423 "/>
    <x v="0"/>
    <n v="2495787"/>
    <m/>
    <m/>
  </r>
  <r>
    <x v="2"/>
    <x v="7"/>
    <s v="C:\Users\andre\Desktop\REACTIV CEFAS\Fadrozole\Fadrozole/20201217_Cefas_Test10_Run1/Plate 1/@13/G8_04.tif "/>
    <s v=" 45530.9282 "/>
    <s v=" 36.439 "/>
    <x v="0"/>
    <n v="1659099"/>
    <m/>
    <m/>
  </r>
  <r>
    <x v="2"/>
    <x v="8"/>
    <s v="C:\Users\andre\Desktop\REACTIV CEFAS\Fadrozole\Fadrozole/20201217_Cefas_Test10_Run1/Plate 1/@13/H8_01.tif "/>
    <s v=" 76915.9053 "/>
    <s v=" 47.7663 "/>
    <x v="0"/>
    <n v="3673989"/>
    <m/>
    <m/>
  </r>
  <r>
    <x v="2"/>
    <x v="8"/>
    <s v="C:\Users\andre\Desktop\REACTIV CEFAS\Fadrozole\Fadrozole/20201217_Cefas_Test10_Run1/Plate 1/@13/H8_02- exclu.tif"/>
    <m/>
    <m/>
    <x v="1"/>
    <m/>
    <m/>
    <m/>
  </r>
  <r>
    <x v="2"/>
    <x v="8"/>
    <s v="C:\Users\andre\Desktop\REACTIV CEFAS\Fadrozole\Fadrozole/20201217_Cefas_Test10_Run1/Plate 1/@13/H8_03- exclu.tif"/>
    <m/>
    <m/>
    <x v="1"/>
    <m/>
    <m/>
    <m/>
  </r>
  <r>
    <x v="2"/>
    <x v="8"/>
    <s v="C:\Users\andre\Desktop\REACTIV CEFAS\Fadrozole\Fadrozole/20201217_Cefas_Test10_Run1/Plate 1/@13/H8_04.tif "/>
    <s v=" 92338.0202 "/>
    <s v=" 44.0412 "/>
    <x v="0"/>
    <n v="4066680"/>
    <m/>
    <m/>
  </r>
  <r>
    <x v="0"/>
    <x v="0"/>
    <s v=" "/>
    <m/>
    <m/>
    <x v="1"/>
    <m/>
    <m/>
    <m/>
  </r>
  <r>
    <x v="0"/>
    <x v="0"/>
    <s v="group "/>
    <s v=" "/>
    <s v=" mean of mean fluo "/>
    <x v="2"/>
    <s v=" mean of total fluo "/>
    <s v=" SD total fluo "/>
    <m/>
  </r>
  <r>
    <x v="2"/>
    <x v="9"/>
    <s v="C:\Users\andre\Desktop\REACTIV CEFAS\Fadrozole\Fadrozole/20201217_Cefas_Test10_Run1/Plate 1/@13/ "/>
    <s v=" "/>
    <s v=" 40.4529 "/>
    <x v="4"/>
    <s v=" 2082927.84 "/>
    <s v=" 1204866.54 "/>
    <m/>
  </r>
  <r>
    <x v="0"/>
    <x v="0"/>
    <s v=" "/>
    <m/>
    <m/>
    <x v="1"/>
    <m/>
    <m/>
    <m/>
  </r>
  <r>
    <x v="0"/>
    <x v="0"/>
    <s v=" "/>
    <m/>
    <m/>
    <x v="1"/>
    <m/>
    <m/>
    <m/>
  </r>
  <r>
    <x v="0"/>
    <x v="0"/>
    <s v=" "/>
    <m/>
    <m/>
    <x v="1"/>
    <m/>
    <m/>
    <m/>
  </r>
  <r>
    <x v="0"/>
    <x v="0"/>
    <s v=" "/>
    <m/>
    <m/>
    <x v="1"/>
    <m/>
    <m/>
    <m/>
  </r>
  <r>
    <x v="0"/>
    <x v="0"/>
    <s v=" "/>
    <m/>
    <m/>
    <x v="1"/>
    <m/>
    <m/>
    <m/>
  </r>
  <r>
    <x v="0"/>
    <x v="0"/>
    <s v="file name "/>
    <s v=" total area "/>
    <s v=" mean intensity "/>
    <x v="0"/>
    <s v=" total fluorescence"/>
    <m/>
    <m/>
  </r>
  <r>
    <x v="3"/>
    <x v="1"/>
    <s v="C:\Users\andre\Desktop\REACTIV CEFAS\Fadrozole\Fadrozole/20201217_Cefas_Test10_Run1/Plate 1/@14/A9_01.tif "/>
    <s v=" 22473.4605 "/>
    <s v=" 35.6959 "/>
    <x v="0"/>
    <n v="802210"/>
    <m/>
    <m/>
  </r>
  <r>
    <x v="3"/>
    <x v="1"/>
    <s v="C:\Users\andre\Desktop\REACTIV CEFAS\Fadrozole\Fadrozole/20201217_Cefas_Test10_Run1/Plate 1/@14/A9_02.tif "/>
    <s v=" 18709.8589 "/>
    <s v=" 33.6335 "/>
    <x v="0"/>
    <n v="629279"/>
    <m/>
    <m/>
  </r>
  <r>
    <x v="3"/>
    <x v="1"/>
    <s v="C:\Users\andre\Desktop\REACTIV CEFAS\Fadrozole\Fadrozole/20201217_Cefas_Test10_Run1/Plate 1/@14/A9_03.tif "/>
    <s v=" 17758.1435 "/>
    <s v=" 34.4056 "/>
    <x v="0"/>
    <n v="610980"/>
    <m/>
    <m/>
  </r>
  <r>
    <x v="3"/>
    <x v="1"/>
    <s v="C:\Users\andre\Desktop\REACTIV CEFAS\Fadrozole\Fadrozole/20201217_Cefas_Test10_Run1/Plate 1/@14/A9_04.tif "/>
    <s v=" 21565.0049 "/>
    <s v=" 34.5356 "/>
    <x v="0"/>
    <n v="744761"/>
    <m/>
    <m/>
  </r>
  <r>
    <x v="3"/>
    <x v="2"/>
    <s v="C:\Users\andre\Desktop\REACTIV CEFAS\Fadrozole\Fadrozole/20201217_Cefas_Test10_Run1/Plate 1/@14/B9_01.tif "/>
    <s v=" 6467.3385 "/>
    <s v=" 37.2241 "/>
    <x v="0"/>
    <n v="240741"/>
    <m/>
    <m/>
  </r>
  <r>
    <x v="3"/>
    <x v="2"/>
    <s v="C:\Users\andre\Desktop\REACTIV CEFAS\Fadrozole\Fadrozole/20201217_Cefas_Test10_Run1/Plate 1/@14/B9_02.tif "/>
    <s v=" 5667.0324 "/>
    <s v=" 38.2786 "/>
    <x v="0"/>
    <n v="216926"/>
    <m/>
    <m/>
  </r>
  <r>
    <x v="3"/>
    <x v="2"/>
    <s v="C:\Users\andre\Desktop\REACTIV CEFAS\Fadrozole\Fadrozole/20201217_Cefas_Test10_Run1/Plate 1/@14/B9_03.tif "/>
    <s v=" 7894.9115 "/>
    <s v=" 35.3726 "/>
    <x v="0"/>
    <n v="279264"/>
    <m/>
    <m/>
  </r>
  <r>
    <x v="3"/>
    <x v="2"/>
    <s v="C:\Users\andre\Desktop\REACTIV CEFAS\Fadrozole\Fadrozole/20201217_Cefas_Test10_Run1/Plate 1/@14/B9_04.tif "/>
    <s v=" 24182.2222 "/>
    <s v=" 34.5385 "/>
    <x v="0"/>
    <n v="835217"/>
    <m/>
    <m/>
  </r>
  <r>
    <x v="3"/>
    <x v="3"/>
    <s v="C:\Users\andre\Desktop\REACTIV CEFAS\Fadrozole\Fadrozole/20201217_Cefas_Test10_Run1/Plate 1/@14/C9_01.tif "/>
    <s v=" 62229.2068 "/>
    <s v=" 39.4692 "/>
    <x v="0"/>
    <n v="2456139"/>
    <m/>
    <m/>
  </r>
  <r>
    <x v="3"/>
    <x v="3"/>
    <s v="C:\Users\andre\Desktop\REACTIV CEFAS\Fadrozole\Fadrozole/20201217_Cefas_Test10_Run1/Plate 1/@14/C9_02.tif "/>
    <s v=" 54593.854 "/>
    <s v=" 38.3494 "/>
    <x v="0"/>
    <n v="2093644"/>
    <m/>
    <m/>
  </r>
  <r>
    <x v="3"/>
    <x v="3"/>
    <s v="C:\Users\andre\Desktop\REACTIV CEFAS\Fadrozole\Fadrozole/20201217_Cefas_Test10_Run1/Plate 1/@14/C9_03.tif "/>
    <s v=" 67182.4527 "/>
    <s v=" 40.925 "/>
    <x v="0"/>
    <n v="2749441"/>
    <m/>
    <m/>
  </r>
  <r>
    <x v="3"/>
    <x v="3"/>
    <s v="C:\Users\andre\Desktop\REACTIV CEFAS\Fadrozole\Fadrozole/20201217_Cefas_Test10_Run1/Plate 1/@14/C9_04- exclu.tif"/>
    <m/>
    <m/>
    <x v="1"/>
    <m/>
    <m/>
    <m/>
  </r>
  <r>
    <x v="3"/>
    <x v="4"/>
    <s v="C:\Users\andre\Desktop\REACTIV CEFAS\Fadrozole\Fadrozole/20201217_Cefas_Test10_Run1/Plate 1/@14/D9_01.tif "/>
    <s v=" 39928.7855 "/>
    <s v=" 36.0271 "/>
    <x v="0"/>
    <n v="1438518"/>
    <m/>
    <m/>
  </r>
  <r>
    <x v="3"/>
    <x v="4"/>
    <s v="C:\Users\andre\Desktop\REACTIV CEFAS\Fadrozole\Fadrozole/20201217_Cefas_Test10_Run1/Plate 1/@14/D9_02- exclu.tif"/>
    <m/>
    <m/>
    <x v="1"/>
    <m/>
    <m/>
    <m/>
  </r>
  <r>
    <x v="3"/>
    <x v="4"/>
    <s v="C:\Users\andre\Desktop\REACTIV CEFAS\Fadrozole\Fadrozole/20201217_Cefas_Test10_Run1/Plate 1/@14/D9_03.tif "/>
    <s v=" 28767.7599 "/>
    <s v=" 34.6647 "/>
    <x v="0"/>
    <n v="997225"/>
    <m/>
    <m/>
  </r>
  <r>
    <x v="3"/>
    <x v="4"/>
    <s v="C:\Users\andre\Desktop\REACTIV CEFAS\Fadrozole\Fadrozole/20201217_Cefas_Test10_Run1/Plate 1/@14/D9_04.tif "/>
    <s v=" 26150.5426 "/>
    <s v=" 33.9024 "/>
    <x v="0"/>
    <n v="886566"/>
    <m/>
    <m/>
  </r>
  <r>
    <x v="3"/>
    <x v="5"/>
    <s v="C:\Users\andre\Desktop\REACTIV CEFAS\Fadrozole\Fadrozole/20201217_Cefas_Test10_Run1/Plate 1/@14/E9_01.tif "/>
    <s v=" 53620.5088 "/>
    <s v=" 39.5934 "/>
    <x v="0"/>
    <n v="2123017"/>
    <m/>
    <m/>
  </r>
  <r>
    <x v="3"/>
    <x v="5"/>
    <s v="C:\Users\andre\Desktop\REACTIV CEFAS\Fadrozole\Fadrozole/20201217_Cefas_Test10_Run1/Plate 1/@14/E9_02.tif "/>
    <s v=" 53014.8717 "/>
    <s v=" 40.4264 "/>
    <x v="0"/>
    <n v="2143198"/>
    <m/>
    <m/>
  </r>
  <r>
    <x v="3"/>
    <x v="5"/>
    <s v="C:\Users\andre\Desktop\REACTIV CEFAS\Fadrozole\Fadrozole/20201217_Cefas_Test10_Run1/Plate 1/@14/E9_03.tif "/>
    <s v=" 50484.1741 "/>
    <s v=" 38.91 "/>
    <x v="0"/>
    <n v="1964341"/>
    <m/>
    <m/>
  </r>
  <r>
    <x v="3"/>
    <x v="5"/>
    <s v="C:\Users\andre\Desktop\REACTIV CEFAS\Fadrozole\Fadrozole/20201217_Cefas_Test10_Run1/Plate 1/@14/E9_04.tif "/>
    <s v=" 52820.2027 "/>
    <s v=" 39.959 "/>
    <x v="0"/>
    <n v="2110645"/>
    <m/>
    <m/>
  </r>
  <r>
    <x v="3"/>
    <x v="6"/>
    <s v="C:\Users\andre\Desktop\REACTIV CEFAS\Fadrozole\Fadrozole/20201217_Cefas_Test10_Run1/Plate 1/@14/F9_01.tif "/>
    <s v=" 48970.0814 "/>
    <s v=" 36.8313 "/>
    <x v="0"/>
    <n v="1803630"/>
    <m/>
    <m/>
  </r>
  <r>
    <x v="3"/>
    <x v="6"/>
    <s v="C:\Users\andre\Desktop\REACTIV CEFAS\Fadrozole\Fadrozole/20201217_Cefas_Test10_Run1/Plate 1/@14/F9_02.tif "/>
    <s v=" 51327.74 "/>
    <s v=" 37.5727 "/>
    <x v="0"/>
    <n v="1928521"/>
    <m/>
    <m/>
  </r>
  <r>
    <x v="3"/>
    <x v="6"/>
    <s v="C:\Users\andre\Desktop\REACTIV CEFAS\Fadrozole\Fadrozole/20201217_Cefas_Test10_Run1/Plate 1/@14/F9_03.tif "/>
    <s v=" 53901.6974 "/>
    <s v=" 39.3006 "/>
    <x v="0"/>
    <n v="2118367"/>
    <m/>
    <m/>
  </r>
  <r>
    <x v="3"/>
    <x v="6"/>
    <s v="C:\Users\andre\Desktop\REACTIV CEFAS\Fadrozole\Fadrozole/20201217_Cefas_Test10_Run1/Plate 1/@14/F9_04.tif "/>
    <s v=" 59179.3917 "/>
    <s v=" 39.7971 "/>
    <x v="0"/>
    <n v="2355171"/>
    <m/>
    <m/>
  </r>
  <r>
    <x v="3"/>
    <x v="7"/>
    <s v="C:\Users\andre\Desktop\REACTIV CEFAS\Fadrozole\Fadrozole/20201217_Cefas_Test10_Run1/Plate 1/@14/G9_01.tif "/>
    <s v=" 62077.7976 "/>
    <s v=" 39.5491 "/>
    <x v="0"/>
    <n v="2455123"/>
    <m/>
    <m/>
  </r>
  <r>
    <x v="3"/>
    <x v="7"/>
    <s v="C:\Users\andre\Desktop\REACTIV CEFAS\Fadrozole\Fadrozole/20201217_Cefas_Test10_Run1/Plate 1/@14/G9_02.tif "/>
    <s v=" 63159.2923 "/>
    <s v=" 39.5216 "/>
    <x v="0"/>
    <n v="2496155"/>
    <m/>
    <m/>
  </r>
  <r>
    <x v="3"/>
    <x v="7"/>
    <s v="C:\Users\andre\Desktop\REACTIV CEFAS\Fadrozole\Fadrozole/20201217_Cefas_Test10_Run1/Plate 1/@14/G9_03.tif "/>
    <s v=" 61645.1997 "/>
    <s v=" 40.4291 "/>
    <x v="0"/>
    <n v="2492261"/>
    <m/>
    <m/>
  </r>
  <r>
    <x v="3"/>
    <x v="7"/>
    <s v="C:\Users\andre\Desktop\REACTIV CEFAS\Fadrozole\Fadrozole/20201217_Cefas_Test10_Run1/Plate 1/@14/G9_04.tif "/>
    <s v=" 69215.6628 "/>
    <s v=" 39.4338 "/>
    <x v="0"/>
    <n v="2729433"/>
    <m/>
    <m/>
  </r>
  <r>
    <x v="3"/>
    <x v="8"/>
    <s v="C:\Users\andre\Desktop\REACTIV CEFAS\Fadrozole\Fadrozole/20201217_Cefas_Test10_Run1/Plate 1/@14/H9_01.tif "/>
    <s v=" 54139.6263 "/>
    <s v=" 40.0967 "/>
    <x v="0"/>
    <n v="2170819"/>
    <m/>
    <m/>
  </r>
  <r>
    <x v="3"/>
    <x v="8"/>
    <s v="C:\Users\andre\Desktop\REACTIV CEFAS\Fadrozole\Fadrozole/20201217_Cefas_Test10_Run1/Plate 1/@14/H9_02.tif "/>
    <s v=" 57189.4414 "/>
    <s v=" 40.2761 "/>
    <x v="0"/>
    <n v="2303367"/>
    <m/>
    <m/>
  </r>
  <r>
    <x v="3"/>
    <x v="8"/>
    <s v="C:\Users\andre\Desktop\REACTIV CEFAS\Fadrozole\Fadrozole/20201217_Cefas_Test10_Run1/Plate 1/@14/H9_03.tif "/>
    <s v=" 58811.6835 "/>
    <s v=" 41.2711 "/>
    <x v="0"/>
    <n v="2427220"/>
    <m/>
    <m/>
  </r>
  <r>
    <x v="3"/>
    <x v="8"/>
    <s v="C:\Users\andre\Desktop\REACTIV CEFAS\Fadrozole\Fadrozole/20201217_Cefas_Test10_Run1/Plate 1/@14/H9_04.tif "/>
    <s v=" 55242.7509 "/>
    <s v=" 40.0121 "/>
    <x v="0"/>
    <n v="2210381"/>
    <m/>
    <m/>
  </r>
  <r>
    <x v="0"/>
    <x v="0"/>
    <s v=" "/>
    <m/>
    <m/>
    <x v="1"/>
    <m/>
    <m/>
    <m/>
  </r>
  <r>
    <x v="0"/>
    <x v="0"/>
    <s v="group "/>
    <s v=" "/>
    <s v=" mean of mean fluo "/>
    <x v="2"/>
    <s v=" mean of total fluo "/>
    <s v=" SD total fluo "/>
    <m/>
  </r>
  <r>
    <x v="3"/>
    <x v="9"/>
    <s v="C:\Users\andre\Desktop\REACTIV CEFAS\Fadrozole\Fadrozole/20201217_Cefas_Test10_Run1/Plate 1/@14/ "/>
    <s v=" "/>
    <s v=" 38.015 "/>
    <x v="5"/>
    <s v=" 1675605.78 "/>
    <s v=" 808265.489 "/>
    <m/>
  </r>
  <r>
    <x v="0"/>
    <x v="0"/>
    <s v=" "/>
    <m/>
    <m/>
    <x v="1"/>
    <m/>
    <m/>
    <m/>
  </r>
  <r>
    <x v="0"/>
    <x v="0"/>
    <s v=" "/>
    <m/>
    <m/>
    <x v="1"/>
    <m/>
    <m/>
    <m/>
  </r>
  <r>
    <x v="0"/>
    <x v="0"/>
    <s v=" "/>
    <m/>
    <m/>
    <x v="1"/>
    <m/>
    <m/>
    <m/>
  </r>
  <r>
    <x v="0"/>
    <x v="0"/>
    <s v=" "/>
    <m/>
    <m/>
    <x v="1"/>
    <m/>
    <m/>
    <m/>
  </r>
  <r>
    <x v="0"/>
    <x v="0"/>
    <s v=" "/>
    <m/>
    <m/>
    <x v="1"/>
    <m/>
    <m/>
    <m/>
  </r>
  <r>
    <x v="0"/>
    <x v="0"/>
    <s v="file name "/>
    <s v=" total area "/>
    <s v=" mean intensity "/>
    <x v="0"/>
    <s v=" total fluorescence"/>
    <m/>
    <m/>
  </r>
  <r>
    <x v="4"/>
    <x v="1"/>
    <s v="C:\Users\andre\Desktop\REACTIV CEFAS\Fadrozole\Fadrozole/20201217_Cefas_Test10_Run1/Plate 1/@15/A11_01.tif "/>
    <s v=" 45206.4798 "/>
    <s v=" 49.2211 "/>
    <x v="0"/>
    <n v="2225111"/>
    <m/>
    <m/>
  </r>
  <r>
    <x v="4"/>
    <x v="1"/>
    <s v="C:\Users\andre\Desktop\REACTIV CEFAS\Fadrozole\Fadrozole/20201217_Cefas_Test10_Run1/Plate 1/@15/A11_02.tif "/>
    <s v=" 48797.0423 "/>
    <s v=" 46.6418 "/>
    <x v="0"/>
    <n v="2275984"/>
    <m/>
    <m/>
  </r>
  <r>
    <x v="4"/>
    <x v="1"/>
    <s v="C:\Users\andre\Desktop\REACTIV CEFAS\Fadrozole\Fadrozole/20201217_Cefas_Test10_Run1/Plate 1/@15/A11_03.tif "/>
    <s v=" 43389.5686 "/>
    <s v=" 44.7168 "/>
    <x v="0"/>
    <n v="1940245"/>
    <m/>
    <m/>
  </r>
  <r>
    <x v="4"/>
    <x v="1"/>
    <s v="C:\Users\andre\Desktop\REACTIV CEFAS\Fadrozole\Fadrozole/20201217_Cefas_Test10_Run1/Plate 1/@15/A11_04- exclu.tif"/>
    <m/>
    <m/>
    <x v="1"/>
    <m/>
    <m/>
    <m/>
  </r>
  <r>
    <x v="4"/>
    <x v="2"/>
    <s v="C:\Users\andre\Desktop\REACTIV CEFAS\Fadrozole\Fadrozole/20201217_Cefas_Test10_Run1/Plate 1/@15/B11_01.tif "/>
    <s v=" 70708.1255 "/>
    <s v=" 49.3197 "/>
    <x v="0"/>
    <n v="3487301"/>
    <m/>
    <m/>
  </r>
  <r>
    <x v="4"/>
    <x v="2"/>
    <s v="C:\Users\andre\Desktop\REACTIV CEFAS\Fadrozole\Fadrozole/20201217_Cefas_Test10_Run1/Plate 1/@15/B11_02.tif "/>
    <s v=" 69453.5917 "/>
    <s v=" 46.3282 "/>
    <x v="0"/>
    <n v="3217663"/>
    <m/>
    <m/>
  </r>
  <r>
    <x v="4"/>
    <x v="2"/>
    <s v="C:\Users\andre\Desktop\REACTIV CEFAS\Fadrozole\Fadrozole/20201217_Cefas_Test10_Run1/Plate 1/@15/B11_03.tif "/>
    <s v=" 70297.1575 "/>
    <s v=" 48.4434 "/>
    <x v="0"/>
    <n v="3405432"/>
    <m/>
    <m/>
  </r>
  <r>
    <x v="4"/>
    <x v="2"/>
    <s v="C:\Users\andre\Desktop\REACTIV CEFAS\Fadrozole\Fadrozole/20201217_Cefas_Test10_Run1/Plate 1/@15/B11_04.tif "/>
    <s v=" 95906.9528 "/>
    <s v=" 39.7869 "/>
    <x v="0"/>
    <n v="3815838"/>
    <m/>
    <m/>
  </r>
  <r>
    <x v="4"/>
    <x v="3"/>
    <s v="C:\Users\andre\Desktop\REACTIV CEFAS\Fadrozole\Fadrozole/20201217_Cefas_Test10_Run1/Plate 1/@15/C11_01.tif "/>
    <s v=" 72308.7377 "/>
    <s v=" 48.9758 "/>
    <x v="0"/>
    <n v="3541376"/>
    <m/>
    <m/>
  </r>
  <r>
    <x v="4"/>
    <x v="3"/>
    <s v="C:\Users\andre\Desktop\REACTIV CEFAS\Fadrozole\Fadrozole/20201217_Cefas_Test10_Run1/Plate 1/@15/C11_02.tif "/>
    <s v=" 64067.7479 "/>
    <s v=" 48.3707 "/>
    <x v="0"/>
    <n v="3099002"/>
    <m/>
    <m/>
  </r>
  <r>
    <x v="4"/>
    <x v="3"/>
    <s v="C:\Users\andre\Desktop\REACTIV CEFAS\Fadrozole\Fadrozole/20201217_Cefas_Test10_Run1/Plate 1/@15/C11_03.tif "/>
    <s v=" 69258.9226 "/>
    <s v=" 47.9216 "/>
    <x v="0"/>
    <n v="3318999"/>
    <m/>
    <m/>
  </r>
  <r>
    <x v="4"/>
    <x v="3"/>
    <s v="C:\Users\andre\Desktop\REACTIV CEFAS\Fadrozole\Fadrozole/20201217_Cefas_Test10_Run1/Plate 1/@15/C11_04.tif "/>
    <s v=" 68393.7268 "/>
    <s v=" 48.7321 "/>
    <x v="0"/>
    <n v="3332972"/>
    <m/>
    <m/>
  </r>
  <r>
    <x v="4"/>
    <x v="4"/>
    <s v="C:\Users\andre\Desktop\REACTIV CEFAS\Fadrozole\Fadrozole/20201217_Cefas_Test10_Run1/Plate 1/@15/D11_01.tif "/>
    <s v=" 66209.1075 "/>
    <s v=" 52.179 "/>
    <x v="0"/>
    <n v="3454727"/>
    <m/>
    <m/>
  </r>
  <r>
    <x v="4"/>
    <x v="4"/>
    <s v="C:\Users\andre\Desktop\REACTIV CEFAS\Fadrozole\Fadrozole/20201217_Cefas_Test10_Run1/Plate 1/@15/D11_02.tif "/>
    <s v=" 50311.1349 "/>
    <s v=" 52.2623 "/>
    <x v="0"/>
    <n v="2629373"/>
    <m/>
    <m/>
  </r>
  <r>
    <x v="4"/>
    <x v="4"/>
    <s v="C:\Users\andre\Desktop\REACTIV CEFAS\Fadrozole\Fadrozole/20201217_Cefas_Test10_Run1/Plate 1/@15/D11_03.tif "/>
    <s v=" 59417.3205 "/>
    <s v=" 51.8056 "/>
    <x v="0"/>
    <n v="3078150"/>
    <m/>
    <m/>
  </r>
  <r>
    <x v="4"/>
    <x v="4"/>
    <s v="C:\Users\andre\Desktop\REACTIV CEFAS\Fadrozole\Fadrozole/20201217_Cefas_Test10_Run1/Plate 1/@15/D11_04.tif "/>
    <s v=" 86541.2084 "/>
    <s v=" 53.2239 "/>
    <x v="0"/>
    <n v="4606064"/>
    <m/>
    <m/>
  </r>
  <r>
    <x v="4"/>
    <x v="5"/>
    <s v="C:\Users\andre\Desktop\REACTIV CEFAS\Fadrozole\Fadrozole/20201217_Cefas_Test10_Run1/Plate 1/@15/E11_01.tif "/>
    <s v=" 91299.7852 "/>
    <s v=" 53.0301 "/>
    <x v="0"/>
    <n v="4841636"/>
    <m/>
    <m/>
  </r>
  <r>
    <x v="4"/>
    <x v="5"/>
    <s v="C:\Users\andre\Desktop\REACTIV CEFAS\Fadrozole\Fadrozole/20201217_Cefas_Test10_Run1/Plate 1/@15/E11_02- exclu.tif"/>
    <m/>
    <m/>
    <x v="1"/>
    <m/>
    <m/>
    <m/>
  </r>
  <r>
    <x v="4"/>
    <x v="5"/>
    <s v="C:\Users\andre\Desktop\REACTIV CEFAS\Fadrozole\Fadrozole/20201217_Cefas_Test10_Run1/Plate 1/@15/E11_03.tif "/>
    <s v=" 92554.3191 "/>
    <s v=" 51.8941 "/>
    <x v="0"/>
    <n v="4803026"/>
    <m/>
    <m/>
  </r>
  <r>
    <x v="4"/>
    <x v="5"/>
    <s v="C:\Users\andre\Desktop\REACTIV CEFAS\Fadrozole\Fadrozole/20201217_Cefas_Test10_Run1/Plate 1/@15/E11_04- exclu.tif"/>
    <m/>
    <m/>
    <x v="1"/>
    <m/>
    <m/>
    <m/>
  </r>
  <r>
    <x v="4"/>
    <x v="6"/>
    <s v="C:\Users\andre\Desktop\REACTIV CEFAS\Fadrozole\Fadrozole/20201217_Cefas_Test10_Run1/Plate 1/@15/F11_01.tif "/>
    <s v=" 60022.9576 "/>
    <s v=" 49.2076 "/>
    <x v="0"/>
    <n v="2953584"/>
    <m/>
    <m/>
  </r>
  <r>
    <x v="4"/>
    <x v="6"/>
    <s v="C:\Users\andre\Desktop\REACTIV CEFAS\Fadrozole\Fadrozole/20201217_Cefas_Test10_Run1/Plate 1/@15/F11_02.tif "/>
    <s v=" 71919.3996 "/>
    <s v=" 51.0247 "/>
    <x v="0"/>
    <n v="3669663"/>
    <m/>
    <m/>
  </r>
  <r>
    <x v="4"/>
    <x v="6"/>
    <s v="C:\Users\andre\Desktop\REACTIV CEFAS\Fadrozole\Fadrozole/20201217_Cefas_Test10_Run1/Plate 1/@15/F11_03.tif "/>
    <s v=" 64586.8654 "/>
    <s v=" 48.4588 "/>
    <x v="0"/>
    <n v="3129802"/>
    <m/>
    <m/>
  </r>
  <r>
    <x v="4"/>
    <x v="6"/>
    <s v="C:\Users\andre\Desktop\REACTIV CEFAS\Fadrozole\Fadrozole/20201217_Cefas_Test10_Run1/Plate 1/@15/F11_04.tif "/>
    <s v=" 68372.0969 "/>
    <s v=" 51.745 "/>
    <x v="0"/>
    <n v="3537915"/>
    <m/>
    <m/>
  </r>
  <r>
    <x v="4"/>
    <x v="7"/>
    <s v="C:\Users\andre\Desktop\REACTIV CEFAS\Fadrozole\Fadrozole/20201217_Cefas_Test10_Run1/Plate 1/@15/G11_01- exclu.tif"/>
    <m/>
    <m/>
    <x v="1"/>
    <m/>
    <m/>
    <m/>
  </r>
  <r>
    <x v="4"/>
    <x v="7"/>
    <s v="C:\Users\andre\Desktop\REACTIV CEFAS\Fadrozole\Fadrozole/20201217_Cefas_Test10_Run1/Plate 1/@15/G11_02- exclu.tif"/>
    <m/>
    <m/>
    <x v="1"/>
    <m/>
    <m/>
    <m/>
  </r>
  <r>
    <x v="4"/>
    <x v="7"/>
    <s v="C:\Users\andre\Desktop\REACTIV CEFAS\Fadrozole\Fadrozole/20201217_Cefas_Test10_Run1/Plate 1/@15/G11_03- exclu.tif"/>
    <m/>
    <m/>
    <x v="1"/>
    <m/>
    <m/>
    <m/>
  </r>
  <r>
    <x v="4"/>
    <x v="7"/>
    <s v="C:\Users\andre\Desktop\REACTIV CEFAS\Fadrozole\Fadrozole/20201217_Cefas_Test10_Run1/Plate 1/@15/G11_04.tif "/>
    <s v=" 59179.3917 "/>
    <s v=" 43.6184 "/>
    <x v="0"/>
    <n v="2581312"/>
    <m/>
    <m/>
  </r>
  <r>
    <x v="4"/>
    <x v="8"/>
    <s v="C:\Users\andre\Desktop\REACTIV CEFAS\Fadrozole\Fadrozole/20201217_Cefas_Test10_Run1/Plate 1/@15/H11_01.tif "/>
    <s v=" 89180.0556 "/>
    <s v=" 52.1426 "/>
    <x v="0"/>
    <n v="4650081"/>
    <m/>
    <m/>
  </r>
  <r>
    <x v="4"/>
    <x v="8"/>
    <s v="C:\Users\andre\Desktop\REACTIV CEFAS\Fadrozole\Fadrozole/20201217_Cefas_Test10_Run1/Plate 1/@15/H11_02.tif "/>
    <s v=" 85113.6354 "/>
    <s v=" 48.4943 "/>
    <x v="0"/>
    <n v="4127525"/>
    <m/>
    <m/>
  </r>
  <r>
    <x v="4"/>
    <x v="8"/>
    <s v="C:\Users\andre\Desktop\REACTIV CEFAS\Fadrozole\Fadrozole/20201217_Cefas_Test10_Run1/Plate 1/@15/H11_03.tif "/>
    <s v=" 83037.1655 "/>
    <s v=" 46.8755 "/>
    <x v="0"/>
    <n v="3892408"/>
    <m/>
    <m/>
  </r>
  <r>
    <x v="4"/>
    <x v="8"/>
    <s v="C:\Users\andre\Desktop\REACTIV CEFAS\Fadrozole\Fadrozole/20201217_Cefas_Test10_Run1/Plate 1/@15/H11_04.tif "/>
    <s v=" 91407.9347 "/>
    <s v=" 48.4941 "/>
    <x v="0"/>
    <n v="4432744"/>
    <m/>
    <m/>
  </r>
  <r>
    <x v="0"/>
    <x v="0"/>
    <s v=" "/>
    <m/>
    <m/>
    <x v="1"/>
    <m/>
    <m/>
    <m/>
  </r>
  <r>
    <x v="0"/>
    <x v="0"/>
    <s v="group "/>
    <s v=" "/>
    <s v=" mean of mean fluo "/>
    <x v="2"/>
    <s v=" mean of total fluo "/>
    <s v=" SD total fluo "/>
    <m/>
  </r>
  <r>
    <x v="4"/>
    <x v="9"/>
    <s v="C:\Users\andre\Desktop\REACTIV CEFAS\Fadrozole\Fadrozole/20201217_Cefas_Test10_Run1/Plate 1/@15/ "/>
    <s v=" "/>
    <s v=" 47.5085 "/>
    <x v="6"/>
    <s v=" 3113422.53 "/>
    <s v=" 1237403.33 "/>
    <m/>
  </r>
  <r>
    <x v="0"/>
    <x v="0"/>
    <s v=" "/>
    <m/>
    <m/>
    <x v="1"/>
    <m/>
    <m/>
    <m/>
  </r>
  <r>
    <x v="0"/>
    <x v="0"/>
    <s v=" "/>
    <m/>
    <m/>
    <x v="1"/>
    <m/>
    <m/>
    <m/>
  </r>
  <r>
    <x v="0"/>
    <x v="0"/>
    <s v=" "/>
    <m/>
    <m/>
    <x v="1"/>
    <m/>
    <m/>
    <m/>
  </r>
  <r>
    <x v="0"/>
    <x v="0"/>
    <s v=" "/>
    <m/>
    <m/>
    <x v="1"/>
    <m/>
    <m/>
    <m/>
  </r>
  <r>
    <x v="0"/>
    <x v="0"/>
    <s v=" "/>
    <m/>
    <m/>
    <x v="1"/>
    <m/>
    <m/>
    <m/>
  </r>
  <r>
    <x v="0"/>
    <x v="0"/>
    <s v="file name "/>
    <s v=" total area "/>
    <s v=" mean intensity "/>
    <x v="0"/>
    <s v=" total fluorescence"/>
    <m/>
    <m/>
  </r>
  <r>
    <x v="5"/>
    <x v="1"/>
    <s v="C:\Users\andre\Desktop\REACTIV CEFAS\Fadrozole\Fadrozole/20201217_Cefas_Test10_Run1/Plate 1/@16/A12_01.tif "/>
    <s v=" 2552.3276 "/>
    <s v=" 34.2288 "/>
    <x v="0"/>
    <n v="87363"/>
    <m/>
    <m/>
  </r>
  <r>
    <x v="5"/>
    <x v="1"/>
    <s v="C:\Users\andre\Desktop\REACTIV CEFAS\Fadrozole\Fadrozole/20201217_Cefas_Test10_Run1/Plate 1/@16/A12_02.tif "/>
    <s v=" 3979.9006 "/>
    <s v=" 35.3533 "/>
    <x v="0"/>
    <n v="140702"/>
    <m/>
    <m/>
  </r>
  <r>
    <x v="5"/>
    <x v="1"/>
    <s v="C:\Users\andre\Desktop\REACTIV CEFAS\Fadrozole\Fadrozole/20201217_Cefas_Test10_Run1/Plate 1/@16/A12_03.tif "/>
    <s v=" 1557.3524 "/>
    <s v=" 34.5556 "/>
    <x v="0"/>
    <n v="53815"/>
    <m/>
    <m/>
  </r>
  <r>
    <x v="5"/>
    <x v="1"/>
    <s v="C:\Users\andre\Desktop\REACTIV CEFAS\Fadrozole\Fadrozole/20201217_Cefas_Test10_Run1/Plate 1/@16/A12_04.tif "/>
    <s v=" 6272.6694 "/>
    <s v=" 39.6655 "/>
    <x v="0"/>
    <n v="248809"/>
    <m/>
    <m/>
  </r>
  <r>
    <x v="5"/>
    <x v="2"/>
    <s v="C:\Users\andre\Desktop\REACTIV CEFAS\Fadrozole\Fadrozole/20201217_Cefas_Test10_Run1/Plate 1/@16/B12_01.tif "/>
    <s v=" 7419.0539 "/>
    <s v=" 35.7668 "/>
    <x v="0"/>
    <n v="265356"/>
    <m/>
    <m/>
  </r>
  <r>
    <x v="5"/>
    <x v="2"/>
    <s v="C:\Users\andre\Desktop\REACTIV CEFAS\Fadrozole\Fadrozole/20201217_Cefas_Test10_Run1/Plate 1/@16/B12_02.tif "/>
    <s v=" 10339.0896 "/>
    <s v=" 40.0188 "/>
    <x v="0"/>
    <n v="413758"/>
    <m/>
    <m/>
  </r>
  <r>
    <x v="5"/>
    <x v="2"/>
    <s v="C:\Users\andre\Desktop\REACTIV CEFAS\Fadrozole\Fadrozole/20201217_Cefas_Test10_Run1/Plate 1/@16/B12_03.tif "/>
    <s v=" 8998.0362 "/>
    <s v=" 39.0601 "/>
    <x v="0"/>
    <n v="351464"/>
    <m/>
    <m/>
  </r>
  <r>
    <x v="5"/>
    <x v="2"/>
    <s v="C:\Users\andre\Desktop\REACTIV CEFAS\Fadrozole\Fadrozole/20201217_Cefas_Test10_Run1/Plate 1/@16/B12_04.tif "/>
    <s v=" 3006.5554 "/>
    <s v=" 35.5755 "/>
    <x v="0"/>
    <n v="106960"/>
    <m/>
    <m/>
  </r>
  <r>
    <x v="5"/>
    <x v="3"/>
    <s v="C:\Users\andre\Desktop\REACTIV CEFAS\Fadrozole\Fadrozole/20201217_Cefas_Test10_Run1/Plate 1/@16/C12_01.tif "/>
    <s v=" 6229.4097 "/>
    <s v=" 34.7743 "/>
    <x v="0"/>
    <n v="216623"/>
    <m/>
    <m/>
  </r>
  <r>
    <x v="5"/>
    <x v="3"/>
    <s v="C:\Users\andre\Desktop\REACTIV CEFAS\Fadrozole\Fadrozole/20201217_Cefas_Test10_Run1/Plate 1/@16/C12_02.tif "/>
    <s v=" 8673.5877 "/>
    <s v=" 36.5187 "/>
    <x v="0"/>
    <n v="316748"/>
    <m/>
    <m/>
  </r>
  <r>
    <x v="5"/>
    <x v="3"/>
    <s v="C:\Users\andre\Desktop\REACTIV CEFAS\Fadrozole\Fadrozole/20201217_Cefas_Test10_Run1/Plate 1/@16/C12_03.tif "/>
    <s v=" 4088.0501 "/>
    <s v=" 34.9841 "/>
    <x v="0"/>
    <n v="143017"/>
    <m/>
    <m/>
  </r>
  <r>
    <x v="5"/>
    <x v="3"/>
    <s v="C:\Users\andre\Desktop\REACTIV CEFAS\Fadrozole\Fadrozole/20201217_Cefas_Test10_Run1/Plate 1/@16/C12_04.tif "/>
    <s v=" 43.2598 "/>
    <n v="30"/>
    <x v="0"/>
    <n v="1298"/>
    <m/>
    <m/>
  </r>
  <r>
    <x v="5"/>
    <x v="4"/>
    <s v="C:\Users\andre\Desktop\REACTIV CEFAS\Fadrozole\Fadrozole/20201217_Cefas_Test10_Run1/Plate 1/@16/D12_01- exclu.tif"/>
    <m/>
    <m/>
    <x v="1"/>
    <m/>
    <m/>
    <m/>
  </r>
  <r>
    <x v="5"/>
    <x v="4"/>
    <s v="C:\Users\andre\Desktop\REACTIV CEFAS\Fadrozole\Fadrozole/20201217_Cefas_Test10_Run1/Plate 1/@16/D12_02- exclu.tif"/>
    <m/>
    <m/>
    <x v="1"/>
    <m/>
    <m/>
    <m/>
  </r>
  <r>
    <x v="5"/>
    <x v="4"/>
    <s v="C:\Users\andre\Desktop\REACTIV CEFAS\Fadrozole\Fadrozole/20201217_Cefas_Test10_Run1/Plate 1/@16/D12_03.tif "/>
    <s v=" 8370.7692 "/>
    <s v=" 38.3798 "/>
    <x v="0"/>
    <n v="321269"/>
    <m/>
    <m/>
  </r>
  <r>
    <x v="5"/>
    <x v="4"/>
    <s v="C:\Users\andre\Desktop\REACTIV CEFAS\Fadrozole\Fadrozole/20201217_Cefas_Test10_Run1/Plate 1/@16/D12_04.tif "/>
    <s v=" 4542.2779 "/>
    <s v=" 33.8952 "/>
    <x v="0"/>
    <n v="153962"/>
    <m/>
    <m/>
  </r>
  <r>
    <x v="5"/>
    <x v="5"/>
    <s v="C:\Users\andre\Desktop\REACTIV CEFAS\Fadrozole\Fadrozole/20201217_Cefas_Test10_Run1/Plate 1/@16/E12_01- exclu.tif"/>
    <m/>
    <m/>
    <x v="1"/>
    <m/>
    <m/>
    <m/>
  </r>
  <r>
    <x v="5"/>
    <x v="5"/>
    <s v="C:\Users\andre\Desktop\REACTIV CEFAS\Fadrozole\Fadrozole/20201217_Cefas_Test10_Run1/Plate 1/@16/E12_02.tif "/>
    <s v=" 10728.4277 "/>
    <s v=" 44.9577 "/>
    <x v="0"/>
    <n v="482325"/>
    <m/>
    <m/>
  </r>
  <r>
    <x v="5"/>
    <x v="5"/>
    <s v="C:\Users\andre\Desktop\REACTIV CEFAS\Fadrozole\Fadrozole/20201217_Cefas_Test10_Run1/Plate 1/@16/E12_03.tif "/>
    <s v=" 7505.5734 "/>
    <s v=" 46.0403 "/>
    <x v="0"/>
    <n v="345559"/>
    <m/>
    <m/>
  </r>
  <r>
    <x v="5"/>
    <x v="5"/>
    <s v="C:\Users\andre\Desktop\REACTIV CEFAS\Fadrozole\Fadrozole/20201217_Cefas_Test10_Run1/Plate 1/@16/E12_04- exclu.tif"/>
    <m/>
    <m/>
    <x v="1"/>
    <m/>
    <m/>
    <m/>
  </r>
  <r>
    <x v="5"/>
    <x v="6"/>
    <s v="C:\Users\andre\Desktop\REACTIV CEFAS\Fadrozole\Fadrozole/20201217_Cefas_Test10_Run1/Plate 1/@16/F12_01.tif "/>
    <s v=" 15292.3355 "/>
    <s v=" 42.4059 "/>
    <x v="0"/>
    <n v="648486"/>
    <m/>
    <m/>
  </r>
  <r>
    <x v="5"/>
    <x v="6"/>
    <s v="C:\Users\andre\Desktop\REACTIV CEFAS\Fadrozole\Fadrozole/20201217_Cefas_Test10_Run1/Plate 1/@16/F12_02.tif "/>
    <s v=" 13129.346 "/>
    <s v=" 42.2768 "/>
    <x v="0"/>
    <n v="555066"/>
    <m/>
    <m/>
  </r>
  <r>
    <x v="5"/>
    <x v="6"/>
    <s v="C:\Users\andre\Desktop\REACTIV CEFAS\Fadrozole\Fadrozole/20201217_Cefas_Test10_Run1/Plate 1/@16/F12_03.tif "/>
    <s v=" 12026.2214 "/>
    <s v=" 40.4856 "/>
    <x v="0"/>
    <n v="486889"/>
    <m/>
    <m/>
  </r>
  <r>
    <x v="5"/>
    <x v="6"/>
    <s v="C:\Users\andre\Desktop\REACTIV CEFAS\Fadrozole\Fadrozole/20201217_Cefas_Test10_Run1/Plate 1/@16/F12_04.tif "/>
    <s v=" 10122.7907 "/>
    <s v=" 42.0214 "/>
    <x v="0"/>
    <n v="425374"/>
    <m/>
    <m/>
  </r>
  <r>
    <x v="5"/>
    <x v="7"/>
    <s v="C:\Users\andre\Desktop\REACTIV CEFAS\Fadrozole\Fadrozole/20201217_Cefas_Test10_Run1/Plate 1/@16/G12_01- exclu.tif"/>
    <m/>
    <m/>
    <x v="1"/>
    <m/>
    <m/>
    <m/>
  </r>
  <r>
    <x v="5"/>
    <x v="7"/>
    <s v="C:\Users\andre\Desktop\REACTIV CEFAS\Fadrozole\Fadrozole/20201217_Cefas_Test10_Run1/Plate 1/@16/G12_02.tif "/>
    <s v=" 7224.3848 "/>
    <s v=" 37.6916 "/>
    <x v="0"/>
    <n v="272299"/>
    <m/>
    <m/>
  </r>
  <r>
    <x v="5"/>
    <x v="7"/>
    <s v="C:\Users\andre\Desktop\REACTIV CEFAS\Fadrozole\Fadrozole/20201217_Cefas_Test10_Run1/Plate 1/@16/G12_03.tif "/>
    <s v=" 4001.5305 "/>
    <s v=" 32.7027 "/>
    <x v="0"/>
    <n v="130861"/>
    <m/>
    <m/>
  </r>
  <r>
    <x v="5"/>
    <x v="7"/>
    <s v="C:\Users\andre\Desktop\REACTIV CEFAS\Fadrozole\Fadrozole/20201217_Cefas_Test10_Run1/Plate 1/@16/G12_04.tif "/>
    <s v=" 7592.093 "/>
    <s v=" 36.5071 "/>
    <x v="0"/>
    <n v="277165"/>
    <m/>
    <m/>
  </r>
  <r>
    <x v="5"/>
    <x v="8"/>
    <s v="C:\Users\andre\Desktop\REACTIV CEFAS\Fadrozole\Fadrozole/20201217_Cefas_Test10_Run1/Plate 1/@16/H12_01.tif "/>
    <s v=" 5926.5911 "/>
    <s v=" 42.5292 "/>
    <x v="0"/>
    <n v="252053"/>
    <m/>
    <m/>
  </r>
  <r>
    <x v="5"/>
    <x v="8"/>
    <s v="C:\Users\andre\Desktop\REACTIV CEFAS\Fadrozole\Fadrozole/20201217_Cefas_Test10_Run1/Plate 1/@16/H12_02.tif "/>
    <s v=" 2271.1389 "/>
    <s v=" 35.3524 "/>
    <x v="0"/>
    <n v="80290"/>
    <m/>
    <m/>
  </r>
  <r>
    <x v="5"/>
    <x v="8"/>
    <s v="C:\Users\andre\Desktop\REACTIV CEFAS\Fadrozole\Fadrozole/20201217_Cefas_Test10_Run1/Plate 1/@16/H12_03.tif "/>
    <s v=" 194.6691 "/>
    <s v=" 31.2222 "/>
    <x v="0"/>
    <n v="6078"/>
    <m/>
    <m/>
  </r>
  <r>
    <x v="5"/>
    <x v="8"/>
    <s v="C:\Users\andre\Desktop\REACTIV CEFAS\Fadrozole\Fadrozole/20201217_Cefas_Test10_Run1/Plate 1/@16/H12_04.tif "/>
    <s v=" 4455.7583 "/>
    <s v=" 37.8495 "/>
    <x v="0"/>
    <n v="168648"/>
    <m/>
    <m/>
  </r>
  <r>
    <x v="0"/>
    <x v="0"/>
    <s v=" "/>
    <m/>
    <m/>
    <x v="1"/>
    <m/>
    <m/>
    <m/>
  </r>
  <r>
    <x v="0"/>
    <x v="0"/>
    <s v="group "/>
    <s v=" "/>
    <s v=" mean of mean fluo "/>
    <x v="2"/>
    <s v=" mean of total fluo "/>
    <s v=" SD total fluo "/>
    <m/>
  </r>
  <r>
    <x v="5"/>
    <x v="9"/>
    <s v="C:\Users\andre\Desktop\REACTIV CEFAS\Fadrozole\Fadrozole/20201217_Cefas_Test10_Run1/Plate 1/@16/ "/>
    <s v=" "/>
    <s v=" 33.9067 "/>
    <x v="7"/>
    <s v=" 228294.062 "/>
    <s v=" 177529.229 "/>
    <m/>
  </r>
  <r>
    <x v="0"/>
    <x v="0"/>
    <s v=" "/>
    <m/>
    <m/>
    <x v="1"/>
    <m/>
    <m/>
    <m/>
  </r>
  <r>
    <x v="0"/>
    <x v="0"/>
    <s v=" "/>
    <m/>
    <m/>
    <x v="1"/>
    <m/>
    <m/>
    <m/>
  </r>
  <r>
    <x v="0"/>
    <x v="0"/>
    <s v=" "/>
    <m/>
    <m/>
    <x v="1"/>
    <m/>
    <m/>
    <m/>
  </r>
  <r>
    <x v="0"/>
    <x v="0"/>
    <s v=" "/>
    <m/>
    <m/>
    <x v="1"/>
    <m/>
    <m/>
    <m/>
  </r>
  <r>
    <x v="0"/>
    <x v="0"/>
    <s v=" "/>
    <m/>
    <m/>
    <x v="1"/>
    <m/>
    <m/>
    <m/>
  </r>
  <r>
    <x v="0"/>
    <x v="0"/>
    <s v="file name "/>
    <s v=" total area "/>
    <s v=" mean intensity "/>
    <x v="0"/>
    <s v=" total fluorescence"/>
    <m/>
    <m/>
  </r>
  <r>
    <x v="6"/>
    <x v="1"/>
    <s v="C:\Users\andre\Desktop\REACTIV CEFAS\Fadrozole\Fadrozole/20201217_Cefas_Test10_Run1/Plate 1/@2/A2_01.tif "/>
    <s v=" 11009.6164 "/>
    <s v=" 40.3929 "/>
    <x v="0"/>
    <n v="444711"/>
    <m/>
    <m/>
  </r>
  <r>
    <x v="6"/>
    <x v="1"/>
    <s v="C:\Users\andre\Desktop\REACTIV CEFAS\Fadrozole\Fadrozole/20201217_Cefas_Test10_Run1/Plate 1/@2/A2_02.tif "/>
    <s v=" 11680.1431 "/>
    <s v=" 37.0463 "/>
    <x v="0"/>
    <n v="432706"/>
    <m/>
    <m/>
  </r>
  <r>
    <x v="6"/>
    <x v="1"/>
    <s v="C:\Users\andre\Desktop\REACTIV CEFAS\Fadrozole\Fadrozole/20201217_Cefas_Test10_Run1/Plate 1/@2/A2_03.tif "/>
    <s v=" 11788.2926 "/>
    <s v=" 38.6367 "/>
    <x v="0"/>
    <n v="455461"/>
    <m/>
    <m/>
  </r>
  <r>
    <x v="6"/>
    <x v="1"/>
    <s v="C:\Users\andre\Desktop\REACTIV CEFAS\Fadrozole\Fadrozole/20201217_Cefas_Test10_Run1/Plate 1/@2/A2_04.tif "/>
    <s v=" 1903.4307 "/>
    <s v=" 32.5455 "/>
    <x v="0"/>
    <n v="61948"/>
    <m/>
    <m/>
  </r>
  <r>
    <x v="6"/>
    <x v="2"/>
    <s v="C:\Users\andre\Desktop\REACTIV CEFAS\Fadrozole\Fadrozole/20201217_Cefas_Test10_Run1/Plate 1/@2/B2_01.tif "/>
    <s v=" 2054.84 "/>
    <s v=" 34.8737 "/>
    <x v="0"/>
    <n v="71660"/>
    <m/>
    <m/>
  </r>
  <r>
    <x v="6"/>
    <x v="2"/>
    <s v="C:\Users\andre\Desktop\REACTIV CEFAS\Fadrozole\Fadrozole/20201217_Cefas_Test10_Run1/Plate 1/@2/B2_02.tif "/>
    <s v=" 10057.901 "/>
    <s v=" 37.0387 "/>
    <x v="0"/>
    <n v="372532"/>
    <m/>
    <m/>
  </r>
  <r>
    <x v="6"/>
    <x v="2"/>
    <s v="C:\Users\andre\Desktop\REACTIV CEFAS\Fadrozole\Fadrozole/20201217_Cefas_Test10_Run1/Plate 1/@2/B2_03.tif "/>
    <s v=" 6445.7086 "/>
    <s v=" 36.1611 "/>
    <x v="0"/>
    <n v="233084"/>
    <m/>
    <m/>
  </r>
  <r>
    <x v="6"/>
    <x v="2"/>
    <s v="C:\Users\andre\Desktop\REACTIV CEFAS\Fadrozole\Fadrozole/20201217_Cefas_Test10_Run1/Plate 1/@2/B2_04.tif "/>
    <s v=" 7029.7158 "/>
    <s v=" 38.0369 "/>
    <x v="0"/>
    <n v="267389"/>
    <m/>
    <m/>
  </r>
  <r>
    <x v="6"/>
    <x v="3"/>
    <s v="C:\Users\andre\Desktop\REACTIV CEFAS\Fadrozole\Fadrozole/20201217_Cefas_Test10_Run1/Plate 1/@2/C2_01.tif "/>
    <s v=" 16308.9406 "/>
    <s v=" 33.6446 "/>
    <x v="0"/>
    <n v="548707"/>
    <m/>
    <m/>
  </r>
  <r>
    <x v="6"/>
    <x v="3"/>
    <s v="C:\Users\andre\Desktop\REACTIV CEFAS\Fadrozole\Fadrozole/20201217_Cefas_Test10_Run1/Plate 1/@2/C2_02- exclu.tif"/>
    <m/>
    <m/>
    <x v="1"/>
    <m/>
    <m/>
    <m/>
  </r>
  <r>
    <x v="6"/>
    <x v="3"/>
    <s v="C:\Users\andre\Desktop\REACTIV CEFAS\Fadrozole\Fadrozole/20201217_Cefas_Test10_Run1/Plate 1/@2/C2_03.tif "/>
    <s v=" 14729.9582 "/>
    <s v=" 33.0455 "/>
    <x v="0"/>
    <n v="486759"/>
    <m/>
    <m/>
  </r>
  <r>
    <x v="6"/>
    <x v="3"/>
    <s v="C:\Users\andre\Desktop\REACTIV CEFAS\Fadrozole\Fadrozole/20201217_Cefas_Test10_Run1/Plate 1/@2/C2_04.tif "/>
    <s v=" 13648.4635 "/>
    <s v=" 32.7258 "/>
    <x v="0"/>
    <n v="446657"/>
    <m/>
    <m/>
  </r>
  <r>
    <x v="6"/>
    <x v="4"/>
    <s v="C:\Users\andre\Desktop\REACTIV CEFAS\Fadrozole\Fadrozole/20201217_Cefas_Test10_Run1/Plate 1/@2/D2_01.tif "/>
    <s v=" 9127.8155 "/>
    <s v=" 32.7322 "/>
    <x v="0"/>
    <n v="298774"/>
    <m/>
    <m/>
  </r>
  <r>
    <x v="6"/>
    <x v="4"/>
    <s v="C:\Users\andre\Desktop\REACTIV CEFAS\Fadrozole\Fadrozole/20201217_Cefas_Test10_Run1/Plate 1/@2/D2_02.tif "/>
    <s v=" 14665.0686 "/>
    <s v=" 33.9867 "/>
    <x v="0"/>
    <n v="498418"/>
    <m/>
    <m/>
  </r>
  <r>
    <x v="6"/>
    <x v="4"/>
    <s v="C:\Users\andre\Desktop\REACTIV CEFAS\Fadrozole\Fadrozole/20201217_Cefas_Test10_Run1/Plate 1/@2/D2_03.tif "/>
    <s v=" 19380.3856 "/>
    <s v=" 35.9509 "/>
    <x v="0"/>
    <n v="696742"/>
    <m/>
    <m/>
  </r>
  <r>
    <x v="6"/>
    <x v="4"/>
    <s v="C:\Users\andre\Desktop\REACTIV CEFAS\Fadrozole\Fadrozole/20201217_Cefas_Test10_Run1/Plate 1/@2/D2_04.tif "/>
    <s v=" 9949.7515 "/>
    <s v=" 33.213 "/>
    <x v="0"/>
    <n v="330462"/>
    <m/>
    <m/>
  </r>
  <r>
    <x v="6"/>
    <x v="5"/>
    <s v="C:\Users\andre\Desktop\REACTIV CEFAS\Fadrozole\Fadrozole/20201217_Cefas_Test10_Run1/Plate 1/@2/E2_01.tif "/>
    <s v=" 5212.8046 "/>
    <s v=" 39.1203 "/>
    <x v="0"/>
    <n v="203927"/>
    <m/>
    <m/>
  </r>
  <r>
    <x v="6"/>
    <x v="5"/>
    <s v="C:\Users\andre\Desktop\REACTIV CEFAS\Fadrozole\Fadrozole/20201217_Cefas_Test10_Run1/Plate 1/@2/E2_02.tif "/>
    <s v=" 8089.5806 "/>
    <s v=" 39.9465 "/>
    <x v="0"/>
    <n v="323151"/>
    <m/>
    <m/>
  </r>
  <r>
    <x v="6"/>
    <x v="5"/>
    <s v="C:\Users\andre\Desktop\REACTIV CEFAS\Fadrozole\Fadrozole/20201217_Cefas_Test10_Run1/Plate 1/@2/E2_03.tif "/>
    <s v=" 4866.7263 "/>
    <s v=" 37.5956 "/>
    <x v="0"/>
    <n v="182967"/>
    <m/>
    <m/>
  </r>
  <r>
    <x v="6"/>
    <x v="5"/>
    <s v="C:\Users\andre\Desktop\REACTIV CEFAS\Fadrozole\Fadrozole/20201217_Cefas_Test10_Run1/Plate 1/@2/E2_04- exclu.tif"/>
    <m/>
    <m/>
    <x v="1"/>
    <m/>
    <m/>
    <m/>
  </r>
  <r>
    <x v="6"/>
    <x v="6"/>
    <s v="C:\Users\andre\Desktop\REACTIV CEFAS\Fadrozole\Fadrozole/20201217_Cefas_Test10_Run1/Plate 1/@2/F2_01.tif "/>
    <s v=" 24030.8129 "/>
    <s v=" 33.6427 "/>
    <x v="0"/>
    <n v="808461"/>
    <m/>
    <m/>
  </r>
  <r>
    <x v="6"/>
    <x v="6"/>
    <s v="C:\Users\andre\Desktop\REACTIV CEFAS\Fadrozole\Fadrozole/20201217_Cefas_Test10_Run1/Plate 1/@2/F2_02.tif "/>
    <s v=" 32142.0234 "/>
    <s v=" 35.8291 "/>
    <x v="0"/>
    <n v="1151619"/>
    <m/>
    <m/>
  </r>
  <r>
    <x v="6"/>
    <x v="6"/>
    <s v="C:\Users\andre\Desktop\REACTIV CEFAS\Fadrozole\Fadrozole/20201217_Cefas_Test10_Run1/Plate 1/@2/F2_03.tif "/>
    <s v=" 24485.0407 "/>
    <s v=" 35.0168 "/>
    <x v="0"/>
    <n v="857387"/>
    <m/>
    <m/>
  </r>
  <r>
    <x v="6"/>
    <x v="6"/>
    <s v="C:\Users\andre\Desktop\REACTIV CEFAS\Fadrozole\Fadrozole/20201217_Cefas_Test10_Run1/Plate 1/@2/F2_04.tif "/>
    <s v=" 18212.3713 "/>
    <s v=" 32.0178 "/>
    <x v="0"/>
    <n v="583120"/>
    <m/>
    <m/>
  </r>
  <r>
    <x v="6"/>
    <x v="7"/>
    <s v="C:\Users\andre\Desktop\REACTIV CEFAS\Fadrozole\Fadrozole/20201217_Cefas_Test10_Run1/Plate 1/@2/G2_01.tif "/>
    <s v=" 6510.5983 "/>
    <s v=" 42.2492 "/>
    <x v="0"/>
    <n v="275067"/>
    <m/>
    <m/>
  </r>
  <r>
    <x v="6"/>
    <x v="7"/>
    <s v="C:\Users\andre\Desktop\REACTIV CEFAS\Fadrozole\Fadrozole/20201217_Cefas_Test10_Run1/Plate 1/@2/G2_02.tif "/>
    <s v=" 8003.061 "/>
    <s v=" 40.2811 "/>
    <x v="0"/>
    <n v="322372"/>
    <m/>
    <m/>
  </r>
  <r>
    <x v="6"/>
    <x v="7"/>
    <s v="C:\Users\andre\Desktop\REACTIV CEFAS\Fadrozole\Fadrozole/20201217_Cefas_Test10_Run1/Plate 1/@2/G2_03.tif "/>
    <s v=" 2984.9255 "/>
    <s v=" 36.7681 "/>
    <x v="0"/>
    <n v="109750"/>
    <m/>
    <m/>
  </r>
  <r>
    <x v="6"/>
    <x v="7"/>
    <s v="C:\Users\andre\Desktop\REACTIV CEFAS\Fadrozole\Fadrozole/20201217_Cefas_Test10_Run1/Plate 1/@2/G2_04.tif "/>
    <s v=" 13432.1646 "/>
    <s v=" 36.7214 "/>
    <x v="0"/>
    <n v="493248"/>
    <m/>
    <m/>
  </r>
  <r>
    <x v="6"/>
    <x v="8"/>
    <s v="C:\Users\andre\Desktop\REACTIV CEFAS\Fadrozole\Fadrozole/20201217_Cefas_Test10_Run1/Plate 1/@2/H2_01.tif "/>
    <s v=" 9755.0825 "/>
    <s v=" 42.133 "/>
    <x v="0"/>
    <n v="411011"/>
    <m/>
    <m/>
  </r>
  <r>
    <x v="6"/>
    <x v="8"/>
    <s v="C:\Users\andre\Desktop\REACTIV CEFAS\Fadrozole\Fadrozole/20201217_Cefas_Test10_Run1/Plate 1/@2/H2_02.tif "/>
    <s v=" 9344.1145 "/>
    <s v=" 44.7176 "/>
    <x v="0"/>
    <n v="417846"/>
    <m/>
    <m/>
  </r>
  <r>
    <x v="6"/>
    <x v="8"/>
    <s v="C:\Users\andre\Desktop\REACTIV CEFAS\Fadrozole\Fadrozole/20201217_Cefas_Test10_Run1/Plate 1/@2/H2_03- exclu.tif"/>
    <m/>
    <m/>
    <x v="1"/>
    <m/>
    <m/>
    <m/>
  </r>
  <r>
    <x v="6"/>
    <x v="8"/>
    <s v="C:\Users\andre\Desktop\REACTIV CEFAS\Fadrozole\Fadrozole/20201217_Cefas_Test10_Run1/Plate 1/@2/H2_04- exclu.tif"/>
    <m/>
    <m/>
    <x v="1"/>
    <m/>
    <m/>
    <m/>
  </r>
  <r>
    <x v="0"/>
    <x v="0"/>
    <s v=" "/>
    <m/>
    <m/>
    <x v="1"/>
    <m/>
    <m/>
    <m/>
  </r>
  <r>
    <x v="0"/>
    <x v="0"/>
    <s v="group "/>
    <s v=" "/>
    <s v=" mean of mean fluo "/>
    <x v="2"/>
    <s v=" mean of total fluo "/>
    <s v=" SD total fluo "/>
    <m/>
  </r>
  <r>
    <x v="6"/>
    <x v="9"/>
    <s v="C:\Users\andre\Desktop\REACTIV CEFAS\Fadrozole\Fadrozole/20201217_Cefas_Test10_Run1/Plate 1/@2/ "/>
    <s v=" "/>
    <s v=" 36.7614 "/>
    <x v="8"/>
    <s v=" 417511.719 "/>
    <s v=" 261468.016 "/>
    <m/>
  </r>
  <r>
    <x v="0"/>
    <x v="0"/>
    <s v=" "/>
    <m/>
    <m/>
    <x v="1"/>
    <m/>
    <m/>
    <m/>
  </r>
  <r>
    <x v="0"/>
    <x v="0"/>
    <s v=" "/>
    <m/>
    <m/>
    <x v="1"/>
    <m/>
    <m/>
    <m/>
  </r>
  <r>
    <x v="0"/>
    <x v="0"/>
    <s v=" "/>
    <m/>
    <m/>
    <x v="1"/>
    <m/>
    <m/>
    <m/>
  </r>
  <r>
    <x v="0"/>
    <x v="0"/>
    <s v=" "/>
    <m/>
    <m/>
    <x v="1"/>
    <m/>
    <m/>
    <m/>
  </r>
  <r>
    <x v="0"/>
    <x v="0"/>
    <s v=" "/>
    <m/>
    <m/>
    <x v="1"/>
    <m/>
    <m/>
    <m/>
  </r>
  <r>
    <x v="0"/>
    <x v="0"/>
    <s v="file name "/>
    <s v=" total area "/>
    <s v=" mean intensity "/>
    <x v="0"/>
    <s v=" total fluorescence"/>
    <m/>
    <m/>
  </r>
  <r>
    <x v="7"/>
    <x v="1"/>
    <s v="C:\Users\andre\Desktop\REACTIV CEFAS\Fadrozole\Fadrozole/20201217_Cefas_Test10_Run1/Plate 1/@3/A3_01.tif "/>
    <s v=" 15205.8159 "/>
    <s v=" 34.4381 "/>
    <x v="0"/>
    <n v="523660"/>
    <m/>
    <m/>
  </r>
  <r>
    <x v="7"/>
    <x v="1"/>
    <s v="C:\Users\andre\Desktop\REACTIV CEFAS\Fadrozole\Fadrozole/20201217_Cefas_Test10_Run1/Plate 1/@3/A3_02.tif "/>
    <s v=" 9127.8155 "/>
    <s v=" 34.9479 "/>
    <x v="0"/>
    <n v="318998"/>
    <m/>
    <m/>
  </r>
  <r>
    <x v="7"/>
    <x v="1"/>
    <s v="C:\Users\andre\Desktop\REACTIV CEFAS\Fadrozole\Fadrozole/20201217_Cefas_Test10_Run1/Plate 1/@3/A3_03.tif "/>
    <s v=" 16590.1292 "/>
    <s v=" 35.5111 "/>
    <x v="0"/>
    <n v="589133"/>
    <m/>
    <m/>
  </r>
  <r>
    <x v="7"/>
    <x v="1"/>
    <s v="C:\Users\andre\Desktop\REACTIV CEFAS\Fadrozole\Fadrozole/20201217_Cefas_Test10_Run1/Plate 1/@3/A3_04.tif "/>
    <s v=" 13756.613 "/>
    <s v=" 33.1855 "/>
    <x v="0"/>
    <n v="456521"/>
    <m/>
    <m/>
  </r>
  <r>
    <x v="7"/>
    <x v="2"/>
    <s v="C:\Users\andre\Desktop\REACTIV CEFAS\Fadrozole\Fadrozole/20201217_Cefas_Test10_Run1/Plate 1/@3/B3_01.tif "/>
    <s v=" 10230.9402 "/>
    <s v=" 37.1036 "/>
    <x v="0"/>
    <n v="379605"/>
    <m/>
    <m/>
  </r>
  <r>
    <x v="7"/>
    <x v="2"/>
    <s v="C:\Users\andre\Desktop\REACTIV CEFAS\Fadrozole\Fadrozole/20201217_Cefas_Test10_Run1/Plate 1/@3/B3_02.tif "/>
    <s v=" 10641.9082 "/>
    <s v=" 37.6829 "/>
    <x v="0"/>
    <n v="401018"/>
    <m/>
    <m/>
  </r>
  <r>
    <x v="7"/>
    <x v="2"/>
    <s v="C:\Users\andre\Desktop\REACTIV CEFAS\Fadrozole\Fadrozole/20201217_Cefas_Test10_Run1/Plate 1/@3/B3_03.tif "/>
    <s v=" 13540.314 "/>
    <s v=" 37.6182 "/>
    <x v="0"/>
    <n v="509362"/>
    <m/>
    <m/>
  </r>
  <r>
    <x v="7"/>
    <x v="2"/>
    <s v="C:\Users\andre\Desktop\REACTIV CEFAS\Fadrozole\Fadrozole/20201217_Cefas_Test10_Run1/Plate 1/@3/B3_04.tif "/>
    <s v=" 12848.1574 "/>
    <s v=" 35.7374 "/>
    <x v="0"/>
    <n v="459159"/>
    <m/>
    <m/>
  </r>
  <r>
    <x v="7"/>
    <x v="3"/>
    <s v="C:\Users\andre\Desktop\REACTIV CEFAS\Fadrozole\Fadrozole/20201217_Cefas_Test10_Run1/Plate 1/@3/C3_01.tif "/>
    <s v=" 108.1495 "/>
    <s v=" 30.6 "/>
    <x v="0"/>
    <n v="3309"/>
    <m/>
    <m/>
  </r>
  <r>
    <x v="7"/>
    <x v="3"/>
    <s v="C:\Users\andre\Desktop\REACTIV CEFAS\Fadrozole\Fadrozole/20201217_Cefas_Test10_Run1/Plate 1/@3/C3_02.tif "/>
    <s v=" 8630.328 "/>
    <s v=" 45.203 "/>
    <x v="0"/>
    <n v="390117"/>
    <m/>
    <m/>
  </r>
  <r>
    <x v="7"/>
    <x v="3"/>
    <s v="C:\Users\andre\Desktop\REACTIV CEFAS\Fadrozole\Fadrozole/20201217_Cefas_Test10_Run1/Plate 1/@3/C3_03- exclu.tif"/>
    <m/>
    <m/>
    <x v="1"/>
    <m/>
    <m/>
    <m/>
  </r>
  <r>
    <x v="7"/>
    <x v="3"/>
    <s v="C:\Users\andre\Desktop\REACTIV CEFAS\Fadrozole\Fadrozole/20201217_Cefas_Test10_Run1/Plate 1/@3/C3_04- exclu.tif"/>
    <m/>
    <m/>
    <x v="1"/>
    <m/>
    <m/>
    <m/>
  </r>
  <r>
    <x v="7"/>
    <x v="4"/>
    <s v="C:\Users\andre\Desktop\REACTIV CEFAS\Fadrozole\Fadrozole/20201217_Cefas_Test10_Run1/Plate 1/@3/D3_01.tif "/>
    <s v=" 5710.2922 "/>
    <s v=" 41.6477 "/>
    <x v="0"/>
    <n v="237821"/>
    <m/>
    <m/>
  </r>
  <r>
    <x v="7"/>
    <x v="4"/>
    <s v="C:\Users\andre\Desktop\REACTIV CEFAS\Fadrozole\Fadrozole/20201217_Cefas_Test10_Run1/Plate 1/@3/D3_02.tif "/>
    <s v=" 6575.488 "/>
    <s v=" 39.8882 "/>
    <x v="0"/>
    <n v="262284"/>
    <m/>
    <m/>
  </r>
  <r>
    <x v="7"/>
    <x v="4"/>
    <s v="C:\Users\andre\Desktop\REACTIV CEFAS\Fadrozole\Fadrozole/20201217_Cefas_Test10_Run1/Plate 1/@3/D3_03.tif "/>
    <s v=" 389.3381 "/>
    <s v=" 31.4444 "/>
    <x v="0"/>
    <n v="12243"/>
    <m/>
    <m/>
  </r>
  <r>
    <x v="7"/>
    <x v="4"/>
    <s v="C:\Users\andre\Desktop\REACTIV CEFAS\Fadrozole\Fadrozole/20201217_Cefas_Test10_Run1/Plate 1/@3/D3_04.tif "/>
    <s v=" 5104.6551 "/>
    <s v=" 43.661 "/>
    <x v="0"/>
    <n v="222874"/>
    <m/>
    <m/>
  </r>
  <r>
    <x v="7"/>
    <x v="5"/>
    <s v="C:\Users\andre\Desktop\REACTIV CEFAS\Fadrozole\Fadrozole/20201217_Cefas_Test10_Run1/Plate 1/@3/E3_01.tif "/>
    <s v=" 8219.36 "/>
    <s v=" 40.3105 "/>
    <x v="0"/>
    <n v="331327"/>
    <m/>
    <m/>
  </r>
  <r>
    <x v="7"/>
    <x v="5"/>
    <s v="C:\Users\andre\Desktop\REACTIV CEFAS\Fadrozole\Fadrozole/20201217_Cefas_Test10_Run1/Plate 1/@3/E3_02.tif "/>
    <s v=" 8522.1785 "/>
    <s v=" 40.9239 "/>
    <x v="0"/>
    <n v="348760"/>
    <m/>
    <m/>
  </r>
  <r>
    <x v="7"/>
    <x v="5"/>
    <s v="C:\Users\andre\Desktop\REACTIV CEFAS\Fadrozole\Fadrozole/20201217_Cefas_Test10_Run1/Plate 1/@3/E3_03.tif "/>
    <s v=" 12761.6378 "/>
    <s v=" 39.2373 "/>
    <x v="0"/>
    <n v="500732"/>
    <m/>
    <m/>
  </r>
  <r>
    <x v="7"/>
    <x v="5"/>
    <s v="C:\Users\andre\Desktop\REACTIV CEFAS\Fadrozole\Fadrozole/20201217_Cefas_Test10_Run1/Plate 1/@3/E3_04.tif "/>
    <s v=" 9019.6661 "/>
    <s v=" 41.6835 "/>
    <x v="0"/>
    <n v="375971"/>
    <m/>
    <m/>
  </r>
  <r>
    <x v="7"/>
    <x v="6"/>
    <s v="C:\Users\andre\Desktop\REACTIV CEFAS\Fadrozole\Fadrozole/20201217_Cefas_Test10_Run1/Plate 1/@3/F3_01.tif "/>
    <s v=" 12199.2606 "/>
    <s v=" 40.2979 "/>
    <x v="0"/>
    <n v="491604"/>
    <m/>
    <m/>
  </r>
  <r>
    <x v="7"/>
    <x v="6"/>
    <s v="C:\Users\andre\Desktop\REACTIV CEFAS\Fadrozole\Fadrozole/20201217_Cefas_Test10_Run1/Plate 1/@3/F3_02.tif "/>
    <s v=" 8392.3991 "/>
    <s v=" 39.0515 "/>
    <x v="0"/>
    <n v="327736"/>
    <m/>
    <m/>
  </r>
  <r>
    <x v="7"/>
    <x v="6"/>
    <s v="C:\Users\andre\Desktop\REACTIV CEFAS\Fadrozole\Fadrozole/20201217_Cefas_Test10_Run1/Plate 1/@3/F3_03.tif "/>
    <s v=" 9733.4526 "/>
    <s v=" 40.6933 "/>
    <x v="0"/>
    <n v="396087"/>
    <m/>
    <m/>
  </r>
  <r>
    <x v="7"/>
    <x v="6"/>
    <s v="C:\Users\andre\Desktop\REACTIV CEFAS\Fadrozole\Fadrozole/20201217_Cefas_Test10_Run1/Plate 1/@3/F3_04.tif "/>
    <s v=" 4823.4665 "/>
    <s v=" 40.4619 "/>
    <x v="0"/>
    <n v="195167"/>
    <m/>
    <m/>
  </r>
  <r>
    <x v="7"/>
    <x v="7"/>
    <s v="C:\Users\andre\Desktop\REACTIV CEFAS\Fadrozole\Fadrozole/20201217_Cefas_Test10_Run1/Plate 1/@3/G3_01.tif "/>
    <s v=" 1016.605 "/>
    <s v=" 33.1277 "/>
    <x v="0"/>
    <n v="33678"/>
    <m/>
    <m/>
  </r>
  <r>
    <x v="7"/>
    <x v="7"/>
    <s v="C:\Users\andre\Desktop\REACTIV CEFAS\Fadrozole\Fadrozole/20201217_Cefas_Test10_Run1/Plate 1/@3/G3_02.tif "/>
    <s v=" 389.3381 "/>
    <n v="31"/>
    <x v="0"/>
    <n v="12069"/>
    <m/>
    <m/>
  </r>
  <r>
    <x v="7"/>
    <x v="7"/>
    <s v="C:\Users\andre\Desktop\REACTIV CEFAS\Fadrozole\Fadrozole/20201217_Cefas_Test10_Run1/Plate 1/@3/G3_03.tif "/>
    <s v=" 21.6299 "/>
    <n v="30"/>
    <x v="0"/>
    <n v="649"/>
    <m/>
    <m/>
  </r>
  <r>
    <x v="7"/>
    <x v="7"/>
    <s v="C:\Users\andre\Desktop\REACTIV CEFAS\Fadrozole\Fadrozole/20201217_Cefas_Test10_Run1/Plate 1/@3/G3_04.tif "/>
    <s v=" 8998.0362 "/>
    <s v=" 43.5216 "/>
    <x v="0"/>
    <n v="391609"/>
    <m/>
    <m/>
  </r>
  <r>
    <x v="7"/>
    <x v="8"/>
    <s v="C:\Users\andre\Desktop\REACTIV CEFAS\Fadrozole\Fadrozole/20201217_Cefas_Test10_Run1/Plate 1/@3/H3_01.tif "/>
    <s v=" 9149.4454 "/>
    <s v=" 38.8605 "/>
    <x v="0"/>
    <n v="355552"/>
    <m/>
    <m/>
  </r>
  <r>
    <x v="7"/>
    <x v="8"/>
    <s v="C:\Users\andre\Desktop\REACTIV CEFAS\Fadrozole\Fadrozole/20201217_Cefas_Test10_Run1/Plate 1/@3/H3_02.tif "/>
    <s v=" 10533.7587 "/>
    <s v=" 39.2238 "/>
    <x v="0"/>
    <n v="413174"/>
    <m/>
    <m/>
  </r>
  <r>
    <x v="7"/>
    <x v="8"/>
    <s v="C:\Users\andre\Desktop\REACTIV CEFAS\Fadrozole\Fadrozole/20201217_Cefas_Test10_Run1/Plate 1/@3/H3_03.tif "/>
    <s v=" 13150.9759 "/>
    <s v=" 39.2105 "/>
    <x v="0"/>
    <n v="515657"/>
    <m/>
    <m/>
  </r>
  <r>
    <x v="7"/>
    <x v="8"/>
    <s v="C:\Users\andre\Desktop\REACTIV CEFAS\Fadrozole\Fadrozole/20201217_Cefas_Test10_Run1/Plate 1/@3/H3_04.tif "/>
    <s v=" 519.1175 "/>
    <s v=" 30.625 "/>
    <x v="0"/>
    <n v="15898"/>
    <m/>
    <m/>
  </r>
  <r>
    <x v="0"/>
    <x v="0"/>
    <s v=" "/>
    <m/>
    <m/>
    <x v="1"/>
    <m/>
    <m/>
    <m/>
  </r>
  <r>
    <x v="0"/>
    <x v="0"/>
    <s v="group "/>
    <s v=" "/>
    <s v=" mean of mean fluo "/>
    <x v="2"/>
    <s v=" mean of total fluo "/>
    <s v=" SD total fluo "/>
    <m/>
  </r>
  <r>
    <x v="7"/>
    <x v="9"/>
    <s v="C:\Users\andre\Desktop\REACTIV CEFAS\Fadrozole\Fadrozole/20201217_Cefas_Test10_Run1/Plate 1/@3/ "/>
    <s v=" "/>
    <s v=" 37.1492 "/>
    <x v="9"/>
    <s v=" 299284.719 "/>
    <s v=" 185200.074 "/>
    <m/>
  </r>
  <r>
    <x v="0"/>
    <x v="0"/>
    <s v=" "/>
    <m/>
    <m/>
    <x v="1"/>
    <m/>
    <m/>
    <m/>
  </r>
  <r>
    <x v="0"/>
    <x v="0"/>
    <s v=" "/>
    <m/>
    <m/>
    <x v="1"/>
    <m/>
    <m/>
    <m/>
  </r>
  <r>
    <x v="0"/>
    <x v="0"/>
    <s v=" "/>
    <m/>
    <m/>
    <x v="1"/>
    <m/>
    <m/>
    <m/>
  </r>
  <r>
    <x v="0"/>
    <x v="0"/>
    <s v=" "/>
    <m/>
    <m/>
    <x v="1"/>
    <m/>
    <m/>
    <m/>
  </r>
  <r>
    <x v="0"/>
    <x v="0"/>
    <s v=" "/>
    <m/>
    <m/>
    <x v="1"/>
    <m/>
    <m/>
    <m/>
  </r>
  <r>
    <x v="0"/>
    <x v="0"/>
    <s v="file name "/>
    <s v=" total area "/>
    <s v=" mean intensity "/>
    <x v="0"/>
    <s v=" total fluorescence"/>
    <m/>
    <m/>
  </r>
  <r>
    <x v="8"/>
    <x v="1"/>
    <s v="C:\Users\andre\Desktop\REACTIV CEFAS\Fadrozole\Fadrozole/20201217_Cefas_Test10_Run1/Plate 1/@4/A4_01- exclu.tif"/>
    <m/>
    <m/>
    <x v="1"/>
    <m/>
    <m/>
    <m/>
  </r>
  <r>
    <x v="8"/>
    <x v="1"/>
    <s v="C:\Users\andre\Desktop\REACTIV CEFAS\Fadrozole\Fadrozole/20201217_Cefas_Test10_Run1/Plate 1/@4/A4_02- exclu.tif"/>
    <m/>
    <m/>
    <x v="1"/>
    <m/>
    <m/>
    <m/>
  </r>
  <r>
    <x v="8"/>
    <x v="1"/>
    <s v="C:\Users\andre\Desktop\REACTIV CEFAS\Fadrozole\Fadrozole/20201217_Cefas_Test10_Run1/Plate 1/@4/A4_03- exclu.tif"/>
    <m/>
    <m/>
    <x v="1"/>
    <m/>
    <m/>
    <m/>
  </r>
  <r>
    <x v="8"/>
    <x v="1"/>
    <s v="C:\Users\andre\Desktop\REACTIV CEFAS\Fadrozole\Fadrozole/20201217_Cefas_Test10_Run1/Plate 1/@4/A4_04.tif "/>
    <s v=" 17455.325 "/>
    <s v=" 35.4015 "/>
    <x v="0"/>
    <n v="617944"/>
    <m/>
    <m/>
  </r>
  <r>
    <x v="8"/>
    <x v="2"/>
    <s v="C:\Users\andre\Desktop\REACTIV CEFAS\Fadrozole\Fadrozole/20201217_Cefas_Test10_Run1/Plate 1/@4/B4_01.tif "/>
    <s v=" 17260.6559 "/>
    <s v=" 33.6992 "/>
    <x v="0"/>
    <n v="581671"/>
    <m/>
    <m/>
  </r>
  <r>
    <x v="8"/>
    <x v="2"/>
    <s v="C:\Users\andre\Desktop\REACTIV CEFAS\Fadrozole\Fadrozole/20201217_Cefas_Test10_Run1/Plate 1/@4/B4_02- exclu.tif"/>
    <m/>
    <m/>
    <x v="1"/>
    <m/>
    <m/>
    <m/>
  </r>
  <r>
    <x v="8"/>
    <x v="2"/>
    <s v="C:\Users\andre\Desktop\REACTIV CEFAS\Fadrozole\Fadrozole/20201217_Cefas_Test10_Run1/Plate 1/@4/B4_03.tif "/>
    <s v=" 18904.5279 "/>
    <s v=" 33.5915 "/>
    <x v="0"/>
    <n v="635032"/>
    <m/>
    <m/>
  </r>
  <r>
    <x v="8"/>
    <x v="2"/>
    <s v="C:\Users\andre\Desktop\REACTIV CEFAS\Fadrozole\Fadrozole/20201217_Cefas_Test10_Run1/Plate 1/@4/B4_04.tif "/>
    <s v=" 24571.5603 "/>
    <s v=" 33.8477 "/>
    <x v="0"/>
    <n v="831691"/>
    <m/>
    <m/>
  </r>
  <r>
    <x v="8"/>
    <x v="3"/>
    <s v="C:\Users\andre\Desktop\REACTIV CEFAS\Fadrozole\Fadrozole/20201217_Cefas_Test10_Run1/Plate 1/@4/C4_01.tif "/>
    <s v=" 70946.0544 "/>
    <s v=" 46.3034 "/>
    <x v="0"/>
    <n v="3285040"/>
    <m/>
    <m/>
  </r>
  <r>
    <x v="8"/>
    <x v="3"/>
    <s v="C:\Users\andre\Desktop\REACTIV CEFAS\Fadrozole\Fadrozole/20201217_Cefas_Test10_Run1/Plate 1/@4/C4_02.tif "/>
    <s v=" 65798.1395 "/>
    <s v=" 43.4517 "/>
    <x v="0"/>
    <n v="2859039"/>
    <m/>
    <m/>
  </r>
  <r>
    <x v="8"/>
    <x v="3"/>
    <s v="C:\Users\andre\Desktop\REACTIV CEFAS\Fadrozole\Fadrozole/20201217_Cefas_Test10_Run1/Plate 1/@4/C4_03.tif "/>
    <s v=" 65473.691 "/>
    <s v=" 45.5035 "/>
    <x v="0"/>
    <n v="2979280"/>
    <m/>
    <m/>
  </r>
  <r>
    <x v="8"/>
    <x v="3"/>
    <s v="C:\Users\andre\Desktop\REACTIV CEFAS\Fadrozole\Fadrozole/20201217_Cefas_Test10_Run1/Plate 1/@4/C4_04- exclu.tif"/>
    <m/>
    <m/>
    <x v="1"/>
    <m/>
    <m/>
    <m/>
  </r>
  <r>
    <x v="8"/>
    <x v="4"/>
    <s v="C:\Users\andre\Desktop\REACTIV CEFAS\Fadrozole\Fadrozole/20201217_Cefas_Test10_Run1/Plate 1/@4/D4_01.tif "/>
    <s v=" 18644.9692 "/>
    <s v=" 33.1137 "/>
    <x v="0"/>
    <n v="617404"/>
    <m/>
    <m/>
  </r>
  <r>
    <x v="8"/>
    <x v="4"/>
    <s v="C:\Users\andre\Desktop\REACTIV CEFAS\Fadrozole\Fadrozole/20201217_Cefas_Test10_Run1/Plate 1/@4/D4_02.tif "/>
    <s v=" 30498.1514 "/>
    <s v=" 37.0674 "/>
    <x v="0"/>
    <n v="1130486"/>
    <m/>
    <m/>
  </r>
  <r>
    <x v="8"/>
    <x v="4"/>
    <s v="C:\Users\andre\Desktop\REACTIV CEFAS\Fadrozole\Fadrozole/20201217_Cefas_Test10_Run1/Plate 1/@4/D4_03.tif "/>
    <s v=" 32682.7708 "/>
    <s v=" 36.4064 "/>
    <x v="0"/>
    <n v="1189861"/>
    <m/>
    <m/>
  </r>
  <r>
    <x v="8"/>
    <x v="4"/>
    <s v="C:\Users\andre\Desktop\REACTIV CEFAS\Fadrozole\Fadrozole/20201217_Cefas_Test10_Run1/Plate 1/@4/D4_04.tif "/>
    <s v=" 39777.3762 "/>
    <s v=" 36.6476 "/>
    <x v="0"/>
    <n v="1457747"/>
    <m/>
    <m/>
  </r>
  <r>
    <x v="8"/>
    <x v="5"/>
    <s v="C:\Users\andre\Desktop\REACTIV CEFAS\Fadrozole\Fadrozole/20201217_Cefas_Test10_Run1/Plate 1/@4/E4_01.tif "/>
    <s v=" 17239.026 "/>
    <s v=" 33.1857 "/>
    <x v="0"/>
    <n v="572089"/>
    <m/>
    <m/>
  </r>
  <r>
    <x v="8"/>
    <x v="5"/>
    <s v="C:\Users\andre\Desktop\REACTIV CEFAS\Fadrozole\Fadrozole/20201217_Cefas_Test10_Run1/Plate 1/@4/E4_02.tif "/>
    <s v=" 29546.4361 "/>
    <s v=" 33.8675 "/>
    <x v="0"/>
    <n v="1000664"/>
    <m/>
    <m/>
  </r>
  <r>
    <x v="8"/>
    <x v="5"/>
    <s v="C:\Users\andre\Desktop\REACTIV CEFAS\Fadrozole\Fadrozole/20201217_Cefas_Test10_Run1/Plate 1/@4/E4_03.tif "/>
    <s v=" 38847.2908 "/>
    <s v=" 33.4532 "/>
    <x v="0"/>
    <n v="1299567"/>
    <m/>
    <m/>
  </r>
  <r>
    <x v="8"/>
    <x v="5"/>
    <s v="C:\Users\andre\Desktop\REACTIV CEFAS\Fadrozole\Fadrozole/20201217_Cefas_Test10_Run1/Plate 1/@4/E4_04.tif "/>
    <s v=" 36251.7034 "/>
    <s v=" 34.8455 "/>
    <x v="0"/>
    <n v="1263207"/>
    <m/>
    <m/>
  </r>
  <r>
    <x v="8"/>
    <x v="6"/>
    <s v="C:\Users\andre\Desktop\REACTIV CEFAS\Fadrozole\Fadrozole/20201217_Cefas_Test10_Run1/Plate 1/@4/F4_01.tif "/>
    <s v=" 302.8185 "/>
    <s v=" 31.3571 "/>
    <x v="0"/>
    <n v="9496"/>
    <m/>
    <m/>
  </r>
  <r>
    <x v="8"/>
    <x v="6"/>
    <s v="C:\Users\andre\Desktop\REACTIV CEFAS\Fadrozole\Fadrozole/20201217_Cefas_Test10_Run1/Plate 1/@4/F4_02- exclu.tif"/>
    <m/>
    <m/>
    <x v="1"/>
    <m/>
    <m/>
    <m/>
  </r>
  <r>
    <x v="8"/>
    <x v="6"/>
    <s v="C:\Users\andre\Desktop\REACTIV CEFAS\Fadrozole\Fadrozole/20201217_Cefas_Test10_Run1/Plate 1/@4/F4_03.tif "/>
    <s v=" 4542.2779 "/>
    <s v=" 39.9857 "/>
    <x v="0"/>
    <n v="181626"/>
    <m/>
    <m/>
  </r>
  <r>
    <x v="8"/>
    <x v="6"/>
    <s v="C:\Users\andre\Desktop\REACTIV CEFAS\Fadrozole\Fadrozole/20201217_Cefas_Test10_Run1/Plate 1/@4/F4_04- exclu.tif"/>
    <m/>
    <m/>
    <x v="1"/>
    <m/>
    <m/>
    <m/>
  </r>
  <r>
    <x v="8"/>
    <x v="7"/>
    <s v="C:\Users\andre\Desktop\REACTIV CEFAS\Fadrozole\Fadrozole/20201217_Cefas_Test10_Run1/Plate 1/@4/G4_01.tif "/>
    <s v=" 1773.6514 "/>
    <s v=" 34.3293 "/>
    <x v="0"/>
    <n v="60888"/>
    <m/>
    <m/>
  </r>
  <r>
    <x v="8"/>
    <x v="7"/>
    <s v="C:\Users\andre\Desktop\REACTIV CEFAS\Fadrozole\Fadrozole/20201217_Cefas_Test10_Run1/Plate 1/@4/G4_02.tif "/>
    <s v=" 3828.4913 "/>
    <s v=" 36.9209 "/>
    <x v="0"/>
    <n v="141351"/>
    <m/>
    <m/>
  </r>
  <r>
    <x v="8"/>
    <x v="7"/>
    <s v="C:\Users\andre\Desktop\REACTIV CEFAS\Fadrozole\Fadrozole/20201217_Cefas_Test10_Run1/Plate 1/@4/G4_03.tif "/>
    <s v=" 7246.0147 "/>
    <s v=" 38.9582 "/>
    <x v="0"/>
    <n v="282292"/>
    <m/>
    <m/>
  </r>
  <r>
    <x v="8"/>
    <x v="7"/>
    <s v="C:\Users\andre\Desktop\REACTIV CEFAS\Fadrozole\Fadrozole/20201217_Cefas_Test10_Run1/Plate 1/@4/G4_04.tif "/>
    <s v=" 12329.0399 "/>
    <s v=" 36.7965 "/>
    <x v="0"/>
    <n v="453665"/>
    <m/>
    <m/>
  </r>
  <r>
    <x v="8"/>
    <x v="8"/>
    <s v="C:\Users\andre\Desktop\REACTIV CEFAS\Fadrozole\Fadrozole/20201217_Cefas_Test10_Run1/Plate 1/@4/H4_01.tif "/>
    <s v=" 1535.7225 "/>
    <s v=" 31.831 "/>
    <x v="0"/>
    <n v="48884"/>
    <m/>
    <m/>
  </r>
  <r>
    <x v="8"/>
    <x v="8"/>
    <s v="C:\Users\andre\Desktop\REACTIV CEFAS\Fadrozole\Fadrozole/20201217_Cefas_Test10_Run1/Plate 1/@4/H4_02.tif "/>
    <s v=" 4499.0181 "/>
    <s v=" 31.726 "/>
    <x v="0"/>
    <n v="142736"/>
    <m/>
    <m/>
  </r>
  <r>
    <x v="8"/>
    <x v="8"/>
    <s v="C:\Users\andre\Desktop\REACTIV CEFAS\Fadrozole\Fadrozole/20201217_Cefas_Test10_Run1/Plate 1/@4/H4_03.tif "/>
    <s v=" 14556.9191 "/>
    <s v=" 35.2006 "/>
    <x v="0"/>
    <n v="512412"/>
    <m/>
    <m/>
  </r>
  <r>
    <x v="8"/>
    <x v="8"/>
    <s v="C:\Users\andre\Desktop\REACTIV CEFAS\Fadrozole\Fadrozole/20201217_Cefas_Test10_Run1/Plate 1/@4/H4_04.tif "/>
    <s v=" 9755.0825 "/>
    <s v=" 33.6253 "/>
    <x v="0"/>
    <n v="328017"/>
    <m/>
    <m/>
  </r>
  <r>
    <x v="0"/>
    <x v="0"/>
    <s v=" "/>
    <m/>
    <m/>
    <x v="1"/>
    <m/>
    <m/>
    <m/>
  </r>
  <r>
    <x v="0"/>
    <x v="0"/>
    <s v="group "/>
    <s v=" "/>
    <s v=" mean of mean fluo "/>
    <x v="2"/>
    <s v=" mean of total fluo "/>
    <s v=" SD total fluo "/>
    <m/>
  </r>
  <r>
    <x v="8"/>
    <x v="9"/>
    <s v="C:\Users\andre\Desktop\REACTIV CEFAS\Fadrozole\Fadrozole/20201217_Cefas_Test10_Run1/Plate 1/@4/ "/>
    <s v=" "/>
    <s v=" 36.9123 "/>
    <x v="10"/>
    <s v=" 948028.094 "/>
    <s v=" 921359.489 "/>
    <m/>
  </r>
  <r>
    <x v="0"/>
    <x v="0"/>
    <s v=" "/>
    <m/>
    <m/>
    <x v="1"/>
    <m/>
    <m/>
    <m/>
  </r>
  <r>
    <x v="0"/>
    <x v="0"/>
    <s v=" "/>
    <m/>
    <m/>
    <x v="1"/>
    <m/>
    <m/>
    <m/>
  </r>
  <r>
    <x v="0"/>
    <x v="0"/>
    <s v=" "/>
    <m/>
    <m/>
    <x v="1"/>
    <m/>
    <m/>
    <m/>
  </r>
  <r>
    <x v="0"/>
    <x v="0"/>
    <s v=" "/>
    <m/>
    <m/>
    <x v="1"/>
    <m/>
    <m/>
    <m/>
  </r>
  <r>
    <x v="0"/>
    <x v="0"/>
    <s v=" "/>
    <m/>
    <m/>
    <x v="1"/>
    <m/>
    <m/>
    <m/>
  </r>
  <r>
    <x v="0"/>
    <x v="0"/>
    <s v="file name "/>
    <s v=" total area "/>
    <s v=" mean intensity "/>
    <x v="0"/>
    <s v=" total fluorescence"/>
    <m/>
    <m/>
  </r>
  <r>
    <x v="9"/>
    <x v="1"/>
    <s v="C:\Users\andre\Desktop\REACTIV CEFAS\Fadrozole\Fadrozole/20201217_Cefas_Test10_Run1/Plate 1/@5/A5_01.tif "/>
    <s v=" 45141.5901 "/>
    <s v=" 39.3876 "/>
    <x v="0"/>
    <n v="1778021"/>
    <m/>
    <m/>
  </r>
  <r>
    <x v="9"/>
    <x v="1"/>
    <s v="C:\Users\andre\Desktop\REACTIV CEFAS\Fadrozole\Fadrozole/20201217_Cefas_Test10_Run1/Plate 1/@5/A5_02.tif "/>
    <s v=" 58963.0928 "/>
    <s v=" 41.3683 "/>
    <x v="0"/>
    <n v="2439203"/>
    <m/>
    <m/>
  </r>
  <r>
    <x v="9"/>
    <x v="1"/>
    <s v="C:\Users\andre\Desktop\REACTIV CEFAS\Fadrozole\Fadrozole/20201217_Cefas_Test10_Run1/Plate 1/@5/A5_03- exclu.tif"/>
    <m/>
    <m/>
    <x v="1"/>
    <m/>
    <m/>
    <m/>
  </r>
  <r>
    <x v="9"/>
    <x v="1"/>
    <s v="C:\Users\andre\Desktop\REACTIV CEFAS\Fadrozole\Fadrozole/20201217_Cefas_Test10_Run1/Plate 1/@5/A5_04.tif "/>
    <s v=" 40880.5008 "/>
    <s v=" 38.0127 "/>
    <x v="0"/>
    <n v="1553978"/>
    <m/>
    <m/>
  </r>
  <r>
    <x v="9"/>
    <x v="2"/>
    <s v="C:\Users\andre\Desktop\REACTIV CEFAS\Fadrozole\Fadrozole/20201217_Cefas_Test10_Run1/Plate 1/@5/B5_01.tif "/>
    <s v=" 67377.1218 "/>
    <s v=" 42.8263 "/>
    <x v="0"/>
    <n v="2885514"/>
    <m/>
    <m/>
  </r>
  <r>
    <x v="9"/>
    <x v="2"/>
    <s v="C:\Users\andre\Desktop\REACTIV CEFAS\Fadrozole\Fadrozole/20201217_Cefas_Test10_Run1/Plate 1/@5/B5_02.tif "/>
    <s v=" 57708.5589 "/>
    <s v=" 44.096 "/>
    <x v="0"/>
    <n v="2544714"/>
    <m/>
    <m/>
  </r>
  <r>
    <x v="9"/>
    <x v="2"/>
    <s v="C:\Users\andre\Desktop\REACTIV CEFAS\Fadrozole\Fadrozole/20201217_Cefas_Test10_Run1/Plate 1/@5/B5_03.tif "/>
    <s v=" 61731.7193 "/>
    <s v=" 40.6997 "/>
    <x v="0"/>
    <n v="2512464"/>
    <m/>
    <m/>
  </r>
  <r>
    <x v="9"/>
    <x v="2"/>
    <s v="C:\Users\andre\Desktop\REACTIV CEFAS\Fadrozole\Fadrozole/20201217_Cefas_Test10_Run1/Plate 1/@5/B5_04.tif "/>
    <s v=" 62315.7264 "/>
    <s v=" 41.1236 "/>
    <x v="0"/>
    <n v="2562645"/>
    <m/>
    <m/>
  </r>
  <r>
    <x v="9"/>
    <x v="3"/>
    <s v="C:\Users\andre\Desktop\REACTIV CEFAS\Fadrozole\Fadrozole/20201217_Cefas_Test10_Run1/Plate 1/@5/C5_01.tif "/>
    <s v=" 76115.5992 "/>
    <s v=" 38.7548 "/>
    <x v="0"/>
    <n v="2949842"/>
    <m/>
    <m/>
  </r>
  <r>
    <x v="9"/>
    <x v="3"/>
    <s v="C:\Users\andre\Desktop\REACTIV CEFAS\Fadrozole\Fadrozole/20201217_Cefas_Test10_Run1/Plate 1/@5/C5_02- exclu.tif"/>
    <m/>
    <m/>
    <x v="1"/>
    <m/>
    <m/>
    <m/>
  </r>
  <r>
    <x v="9"/>
    <x v="3"/>
    <s v="C:\Users\andre\Desktop\REACTIV CEFAS\Fadrozole\Fadrozole/20201217_Cefas_Test10_Run1/Plate 1/@5/C5_03- exclu.tif"/>
    <m/>
    <m/>
    <x v="1"/>
    <m/>
    <m/>
    <m/>
  </r>
  <r>
    <x v="9"/>
    <x v="3"/>
    <s v="C:\Users\andre\Desktop\REACTIV CEFAS\Fadrozole\Fadrozole/20201217_Cefas_Test10_Run1/Plate 1/@5/C5_04.tif "/>
    <s v=" 73044.1542 "/>
    <s v=" 45.2896 "/>
    <x v="0"/>
    <n v="3308141"/>
    <m/>
    <m/>
  </r>
  <r>
    <x v="9"/>
    <x v="4"/>
    <s v="C:\Users\andre\Desktop\REACTIV CEFAS\Fadrozole\Fadrozole/20201217_Cefas_Test10_Run1/Plate 1/@5/D5_01.tif "/>
    <s v=" 63743.2995 "/>
    <s v=" 43.2514 "/>
    <x v="0"/>
    <n v="2756990"/>
    <m/>
    <m/>
  </r>
  <r>
    <x v="9"/>
    <x v="4"/>
    <s v="C:\Users\andre\Desktop\REACTIV CEFAS\Fadrozole\Fadrozole/20201217_Cefas_Test10_Run1/Plate 1/@5/D5_02.tif "/>
    <s v=" 52495.7543 "/>
    <s v=" 42.2921 "/>
    <x v="0"/>
    <n v="2220157"/>
    <m/>
    <m/>
  </r>
  <r>
    <x v="9"/>
    <x v="4"/>
    <s v="C:\Users\andre\Desktop\REACTIV CEFAS\Fadrozole\Fadrozole/20201217_Cefas_Test10_Run1/Plate 1/@5/D5_03.tif "/>
    <s v=" 59374.0608 "/>
    <s v=" 43.3701 "/>
    <x v="0"/>
    <n v="2575061"/>
    <m/>
    <m/>
  </r>
  <r>
    <x v="9"/>
    <x v="4"/>
    <s v="C:\Users\andre\Desktop\REACTIV CEFAS\Fadrozole\Fadrozole/20201217_Cefas_Test10_Run1/Plate 1/@5/D5_04.tif "/>
    <s v=" 49489.1989 "/>
    <s v=" 43.7076 "/>
    <x v="0"/>
    <n v="2163054"/>
    <m/>
    <m/>
  </r>
  <r>
    <x v="9"/>
    <x v="5"/>
    <s v="C:\Users\andre\Desktop\REACTIV CEFAS\Fadrozole\Fadrozole/20201217_Cefas_Test10_Run1/Plate 1/@5/E5_01.tif "/>
    <s v=" 58011.3774 "/>
    <s v=" 40.2946 "/>
    <x v="0"/>
    <n v="2337543"/>
    <m/>
    <m/>
  </r>
  <r>
    <x v="9"/>
    <x v="5"/>
    <s v="C:\Users\andre\Desktop\REACTIV CEFAS\Fadrozole\Fadrozole/20201217_Cefas_Test10_Run1/Plate 1/@5/E5_02.tif "/>
    <s v=" 63245.8119 "/>
    <s v=" 39.9979 "/>
    <x v="0"/>
    <n v="2529703"/>
    <m/>
    <m/>
  </r>
  <r>
    <x v="9"/>
    <x v="5"/>
    <s v="C:\Users\andre\Desktop\REACTIV CEFAS\Fadrozole\Fadrozole/20201217_Cefas_Test10_Run1/Plate 1/@5/E5_03- exclu.tif"/>
    <m/>
    <m/>
    <x v="1"/>
    <m/>
    <m/>
    <m/>
  </r>
  <r>
    <x v="9"/>
    <x v="5"/>
    <s v="C:\Users\andre\Desktop\REACTIV CEFAS\Fadrozole\Fadrozole/20201217_Cefas_Test10_Run1/Plate 1/@5/E5_04.tif "/>
    <s v=" 41594.2874 "/>
    <s v=" 35.3521 "/>
    <x v="0"/>
    <n v="1470443"/>
    <m/>
    <m/>
  </r>
  <r>
    <x v="9"/>
    <x v="6"/>
    <s v="C:\Users\andre\Desktop\REACTIV CEFAS\Fadrozole\Fadrozole/20201217_Cefas_Test10_Run1/Plate 1/@5/F5_01.tif "/>
    <s v=" 83534.6531 "/>
    <s v=" 44.3915 "/>
    <x v="0"/>
    <n v="3708229"/>
    <m/>
    <m/>
  </r>
  <r>
    <x v="9"/>
    <x v="6"/>
    <s v="C:\Users\andre\Desktop\REACTIV CEFAS\Fadrozole\Fadrozole/20201217_Cefas_Test10_Run1/Plate 1/@5/F5_02.tif "/>
    <s v=" 77932.5103 "/>
    <s v=" 42.7386 "/>
    <x v="0"/>
    <n v="3330723"/>
    <m/>
    <m/>
  </r>
  <r>
    <x v="9"/>
    <x v="6"/>
    <s v="C:\Users\andre\Desktop\REACTIV CEFAS\Fadrozole\Fadrozole/20201217_Cefas_Test10_Run1/Plate 1/@5/F5_03.tif "/>
    <s v=" 79771.0514 "/>
    <s v=" 44.5911 "/>
    <x v="0"/>
    <n v="3557079"/>
    <m/>
    <m/>
  </r>
  <r>
    <x v="9"/>
    <x v="6"/>
    <s v="C:\Users\andre\Desktop\REACTIV CEFAS\Fadrozole\Fadrozole/20201217_Cefas_Test10_Run1/Plate 1/@5/F5_04.tif "/>
    <s v=" 88033.6711 "/>
    <s v=" 44.9727 "/>
    <x v="0"/>
    <n v="3959114"/>
    <m/>
    <m/>
  </r>
  <r>
    <x v="9"/>
    <x v="7"/>
    <s v="C:\Users\andre\Desktop\REACTIV CEFAS\Fadrozole\Fadrozole/20201217_Cefas_Test10_Run1/Plate 1/@5/G5_01.tif "/>
    <s v=" 13497.0542 "/>
    <s v=" 33.8766 "/>
    <x v="0"/>
    <n v="457234"/>
    <m/>
    <m/>
  </r>
  <r>
    <x v="9"/>
    <x v="7"/>
    <s v="C:\Users\andre\Desktop\REACTIV CEFAS\Fadrozole\Fadrozole/20201217_Cefas_Test10_Run1/Plate 1/@5/G5_02.tif "/>
    <s v=" 37073.6394 "/>
    <s v=" 36.0963 "/>
    <x v="0"/>
    <n v="1338220"/>
    <m/>
    <m/>
  </r>
  <r>
    <x v="9"/>
    <x v="7"/>
    <s v="C:\Users\andre\Desktop\REACTIV CEFAS\Fadrozole\Fadrozole/20201217_Cefas_Test10_Run1/Plate 1/@5/G5_03.tif "/>
    <s v=" 34867.3901 "/>
    <s v=" 36.9082 "/>
    <x v="0"/>
    <n v="1286892"/>
    <m/>
    <m/>
  </r>
  <r>
    <x v="9"/>
    <x v="7"/>
    <s v="C:\Users\andre\Desktop\REACTIV CEFAS\Fadrozole\Fadrozole/20201217_Cefas_Test10_Run1/Plate 1/@5/G5_04.tif "/>
    <s v=" 9582.0433 "/>
    <s v=" 33.6591 "/>
    <x v="0"/>
    <n v="322523"/>
    <m/>
    <m/>
  </r>
  <r>
    <x v="9"/>
    <x v="8"/>
    <s v="C:\Users\andre\Desktop\REACTIV CEFAS\Fadrozole\Fadrozole/20201217_Cefas_Test10_Run1/Plate 1/@5/H5_01.tif "/>
    <s v=" 973.3453 "/>
    <s v=" 31.3556 "/>
    <x v="0"/>
    <n v="30520"/>
    <m/>
    <m/>
  </r>
  <r>
    <x v="9"/>
    <x v="8"/>
    <s v="C:\Users\andre\Desktop\REACTIV CEFAS\Fadrozole\Fadrozole/20201217_Cefas_Test10_Run1/Plate 1/@5/H5_02- exclu.tif"/>
    <m/>
    <m/>
    <x v="1"/>
    <m/>
    <m/>
    <m/>
  </r>
  <r>
    <x v="9"/>
    <x v="8"/>
    <s v="C:\Users\andre\Desktop\REACTIV CEFAS\Fadrozole\Fadrozole/20201217_Cefas_Test10_Run1/Plate 1/@5/H5_03- exclu.tif"/>
    <m/>
    <m/>
    <x v="1"/>
    <m/>
    <m/>
    <m/>
  </r>
  <r>
    <x v="9"/>
    <x v="8"/>
    <s v="C:\Users\andre\Desktop\REACTIV CEFAS\Fadrozole\Fadrozole/20201217_Cefas_Test10_Run1/Plate 1/@5/H5_04- exclu.tif"/>
    <m/>
    <m/>
    <x v="1"/>
    <m/>
    <m/>
    <m/>
  </r>
  <r>
    <x v="0"/>
    <x v="0"/>
    <s v=" "/>
    <m/>
    <m/>
    <x v="1"/>
    <m/>
    <m/>
    <m/>
  </r>
  <r>
    <x v="0"/>
    <x v="0"/>
    <s v="group "/>
    <s v=" "/>
    <s v=" mean of mean fluo "/>
    <x v="2"/>
    <s v=" mean of total fluo "/>
    <s v=" SD total fluo "/>
    <m/>
  </r>
  <r>
    <x v="9"/>
    <x v="9"/>
    <s v="C:\Users\andre\Desktop\REACTIV CEFAS\Fadrozole\Fadrozole/20201217_Cefas_Test10_Run1/Plate 1/@5/ "/>
    <s v=" "/>
    <s v=" 41.1186 "/>
    <x v="11"/>
    <s v=" 2178940.12 "/>
    <s v=" 1120797.4 "/>
    <m/>
  </r>
  <r>
    <x v="0"/>
    <x v="0"/>
    <s v=" "/>
    <m/>
    <m/>
    <x v="1"/>
    <m/>
    <m/>
    <m/>
  </r>
  <r>
    <x v="0"/>
    <x v="0"/>
    <s v=" "/>
    <m/>
    <m/>
    <x v="1"/>
    <m/>
    <m/>
    <m/>
  </r>
  <r>
    <x v="0"/>
    <x v="0"/>
    <s v=" "/>
    <m/>
    <m/>
    <x v="1"/>
    <m/>
    <m/>
    <m/>
  </r>
  <r>
    <x v="0"/>
    <x v="0"/>
    <s v=" "/>
    <m/>
    <m/>
    <x v="1"/>
    <m/>
    <m/>
    <m/>
  </r>
  <r>
    <x v="0"/>
    <x v="0"/>
    <s v=" "/>
    <m/>
    <m/>
    <x v="1"/>
    <m/>
    <m/>
    <m/>
  </r>
  <r>
    <x v="0"/>
    <x v="0"/>
    <s v="file name "/>
    <s v=" total area "/>
    <s v=" mean intensity "/>
    <x v="0"/>
    <s v=" total fluorescence"/>
    <m/>
    <m/>
  </r>
  <r>
    <x v="10"/>
    <x v="1"/>
    <s v="C:\Users\andre\Desktop\REACTIV CEFAS\Fadrozole\Fadrozole/20201217_Cefas_Test10_Run1/Plate 1/@6/A6_01.tif "/>
    <s v=" 56518.9147 "/>
    <s v=" 43.1871 "/>
    <x v="0"/>
    <n v="2440890"/>
    <m/>
    <m/>
  </r>
  <r>
    <x v="10"/>
    <x v="1"/>
    <s v="C:\Users\andre\Desktop\REACTIV CEFAS\Fadrozole\Fadrozole/20201217_Cefas_Test10_Run1/Plate 1/@6/A6_02.tif "/>
    <s v=" 62769.9542 "/>
    <s v=" 46.0152 "/>
    <x v="0"/>
    <n v="2888370"/>
    <m/>
    <m/>
  </r>
  <r>
    <x v="10"/>
    <x v="1"/>
    <s v="C:\Users\andre\Desktop\REACTIV CEFAS\Fadrozole\Fadrozole/20201217_Cefas_Test10_Run1/Plate 1/@6/A6_03.tif "/>
    <s v=" 63808.1892 "/>
    <s v=" 47.2071 "/>
    <x v="0"/>
    <n v="3012201"/>
    <m/>
    <m/>
  </r>
  <r>
    <x v="10"/>
    <x v="1"/>
    <s v="C:\Users\andre\Desktop\REACTIV CEFAS\Fadrozole\Fadrozole/20201217_Cefas_Test10_Run1/Plate 1/@6/A6_04.tif "/>
    <s v=" 64911.3138 "/>
    <s v=" 45.5811 "/>
    <x v="0"/>
    <n v="2958732"/>
    <m/>
    <m/>
  </r>
  <r>
    <x v="10"/>
    <x v="2"/>
    <s v="C:\Users\andre\Desktop\REACTIV CEFAS\Fadrozole\Fadrozole/20201217_Cefas_Test10_Run1/Plate 1/@6/B6_01.tif "/>
    <s v=" 53555.6191 "/>
    <s v=" 46.3974 "/>
    <x v="0"/>
    <n v="2484842"/>
    <m/>
    <m/>
  </r>
  <r>
    <x v="10"/>
    <x v="2"/>
    <s v="C:\Users\andre\Desktop\REACTIV CEFAS\Fadrozole\Fadrozole/20201217_Cefas_Test10_Run1/Plate 1/@6/B6_02.tif "/>
    <s v=" 53923.3273 "/>
    <s v=" 45.7148 "/>
    <x v="0"/>
    <n v="2465094"/>
    <m/>
    <m/>
  </r>
  <r>
    <x v="10"/>
    <x v="2"/>
    <s v="C:\Users\andre\Desktop\REACTIV CEFAS\Fadrozole\Fadrozole/20201217_Cefas_Test10_Run1/Plate 1/@6/B6_03.tif "/>
    <s v=" 55069.7117 "/>
    <s v=" 47.9666 "/>
    <x v="0"/>
    <n v="2641508"/>
    <m/>
    <m/>
  </r>
  <r>
    <x v="10"/>
    <x v="2"/>
    <s v="C:\Users\andre\Desktop\REACTIV CEFAS\Fadrozole\Fadrozole/20201217_Cefas_Test10_Run1/Plate 1/@6/B6_04.tif "/>
    <s v=" 57665.2991 "/>
    <s v=" 47.323 "/>
    <x v="0"/>
    <n v="2728892"/>
    <m/>
    <m/>
  </r>
  <r>
    <x v="10"/>
    <x v="3"/>
    <s v="C:\Users\andre\Desktop\REACTIV CEFAS\Fadrozole\Fadrozole/20201217_Cefas_Test10_Run1/Plate 1/@6/C6_01- exclu.tif"/>
    <m/>
    <m/>
    <x v="1"/>
    <m/>
    <m/>
    <m/>
  </r>
  <r>
    <x v="10"/>
    <x v="3"/>
    <s v="C:\Users\andre\Desktop\REACTIV CEFAS\Fadrozole\Fadrozole/20201217_Cefas_Test10_Run1/Plate 1/@6/C6_02- exclu.tif"/>
    <m/>
    <m/>
    <x v="1"/>
    <m/>
    <m/>
    <m/>
  </r>
  <r>
    <x v="10"/>
    <x v="3"/>
    <s v="C:\Users\andre\Desktop\REACTIV CEFAS\Fadrozole\Fadrozole/20201217_Cefas_Test10_Run1/Plate 1/@6/C6_03.tif "/>
    <s v=" 73000.8944 "/>
    <s v=" 43.1292 "/>
    <x v="0"/>
    <n v="3148469"/>
    <m/>
    <m/>
  </r>
  <r>
    <x v="10"/>
    <x v="3"/>
    <s v="C:\Users\andre\Desktop\REACTIV CEFAS\Fadrozole\Fadrozole/20201217_Cefas_Test10_Run1/Plate 1/@6/C6_04.tif "/>
    <s v=" 82539.6779 "/>
    <s v=" 41.5629 "/>
    <x v="0"/>
    <n v="3430588"/>
    <m/>
    <m/>
  </r>
  <r>
    <x v="10"/>
    <x v="4"/>
    <s v="C:\Users\andre\Desktop\REACTIV CEFAS\Fadrozole\Fadrozole/20201217_Cefas_Test10_Run1/Plate 1/@6/D6_01.tif "/>
    <s v=" 63202.5521 "/>
    <s v=" 47.8409 "/>
    <x v="0"/>
    <n v="3023665"/>
    <m/>
    <m/>
  </r>
  <r>
    <x v="10"/>
    <x v="4"/>
    <s v="C:\Users\andre\Desktop\REACTIV CEFAS\Fadrozole\Fadrozole/20201217_Cefas_Test10_Run1/Plate 1/@6/D6_02.tif "/>
    <s v=" 62034.5378 "/>
    <s v=" 46.6974 "/>
    <x v="0"/>
    <n v="2896849"/>
    <m/>
    <m/>
  </r>
  <r>
    <x v="10"/>
    <x v="4"/>
    <s v="C:\Users\andre\Desktop\REACTIV CEFAS\Fadrozole\Fadrozole/20201217_Cefas_Test10_Run1/Plate 1/@6/D6_03.tif "/>
    <s v=" 65495.3209 "/>
    <s v=" 47.0337 "/>
    <x v="0"/>
    <n v="3080486"/>
    <m/>
    <m/>
  </r>
  <r>
    <x v="10"/>
    <x v="4"/>
    <s v="C:\Users\andre\Desktop\REACTIV CEFAS\Fadrozole\Fadrozole/20201217_Cefas_Test10_Run1/Plate 1/@6/D6_04.tif "/>
    <s v=" 64219.1572 "/>
    <s v=" 46.7686 "/>
    <x v="0"/>
    <n v="3003441"/>
    <m/>
    <m/>
  </r>
  <r>
    <x v="10"/>
    <x v="5"/>
    <s v="C:\Users\andre\Desktop\REACTIV CEFAS\Fadrozole\Fadrozole/20201217_Cefas_Test10_Run1/Plate 1/@6/E6_01.tif "/>
    <s v=" 50938.4019 "/>
    <s v=" 43.0047 "/>
    <x v="0"/>
    <n v="2190589"/>
    <m/>
    <m/>
  </r>
  <r>
    <x v="10"/>
    <x v="5"/>
    <s v="C:\Users\andre\Desktop\REACTIV CEFAS\Fadrozole\Fadrozole/20201217_Cefas_Test10_Run1/Plate 1/@6/E6_02.tif "/>
    <s v=" 57859.9681 "/>
    <s v=" 44.5607 "/>
    <x v="0"/>
    <n v="2578283"/>
    <m/>
    <m/>
  </r>
  <r>
    <x v="10"/>
    <x v="5"/>
    <s v="C:\Users\andre\Desktop\REACTIV CEFAS\Fadrozole\Fadrozole/20201217_Cefas_Test10_Run1/Plate 1/@6/E6_03.tif "/>
    <s v=" 48213.0351 "/>
    <s v=" 44.4154 "/>
    <x v="0"/>
    <n v="2141403"/>
    <m/>
    <m/>
  </r>
  <r>
    <x v="10"/>
    <x v="5"/>
    <s v="C:\Users\andre\Desktop\REACTIV CEFAS\Fadrozole\Fadrozole/20201217_Cefas_Test10_Run1/Plate 1/@6/E6_04.tif "/>
    <s v=" 56605.4342 "/>
    <s v=" 43.3481 "/>
    <x v="0"/>
    <n v="2453739"/>
    <m/>
    <m/>
  </r>
  <r>
    <x v="10"/>
    <x v="6"/>
    <s v="C:\Users\andre\Desktop\REACTIV CEFAS\Fadrozole\Fadrozole/20201217_Cefas_Test10_Run1/Plate 1/@6/F6_01.tif "/>
    <s v=" 78451.6278 "/>
    <s v=" 45.0543 "/>
    <x v="0"/>
    <n v="3534584"/>
    <m/>
    <m/>
  </r>
  <r>
    <x v="10"/>
    <x v="6"/>
    <s v="C:\Users\andre\Desktop\REACTIV CEFAS\Fadrozole\Fadrozole/20201217_Cefas_Test10_Run1/Plate 1/@6/F6_02.tif "/>
    <s v=" 70080.8586 "/>
    <s v=" 45.7179 "/>
    <x v="0"/>
    <n v="3203950"/>
    <m/>
    <m/>
  </r>
  <r>
    <x v="10"/>
    <x v="6"/>
    <s v="C:\Users\andre\Desktop\REACTIV CEFAS\Fadrozole\Fadrozole/20201217_Cefas_Test10_Run1/Plate 1/@6/F6_03.tif "/>
    <s v=" 79078.8948 "/>
    <s v=" 43.8072 "/>
    <x v="0"/>
    <n v="3464222"/>
    <m/>
    <m/>
  </r>
  <r>
    <x v="10"/>
    <x v="6"/>
    <s v="C:\Users\andre\Desktop\REACTIV CEFAS\Fadrozole\Fadrozole/20201217_Cefas_Test10_Run1/Plate 1/@6/F6_04.tif "/>
    <s v=" 82345.0089 "/>
    <s v=" 48.0029 "/>
    <x v="0"/>
    <n v="3952798"/>
    <m/>
    <m/>
  </r>
  <r>
    <x v="10"/>
    <x v="7"/>
    <s v="C:\Users\andre\Desktop\REACTIV CEFAS\Fadrozole\Fadrozole/20201217_Cefas_Test10_Run1/Plate 1/@6/G6_01.tif "/>
    <s v=" 66165.8477 "/>
    <s v=" 38.8173 "/>
    <x v="0"/>
    <n v="2568377"/>
    <m/>
    <m/>
  </r>
  <r>
    <x v="10"/>
    <x v="7"/>
    <s v="C:\Users\andre\Desktop\REACTIV CEFAS\Fadrozole\Fadrozole/20201217_Cefas_Test10_Run1/Plate 1/@6/G6_02.tif "/>
    <s v=" 70426.9369 "/>
    <s v=" 40.8707 "/>
    <x v="0"/>
    <n v="2878398"/>
    <m/>
    <m/>
  </r>
  <r>
    <x v="10"/>
    <x v="7"/>
    <s v="C:\Users\andre\Desktop\REACTIV CEFAS\Fadrozole\Fadrozole/20201217_Cefas_Test10_Run1/Plate 1/@6/G6_03.tif "/>
    <s v=" 70578.3462 "/>
    <s v=" 40.2626 "/>
    <x v="0"/>
    <n v="2841671"/>
    <m/>
    <m/>
  </r>
  <r>
    <x v="10"/>
    <x v="7"/>
    <s v="C:\Users\andre\Desktop\REACTIV CEFAS\Fadrozole\Fadrozole/20201217_Cefas_Test10_Run1/Plate 1/@6/G6_04.tif "/>
    <s v=" 75315.2931 "/>
    <s v=" 43.5063 "/>
    <x v="0"/>
    <n v="3276691"/>
    <m/>
    <m/>
  </r>
  <r>
    <x v="10"/>
    <x v="8"/>
    <s v="C:\Users\andre\Desktop\REACTIV CEFAS\Fadrozole\Fadrozole/20201217_Cefas_Test10_Run1/Plate 1/@6/H6_01.tif "/>
    <s v=" 58422.3454 "/>
    <s v=" 46.3776 "/>
    <x v="0"/>
    <n v="2709490"/>
    <m/>
    <m/>
  </r>
  <r>
    <x v="10"/>
    <x v="8"/>
    <s v="C:\Users\andre\Desktop\REACTIV CEFAS\Fadrozole\Fadrozole/20201217_Cefas_Test10_Run1/Plate 1/@6/H6_02.tif "/>
    <s v=" 57124.5517 "/>
    <s v=" 49.4317 "/>
    <x v="0"/>
    <n v="2823761"/>
    <m/>
    <m/>
  </r>
  <r>
    <x v="10"/>
    <x v="8"/>
    <s v="C:\Users\andre\Desktop\REACTIV CEFAS\Fadrozole\Fadrozole/20201217_Cefas_Test10_Run1/Plate 1/@6/H6_03.tif "/>
    <s v=" 52928.3522 "/>
    <s v=" 45.4103 "/>
    <x v="0"/>
    <n v="2403492"/>
    <m/>
    <m/>
  </r>
  <r>
    <x v="10"/>
    <x v="8"/>
    <s v="C:\Users\andre\Desktop\REACTIV CEFAS\Fadrozole\Fadrozole/20201217_Cefas_Test10_Run1/Plate 1/@6/H6_04.tif "/>
    <s v=" 58660.2742 "/>
    <s v=" 44.1221 "/>
    <x v="0"/>
    <n v="2588212"/>
    <m/>
    <m/>
  </r>
  <r>
    <x v="0"/>
    <x v="0"/>
    <s v=" "/>
    <m/>
    <m/>
    <x v="1"/>
    <m/>
    <m/>
    <m/>
  </r>
  <r>
    <x v="0"/>
    <x v="0"/>
    <s v="group "/>
    <s v=" "/>
    <s v=" mean of mean fluo "/>
    <x v="2"/>
    <s v=" mean of total fluo "/>
    <s v=" SD total fluo "/>
    <m/>
  </r>
  <r>
    <x v="10"/>
    <x v="9"/>
    <s v="C:\Users\andre\Desktop\REACTIV CEFAS\Fadrozole\Fadrozole/20201217_Cefas_Test10_Run1/Plate 1/@6/ "/>
    <s v=" "/>
    <s v=" 45.0437 "/>
    <x v="12"/>
    <s v=" 2838848.66 "/>
    <s v=" 410328.876 "/>
    <m/>
  </r>
  <r>
    <x v="0"/>
    <x v="0"/>
    <s v=" "/>
    <m/>
    <m/>
    <x v="1"/>
    <m/>
    <m/>
    <m/>
  </r>
  <r>
    <x v="0"/>
    <x v="0"/>
    <s v=" "/>
    <m/>
    <m/>
    <x v="1"/>
    <m/>
    <m/>
    <m/>
  </r>
  <r>
    <x v="0"/>
    <x v="0"/>
    <s v=" "/>
    <m/>
    <m/>
    <x v="1"/>
    <m/>
    <m/>
    <m/>
  </r>
  <r>
    <x v="0"/>
    <x v="0"/>
    <s v=" "/>
    <m/>
    <m/>
    <x v="1"/>
    <m/>
    <m/>
    <m/>
  </r>
  <r>
    <x v="0"/>
    <x v="0"/>
    <s v=" "/>
    <m/>
    <m/>
    <x v="1"/>
    <m/>
    <m/>
    <m/>
  </r>
  <r>
    <x v="0"/>
    <x v="0"/>
    <s v="file name "/>
    <s v=" total area "/>
    <s v=" mean intensity "/>
    <x v="0"/>
    <s v=" total fluorescence"/>
    <m/>
    <m/>
  </r>
  <r>
    <x v="11"/>
    <x v="1"/>
    <s v="C:\Users\andre\Desktop\REACTIV CEFAS\Fadrozole\Fadrozole/20201217_Cefas_Test10_Run1/Plate 1/@7/A7_01.tif "/>
    <s v=" 102309.402 "/>
    <s v=" 58.3159 "/>
    <x v="0"/>
    <n v="5966260"/>
    <m/>
    <m/>
  </r>
  <r>
    <x v="11"/>
    <x v="1"/>
    <s v="C:\Users\andre\Desktop\REACTIV CEFAS\Fadrozole\Fadrozole/20201217_Cefas_Test10_Run1/Plate 1/@7/A7_02- exclu.tif"/>
    <m/>
    <m/>
    <x v="1"/>
    <m/>
    <m/>
    <m/>
  </r>
  <r>
    <x v="11"/>
    <x v="1"/>
    <s v="C:\Users\andre\Desktop\REACTIV CEFAS\Fadrozole\Fadrozole/20201217_Cefas_Test10_Run1/Plate 1/@7/A7_03- exclu.tif"/>
    <m/>
    <m/>
    <x v="1"/>
    <m/>
    <m/>
    <m/>
  </r>
  <r>
    <x v="11"/>
    <x v="1"/>
    <s v="C:\Users\andre\Desktop\REACTIV CEFAS\Fadrozole\Fadrozole/20201217_Cefas_Test10_Run1/Plate 1/@7/A7_04- exclu.tif"/>
    <m/>
    <m/>
    <x v="1"/>
    <m/>
    <m/>
    <m/>
  </r>
  <r>
    <x v="11"/>
    <x v="2"/>
    <s v="C:\Users\andre\Desktop\REACTIV CEFAS\Fadrozole\Fadrozole/20201217_Cefas_Test10_Run1/Plate 1/@7/B7_01.tif "/>
    <s v=" 91472.8244 "/>
    <s v=" 58.458 "/>
    <x v="0"/>
    <n v="5347321"/>
    <m/>
    <m/>
  </r>
  <r>
    <x v="11"/>
    <x v="2"/>
    <s v="C:\Users\andre\Desktop\REACTIV CEFAS\Fadrozole\Fadrozole/20201217_Cefas_Test10_Run1/Plate 1/@7/B7_02.tif "/>
    <s v=" 81955.6707 "/>
    <s v=" 61.5864 "/>
    <x v="0"/>
    <n v="5047358"/>
    <m/>
    <m/>
  </r>
  <r>
    <x v="11"/>
    <x v="2"/>
    <s v="C:\Users\andre\Desktop\REACTIV CEFAS\Fadrozole\Fadrozole/20201217_Cefas_Test10_Run1/Plate 1/@7/B7_03.tif "/>
    <s v=" 69648.2607 "/>
    <s v=" 67.6575 "/>
    <x v="0"/>
    <n v="4712224"/>
    <m/>
    <m/>
  </r>
  <r>
    <x v="11"/>
    <x v="2"/>
    <s v="C:\Users\andre\Desktop\REACTIV CEFAS\Fadrozole\Fadrozole/20201217_Cefas_Test10_Run1/Plate 1/@7/B7_04.tif "/>
    <s v=" 87774.1124 "/>
    <s v=" 64.1402 "/>
    <x v="0"/>
    <n v="5629851"/>
    <m/>
    <m/>
  </r>
  <r>
    <x v="11"/>
    <x v="3"/>
    <s v="C:\Users\andre\Desktop\REACTIV CEFAS\Fadrozole\Fadrozole/20201217_Cefas_Test10_Run1/Plate 1/@7/C7_01- exclu.tif"/>
    <m/>
    <m/>
    <x v="1"/>
    <m/>
    <m/>
    <m/>
  </r>
  <r>
    <x v="11"/>
    <x v="3"/>
    <s v="C:\Users\andre\Desktop\REACTIV CEFAS\Fadrozole\Fadrozole/20201217_Cefas_Test10_Run1/Plate 1/@7/C7_02- exclu.tif"/>
    <m/>
    <m/>
    <x v="1"/>
    <m/>
    <m/>
    <m/>
  </r>
  <r>
    <x v="11"/>
    <x v="3"/>
    <s v="C:\Users\andre\Desktop\REACTIV CEFAS\Fadrozole\Fadrozole/20201217_Cefas_Test10_Run1/Plate 1/@7/C7_03.tif "/>
    <s v=" 81047.2152 "/>
    <s v=" 58.731 "/>
    <x v="0"/>
    <n v="4759983"/>
    <m/>
    <m/>
  </r>
  <r>
    <x v="11"/>
    <x v="3"/>
    <s v="C:\Users\andre\Desktop\REACTIV CEFAS\Fadrozole\Fadrozole/20201217_Cefas_Test10_Run1/Plate 1/@7/C7_04.tif "/>
    <s v=" 79446.603 "/>
    <s v=" 58.6973 "/>
    <x v="0"/>
    <n v="4663297"/>
    <m/>
    <m/>
  </r>
  <r>
    <x v="11"/>
    <x v="4"/>
    <s v="C:\Users\andre\Desktop\REACTIV CEFAS\Fadrozole\Fadrozole/20201217_Cefas_Test10_Run1/Plate 1/@7/D7_01.tif "/>
    <s v=" 82864.1263 "/>
    <s v=" 57.3566 "/>
    <x v="0"/>
    <n v="4752802"/>
    <m/>
    <m/>
  </r>
  <r>
    <x v="11"/>
    <x v="4"/>
    <s v="C:\Users\andre\Desktop\REACTIV CEFAS\Fadrozole\Fadrozole/20201217_Cefas_Test10_Run1/Plate 1/@7/D7_02.tif "/>
    <s v=" 83339.984 "/>
    <s v=" 51.605 "/>
    <x v="0"/>
    <n v="4300758"/>
    <m/>
    <m/>
  </r>
  <r>
    <x v="11"/>
    <x v="4"/>
    <s v="C:\Users\andre\Desktop\REACTIV CEFAS\Fadrozole\Fadrozole/20201217_Cefas_Test10_Run1/Plate 1/@7/D7_03.tif "/>
    <s v=" 79468.2329 "/>
    <s v=" 54.6339 "/>
    <x v="0"/>
    <n v="4341661"/>
    <m/>
    <m/>
  </r>
  <r>
    <x v="11"/>
    <x v="4"/>
    <s v="C:\Users\andre\Desktop\REACTIV CEFAS\Fadrozole\Fadrozole/20201217_Cefas_Test10_Run1/Plate 1/@7/D7_04.tif "/>
    <s v=" 80787.6564 "/>
    <s v=" 50.7609 "/>
    <x v="0"/>
    <n v="4100855"/>
    <m/>
    <m/>
  </r>
  <r>
    <x v="11"/>
    <x v="5"/>
    <s v="C:\Users\andre\Desktop\REACTIV CEFAS\Fadrozole\Fadrozole/20201217_Cefas_Test10_Run1/Plate 1/@7/E7_01.tif "/>
    <s v=" 83729.3221 "/>
    <s v=" 53.6329 "/>
    <x v="0"/>
    <n v="4490647"/>
    <m/>
    <m/>
  </r>
  <r>
    <x v="11"/>
    <x v="5"/>
    <s v="C:\Users\andre\Desktop\REACTIV CEFAS\Fadrozole\Fadrozole/20201217_Cefas_Test10_Run1/Plate 1/@7/E7_02.tif "/>
    <s v=" 81717.7419 "/>
    <s v=" 53.5005 "/>
    <x v="0"/>
    <n v="4371942"/>
    <m/>
    <m/>
  </r>
  <r>
    <x v="11"/>
    <x v="5"/>
    <s v="C:\Users\andre\Desktop\REACTIV CEFAS\Fadrozole\Fadrozole/20201217_Cefas_Test10_Run1/Plate 1/@7/E7_03.tif "/>
    <s v=" 86714.2476 "/>
    <s v=" 57.0304 "/>
    <x v="0"/>
    <n v="4945351"/>
    <m/>
    <m/>
  </r>
  <r>
    <x v="11"/>
    <x v="5"/>
    <s v="C:\Users\andre\Desktop\REACTIV CEFAS\Fadrozole\Fadrozole/20201217_Cefas_Test10_Run1/Plate 1/@7/E7_04.tif "/>
    <s v=" 84097.0303 "/>
    <s v=" 56.6847 "/>
    <x v="0"/>
    <n v="4767012"/>
    <m/>
    <m/>
  </r>
  <r>
    <x v="11"/>
    <x v="6"/>
    <s v="C:\Users\andre\Desktop\REACTIV CEFAS\Fadrozole\Fadrozole/20201217_Cefas_Test10_Run1/Plate 1/@7/F7_01.tif "/>
    <s v=" 108755.11 "/>
    <s v=" 59.1337 "/>
    <x v="0"/>
    <n v="6431087"/>
    <m/>
    <m/>
  </r>
  <r>
    <x v="11"/>
    <x v="6"/>
    <s v="C:\Users\andre\Desktop\REACTIV CEFAS\Fadrozole\Fadrozole/20201217_Cefas_Test10_Run1/Plate 1/@7/F7_02.tif "/>
    <s v=" 106289.302 "/>
    <s v=" 61.6764 "/>
    <x v="0"/>
    <n v="6555545"/>
    <m/>
    <m/>
  </r>
  <r>
    <x v="11"/>
    <x v="6"/>
    <s v="C:\Users\andre\Desktop\REACTIV CEFAS\Fadrozole\Fadrozole/20201217_Cefas_Test10_Run1/Plate 1/@7/F7_03.tif "/>
    <s v=" 110680.171 "/>
    <s v=" 58.6074 "/>
    <x v="0"/>
    <n v="6486676"/>
    <m/>
    <m/>
  </r>
  <r>
    <x v="11"/>
    <x v="6"/>
    <s v="C:\Users\andre\Desktop\REACTIV CEFAS\Fadrozole\Fadrozole/20201217_Cefas_Test10_Run1/Plate 1/@7/F7_04.tif "/>
    <s v=" 111026.249 "/>
    <s v=" 60.3493 "/>
    <x v="0"/>
    <n v="6700357"/>
    <m/>
    <m/>
  </r>
  <r>
    <x v="11"/>
    <x v="7"/>
    <s v="C:\Users\andre\Desktop\REACTIV CEFAS\Fadrozole\Fadrozole/20201217_Cefas_Test10_Run1/Plate 1/@7/G7_01.tif "/>
    <s v=" 85113.6354 "/>
    <s v=" 54.8851 "/>
    <x v="0"/>
    <n v="4671473"/>
    <m/>
    <m/>
  </r>
  <r>
    <x v="11"/>
    <x v="7"/>
    <s v="C:\Users\andre\Desktop\REACTIV CEFAS\Fadrozole\Fadrozole/20201217_Cefas_Test10_Run1/Plate 1/@7/G7_02.tif "/>
    <s v=" 85005.4859 "/>
    <s v=" 55.3196 "/>
    <x v="0"/>
    <n v="4702469"/>
    <m/>
    <m/>
  </r>
  <r>
    <x v="11"/>
    <x v="7"/>
    <s v="C:\Users\andre\Desktop\REACTIV CEFAS\Fadrozole\Fadrozole/20201217_Cefas_Test10_Run1/Plate 1/@7/G7_03.tif "/>
    <s v=" 83621.1726 "/>
    <s v=" 54.2794 "/>
    <x v="0"/>
    <n v="4538904"/>
    <m/>
    <m/>
  </r>
  <r>
    <x v="11"/>
    <x v="7"/>
    <s v="C:\Users\andre\Desktop\REACTIV CEFAS\Fadrozole\Fadrozole/20201217_Cefas_Test10_Run1/Plate 1/@7/G7_04.tif "/>
    <s v=" 86908.9166 "/>
    <s v=" 50.506 "/>
    <x v="0"/>
    <n v="4389419"/>
    <m/>
    <m/>
  </r>
  <r>
    <x v="11"/>
    <x v="8"/>
    <s v="C:\Users\andre\Desktop\REACTIV CEFAS\Fadrozole\Fadrozole/20201217_Cefas_Test10_Run1/Plate 1/@7/H7_01.tif "/>
    <s v=" 101206.277 "/>
    <s v=" 61.2533 "/>
    <x v="0"/>
    <n v="6199214"/>
    <m/>
    <m/>
  </r>
  <r>
    <x v="11"/>
    <x v="8"/>
    <s v="C:\Users\andre\Desktop\REACTIV CEFAS\Fadrozole\Fadrozole/20201217_Cefas_Test10_Run1/Plate 1/@7/H7_02.tif "/>
    <s v=" 101509.095 "/>
    <s v=" 58.3718 "/>
    <x v="0"/>
    <n v="5925272"/>
    <m/>
    <m/>
  </r>
  <r>
    <x v="11"/>
    <x v="8"/>
    <s v="C:\Users\andre\Desktop\REACTIV CEFAS\Fadrozole\Fadrozole/20201217_Cefas_Test10_Run1/Plate 1/@7/H7_03.tif "/>
    <s v=" 95149.9065 "/>
    <s v=" 56.1796 "/>
    <x v="0"/>
    <n v="5345482"/>
    <m/>
    <m/>
  </r>
  <r>
    <x v="11"/>
    <x v="8"/>
    <s v="C:\Users\andre\Desktop\REACTIV CEFAS\Fadrozole\Fadrozole/20201217_Cefas_Test10_Run1/Plate 1/@7/H7_04.tif "/>
    <s v=" 106873.309 "/>
    <s v=" 59.8116 "/>
    <x v="0"/>
    <n v="6392261"/>
    <m/>
    <m/>
  </r>
  <r>
    <x v="0"/>
    <x v="0"/>
    <s v=" "/>
    <m/>
    <m/>
    <x v="1"/>
    <m/>
    <m/>
    <m/>
  </r>
  <r>
    <x v="0"/>
    <x v="0"/>
    <s v="group "/>
    <s v=" "/>
    <s v=" mean of mean fluo "/>
    <x v="2"/>
    <s v=" mean of total fluo "/>
    <s v=" SD total fluo "/>
    <m/>
  </r>
  <r>
    <x v="11"/>
    <x v="9"/>
    <s v="C:\Users\andre\Desktop\REACTIV CEFAS\Fadrozole\Fadrozole/20201217_Cefas_Test10_Run1/Plate 1/@7/ "/>
    <s v=" "/>
    <s v=" 57.2091 "/>
    <x v="13"/>
    <s v=" 5095755.12 "/>
    <s v=" 1021359.18 "/>
    <m/>
  </r>
  <r>
    <x v="0"/>
    <x v="0"/>
    <s v=" "/>
    <m/>
    <m/>
    <x v="1"/>
    <m/>
    <m/>
    <m/>
  </r>
  <r>
    <x v="0"/>
    <x v="0"/>
    <s v=" "/>
    <m/>
    <m/>
    <x v="1"/>
    <m/>
    <m/>
    <m/>
  </r>
  <r>
    <x v="0"/>
    <x v="0"/>
    <s v=" "/>
    <m/>
    <m/>
    <x v="1"/>
    <m/>
    <m/>
    <m/>
  </r>
  <r>
    <x v="0"/>
    <x v="0"/>
    <s v=" "/>
    <m/>
    <m/>
    <x v="1"/>
    <m/>
    <m/>
    <m/>
  </r>
  <r>
    <x v="0"/>
    <x v="0"/>
    <s v=" "/>
    <m/>
    <m/>
    <x v="1"/>
    <m/>
    <m/>
    <m/>
  </r>
  <r>
    <x v="0"/>
    <x v="0"/>
    <s v="file name "/>
    <s v=" total area "/>
    <s v=" mean intensity "/>
    <x v="0"/>
    <s v=" total fluorescence"/>
    <m/>
    <m/>
  </r>
  <r>
    <x v="12"/>
    <x v="1"/>
    <s v="C:\Users\andre\Desktop\REACTIV CEFAS\Fadrozole\Fadrozole/20201217_Cefas_Test10_Run1/Plate 5/@10/A4_01.tif "/>
    <s v=" 9495.5237 "/>
    <s v=" 35.3212 "/>
    <x v="0"/>
    <n v="335393"/>
    <m/>
    <m/>
  </r>
  <r>
    <x v="12"/>
    <x v="1"/>
    <s v="C:\Users\andre\Desktop\REACTIV CEFAS\Fadrozole\Fadrozole/20201217_Cefas_Test10_Run1/Plate 5/@10/A4_02- exclu.tif"/>
    <m/>
    <m/>
    <x v="1"/>
    <m/>
    <m/>
    <m/>
  </r>
  <r>
    <x v="12"/>
    <x v="1"/>
    <s v="C:\Users\andre\Desktop\REACTIV CEFAS\Fadrozole\Fadrozole/20201217_Cefas_Test10_Run1/Plate 5/@10/A4_03.tif "/>
    <s v=" 7570.4631 "/>
    <s v=" 40.4343 "/>
    <x v="0"/>
    <n v="306106"/>
    <m/>
    <m/>
  </r>
  <r>
    <x v="12"/>
    <x v="1"/>
    <s v="C:\Users\andre\Desktop\REACTIV CEFAS\Fadrozole\Fadrozole/20201217_Cefas_Test10_Run1/Plate 5/@10/A4_04.tif "/>
    <s v=" 11182.6555 "/>
    <s v=" 40.3752 "/>
    <x v="0"/>
    <n v="451502"/>
    <m/>
    <m/>
  </r>
  <r>
    <x v="12"/>
    <x v="2"/>
    <s v="C:\Users\andre\Desktop\REACTIV CEFAS\Fadrozole\Fadrozole/20201217_Cefas_Test10_Run1/Plate 5/@10/B4_01.tif "/>
    <s v=" 7354.1642 "/>
    <s v=" 39.5206 "/>
    <x v="0"/>
    <n v="290641"/>
    <m/>
    <m/>
  </r>
  <r>
    <x v="12"/>
    <x v="2"/>
    <s v="C:\Users\andre\Desktop\REACTIV CEFAS\Fadrozole\Fadrozole/20201217_Cefas_Test10_Run1/Plate 5/@10/B4_02.tif "/>
    <s v=" 4758.5768 "/>
    <s v=" 37.6136 "/>
    <x v="0"/>
    <n v="178987"/>
    <m/>
    <m/>
  </r>
  <r>
    <x v="12"/>
    <x v="2"/>
    <s v="C:\Users\andre\Desktop\REACTIV CEFAS\Fadrozole\Fadrozole/20201217_Cefas_Test10_Run1/Plate 5/@10/B4_03.tif "/>
    <s v=" 13972.9119 "/>
    <s v=" 43.322 "/>
    <x v="0"/>
    <n v="605334"/>
    <m/>
    <m/>
  </r>
  <r>
    <x v="12"/>
    <x v="2"/>
    <s v="C:\Users\andre\Desktop\REACTIV CEFAS\Fadrozole\Fadrozole/20201217_Cefas_Test10_Run1/Plate 5/@10/B4_04.tif "/>
    <s v=" 10577.0185 "/>
    <s v=" 41.8425 "/>
    <x v="0"/>
    <n v="442569"/>
    <m/>
    <m/>
  </r>
  <r>
    <x v="12"/>
    <x v="3"/>
    <s v="C:\Users\andre\Desktop\REACTIV CEFAS\Fadrozole\Fadrozole/20201217_Cefas_Test10_Run1/Plate 5/@10/C4_01.tif "/>
    <s v=" 5623.7726 "/>
    <s v=" 39.4192 "/>
    <x v="0"/>
    <n v="221685"/>
    <m/>
    <m/>
  </r>
  <r>
    <x v="12"/>
    <x v="3"/>
    <s v="C:\Users\andre\Desktop\REACTIV CEFAS\Fadrozole\Fadrozole/20201217_Cefas_Test10_Run1/Plate 5/@10/C4_02.tif "/>
    <s v=" 2920.0358 "/>
    <s v=" 32.9926 "/>
    <x v="0"/>
    <n v="96340"/>
    <m/>
    <m/>
  </r>
  <r>
    <x v="12"/>
    <x v="3"/>
    <s v="C:\Users\andre\Desktop\REACTIV CEFAS\Fadrozole\Fadrozole/20201217_Cefas_Test10_Run1/Plate 5/@10/C4_03.tif "/>
    <s v=" 5537.253 "/>
    <s v=" 39.7852 "/>
    <x v="0"/>
    <n v="220300"/>
    <m/>
    <m/>
  </r>
  <r>
    <x v="12"/>
    <x v="3"/>
    <s v="C:\Users\andre\Desktop\REACTIV CEFAS\Fadrozole\Fadrozole/20201217_Cefas_Test10_Run1/Plate 5/@10/C4_04.tif "/>
    <s v=" 6380.8189 "/>
    <s v=" 42.6915 "/>
    <x v="0"/>
    <n v="272407"/>
    <m/>
    <m/>
  </r>
  <r>
    <x v="12"/>
    <x v="4"/>
    <s v="C:\Users\andre\Desktop\REACTIV CEFAS\Fadrozole\Fadrozole/20201217_Cefas_Test10_Run1/Plate 5/@10/D4_01.tif "/>
    <s v=" 4650.4273 "/>
    <s v=" 36.614 "/>
    <x v="0"/>
    <n v="170271"/>
    <m/>
    <m/>
  </r>
  <r>
    <x v="12"/>
    <x v="4"/>
    <s v="C:\Users\andre\Desktop\REACTIV CEFAS\Fadrozole\Fadrozole/20201217_Cefas_Test10_Run1/Plate 5/@10/D4_02.tif "/>
    <s v=" 7527.2033 "/>
    <s v=" 43.0259 "/>
    <x v="0"/>
    <n v="323864"/>
    <m/>
    <m/>
  </r>
  <r>
    <x v="12"/>
    <x v="4"/>
    <s v="C:\Users\andre\Desktop\REACTIV CEFAS\Fadrozole\Fadrozole/20201217_Cefas_Test10_Run1/Plate 5/@10/D4_03.tif "/>
    <s v=" 5342.584 "/>
    <s v=" 40.1862 "/>
    <x v="0"/>
    <n v="214698"/>
    <m/>
    <m/>
  </r>
  <r>
    <x v="12"/>
    <x v="4"/>
    <s v="C:\Users\andre\Desktop\REACTIV CEFAS\Fadrozole\Fadrozole/20201217_Cefas_Test10_Run1/Plate 5/@10/D4_04.tif "/>
    <s v=" 7137.8652 "/>
    <s v=" 42.1091 "/>
    <x v="0"/>
    <n v="300569"/>
    <m/>
    <m/>
  </r>
  <r>
    <x v="12"/>
    <x v="5"/>
    <s v="C:\Users\andre\Desktop\REACTIV CEFAS\Fadrozole\Fadrozole/20201217_Cefas_Test10_Run1/Plate 5/@10/E4_01.tif "/>
    <s v=" 173.0392 "/>
    <n v="31"/>
    <x v="0"/>
    <n v="5364"/>
    <m/>
    <m/>
  </r>
  <r>
    <x v="12"/>
    <x v="5"/>
    <s v="C:\Users\andre\Desktop\REACTIV CEFAS\Fadrozole\Fadrozole/20201217_Cefas_Test10_Run1/Plate 5/@10/E4_02- exclu.tif"/>
    <m/>
    <m/>
    <x v="1"/>
    <m/>
    <m/>
    <m/>
  </r>
  <r>
    <x v="12"/>
    <x v="5"/>
    <s v="C:\Users\andre\Desktop\REACTIV CEFAS\Fadrozole\Fadrozole/20201217_Cefas_Test10_Run1/Plate 5/@10/E4_03.tif "/>
    <s v=" 64.8897 "/>
    <n v="31"/>
    <x v="0"/>
    <n v="2012"/>
    <m/>
    <m/>
  </r>
  <r>
    <x v="12"/>
    <x v="5"/>
    <s v="C:\Users\andre\Desktop\REACTIV CEFAS\Fadrozole\Fadrozole/20201217_Cefas_Test10_Run1/Plate 5/@10/E4_04.tif "/>
    <s v=" 5104.6551 "/>
    <s v=" 36.5763 "/>
    <x v="0"/>
    <n v="186709"/>
    <m/>
    <m/>
  </r>
  <r>
    <x v="12"/>
    <x v="6"/>
    <s v="C:\Users\andre\Desktop\REACTIV CEFAS\Fadrozole\Fadrozole/20201217_Cefas_Test10_Run1/Plate 5/@10/F4_01.tif "/>
    <s v=" 4434.1284 "/>
    <s v=" 38.0146 "/>
    <x v="0"/>
    <n v="168562"/>
    <m/>
    <m/>
  </r>
  <r>
    <x v="12"/>
    <x v="6"/>
    <s v="C:\Users\andre\Desktop\REACTIV CEFAS\Fadrozole\Fadrozole/20201217_Cefas_Test10_Run1/Plate 5/@10/F4_02.tif "/>
    <s v=" 3352.6337 "/>
    <s v=" 38.4645 "/>
    <x v="0"/>
    <n v="128957"/>
    <m/>
    <m/>
  </r>
  <r>
    <x v="12"/>
    <x v="6"/>
    <s v="C:\Users\andre\Desktop\REACTIV CEFAS\Fadrozole\Fadrozole/20201217_Cefas_Test10_Run1/Plate 5/@10/F4_03.tif "/>
    <s v=" 4217.8295 "/>
    <s v=" 35.5077 "/>
    <x v="0"/>
    <n v="149765"/>
    <m/>
    <m/>
  </r>
  <r>
    <x v="12"/>
    <x v="6"/>
    <s v="C:\Users\andre\Desktop\REACTIV CEFAS\Fadrozole\Fadrozole/20201217_Cefas_Test10_Run1/Plate 5/@10/F4_04.tif "/>
    <s v=" 3114.7048 "/>
    <s v=" 35.2778 "/>
    <x v="0"/>
    <n v="109880"/>
    <m/>
    <m/>
  </r>
  <r>
    <x v="12"/>
    <x v="7"/>
    <s v="C:\Users\andre\Desktop\REACTIV CEFAS\Fadrozole\Fadrozole/20201217_Cefas_Test10_Run1/Plate 5/@10/G4_01.tif "/>
    <s v=" 6078.0004 "/>
    <s v=" 37.9786 "/>
    <x v="0"/>
    <n v="230834"/>
    <m/>
    <m/>
  </r>
  <r>
    <x v="12"/>
    <x v="7"/>
    <s v="C:\Users\andre\Desktop\REACTIV CEFAS\Fadrozole\Fadrozole/20201217_Cefas_Test10_Run1/Plate 5/@10/G4_02.tif "/>
    <s v=" 7700.2425 "/>
    <s v=" 37.0056 "/>
    <x v="0"/>
    <n v="284952"/>
    <m/>
    <m/>
  </r>
  <r>
    <x v="12"/>
    <x v="7"/>
    <s v="C:\Users\andre\Desktop\REACTIV CEFAS\Fadrozole\Fadrozole/20201217_Cefas_Test10_Run1/Plate 5/@10/G4_03.tif "/>
    <s v=" 6467.3385 "/>
    <s v=" 37.0769 "/>
    <x v="0"/>
    <n v="239789"/>
    <m/>
    <m/>
  </r>
  <r>
    <x v="12"/>
    <x v="7"/>
    <s v="C:\Users\andre\Desktop\REACTIV CEFAS\Fadrozole\Fadrozole/20201217_Cefas_Test10_Run1/Plate 5/@10/G4_04- exclu.tif"/>
    <m/>
    <m/>
    <x v="1"/>
    <m/>
    <m/>
    <m/>
  </r>
  <r>
    <x v="12"/>
    <x v="8"/>
    <s v="C:\Users\andre\Desktop\REACTIV CEFAS\Fadrozole\Fadrozole/20201217_Cefas_Test10_Run1/Plate 5/@10/H4_01.tif "/>
    <s v=" 2011.5802 "/>
    <s v=" 35.3763 "/>
    <x v="0"/>
    <n v="71162"/>
    <m/>
    <m/>
  </r>
  <r>
    <x v="12"/>
    <x v="8"/>
    <s v="C:\Users\andre\Desktop\REACTIV CEFAS\Fadrozole\Fadrozole/20201217_Cefas_Test10_Run1/Plate 5/@10/H4_02.tif "/>
    <s v=" 3633.8223 "/>
    <s v=" 35.25 "/>
    <x v="0"/>
    <n v="128092"/>
    <m/>
    <m/>
  </r>
  <r>
    <x v="12"/>
    <x v="8"/>
    <s v="C:\Users\andre\Desktop\REACTIV CEFAS\Fadrozole\Fadrozole/20201217_Cefas_Test10_Run1/Plate 5/@10/H4_03.tif "/>
    <s v=" 4196.1996 "/>
    <s v=" 38.0155 "/>
    <x v="0"/>
    <n v="159520"/>
    <m/>
    <m/>
  </r>
  <r>
    <x v="12"/>
    <x v="8"/>
    <s v="C:\Users\andre\Desktop\REACTIV CEFAS\Fadrozole\Fadrozole/20201217_Cefas_Test10_Run1/Plate 5/@10/H4_04.tif "/>
    <s v=" 2487.4379 "/>
    <s v=" 35.2 "/>
    <x v="0"/>
    <n v="87558"/>
    <m/>
    <m/>
  </r>
  <r>
    <x v="0"/>
    <x v="0"/>
    <s v=" "/>
    <m/>
    <m/>
    <x v="1"/>
    <m/>
    <m/>
    <m/>
  </r>
  <r>
    <x v="0"/>
    <x v="0"/>
    <s v="group "/>
    <s v=" "/>
    <s v=" mean of mean fluo "/>
    <x v="2"/>
    <s v=" mean of total fluo "/>
    <s v=" SD total fluo "/>
    <m/>
  </r>
  <r>
    <x v="12"/>
    <x v="9"/>
    <s v="C:\Users\andre\Desktop\REACTIV CEFAS\Fadrozole\Fadrozole/20201217_Cefas_Test10_Run1/Plate 5/@10/ "/>
    <s v=" "/>
    <s v=" 35.2499 "/>
    <x v="14"/>
    <s v=" 199871.594 "/>
    <s v=" 141777.002 "/>
    <m/>
  </r>
  <r>
    <x v="0"/>
    <x v="0"/>
    <s v=" "/>
    <m/>
    <m/>
    <x v="1"/>
    <m/>
    <m/>
    <m/>
  </r>
  <r>
    <x v="0"/>
    <x v="0"/>
    <s v=" "/>
    <m/>
    <m/>
    <x v="1"/>
    <m/>
    <m/>
    <m/>
  </r>
  <r>
    <x v="0"/>
    <x v="0"/>
    <s v=" "/>
    <m/>
    <m/>
    <x v="1"/>
    <m/>
    <m/>
    <m/>
  </r>
  <r>
    <x v="0"/>
    <x v="0"/>
    <s v=" "/>
    <m/>
    <m/>
    <x v="1"/>
    <m/>
    <m/>
    <m/>
  </r>
  <r>
    <x v="0"/>
    <x v="0"/>
    <s v=" "/>
    <m/>
    <m/>
    <x v="1"/>
    <m/>
    <m/>
    <m/>
  </r>
  <r>
    <x v="0"/>
    <x v="0"/>
    <s v="file name "/>
    <s v=" total area "/>
    <s v=" mean intensity "/>
    <x v="0"/>
    <s v=" total fluorescence"/>
    <m/>
    <m/>
  </r>
  <r>
    <x v="13"/>
    <x v="1"/>
    <s v="C:\Users\andre\Desktop\REACTIV CEFAS\Fadrozole\Fadrozole/20201217_Cefas_Test10_Run1/Plate 5/@11/A5_01.tif "/>
    <s v=" 8803.3671 "/>
    <s v=" 34.258 "/>
    <x v="0"/>
    <n v="301586"/>
    <m/>
    <m/>
  </r>
  <r>
    <x v="13"/>
    <x v="1"/>
    <s v="C:\Users\andre\Desktop\REACTIV CEFAS\Fadrozole\Fadrozole/20201217_Cefas_Test10_Run1/Plate 5/@11/A5_02.tif "/>
    <s v=" 1276.1638 "/>
    <s v=" 32.1525 "/>
    <x v="0"/>
    <n v="41032"/>
    <m/>
    <m/>
  </r>
  <r>
    <x v="13"/>
    <x v="1"/>
    <s v="C:\Users\andre\Desktop\REACTIV CEFAS\Fadrozole\Fadrozole/20201217_Cefas_Test10_Run1/Plate 5/@11/A5_03.tif "/>
    <s v=" 281.1886 "/>
    <s v=" 30.6154 "/>
    <x v="0"/>
    <n v="8609"/>
    <m/>
    <m/>
  </r>
  <r>
    <x v="13"/>
    <x v="1"/>
    <s v="C:\Users\andre\Desktop\REACTIV CEFAS\Fadrozole\Fadrozole/20201217_Cefas_Test10_Run1/Plate 5/@11/A5_04.tif "/>
    <s v=" 5861.7014 "/>
    <s v=" 35.9446 "/>
    <x v="0"/>
    <n v="210697"/>
    <m/>
    <m/>
  </r>
  <r>
    <x v="13"/>
    <x v="2"/>
    <s v="C:\Users\andre\Desktop\REACTIV CEFAS\Fadrozole\Fadrozole/20201217_Cefas_Test10_Run1/Plate 5/@11/B5_01.tif "/>
    <s v=" 5710.2922 "/>
    <s v=" 39.2955 "/>
    <x v="0"/>
    <n v="224389"/>
    <m/>
    <m/>
  </r>
  <r>
    <x v="13"/>
    <x v="2"/>
    <s v="C:\Users\andre\Desktop\REACTIV CEFAS\Fadrozole\Fadrozole/20201217_Cefas_Test10_Run1/Plate 5/@11/B5_02.tif "/>
    <s v=" 5515.6231 "/>
    <s v=" 42.1922 "/>
    <x v="0"/>
    <n v="232716"/>
    <m/>
    <m/>
  </r>
  <r>
    <x v="13"/>
    <x v="2"/>
    <s v="C:\Users\andre\Desktop\REACTIV CEFAS\Fadrozole\Fadrozole/20201217_Cefas_Test10_Run1/Plate 5/@11/B5_03.tif "/>
    <s v=" 7440.6838 "/>
    <s v=" 39.8256 "/>
    <x v="0"/>
    <n v="296330"/>
    <m/>
    <m/>
  </r>
  <r>
    <x v="13"/>
    <x v="2"/>
    <s v="C:\Users\andre\Desktop\REACTIV CEFAS\Fadrozole\Fadrozole/20201217_Cefas_Test10_Run1/Plate 5/@11/B5_04.tif "/>
    <s v=" 43.2598 "/>
    <s v=" 30.5 "/>
    <x v="0"/>
    <n v="1319"/>
    <m/>
    <m/>
  </r>
  <r>
    <x v="13"/>
    <x v="3"/>
    <s v="C:\Users\andre\Desktop\REACTIV CEFAS\Fadrozole\Fadrozole/20201217_Cefas_Test10_Run1/Plate 5/@11/C5_01.tif "/>
    <s v=" 2444.1781 "/>
    <s v=" 33.8761 "/>
    <x v="0"/>
    <n v="82799"/>
    <m/>
    <m/>
  </r>
  <r>
    <x v="13"/>
    <x v="3"/>
    <s v="C:\Users\andre\Desktop\REACTIV CEFAS\Fadrozole\Fadrozole/20201217_Cefas_Test10_Run1/Plate 5/@11/C5_02.tif "/>
    <s v=" 3352.6337 "/>
    <s v=" 34.5226 "/>
    <x v="0"/>
    <n v="115742"/>
    <m/>
    <m/>
  </r>
  <r>
    <x v="13"/>
    <x v="3"/>
    <s v="C:\Users\andre\Desktop\REACTIV CEFAS\Fadrozole\Fadrozole/20201217_Cefas_Test10_Run1/Plate 5/@11/C5_03.tif "/>
    <s v=" 692.1566 "/>
    <s v=" 30.8125 "/>
    <x v="0"/>
    <n v="21327"/>
    <m/>
    <m/>
  </r>
  <r>
    <x v="13"/>
    <x v="3"/>
    <s v="C:\Users\andre\Desktop\REACTIV CEFAS\Fadrozole\Fadrozole/20201217_Cefas_Test10_Run1/Plate 5/@11/C5_04.tif "/>
    <s v=" 3698.712 "/>
    <s v=" 34.1988 "/>
    <x v="0"/>
    <n v="126492"/>
    <m/>
    <m/>
  </r>
  <r>
    <x v="13"/>
    <x v="4"/>
    <s v="C:\Users\andre\Desktop\REACTIV CEFAS\Fadrozole\Fadrozole/20201217_Cefas_Test10_Run1/Plate 5/@11/D5_01.tif "/>
    <s v=" 5429.1036 "/>
    <s v=" 38.012 "/>
    <x v="0"/>
    <n v="206371"/>
    <m/>
    <m/>
  </r>
  <r>
    <x v="13"/>
    <x v="4"/>
    <s v="C:\Users\andre\Desktop\REACTIV CEFAS\Fadrozole\Fadrozole/20201217_Cefas_Test10_Run1/Plate 5/@11/D5_02.tif "/>
    <s v=" 4023.1604 "/>
    <s v=" 34.3763 "/>
    <x v="0"/>
    <n v="138302"/>
    <m/>
    <m/>
  </r>
  <r>
    <x v="13"/>
    <x v="4"/>
    <s v="C:\Users\andre\Desktop\REACTIV CEFAS\Fadrozole\Fadrozole/20201217_Cefas_Test10_Run1/Plate 5/@11/D5_03.tif "/>
    <s v=" 4650.4273 "/>
    <s v=" 35.5209 "/>
    <x v="0"/>
    <n v="165188"/>
    <m/>
    <m/>
  </r>
  <r>
    <x v="13"/>
    <x v="4"/>
    <s v="C:\Users\andre\Desktop\REACTIV CEFAS\Fadrozole\Fadrozole/20201217_Cefas_Test10_Run1/Plate 5/@11/D5_04.tif "/>
    <s v=" 4780.2067 "/>
    <s v=" 40.0317 "/>
    <x v="0"/>
    <n v="191360"/>
    <m/>
    <m/>
  </r>
  <r>
    <x v="13"/>
    <x v="5"/>
    <s v="C:\Users\andre\Desktop\REACTIV CEFAS\Fadrozole\Fadrozole/20201217_Cefas_Test10_Run1/Plate 5/@11/E5_01.tif "/>
    <s v=" 324.4484 "/>
    <s v=" 31.6667 "/>
    <x v="0"/>
    <n v="10274"/>
    <m/>
    <m/>
  </r>
  <r>
    <x v="13"/>
    <x v="5"/>
    <s v="C:\Users\andre\Desktop\REACTIV CEFAS\Fadrozole\Fadrozole/20201217_Cefas_Test10_Run1/Plate 5/@11/E5_02.tif "/>
    <s v=" 8392.3991 "/>
    <s v=" 39.9407 "/>
    <x v="0"/>
    <n v="335198"/>
    <m/>
    <m/>
  </r>
  <r>
    <x v="13"/>
    <x v="5"/>
    <s v="C:\Users\andre\Desktop\REACTIV CEFAS\Fadrozole\Fadrozole/20201217_Cefas_Test10_Run1/Plate 5/@11/E5_03.tif "/>
    <s v=" 10512.1288 "/>
    <s v=" 40.5123 "/>
    <x v="0"/>
    <n v="425871"/>
    <m/>
    <m/>
  </r>
  <r>
    <x v="13"/>
    <x v="5"/>
    <s v="C:\Users\andre\Desktop\REACTIV CEFAS\Fadrozole\Fadrozole/20201217_Cefas_Test10_Run1/Plate 5/@11/E5_04.tif "/>
    <s v=" 6445.7086 "/>
    <s v=" 36.0268 "/>
    <x v="0"/>
    <n v="232219"/>
    <m/>
    <m/>
  </r>
  <r>
    <x v="13"/>
    <x v="6"/>
    <s v="C:\Users\andre\Desktop\REACTIV CEFAS\Fadrozole\Fadrozole/20201217_Cefas_Test10_Run1/Plate 5/@11/F5_01.tif "/>
    <s v=" 7786.7621 "/>
    <s v=" 36.2056 "/>
    <x v="0"/>
    <n v="281924"/>
    <m/>
    <m/>
  </r>
  <r>
    <x v="13"/>
    <x v="6"/>
    <s v="C:\Users\andre\Desktop\REACTIV CEFAS\Fadrozole\Fadrozole/20201217_Cefas_Test10_Run1/Plate 5/@11/F5_02.tif "/>
    <s v=" 5580.5128 "/>
    <s v=" 37.7442 "/>
    <x v="0"/>
    <n v="210632"/>
    <m/>
    <m/>
  </r>
  <r>
    <x v="13"/>
    <x v="6"/>
    <s v="C:\Users\andre\Desktop\REACTIV CEFAS\Fadrozole\Fadrozole/20201217_Cefas_Test10_Run1/Plate 5/@11/F5_03.tif "/>
    <s v=" 8630.328 "/>
    <s v=" 42.1253 "/>
    <x v="0"/>
    <n v="363555"/>
    <m/>
    <m/>
  </r>
  <r>
    <x v="13"/>
    <x v="6"/>
    <s v="C:\Users\andre\Desktop\REACTIV CEFAS\Fadrozole\Fadrozole/20201217_Cefas_Test10_Run1/Plate 5/@11/F5_04.tif "/>
    <s v=" 9906.4917 "/>
    <s v=" 36.4629 "/>
    <x v="0"/>
    <n v="361219"/>
    <m/>
    <m/>
  </r>
  <r>
    <x v="13"/>
    <x v="7"/>
    <s v="C:\Users\andre\Desktop\REACTIV CEFAS\Fadrozole\Fadrozole/20201217_Cefas_Test10_Run1/Plate 5/@11/G5_01.tif "/>
    <s v=" 9409.0042 "/>
    <s v=" 39.623 "/>
    <x v="0"/>
    <n v="372813"/>
    <m/>
    <m/>
  </r>
  <r>
    <x v="13"/>
    <x v="7"/>
    <s v="C:\Users\andre\Desktop\REACTIV CEFAS\Fadrozole\Fadrozole/20201217_Cefas_Test10_Run1/Plate 5/@11/G5_02.tif "/>
    <s v=" 8132.8404 "/>
    <s v=" 40.1011 "/>
    <x v="0"/>
    <n v="326136"/>
    <m/>
    <m/>
  </r>
  <r>
    <x v="13"/>
    <x v="7"/>
    <s v="C:\Users\andre\Desktop\REACTIV CEFAS\Fadrozole\Fadrozole/20201217_Cefas_Test10_Run1/Plate 5/@11/G5_03.tif "/>
    <s v=" 9906.4917 "/>
    <s v=" 41.9279 "/>
    <x v="0"/>
    <n v="415359"/>
    <m/>
    <m/>
  </r>
  <r>
    <x v="13"/>
    <x v="7"/>
    <s v="C:\Users\andre\Desktop\REACTIV CEFAS\Fadrozole\Fadrozole/20201217_Cefas_Test10_Run1/Plate 5/@11/G5_04.tif "/>
    <s v=" 7851.6518 "/>
    <s v=" 43.3003 "/>
    <x v="0"/>
    <n v="339979"/>
    <m/>
    <m/>
  </r>
  <r>
    <x v="13"/>
    <x v="8"/>
    <s v="C:\Users\andre\Desktop\REACTIV CEFAS\Fadrozole\Fadrozole/20201217_Cefas_Test10_Run1/Plate 5/@11/H5_01- exclu.tif"/>
    <m/>
    <m/>
    <x v="1"/>
    <m/>
    <m/>
    <m/>
  </r>
  <r>
    <x v="13"/>
    <x v="8"/>
    <s v="C:\Users\andre\Desktop\REACTIV CEFAS\Fadrozole\Fadrozole/20201217_Cefas_Test10_Run1/Plate 5/@11/H5_02.tif "/>
    <n v="0"/>
    <n v="0"/>
    <x v="0"/>
    <n v="0"/>
    <m/>
    <m/>
  </r>
  <r>
    <x v="13"/>
    <x v="8"/>
    <s v="C:\Users\andre\Desktop\REACTIV CEFAS\Fadrozole\Fadrozole/20201217_Cefas_Test10_Run1/Plate 5/@11/H5_03.tif "/>
    <s v=" 3244.4842 "/>
    <s v=" 34.5733 "/>
    <x v="0"/>
    <n v="112173"/>
    <m/>
    <m/>
  </r>
  <r>
    <x v="13"/>
    <x v="8"/>
    <s v="C:\Users\andre\Desktop\REACTIV CEFAS\Fadrozole\Fadrozole/20201217_Cefas_Test10_Run1/Plate 5/@11/H5_04.tif "/>
    <s v=" 6013.1107 "/>
    <s v=" 35.4065 "/>
    <x v="0"/>
    <n v="212903"/>
    <m/>
    <m/>
  </r>
  <r>
    <x v="0"/>
    <x v="0"/>
    <s v=" "/>
    <m/>
    <m/>
    <x v="1"/>
    <m/>
    <m/>
    <m/>
  </r>
  <r>
    <x v="0"/>
    <x v="0"/>
    <s v="group "/>
    <s v=" "/>
    <s v=" mean of mean fluo "/>
    <x v="2"/>
    <s v=" mean of total fluo "/>
    <s v=" SD total fluo "/>
    <m/>
  </r>
  <r>
    <x v="13"/>
    <x v="9"/>
    <s v="C:\Users\andre\Desktop\REACTIV CEFAS\Fadrozole\Fadrozole/20201217_Cefas_Test10_Run1/Plate 5/@11/ "/>
    <s v=" "/>
    <s v=" 34.4297 "/>
    <x v="15"/>
    <s v=" 198891.062 "/>
    <s v=" 133384.786 "/>
    <m/>
  </r>
  <r>
    <x v="0"/>
    <x v="0"/>
    <s v=" "/>
    <m/>
    <m/>
    <x v="1"/>
    <m/>
    <m/>
    <m/>
  </r>
  <r>
    <x v="0"/>
    <x v="0"/>
    <s v=" "/>
    <m/>
    <m/>
    <x v="1"/>
    <m/>
    <m/>
    <m/>
  </r>
  <r>
    <x v="0"/>
    <x v="0"/>
    <s v=" "/>
    <m/>
    <m/>
    <x v="1"/>
    <m/>
    <m/>
    <m/>
  </r>
  <r>
    <x v="0"/>
    <x v="0"/>
    <s v=" "/>
    <m/>
    <m/>
    <x v="1"/>
    <m/>
    <m/>
    <m/>
  </r>
  <r>
    <x v="0"/>
    <x v="0"/>
    <s v=" "/>
    <m/>
    <m/>
    <x v="1"/>
    <m/>
    <m/>
    <m/>
  </r>
  <r>
    <x v="0"/>
    <x v="0"/>
    <s v="file name "/>
    <s v=" total area "/>
    <s v=" mean intensity "/>
    <x v="0"/>
    <s v=" total fluorescence"/>
    <m/>
    <m/>
  </r>
  <r>
    <x v="14"/>
    <x v="1"/>
    <s v="C:\Users\andre\Desktop\REACTIV CEFAS\Fadrozole\Fadrozole/20201217_Cefas_Test10_Run1/Plate 5/@12/A6_01.tif "/>
    <s v=" 11680.1431 "/>
    <s v=" 39.6278 "/>
    <x v="0"/>
    <n v="462858"/>
    <m/>
    <m/>
  </r>
  <r>
    <x v="14"/>
    <x v="1"/>
    <s v="C:\Users\andre\Desktop\REACTIV CEFAS\Fadrozole\Fadrozole/20201217_Cefas_Test10_Run1/Plate 5/@12/A6_02.tif "/>
    <s v=" 6640.3777 "/>
    <s v=" 41.7622 "/>
    <x v="0"/>
    <n v="277317"/>
    <m/>
    <m/>
  </r>
  <r>
    <x v="14"/>
    <x v="1"/>
    <s v="C:\Users\andre\Desktop\REACTIV CEFAS\Fadrozole\Fadrozole/20201217_Cefas_Test10_Run1/Plate 5/@12/A6_03.tif "/>
    <s v=" 9798.3423 "/>
    <s v=" 40.0905 "/>
    <x v="0"/>
    <n v="392821"/>
    <m/>
    <m/>
  </r>
  <r>
    <x v="14"/>
    <x v="1"/>
    <s v="C:\Users\andre\Desktop\REACTIV CEFAS\Fadrozole\Fadrozole/20201217_Cefas_Test10_Run1/Plate 5/@12/A6_04.tif "/>
    <s v=" 8803.3671 "/>
    <s v=" 36.2776 "/>
    <x v="0"/>
    <n v="319365"/>
    <m/>
    <m/>
  </r>
  <r>
    <x v="14"/>
    <x v="2"/>
    <s v="C:\Users\andre\Desktop\REACTIV CEFAS\Fadrozole\Fadrozole/20201217_Cefas_Test10_Run1/Plate 5/@12/B6_01.tif "/>
    <s v=" 3568.9326 "/>
    <s v=" 37.2727 "/>
    <x v="0"/>
    <n v="133024"/>
    <m/>
    <m/>
  </r>
  <r>
    <x v="14"/>
    <x v="2"/>
    <s v="C:\Users\andre\Desktop\REACTIV CEFAS\Fadrozole\Fadrozole/20201217_Cefas_Test10_Run1/Plate 5/@12/B6_02.tif "/>
    <s v=" 4953.2459 "/>
    <s v=" 42.9214 "/>
    <x v="0"/>
    <n v="212600"/>
    <m/>
    <m/>
  </r>
  <r>
    <x v="14"/>
    <x v="2"/>
    <s v="C:\Users\andre\Desktop\REACTIV CEFAS\Fadrozole\Fadrozole/20201217_Cefas_Test10_Run1/Plate 5/@12/B6_03.tif "/>
    <s v=" 1081.4947 "/>
    <s v=" 33.66 "/>
    <x v="0"/>
    <n v="36403"/>
    <m/>
    <m/>
  </r>
  <r>
    <x v="14"/>
    <x v="2"/>
    <s v="C:\Users\andre\Desktop\REACTIV CEFAS\Fadrozole\Fadrozole/20201217_Cefas_Test10_Run1/Plate 5/@12/B6_04.tif "/>
    <s v=" 5558.8829 "/>
    <s v=" 37.4047 "/>
    <x v="0"/>
    <n v="207928"/>
    <m/>
    <m/>
  </r>
  <r>
    <x v="14"/>
    <x v="3"/>
    <s v="C:\Users\andre\Desktop\REACTIV CEFAS\Fadrozole\Fadrozole/20201217_Cefas_Test10_Run1/Plate 5/@12/C6_01.tif "/>
    <n v="0"/>
    <n v="0"/>
    <x v="0"/>
    <n v="0"/>
    <m/>
    <m/>
  </r>
  <r>
    <x v="14"/>
    <x v="3"/>
    <s v="C:\Users\andre\Desktop\REACTIV CEFAS\Fadrozole\Fadrozole/20201217_Cefas_Test10_Run1/Plate 5/@12/C6_02.tif "/>
    <n v="0"/>
    <n v="0"/>
    <x v="0"/>
    <n v="0"/>
    <m/>
    <m/>
  </r>
  <r>
    <x v="14"/>
    <x v="3"/>
    <s v="C:\Users\andre\Desktop\REACTIV CEFAS\Fadrozole\Fadrozole/20201217_Cefas_Test10_Run1/Plate 5/@12/C6_03.tif "/>
    <s v=" 2119.7297 "/>
    <s v=" 32.4388 "/>
    <x v="0"/>
    <n v="68761"/>
    <m/>
    <m/>
  </r>
  <r>
    <x v="14"/>
    <x v="3"/>
    <s v="C:\Users\andre\Desktop\REACTIV CEFAS\Fadrozole\Fadrozole/20201217_Cefas_Test10_Run1/Plate 5/@12/C6_04.tif "/>
    <s v=" 108.1495 "/>
    <s v=" 31.2 "/>
    <x v="0"/>
    <n v="3374"/>
    <m/>
    <m/>
  </r>
  <r>
    <x v="14"/>
    <x v="4"/>
    <s v="C:\Users\andre\Desktop\REACTIV CEFAS\Fadrozole\Fadrozole/20201217_Cefas_Test10_Run1/Plate 5/@12/D6_01.tif "/>
    <s v=" 5256.0644 "/>
    <s v=" 37.6955 "/>
    <x v="0"/>
    <n v="198130"/>
    <m/>
    <m/>
  </r>
  <r>
    <x v="14"/>
    <x v="4"/>
    <s v="C:\Users\andre\Desktop\REACTIV CEFAS\Fadrozole\Fadrozole/20201217_Cefas_Test10_Run1/Plate 5/@12/D6_02- exclu.tif"/>
    <m/>
    <m/>
    <x v="1"/>
    <m/>
    <m/>
    <m/>
  </r>
  <r>
    <x v="14"/>
    <x v="4"/>
    <s v="C:\Users\andre\Desktop\REACTIV CEFAS\Fadrozole\Fadrozole/20201217_Cefas_Test10_Run1/Plate 5/@12/D6_03.tif "/>
    <s v=" 7786.7621 "/>
    <s v=" 43.5167 "/>
    <x v="0"/>
    <n v="338854"/>
    <m/>
    <m/>
  </r>
  <r>
    <x v="14"/>
    <x v="4"/>
    <s v="C:\Users\andre\Desktop\REACTIV CEFAS\Fadrozole\Fadrozole/20201217_Cefas_Test10_Run1/Plate 5/@12/D6_04.tif "/>
    <s v=" 3244.4842 "/>
    <s v=" 39.0867 "/>
    <x v="0"/>
    <n v="126816"/>
    <m/>
    <m/>
  </r>
  <r>
    <x v="14"/>
    <x v="5"/>
    <s v="C:\Users\andre\Desktop\REACTIV CEFAS\Fadrozole\Fadrozole/20201217_Cefas_Test10_Run1/Plate 5/@12/E6_01.tif "/>
    <s v=" 5104.6551 "/>
    <s v=" 36.2288 "/>
    <x v="0"/>
    <n v="184936"/>
    <m/>
    <m/>
  </r>
  <r>
    <x v="14"/>
    <x v="5"/>
    <s v="C:\Users\andre\Desktop\REACTIV CEFAS\Fadrozole\Fadrozole/20201217_Cefas_Test10_Run1/Plate 5/@12/E6_02.tif "/>
    <s v=" 6013.1107 "/>
    <s v=" 37.9065 "/>
    <x v="0"/>
    <n v="227936"/>
    <m/>
    <m/>
  </r>
  <r>
    <x v="14"/>
    <x v="5"/>
    <s v="C:\Users\andre\Desktop\REACTIV CEFAS\Fadrozole\Fadrozole/20201217_Cefas_Test10_Run1/Plate 5/@12/E6_03.tif "/>
    <s v=" 10209.3103 "/>
    <s v=" 40.786 "/>
    <x v="0"/>
    <n v="416397"/>
    <m/>
    <m/>
  </r>
  <r>
    <x v="14"/>
    <x v="5"/>
    <s v="C:\Users\andre\Desktop\REACTIV CEFAS\Fadrozole\Fadrozole/20201217_Cefas_Test10_Run1/Plate 5/@12/E6_04.tif "/>
    <s v=" 410.968 "/>
    <s v=" 30.5263 "/>
    <x v="0"/>
    <n v="12545"/>
    <m/>
    <m/>
  </r>
  <r>
    <x v="14"/>
    <x v="6"/>
    <s v="C:\Users\andre\Desktop\REACTIV CEFAS\Fadrozole\Fadrozole/20201217_Cefas_Test10_Run1/Plate 5/@12/F6_01.tif "/>
    <s v=" 1578.9823 "/>
    <s v=" 31.5753 "/>
    <x v="0"/>
    <n v="49857"/>
    <m/>
    <m/>
  </r>
  <r>
    <x v="14"/>
    <x v="6"/>
    <s v="C:\Users\andre\Desktop\REACTIV CEFAS\Fadrozole\Fadrozole/20201217_Cefas_Test10_Run1/Plate 5/@12/F6_02.tif "/>
    <s v=" 3331.0038 "/>
    <s v=" 32.3701 "/>
    <x v="0"/>
    <n v="107825"/>
    <m/>
    <m/>
  </r>
  <r>
    <x v="14"/>
    <x v="6"/>
    <s v="C:\Users\andre\Desktop\REACTIV CEFAS\Fadrozole\Fadrozole/20201217_Cefas_Test10_Run1/Plate 5/@12/F6_03.tif "/>
    <s v=" 4909.9861 "/>
    <s v=" 37.6476 "/>
    <x v="0"/>
    <n v="184849"/>
    <m/>
    <m/>
  </r>
  <r>
    <x v="14"/>
    <x v="6"/>
    <s v="C:\Users\andre\Desktop\REACTIV CEFAS\Fadrozole\Fadrozole/20201217_Cefas_Test10_Run1/Plate 5/@12/F6_04.tif "/>
    <s v=" 367.7082 "/>
    <s v=" 31.7647 "/>
    <x v="0"/>
    <n v="11680"/>
    <m/>
    <m/>
  </r>
  <r>
    <x v="14"/>
    <x v="7"/>
    <s v="C:\Users\andre\Desktop\REACTIV CEFAS\Fadrozole\Fadrozole/20201217_Cefas_Test10_Run1/Plate 5/@12/G6_01.tif "/>
    <s v=" 7051.3456 "/>
    <s v=" 35.5982 "/>
    <x v="0"/>
    <n v="251015"/>
    <m/>
    <m/>
  </r>
  <r>
    <x v="14"/>
    <x v="7"/>
    <s v="C:\Users\andre\Desktop\REACTIV CEFAS\Fadrozole\Fadrozole/20201217_Cefas_Test10_Run1/Plate 5/@12/G6_02.tif "/>
    <s v=" 7051.3456 "/>
    <s v=" 38.6779 "/>
    <x v="0"/>
    <n v="272731"/>
    <m/>
    <m/>
  </r>
  <r>
    <x v="14"/>
    <x v="7"/>
    <s v="C:\Users\andre\Desktop\REACTIV CEFAS\Fadrozole\Fadrozole/20201217_Cefas_Test10_Run1/Plate 5/@12/G6_03.tif "/>
    <s v=" 10317.4597 "/>
    <s v=" 38.0587 "/>
    <x v="0"/>
    <n v="392669"/>
    <m/>
    <m/>
  </r>
  <r>
    <x v="14"/>
    <x v="7"/>
    <s v="C:\Users\andre\Desktop\REACTIV CEFAS\Fadrozole\Fadrozole/20201217_Cefas_Test10_Run1/Plate 5/@12/G6_04.tif "/>
    <s v=" 6683.6374 "/>
    <s v=" 41.123 "/>
    <x v="0"/>
    <n v="274851"/>
    <m/>
    <m/>
  </r>
  <r>
    <x v="14"/>
    <x v="8"/>
    <s v="C:\Users\andre\Desktop\REACTIV CEFAS\Fadrozole\Fadrozole/20201217_Cefas_Test10_Run1/Plate 5/@12/H6_01.tif "/>
    <s v=" 7656.9827 "/>
    <s v=" 38.1751 "/>
    <x v="0"/>
    <n v="292306"/>
    <m/>
    <m/>
  </r>
  <r>
    <x v="14"/>
    <x v="8"/>
    <s v="C:\Users\andre\Desktop\REACTIV CEFAS\Fadrozole\Fadrozole/20201217_Cefas_Test10_Run1/Plate 5/@12/H6_02.tif "/>
    <s v=" 7916.5414 "/>
    <s v=" 36.2377 "/>
    <x v="0"/>
    <n v="286877"/>
    <m/>
    <m/>
  </r>
  <r>
    <x v="14"/>
    <x v="8"/>
    <s v="C:\Users\andre\Desktop\REACTIV CEFAS\Fadrozole\Fadrozole/20201217_Cefas_Test10_Run1/Plate 5/@12/H6_03.tif "/>
    <s v=" 6575.488 "/>
    <s v=" 36.5296 "/>
    <x v="0"/>
    <n v="240200"/>
    <m/>
    <m/>
  </r>
  <r>
    <x v="14"/>
    <x v="8"/>
    <s v="C:\Users\andre\Desktop\REACTIV CEFAS\Fadrozole\Fadrozole/20201217_Cefas_Test10_Run1/Plate 5/@12/H6_04.tif "/>
    <s v=" 8478.9187 "/>
    <s v=" 39.2934 "/>
    <x v="0"/>
    <n v="333165"/>
    <m/>
    <m/>
  </r>
  <r>
    <x v="0"/>
    <x v="0"/>
    <s v=" "/>
    <m/>
    <m/>
    <x v="1"/>
    <m/>
    <m/>
    <m/>
  </r>
  <r>
    <x v="0"/>
    <x v="0"/>
    <s v="group "/>
    <s v=" "/>
    <s v=" mean of mean fluo "/>
    <x v="2"/>
    <s v=" mean of total fluo "/>
    <s v=" SD total fluo "/>
    <m/>
  </r>
  <r>
    <x v="14"/>
    <x v="9"/>
    <s v="C:\Users\andre\Desktop\REACTIV CEFAS\Fadrozole\Fadrozole/20201217_Cefas_Test10_Run1/Plate 5/@12/ "/>
    <s v=" "/>
    <s v=" 33.6079 "/>
    <x v="16"/>
    <s v=" 197440.312 "/>
    <s v=" 138427.576 "/>
    <m/>
  </r>
  <r>
    <x v="0"/>
    <x v="0"/>
    <s v=" "/>
    <m/>
    <m/>
    <x v="1"/>
    <m/>
    <m/>
    <m/>
  </r>
  <r>
    <x v="0"/>
    <x v="0"/>
    <s v=" "/>
    <m/>
    <m/>
    <x v="1"/>
    <m/>
    <m/>
    <m/>
  </r>
  <r>
    <x v="0"/>
    <x v="0"/>
    <s v=" "/>
    <m/>
    <m/>
    <x v="1"/>
    <m/>
    <m/>
    <m/>
  </r>
  <r>
    <x v="0"/>
    <x v="0"/>
    <s v=" "/>
    <m/>
    <m/>
    <x v="1"/>
    <m/>
    <m/>
    <m/>
  </r>
  <r>
    <x v="0"/>
    <x v="0"/>
    <s v=" "/>
    <m/>
    <m/>
    <x v="1"/>
    <m/>
    <m/>
    <m/>
  </r>
  <r>
    <x v="0"/>
    <x v="0"/>
    <s v="file name "/>
    <s v=" total area "/>
    <s v=" mean intensity "/>
    <x v="0"/>
    <s v=" total fluorescence"/>
    <m/>
    <m/>
  </r>
  <r>
    <x v="15"/>
    <x v="1"/>
    <s v="C:\Users\andre\Desktop\REACTIV CEFAS\Fadrozole\Fadrozole/20201217_Cefas_Test10_Run1/Plate 5/@17/A8_01.tif "/>
    <s v=" 7462.3136 "/>
    <s v=" 33.113 "/>
    <x v="0"/>
    <n v="247100"/>
    <m/>
    <m/>
  </r>
  <r>
    <x v="15"/>
    <x v="1"/>
    <s v="C:\Users\andre\Desktop\REACTIV CEFAS\Fadrozole\Fadrozole/20201217_Cefas_Test10_Run1/Plate 5/@17/A8_02.tif "/>
    <s v=" 8262.6197 "/>
    <s v=" 35.1047 "/>
    <x v="0"/>
    <n v="290057"/>
    <m/>
    <m/>
  </r>
  <r>
    <x v="15"/>
    <x v="1"/>
    <s v="C:\Users\andre\Desktop\REACTIV CEFAS\Fadrozole\Fadrozole/20201217_Cefas_Test10_Run1/Plate 5/@17/A8_03.tif "/>
    <s v=" 9993.0113 "/>
    <s v=" 35.8788 "/>
    <x v="0"/>
    <n v="358537"/>
    <m/>
    <m/>
  </r>
  <r>
    <x v="15"/>
    <x v="1"/>
    <s v="C:\Users\andre\Desktop\REACTIV CEFAS\Fadrozole\Fadrozole/20201217_Cefas_Test10_Run1/Plate 5/@17/A8_04.tif "/>
    <s v=" 5191.1747 "/>
    <s v=" 34.3208 "/>
    <x v="0"/>
    <n v="178165"/>
    <m/>
    <m/>
  </r>
  <r>
    <x v="15"/>
    <x v="2"/>
    <s v="C:\Users\andre\Desktop\REACTIV CEFAS\Fadrozole\Fadrozole/20201217_Cefas_Test10_Run1/Plate 5/@17/B8_01.tif "/>
    <s v=" 1427.573 "/>
    <s v=" 31.8636 "/>
    <x v="0"/>
    <n v="45488"/>
    <m/>
    <m/>
  </r>
  <r>
    <x v="15"/>
    <x v="2"/>
    <s v="C:\Users\andre\Desktop\REACTIV CEFAS\Fadrozole\Fadrozole/20201217_Cefas_Test10_Run1/Plate 5/@17/B8_02.tif "/>
    <s v=" 302.8185 "/>
    <s v=" 30.9286 "/>
    <x v="0"/>
    <n v="9366"/>
    <m/>
    <m/>
  </r>
  <r>
    <x v="15"/>
    <x v="2"/>
    <s v="C:\Users\andre\Desktop\REACTIV CEFAS\Fadrozole\Fadrozole/20201217_Cefas_Test10_Run1/Plate 5/@17/B8_03.tif "/>
    <s v=" 302.8185 "/>
    <s v=" 31.6429 "/>
    <x v="0"/>
    <n v="9582"/>
    <m/>
    <m/>
  </r>
  <r>
    <x v="15"/>
    <x v="2"/>
    <s v="C:\Users\andre\Desktop\REACTIV CEFAS\Fadrozole\Fadrozole/20201217_Cefas_Test10_Run1/Plate 5/@17/B8_04.tif "/>
    <n v="0"/>
    <n v="0"/>
    <x v="0"/>
    <n v="0"/>
    <m/>
    <m/>
  </r>
  <r>
    <x v="15"/>
    <x v="3"/>
    <s v="C:\Users\andre\Desktop\REACTIV CEFAS\Fadrozole\Fadrozole/20201217_Cefas_Test10_Run1/Plate 5/@17/C8_01.tif "/>
    <s v=" 4477.3882 "/>
    <s v=" 41.6184 "/>
    <x v="0"/>
    <n v="186342"/>
    <m/>
    <m/>
  </r>
  <r>
    <x v="15"/>
    <x v="3"/>
    <s v="C:\Users\andre\Desktop\REACTIV CEFAS\Fadrozole\Fadrozole/20201217_Cefas_Test10_Run1/Plate 5/@17/C8_02.tif "/>
    <s v=" 540.7474 "/>
    <s v=" 36.88 "/>
    <x v="0"/>
    <n v="19943"/>
    <m/>
    <m/>
  </r>
  <r>
    <x v="15"/>
    <x v="3"/>
    <s v="C:\Users\andre\Desktop\REACTIV CEFAS\Fadrozole\Fadrozole/20201217_Cefas_Test10_Run1/Plate 5/@17/C8_03.tif "/>
    <s v=" 5147.9149 "/>
    <s v=" 43.3151 "/>
    <x v="0"/>
    <n v="222983"/>
    <m/>
    <m/>
  </r>
  <r>
    <x v="15"/>
    <x v="3"/>
    <s v="C:\Users\andre\Desktop\REACTIV CEFAS\Fadrozole\Fadrozole/20201217_Cefas_Test10_Run1/Plate 5/@17/C8_04.tif "/>
    <s v=" 4304.349 "/>
    <s v=" 36.0101 "/>
    <x v="0"/>
    <n v="155000"/>
    <m/>
    <m/>
  </r>
  <r>
    <x v="15"/>
    <x v="4"/>
    <s v="C:\Users\andre\Desktop\REACTIV CEFAS\Fadrozole\Fadrozole/20201217_Cefas_Test10_Run1/Plate 5/@17/D8_01.tif "/>
    <s v=" 1081.4947 "/>
    <s v=" 33.24 "/>
    <x v="0"/>
    <n v="35949"/>
    <m/>
    <m/>
  </r>
  <r>
    <x v="15"/>
    <x v="4"/>
    <s v="C:\Users\andre\Desktop\REACTIV CEFAS\Fadrozole\Fadrozole/20201217_Cefas_Test10_Run1/Plate 5/@17/D8_02.tif "/>
    <s v=" 3979.9006 "/>
    <s v=" 34.6685 "/>
    <x v="0"/>
    <n v="137977"/>
    <m/>
    <m/>
  </r>
  <r>
    <x v="15"/>
    <x v="4"/>
    <s v="C:\Users\andre\Desktop\REACTIV CEFAS\Fadrozole\Fadrozole/20201217_Cefas_Test10_Run1/Plate 5/@17/D8_03.tif "/>
    <s v=" 3547.3027 "/>
    <s v=" 34.689 "/>
    <x v="0"/>
    <n v="123052"/>
    <m/>
    <m/>
  </r>
  <r>
    <x v="15"/>
    <x v="4"/>
    <s v="C:\Users\andre\Desktop\REACTIV CEFAS\Fadrozole\Fadrozole/20201217_Cefas_Test10_Run1/Plate 5/@17/D8_04.tif "/>
    <s v=" 6121.2602 "/>
    <s v=" 35.8975 "/>
    <x v="0"/>
    <n v="219738"/>
    <m/>
    <m/>
  </r>
  <r>
    <x v="15"/>
    <x v="5"/>
    <s v="C:\Users\andre\Desktop\REACTIV CEFAS\Fadrozole\Fadrozole/20201217_Cefas_Test10_Run1/Plate 5/@17/E8_01.tif "/>
    <s v=" 843.5659 "/>
    <s v=" 38.2308 "/>
    <x v="0"/>
    <n v="32250"/>
    <m/>
    <m/>
  </r>
  <r>
    <x v="15"/>
    <x v="5"/>
    <s v="C:\Users\andre\Desktop\REACTIV CEFAS\Fadrozole\Fadrozole/20201217_Cefas_Test10_Run1/Plate 5/@17/E8_02.tif "/>
    <s v=" 7548.8332 "/>
    <s v=" 39.6762 "/>
    <x v="0"/>
    <n v="299509"/>
    <m/>
    <m/>
  </r>
  <r>
    <x v="15"/>
    <x v="5"/>
    <s v="C:\Users\andre\Desktop\REACTIV CEFAS\Fadrozole\Fadrozole/20201217_Cefas_Test10_Run1/Plate 5/@17/E8_03.tif "/>
    <s v=" 8176.1002 "/>
    <s v=" 40.246 "/>
    <x v="0"/>
    <n v="329056"/>
    <m/>
    <m/>
  </r>
  <r>
    <x v="15"/>
    <x v="5"/>
    <s v="C:\Users\andre\Desktop\REACTIV CEFAS\Fadrozole\Fadrozole/20201217_Cefas_Test10_Run1/Plate 5/@17/E8_04.tif "/>
    <s v=" 7873.2816 "/>
    <s v=" 41.522 "/>
    <x v="0"/>
    <n v="326914"/>
    <m/>
    <m/>
  </r>
  <r>
    <x v="15"/>
    <x v="6"/>
    <s v="C:\Users\andre\Desktop\REACTIV CEFAS\Fadrozole\Fadrozole/20201217_Cefas_Test10_Run1/Plate 5/@17/F8_01.tif "/>
    <s v=" 6402.4488 "/>
    <s v=" 36.3176 "/>
    <x v="0"/>
    <n v="232521"/>
    <m/>
    <m/>
  </r>
  <r>
    <x v="15"/>
    <x v="6"/>
    <s v="C:\Users\andre\Desktop\REACTIV CEFAS\Fadrozole\Fadrozole/20201217_Cefas_Test10_Run1/Plate 5/@17/F8_02.tif "/>
    <s v=" 8565.4383 "/>
    <s v=" 38.4394 "/>
    <x v="0"/>
    <n v="329250"/>
    <m/>
    <m/>
  </r>
  <r>
    <x v="15"/>
    <x v="6"/>
    <s v="C:\Users\andre\Desktop\REACTIV CEFAS\Fadrozole\Fadrozole/20201217_Cefas_Test10_Run1/Plate 5/@17/F8_03.tif "/>
    <s v=" 5018.1356 "/>
    <s v=" 33.7543 "/>
    <x v="0"/>
    <n v="169384"/>
    <m/>
    <m/>
  </r>
  <r>
    <x v="15"/>
    <x v="6"/>
    <s v="C:\Users\andre\Desktop\REACTIV CEFAS\Fadrozole\Fadrozole/20201217_Cefas_Test10_Run1/Plate 5/@17/F8_04.tif "/>
    <s v=" 4369.2387 "/>
    <s v=" 32.6485 "/>
    <x v="0"/>
    <n v="142649"/>
    <m/>
    <m/>
  </r>
  <r>
    <x v="15"/>
    <x v="7"/>
    <s v="C:\Users\andre\Desktop\REACTIV CEFAS\Fadrozole\Fadrozole/20201217_Cefas_Test10_Run1/Plate 5/@17/G8_01.tif "/>
    <s v=" 7505.5734 "/>
    <s v=" 43.4524 "/>
    <x v="0"/>
    <n v="326136"/>
    <m/>
    <m/>
  </r>
  <r>
    <x v="15"/>
    <x v="7"/>
    <s v="C:\Users\andre\Desktop\REACTIV CEFAS\Fadrozole\Fadrozole/20201217_Cefas_Test10_Run1/Plate 5/@17/G8_02- exclu.tif"/>
    <m/>
    <m/>
    <x v="1"/>
    <m/>
    <m/>
    <m/>
  </r>
  <r>
    <x v="15"/>
    <x v="7"/>
    <s v="C:\Users\andre\Desktop\REACTIV CEFAS\Fadrozole\Fadrozole/20201217_Cefas_Test10_Run1/Plate 5/@17/G8_03.tif "/>
    <s v=" 2184.6194 "/>
    <s v=" 31.3069 "/>
    <x v="0"/>
    <n v="68394"/>
    <m/>
    <m/>
  </r>
  <r>
    <x v="15"/>
    <x v="7"/>
    <s v="C:\Users\andre\Desktop\REACTIV CEFAS\Fadrozole\Fadrozole/20201217_Cefas_Test10_Run1/Plate 5/@17/G8_04- exclu.tif"/>
    <m/>
    <m/>
    <x v="1"/>
    <m/>
    <m/>
    <m/>
  </r>
  <r>
    <x v="15"/>
    <x v="8"/>
    <s v="C:\Users\andre\Desktop\REACTIV CEFAS\Fadrozole\Fadrozole/20201217_Cefas_Test10_Run1/Plate 5/@17/H8_01.tif "/>
    <n v="0"/>
    <n v="0"/>
    <x v="0"/>
    <n v="0"/>
    <m/>
    <m/>
  </r>
  <r>
    <x v="15"/>
    <x v="8"/>
    <s v="C:\Users\andre\Desktop\REACTIV CEFAS\Fadrozole\Fadrozole/20201217_Cefas_Test10_Run1/Plate 5/@17/H8_02.tif "/>
    <s v=" 9387.3743 "/>
    <s v=" 36.9539 "/>
    <x v="0"/>
    <n v="346900"/>
    <m/>
    <m/>
  </r>
  <r>
    <x v="15"/>
    <x v="8"/>
    <s v="C:\Users\andre\Desktop\REACTIV CEFAS\Fadrozole\Fadrozole/20201217_Cefas_Test10_Run1/Plate 5/@17/H8_03.tif "/>
    <s v=" 10187.6804 "/>
    <s v=" 40.4586 "/>
    <x v="0"/>
    <n v="412179"/>
    <m/>
    <m/>
  </r>
  <r>
    <x v="15"/>
    <x v="8"/>
    <s v="C:\Users\andre\Desktop\REACTIV CEFAS\Fadrozole\Fadrozole/20201217_Cefas_Test10_Run1/Plate 5/@17/H8_04.tif "/>
    <s v=" 4412.4985 "/>
    <s v=" 33.3382 "/>
    <x v="0"/>
    <n v="147105"/>
    <m/>
    <m/>
  </r>
  <r>
    <x v="0"/>
    <x v="0"/>
    <s v=" "/>
    <m/>
    <m/>
    <x v="1"/>
    <m/>
    <m/>
    <m/>
  </r>
  <r>
    <x v="0"/>
    <x v="0"/>
    <s v="group "/>
    <s v=" "/>
    <s v=" mean of mean fluo "/>
    <x v="2"/>
    <s v=" mean of total fluo "/>
    <s v=" SD total fluo "/>
    <m/>
  </r>
  <r>
    <x v="15"/>
    <x v="9"/>
    <s v="C:\Users\andre\Desktop\REACTIV CEFAS\Fadrozole\Fadrozole/20201217_Cefas_Test10_Run1/Plate 5/@17/ "/>
    <s v=" "/>
    <s v=" 33.6865 "/>
    <x v="17"/>
    <s v=" 173318.312 "/>
    <s v=" 126686.407 "/>
    <m/>
  </r>
  <r>
    <x v="0"/>
    <x v="0"/>
    <s v=" "/>
    <m/>
    <m/>
    <x v="1"/>
    <m/>
    <m/>
    <m/>
  </r>
  <r>
    <x v="0"/>
    <x v="0"/>
    <s v=" "/>
    <m/>
    <m/>
    <x v="1"/>
    <m/>
    <m/>
    <m/>
  </r>
  <r>
    <x v="0"/>
    <x v="0"/>
    <s v=" "/>
    <m/>
    <m/>
    <x v="1"/>
    <m/>
    <m/>
    <m/>
  </r>
  <r>
    <x v="0"/>
    <x v="0"/>
    <s v=" "/>
    <m/>
    <m/>
    <x v="1"/>
    <m/>
    <m/>
    <m/>
  </r>
  <r>
    <x v="0"/>
    <x v="0"/>
    <s v=" "/>
    <m/>
    <m/>
    <x v="1"/>
    <m/>
    <m/>
    <m/>
  </r>
  <r>
    <x v="0"/>
    <x v="0"/>
    <s v="file name "/>
    <s v=" total area "/>
    <s v=" mean intensity "/>
    <x v="0"/>
    <s v=" total fluorescence"/>
    <m/>
    <m/>
  </r>
  <r>
    <x v="16"/>
    <x v="1"/>
    <s v="C:\Users\andre\Desktop\REACTIV CEFAS\Fadrozole\Fadrozole/20201217_Cefas_Test10_Run1/Plate 5/@18/A9_01- exclu.tif"/>
    <m/>
    <m/>
    <x v="1"/>
    <m/>
    <m/>
    <m/>
  </r>
  <r>
    <x v="16"/>
    <x v="1"/>
    <s v="C:\Users\andre\Desktop\REACTIV CEFAS\Fadrozole\Fadrozole/20201217_Cefas_Test10_Run1/Plate 5/@18/A9_02.tif "/>
    <s v=" 6013.1107 "/>
    <s v=" 40.3705 "/>
    <x v="0"/>
    <n v="242752"/>
    <m/>
    <m/>
  </r>
  <r>
    <x v="16"/>
    <x v="1"/>
    <s v="C:\Users\andre\Desktop\REACTIV CEFAS\Fadrozole\Fadrozole/20201217_Cefas_Test10_Run1/Plate 5/@18/A9_03.tif "/>
    <s v=" 5991.4808 "/>
    <s v=" 35.3321 "/>
    <x v="0"/>
    <n v="211692"/>
    <m/>
    <m/>
  </r>
  <r>
    <x v="16"/>
    <x v="1"/>
    <s v="C:\Users\andre\Desktop\REACTIV CEFAS\Fadrozole\Fadrozole/20201217_Cefas_Test10_Run1/Plate 5/@18/A9_04.tif "/>
    <s v=" 6726.8972 "/>
    <s v=" 39.5691 "/>
    <x v="0"/>
    <n v="266177"/>
    <m/>
    <m/>
  </r>
  <r>
    <x v="16"/>
    <x v="2"/>
    <s v="C:\Users\andre\Desktop\REACTIV CEFAS\Fadrozole\Fadrozole/20201217_Cefas_Test10_Run1/Plate 5/@18/B9_01.tif "/>
    <s v=" 5104.6551 "/>
    <s v=" 39.3051 "/>
    <x v="0"/>
    <n v="200639"/>
    <m/>
    <m/>
  </r>
  <r>
    <x v="16"/>
    <x v="2"/>
    <s v="C:\Users\andre\Desktop\REACTIV CEFAS\Fadrozole\Fadrozole/20201217_Cefas_Test10_Run1/Plate 5/@18/B9_02.tif "/>
    <s v=" 2941.6657 "/>
    <s v=" 36.2941 "/>
    <x v="0"/>
    <n v="106765"/>
    <m/>
    <m/>
  </r>
  <r>
    <x v="16"/>
    <x v="2"/>
    <s v="C:\Users\andre\Desktop\REACTIV CEFAS\Fadrozole\Fadrozole/20201217_Cefas_Test10_Run1/Plate 5/@18/B9_03.tif "/>
    <s v=" 3352.6337 "/>
    <s v=" 33.3871 "/>
    <x v="0"/>
    <n v="111935"/>
    <m/>
    <m/>
  </r>
  <r>
    <x v="16"/>
    <x v="2"/>
    <s v="C:\Users\andre\Desktop\REACTIV CEFAS\Fadrozole\Fadrozole/20201217_Cefas_Test10_Run1/Plate 5/@18/B9_04.tif "/>
    <s v=" 3893.381 "/>
    <s v=" 37.5611 "/>
    <x v="0"/>
    <n v="146240"/>
    <m/>
    <m/>
  </r>
  <r>
    <x v="16"/>
    <x v="3"/>
    <s v="C:\Users\andre\Desktop\REACTIV CEFAS\Fadrozole\Fadrozole/20201217_Cefas_Test10_Run1/Plate 5/@18/C9_01.tif "/>
    <s v=" 7678.6126 "/>
    <s v=" 36.5944 "/>
    <x v="0"/>
    <n v="280994"/>
    <m/>
    <m/>
  </r>
  <r>
    <x v="16"/>
    <x v="3"/>
    <s v="C:\Users\andre\Desktop\REACTIV CEFAS\Fadrozole\Fadrozole/20201217_Cefas_Test10_Run1/Plate 5/@18/C9_02.tif "/>
    <s v=" 7808.392 "/>
    <s v=" 37.277 "/>
    <x v="0"/>
    <n v="291073"/>
    <m/>
    <m/>
  </r>
  <r>
    <x v="16"/>
    <x v="3"/>
    <s v="C:\Users\andre\Desktop\REACTIV CEFAS\Fadrozole\Fadrozole/20201217_Cefas_Test10_Run1/Plate 5/@18/C9_03.tif "/>
    <s v=" 2509.0678 "/>
    <s v=" 35.681 "/>
    <x v="0"/>
    <n v="89526"/>
    <m/>
    <m/>
  </r>
  <r>
    <x v="16"/>
    <x v="3"/>
    <s v="C:\Users\andre\Desktop\REACTIV CEFAS\Fadrozole\Fadrozole/20201217_Cefas_Test10_Run1/Plate 5/@18/C9_04.tif "/>
    <s v=" 3698.712 "/>
    <s v=" 35.883 "/>
    <x v="0"/>
    <n v="132721"/>
    <m/>
    <m/>
  </r>
  <r>
    <x v="16"/>
    <x v="4"/>
    <s v="C:\Users\andre\Desktop\REACTIV CEFAS\Fadrozole\Fadrozole/20201217_Cefas_Test10_Run1/Plate 5/@18/D9_01.tif "/>
    <s v=" 6748.5271 "/>
    <s v=" 35.3109 "/>
    <x v="0"/>
    <n v="238297"/>
    <m/>
    <m/>
  </r>
  <r>
    <x v="16"/>
    <x v="4"/>
    <s v="C:\Users\andre\Desktop\REACTIV CEFAS\Fadrozole\Fadrozole/20201217_Cefas_Test10_Run1/Plate 5/@18/D9_02.tif "/>
    <s v=" 5083.0252 "/>
    <s v=" 35.0681 "/>
    <x v="0"/>
    <n v="178252"/>
    <m/>
    <m/>
  </r>
  <r>
    <x v="16"/>
    <x v="4"/>
    <s v="C:\Users\andre\Desktop\REACTIV CEFAS\Fadrozole\Fadrozole/20201217_Cefas_Test10_Run1/Plate 5/@18/D9_03.tif "/>
    <s v=" 4499.0181 "/>
    <s v=" 36.0385 "/>
    <x v="0"/>
    <n v="162138"/>
    <m/>
    <m/>
  </r>
  <r>
    <x v="16"/>
    <x v="4"/>
    <s v="C:\Users\andre\Desktop\REACTIV CEFAS\Fadrozole\Fadrozole/20201217_Cefas_Test10_Run1/Plate 5/@18/D9_04.tif "/>
    <s v=" 6532.2282 "/>
    <s v=" 36.1987 "/>
    <x v="0"/>
    <n v="236458"/>
    <m/>
    <m/>
  </r>
  <r>
    <x v="16"/>
    <x v="5"/>
    <s v="C:\Users\andre\Desktop\REACTIV CEFAS\Fadrozole\Fadrozole/20201217_Cefas_Test10_Run1/Plate 5/@18/E9_01.tif "/>
    <s v=" 129.7794 "/>
    <s v=" 31.1667 "/>
    <x v="0"/>
    <n v="4045"/>
    <m/>
    <m/>
  </r>
  <r>
    <x v="16"/>
    <x v="5"/>
    <s v="C:\Users\andre\Desktop\REACTIV CEFAS\Fadrozole\Fadrozole/20201217_Cefas_Test10_Run1/Plate 5/@18/E9_02.tif "/>
    <s v=" 432.5979 "/>
    <s v=" 31.45 "/>
    <x v="0"/>
    <n v="13605"/>
    <m/>
    <m/>
  </r>
  <r>
    <x v="16"/>
    <x v="5"/>
    <s v="C:\Users\andre\Desktop\REACTIV CEFAS\Fadrozole\Fadrozole/20201217_Cefas_Test10_Run1/Plate 5/@18/E9_03.tif "/>
    <s v=" 259.5587 "/>
    <s v=" 30.9167 "/>
    <x v="0"/>
    <n v="8025"/>
    <m/>
    <m/>
  </r>
  <r>
    <x v="16"/>
    <x v="5"/>
    <s v="C:\Users\andre\Desktop\REACTIV CEFAS\Fadrozole\Fadrozole/20201217_Cefas_Test10_Run1/Plate 5/@18/E9_04.tif "/>
    <s v=" 21.6299 "/>
    <n v="30"/>
    <x v="0"/>
    <n v="649"/>
    <m/>
    <m/>
  </r>
  <r>
    <x v="16"/>
    <x v="6"/>
    <s v="C:\Users\andre\Desktop\REACTIV CEFAS\Fadrozole\Fadrozole/20201217_Cefas_Test10_Run1/Plate 5/@18/F9_01.tif "/>
    <s v=" 7700.2425 "/>
    <s v=" 36.3567 "/>
    <x v="0"/>
    <n v="279956"/>
    <m/>
    <m/>
  </r>
  <r>
    <x v="16"/>
    <x v="6"/>
    <s v="C:\Users\andre\Desktop\REACTIV CEFAS\Fadrozole\Fadrozole/20201217_Cefas_Test10_Run1/Plate 5/@18/F9_02.tif "/>
    <s v=" 7029.7158 "/>
    <s v=" 36.1138 "/>
    <x v="0"/>
    <n v="253870"/>
    <m/>
    <m/>
  </r>
  <r>
    <x v="16"/>
    <x v="6"/>
    <s v="C:\Users\andre\Desktop\REACTIV CEFAS\Fadrozole\Fadrozole/20201217_Cefas_Test10_Run1/Plate 5/@18/F9_03.tif "/>
    <s v=" 6964.8261 "/>
    <s v=" 35.5559 "/>
    <x v="0"/>
    <n v="247641"/>
    <m/>
    <m/>
  </r>
  <r>
    <x v="16"/>
    <x v="6"/>
    <s v="C:\Users\andre\Desktop\REACTIV CEFAS\Fadrozole\Fadrozole/20201217_Cefas_Test10_Run1/Plate 5/@18/F9_04- exclu.tif"/>
    <m/>
    <m/>
    <x v="1"/>
    <m/>
    <m/>
    <m/>
  </r>
  <r>
    <x v="16"/>
    <x v="7"/>
    <s v="C:\Users\andre\Desktop\REACTIV CEFAS\Fadrozole\Fadrozole/20201217_Cefas_Test10_Run1/Plate 5/@18/G9_01- exclu.tif"/>
    <m/>
    <m/>
    <x v="1"/>
    <m/>
    <m/>
    <m/>
  </r>
  <r>
    <x v="16"/>
    <x v="7"/>
    <s v="C:\Users\andre\Desktop\REACTIV CEFAS\Fadrozole\Fadrozole/20201217_Cefas_Test10_Run1/Plate 5/@18/G9_02.tif "/>
    <s v=" 8651.9579 "/>
    <s v=" 39.58 "/>
    <x v="0"/>
    <n v="342444"/>
    <m/>
    <m/>
  </r>
  <r>
    <x v="16"/>
    <x v="7"/>
    <s v="C:\Users\andre\Desktop\REACTIV CEFAS\Fadrozole\Fadrozole/20201217_Cefas_Test10_Run1/Plate 5/@18/G9_03.tif "/>
    <s v=" 3093.0749 "/>
    <s v=" 35.986 "/>
    <x v="0"/>
    <n v="111307"/>
    <m/>
    <m/>
  </r>
  <r>
    <x v="16"/>
    <x v="7"/>
    <s v="C:\Users\andre\Desktop\REACTIV CEFAS\Fadrozole\Fadrozole/20201217_Cefas_Test10_Run1/Plate 5/@18/G9_04.tif "/>
    <s v=" 5883.3313 "/>
    <s v=" 36.3971 "/>
    <x v="0"/>
    <n v="214136"/>
    <m/>
    <m/>
  </r>
  <r>
    <x v="16"/>
    <x v="8"/>
    <s v="C:\Users\andre\Desktop\REACTIV CEFAS\Fadrozole\Fadrozole/20201217_Cefas_Test10_Run1/Plate 5/@18/H9_01.tif "/>
    <s v=" 8716.8475 "/>
    <s v=" 37.66 "/>
    <x v="0"/>
    <n v="328277"/>
    <m/>
    <m/>
  </r>
  <r>
    <x v="16"/>
    <x v="8"/>
    <s v="C:\Users\andre\Desktop\REACTIV CEFAS\Fadrozole\Fadrozole/20201217_Cefas_Test10_Run1/Plate 5/@18/H9_02.tif "/>
    <s v=" 9841.6021 "/>
    <n v="37"/>
    <x v="0"/>
    <n v="364139"/>
    <m/>
    <m/>
  </r>
  <r>
    <x v="16"/>
    <x v="8"/>
    <s v="C:\Users\andre\Desktop\REACTIV CEFAS\Fadrozole\Fadrozole/20201217_Cefas_Test10_Run1/Plate 5/@18/H9_03.tif "/>
    <s v=" 11939.7018 "/>
    <s v=" 38.8279 "/>
    <x v="0"/>
    <n v="463594"/>
    <m/>
    <m/>
  </r>
  <r>
    <x v="16"/>
    <x v="8"/>
    <s v="C:\Users\andre\Desktop\REACTIV CEFAS\Fadrozole\Fadrozole/20201217_Cefas_Test10_Run1/Plate 5/@18/H9_04.tif "/>
    <s v=" 4499.0181 "/>
    <s v=" 36.4135 "/>
    <x v="0"/>
    <n v="163825"/>
    <m/>
    <m/>
  </r>
  <r>
    <x v="0"/>
    <x v="0"/>
    <s v=" "/>
    <m/>
    <m/>
    <x v="1"/>
    <m/>
    <m/>
    <m/>
  </r>
  <r>
    <x v="0"/>
    <x v="0"/>
    <s v="group "/>
    <s v=" "/>
    <s v=" mean of mean fluo "/>
    <x v="2"/>
    <s v=" mean of total fluo "/>
    <s v=" SD total fluo "/>
    <m/>
  </r>
  <r>
    <x v="16"/>
    <x v="9"/>
    <s v="C:\Users\andre\Desktop\REACTIV CEFAS\Fadrozole\Fadrozole/20201217_Cefas_Test10_Run1/Plate 5/@18/ "/>
    <s v=" "/>
    <s v=" 35.7304 "/>
    <x v="18"/>
    <s v=" 185199.219 "/>
    <s v=" 115379.512 "/>
    <m/>
  </r>
  <r>
    <x v="0"/>
    <x v="0"/>
    <s v=" "/>
    <m/>
    <m/>
    <x v="1"/>
    <m/>
    <m/>
    <m/>
  </r>
  <r>
    <x v="0"/>
    <x v="0"/>
    <s v=" "/>
    <m/>
    <m/>
    <x v="1"/>
    <m/>
    <m/>
    <m/>
  </r>
  <r>
    <x v="0"/>
    <x v="0"/>
    <s v=" "/>
    <m/>
    <m/>
    <x v="1"/>
    <m/>
    <m/>
    <m/>
  </r>
  <r>
    <x v="0"/>
    <x v="0"/>
    <s v=" "/>
    <m/>
    <m/>
    <x v="1"/>
    <m/>
    <m/>
    <m/>
  </r>
  <r>
    <x v="0"/>
    <x v="0"/>
    <s v=" "/>
    <m/>
    <m/>
    <x v="1"/>
    <m/>
    <m/>
    <m/>
  </r>
  <r>
    <x v="0"/>
    <x v="0"/>
    <s v="file name "/>
    <s v=" total area "/>
    <s v=" mean intensity "/>
    <x v="0"/>
    <s v=" total fluorescence"/>
    <m/>
    <m/>
  </r>
  <r>
    <x v="17"/>
    <x v="1"/>
    <s v="C:\Users\andre\Desktop\REACTIV CEFAS\Fadrozole\Fadrozole/20201217_Cefas_Test10_Run1/Plate 5/@19/A10_01.tif "/>
    <n v="0"/>
    <n v="0"/>
    <x v="0"/>
    <n v="0"/>
    <m/>
    <m/>
  </r>
  <r>
    <x v="17"/>
    <x v="1"/>
    <s v="C:\Users\andre\Desktop\REACTIV CEFAS\Fadrozole\Fadrozole/20201217_Cefas_Test10_Run1/Plate 5/@19/A10_02.tif "/>
    <s v=" 4736.9469 "/>
    <s v=" 37.2237 "/>
    <x v="0"/>
    <n v="176327"/>
    <m/>
    <m/>
  </r>
  <r>
    <x v="17"/>
    <x v="1"/>
    <s v="C:\Users\andre\Desktop\REACTIV CEFAS\Fadrozole\Fadrozole/20201217_Cefas_Test10_Run1/Plate 5/@19/A10_03.tif "/>
    <s v=" 735.4164 "/>
    <s v=" 30.7647 "/>
    <x v="0"/>
    <n v="22625"/>
    <m/>
    <m/>
  </r>
  <r>
    <x v="17"/>
    <x v="1"/>
    <s v="C:\Users\andre\Desktop\REACTIV CEFAS\Fadrozole\Fadrozole/20201217_Cefas_Test10_Run1/Plate 5/@19/A10_04- exclu.tif"/>
    <m/>
    <m/>
    <x v="1"/>
    <m/>
    <m/>
    <m/>
  </r>
  <r>
    <x v="17"/>
    <x v="2"/>
    <s v="C:\Users\andre\Desktop\REACTIV CEFAS\Fadrozole\Fadrozole/20201217_Cefas_Test10_Run1/Plate 5/@19/B10_01.tif "/>
    <s v=" 1578.9823 "/>
    <n v="33"/>
    <x v="0"/>
    <n v="52106"/>
    <m/>
    <m/>
  </r>
  <r>
    <x v="17"/>
    <x v="2"/>
    <s v="C:\Users\andre\Desktop\REACTIV CEFAS\Fadrozole\Fadrozole/20201217_Cefas_Test10_Run1/Plate 5/@19/B10_02.tif "/>
    <s v=" 346.0783 "/>
    <s v=" 32.125 "/>
    <x v="0"/>
    <n v="11118"/>
    <m/>
    <m/>
  </r>
  <r>
    <x v="17"/>
    <x v="2"/>
    <s v="C:\Users\andre\Desktop\REACTIV CEFAS\Fadrozole\Fadrozole/20201217_Cefas_Test10_Run1/Plate 5/@19/B10_03.tif "/>
    <n v="0"/>
    <n v="0"/>
    <x v="0"/>
    <n v="0"/>
    <m/>
    <m/>
  </r>
  <r>
    <x v="17"/>
    <x v="2"/>
    <s v="C:\Users\andre\Desktop\REACTIV CEFAS\Fadrozole\Fadrozole/20201217_Cefas_Test10_Run1/Plate 5/@19/B10_04.tif "/>
    <s v=" 216.2989 "/>
    <s v=" 32.9 "/>
    <x v="0"/>
    <n v="7116"/>
    <m/>
    <m/>
  </r>
  <r>
    <x v="17"/>
    <x v="3"/>
    <s v="C:\Users\andre\Desktop\REACTIV CEFAS\Fadrozole\Fadrozole/20201217_Cefas_Test10_Run1/Plate 5/@19/C10_01.tif "/>
    <s v=" 5515.6231 "/>
    <s v=" 35.5529 "/>
    <x v="0"/>
    <n v="196097"/>
    <m/>
    <m/>
  </r>
  <r>
    <x v="17"/>
    <x v="3"/>
    <s v="C:\Users\andre\Desktop\REACTIV CEFAS\Fadrozole\Fadrozole/20201217_Cefas_Test10_Run1/Plate 5/@19/C10_02.tif "/>
    <s v=" 5602.1427 "/>
    <s v=" 38.7413 "/>
    <x v="0"/>
    <n v="217034"/>
    <m/>
    <m/>
  </r>
  <r>
    <x v="17"/>
    <x v="3"/>
    <s v="C:\Users\andre\Desktop\REACTIV CEFAS\Fadrozole\Fadrozole/20201217_Cefas_Test10_Run1/Plate 5/@19/C10_03.tif "/>
    <s v=" 5234.4345 "/>
    <s v=" 33.4835 "/>
    <x v="0"/>
    <n v="175267"/>
    <m/>
    <m/>
  </r>
  <r>
    <x v="17"/>
    <x v="3"/>
    <s v="C:\Users\andre\Desktop\REACTIV CEFAS\Fadrozole\Fadrozole/20201217_Cefas_Test10_Run1/Plate 5/@19/C10_04.tif "/>
    <s v=" 7008.0859 "/>
    <s v=" 38.3302 "/>
    <x v="0"/>
    <n v="268622"/>
    <m/>
    <m/>
  </r>
  <r>
    <x v="17"/>
    <x v="4"/>
    <s v="C:\Users\andre\Desktop\REACTIV CEFAS\Fadrozole\Fadrozole/20201217_Cefas_Test10_Run1/Plate 5/@19/D10_01.tif "/>
    <s v=" 3244.4842 "/>
    <s v=" 34.9333 "/>
    <x v="0"/>
    <n v="113341"/>
    <m/>
    <m/>
  </r>
  <r>
    <x v="17"/>
    <x v="4"/>
    <s v="C:\Users\andre\Desktop\REACTIV CEFAS\Fadrozole\Fadrozole/20201217_Cefas_Test10_Run1/Plate 5/@19/D10_02.tif "/>
    <s v=" 5861.7014 "/>
    <s v=" 35.4391 "/>
    <x v="0"/>
    <n v="207734"/>
    <m/>
    <m/>
  </r>
  <r>
    <x v="17"/>
    <x v="4"/>
    <s v="C:\Users\andre\Desktop\REACTIV CEFAS\Fadrozole\Fadrozole/20201217_Cefas_Test10_Run1/Plate 5/@19/D10_03.tif "/>
    <s v=" 2833.5162 "/>
    <s v=" 33.3053 "/>
    <x v="0"/>
    <n v="94371"/>
    <m/>
    <m/>
  </r>
  <r>
    <x v="17"/>
    <x v="4"/>
    <s v="C:\Users\andre\Desktop\REACTIV CEFAS\Fadrozole\Fadrozole/20201217_Cefas_Test10_Run1/Plate 5/@19/D10_04.tif "/>
    <s v=" 7332.5343 "/>
    <s v=" 36.3746 "/>
    <x v="0"/>
    <n v="266718"/>
    <m/>
    <m/>
  </r>
  <r>
    <x v="17"/>
    <x v="5"/>
    <s v="C:\Users\andre\Desktop\REACTIV CEFAS\Fadrozole\Fadrozole/20201217_Cefas_Test10_Run1/Plate 5/@19/E10_01.tif "/>
    <s v=" 15919.6024 "/>
    <s v=" 38.8207 "/>
    <x v="0"/>
    <n v="618009"/>
    <m/>
    <m/>
  </r>
  <r>
    <x v="17"/>
    <x v="5"/>
    <s v="C:\Users\andre\Desktop\REACTIV CEFAS\Fadrozole\Fadrozole/20201217_Cefas_Test10_Run1/Plate 5/@19/E10_02.tif "/>
    <s v=" 8889.8867 "/>
    <s v=" 38.9465 "/>
    <x v="0"/>
    <n v="346230"/>
    <m/>
    <m/>
  </r>
  <r>
    <x v="17"/>
    <x v="5"/>
    <s v="C:\Users\andre\Desktop\REACTIV CEFAS\Fadrozole\Fadrozole/20201217_Cefas_Test10_Run1/Plate 5/@19/E10_03.tif "/>
    <s v=" 1146.3844 "/>
    <s v=" 34.4528 "/>
    <x v="0"/>
    <n v="39496"/>
    <m/>
    <m/>
  </r>
  <r>
    <x v="17"/>
    <x v="5"/>
    <s v="C:\Users\andre\Desktop\REACTIV CEFAS\Fadrozole\Fadrozole/20201217_Cefas_Test10_Run1/Plate 5/@19/E10_04.tif "/>
    <s v=" 8111.2105 "/>
    <s v=" 38.864 "/>
    <x v="0"/>
    <n v="315234"/>
    <m/>
    <m/>
  </r>
  <r>
    <x v="17"/>
    <x v="6"/>
    <s v="C:\Users\andre\Desktop\REACTIV CEFAS\Fadrozole\Fadrozole/20201217_Cefas_Test10_Run1/Plate 5/@19/F10_01.tif "/>
    <s v=" 10014.6412 "/>
    <s v=" 39.7646 "/>
    <x v="0"/>
    <n v="398228"/>
    <m/>
    <m/>
  </r>
  <r>
    <x v="17"/>
    <x v="6"/>
    <s v="C:\Users\andre\Desktop\REACTIV CEFAS\Fadrozole\Fadrozole/20201217_Cefas_Test10_Run1/Plate 5/@19/F10_02.tif "/>
    <s v=" 9884.8618 "/>
    <s v=" 40.5908 "/>
    <x v="0"/>
    <n v="401235"/>
    <m/>
    <m/>
  </r>
  <r>
    <x v="17"/>
    <x v="6"/>
    <s v="C:\Users\andre\Desktop\REACTIV CEFAS\Fadrozole\Fadrozole/20201217_Cefas_Test10_Run1/Plate 5/@19/F10_03.tif "/>
    <s v=" 8414.029 "/>
    <s v=" 37.5578 "/>
    <x v="0"/>
    <n v="316013"/>
    <m/>
    <m/>
  </r>
  <r>
    <x v="17"/>
    <x v="6"/>
    <s v="C:\Users\andre\Desktop\REACTIV CEFAS\Fadrozole\Fadrozole/20201217_Cefas_Test10_Run1/Plate 5/@19/F10_04.tif "/>
    <s v=" 9755.0825 "/>
    <s v=" 39.1929 "/>
    <x v="0"/>
    <n v="382330"/>
    <m/>
    <m/>
  </r>
  <r>
    <x v="17"/>
    <x v="7"/>
    <s v="C:\Users\andre\Desktop\REACTIV CEFAS\Fadrozole\Fadrozole/20201217_Cefas_Test10_Run1/Plate 5/@19/G10_01.tif "/>
    <s v=" 7548.8332 "/>
    <s v=" 36.1203 "/>
    <x v="0"/>
    <n v="272666"/>
    <m/>
    <m/>
  </r>
  <r>
    <x v="17"/>
    <x v="7"/>
    <s v="C:\Users\andre\Desktop\REACTIV CEFAS\Fadrozole\Fadrozole/20201217_Cefas_Test10_Run1/Plate 5/@19/G10_02.tif "/>
    <s v=" 5364.2139 "/>
    <s v=" 39.0282 "/>
    <x v="0"/>
    <n v="209356"/>
    <m/>
    <m/>
  </r>
  <r>
    <x v="17"/>
    <x v="7"/>
    <s v="C:\Users\andre\Desktop\REACTIV CEFAS\Fadrozole\Fadrozole/20201217_Cefas_Test10_Run1/Plate 5/@19/G10_03.tif "/>
    <s v=" 4369.2387 "/>
    <s v=" 35.4554 "/>
    <x v="0"/>
    <n v="154913"/>
    <m/>
    <m/>
  </r>
  <r>
    <x v="17"/>
    <x v="7"/>
    <s v="C:\Users\andre\Desktop\REACTIV CEFAS\Fadrozole\Fadrozole/20201217_Cefas_Test10_Run1/Plate 5/@19/G10_04.tif "/>
    <s v=" 2141.3596 "/>
    <s v=" 32.6162 "/>
    <x v="0"/>
    <n v="69843"/>
    <m/>
    <m/>
  </r>
  <r>
    <x v="17"/>
    <x v="8"/>
    <s v="C:\Users\andre\Desktop\REACTIV CEFAS\Fadrozole\Fadrozole/20201217_Cefas_Test10_Run1/Plate 5/@19/H10_01.tif "/>
    <s v=" 12588.5987 "/>
    <s v=" 39.5498 "/>
    <x v="0"/>
    <n v="497877"/>
    <m/>
    <m/>
  </r>
  <r>
    <x v="17"/>
    <x v="8"/>
    <s v="C:\Users\andre\Desktop\REACTIV CEFAS\Fadrozole\Fadrozole/20201217_Cefas_Test10_Run1/Plate 5/@19/H10_02.tif "/>
    <s v=" 11918.0719 "/>
    <s v=" 41.9728 "/>
    <x v="0"/>
    <n v="500235"/>
    <m/>
    <m/>
  </r>
  <r>
    <x v="17"/>
    <x v="8"/>
    <s v="C:\Users\andre\Desktop\REACTIV CEFAS\Fadrozole\Fadrozole/20201217_Cefas_Test10_Run1/Plate 5/@19/H10_03.tif "/>
    <s v=" 8565.4383 "/>
    <s v=" 45.6641 "/>
    <x v="0"/>
    <n v="391133"/>
    <m/>
    <m/>
  </r>
  <r>
    <x v="17"/>
    <x v="8"/>
    <s v="C:\Users\andre\Desktop\REACTIV CEFAS\Fadrozole\Fadrozole/20201217_Cefas_Test10_Run1/Plate 5/@19/H10_04.tif "/>
    <s v=" 11571.9936 "/>
    <s v=" 38.4748 "/>
    <x v="0"/>
    <n v="445230"/>
    <m/>
    <m/>
  </r>
  <r>
    <x v="0"/>
    <x v="0"/>
    <s v=" "/>
    <m/>
    <m/>
    <x v="1"/>
    <m/>
    <m/>
    <m/>
  </r>
  <r>
    <x v="0"/>
    <x v="0"/>
    <s v="group "/>
    <s v=" "/>
    <s v=" mean of mean fluo "/>
    <x v="2"/>
    <s v=" mean of total fluo "/>
    <s v=" SD total fluo "/>
    <m/>
  </r>
  <r>
    <x v="17"/>
    <x v="9"/>
    <s v="C:\Users\andre\Desktop\REACTIV CEFAS\Fadrozole\Fadrozole/20201217_Cefas_Test10_Run1/Plate 5/@19/ "/>
    <s v=" "/>
    <s v=" 34.3514 "/>
    <x v="19"/>
    <s v=" 223973.531 "/>
    <s v=" 172127.172 "/>
    <m/>
  </r>
  <r>
    <x v="0"/>
    <x v="0"/>
    <s v=" "/>
    <m/>
    <m/>
    <x v="1"/>
    <m/>
    <m/>
    <m/>
  </r>
  <r>
    <x v="0"/>
    <x v="0"/>
    <s v=" "/>
    <m/>
    <m/>
    <x v="1"/>
    <m/>
    <m/>
    <m/>
  </r>
  <r>
    <x v="0"/>
    <x v="0"/>
    <s v=" "/>
    <m/>
    <m/>
    <x v="1"/>
    <m/>
    <m/>
    <m/>
  </r>
  <r>
    <x v="0"/>
    <x v="0"/>
    <s v=" "/>
    <m/>
    <m/>
    <x v="1"/>
    <m/>
    <m/>
    <m/>
  </r>
  <r>
    <x v="0"/>
    <x v="0"/>
    <s v=" "/>
    <m/>
    <m/>
    <x v="1"/>
    <m/>
    <m/>
    <m/>
  </r>
  <r>
    <x v="0"/>
    <x v="0"/>
    <s v="file name "/>
    <s v=" total area "/>
    <s v=" mean intensity "/>
    <x v="0"/>
    <s v=" total fluorescence"/>
    <m/>
    <m/>
  </r>
  <r>
    <x v="18"/>
    <x v="1"/>
    <s v="C:\Users\andre\Desktop\REACTIV CEFAS\Fadrozole\Fadrozole/20201217_Cefas_Test10_Run1/Plate 5/@20/A11_01.tif "/>
    <n v="0"/>
    <n v="0"/>
    <x v="0"/>
    <n v="0"/>
    <m/>
    <m/>
  </r>
  <r>
    <x v="18"/>
    <x v="1"/>
    <s v="C:\Users\andre\Desktop\REACTIV CEFAS\Fadrozole\Fadrozole/20201217_Cefas_Test10_Run1/Plate 5/@20/A11_02- exclu.tif"/>
    <m/>
    <m/>
    <x v="1"/>
    <m/>
    <m/>
    <m/>
  </r>
  <r>
    <x v="18"/>
    <x v="1"/>
    <s v="C:\Users\andre\Desktop\REACTIV CEFAS\Fadrozole\Fadrozole/20201217_Cefas_Test10_Run1/Plate 5/@20/A11_03.tif "/>
    <n v="0"/>
    <n v="0"/>
    <x v="0"/>
    <n v="0"/>
    <m/>
    <m/>
  </r>
  <r>
    <x v="18"/>
    <x v="1"/>
    <s v="C:\Users\andre\Desktop\REACTIV CEFAS\Fadrozole\Fadrozole/20201217_Cefas_Test10_Run1/Plate 5/@20/A11_04.tif "/>
    <s v=" 2941.6657 "/>
    <s v=" 33.3603 "/>
    <x v="0"/>
    <n v="98135"/>
    <m/>
    <m/>
  </r>
  <r>
    <x v="18"/>
    <x v="2"/>
    <s v="C:\Users\andre\Desktop\REACTIV CEFAS\Fadrozole\Fadrozole/20201217_Cefas_Test10_Run1/Plate 5/@20/B11_01.tif "/>
    <s v=" 11982.9616 "/>
    <s v=" 36.4585 "/>
    <x v="0"/>
    <n v="436881"/>
    <m/>
    <m/>
  </r>
  <r>
    <x v="18"/>
    <x v="2"/>
    <s v="C:\Users\andre\Desktop\REACTIV CEFAS\Fadrozole\Fadrozole/20201217_Cefas_Test10_Run1/Plate 5/@20/B11_02.tif "/>
    <s v=" 7116.2353 "/>
    <s v=" 38.5593 "/>
    <x v="0"/>
    <n v="274397"/>
    <m/>
    <m/>
  </r>
  <r>
    <x v="18"/>
    <x v="2"/>
    <s v="C:\Users\andre\Desktop\REACTIV CEFAS\Fadrozole\Fadrozole/20201217_Cefas_Test10_Run1/Plate 5/@20/B11_03.tif "/>
    <s v=" 6467.3385 "/>
    <s v=" 39.1438 "/>
    <x v="0"/>
    <n v="253156"/>
    <m/>
    <m/>
  </r>
  <r>
    <x v="18"/>
    <x v="2"/>
    <s v="C:\Users\andre\Desktop\REACTIV CEFAS\Fadrozole\Fadrozole/20201217_Cefas_Test10_Run1/Plate 5/@20/B11_04.tif "/>
    <s v=" 5948.221 "/>
    <s v=" 38.5382 "/>
    <x v="0"/>
    <n v="229234"/>
    <m/>
    <m/>
  </r>
  <r>
    <x v="18"/>
    <x v="3"/>
    <s v="C:\Users\andre\Desktop\REACTIV CEFAS\Fadrozole\Fadrozole/20201217_Cefas_Test10_Run1/Plate 5/@20/C11_01.tif "/>
    <s v=" 6986.456 "/>
    <s v=" 38.8142 "/>
    <x v="0"/>
    <n v="271174"/>
    <m/>
    <m/>
  </r>
  <r>
    <x v="18"/>
    <x v="3"/>
    <s v="C:\Users\andre\Desktop\REACTIV CEFAS\Fadrozole\Fadrozole/20201217_Cefas_Test10_Run1/Plate 5/@20/C11_02.tif "/>
    <s v=" 8846.6269 "/>
    <s v=" 37.2616 "/>
    <x v="0"/>
    <n v="329640"/>
    <m/>
    <m/>
  </r>
  <r>
    <x v="0"/>
    <x v="0"/>
    <s v=" "/>
    <m/>
    <m/>
    <x v="1"/>
    <m/>
    <m/>
    <m/>
  </r>
  <r>
    <x v="0"/>
    <x v="0"/>
    <s v="group "/>
    <s v=" "/>
    <s v=" mean of mean fluo "/>
    <x v="2"/>
    <s v=" mean of total fluo "/>
    <s v=" SD total fluo "/>
    <m/>
  </r>
  <r>
    <x v="18"/>
    <x v="9"/>
    <s v="C:\Users\andre\Desktop\REACTIV CEFAS\Fadrozole\Fadrozole/20201217_Cefas_Test10_Run1/Plate 5/@20/ "/>
    <s v=" "/>
    <s v=" 26.2136 "/>
    <x v="20"/>
    <s v=" 189261.7 "/>
    <s v=" 155071.075 "/>
    <m/>
  </r>
  <r>
    <x v="0"/>
    <x v="0"/>
    <s v=" "/>
    <m/>
    <m/>
    <x v="1"/>
    <m/>
    <m/>
    <m/>
  </r>
  <r>
    <x v="0"/>
    <x v="0"/>
    <s v=" "/>
    <m/>
    <m/>
    <x v="1"/>
    <m/>
    <m/>
    <m/>
  </r>
  <r>
    <x v="0"/>
    <x v="0"/>
    <s v=" "/>
    <m/>
    <m/>
    <x v="1"/>
    <m/>
    <m/>
    <m/>
  </r>
  <r>
    <x v="0"/>
    <x v="0"/>
    <s v=" "/>
    <m/>
    <m/>
    <x v="1"/>
    <m/>
    <m/>
    <m/>
  </r>
  <r>
    <x v="0"/>
    <x v="0"/>
    <s v=" "/>
    <m/>
    <m/>
    <x v="1"/>
    <m/>
    <m/>
    <m/>
  </r>
  <r>
    <x v="0"/>
    <x v="0"/>
    <s v="file name "/>
    <s v=" total area "/>
    <s v=" mean intensity "/>
    <x v="0"/>
    <s v=" total fluorescence"/>
    <m/>
    <m/>
  </r>
  <r>
    <x v="19"/>
    <x v="1"/>
    <s v="C:\Users\andre\Desktop\REACTIV CEFAS\Fadrozole\Fadrozole/20201217_Cefas_Test10_Run1/Plate 5/@21/A12_01.tif "/>
    <s v=" 6121.2602 "/>
    <s v=" 37.2544 "/>
    <x v="0"/>
    <n v="228044"/>
    <m/>
    <m/>
  </r>
  <r>
    <x v="19"/>
    <x v="1"/>
    <s v="C:\Users\andre\Desktop\REACTIV CEFAS\Fadrozole\Fadrozole/20201217_Cefas_Test10_Run1/Plate 5/@21/A12_02.tif "/>
    <s v=" 2552.3276 "/>
    <s v=" 33.9915 "/>
    <x v="0"/>
    <n v="86758"/>
    <m/>
    <m/>
  </r>
  <r>
    <x v="19"/>
    <x v="1"/>
    <s v="C:\Users\andre\Desktop\REACTIV CEFAS\Fadrozole\Fadrozole/20201217_Cefas_Test10_Run1/Plate 5/@21/A12_03.tif "/>
    <s v=" 12804.8976 "/>
    <s v=" 36.4696 "/>
    <x v="0"/>
    <n v="466989"/>
    <m/>
    <m/>
  </r>
  <r>
    <x v="19"/>
    <x v="1"/>
    <s v="C:\Users\andre\Desktop\REACTIV CEFAS\Fadrozole\Fadrozole/20201217_Cefas_Test10_Run1/Plate 5/@21/A12_04.tif "/>
    <s v=" 64.8897 "/>
    <n v="30"/>
    <x v="0"/>
    <n v="1947"/>
    <m/>
    <m/>
  </r>
  <r>
    <x v="19"/>
    <x v="2"/>
    <s v="C:\Users\andre\Desktop\REACTIV CEFAS\Fadrozole\Fadrozole/20201217_Cefas_Test10_Run1/Plate 5/@21/B12_01.tif "/>
    <s v=" 4953.2459 "/>
    <s v=" 39.9563 "/>
    <x v="0"/>
    <n v="197914"/>
    <m/>
    <m/>
  </r>
  <r>
    <x v="19"/>
    <x v="2"/>
    <s v="C:\Users\andre\Desktop\REACTIV CEFAS\Fadrozole\Fadrozole/20201217_Cefas_Test10_Run1/Plate 5/@21/B12_02.tif "/>
    <s v=" 7592.093 "/>
    <s v=" 39.5499 "/>
    <x v="0"/>
    <n v="300266"/>
    <m/>
    <m/>
  </r>
  <r>
    <x v="19"/>
    <x v="2"/>
    <s v="C:\Users\andre\Desktop\REACTIV CEFAS\Fadrozole\Fadrozole/20201217_Cefas_Test10_Run1/Plate 5/@21/B12_03.tif "/>
    <s v=" 7462.3136 "/>
    <s v=" 37.658 "/>
    <x v="0"/>
    <n v="281016"/>
    <m/>
    <m/>
  </r>
  <r>
    <x v="19"/>
    <x v="2"/>
    <s v="C:\Users\andre\Desktop\REACTIV CEFAS\Fadrozole\Fadrozole/20201217_Cefas_Test10_Run1/Plate 5/@21/B12_04.tif "/>
    <s v=" 5558.8829 "/>
    <s v=" 39.463 "/>
    <x v="0"/>
    <n v="219370"/>
    <m/>
    <m/>
  </r>
  <r>
    <x v="19"/>
    <x v="3"/>
    <s v="C:\Users\andre\Desktop\REACTIV CEFAS\Fadrozole\Fadrozole/20201217_Cefas_Test10_Run1/Plate 5/@21/C12_01.tif "/>
    <s v=" 4758.5768 "/>
    <s v=" 35.0318 "/>
    <x v="0"/>
    <n v="166702"/>
    <m/>
    <m/>
  </r>
  <r>
    <x v="19"/>
    <x v="3"/>
    <s v="C:\Users\andre\Desktop\REACTIV CEFAS\Fadrozole\Fadrozole/20201217_Cefas_Test10_Run1/Plate 5/@21/C12_02.tif "/>
    <s v=" 1752.0215 "/>
    <s v=" 31.4444 "/>
    <x v="0"/>
    <n v="55091"/>
    <m/>
    <m/>
  </r>
  <r>
    <x v="19"/>
    <x v="3"/>
    <s v="C:\Users\andre\Desktop\REACTIV CEFAS\Fadrozole\Fadrozole/20201217_Cefas_Test10_Run1/Plate 5/@21/C12_03.tif "/>
    <s v=" 3590.5625 "/>
    <s v=" 38.1747 "/>
    <x v="0"/>
    <n v="137069"/>
    <m/>
    <m/>
  </r>
  <r>
    <x v="19"/>
    <x v="3"/>
    <s v="C:\Users\andre\Desktop\REACTIV CEFAS\Fadrozole\Fadrozole/20201217_Cefas_Test10_Run1/Plate 5/@21/C12_04.tif "/>
    <n v="0"/>
    <n v="0"/>
    <x v="0"/>
    <n v="0"/>
    <m/>
    <m/>
  </r>
  <r>
    <x v="19"/>
    <x v="4"/>
    <s v="C:\Users\andre\Desktop\REACTIV CEFAS\Fadrozole\Fadrozole/20201217_Cefas_Test10_Run1/Plate 5/@21/D12_01.tif "/>
    <n v="0"/>
    <n v="0"/>
    <x v="0"/>
    <n v="0"/>
    <m/>
    <m/>
  </r>
  <r>
    <x v="19"/>
    <x v="4"/>
    <s v="C:\Users\andre\Desktop\REACTIV CEFAS\Fadrozole\Fadrozole/20201217_Cefas_Test10_Run1/Plate 5/@21/D12_02.tif "/>
    <s v=" 1708.7617 "/>
    <s v=" 33.8101 "/>
    <x v="0"/>
    <n v="57773"/>
    <m/>
    <m/>
  </r>
  <r>
    <x v="19"/>
    <x v="4"/>
    <s v="C:\Users\andre\Desktop\REACTIV CEFAS\Fadrozole\Fadrozole/20201217_Cefas_Test10_Run1/Plate 5/@21/D12_03.tif "/>
    <s v=" 670.5267 "/>
    <s v=" 34.871 "/>
    <x v="0"/>
    <n v="23382"/>
    <m/>
    <m/>
  </r>
  <r>
    <x v="19"/>
    <x v="4"/>
    <s v="C:\Users\andre\Desktop\REACTIV CEFAS\Fadrozole\Fadrozole/20201217_Cefas_Test10_Run1/Plate 5/@21/D12_04.tif "/>
    <n v="0"/>
    <n v="0"/>
    <x v="0"/>
    <n v="0"/>
    <m/>
    <m/>
  </r>
  <r>
    <x v="19"/>
    <x v="5"/>
    <s v="C:\Users\andre\Desktop\REACTIV CEFAS\Fadrozole\Fadrozole/20201217_Cefas_Test10_Run1/Plate 5/@21/E12_01.tif "/>
    <s v=" 4672.0572 "/>
    <s v=" 35.8241 "/>
    <x v="0"/>
    <n v="167372"/>
    <m/>
    <m/>
  </r>
  <r>
    <x v="19"/>
    <x v="5"/>
    <s v="C:\Users\andre\Desktop\REACTIV CEFAS\Fadrozole\Fadrozole/20201217_Cefas_Test10_Run1/Plate 5/@21/E12_02.tif "/>
    <s v=" 6597.1179 "/>
    <s v=" 39.3246 "/>
    <x v="0"/>
    <n v="259429"/>
    <m/>
    <m/>
  </r>
  <r>
    <x v="19"/>
    <x v="5"/>
    <s v="C:\Users\andre\Desktop\REACTIV CEFAS\Fadrozole\Fadrozole/20201217_Cefas_Test10_Run1/Plate 5/@21/E12_03.tif "/>
    <s v=" 6726.8972 "/>
    <s v=" 35.5659 "/>
    <x v="0"/>
    <n v="239248"/>
    <m/>
    <m/>
  </r>
  <r>
    <x v="19"/>
    <x v="5"/>
    <s v="C:\Users\andre\Desktop\REACTIV CEFAS\Fadrozole\Fadrozole/20201217_Cefas_Test10_Run1/Plate 5/@21/E12_04.tif "/>
    <s v=" 8543.8084 "/>
    <s v=" 43.3114 "/>
    <x v="0"/>
    <n v="370044"/>
    <m/>
    <m/>
  </r>
  <r>
    <x v="19"/>
    <x v="6"/>
    <s v="C:\Users\andre\Desktop\REACTIV CEFAS\Fadrozole\Fadrozole/20201217_Cefas_Test10_Run1/Plate 5/@21/F12_01- exclu.tif"/>
    <m/>
    <m/>
    <x v="1"/>
    <m/>
    <m/>
    <m/>
  </r>
  <r>
    <x v="19"/>
    <x v="6"/>
    <s v="C:\Users\andre\Desktop\REACTIV CEFAS\Fadrozole\Fadrozole/20201217_Cefas_Test10_Run1/Plate 5/@21/F12_02.tif "/>
    <s v=" 7808.392 "/>
    <s v=" 46.4681 "/>
    <x v="0"/>
    <n v="362841"/>
    <m/>
    <m/>
  </r>
  <r>
    <x v="19"/>
    <x v="6"/>
    <s v="C:\Users\andre\Desktop\REACTIV CEFAS\Fadrozole\Fadrozole/20201217_Cefas_Test10_Run1/Plate 5/@21/F12_03.tif "/>
    <s v=" 5926.5911 "/>
    <s v=" 44.4745 "/>
    <x v="0"/>
    <n v="263582"/>
    <m/>
    <m/>
  </r>
  <r>
    <x v="19"/>
    <x v="6"/>
    <s v="C:\Users\andre\Desktop\REACTIV CEFAS\Fadrozole\Fadrozole/20201217_Cefas_Test10_Run1/Plate 5/@21/F12_04.tif "/>
    <s v=" 7137.8652 "/>
    <s v=" 45.0545 "/>
    <x v="0"/>
    <n v="321593"/>
    <m/>
    <m/>
  </r>
  <r>
    <x v="19"/>
    <x v="7"/>
    <s v="C:\Users\andre\Desktop\REACTIV CEFAS\Fadrozole\Fadrozole/20201217_Cefas_Test10_Run1/Plate 5/@21/G12_01.tif "/>
    <s v=" 3525.6728 "/>
    <s v=" 37.2822 "/>
    <x v="0"/>
    <n v="131445"/>
    <m/>
    <m/>
  </r>
  <r>
    <x v="19"/>
    <x v="7"/>
    <s v="C:\Users\andre\Desktop\REACTIV CEFAS\Fadrozole\Fadrozole/20201217_Cefas_Test10_Run1/Plate 5/@21/G12_02.tif "/>
    <s v=" 1946.6905 "/>
    <s v=" 34.7111 "/>
    <x v="0"/>
    <n v="67572"/>
    <m/>
    <m/>
  </r>
  <r>
    <x v="19"/>
    <x v="7"/>
    <s v="C:\Users\andre\Desktop\REACTIV CEFAS\Fadrozole\Fadrozole/20201217_Cefas_Test10_Run1/Plate 5/@21/G12_03.tif "/>
    <s v=" 2400.9183 "/>
    <s v=" 34.2883 "/>
    <x v="0"/>
    <n v="82323"/>
    <m/>
    <m/>
  </r>
  <r>
    <x v="19"/>
    <x v="7"/>
    <s v="C:\Users\andre\Desktop\REACTIV CEFAS\Fadrozole\Fadrozole/20201217_Cefas_Test10_Run1/Plate 5/@21/G12_04.tif "/>
    <s v=" 4001.5305 "/>
    <s v=" 37.9081 "/>
    <x v="0"/>
    <n v="151690"/>
    <m/>
    <m/>
  </r>
  <r>
    <x v="19"/>
    <x v="8"/>
    <s v="C:\Users\andre\Desktop\REACTIV CEFAS\Fadrozole\Fadrozole/20201217_Cefas_Test10_Run1/Plate 5/@21/H12_01- exclu.tif"/>
    <m/>
    <m/>
    <x v="1"/>
    <m/>
    <m/>
    <m/>
  </r>
  <r>
    <x v="19"/>
    <x v="8"/>
    <s v="C:\Users\andre\Desktop\REACTIV CEFAS\Fadrozole\Fadrozole/20201217_Cefas_Test10_Run1/Plate 5/@21/H12_02.tif "/>
    <n v="0"/>
    <n v="0"/>
    <x v="0"/>
    <n v="0"/>
    <m/>
    <m/>
  </r>
  <r>
    <x v="19"/>
    <x v="8"/>
    <s v="C:\Users\andre\Desktop\REACTIV CEFAS\Fadrozole\Fadrozole/20201217_Cefas_Test10_Run1/Plate 5/@21/H12_03.tif "/>
    <n v="0"/>
    <n v="0"/>
    <x v="0"/>
    <n v="0"/>
    <m/>
    <m/>
  </r>
  <r>
    <x v="19"/>
    <x v="8"/>
    <s v="C:\Users\andre\Desktop\REACTIV CEFAS\Fadrozole\Fadrozole/20201217_Cefas_Test10_Run1/Plate 5/@21/H12_04.tif "/>
    <s v=" 4109.68 "/>
    <s v=" 38.0105 "/>
    <x v="0"/>
    <n v="156211"/>
    <m/>
    <m/>
  </r>
  <r>
    <x v="0"/>
    <x v="0"/>
    <s v=" "/>
    <m/>
    <m/>
    <x v="1"/>
    <m/>
    <m/>
    <m/>
  </r>
  <r>
    <x v="0"/>
    <x v="0"/>
    <s v="group "/>
    <s v=" "/>
    <s v=" mean of mean fluo "/>
    <x v="2"/>
    <s v=" mean of total fluo "/>
    <s v=" SD total fluo "/>
    <m/>
  </r>
  <r>
    <x v="19"/>
    <x v="9"/>
    <s v="C:\Users\andre\Desktop\REACTIV CEFAS\Fadrozole\Fadrozole/20201217_Cefas_Test10_Run1/Plate 5/@21/ "/>
    <s v=" "/>
    <s v=" 30.3124 "/>
    <x v="21"/>
    <s v=" 150068.188 "/>
    <s v=" 131614.486 "/>
    <m/>
  </r>
  <r>
    <x v="0"/>
    <x v="0"/>
    <s v=" "/>
    <m/>
    <m/>
    <x v="1"/>
    <m/>
    <m/>
    <m/>
  </r>
  <r>
    <x v="0"/>
    <x v="0"/>
    <s v=" "/>
    <m/>
    <m/>
    <x v="1"/>
    <m/>
    <m/>
    <m/>
  </r>
  <r>
    <x v="0"/>
    <x v="0"/>
    <s v=" "/>
    <m/>
    <m/>
    <x v="1"/>
    <m/>
    <m/>
    <m/>
  </r>
  <r>
    <x v="0"/>
    <x v="0"/>
    <s v=" "/>
    <m/>
    <m/>
    <x v="1"/>
    <m/>
    <m/>
    <m/>
  </r>
  <r>
    <x v="0"/>
    <x v="0"/>
    <s v=" "/>
    <m/>
    <m/>
    <x v="1"/>
    <m/>
    <m/>
    <m/>
  </r>
  <r>
    <x v="0"/>
    <x v="0"/>
    <s v="file name "/>
    <s v=" total area "/>
    <s v=" mean intensity "/>
    <x v="0"/>
    <s v=" total fluorescence"/>
    <m/>
    <m/>
  </r>
  <r>
    <x v="20"/>
    <x v="1"/>
    <s v="C:\Users\andre\Desktop\REACTIV CEFAS\Fadrozole\Fadrozole/20201217_Cefas_Test10_Run1/Plate 5/@9/A3_01.tif "/>
    <s v=" 6207.7798 "/>
    <s v=" 38.4983 "/>
    <x v="0"/>
    <n v="238989"/>
    <m/>
    <m/>
  </r>
  <r>
    <x v="20"/>
    <x v="1"/>
    <s v="C:\Users\andre\Desktop\REACTIV CEFAS\Fadrozole\Fadrozole/20201217_Cefas_Test10_Run1/Plate 5/@9/A3_02.tif "/>
    <s v=" 1535.7225 "/>
    <s v=" 34.6901 "/>
    <x v="0"/>
    <n v="53274"/>
    <m/>
    <m/>
  </r>
  <r>
    <x v="20"/>
    <x v="1"/>
    <s v="C:\Users\andre\Desktop\REACTIV CEFAS\Fadrozole\Fadrozole/20201217_Cefas_Test10_Run1/Plate 5/@9/A3_03.tif "/>
    <s v=" 4390.8686 "/>
    <s v=" 34.5517 "/>
    <x v="0"/>
    <n v="151712"/>
    <m/>
    <m/>
  </r>
  <r>
    <x v="20"/>
    <x v="1"/>
    <s v="C:\Users\andre\Desktop\REACTIV CEFAS\Fadrozole\Fadrozole/20201217_Cefas_Test10_Run1/Plate 5/@9/A3_04- exclu.tif"/>
    <m/>
    <m/>
    <x v="1"/>
    <m/>
    <m/>
    <m/>
  </r>
  <r>
    <x v="20"/>
    <x v="2"/>
    <s v="C:\Users\andre\Desktop\REACTIV CEFAS\Fadrozole\Fadrozole/20201217_Cefas_Test10_Run1/Plate 5/@9/B3_01.tif "/>
    <s v=" 7310.9044 "/>
    <s v=" 37.0355 "/>
    <x v="0"/>
    <n v="270763"/>
    <m/>
    <m/>
  </r>
  <r>
    <x v="20"/>
    <x v="2"/>
    <s v="C:\Users\andre\Desktop\REACTIV CEFAS\Fadrozole\Fadrozole/20201217_Cefas_Test10_Run1/Plate 5/@9/B3_02.tif "/>
    <s v=" 9755.0825 "/>
    <s v=" 39.2506 "/>
    <x v="0"/>
    <n v="382892"/>
    <m/>
    <m/>
  </r>
  <r>
    <x v="20"/>
    <x v="2"/>
    <s v="C:\Users\andre\Desktop\REACTIV CEFAS\Fadrozole\Fadrozole/20201217_Cefas_Test10_Run1/Plate 5/@9/B3_03.tif "/>
    <s v=" 9409.0042 "/>
    <s v=" 37.6598 "/>
    <x v="0"/>
    <n v="354341"/>
    <m/>
    <m/>
  </r>
  <r>
    <x v="20"/>
    <x v="2"/>
    <s v="C:\Users\andre\Desktop\REACTIV CEFAS\Fadrozole\Fadrozole/20201217_Cefas_Test10_Run1/Plate 5/@9/B3_04.tif "/>
    <s v=" 10122.7907 "/>
    <s v=" 45.1218 "/>
    <x v="0"/>
    <n v="456758"/>
    <m/>
    <m/>
  </r>
  <r>
    <x v="20"/>
    <x v="3"/>
    <s v="C:\Users\andre\Desktop\REACTIV CEFAS\Fadrozole\Fadrozole/20201217_Cefas_Test10_Run1/Plate 5/@9/C3_01.tif "/>
    <s v=" 2336.0286 "/>
    <s v=" 32.2593 "/>
    <x v="0"/>
    <n v="75359"/>
    <m/>
    <m/>
  </r>
  <r>
    <x v="20"/>
    <x v="3"/>
    <s v="C:\Users\andre\Desktop\REACTIV CEFAS\Fadrozole\Fadrozole/20201217_Cefas_Test10_Run1/Plate 5/@9/C3_02.tif "/>
    <s v=" 2682.1069 "/>
    <s v=" 33.5242 "/>
    <x v="0"/>
    <n v="89915"/>
    <m/>
    <m/>
  </r>
  <r>
    <x v="20"/>
    <x v="3"/>
    <s v="C:\Users\andre\Desktop\REACTIV CEFAS\Fadrozole\Fadrozole/20201217_Cefas_Test10_Run1/Plate 5/@9/C3_03.tif "/>
    <s v=" 3612.1924 "/>
    <s v=" 32.6287 "/>
    <x v="0"/>
    <n v="117861"/>
    <m/>
    <m/>
  </r>
  <r>
    <x v="20"/>
    <x v="3"/>
    <s v="C:\Users\andre\Desktop\REACTIV CEFAS\Fadrozole\Fadrozole/20201217_Cefas_Test10_Run1/Plate 5/@9/C3_04.tif "/>
    <s v=" 410.968 "/>
    <s v=" 31.9474 "/>
    <x v="0"/>
    <n v="13129"/>
    <m/>
    <m/>
  </r>
  <r>
    <x v="20"/>
    <x v="4"/>
    <s v="C:\Users\andre\Desktop\REACTIV CEFAS\Fadrozole\Fadrozole/20201217_Cefas_Test10_Run1/Plate 5/@9/D3_01.tif "/>
    <s v=" 13259.1254 "/>
    <s v=" 42.4062 "/>
    <x v="0"/>
    <n v="562269"/>
    <m/>
    <m/>
  </r>
  <r>
    <x v="20"/>
    <x v="4"/>
    <s v="C:\Users\andre\Desktop\REACTIV CEFAS\Fadrozole\Fadrozole/20201217_Cefas_Test10_Run1/Plate 5/@9/D3_02.tif "/>
    <s v=" 6878.3065 "/>
    <s v=" 41.3648 "/>
    <x v="0"/>
    <n v="284520"/>
    <m/>
    <m/>
  </r>
  <r>
    <x v="20"/>
    <x v="4"/>
    <s v="C:\Users\andre\Desktop\REACTIV CEFAS\Fadrozole\Fadrozole/20201217_Cefas_Test10_Run1/Plate 5/@9/D3_03.tif "/>
    <s v=" 6856.6766 "/>
    <s v=" 40.388 "/>
    <x v="0"/>
    <n v="276928"/>
    <m/>
    <m/>
  </r>
  <r>
    <x v="20"/>
    <x v="4"/>
    <s v="C:\Users\andre\Desktop\REACTIV CEFAS\Fadrozole\Fadrozole/20201217_Cefas_Test10_Run1/Plate 5/@9/D3_04.tif "/>
    <s v=" 12826.5275 "/>
    <s v=" 43.6644 "/>
    <x v="0"/>
    <n v="560063"/>
    <m/>
    <m/>
  </r>
  <r>
    <x v="20"/>
    <x v="5"/>
    <s v="C:\Users\andre\Desktop\REACTIV CEFAS\Fadrozole\Fadrozole/20201217_Cefas_Test10_Run1/Plate 5/@9/E3_01.tif "/>
    <s v=" 5558.8829 "/>
    <s v=" 37.4125 "/>
    <x v="0"/>
    <n v="207971"/>
    <m/>
    <m/>
  </r>
  <r>
    <x v="20"/>
    <x v="5"/>
    <s v="C:\Users\andre\Desktop\REACTIV CEFAS\Fadrozole\Fadrozole/20201217_Cefas_Test10_Run1/Plate 5/@9/E3_02.tif "/>
    <s v=" 5450.7334 "/>
    <s v=" 36.0159 "/>
    <x v="0"/>
    <n v="196313"/>
    <m/>
    <m/>
  </r>
  <r>
    <x v="20"/>
    <x v="5"/>
    <s v="C:\Users\andre\Desktop\REACTIV CEFAS\Fadrozole\Fadrozole/20201217_Cefas_Test10_Run1/Plate 5/@9/E3_03.tif "/>
    <s v=" 3871.7511 "/>
    <s v=" 34.4693 "/>
    <x v="0"/>
    <n v="133456"/>
    <m/>
    <m/>
  </r>
  <r>
    <x v="20"/>
    <x v="5"/>
    <s v="C:\Users\andre\Desktop\REACTIV CEFAS\Fadrozole\Fadrozole/20201217_Cefas_Test10_Run1/Plate 5/@9/E3_04.tif "/>
    <s v=" 3201.2244 "/>
    <s v=" 33.3243 "/>
    <x v="0"/>
    <n v="106679"/>
    <m/>
    <m/>
  </r>
  <r>
    <x v="20"/>
    <x v="6"/>
    <s v="C:\Users\andre\Desktop\REACTIV CEFAS\Fadrozole\Fadrozole/20201217_Cefas_Test10_Run1/Plate 5/@9/F3_01.tif "/>
    <s v=" 2292.7688 "/>
    <s v=" 33.4623 "/>
    <x v="0"/>
    <n v="76721"/>
    <m/>
    <m/>
  </r>
  <r>
    <x v="20"/>
    <x v="6"/>
    <s v="C:\Users\andre\Desktop\REACTIV CEFAS\Fadrozole\Fadrozole/20201217_Cefas_Test10_Run1/Plate 5/@9/F3_02.tif "/>
    <s v=" 3201.2244 "/>
    <s v=" 35.5203 "/>
    <x v="0"/>
    <n v="113708"/>
    <m/>
    <m/>
  </r>
  <r>
    <x v="20"/>
    <x v="6"/>
    <s v="C:\Users\andre\Desktop\REACTIV CEFAS\Fadrozole\Fadrozole/20201217_Cefas_Test10_Run1/Plate 5/@9/F3_03- exclu.tif"/>
    <m/>
    <m/>
    <x v="1"/>
    <m/>
    <m/>
    <m/>
  </r>
  <r>
    <x v="20"/>
    <x v="6"/>
    <s v="C:\Users\andre\Desktop\REACTIV CEFAS\Fadrozole\Fadrozole/20201217_Cefas_Test10_Run1/Plate 5/@9/F3_04.tif "/>
    <s v=" 6359.189 "/>
    <s v=" 36.3605 "/>
    <x v="0"/>
    <n v="231224"/>
    <m/>
    <m/>
  </r>
  <r>
    <x v="20"/>
    <x v="7"/>
    <s v="C:\Users\andre\Desktop\REACTIV CEFAS\Fadrozole\Fadrozole/20201217_Cefas_Test10_Run1/Plate 5/@9/G3_01.tif "/>
    <s v=" 10490.4989 "/>
    <s v=" 45.5423 "/>
    <x v="0"/>
    <n v="477761"/>
    <m/>
    <m/>
  </r>
  <r>
    <x v="20"/>
    <x v="7"/>
    <s v="C:\Users\andre\Desktop\REACTIV CEFAS\Fadrozole\Fadrozole/20201217_Cefas_Test10_Run1/Plate 5/@9/G3_02.tif "/>
    <s v=" 8262.6197 "/>
    <s v=" 44.4869 "/>
    <x v="0"/>
    <n v="367578"/>
    <m/>
    <m/>
  </r>
  <r>
    <x v="20"/>
    <x v="7"/>
    <s v="C:\Users\andre\Desktop\REACTIV CEFAS\Fadrozole\Fadrozole/20201217_Cefas_Test10_Run1/Plate 5/@9/G3_03.tif "/>
    <s v=" 12696.7481 "/>
    <s v=" 44.138 "/>
    <x v="0"/>
    <n v="560409"/>
    <m/>
    <m/>
  </r>
  <r>
    <x v="20"/>
    <x v="7"/>
    <s v="C:\Users\andre\Desktop\REACTIV CEFAS\Fadrozole\Fadrozole/20201217_Cefas_Test10_Run1/Plate 5/@9/G3_04.tif "/>
    <s v=" 10057.901 "/>
    <s v=" 40.714 "/>
    <x v="0"/>
    <n v="409497"/>
    <m/>
    <m/>
  </r>
  <r>
    <x v="20"/>
    <x v="8"/>
    <s v="C:\Users\andre\Desktop\REACTIV CEFAS\Fadrozole\Fadrozole/20201217_Cefas_Test10_Run1/Plate 5/@9/H3_01.tif "/>
    <s v=" 8240.9899 "/>
    <s v=" 40.7717 "/>
    <x v="0"/>
    <n v="335999"/>
    <m/>
    <m/>
  </r>
  <r>
    <x v="20"/>
    <x v="8"/>
    <s v="C:\Users\andre\Desktop\REACTIV CEFAS\Fadrozole\Fadrozole/20201217_Cefas_Test10_Run1/Plate 5/@9/H3_02.tif "/>
    <s v=" 6705.2673 "/>
    <s v=" 38.1194 "/>
    <x v="0"/>
    <n v="255600"/>
    <m/>
    <m/>
  </r>
  <r>
    <x v="20"/>
    <x v="8"/>
    <s v="C:\Users\andre\Desktop\REACTIV CEFAS\Fadrozole\Fadrozole/20201217_Cefas_Test10_Run1/Plate 5/@9/H3_03.tif "/>
    <s v=" 7246.0147 "/>
    <s v=" 41.1821 "/>
    <x v="0"/>
    <n v="298406"/>
    <m/>
    <m/>
  </r>
  <r>
    <x v="20"/>
    <x v="8"/>
    <s v="C:\Users\andre\Desktop\REACTIV CEFAS\Fadrozole\Fadrozole/20201217_Cefas_Test10_Run1/Plate 5/@9/H3_04- exclu.tif"/>
    <m/>
    <m/>
    <x v="1"/>
    <m/>
    <m/>
    <m/>
  </r>
  <r>
    <x v="0"/>
    <x v="0"/>
    <s v=" "/>
    <m/>
    <m/>
    <x v="1"/>
    <m/>
    <m/>
    <m/>
  </r>
  <r>
    <x v="0"/>
    <x v="0"/>
    <s v="group "/>
    <s v=" "/>
    <s v=" mean of mean fluo "/>
    <x v="2"/>
    <s v=" mean of total fluo "/>
    <s v=" SD total fluo "/>
    <m/>
  </r>
  <r>
    <x v="20"/>
    <x v="9"/>
    <s v="C:\Users\andre\Desktop\REACTIV CEFAS\Fadrozole\Fadrozole/20201217_Cefas_Test10_Run1/Plate 5/@9/ "/>
    <s v=" "/>
    <s v=" 38.1344 "/>
    <x v="22"/>
    <s v=" 270949.5 "/>
    <s v=" 172404.151 "/>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pivotCacheRecords>
</file>

<file path=xl/pivotCache/pivotCacheRecords4.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2">
  <r>
    <x v="0"/>
    <x v="0"/>
    <m/>
    <m/>
    <s v="Témoin solvant"/>
    <x v="0"/>
  </r>
  <r>
    <x v="1"/>
    <x v="0"/>
    <n v="22.5"/>
    <s v="ng/L"/>
    <s v="EE2"/>
    <x v="0"/>
  </r>
  <r>
    <x v="2"/>
    <x v="0"/>
    <n v="33.799999999999997"/>
    <s v="ng/L"/>
    <s v="EE2"/>
    <x v="0"/>
  </r>
  <r>
    <x v="3"/>
    <x v="0"/>
    <n v="50.6"/>
    <s v="ng/L"/>
    <s v="EE2"/>
    <x v="0"/>
  </r>
  <r>
    <x v="4"/>
    <x v="0"/>
    <n v="76"/>
    <s v="ng/L"/>
    <s v="EE2"/>
    <x v="0"/>
  </r>
  <r>
    <x v="5"/>
    <x v="0"/>
    <n v="114"/>
    <s v="ng/L"/>
    <s v="EE2"/>
    <x v="0"/>
  </r>
  <r>
    <x v="6"/>
    <x v="0"/>
    <n v="170.9"/>
    <s v="ng/L"/>
    <s v="EE2"/>
    <x v="0"/>
  </r>
  <r>
    <x v="7"/>
    <x v="0"/>
    <n v="488"/>
    <s v="ng/L"/>
    <s v="EE2"/>
    <x v="0"/>
  </r>
  <r>
    <x v="8"/>
    <x v="1"/>
    <m/>
    <m/>
    <m/>
    <x v="0"/>
  </r>
  <r>
    <x v="8"/>
    <x v="1"/>
    <m/>
    <m/>
    <m/>
    <x v="0"/>
  </r>
  <r>
    <x v="8"/>
    <x v="1"/>
    <m/>
    <m/>
    <m/>
    <x v="0"/>
  </r>
  <r>
    <x v="8"/>
    <x v="1"/>
    <m/>
    <m/>
    <m/>
    <x v="0"/>
  </r>
  <r>
    <x v="8"/>
    <x v="1"/>
    <m/>
    <m/>
    <m/>
    <x v="0"/>
  </r>
  <r>
    <x v="9"/>
    <x v="1"/>
    <m/>
    <m/>
    <m/>
    <x v="0"/>
  </r>
  <r>
    <x v="9"/>
    <x v="1"/>
    <m/>
    <m/>
    <m/>
    <x v="0"/>
  </r>
  <r>
    <x v="9"/>
    <x v="1"/>
    <m/>
    <m/>
    <m/>
    <x v="0"/>
  </r>
  <r>
    <x v="9"/>
    <x v="1"/>
    <m/>
    <m/>
    <m/>
    <x v="0"/>
  </r>
  <r>
    <x v="9"/>
    <x v="1"/>
    <m/>
    <m/>
    <m/>
    <x v="0"/>
  </r>
  <r>
    <x v="9"/>
    <x v="1"/>
    <m/>
    <m/>
    <m/>
    <x v="0"/>
  </r>
  <r>
    <x v="9"/>
    <x v="1"/>
    <m/>
    <m/>
    <m/>
    <x v="0"/>
  </r>
  <r>
    <x v="9"/>
    <x v="1"/>
    <m/>
    <m/>
    <m/>
    <x v="0"/>
  </r>
  <r>
    <x v="9"/>
    <x v="1"/>
    <m/>
    <m/>
    <m/>
    <x v="0"/>
  </r>
  <r>
    <x v="9"/>
    <x v="1"/>
    <m/>
    <m/>
    <m/>
    <x v="0"/>
  </r>
  <r>
    <x v="9"/>
    <x v="1"/>
    <m/>
    <m/>
    <m/>
    <x v="0"/>
  </r>
  <r>
    <x v="9"/>
    <x v="1"/>
    <m/>
    <m/>
    <m/>
    <x v="0"/>
  </r>
  <r>
    <x v="9"/>
    <x v="1"/>
    <m/>
    <m/>
    <m/>
    <x v="0"/>
  </r>
  <r>
    <x v="9"/>
    <x v="1"/>
    <m/>
    <m/>
    <m/>
    <x v="0"/>
  </r>
  <r>
    <x v="9"/>
    <x v="1"/>
    <m/>
    <m/>
    <m/>
    <x v="0"/>
  </r>
  <r>
    <x v="9"/>
    <x v="1"/>
    <m/>
    <m/>
    <m/>
    <x v="0"/>
  </r>
  <r>
    <x v="10"/>
    <x v="0"/>
    <n v="30"/>
    <s v="µg/L"/>
    <s v="Testo "/>
    <x v="0"/>
  </r>
  <r>
    <x v="11"/>
    <x v="0"/>
    <n v="64"/>
    <s v="ng/L"/>
    <s v="Testo 30µg/L + EE2 "/>
    <x v="0"/>
  </r>
  <r>
    <x v="12"/>
    <x v="0"/>
    <n v="10"/>
    <s v="mg/L"/>
    <s v="Testo 30µg/L + FAD"/>
    <x v="0"/>
  </r>
  <r>
    <x v="13"/>
    <x v="2"/>
    <n v="0"/>
    <n v="0"/>
    <n v="0"/>
    <x v="1"/>
  </r>
  <r>
    <x v="13"/>
    <x v="2"/>
    <n v="0"/>
    <n v="0"/>
    <n v="0"/>
    <x v="1"/>
  </r>
  <r>
    <x v="13"/>
    <x v="2"/>
    <n v="0"/>
    <n v="0"/>
    <n v="0"/>
    <x v="1"/>
  </r>
  <r>
    <x v="13"/>
    <x v="2"/>
    <n v="0"/>
    <n v="0"/>
    <n v="0"/>
    <x v="1"/>
  </r>
  <r>
    <x v="13"/>
    <x v="2"/>
    <n v="0"/>
    <n v="0"/>
    <n v="0"/>
    <x v="1"/>
  </r>
  <r>
    <x v="13"/>
    <x v="2"/>
    <n v="0"/>
    <n v="0"/>
    <n v="0"/>
    <x v="1"/>
  </r>
  <r>
    <x v="13"/>
    <x v="2"/>
    <n v="0"/>
    <n v="0"/>
    <n v="0"/>
    <x v="1"/>
  </r>
  <r>
    <x v="13"/>
    <x v="2"/>
    <n v="0"/>
    <n v="0"/>
    <n v="0"/>
    <x v="1"/>
  </r>
  <r>
    <x v="13"/>
    <x v="2"/>
    <n v="0"/>
    <n v="0"/>
    <n v="0"/>
    <x v="1"/>
  </r>
  <r>
    <x v="13"/>
    <x v="2"/>
    <n v="0"/>
    <n v="0"/>
    <n v="0"/>
    <x v="1"/>
  </r>
  <r>
    <x v="13"/>
    <x v="2"/>
    <n v="0"/>
    <n v="0"/>
    <n v="0"/>
    <x v="1"/>
  </r>
  <r>
    <x v="13"/>
    <x v="2"/>
    <n v="0"/>
    <n v="0"/>
    <n v="0"/>
    <x v="1"/>
  </r>
  <r>
    <x v="13"/>
    <x v="2"/>
    <n v="0"/>
    <n v="0"/>
    <n v="0"/>
    <x v="1"/>
  </r>
  <r>
    <x v="13"/>
    <x v="2"/>
    <n v="0"/>
    <n v="0"/>
    <n v="0"/>
    <x v="1"/>
  </r>
  <r>
    <x v="13"/>
    <x v="2"/>
    <n v="0"/>
    <n v="0"/>
    <n v="0"/>
    <x v="1"/>
  </r>
  <r>
    <x v="13"/>
    <x v="2"/>
    <n v="0"/>
    <n v="0"/>
    <n v="0"/>
    <x v="1"/>
  </r>
  <r>
    <x v="13"/>
    <x v="2"/>
    <n v="0"/>
    <n v="0"/>
    <n v="0"/>
    <x v="1"/>
  </r>
  <r>
    <x v="13"/>
    <x v="2"/>
    <n v="0"/>
    <n v="0"/>
    <n v="0"/>
    <x v="1"/>
  </r>
  <r>
    <x v="13"/>
    <x v="2"/>
    <n v="0"/>
    <n v="0"/>
    <n v="0"/>
    <x v="1"/>
  </r>
  <r>
    <x v="13"/>
    <x v="2"/>
    <n v="0"/>
    <n v="0"/>
    <n v="0"/>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200-000000000000}" name="Tableau croisé dynamique3" cacheId="28" applyNumberFormats="0" applyBorderFormats="0" applyFontFormats="0" applyPatternFormats="0" applyAlignmentFormats="0" applyWidthHeightFormats="1" dataCaption="Valeurs" updatedVersion="7" minRefreshableVersion="3" rowGrandTotals="0" colGrandTotals="0" itemPrintTitles="1" createdVersion="5" indent="0" outline="1" outlineData="1" multipleFieldFilters="0">
  <location ref="K3:AF12" firstHeaderRow="1" firstDataRow="2" firstDataCol="1" rowPageCount="1" colPageCount="1"/>
  <pivotFields count="9">
    <pivotField axis="axisCol" subtotalTop="0" showAll="0">
      <items count="24">
        <item m="1" x="22"/>
        <item x="0"/>
        <item x="1"/>
        <item x="2"/>
        <item x="3"/>
        <item x="4"/>
        <item x="5"/>
        <item x="6"/>
        <item x="7"/>
        <item x="8"/>
        <item x="9"/>
        <item x="10"/>
        <item x="11"/>
        <item x="12"/>
        <item x="13"/>
        <item x="14"/>
        <item x="15"/>
        <item x="16"/>
        <item x="17"/>
        <item x="18"/>
        <item x="19"/>
        <item x="20"/>
        <item x="21"/>
        <item t="default"/>
      </items>
    </pivotField>
    <pivotField axis="axisRow" subtotalTop="0" showAll="0" sortType="ascending">
      <items count="11">
        <item h="1" x="9"/>
        <item x="1"/>
        <item x="2"/>
        <item x="3"/>
        <item x="4"/>
        <item x="5"/>
        <item x="6"/>
        <item x="7"/>
        <item x="8"/>
        <item h="1" x="0"/>
        <item t="default"/>
      </items>
    </pivotField>
    <pivotField subtotalTop="0" showAll="0"/>
    <pivotField subtotalTop="0" showAll="0"/>
    <pivotField subtotalTop="0" showAll="0"/>
    <pivotField axis="axisPage" subtotalTop="0" showAll="0">
      <items count="46">
        <item x="1"/>
        <item x="0"/>
        <item x="2"/>
        <item m="1" x="34"/>
        <item m="1" x="25"/>
        <item m="1" x="36"/>
        <item m="1" x="43"/>
        <item m="1" x="42"/>
        <item m="1" x="32"/>
        <item m="1" x="24"/>
        <item m="1" x="29"/>
        <item m="1" x="28"/>
        <item m="1" x="37"/>
        <item m="1" x="33"/>
        <item m="1" x="41"/>
        <item m="1" x="44"/>
        <item m="1" x="31"/>
        <item m="1" x="35"/>
        <item m="1" x="40"/>
        <item m="1" x="38"/>
        <item m="1" x="27"/>
        <item m="1" x="39"/>
        <item m="1" x="26"/>
        <item m="1" x="30"/>
        <item x="3"/>
        <item x="4"/>
        <item x="5"/>
        <item x="6"/>
        <item x="7"/>
        <item x="8"/>
        <item x="9"/>
        <item x="10"/>
        <item x="11"/>
        <item x="12"/>
        <item x="13"/>
        <item x="14"/>
        <item x="15"/>
        <item x="16"/>
        <item x="17"/>
        <item x="18"/>
        <item x="19"/>
        <item x="20"/>
        <item x="21"/>
        <item x="22"/>
        <item x="23"/>
        <item t="default"/>
      </items>
    </pivotField>
    <pivotField dataField="1" subtotalTop="0" showAll="0"/>
    <pivotField subtotalTop="0" showAll="0"/>
    <pivotField subtotalTop="0" showAll="0"/>
  </pivotFields>
  <rowFields count="1">
    <field x="1"/>
  </rowFields>
  <rowItems count="8">
    <i>
      <x v="1"/>
    </i>
    <i>
      <x v="2"/>
    </i>
    <i>
      <x v="3"/>
    </i>
    <i>
      <x v="4"/>
    </i>
    <i>
      <x v="5"/>
    </i>
    <i>
      <x v="6"/>
    </i>
    <i>
      <x v="7"/>
    </i>
    <i>
      <x v="8"/>
    </i>
  </rowItems>
  <colFields count="1">
    <field x="0"/>
  </colFields>
  <colItems count="21">
    <i>
      <x v="2"/>
    </i>
    <i>
      <x v="3"/>
    </i>
    <i>
      <x v="4"/>
    </i>
    <i>
      <x v="5"/>
    </i>
    <i>
      <x v="6"/>
    </i>
    <i>
      <x v="7"/>
    </i>
    <i>
      <x v="8"/>
    </i>
    <i>
      <x v="9"/>
    </i>
    <i>
      <x v="10"/>
    </i>
    <i>
      <x v="11"/>
    </i>
    <i>
      <x v="12"/>
    </i>
    <i>
      <x v="13"/>
    </i>
    <i>
      <x v="14"/>
    </i>
    <i>
      <x v="15"/>
    </i>
    <i>
      <x v="16"/>
    </i>
    <i>
      <x v="17"/>
    </i>
    <i>
      <x v="18"/>
    </i>
    <i>
      <x v="19"/>
    </i>
    <i>
      <x v="20"/>
    </i>
    <i>
      <x v="21"/>
    </i>
    <i>
      <x v="22"/>
    </i>
  </colItems>
  <pageFields count="1">
    <pageField fld="5" hier="-1"/>
  </pageFields>
  <dataFields count="1">
    <dataField name="Moyenne de  total fluorescence" fld="6" subtotal="average" baseField="1" baseItem="0"/>
  </dataFields>
  <formats count="2">
    <format dxfId="32">
      <pivotArea field="1" type="button" dataOnly="0" labelOnly="1" outline="0" axis="axisRow" fieldPosition="0"/>
    </format>
    <format dxfId="31">
      <pivotArea dataOnly="0" labelOnly="1" fieldPosition="0">
        <references count="1">
          <reference field="0" count="21">
            <x v="2"/>
            <x v="3"/>
            <x v="4"/>
            <x v="5"/>
            <x v="6"/>
            <x v="7"/>
            <x v="8"/>
            <x v="9"/>
            <x v="10"/>
            <x v="11"/>
            <x v="12"/>
            <x v="13"/>
            <x v="14"/>
            <x v="15"/>
            <x v="16"/>
            <x v="17"/>
            <x v="18"/>
            <x v="19"/>
            <x v="20"/>
            <x v="21"/>
            <x v="22"/>
          </reference>
        </references>
      </pivotArea>
    </format>
  </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500-000000000000}" name="Tableau croisé dynamique3" cacheId="29" applyNumberFormats="0" applyBorderFormats="0" applyFontFormats="0" applyPatternFormats="0" applyAlignmentFormats="0" applyWidthHeightFormats="1" dataCaption="Valeurs" updatedVersion="7" minRefreshableVersion="3" rowGrandTotals="0" colGrandTotals="0" itemPrintTitles="1" createdVersion="5" indent="0" outline="1" outlineData="1" multipleFieldFilters="0">
  <location ref="K3:AF12" firstHeaderRow="1" firstDataRow="2" firstDataCol="1" rowPageCount="1" colPageCount="1"/>
  <pivotFields count="9">
    <pivotField axis="axisCol" subtotalTop="0" showAll="0">
      <items count="23">
        <item x="0"/>
        <item x="1"/>
        <item x="2"/>
        <item x="3"/>
        <item x="4"/>
        <item x="5"/>
        <item x="6"/>
        <item x="7"/>
        <item x="8"/>
        <item x="9"/>
        <item x="10"/>
        <item x="11"/>
        <item x="12"/>
        <item x="13"/>
        <item x="14"/>
        <item x="15"/>
        <item x="16"/>
        <item x="17"/>
        <item x="18"/>
        <item x="19"/>
        <item x="20"/>
        <item x="21"/>
        <item t="default"/>
      </items>
    </pivotField>
    <pivotField axis="axisRow" subtotalTop="0" showAll="0">
      <items count="11">
        <item h="1" x="0"/>
        <item x="1"/>
        <item x="2"/>
        <item x="3"/>
        <item x="4"/>
        <item x="5"/>
        <item x="6"/>
        <item x="7"/>
        <item x="8"/>
        <item h="1" x="9"/>
        <item t="default"/>
      </items>
    </pivotField>
    <pivotField subtotalTop="0" showAll="0"/>
    <pivotField subtotalTop="0" showAll="0"/>
    <pivotField subtotalTop="0" showAll="0"/>
    <pivotField axis="axisPage" subtotalTop="0" showAll="0">
      <items count="46">
        <item x="1"/>
        <item x="0"/>
        <item x="2"/>
        <item m="1" x="33"/>
        <item m="1" x="30"/>
        <item m="1" x="38"/>
        <item m="1" x="41"/>
        <item m="1" x="39"/>
        <item m="1" x="28"/>
        <item m="1" x="26"/>
        <item m="1" x="34"/>
        <item m="1" x="25"/>
        <item m="1" x="44"/>
        <item m="1" x="29"/>
        <item m="1" x="37"/>
        <item m="1" x="40"/>
        <item m="1" x="35"/>
        <item m="1" x="32"/>
        <item m="1" x="43"/>
        <item m="1" x="42"/>
        <item m="1" x="31"/>
        <item m="1" x="27"/>
        <item m="1" x="24"/>
        <item m="1" x="36"/>
        <item x="3"/>
        <item x="4"/>
        <item x="5"/>
        <item x="6"/>
        <item x="7"/>
        <item x="8"/>
        <item x="9"/>
        <item x="10"/>
        <item x="11"/>
        <item x="12"/>
        <item x="13"/>
        <item x="14"/>
        <item x="15"/>
        <item x="16"/>
        <item x="17"/>
        <item x="18"/>
        <item x="19"/>
        <item x="20"/>
        <item x="21"/>
        <item x="22"/>
        <item x="23"/>
        <item t="default"/>
      </items>
    </pivotField>
    <pivotField dataField="1" subtotalTop="0" showAll="0"/>
    <pivotField subtotalTop="0" showAll="0"/>
    <pivotField subtotalTop="0" showAll="0"/>
  </pivotFields>
  <rowFields count="1">
    <field x="1"/>
  </rowFields>
  <rowItems count="8">
    <i>
      <x v="1"/>
    </i>
    <i>
      <x v="2"/>
    </i>
    <i>
      <x v="3"/>
    </i>
    <i>
      <x v="4"/>
    </i>
    <i>
      <x v="5"/>
    </i>
    <i>
      <x v="6"/>
    </i>
    <i>
      <x v="7"/>
    </i>
    <i>
      <x v="8"/>
    </i>
  </rowItems>
  <colFields count="1">
    <field x="0"/>
  </colFields>
  <colItems count="21">
    <i>
      <x v="1"/>
    </i>
    <i>
      <x v="2"/>
    </i>
    <i>
      <x v="3"/>
    </i>
    <i>
      <x v="4"/>
    </i>
    <i>
      <x v="5"/>
    </i>
    <i>
      <x v="6"/>
    </i>
    <i>
      <x v="7"/>
    </i>
    <i>
      <x v="8"/>
    </i>
    <i>
      <x v="9"/>
    </i>
    <i>
      <x v="10"/>
    </i>
    <i>
      <x v="11"/>
    </i>
    <i>
      <x v="12"/>
    </i>
    <i>
      <x v="13"/>
    </i>
    <i>
      <x v="14"/>
    </i>
    <i>
      <x v="15"/>
    </i>
    <i>
      <x v="16"/>
    </i>
    <i>
      <x v="17"/>
    </i>
    <i>
      <x v="18"/>
    </i>
    <i>
      <x v="19"/>
    </i>
    <i>
      <x v="20"/>
    </i>
    <i>
      <x v="21"/>
    </i>
  </colItems>
  <pageFields count="1">
    <pageField fld="5" hier="-1"/>
  </pageFields>
  <dataFields count="1">
    <dataField name="Moyenne de  total fluorescence" fld="6" subtotal="average" baseField="1" baseItem="0"/>
  </dataField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800-000000000000}" name="Tableau croisé dynamique3" cacheId="30" applyNumberFormats="0" applyBorderFormats="0" applyFontFormats="0" applyPatternFormats="0" applyAlignmentFormats="0" applyWidthHeightFormats="1" dataCaption="Valeurs" updatedVersion="7" minRefreshableVersion="3" rowGrandTotals="0" colGrandTotals="0" itemPrintTitles="1" createdVersion="5" indent="0" outline="1" outlineData="1" multipleFieldFilters="0">
  <location ref="K3:AE12" firstHeaderRow="1" firstDataRow="2" firstDataCol="1" rowPageCount="1" colPageCount="1"/>
  <pivotFields count="9">
    <pivotField axis="axisCol" subtotalTop="0" showAll="0">
      <items count="23">
        <item x="0"/>
        <item x="1"/>
        <item x="2"/>
        <item x="3"/>
        <item x="4"/>
        <item x="5"/>
        <item x="6"/>
        <item x="7"/>
        <item x="8"/>
        <item x="9"/>
        <item x="10"/>
        <item x="11"/>
        <item x="12"/>
        <item x="13"/>
        <item x="14"/>
        <item x="15"/>
        <item x="16"/>
        <item x="17"/>
        <item x="18"/>
        <item x="19"/>
        <item m="1" x="21"/>
        <item x="20"/>
        <item t="default"/>
      </items>
    </pivotField>
    <pivotField axis="axisRow" subtotalTop="0" showAll="0">
      <items count="11">
        <item h="1" x="0"/>
        <item x="1"/>
        <item x="2"/>
        <item x="3"/>
        <item x="4"/>
        <item x="5"/>
        <item x="6"/>
        <item x="7"/>
        <item x="8"/>
        <item h="1" x="9"/>
        <item t="default"/>
      </items>
    </pivotField>
    <pivotField subtotalTop="0" showAll="0"/>
    <pivotField subtotalTop="0" showAll="0"/>
    <pivotField subtotalTop="0" showAll="0"/>
    <pivotField axis="axisPage" subtotalTop="0" showAll="0">
      <items count="45">
        <item x="1"/>
        <item x="0"/>
        <item x="2"/>
        <item m="1" x="37"/>
        <item m="1" x="40"/>
        <item m="1" x="27"/>
        <item m="1" x="33"/>
        <item m="1" x="28"/>
        <item m="1" x="31"/>
        <item m="1" x="24"/>
        <item m="1" x="25"/>
        <item m="1" x="26"/>
        <item m="1" x="34"/>
        <item m="1" x="36"/>
        <item m="1" x="32"/>
        <item m="1" x="43"/>
        <item m="1" x="38"/>
        <item m="1" x="23"/>
        <item m="1" x="30"/>
        <item m="1" x="42"/>
        <item m="1" x="39"/>
        <item m="1" x="35"/>
        <item m="1" x="41"/>
        <item m="1" x="29"/>
        <item x="3"/>
        <item x="4"/>
        <item x="5"/>
        <item x="6"/>
        <item x="7"/>
        <item x="8"/>
        <item x="9"/>
        <item x="10"/>
        <item x="11"/>
        <item x="12"/>
        <item x="13"/>
        <item x="14"/>
        <item x="15"/>
        <item x="16"/>
        <item x="17"/>
        <item x="18"/>
        <item x="19"/>
        <item x="20"/>
        <item x="21"/>
        <item x="22"/>
        <item t="default"/>
      </items>
    </pivotField>
    <pivotField dataField="1" subtotalTop="0" showAll="0"/>
    <pivotField subtotalTop="0" showAll="0"/>
    <pivotField subtotalTop="0" showAll="0"/>
  </pivotFields>
  <rowFields count="1">
    <field x="1"/>
  </rowFields>
  <rowItems count="8">
    <i>
      <x v="1"/>
    </i>
    <i>
      <x v="2"/>
    </i>
    <i>
      <x v="3"/>
    </i>
    <i>
      <x v="4"/>
    </i>
    <i>
      <x v="5"/>
    </i>
    <i>
      <x v="6"/>
    </i>
    <i>
      <x v="7"/>
    </i>
    <i>
      <x v="8"/>
    </i>
  </rowItems>
  <colFields count="1">
    <field x="0"/>
  </colFields>
  <colItems count="20">
    <i>
      <x v="1"/>
    </i>
    <i>
      <x v="2"/>
    </i>
    <i>
      <x v="3"/>
    </i>
    <i>
      <x v="4"/>
    </i>
    <i>
      <x v="5"/>
    </i>
    <i>
      <x v="6"/>
    </i>
    <i>
      <x v="7"/>
    </i>
    <i>
      <x v="8"/>
    </i>
    <i>
      <x v="9"/>
    </i>
    <i>
      <x v="10"/>
    </i>
    <i>
      <x v="11"/>
    </i>
    <i>
      <x v="12"/>
    </i>
    <i>
      <x v="13"/>
    </i>
    <i>
      <x v="14"/>
    </i>
    <i>
      <x v="15"/>
    </i>
    <i>
      <x v="16"/>
    </i>
    <i>
      <x v="17"/>
    </i>
    <i>
      <x v="18"/>
    </i>
    <i>
      <x v="19"/>
    </i>
    <i>
      <x v="21"/>
    </i>
  </colItems>
  <pageFields count="1">
    <pageField fld="5" hier="-1"/>
  </pageFields>
  <dataFields count="1">
    <dataField name="Moyenne de  total fluorescence" fld="6" subtotal="average" baseField="1" baseItem="0"/>
  </dataField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2BEAF9C9-0BF8-4385-8AFD-DA7A17EBEF6D}" name="Tableau croisé dynamique3" cacheId="31" applyNumberFormats="0" applyBorderFormats="0" applyFontFormats="0" applyPatternFormats="0" applyAlignmentFormats="0" applyWidthHeightFormats="1" dataCaption="Valeurs" updatedVersion="7" minRefreshableVersion="3" rowGrandTotals="0" colGrandTotals="0" itemPrintTitles="1" createdVersion="5" indent="0" outline="1" outlineData="1" multipleFieldFilters="0">
  <location ref="U5:U6" firstHeaderRow="1" firstDataRow="1" firstDataCol="1" rowPageCount="2" colPageCount="1"/>
  <pivotFields count="6">
    <pivotField axis="axisRow" showAll="0" defaultSubtotal="0">
      <items count="24">
        <item x="13"/>
        <item x="9"/>
        <item x="1"/>
        <item x="2"/>
        <item x="3"/>
        <item x="4"/>
        <item x="5"/>
        <item x="6"/>
        <item x="7"/>
        <item x="11"/>
        <item x="12"/>
        <item x="10"/>
        <item x="0"/>
        <item m="1" x="22"/>
        <item m="1" x="20"/>
        <item m="1" x="21"/>
        <item m="1" x="16"/>
        <item m="1" x="14"/>
        <item m="1" x="17"/>
        <item m="1" x="18"/>
        <item m="1" x="19"/>
        <item m="1" x="15"/>
        <item m="1" x="23"/>
        <item x="8"/>
      </items>
    </pivotField>
    <pivotField axis="axisPage" multipleItemSelectionAllowed="1" showAll="0" defaultSubtotal="0">
      <items count="3">
        <item x="2"/>
        <item h="1" x="0"/>
        <item x="1"/>
      </items>
    </pivotField>
    <pivotField showAll="0" defaultSubtotal="0"/>
    <pivotField showAll="0" defaultSubtotal="0"/>
    <pivotField showAll="0" defaultSubtotal="0"/>
    <pivotField axis="axisPage" showAll="0" defaultSubtotal="0">
      <items count="2">
        <item x="1"/>
        <item x="0"/>
      </items>
    </pivotField>
  </pivotFields>
  <rowFields count="1">
    <field x="0"/>
  </rowFields>
  <rowItems count="1">
    <i>
      <x/>
    </i>
  </rowItems>
  <colItems count="1">
    <i/>
  </colItems>
  <pageFields count="2">
    <pageField fld="1" hier="-1"/>
    <pageField fld="5" item="0" hier="-1"/>
  </pageField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8B7EBC52-00CD-4364-A425-54249E53BA82}" name="Tableau croisé dynamique2" cacheId="31" applyNumberFormats="0" applyBorderFormats="0" applyFontFormats="0" applyPatternFormats="0" applyAlignmentFormats="0" applyWidthHeightFormats="1" dataCaption="Valeurs" updatedVersion="7" minRefreshableVersion="3" rowGrandTotals="0" colGrandTotals="0" itemPrintTitles="1" createdVersion="5" indent="0" outline="1" outlineData="1" multipleFieldFilters="0">
  <location ref="Q5:Q7" firstHeaderRow="1" firstDataRow="1" firstDataCol="1" rowPageCount="2" colPageCount="1"/>
  <pivotFields count="6">
    <pivotField axis="axisRow" showAll="0" defaultSubtotal="0">
      <items count="24">
        <item x="13"/>
        <item x="9"/>
        <item x="1"/>
        <item x="2"/>
        <item x="3"/>
        <item x="4"/>
        <item x="5"/>
        <item x="6"/>
        <item x="7"/>
        <item x="11"/>
        <item x="12"/>
        <item x="10"/>
        <item x="0"/>
        <item m="1" x="22"/>
        <item m="1" x="20"/>
        <item m="1" x="21"/>
        <item m="1" x="16"/>
        <item m="1" x="14"/>
        <item m="1" x="17"/>
        <item m="1" x="18"/>
        <item m="1" x="19"/>
        <item m="1" x="15"/>
        <item m="1" x="23"/>
        <item x="8"/>
      </items>
    </pivotField>
    <pivotField axis="axisPage" multipleItemSelectionAllowed="1" showAll="0" defaultSubtotal="0">
      <items count="3">
        <item x="2"/>
        <item x="1"/>
        <item h="1" x="0"/>
      </items>
    </pivotField>
    <pivotField showAll="0" defaultSubtotal="0"/>
    <pivotField showAll="0" defaultSubtotal="0"/>
    <pivotField showAll="0" defaultSubtotal="0"/>
    <pivotField axis="axisPage" showAll="0" defaultSubtotal="0">
      <items count="2">
        <item x="1"/>
        <item x="0"/>
      </items>
    </pivotField>
  </pivotFields>
  <rowFields count="1">
    <field x="0"/>
  </rowFields>
  <rowItems count="2">
    <i>
      <x v="1"/>
    </i>
    <i>
      <x v="23"/>
    </i>
  </rowItems>
  <colItems count="1">
    <i/>
  </colItems>
  <pageFields count="2">
    <pageField fld="1" hier="-1"/>
    <pageField fld="5" item="1" hier="-1"/>
  </pageField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liste_groupe" displayName="liste_groupe" ref="A6:F58" totalsRowShown="0" headerRowDxfId="43" dataDxfId="42" tableBorderDxfId="41">
  <autoFilter ref="A6:F58" xr:uid="{00000000-0009-0000-0100-000001000000}"/>
  <tableColumns count="6">
    <tableColumn id="4" xr3:uid="{00000000-0010-0000-0000-000004000000}" name="Nom sur le graphique" dataDxfId="40">
      <calculatedColumnFormula>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calculatedColumnFormula>
    </tableColumn>
    <tableColumn id="1" xr3:uid="{00000000-0010-0000-0000-000001000000}" name="Code WF" dataDxfId="39">
      <calculatedColumnFormula>A2</calculatedColumnFormula>
    </tableColumn>
    <tableColumn id="2" xr3:uid="{00000000-0010-0000-0000-000002000000}" name="Concentration" dataDxfId="38">
      <calculatedColumnFormula>B2</calculatedColumnFormula>
    </tableColumn>
    <tableColumn id="10" xr3:uid="{00000000-0010-0000-0000-00000A000000}" name="Unité" dataDxfId="37"/>
    <tableColumn id="3" xr3:uid="{00000000-0010-0000-0000-000003000000}" name="Nom de l'échantillon donné par le client" dataDxfId="36">
      <calculatedColumnFormula>C2</calculatedColumnFormula>
    </tableColumn>
    <tableColumn id="9" xr3:uid="{00000000-0010-0000-0000-000009000000}" name="Dopage (+Testostérone / + EE2, ….)" dataDxfId="35"/>
  </tableColumns>
  <tableStyleInfo name="TableStyleLight15" showFirstColumn="0" showLastColumn="0" showRowStripes="0"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00000000-000C-0000-FFFF-FFFF01000000}" name="Tableau7" displayName="Tableau7" ref="A1:I7" totalsRowShown="0">
  <autoFilter ref="A1:I7" xr:uid="{00000000-0009-0000-0100-000007000000}"/>
  <tableColumns count="9">
    <tableColumn id="1" xr3:uid="{00000000-0010-0000-0100-000001000000}" name="Nom groupe"/>
    <tableColumn id="2" xr3:uid="{00000000-0010-0000-0100-000002000000}" name="N° de valeur"/>
    <tableColumn id="3" xr3:uid="{00000000-0010-0000-0100-000003000000}" name="file name"/>
    <tableColumn id="4" xr3:uid="{00000000-0010-0000-0100-000004000000}" name=" total area "/>
    <tableColumn id="5" xr3:uid="{00000000-0010-0000-0100-000005000000}" name=" mean intensity "/>
    <tableColumn id="6" xr3:uid="{00000000-0010-0000-0100-000006000000}" name=" "/>
    <tableColumn id="7" xr3:uid="{00000000-0010-0000-0100-000007000000}" name=" total fluorescence"/>
    <tableColumn id="8" xr3:uid="{00000000-0010-0000-0100-000008000000}" name="         "/>
    <tableColumn id="9" xr3:uid="{00000000-0010-0000-0100-000009000000}" name="nbre de larves"/>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2000000}" name="Tableau4" displayName="Tableau4" ref="A1:I1557" totalsRowShown="0">
  <autoFilter ref="A1:I1557" xr:uid="{00000000-0009-0000-0100-000004000000}"/>
  <tableColumns count="9">
    <tableColumn id="1" xr3:uid="{00000000-0010-0000-0200-000001000000}" name="Nom groupe" dataDxfId="30">
      <calculatedColumnFormula>IFERROR(LEFT(RIGHT(C2,LEN(C2)-SEARCH("@",C2)),SEARCH("/",RIGHT(C2,LEN(C2)-SEARCH("@",C2)-1))),"")</calculatedColumnFormula>
    </tableColumn>
    <tableColumn id="2" xr3:uid="{00000000-0010-0000-0200-000002000000}" name="N° de valeur" dataDxfId="29">
      <calculatedColumnFormula>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calculatedColumnFormula>
    </tableColumn>
    <tableColumn id="3" xr3:uid="{00000000-0010-0000-0200-000003000000}" name="file name"/>
    <tableColumn id="4" xr3:uid="{00000000-0010-0000-0200-000004000000}" name=" total area "/>
    <tableColumn id="5" xr3:uid="{00000000-0010-0000-0200-000005000000}" name=" mean intensity "/>
    <tableColumn id="6" xr3:uid="{00000000-0010-0000-0200-000006000000}" name=" "/>
    <tableColumn id="7" xr3:uid="{00000000-0010-0000-0200-000007000000}" name=" total fluorescence"/>
    <tableColumn id="8" xr3:uid="{00000000-0010-0000-0200-000008000000}" name="         "/>
    <tableColumn id="9" xr3:uid="{00000000-0010-0000-0200-000009000000}" name="nbre de larves"/>
  </tableColumns>
  <tableStyleInfo name="TableStyleLight16" showFirstColumn="0" showLastColumn="0" showRowStripes="0"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3000000}" name="Tableau46" displayName="Tableau46" ref="A1:I1531" totalsRowShown="0">
  <autoFilter ref="A1:I1531" xr:uid="{00000000-0009-0000-0100-000005000000}"/>
  <tableColumns count="9">
    <tableColumn id="1" xr3:uid="{00000000-0010-0000-0300-000001000000}" name="Nom groupe" dataDxfId="26">
      <calculatedColumnFormula>IFERROR(LEFT(RIGHT(C2,LEN(C2)-SEARCH("@",C2)),SEARCH("/",RIGHT(C2,LEN(C2)-SEARCH("@",C2)-1))),"")</calculatedColumnFormula>
    </tableColumn>
    <tableColumn id="2" xr3:uid="{00000000-0010-0000-0300-000002000000}" name="N° de valeur" dataDxfId="25">
      <calculatedColumnFormula>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calculatedColumnFormula>
    </tableColumn>
    <tableColumn id="3" xr3:uid="{00000000-0010-0000-0300-000003000000}" name="file name"/>
    <tableColumn id="4" xr3:uid="{00000000-0010-0000-0300-000004000000}" name=" total area "/>
    <tableColumn id="5" xr3:uid="{00000000-0010-0000-0300-000005000000}" name=" mean intensity "/>
    <tableColumn id="6" xr3:uid="{00000000-0010-0000-0300-000006000000}" name=" "/>
    <tableColumn id="7" xr3:uid="{00000000-0010-0000-0300-000007000000}" name=" total fluorescence"/>
    <tableColumn id="8" xr3:uid="{00000000-0010-0000-0300-000008000000}" name="         "/>
    <tableColumn id="9" xr3:uid="{00000000-0010-0000-0300-000009000000}" name="nbre de larves"/>
  </tableColumns>
  <tableStyleInfo name="TableStyleLight16" showFirstColumn="0" showLastColumn="0" showRowStripes="0"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4000000}" name="Tableau467" displayName="Tableau467" ref="A1:I1711" totalsRowShown="0">
  <autoFilter ref="A1:I1711" xr:uid="{00000000-0009-0000-0100-000006000000}"/>
  <tableColumns count="9">
    <tableColumn id="1" xr3:uid="{00000000-0010-0000-0400-000001000000}" name="Nom groupe" dataDxfId="22">
      <calculatedColumnFormula>IFERROR(LEFT(RIGHT(C2,LEN(C2)-SEARCH("@",C2)),SEARCH("/",RIGHT(C2,LEN(C2)-SEARCH("@",C2)-1))),"")</calculatedColumnFormula>
    </tableColumn>
    <tableColumn id="2" xr3:uid="{00000000-0010-0000-0400-000002000000}" name="N° de valeur" dataDxfId="21">
      <calculatedColumnFormula>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calculatedColumnFormula>
    </tableColumn>
    <tableColumn id="3" xr3:uid="{00000000-0010-0000-0400-000003000000}" name="file name"/>
    <tableColumn id="4" xr3:uid="{00000000-0010-0000-0400-000004000000}" name=" total area "/>
    <tableColumn id="5" xr3:uid="{00000000-0010-0000-0400-000005000000}" name=" mean intensity "/>
    <tableColumn id="6" xr3:uid="{00000000-0010-0000-0400-000006000000}" name=" "/>
    <tableColumn id="7" xr3:uid="{00000000-0010-0000-0400-000007000000}" name=" total fluorescence"/>
    <tableColumn id="8" xr3:uid="{00000000-0010-0000-0400-000008000000}" name="         "/>
    <tableColumn id="9" xr3:uid="{00000000-0010-0000-0400-000009000000}" name="nbre de larves"/>
  </tableColumns>
  <tableStyleInfo name="TableStyleLight16" showFirstColumn="0" showLastColumn="0" showRowStripes="0"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5000000}" name="Tableau2" displayName="Tableau2" ref="A1:G2" totalsRowShown="0" headerRowDxfId="20" dataDxfId="19" tableBorderDxfId="18">
  <autoFilter ref="A1:G2" xr:uid="{00000000-0009-0000-0100-000002000000}"/>
  <tableColumns count="7">
    <tableColumn id="1" xr3:uid="{00000000-0010-0000-0500-000001000000}" name="Description" dataDxfId="17"/>
    <tableColumn id="2" xr3:uid="{00000000-0010-0000-0500-000002000000}" name="Problème" dataDxfId="16"/>
    <tableColumn id="3" xr3:uid="{00000000-0010-0000-0500-000003000000}" name="EqH RAPPORT" dataDxfId="15"/>
    <tableColumn id="4" xr3:uid="{00000000-0010-0000-0500-000004000000}" name="% atteinte du seuil RAPPORT" dataDxfId="14"/>
    <tableColumn id="5" xr3:uid="{00000000-0010-0000-0500-000005000000}" name="Valeur échelle sur graphique RAPPORT" dataDxfId="13"/>
    <tableColumn id="6" xr3:uid="{00000000-0010-0000-0500-000006000000}" name="EqH BASE DE DONNEES" dataDxfId="12"/>
    <tableColumn id="7" xr3:uid="{00000000-0010-0000-0500-000007000000}" name="% BASE DE DONNEES" dataDxfId="11"/>
  </tableColumns>
  <tableStyleInfo name="TableStyleLight15"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6000000}" name="Tableau3" displayName="Tableau3" ref="A1:N15" totalsRowShown="0" headerRowDxfId="10">
  <autoFilter ref="A1:N15" xr:uid="{00000000-0009-0000-0100-000003000000}"/>
  <tableColumns count="14">
    <tableColumn id="1" xr3:uid="{00000000-0010-0000-0600-000001000000}" name="Nom ND">
      <calculatedColumnFormula>Q6</calculatedColumnFormula>
    </tableColumn>
    <tableColumn id="2" xr3:uid="{00000000-0010-0000-0600-000002000000}" name="Nom D" dataDxfId="9">
      <calculatedColumnFormula>U6</calculatedColumnFormula>
    </tableColumn>
    <tableColumn id="3" xr3:uid="{00000000-0010-0000-0600-000003000000}" name="CHG-protocole"/>
    <tableColumn id="4" xr3:uid="{00000000-0010-0000-0600-000004000000}" name="CHG-dilution" dataDxfId="8">
      <calculatedColumnFormula>CONCATENATE(VLOOKUP(Tableau3[[#This Row],[Nom ND]],liste_groupe[],3,FALSE),VLOOKUP(Tableau3[[#This Row],[Nom ND]],liste_groupe[],4,FALSE))</calculatedColumnFormula>
    </tableColumn>
    <tableColumn id="5" xr3:uid="{00000000-0010-0000-0600-000005000000}" name="CHG-induction ND" dataDxfId="7">
      <calculatedColumnFormula>HLOOKUP(Tableau3[[#This Row],[Nom ND]],'pooled normalised values'!$B$74:$V$83,4,FALSE)</calculatedColumnFormula>
    </tableColumn>
    <tableColumn id="6" xr3:uid="{00000000-0010-0000-0600-000006000000}" name="CHG-test ND" dataDxfId="6">
      <calculatedColumnFormula>HLOOKUP(Tableau3[[#This Row],[Nom ND]],'pooled normalised values'!$B$74:$V$83,8,FALSE)</calculatedColumnFormula>
    </tableColumn>
    <tableColumn id="8" xr3:uid="{00000000-0010-0000-0600-000008000000}" name="CHG-EQH ND" dataDxfId="5">
      <calculatedColumnFormula>VLOOKUP(Tableau3[[#This Row],[Nom ND]],'summary results'!$A$6:$N$26,9,FALSE)</calculatedColumnFormula>
    </tableColumn>
    <tableColumn id="9" xr3:uid="{00000000-0010-0000-0600-000009000000}" name="CHG-% atteinte du seuil ND" dataDxfId="4">
      <calculatedColumnFormula>VLOOKUP(Tableau3[[#This Row],[Nom ND]],'summary results'!$A$6:$N$26,11,FALSE)</calculatedColumnFormula>
    </tableColumn>
    <tableColumn id="10" xr3:uid="{00000000-0010-0000-0600-00000A000000}" name="CHG-induction D" dataDxfId="3">
      <calculatedColumnFormula>HLOOKUP(Tableau3[[#This Row],[Nom D]],'pooled normalised values'!$B$74:$V$83,4,FALSE)</calculatedColumnFormula>
    </tableColumn>
    <tableColumn id="11" xr3:uid="{00000000-0010-0000-0600-00000B000000}" name="CHG-test D" dataDxfId="2">
      <calculatedColumnFormula>HLOOKUP(Tableau3[[#This Row],[Nom D]],'pooled normalised values'!$B$74:$V$83,8,FALSE)</calculatedColumnFormula>
    </tableColumn>
    <tableColumn id="13" xr3:uid="{00000000-0010-0000-0600-00000D000000}" name="CHG-EQH D" dataDxfId="1">
      <calculatedColumnFormula>VLOOKUP(Tableau3[[#This Row],[Nom D]],'summary results'!$A$29:$N$51,9,FALSE)</calculatedColumnFormula>
    </tableColumn>
    <tableColumn id="14" xr3:uid="{00000000-0010-0000-0600-00000E000000}" name="CHG-% atteinte seuil D" dataDxfId="0">
      <calculatedColumnFormula>VLOOKUP(Tableau3[[#This Row],[Nom D]],'summary results'!$A$29:$N$51,11,FALSE)</calculatedColumnFormula>
    </tableColumn>
    <tableColumn id="15" xr3:uid="{00000000-0010-0000-0600-00000F000000}" name="CHG-Testo+EE2">
      <calculatedColumnFormula>'summary results'!$G$30</calculatedColumnFormula>
    </tableColumn>
    <tableColumn id="16" xr3:uid="{00000000-0010-0000-0600-000010000000}" name="CHG-Testo+Fad">
      <calculatedColumnFormula>'summary results'!$G$31</calculatedColumnFormula>
    </tableColumn>
  </tableColumns>
  <tableStyleInfo name="TableStyleLight15" showFirstColumn="0" showLastColumn="0" showRowStripes="0" showColumnStripes="0"/>
</table>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2" Type="http://schemas.openxmlformats.org/officeDocument/2006/relationships/table" Target="../tables/table4.xml"/><Relationship Id="rId1" Type="http://schemas.openxmlformats.org/officeDocument/2006/relationships/pivotTable" Target="../pivotTables/pivotTable2.xml"/></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7.xml.rels><?xml version="1.0" encoding="UTF-8" standalone="yes"?>
<Relationships xmlns="http://schemas.openxmlformats.org/package/2006/relationships"><Relationship Id="rId2" Type="http://schemas.openxmlformats.org/officeDocument/2006/relationships/table" Target="../tables/table5.xml"/><Relationship Id="rId1" Type="http://schemas.openxmlformats.org/officeDocument/2006/relationships/pivotTable" Target="../pivotTables/pivotTable3.xml"/></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9.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8.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table" Target="../tables/table6.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4.xml.rels><?xml version="1.0" encoding="UTF-8" standalone="yes"?>
<Relationships xmlns="http://schemas.openxmlformats.org/package/2006/relationships"><Relationship Id="rId3" Type="http://schemas.openxmlformats.org/officeDocument/2006/relationships/table" Target="../tables/table7.xml"/><Relationship Id="rId2" Type="http://schemas.openxmlformats.org/officeDocument/2006/relationships/pivotTable" Target="../pivotTables/pivotTable5.xml"/><Relationship Id="rId1" Type="http://schemas.openxmlformats.org/officeDocument/2006/relationships/pivotTable" Target="../pivotTables/pivot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I58"/>
  <sheetViews>
    <sheetView showGridLines="0" topLeftCell="A10" zoomScale="55" zoomScaleNormal="55" workbookViewId="0">
      <selection activeCell="A15" sqref="A15:E19"/>
    </sheetView>
  </sheetViews>
  <sheetFormatPr baseColWidth="10" defaultRowHeight="39" customHeight="1" x14ac:dyDescent="0.35"/>
  <cols>
    <col min="1" max="1" width="42" bestFit="1" customWidth="1"/>
    <col min="2" max="2" width="33.81640625" style="44" bestFit="1" customWidth="1"/>
    <col min="3" max="3" width="21.26953125" customWidth="1"/>
    <col min="4" max="4" width="30.453125" customWidth="1"/>
    <col min="5" max="5" width="62.26953125" style="161" bestFit="1" customWidth="1"/>
    <col min="6" max="6" width="56.7265625" bestFit="1" customWidth="1"/>
    <col min="7" max="7" width="19.453125" customWidth="1"/>
    <col min="8" max="8" width="15.26953125" customWidth="1"/>
    <col min="9" max="9" width="18" customWidth="1"/>
    <col min="10" max="10" width="19.54296875" bestFit="1" customWidth="1"/>
  </cols>
  <sheetData>
    <row r="1" spans="1:9" ht="39" customHeight="1" thickBot="1" x14ac:dyDescent="0.4">
      <c r="A1" s="198" t="s">
        <v>36</v>
      </c>
      <c r="B1" s="199"/>
      <c r="C1" s="199"/>
      <c r="D1" s="199"/>
      <c r="E1" s="199"/>
      <c r="F1" s="199"/>
      <c r="G1" s="199"/>
      <c r="H1" s="199"/>
      <c r="I1" s="200"/>
    </row>
    <row r="2" spans="1:9" ht="21" x14ac:dyDescent="0.5">
      <c r="A2" s="190" t="s">
        <v>17</v>
      </c>
      <c r="B2" s="42" t="s">
        <v>115</v>
      </c>
      <c r="C2" s="201"/>
      <c r="D2" s="202"/>
      <c r="E2" s="42" t="s">
        <v>21</v>
      </c>
      <c r="F2" s="213"/>
      <c r="G2" s="214"/>
      <c r="H2" s="214"/>
      <c r="I2" s="215"/>
    </row>
    <row r="3" spans="1:9" ht="21" x14ac:dyDescent="0.5">
      <c r="A3" s="191" t="s">
        <v>18</v>
      </c>
      <c r="B3" s="43" t="s">
        <v>115</v>
      </c>
      <c r="C3" s="203"/>
      <c r="D3" s="204"/>
      <c r="E3" s="43" t="s">
        <v>21</v>
      </c>
      <c r="F3" s="210"/>
      <c r="G3" s="211"/>
      <c r="H3" s="211"/>
      <c r="I3" s="212"/>
    </row>
    <row r="4" spans="1:9" ht="21.5" thickBot="1" x14ac:dyDescent="0.55000000000000004">
      <c r="A4" s="192" t="s">
        <v>22</v>
      </c>
      <c r="B4" s="180" t="s">
        <v>115</v>
      </c>
      <c r="C4" s="205"/>
      <c r="D4" s="206"/>
      <c r="E4" s="180" t="s">
        <v>21</v>
      </c>
      <c r="F4" s="207"/>
      <c r="G4" s="208"/>
      <c r="H4" s="208"/>
      <c r="I4" s="209"/>
    </row>
    <row r="5" spans="1:9" s="1" customFormat="1" ht="65.25" customHeight="1" thickBot="1" x14ac:dyDescent="0.4">
      <c r="A5" s="198" t="s">
        <v>37</v>
      </c>
      <c r="B5" s="199"/>
      <c r="C5" s="199"/>
      <c r="D5" s="199"/>
      <c r="E5" s="199"/>
      <c r="F5" s="199"/>
      <c r="G5" s="199"/>
      <c r="H5" s="199"/>
      <c r="I5" s="200"/>
    </row>
    <row r="6" spans="1:9" s="110" customFormat="1" ht="39" customHeight="1" x14ac:dyDescent="0.5">
      <c r="A6" s="76" t="s">
        <v>35</v>
      </c>
      <c r="B6" s="101" t="s">
        <v>7</v>
      </c>
      <c r="C6" s="64" t="s">
        <v>19</v>
      </c>
      <c r="D6" s="64" t="s">
        <v>75</v>
      </c>
      <c r="E6" s="158" t="s">
        <v>51</v>
      </c>
      <c r="F6" s="109" t="s">
        <v>78</v>
      </c>
    </row>
    <row r="7" spans="1:9" s="167" customFormat="1" ht="39" customHeight="1" x14ac:dyDescent="0.5">
      <c r="A7" s="162"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Témoin solvant</v>
      </c>
      <c r="B7" s="163" t="s">
        <v>123</v>
      </c>
      <c r="C7" s="164"/>
      <c r="D7" s="165"/>
      <c r="E7" s="166" t="s">
        <v>125</v>
      </c>
      <c r="F7" s="111"/>
    </row>
    <row r="8" spans="1:9" s="167" customFormat="1" ht="39" customHeight="1" x14ac:dyDescent="0.5">
      <c r="A8" s="162"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EE2-22,5ng/L</v>
      </c>
      <c r="B8" s="163" t="s">
        <v>123</v>
      </c>
      <c r="C8" s="164">
        <v>22.5</v>
      </c>
      <c r="D8" s="165" t="s">
        <v>124</v>
      </c>
      <c r="E8" s="166" t="s">
        <v>126</v>
      </c>
      <c r="F8" s="111"/>
    </row>
    <row r="9" spans="1:9" s="167" customFormat="1" ht="39" customHeight="1" x14ac:dyDescent="0.5">
      <c r="A9" s="162"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EE2-33,8ng/L</v>
      </c>
      <c r="B9" s="163" t="s">
        <v>123</v>
      </c>
      <c r="C9" s="164">
        <v>33.799999999999997</v>
      </c>
      <c r="D9" s="165" t="s">
        <v>124</v>
      </c>
      <c r="E9" s="166" t="s">
        <v>126</v>
      </c>
      <c r="F9" s="111"/>
    </row>
    <row r="10" spans="1:9" s="167" customFormat="1" ht="39" customHeight="1" x14ac:dyDescent="0.5">
      <c r="A10" s="162"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EE2-50,6ng/L</v>
      </c>
      <c r="B10" s="163" t="s">
        <v>123</v>
      </c>
      <c r="C10" s="164">
        <v>50.6</v>
      </c>
      <c r="D10" s="165" t="s">
        <v>124</v>
      </c>
      <c r="E10" s="166" t="s">
        <v>126</v>
      </c>
      <c r="F10" s="111"/>
    </row>
    <row r="11" spans="1:9" s="167" customFormat="1" ht="39" customHeight="1" x14ac:dyDescent="0.5">
      <c r="A11" s="162"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EE2-76ng/L</v>
      </c>
      <c r="B11" s="163" t="s">
        <v>123</v>
      </c>
      <c r="C11" s="164">
        <v>76</v>
      </c>
      <c r="D11" s="165" t="s">
        <v>124</v>
      </c>
      <c r="E11" s="166" t="s">
        <v>126</v>
      </c>
      <c r="F11" s="111"/>
    </row>
    <row r="12" spans="1:9" s="167" customFormat="1" ht="39" customHeight="1" x14ac:dyDescent="0.5">
      <c r="A12" s="162"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EE2-114ng/L</v>
      </c>
      <c r="B12" s="163" t="s">
        <v>123</v>
      </c>
      <c r="C12" s="164">
        <v>114</v>
      </c>
      <c r="D12" s="165" t="s">
        <v>124</v>
      </c>
      <c r="E12" s="166" t="s">
        <v>126</v>
      </c>
      <c r="F12" s="111"/>
    </row>
    <row r="13" spans="1:9" s="167" customFormat="1" ht="39" customHeight="1" x14ac:dyDescent="0.5">
      <c r="A13" s="162"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EE2-170,9ng/L</v>
      </c>
      <c r="B13" s="163" t="s">
        <v>123</v>
      </c>
      <c r="C13" s="164">
        <v>170.9</v>
      </c>
      <c r="D13" s="165" t="s">
        <v>124</v>
      </c>
      <c r="E13" s="166" t="s">
        <v>126</v>
      </c>
      <c r="F13" s="111"/>
    </row>
    <row r="14" spans="1:9" s="167" customFormat="1" ht="39" customHeight="1" x14ac:dyDescent="0.5">
      <c r="A14" s="162"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EE2-488ng/L</v>
      </c>
      <c r="B14" s="163" t="s">
        <v>123</v>
      </c>
      <c r="C14" s="164">
        <v>488</v>
      </c>
      <c r="D14" s="165" t="s">
        <v>124</v>
      </c>
      <c r="E14" s="166" t="s">
        <v>126</v>
      </c>
      <c r="F14" s="111"/>
    </row>
    <row r="15" spans="1:9" s="167" customFormat="1" ht="39" customHeight="1" x14ac:dyDescent="0.5">
      <c r="A15" s="162" t="s">
        <v>4355</v>
      </c>
      <c r="B15" s="163" t="s">
        <v>4356</v>
      </c>
      <c r="C15" s="164">
        <v>5.4</v>
      </c>
      <c r="D15" s="165" t="s">
        <v>127</v>
      </c>
      <c r="E15" s="166" t="s">
        <v>4357</v>
      </c>
      <c r="F15" s="111"/>
    </row>
    <row r="16" spans="1:9" s="112" customFormat="1" ht="39" customHeight="1" x14ac:dyDescent="0.35">
      <c r="A16" s="65" t="s">
        <v>4358</v>
      </c>
      <c r="B16" s="40" t="s">
        <v>4356</v>
      </c>
      <c r="C16" s="106">
        <v>11</v>
      </c>
      <c r="D16" s="106" t="s">
        <v>127</v>
      </c>
      <c r="E16" s="40" t="s">
        <v>4357</v>
      </c>
      <c r="F16" s="111"/>
    </row>
    <row r="17" spans="1:6" s="112" customFormat="1" ht="39" customHeight="1" x14ac:dyDescent="0.35">
      <c r="A17" s="65" t="s">
        <v>4359</v>
      </c>
      <c r="B17" s="102" t="s">
        <v>4356</v>
      </c>
      <c r="C17" s="106">
        <v>22</v>
      </c>
      <c r="D17" s="106" t="s">
        <v>127</v>
      </c>
      <c r="E17" s="102" t="s">
        <v>4357</v>
      </c>
      <c r="F17" s="111"/>
    </row>
    <row r="18" spans="1:6" s="112" customFormat="1" ht="39" customHeight="1" x14ac:dyDescent="0.35">
      <c r="A18" s="65" t="s">
        <v>4360</v>
      </c>
      <c r="B18" s="40" t="s">
        <v>4356</v>
      </c>
      <c r="C18" s="106">
        <v>44</v>
      </c>
      <c r="D18" s="106" t="s">
        <v>127</v>
      </c>
      <c r="E18" s="40" t="s">
        <v>4357</v>
      </c>
      <c r="F18" s="111"/>
    </row>
    <row r="19" spans="1:6" s="112" customFormat="1" ht="39" customHeight="1" x14ac:dyDescent="0.35">
      <c r="A19" s="65" t="s">
        <v>4361</v>
      </c>
      <c r="B19" s="102" t="s">
        <v>4356</v>
      </c>
      <c r="C19" s="106">
        <v>87</v>
      </c>
      <c r="D19" s="106" t="s">
        <v>127</v>
      </c>
      <c r="E19" s="102" t="s">
        <v>4357</v>
      </c>
      <c r="F19" s="111"/>
    </row>
    <row r="20" spans="1:6" s="112" customFormat="1" ht="39" customHeight="1" x14ac:dyDescent="0.35">
      <c r="A20" s="65"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 xml:space="preserve"> </v>
      </c>
      <c r="B20" s="40"/>
      <c r="C20" s="106"/>
      <c r="D20" s="106"/>
      <c r="E20" s="40"/>
      <c r="F20" s="111"/>
    </row>
    <row r="21" spans="1:6" s="112" customFormat="1" ht="39" customHeight="1" x14ac:dyDescent="0.35">
      <c r="A21" s="65"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 xml:space="preserve"> </v>
      </c>
      <c r="B21" s="102"/>
      <c r="C21" s="106"/>
      <c r="D21" s="106"/>
      <c r="E21" s="102"/>
      <c r="F21" s="111"/>
    </row>
    <row r="22" spans="1:6" s="112" customFormat="1" ht="39" customHeight="1" x14ac:dyDescent="0.35">
      <c r="A22" s="65"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 xml:space="preserve"> </v>
      </c>
      <c r="B22" s="40"/>
      <c r="C22" s="106"/>
      <c r="D22" s="106"/>
      <c r="E22" s="40"/>
      <c r="F22" s="111"/>
    </row>
    <row r="23" spans="1:6" s="112" customFormat="1" ht="39" customHeight="1" x14ac:dyDescent="0.35">
      <c r="A23" s="65"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 xml:space="preserve"> </v>
      </c>
      <c r="B23" s="102"/>
      <c r="C23" s="106"/>
      <c r="D23" s="106"/>
      <c r="E23" s="102"/>
      <c r="F23" s="111"/>
    </row>
    <row r="24" spans="1:6" s="112" customFormat="1" ht="39" customHeight="1" x14ac:dyDescent="0.35">
      <c r="A24" s="65"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 xml:space="preserve"> </v>
      </c>
      <c r="B24" s="40"/>
      <c r="C24" s="106"/>
      <c r="D24" s="106"/>
      <c r="E24" s="40"/>
      <c r="F24" s="111"/>
    </row>
    <row r="25" spans="1:6" s="112" customFormat="1" ht="39" customHeight="1" x14ac:dyDescent="0.35">
      <c r="A25" s="65"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 xml:space="preserve"> </v>
      </c>
      <c r="B25" s="102"/>
      <c r="C25" s="106"/>
      <c r="D25" s="106"/>
      <c r="E25" s="102"/>
      <c r="F25" s="111"/>
    </row>
    <row r="26" spans="1:6" s="112" customFormat="1" ht="39" customHeight="1" x14ac:dyDescent="0.35">
      <c r="A26" s="65"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 xml:space="preserve"> </v>
      </c>
      <c r="B26" s="40"/>
      <c r="C26" s="106"/>
      <c r="D26" s="106"/>
      <c r="E26" s="40"/>
      <c r="F26" s="111"/>
    </row>
    <row r="27" spans="1:6" s="112" customFormat="1" ht="39" customHeight="1" x14ac:dyDescent="0.35">
      <c r="A27" s="65"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 xml:space="preserve"> </v>
      </c>
      <c r="B27" s="102"/>
      <c r="C27" s="106"/>
      <c r="D27" s="106"/>
      <c r="E27" s="102"/>
      <c r="F27" s="111"/>
    </row>
    <row r="28" spans="1:6" s="112" customFormat="1" ht="39" customHeight="1" x14ac:dyDescent="0.35">
      <c r="A28" s="65"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 xml:space="preserve"> </v>
      </c>
      <c r="B28" s="40"/>
      <c r="C28" s="106"/>
      <c r="D28" s="106"/>
      <c r="E28" s="40"/>
      <c r="F28" s="111"/>
    </row>
    <row r="29" spans="1:6" s="112" customFormat="1" ht="39" customHeight="1" x14ac:dyDescent="0.35">
      <c r="A29" s="65"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 xml:space="preserve"> </v>
      </c>
      <c r="B29" s="102"/>
      <c r="C29" s="106"/>
      <c r="D29" s="106"/>
      <c r="E29" s="102"/>
      <c r="F29" s="111"/>
    </row>
    <row r="30" spans="1:6" s="112" customFormat="1" ht="39" customHeight="1" x14ac:dyDescent="0.35">
      <c r="A30" s="65"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 xml:space="preserve"> </v>
      </c>
      <c r="B30" s="40"/>
      <c r="C30" s="106"/>
      <c r="D30" s="115"/>
      <c r="E30" s="40"/>
      <c r="F30" s="111"/>
    </row>
    <row r="31" spans="1:6" s="112" customFormat="1" ht="39" customHeight="1" x14ac:dyDescent="0.35">
      <c r="A31" s="65"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 xml:space="preserve"> </v>
      </c>
      <c r="B31" s="102"/>
      <c r="C31" s="106"/>
      <c r="D31" s="115"/>
      <c r="E31" s="102"/>
      <c r="F31" s="111"/>
    </row>
    <row r="32" spans="1:6" s="112" customFormat="1" ht="39" customHeight="1" x14ac:dyDescent="0.35">
      <c r="A32" s="65"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 xml:space="preserve"> </v>
      </c>
      <c r="B32" s="40"/>
      <c r="C32" s="106"/>
      <c r="D32" s="115"/>
      <c r="E32" s="40"/>
      <c r="F32" s="111"/>
    </row>
    <row r="33" spans="1:6" s="112" customFormat="1" ht="39" customHeight="1" x14ac:dyDescent="0.35">
      <c r="A33" s="65"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 xml:space="preserve"> </v>
      </c>
      <c r="B33" s="102"/>
      <c r="C33" s="106"/>
      <c r="D33" s="115"/>
      <c r="E33" s="102"/>
      <c r="F33" s="111"/>
    </row>
    <row r="34" spans="1:6" s="112" customFormat="1" ht="39" customHeight="1" x14ac:dyDescent="0.35">
      <c r="A34" s="65"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 xml:space="preserve"> </v>
      </c>
      <c r="B34" s="40"/>
      <c r="C34" s="106"/>
      <c r="D34" s="115"/>
      <c r="E34" s="40"/>
      <c r="F34" s="111"/>
    </row>
    <row r="35" spans="1:6" s="112" customFormat="1" ht="39" customHeight="1" thickBot="1" x14ac:dyDescent="0.4">
      <c r="A35" s="74"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 xml:space="preserve"> </v>
      </c>
      <c r="B35" s="168"/>
      <c r="C35" s="169"/>
      <c r="D35" s="116"/>
      <c r="E35" s="168"/>
      <c r="F35" s="111"/>
    </row>
    <row r="36" spans="1:6" s="112" customFormat="1" ht="39" customHeight="1" x14ac:dyDescent="0.35">
      <c r="A36" s="170"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Testo -30µg/L</v>
      </c>
      <c r="B36" s="103" t="s">
        <v>123</v>
      </c>
      <c r="C36" s="107">
        <v>30</v>
      </c>
      <c r="D36" s="117" t="s">
        <v>127</v>
      </c>
      <c r="E36" s="159" t="s">
        <v>20</v>
      </c>
      <c r="F36" s="171"/>
    </row>
    <row r="37" spans="1:6" s="112" customFormat="1" ht="39" customHeight="1" x14ac:dyDescent="0.35">
      <c r="A37" s="172"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Testo 30µg/L + EE2 -64ng/L</v>
      </c>
      <c r="B37" s="104" t="s">
        <v>123</v>
      </c>
      <c r="C37" s="108">
        <v>64</v>
      </c>
      <c r="D37" s="118" t="s">
        <v>124</v>
      </c>
      <c r="E37" s="160" t="s">
        <v>128</v>
      </c>
      <c r="F37" s="173"/>
    </row>
    <row r="38" spans="1:6" s="112" customFormat="1" ht="39" customHeight="1" thickBot="1" x14ac:dyDescent="0.4">
      <c r="A38" s="174"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Testo 30µg/L + FAD-10mg/L</v>
      </c>
      <c r="B38" s="175" t="s">
        <v>123</v>
      </c>
      <c r="C38" s="176">
        <v>10</v>
      </c>
      <c r="D38" s="177" t="s">
        <v>129</v>
      </c>
      <c r="E38" s="178" t="s">
        <v>130</v>
      </c>
      <c r="F38" s="179"/>
    </row>
    <row r="39" spans="1:6" s="112" customFormat="1" ht="39" customHeight="1" x14ac:dyDescent="0.35">
      <c r="A39" s="52"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FAD-5,4µg/L + Testostérone</v>
      </c>
      <c r="B39" s="193" t="str">
        <f>B15</f>
        <v>Chemical</v>
      </c>
      <c r="C39" s="193">
        <f t="shared" ref="C39:E39" si="0">C15</f>
        <v>5.4</v>
      </c>
      <c r="D39" s="193" t="str">
        <f t="shared" si="0"/>
        <v>µg/L</v>
      </c>
      <c r="E39" s="193" t="str">
        <f t="shared" si="0"/>
        <v>FAD</v>
      </c>
      <c r="F39" s="113" t="s">
        <v>50</v>
      </c>
    </row>
    <row r="40" spans="1:6" s="112" customFormat="1" ht="39" customHeight="1" x14ac:dyDescent="0.35">
      <c r="A40" s="75"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FAD-11µg/L + Testostérone</v>
      </c>
      <c r="B40" s="195" t="str">
        <f t="shared" ref="B40:E40" si="1">B16</f>
        <v>Chemical</v>
      </c>
      <c r="C40" s="195">
        <f t="shared" si="1"/>
        <v>11</v>
      </c>
      <c r="D40" s="195" t="str">
        <f t="shared" si="1"/>
        <v>µg/L</v>
      </c>
      <c r="E40" s="195" t="str">
        <f t="shared" si="1"/>
        <v>FAD</v>
      </c>
      <c r="F40" s="114" t="s">
        <v>50</v>
      </c>
    </row>
    <row r="41" spans="1:6" s="112" customFormat="1" ht="39" customHeight="1" x14ac:dyDescent="0.35">
      <c r="A41" s="75"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FAD-22µg/L + Testostérone</v>
      </c>
      <c r="B41" s="195" t="str">
        <f t="shared" ref="B41:E41" si="2">B17</f>
        <v>Chemical</v>
      </c>
      <c r="C41" s="195">
        <f t="shared" si="2"/>
        <v>22</v>
      </c>
      <c r="D41" s="195" t="str">
        <f t="shared" si="2"/>
        <v>µg/L</v>
      </c>
      <c r="E41" s="195" t="str">
        <f t="shared" si="2"/>
        <v>FAD</v>
      </c>
      <c r="F41" s="114" t="s">
        <v>50</v>
      </c>
    </row>
    <row r="42" spans="1:6" s="112" customFormat="1" ht="39" customHeight="1" x14ac:dyDescent="0.35">
      <c r="A42" s="75"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FAD-44µg/L + Testostérone</v>
      </c>
      <c r="B42" s="195" t="str">
        <f t="shared" ref="B42:E42" si="3">B18</f>
        <v>Chemical</v>
      </c>
      <c r="C42" s="195">
        <f t="shared" si="3"/>
        <v>44</v>
      </c>
      <c r="D42" s="195" t="str">
        <f t="shared" si="3"/>
        <v>µg/L</v>
      </c>
      <c r="E42" s="195" t="str">
        <f t="shared" si="3"/>
        <v>FAD</v>
      </c>
      <c r="F42" s="114" t="s">
        <v>50</v>
      </c>
    </row>
    <row r="43" spans="1:6" s="112" customFormat="1" ht="39" customHeight="1" x14ac:dyDescent="0.35">
      <c r="A43" s="75"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FAD-87µg/L + Testostérone</v>
      </c>
      <c r="B43" s="195" t="str">
        <f t="shared" ref="B43:E43" si="4">B19</f>
        <v>Chemical</v>
      </c>
      <c r="C43" s="195">
        <f t="shared" si="4"/>
        <v>87</v>
      </c>
      <c r="D43" s="195" t="str">
        <f t="shared" si="4"/>
        <v>µg/L</v>
      </c>
      <c r="E43" s="195" t="str">
        <f t="shared" si="4"/>
        <v>FAD</v>
      </c>
      <c r="F43" s="114" t="s">
        <v>50</v>
      </c>
    </row>
    <row r="44" spans="1:6" s="112" customFormat="1" ht="39" customHeight="1" x14ac:dyDescent="0.35">
      <c r="A44" s="75"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0-00 + Testostérone</v>
      </c>
      <c r="B44" s="195">
        <f t="shared" ref="B44:E44" si="5">B20</f>
        <v>0</v>
      </c>
      <c r="C44" s="195">
        <f t="shared" si="5"/>
        <v>0</v>
      </c>
      <c r="D44" s="195">
        <f t="shared" si="5"/>
        <v>0</v>
      </c>
      <c r="E44" s="195">
        <f t="shared" si="5"/>
        <v>0</v>
      </c>
      <c r="F44" s="114" t="s">
        <v>50</v>
      </c>
    </row>
    <row r="45" spans="1:6" s="112" customFormat="1" ht="39" customHeight="1" x14ac:dyDescent="0.35">
      <c r="A45" s="75"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0-00 + Testostérone</v>
      </c>
      <c r="B45" s="195">
        <f t="shared" ref="B45:E45" si="6">B21</f>
        <v>0</v>
      </c>
      <c r="C45" s="195">
        <f t="shared" si="6"/>
        <v>0</v>
      </c>
      <c r="D45" s="195">
        <f t="shared" si="6"/>
        <v>0</v>
      </c>
      <c r="E45" s="195">
        <f t="shared" si="6"/>
        <v>0</v>
      </c>
      <c r="F45" s="114" t="s">
        <v>50</v>
      </c>
    </row>
    <row r="46" spans="1:6" s="112" customFormat="1" ht="39" customHeight="1" x14ac:dyDescent="0.35">
      <c r="A46" s="75"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0-00 + Testostérone</v>
      </c>
      <c r="B46" s="195">
        <f t="shared" ref="B46:E46" si="7">B22</f>
        <v>0</v>
      </c>
      <c r="C46" s="195">
        <f t="shared" si="7"/>
        <v>0</v>
      </c>
      <c r="D46" s="195">
        <f t="shared" si="7"/>
        <v>0</v>
      </c>
      <c r="E46" s="195">
        <f t="shared" si="7"/>
        <v>0</v>
      </c>
      <c r="F46" s="114" t="s">
        <v>50</v>
      </c>
    </row>
    <row r="47" spans="1:6" s="112" customFormat="1" ht="39" customHeight="1" x14ac:dyDescent="0.35">
      <c r="A47" s="75"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0-00 + Testostérone</v>
      </c>
      <c r="B47" s="195">
        <f t="shared" ref="B47:E47" si="8">B23</f>
        <v>0</v>
      </c>
      <c r="C47" s="195">
        <f t="shared" si="8"/>
        <v>0</v>
      </c>
      <c r="D47" s="195">
        <f t="shared" si="8"/>
        <v>0</v>
      </c>
      <c r="E47" s="195">
        <f t="shared" si="8"/>
        <v>0</v>
      </c>
      <c r="F47" s="114" t="s">
        <v>50</v>
      </c>
    </row>
    <row r="48" spans="1:6" s="112" customFormat="1" ht="39" customHeight="1" x14ac:dyDescent="0.35">
      <c r="A48" s="75"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0-00 + Testostérone</v>
      </c>
      <c r="B48" s="195">
        <f t="shared" ref="B48:E48" si="9">B24</f>
        <v>0</v>
      </c>
      <c r="C48" s="195">
        <f t="shared" si="9"/>
        <v>0</v>
      </c>
      <c r="D48" s="195">
        <f t="shared" si="9"/>
        <v>0</v>
      </c>
      <c r="E48" s="195">
        <f t="shared" si="9"/>
        <v>0</v>
      </c>
      <c r="F48" s="114" t="s">
        <v>50</v>
      </c>
    </row>
    <row r="49" spans="1:6" s="112" customFormat="1" ht="39" customHeight="1" x14ac:dyDescent="0.35">
      <c r="A49" s="75"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0-00 + Testostérone</v>
      </c>
      <c r="B49" s="195">
        <f t="shared" ref="B49:E49" si="10">B25</f>
        <v>0</v>
      </c>
      <c r="C49" s="195">
        <f t="shared" si="10"/>
        <v>0</v>
      </c>
      <c r="D49" s="195">
        <f t="shared" si="10"/>
        <v>0</v>
      </c>
      <c r="E49" s="195">
        <f t="shared" si="10"/>
        <v>0</v>
      </c>
      <c r="F49" s="114" t="s">
        <v>50</v>
      </c>
    </row>
    <row r="50" spans="1:6" s="112" customFormat="1" ht="39" customHeight="1" x14ac:dyDescent="0.35">
      <c r="A50" s="75"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0-00 + Testostérone</v>
      </c>
      <c r="B50" s="195">
        <f t="shared" ref="B50:E50" si="11">B26</f>
        <v>0</v>
      </c>
      <c r="C50" s="195">
        <f t="shared" si="11"/>
        <v>0</v>
      </c>
      <c r="D50" s="195">
        <f t="shared" si="11"/>
        <v>0</v>
      </c>
      <c r="E50" s="195">
        <f t="shared" si="11"/>
        <v>0</v>
      </c>
      <c r="F50" s="114" t="s">
        <v>50</v>
      </c>
    </row>
    <row r="51" spans="1:6" s="112" customFormat="1" ht="39" customHeight="1" x14ac:dyDescent="0.35">
      <c r="A51" s="75"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0-00 + Testostérone</v>
      </c>
      <c r="B51" s="195">
        <f t="shared" ref="B51:E51" si="12">B27</f>
        <v>0</v>
      </c>
      <c r="C51" s="195">
        <f t="shared" si="12"/>
        <v>0</v>
      </c>
      <c r="D51" s="195">
        <f t="shared" si="12"/>
        <v>0</v>
      </c>
      <c r="E51" s="195">
        <f t="shared" si="12"/>
        <v>0</v>
      </c>
      <c r="F51" s="114" t="s">
        <v>50</v>
      </c>
    </row>
    <row r="52" spans="1:6" s="112" customFormat="1" ht="39" customHeight="1" x14ac:dyDescent="0.35">
      <c r="A52" s="75"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0-00 + Testostérone</v>
      </c>
      <c r="B52" s="195">
        <f t="shared" ref="B52:E52" si="13">B28</f>
        <v>0</v>
      </c>
      <c r="C52" s="195">
        <f t="shared" si="13"/>
        <v>0</v>
      </c>
      <c r="D52" s="195">
        <f t="shared" si="13"/>
        <v>0</v>
      </c>
      <c r="E52" s="195">
        <f t="shared" si="13"/>
        <v>0</v>
      </c>
      <c r="F52" s="114" t="s">
        <v>50</v>
      </c>
    </row>
    <row r="53" spans="1:6" s="112" customFormat="1" ht="39" customHeight="1" x14ac:dyDescent="0.35">
      <c r="A53" s="75"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0-00 + Testostérone</v>
      </c>
      <c r="B53" s="195">
        <f t="shared" ref="B53:E53" si="14">B29</f>
        <v>0</v>
      </c>
      <c r="C53" s="195">
        <f t="shared" si="14"/>
        <v>0</v>
      </c>
      <c r="D53" s="195">
        <f t="shared" si="14"/>
        <v>0</v>
      </c>
      <c r="E53" s="195">
        <f t="shared" si="14"/>
        <v>0</v>
      </c>
      <c r="F53" s="114" t="s">
        <v>50</v>
      </c>
    </row>
    <row r="54" spans="1:6" s="112" customFormat="1" ht="39" customHeight="1" x14ac:dyDescent="0.35">
      <c r="A54" s="75"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0-00 + Testostérone</v>
      </c>
      <c r="B54" s="195">
        <f t="shared" ref="B54:E54" si="15">B30</f>
        <v>0</v>
      </c>
      <c r="C54" s="195">
        <f t="shared" si="15"/>
        <v>0</v>
      </c>
      <c r="D54" s="195">
        <f t="shared" si="15"/>
        <v>0</v>
      </c>
      <c r="E54" s="195">
        <f t="shared" si="15"/>
        <v>0</v>
      </c>
      <c r="F54" s="114" t="s">
        <v>50</v>
      </c>
    </row>
    <row r="55" spans="1:6" s="112" customFormat="1" ht="39" customHeight="1" x14ac:dyDescent="0.35">
      <c r="A55" s="75"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0-00 + Testostérone</v>
      </c>
      <c r="B55" s="195">
        <f t="shared" ref="B55:E55" si="16">B31</f>
        <v>0</v>
      </c>
      <c r="C55" s="195">
        <f t="shared" si="16"/>
        <v>0</v>
      </c>
      <c r="D55" s="195">
        <f t="shared" si="16"/>
        <v>0</v>
      </c>
      <c r="E55" s="195">
        <f t="shared" si="16"/>
        <v>0</v>
      </c>
      <c r="F55" s="114" t="s">
        <v>50</v>
      </c>
    </row>
    <row r="56" spans="1:6" s="112" customFormat="1" ht="39" customHeight="1" x14ac:dyDescent="0.35">
      <c r="A56" s="75"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0-00 + Testostérone</v>
      </c>
      <c r="B56" s="195">
        <f t="shared" ref="B56:E56" si="17">B32</f>
        <v>0</v>
      </c>
      <c r="C56" s="195">
        <f t="shared" si="17"/>
        <v>0</v>
      </c>
      <c r="D56" s="195">
        <f t="shared" si="17"/>
        <v>0</v>
      </c>
      <c r="E56" s="195">
        <f t="shared" si="17"/>
        <v>0</v>
      </c>
      <c r="F56" s="114" t="s">
        <v>50</v>
      </c>
    </row>
    <row r="57" spans="1:6" s="112" customFormat="1" ht="39" customHeight="1" x14ac:dyDescent="0.35">
      <c r="A57" s="75"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0-00 + Testostérone</v>
      </c>
      <c r="B57" s="195">
        <f t="shared" ref="B57:E57" si="18">B33</f>
        <v>0</v>
      </c>
      <c r="C57" s="195">
        <f t="shared" si="18"/>
        <v>0</v>
      </c>
      <c r="D57" s="195">
        <f t="shared" si="18"/>
        <v>0</v>
      </c>
      <c r="E57" s="195">
        <f t="shared" si="18"/>
        <v>0</v>
      </c>
      <c r="F57" s="114" t="s">
        <v>50</v>
      </c>
    </row>
    <row r="58" spans="1:6" s="112" customFormat="1" ht="39" customHeight="1" x14ac:dyDescent="0.35">
      <c r="A58" s="105"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0-00 + Testostérone</v>
      </c>
      <c r="B58" s="194">
        <f t="shared" ref="B58:E58" si="19">B34</f>
        <v>0</v>
      </c>
      <c r="C58" s="194">
        <f t="shared" si="19"/>
        <v>0</v>
      </c>
      <c r="D58" s="194">
        <f t="shared" si="19"/>
        <v>0</v>
      </c>
      <c r="E58" s="194">
        <f t="shared" si="19"/>
        <v>0</v>
      </c>
      <c r="F58" s="114" t="s">
        <v>50</v>
      </c>
    </row>
  </sheetData>
  <protectedRanges>
    <protectedRange sqref="C16:D38 A16:A52" name="Plage1_1"/>
  </protectedRanges>
  <mergeCells count="8">
    <mergeCell ref="A5:I5"/>
    <mergeCell ref="A1:I1"/>
    <mergeCell ref="C2:D2"/>
    <mergeCell ref="C3:D3"/>
    <mergeCell ref="C4:D4"/>
    <mergeCell ref="F4:I4"/>
    <mergeCell ref="F3:I3"/>
    <mergeCell ref="F2:I2"/>
  </mergeCells>
  <dataValidations count="1">
    <dataValidation type="custom" allowBlank="1" showInputMessage="1" showErrorMessage="1" sqref="E7:E38" xr:uid="{E0A8F951-ED76-4488-98E3-F13AD7875916}">
      <formula1>ISERROR(SEARCH("-",E7))=TRUE</formula1>
    </dataValidation>
  </dataValidations>
  <pageMargins left="0.7" right="0.7" top="0.75" bottom="0.75" header="0.3" footer="0.3"/>
  <pageSetup paperSize="9" scale="35" orientation="landscape" r:id="rId1"/>
  <headerFooter>
    <oddHeader>&amp;C&amp;"-,Gras"&amp;20Résultats&amp;R&amp;"-,Gras"&amp;20Page : &amp;P/&amp;P</oddHeader>
  </headerFooter>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7"/>
  <sheetViews>
    <sheetView workbookViewId="0">
      <selection activeCell="D12" sqref="D12"/>
    </sheetView>
  </sheetViews>
  <sheetFormatPr baseColWidth="10" defaultRowHeight="14.5" x14ac:dyDescent="0.35"/>
  <cols>
    <col min="1" max="1" width="14.1796875" customWidth="1"/>
    <col min="2" max="2" width="14" customWidth="1"/>
    <col min="3" max="3" width="11.54296875" customWidth="1"/>
    <col min="4" max="4" width="12.453125" customWidth="1"/>
    <col min="5" max="5" width="17.26953125" customWidth="1"/>
    <col min="7" max="7" width="19.54296875" customWidth="1"/>
    <col min="9" max="9" width="15.7265625" customWidth="1"/>
  </cols>
  <sheetData>
    <row r="1" spans="1:9" x14ac:dyDescent="0.35">
      <c r="A1" t="s">
        <v>107</v>
      </c>
      <c r="B1" t="s">
        <v>108</v>
      </c>
      <c r="C1" t="s">
        <v>109</v>
      </c>
      <c r="D1" t="s">
        <v>110</v>
      </c>
      <c r="E1" t="s">
        <v>111</v>
      </c>
      <c r="F1" t="s">
        <v>112</v>
      </c>
      <c r="G1" t="s">
        <v>113</v>
      </c>
      <c r="H1" t="s">
        <v>117</v>
      </c>
      <c r="I1" t="s">
        <v>118</v>
      </c>
    </row>
    <row r="2" spans="1:9" x14ac:dyDescent="0.35">
      <c r="A2" t="s">
        <v>153</v>
      </c>
      <c r="B2" t="s">
        <v>164</v>
      </c>
      <c r="C2" t="s">
        <v>144</v>
      </c>
      <c r="D2" t="s">
        <v>147</v>
      </c>
      <c r="E2" t="s">
        <v>148</v>
      </c>
      <c r="F2" t="s">
        <v>112</v>
      </c>
      <c r="G2">
        <v>360268</v>
      </c>
    </row>
    <row r="3" spans="1:9" x14ac:dyDescent="0.35">
      <c r="A3" t="s">
        <v>153</v>
      </c>
      <c r="B3" t="s">
        <v>164</v>
      </c>
      <c r="C3" t="s">
        <v>145</v>
      </c>
      <c r="D3" t="s">
        <v>149</v>
      </c>
      <c r="E3" t="s">
        <v>150</v>
      </c>
      <c r="F3" t="s">
        <v>112</v>
      </c>
      <c r="G3">
        <v>372315</v>
      </c>
    </row>
    <row r="4" spans="1:9" x14ac:dyDescent="0.35">
      <c r="A4" t="s">
        <v>153</v>
      </c>
      <c r="B4" t="s">
        <v>164</v>
      </c>
      <c r="C4" t="s">
        <v>146</v>
      </c>
      <c r="D4" t="s">
        <v>151</v>
      </c>
      <c r="E4" t="s">
        <v>152</v>
      </c>
      <c r="F4" t="s">
        <v>112</v>
      </c>
      <c r="G4">
        <v>237626</v>
      </c>
    </row>
    <row r="5" spans="1:9" x14ac:dyDescent="0.35">
      <c r="A5" t="s">
        <v>153</v>
      </c>
      <c r="B5" t="s">
        <v>164</v>
      </c>
      <c r="C5" t="s">
        <v>161</v>
      </c>
      <c r="D5" t="s">
        <v>162</v>
      </c>
      <c r="E5" t="s">
        <v>163</v>
      </c>
      <c r="F5" t="s">
        <v>112</v>
      </c>
      <c r="G5">
        <v>1439015</v>
      </c>
    </row>
    <row r="6" spans="1:9" x14ac:dyDescent="0.35">
      <c r="A6" t="s">
        <v>153</v>
      </c>
      <c r="B6" t="s">
        <v>164</v>
      </c>
      <c r="C6" t="s">
        <v>158</v>
      </c>
      <c r="D6" t="s">
        <v>159</v>
      </c>
      <c r="E6" t="s">
        <v>160</v>
      </c>
      <c r="F6" t="s">
        <v>112</v>
      </c>
      <c r="G6">
        <v>1433586</v>
      </c>
    </row>
    <row r="7" spans="1:9" x14ac:dyDescent="0.35">
      <c r="A7" t="s">
        <v>153</v>
      </c>
      <c r="B7" t="s">
        <v>164</v>
      </c>
      <c r="C7" t="s">
        <v>155</v>
      </c>
      <c r="D7" t="s">
        <v>156</v>
      </c>
      <c r="E7" t="s">
        <v>157</v>
      </c>
      <c r="F7" t="s">
        <v>112</v>
      </c>
      <c r="G7">
        <v>1115346</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EN1557"/>
  <sheetViews>
    <sheetView showGridLines="0" topLeftCell="N1" zoomScale="70" zoomScaleNormal="70" workbookViewId="0">
      <selection activeCell="Z5" sqref="Z5:AD12"/>
    </sheetView>
  </sheetViews>
  <sheetFormatPr baseColWidth="10" defaultColWidth="11.453125" defaultRowHeight="14.5" x14ac:dyDescent="0.35"/>
  <cols>
    <col min="1" max="1" width="15" style="1" customWidth="1"/>
    <col min="2" max="2" width="26.54296875" style="1" customWidth="1"/>
    <col min="3" max="3" width="87.1796875" style="1" bestFit="1" customWidth="1"/>
    <col min="4" max="4" width="14" style="1" customWidth="1"/>
    <col min="5" max="5" width="21.1796875" style="1" customWidth="1"/>
    <col min="6" max="6" width="11.453125" style="1"/>
    <col min="7" max="7" width="21.453125" style="1" customWidth="1"/>
    <col min="8" max="8" width="12.26953125" style="1" customWidth="1"/>
    <col min="9" max="9" width="17.1796875" style="1" customWidth="1"/>
    <col min="10" max="10" width="11.453125" style="1"/>
    <col min="11" max="11" width="5.453125" style="1" customWidth="1"/>
    <col min="12" max="12" width="15.453125" style="1" customWidth="1"/>
    <col min="13" max="14" width="12.81640625" style="1" customWidth="1"/>
    <col min="15" max="20" width="12.26953125" style="1" customWidth="1"/>
    <col min="21" max="21" width="17.453125" style="1" customWidth="1"/>
    <col min="22" max="25" width="12.26953125" style="1" customWidth="1"/>
    <col min="26" max="27" width="15.54296875" style="1" customWidth="1"/>
    <col min="28" max="28" width="14.26953125" style="1" customWidth="1"/>
    <col min="29" max="16384" width="11.453125" style="1"/>
  </cols>
  <sheetData>
    <row r="1" spans="1:144" x14ac:dyDescent="0.35">
      <c r="A1" s="1" t="s">
        <v>107</v>
      </c>
      <c r="B1" s="1" t="s">
        <v>108</v>
      </c>
      <c r="C1" s="1" t="s">
        <v>109</v>
      </c>
      <c r="D1" s="1" t="s">
        <v>110</v>
      </c>
      <c r="E1" s="1" t="s">
        <v>111</v>
      </c>
      <c r="F1" s="1" t="s">
        <v>112</v>
      </c>
      <c r="G1" s="1" t="s">
        <v>113</v>
      </c>
      <c r="H1" s="1" t="s">
        <v>117</v>
      </c>
      <c r="I1" s="1" t="s">
        <v>118</v>
      </c>
      <c r="K1" s="119" t="s">
        <v>112</v>
      </c>
      <c r="L1" s="1" t="s">
        <v>119</v>
      </c>
      <c r="M1"/>
      <c r="N1"/>
      <c r="O1"/>
      <c r="P1"/>
      <c r="Q1"/>
      <c r="R1"/>
      <c r="S1"/>
      <c r="T1"/>
      <c r="U1"/>
      <c r="V1"/>
      <c r="W1"/>
      <c r="X1"/>
      <c r="Y1"/>
      <c r="Z1"/>
      <c r="AA1"/>
      <c r="AB1"/>
      <c r="AC1"/>
      <c r="AD1"/>
      <c r="AE1"/>
      <c r="AF1"/>
      <c r="AG1"/>
      <c r="AH1"/>
      <c r="AI1"/>
      <c r="AJ1"/>
      <c r="AK1"/>
      <c r="AL1"/>
      <c r="AM1"/>
      <c r="AN1"/>
      <c r="AO1"/>
      <c r="AP1"/>
      <c r="AQ1"/>
      <c r="AR1"/>
      <c r="AS1"/>
      <c r="AT1"/>
      <c r="AU1"/>
      <c r="AV1"/>
      <c r="AW1"/>
      <c r="AX1"/>
      <c r="AY1"/>
      <c r="AZ1"/>
      <c r="BA1"/>
      <c r="BB1"/>
      <c r="BC1"/>
      <c r="BD1"/>
      <c r="BE1"/>
      <c r="BF1"/>
      <c r="BG1"/>
      <c r="BH1"/>
      <c r="BI1"/>
      <c r="BJ1"/>
      <c r="BK1"/>
      <c r="BL1"/>
      <c r="BM1"/>
      <c r="BN1"/>
      <c r="BO1"/>
      <c r="BP1"/>
      <c r="BQ1"/>
      <c r="BR1"/>
      <c r="BS1"/>
      <c r="BT1"/>
      <c r="BU1"/>
      <c r="BV1"/>
      <c r="BW1"/>
      <c r="BX1"/>
      <c r="BY1"/>
      <c r="BZ1"/>
      <c r="CA1"/>
      <c r="CB1"/>
      <c r="CC1"/>
      <c r="CD1"/>
      <c r="CE1"/>
      <c r="CF1"/>
      <c r="CG1"/>
      <c r="CH1"/>
      <c r="CI1"/>
      <c r="CJ1"/>
      <c r="CK1"/>
      <c r="CL1"/>
      <c r="CM1"/>
      <c r="CN1"/>
      <c r="CO1"/>
      <c r="CP1"/>
      <c r="CQ1"/>
      <c r="CR1"/>
      <c r="CS1"/>
      <c r="CT1"/>
      <c r="CU1"/>
      <c r="CV1"/>
      <c r="CW1"/>
      <c r="CX1"/>
      <c r="CY1"/>
      <c r="CZ1"/>
      <c r="DA1"/>
      <c r="DB1"/>
      <c r="DC1"/>
      <c r="DD1"/>
      <c r="DE1"/>
      <c r="DF1"/>
      <c r="DG1"/>
      <c r="DH1"/>
      <c r="DI1"/>
      <c r="DJ1"/>
      <c r="DK1"/>
      <c r="DL1"/>
      <c r="DM1"/>
      <c r="DN1"/>
      <c r="DO1"/>
      <c r="DP1"/>
      <c r="DQ1"/>
      <c r="DR1"/>
      <c r="DS1"/>
      <c r="DT1"/>
      <c r="DU1"/>
      <c r="DV1"/>
      <c r="DW1"/>
      <c r="DX1"/>
      <c r="DY1"/>
      <c r="DZ1"/>
      <c r="EA1"/>
      <c r="EB1"/>
      <c r="EC1"/>
      <c r="ED1"/>
      <c r="EE1"/>
      <c r="EF1"/>
      <c r="EG1"/>
      <c r="EH1"/>
      <c r="EI1"/>
      <c r="EJ1"/>
      <c r="EK1"/>
      <c r="EL1"/>
      <c r="EM1"/>
      <c r="EN1"/>
    </row>
    <row r="2" spans="1:144" x14ac:dyDescent="0.35">
      <c r="A2" s="1" t="str">
        <f t="shared" ref="A2:A65" si="0">IFERROR(LEFT(RIGHT(C2,LEN(C2)-SEARCH("@",C2)),SEARCH("/",RIGHT(C2,LEN(C2)-SEARCH("@",C2)-1))),"")</f>
        <v/>
      </c>
      <c r="B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2" s="153" t="s">
        <v>172</v>
      </c>
      <c r="D2" s="1" t="s">
        <v>110</v>
      </c>
      <c r="E2" s="1" t="s">
        <v>111</v>
      </c>
      <c r="F2" s="1" t="s">
        <v>112</v>
      </c>
      <c r="G2" s="1" t="s">
        <v>113</v>
      </c>
      <c r="K2" s="157" t="s">
        <v>120</v>
      </c>
      <c r="L2" s="157" t="s">
        <v>121</v>
      </c>
      <c r="M2"/>
      <c r="N2"/>
      <c r="O2"/>
      <c r="P2"/>
      <c r="Q2"/>
      <c r="R2"/>
      <c r="S2"/>
      <c r="T2"/>
      <c r="U2"/>
      <c r="V2"/>
      <c r="W2"/>
      <c r="X2"/>
      <c r="Y2"/>
      <c r="Z2"/>
      <c r="AA2"/>
      <c r="AB2"/>
      <c r="AC2"/>
      <c r="AD2"/>
      <c r="AE2"/>
      <c r="AF2"/>
      <c r="AG2"/>
      <c r="AH2"/>
      <c r="AI2"/>
      <c r="AJ2"/>
      <c r="AK2"/>
      <c r="AL2"/>
      <c r="AM2"/>
      <c r="AN2"/>
      <c r="AO2"/>
      <c r="AP2"/>
      <c r="AQ2"/>
      <c r="AR2"/>
      <c r="AS2"/>
      <c r="AT2"/>
      <c r="AU2"/>
      <c r="AV2"/>
      <c r="AW2"/>
      <c r="AX2"/>
      <c r="AY2"/>
      <c r="AZ2"/>
      <c r="BA2"/>
      <c r="BB2"/>
      <c r="BC2"/>
      <c r="BD2"/>
      <c r="BE2"/>
      <c r="BF2"/>
      <c r="BG2"/>
      <c r="BH2"/>
      <c r="BI2"/>
      <c r="BJ2"/>
      <c r="BK2"/>
      <c r="BL2"/>
      <c r="BM2"/>
      <c r="BN2"/>
      <c r="BO2"/>
      <c r="BP2"/>
      <c r="BQ2"/>
      <c r="BR2"/>
      <c r="BS2"/>
      <c r="BT2"/>
      <c r="BU2"/>
      <c r="BV2"/>
      <c r="BW2"/>
      <c r="BX2"/>
      <c r="BY2"/>
      <c r="BZ2"/>
      <c r="CA2"/>
      <c r="CB2"/>
      <c r="CC2"/>
      <c r="CD2"/>
      <c r="CE2"/>
      <c r="CF2"/>
      <c r="CG2"/>
      <c r="CH2"/>
      <c r="CI2"/>
      <c r="CJ2"/>
      <c r="CK2"/>
      <c r="CL2"/>
      <c r="CM2"/>
      <c r="CN2"/>
      <c r="CO2"/>
      <c r="CP2"/>
      <c r="CQ2"/>
      <c r="CR2"/>
      <c r="CS2"/>
      <c r="CT2"/>
      <c r="CU2"/>
      <c r="CV2"/>
      <c r="CW2"/>
      <c r="CX2"/>
      <c r="CY2"/>
      <c r="CZ2"/>
      <c r="DA2"/>
      <c r="DB2"/>
      <c r="DC2"/>
      <c r="DD2"/>
      <c r="DE2"/>
      <c r="DF2"/>
      <c r="DG2"/>
      <c r="DH2"/>
      <c r="DI2"/>
      <c r="DJ2"/>
      <c r="DK2"/>
      <c r="DL2"/>
      <c r="DM2"/>
      <c r="DN2"/>
      <c r="DO2"/>
      <c r="DP2"/>
      <c r="DQ2"/>
      <c r="DR2"/>
      <c r="DS2"/>
      <c r="DT2"/>
      <c r="DU2"/>
      <c r="DV2"/>
      <c r="DW2"/>
      <c r="DX2"/>
      <c r="DY2"/>
      <c r="DZ2"/>
      <c r="EA2"/>
      <c r="EB2"/>
      <c r="EC2"/>
      <c r="ED2"/>
      <c r="EE2"/>
      <c r="EF2"/>
      <c r="EG2"/>
      <c r="EH2"/>
      <c r="EI2"/>
      <c r="EJ2"/>
      <c r="EK2"/>
      <c r="EL2"/>
      <c r="EM2"/>
      <c r="EN2"/>
    </row>
    <row r="3" spans="1:144" x14ac:dyDescent="0.35">
      <c r="A3" s="1" t="str">
        <f t="shared" si="0"/>
        <v>1</v>
      </c>
      <c r="B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3" s="1" t="s">
        <v>173</v>
      </c>
      <c r="K3" s="119" t="s">
        <v>154</v>
      </c>
      <c r="L3" s="119" t="s">
        <v>114</v>
      </c>
      <c r="M3"/>
      <c r="N3"/>
      <c r="O3"/>
      <c r="P3"/>
      <c r="Q3"/>
      <c r="R3"/>
      <c r="S3"/>
      <c r="T3"/>
      <c r="U3"/>
      <c r="V3"/>
      <c r="W3"/>
      <c r="X3"/>
      <c r="Y3"/>
      <c r="Z3"/>
      <c r="AA3"/>
      <c r="AB3"/>
      <c r="AC3"/>
      <c r="AD3"/>
      <c r="AE3"/>
      <c r="AF3"/>
      <c r="AG3"/>
      <c r="AH3"/>
      <c r="AI3"/>
      <c r="AJ3"/>
      <c r="AK3"/>
      <c r="AL3"/>
      <c r="AM3"/>
      <c r="AN3"/>
      <c r="AO3"/>
      <c r="AP3"/>
      <c r="AQ3"/>
      <c r="AR3"/>
      <c r="AS3"/>
      <c r="AT3"/>
      <c r="AU3"/>
      <c r="AV3"/>
      <c r="AW3"/>
      <c r="AX3"/>
      <c r="AY3"/>
      <c r="AZ3"/>
      <c r="BA3"/>
      <c r="BB3"/>
      <c r="BC3"/>
      <c r="BD3"/>
      <c r="BE3"/>
      <c r="BF3"/>
      <c r="BG3"/>
      <c r="BH3"/>
      <c r="BI3"/>
      <c r="BJ3"/>
      <c r="BK3"/>
      <c r="BL3"/>
      <c r="BM3"/>
      <c r="BN3"/>
      <c r="BO3"/>
      <c r="BP3"/>
      <c r="BQ3"/>
      <c r="BR3"/>
      <c r="BS3"/>
      <c r="BT3"/>
      <c r="BU3"/>
      <c r="BV3"/>
      <c r="BW3"/>
      <c r="BX3"/>
      <c r="BY3"/>
      <c r="BZ3"/>
      <c r="CA3"/>
      <c r="CB3"/>
      <c r="CC3"/>
      <c r="CD3"/>
      <c r="CE3"/>
      <c r="CF3"/>
      <c r="CG3"/>
      <c r="CH3"/>
      <c r="CI3"/>
      <c r="CJ3"/>
      <c r="CK3"/>
      <c r="CL3"/>
      <c r="CM3"/>
      <c r="CN3"/>
      <c r="CO3"/>
      <c r="CP3"/>
      <c r="CQ3"/>
      <c r="CR3"/>
      <c r="CS3"/>
      <c r="CT3"/>
      <c r="CU3"/>
      <c r="CV3"/>
      <c r="CW3"/>
      <c r="CX3"/>
      <c r="CY3"/>
      <c r="CZ3"/>
      <c r="DA3"/>
      <c r="DB3"/>
      <c r="DC3"/>
      <c r="DD3"/>
      <c r="DE3"/>
      <c r="DF3"/>
      <c r="DG3"/>
      <c r="DH3"/>
      <c r="DI3"/>
      <c r="DJ3"/>
      <c r="DK3"/>
      <c r="DL3"/>
      <c r="DM3"/>
      <c r="DN3"/>
      <c r="DO3"/>
      <c r="DP3"/>
      <c r="DQ3"/>
      <c r="DR3"/>
      <c r="DS3"/>
      <c r="DT3"/>
      <c r="DU3"/>
      <c r="DV3"/>
      <c r="DW3"/>
      <c r="DX3"/>
      <c r="DY3"/>
      <c r="DZ3"/>
      <c r="EA3"/>
      <c r="EB3"/>
      <c r="EC3"/>
      <c r="ED3"/>
      <c r="EE3"/>
      <c r="EF3"/>
      <c r="EG3"/>
      <c r="EH3"/>
      <c r="EI3"/>
      <c r="EJ3"/>
      <c r="EK3"/>
      <c r="EL3"/>
      <c r="EM3"/>
      <c r="EN3"/>
    </row>
    <row r="4" spans="1:144" s="3" customFormat="1" x14ac:dyDescent="0.35">
      <c r="A4" s="3" t="str">
        <f t="shared" si="0"/>
        <v>1</v>
      </c>
      <c r="B4" s="3"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4" s="3" t="s">
        <v>174</v>
      </c>
      <c r="K4" s="197" t="s">
        <v>100</v>
      </c>
      <c r="L4" s="3" t="s">
        <v>1556</v>
      </c>
      <c r="M4" s="3" t="s">
        <v>1557</v>
      </c>
      <c r="N4" s="3" t="s">
        <v>1558</v>
      </c>
      <c r="O4" s="3" t="s">
        <v>1559</v>
      </c>
      <c r="P4" s="3" t="s">
        <v>1560</v>
      </c>
      <c r="Q4" s="3" t="s">
        <v>1561</v>
      </c>
      <c r="R4" s="3" t="s">
        <v>1562</v>
      </c>
      <c r="S4" s="3" t="s">
        <v>1563</v>
      </c>
      <c r="T4" s="3" t="s">
        <v>1564</v>
      </c>
      <c r="U4" s="3" t="s">
        <v>1565</v>
      </c>
      <c r="V4" s="3" t="s">
        <v>1566</v>
      </c>
      <c r="W4" s="3" t="s">
        <v>1567</v>
      </c>
      <c r="X4" s="3" t="s">
        <v>1568</v>
      </c>
      <c r="Y4" s="3" t="s">
        <v>1569</v>
      </c>
      <c r="Z4" s="3" t="s">
        <v>1570</v>
      </c>
      <c r="AA4" s="3" t="s">
        <v>1571</v>
      </c>
      <c r="AB4" s="3" t="s">
        <v>1572</v>
      </c>
      <c r="AC4" s="3" t="s">
        <v>1573</v>
      </c>
      <c r="AD4" s="3" t="s">
        <v>1574</v>
      </c>
      <c r="AE4" s="3" t="s">
        <v>1575</v>
      </c>
      <c r="AF4" s="3" t="s">
        <v>1576</v>
      </c>
    </row>
    <row r="5" spans="1:144" x14ac:dyDescent="0.35">
      <c r="A5" s="1" t="str">
        <f t="shared" si="0"/>
        <v>1</v>
      </c>
      <c r="B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5" s="1" t="s">
        <v>175</v>
      </c>
      <c r="K5" s="146" t="s">
        <v>164</v>
      </c>
      <c r="L5" s="44"/>
      <c r="M5" s="44">
        <v>724233.66666666663</v>
      </c>
      <c r="N5" s="44">
        <v>2719721.3333333335</v>
      </c>
      <c r="O5" s="44">
        <v>3923338.3333333335</v>
      </c>
      <c r="P5" s="44">
        <v>59684.333333333336</v>
      </c>
      <c r="Q5" s="44">
        <v>94573.333333333328</v>
      </c>
      <c r="R5" s="44">
        <v>187142</v>
      </c>
      <c r="S5" s="44">
        <v>280237</v>
      </c>
      <c r="T5" s="44">
        <v>853451</v>
      </c>
      <c r="U5" s="44">
        <v>2129117</v>
      </c>
      <c r="V5" s="44">
        <v>4171570.3333333335</v>
      </c>
      <c r="W5" s="44"/>
      <c r="X5" s="44">
        <v>50044.333333333336</v>
      </c>
      <c r="Y5" s="44">
        <v>166774</v>
      </c>
      <c r="Z5" s="44">
        <v>216602</v>
      </c>
      <c r="AA5" s="44">
        <v>245809</v>
      </c>
      <c r="AB5" s="44">
        <v>111891.5</v>
      </c>
      <c r="AC5" s="44">
        <v>221468.5</v>
      </c>
      <c r="AD5" s="44">
        <v>270662</v>
      </c>
      <c r="AE5" s="44">
        <v>11665.666666666666</v>
      </c>
      <c r="AF5" s="44">
        <v>219190</v>
      </c>
      <c r="AG5"/>
      <c r="AH5"/>
      <c r="AI5"/>
      <c r="AJ5"/>
      <c r="AK5"/>
      <c r="AL5"/>
      <c r="AM5"/>
      <c r="AN5"/>
      <c r="AO5"/>
      <c r="AP5"/>
      <c r="AQ5"/>
      <c r="AR5"/>
      <c r="AS5"/>
      <c r="AT5"/>
      <c r="AU5"/>
      <c r="AV5"/>
      <c r="AW5"/>
      <c r="AX5"/>
      <c r="AY5"/>
      <c r="AZ5"/>
      <c r="BA5"/>
      <c r="BB5"/>
      <c r="BC5"/>
      <c r="BD5"/>
      <c r="BE5"/>
      <c r="BF5"/>
      <c r="BG5"/>
      <c r="BH5"/>
      <c r="BI5"/>
      <c r="BJ5"/>
      <c r="BK5"/>
      <c r="BL5"/>
      <c r="BM5"/>
      <c r="BN5"/>
      <c r="BO5"/>
      <c r="BP5"/>
      <c r="BQ5"/>
      <c r="BR5"/>
      <c r="BS5"/>
      <c r="BT5"/>
      <c r="BU5"/>
      <c r="BV5"/>
      <c r="BW5"/>
      <c r="BX5"/>
      <c r="BY5"/>
      <c r="BZ5"/>
      <c r="CA5"/>
      <c r="CB5"/>
      <c r="CC5"/>
      <c r="CD5"/>
      <c r="CE5"/>
      <c r="CF5"/>
      <c r="CG5"/>
      <c r="CH5"/>
      <c r="CI5"/>
      <c r="CJ5"/>
      <c r="CK5"/>
      <c r="CL5"/>
      <c r="CM5"/>
      <c r="CN5"/>
      <c r="CO5"/>
      <c r="CP5"/>
      <c r="CQ5"/>
      <c r="CR5"/>
      <c r="CS5"/>
      <c r="CT5"/>
      <c r="CU5"/>
      <c r="CV5"/>
      <c r="CW5"/>
      <c r="CX5"/>
      <c r="CY5"/>
      <c r="CZ5"/>
      <c r="DA5"/>
      <c r="DB5"/>
      <c r="DC5"/>
      <c r="DD5"/>
      <c r="DE5"/>
      <c r="DF5"/>
      <c r="DG5"/>
      <c r="DH5"/>
      <c r="DI5"/>
      <c r="DJ5"/>
      <c r="DK5"/>
      <c r="DL5"/>
      <c r="DM5"/>
      <c r="DN5"/>
      <c r="DO5"/>
      <c r="DP5"/>
      <c r="DQ5"/>
      <c r="DR5"/>
      <c r="DS5"/>
      <c r="DT5"/>
      <c r="DU5"/>
      <c r="DV5"/>
      <c r="DW5"/>
      <c r="DX5"/>
      <c r="DY5"/>
      <c r="DZ5"/>
      <c r="EA5"/>
      <c r="EB5"/>
      <c r="EC5"/>
      <c r="ED5"/>
      <c r="EE5"/>
      <c r="EF5"/>
      <c r="EG5"/>
      <c r="EH5"/>
      <c r="EI5"/>
      <c r="EJ5"/>
      <c r="EK5"/>
      <c r="EL5"/>
      <c r="EM5"/>
      <c r="EN5"/>
    </row>
    <row r="6" spans="1:144" x14ac:dyDescent="0.35">
      <c r="A6" s="1" t="str">
        <f t="shared" si="0"/>
        <v>1</v>
      </c>
      <c r="B6"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6" s="1" t="s">
        <v>176</v>
      </c>
      <c r="K6" s="146" t="s">
        <v>1577</v>
      </c>
      <c r="L6" s="44">
        <v>274743</v>
      </c>
      <c r="M6" s="44">
        <v>1986799.6666666667</v>
      </c>
      <c r="N6" s="44">
        <v>2314600.3333333335</v>
      </c>
      <c r="O6" s="44">
        <v>3912985</v>
      </c>
      <c r="P6" s="44">
        <v>94493.666666666672</v>
      </c>
      <c r="Q6" s="44">
        <v>218368.33333333334</v>
      </c>
      <c r="R6" s="44">
        <v>1344831.6666666667</v>
      </c>
      <c r="S6" s="44">
        <v>411458</v>
      </c>
      <c r="T6" s="44">
        <v>2262696</v>
      </c>
      <c r="U6" s="44">
        <v>2429058.3333333335</v>
      </c>
      <c r="V6" s="44">
        <v>3502579.3333333335</v>
      </c>
      <c r="W6" s="44">
        <v>109613.33333333333</v>
      </c>
      <c r="X6" s="44">
        <v>132115.66666666666</v>
      </c>
      <c r="Y6" s="44">
        <v>131257.33333333334</v>
      </c>
      <c r="Z6" s="44">
        <v>270236.66666666669</v>
      </c>
      <c r="AA6" s="44">
        <v>459635</v>
      </c>
      <c r="AB6" s="44">
        <v>340750</v>
      </c>
      <c r="AC6" s="44">
        <v>235607.33333333334</v>
      </c>
      <c r="AD6" s="44">
        <v>75827.333333333328</v>
      </c>
      <c r="AE6" s="44">
        <v>92597.666666666672</v>
      </c>
      <c r="AF6" s="44">
        <v>179953.33333333334</v>
      </c>
      <c r="AG6"/>
      <c r="AH6"/>
      <c r="AI6"/>
      <c r="AJ6"/>
      <c r="AK6"/>
      <c r="AL6"/>
      <c r="AM6"/>
      <c r="AN6"/>
      <c r="AO6"/>
      <c r="AP6"/>
      <c r="AQ6"/>
      <c r="AR6"/>
      <c r="AS6"/>
      <c r="AT6"/>
      <c r="AU6"/>
      <c r="AV6"/>
      <c r="AW6"/>
      <c r="AX6"/>
      <c r="AY6"/>
      <c r="AZ6"/>
      <c r="BA6"/>
      <c r="BB6"/>
      <c r="BC6"/>
      <c r="BD6"/>
      <c r="BE6"/>
      <c r="BF6"/>
      <c r="BG6"/>
      <c r="BH6"/>
      <c r="BI6"/>
      <c r="BJ6"/>
      <c r="BK6"/>
      <c r="BL6"/>
      <c r="BM6"/>
      <c r="BN6"/>
      <c r="BO6"/>
      <c r="BP6"/>
      <c r="BQ6"/>
      <c r="BR6"/>
      <c r="BS6"/>
      <c r="BT6"/>
      <c r="BU6"/>
      <c r="BV6"/>
      <c r="BW6"/>
      <c r="BX6"/>
      <c r="BY6"/>
      <c r="BZ6"/>
      <c r="CA6"/>
      <c r="CB6"/>
      <c r="CC6"/>
      <c r="CD6"/>
      <c r="CE6"/>
      <c r="CF6"/>
      <c r="CG6"/>
      <c r="CH6"/>
      <c r="CI6"/>
      <c r="CJ6"/>
      <c r="CK6"/>
      <c r="CL6"/>
      <c r="CM6"/>
      <c r="CN6"/>
      <c r="CO6"/>
      <c r="CP6"/>
      <c r="CQ6"/>
      <c r="CR6"/>
      <c r="CS6"/>
      <c r="CT6"/>
      <c r="CU6"/>
      <c r="CV6"/>
      <c r="CW6"/>
      <c r="CX6"/>
      <c r="CY6"/>
      <c r="CZ6"/>
      <c r="DA6"/>
      <c r="DB6"/>
      <c r="DC6"/>
      <c r="DD6"/>
      <c r="DE6"/>
      <c r="DF6"/>
      <c r="DG6"/>
      <c r="DH6"/>
      <c r="DI6"/>
      <c r="DJ6"/>
      <c r="DK6"/>
      <c r="DL6"/>
      <c r="DM6"/>
      <c r="DN6"/>
      <c r="DO6"/>
      <c r="DP6"/>
      <c r="DQ6"/>
      <c r="DR6"/>
      <c r="DS6"/>
      <c r="DT6"/>
      <c r="DU6"/>
      <c r="DV6"/>
      <c r="DW6"/>
      <c r="DX6"/>
      <c r="DY6"/>
      <c r="DZ6"/>
      <c r="EA6"/>
      <c r="EB6"/>
      <c r="EC6"/>
      <c r="ED6"/>
      <c r="EE6"/>
      <c r="EF6"/>
      <c r="EG6"/>
      <c r="EH6"/>
      <c r="EI6"/>
      <c r="EJ6"/>
      <c r="EK6"/>
      <c r="EL6"/>
      <c r="EM6"/>
      <c r="EN6"/>
    </row>
    <row r="7" spans="1:144" x14ac:dyDescent="0.35">
      <c r="A7" s="1" t="str">
        <f t="shared" si="0"/>
        <v>1</v>
      </c>
      <c r="B7"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7" s="1" t="s">
        <v>177</v>
      </c>
      <c r="K7" s="146" t="s">
        <v>1578</v>
      </c>
      <c r="L7" s="44">
        <v>249731.66666666666</v>
      </c>
      <c r="M7" s="44">
        <v>3366073</v>
      </c>
      <c r="N7" s="44">
        <v>2557252</v>
      </c>
      <c r="O7" s="44">
        <v>4483711.333333333</v>
      </c>
      <c r="P7" s="44">
        <v>59223</v>
      </c>
      <c r="Q7" s="44">
        <v>138229.66666666666</v>
      </c>
      <c r="R7" s="44">
        <v>78826.666666666672</v>
      </c>
      <c r="S7" s="44">
        <v>1014521.6666666666</v>
      </c>
      <c r="T7" s="44">
        <v>999503.33333333337</v>
      </c>
      <c r="U7" s="44">
        <v>3440083</v>
      </c>
      <c r="V7" s="44">
        <v>3891142.5</v>
      </c>
      <c r="W7" s="44">
        <v>207099</v>
      </c>
      <c r="X7" s="44">
        <v>164163.66666666666</v>
      </c>
      <c r="Y7" s="44">
        <v>225080.33333333334</v>
      </c>
      <c r="Z7" s="44">
        <v>21716.333333333332</v>
      </c>
      <c r="AA7" s="44">
        <v>145663</v>
      </c>
      <c r="AB7" s="44">
        <v>59597.666666666664</v>
      </c>
      <c r="AC7" s="44">
        <v>37304.333333333336</v>
      </c>
      <c r="AD7" s="44">
        <v>428611</v>
      </c>
      <c r="AE7" s="44">
        <v>468943.33333333331</v>
      </c>
      <c r="AF7" s="44">
        <v>364074.5</v>
      </c>
      <c r="AG7"/>
      <c r="AH7"/>
      <c r="AI7"/>
      <c r="AJ7"/>
      <c r="AK7"/>
      <c r="AL7"/>
      <c r="AM7"/>
      <c r="AN7"/>
      <c r="AO7"/>
      <c r="AP7"/>
      <c r="AQ7"/>
      <c r="AR7"/>
      <c r="AS7"/>
      <c r="AT7"/>
      <c r="AU7"/>
      <c r="AV7"/>
      <c r="AW7"/>
      <c r="AX7"/>
      <c r="AY7"/>
      <c r="AZ7"/>
      <c r="BA7"/>
      <c r="BB7"/>
      <c r="BC7"/>
      <c r="BD7"/>
      <c r="BE7"/>
      <c r="BF7"/>
      <c r="BG7"/>
      <c r="BH7"/>
      <c r="BI7"/>
      <c r="BJ7"/>
      <c r="BK7"/>
      <c r="BL7"/>
      <c r="BM7"/>
      <c r="BN7"/>
      <c r="BO7"/>
      <c r="BP7"/>
      <c r="BQ7"/>
      <c r="BR7"/>
      <c r="BS7"/>
      <c r="BT7"/>
      <c r="BU7"/>
      <c r="BV7"/>
      <c r="BW7"/>
      <c r="BX7"/>
      <c r="BY7"/>
      <c r="BZ7"/>
      <c r="CA7"/>
      <c r="CB7"/>
      <c r="CC7"/>
      <c r="CD7"/>
      <c r="CE7"/>
      <c r="CF7"/>
      <c r="CG7"/>
      <c r="CH7"/>
      <c r="CI7"/>
      <c r="CJ7"/>
      <c r="CK7"/>
      <c r="CL7"/>
      <c r="CM7"/>
      <c r="CN7"/>
      <c r="CO7"/>
      <c r="CP7"/>
      <c r="CQ7"/>
      <c r="CR7"/>
      <c r="CS7"/>
      <c r="CT7"/>
      <c r="CU7"/>
      <c r="CV7"/>
      <c r="CW7"/>
      <c r="CX7"/>
      <c r="CY7"/>
      <c r="CZ7"/>
      <c r="DA7"/>
      <c r="DB7"/>
      <c r="DC7"/>
      <c r="DD7"/>
      <c r="DE7"/>
      <c r="DF7"/>
      <c r="DG7"/>
      <c r="DH7"/>
      <c r="DI7"/>
      <c r="DJ7"/>
      <c r="DK7"/>
      <c r="DL7"/>
      <c r="DM7"/>
      <c r="DN7"/>
      <c r="DO7"/>
      <c r="DP7"/>
      <c r="DQ7"/>
      <c r="DR7"/>
      <c r="DS7"/>
      <c r="DT7"/>
      <c r="DU7"/>
      <c r="DV7"/>
      <c r="DW7"/>
      <c r="DX7"/>
      <c r="DY7"/>
      <c r="DZ7"/>
      <c r="EA7"/>
      <c r="EB7"/>
      <c r="EC7"/>
      <c r="ED7"/>
      <c r="EE7"/>
      <c r="EF7"/>
      <c r="EG7"/>
      <c r="EH7"/>
      <c r="EI7"/>
      <c r="EJ7"/>
      <c r="EK7"/>
      <c r="EL7"/>
      <c r="EM7"/>
      <c r="EN7"/>
    </row>
    <row r="8" spans="1:144" x14ac:dyDescent="0.35">
      <c r="A8" s="1" t="str">
        <f t="shared" si="0"/>
        <v>1</v>
      </c>
      <c r="B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8" s="1" t="s">
        <v>178</v>
      </c>
      <c r="D8" s="1" t="s">
        <v>179</v>
      </c>
      <c r="E8" s="1" t="s">
        <v>180</v>
      </c>
      <c r="F8" s="1" t="s">
        <v>112</v>
      </c>
      <c r="G8" s="1">
        <v>274743</v>
      </c>
      <c r="K8" s="146" t="s">
        <v>1579</v>
      </c>
      <c r="L8" s="44">
        <v>145771</v>
      </c>
      <c r="M8" s="44">
        <v>1698523.6666666667</v>
      </c>
      <c r="N8" s="44">
        <v>2630339.3333333335</v>
      </c>
      <c r="O8" s="44">
        <v>2204854</v>
      </c>
      <c r="P8" s="44">
        <v>178872</v>
      </c>
      <c r="Q8" s="44">
        <v>171705.33333333334</v>
      </c>
      <c r="R8" s="44">
        <v>191792.33333333334</v>
      </c>
      <c r="S8" s="44">
        <v>696836</v>
      </c>
      <c r="T8" s="44">
        <v>3496688.6666666665</v>
      </c>
      <c r="U8" s="44">
        <v>3562422</v>
      </c>
      <c r="V8" s="44">
        <v>3758107.6666666665</v>
      </c>
      <c r="W8" s="44">
        <v>82063.666666666672</v>
      </c>
      <c r="X8" s="44">
        <v>136463</v>
      </c>
      <c r="Y8" s="44">
        <v>155800</v>
      </c>
      <c r="Z8" s="44">
        <v>194561</v>
      </c>
      <c r="AA8" s="44">
        <v>118099</v>
      </c>
      <c r="AB8" s="44">
        <v>204846</v>
      </c>
      <c r="AC8" s="44">
        <v>298536</v>
      </c>
      <c r="AD8" s="44">
        <v>109987.66666666667</v>
      </c>
      <c r="AE8" s="44">
        <v>7429.5</v>
      </c>
      <c r="AF8" s="44">
        <v>0</v>
      </c>
      <c r="AG8"/>
      <c r="AH8"/>
      <c r="AI8"/>
      <c r="AJ8"/>
      <c r="AK8"/>
      <c r="AL8"/>
      <c r="AM8"/>
      <c r="AN8"/>
      <c r="AO8"/>
      <c r="AP8"/>
      <c r="AQ8"/>
      <c r="AR8"/>
      <c r="AS8"/>
      <c r="AT8"/>
      <c r="AU8"/>
      <c r="AV8"/>
      <c r="AW8"/>
      <c r="AX8"/>
      <c r="AY8"/>
      <c r="AZ8"/>
      <c r="BA8"/>
      <c r="BB8"/>
      <c r="BC8"/>
      <c r="BD8"/>
      <c r="BE8"/>
      <c r="BF8"/>
      <c r="BG8"/>
      <c r="BH8"/>
      <c r="BI8"/>
      <c r="BJ8"/>
      <c r="BK8"/>
      <c r="BL8"/>
      <c r="BM8"/>
      <c r="BN8"/>
      <c r="BO8"/>
      <c r="BP8"/>
      <c r="BQ8"/>
      <c r="BR8"/>
      <c r="BS8"/>
      <c r="BT8"/>
      <c r="BU8"/>
      <c r="BV8"/>
      <c r="BW8"/>
      <c r="BX8"/>
      <c r="BY8"/>
      <c r="BZ8"/>
      <c r="CA8"/>
      <c r="CB8"/>
      <c r="CC8"/>
      <c r="CD8"/>
      <c r="CE8"/>
      <c r="CF8"/>
      <c r="CG8"/>
      <c r="CH8"/>
      <c r="CI8"/>
      <c r="CJ8"/>
      <c r="CK8"/>
      <c r="CL8"/>
      <c r="CM8"/>
      <c r="CN8"/>
      <c r="CO8"/>
      <c r="CP8"/>
      <c r="CQ8"/>
      <c r="CR8"/>
      <c r="CS8"/>
      <c r="CT8"/>
      <c r="CU8"/>
      <c r="CV8"/>
      <c r="CW8"/>
      <c r="CX8"/>
      <c r="CY8"/>
      <c r="CZ8"/>
      <c r="DA8"/>
      <c r="DB8"/>
      <c r="DC8"/>
      <c r="DD8"/>
      <c r="DE8"/>
      <c r="DF8"/>
      <c r="DG8"/>
      <c r="DH8"/>
      <c r="DI8"/>
      <c r="DJ8"/>
      <c r="DK8"/>
      <c r="DL8"/>
      <c r="DM8"/>
      <c r="DN8"/>
      <c r="DO8"/>
      <c r="DP8"/>
      <c r="DQ8"/>
      <c r="DR8"/>
      <c r="DS8"/>
      <c r="DT8"/>
      <c r="DU8"/>
      <c r="DV8"/>
      <c r="DW8"/>
      <c r="DX8"/>
      <c r="DY8"/>
      <c r="DZ8"/>
      <c r="EA8"/>
      <c r="EB8"/>
      <c r="EC8"/>
      <c r="ED8"/>
      <c r="EE8"/>
      <c r="EF8"/>
      <c r="EG8"/>
      <c r="EH8"/>
      <c r="EI8"/>
      <c r="EJ8"/>
      <c r="EK8"/>
      <c r="EL8"/>
      <c r="EM8"/>
      <c r="EN8"/>
    </row>
    <row r="9" spans="1:144" x14ac:dyDescent="0.35">
      <c r="A9" s="1" t="str">
        <f t="shared" si="0"/>
        <v>1</v>
      </c>
      <c r="B9"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9" s="1" t="s">
        <v>181</v>
      </c>
      <c r="D9" s="1" t="s">
        <v>182</v>
      </c>
      <c r="E9" s="1" t="s">
        <v>183</v>
      </c>
      <c r="F9" s="1" t="s">
        <v>112</v>
      </c>
      <c r="G9" s="1">
        <v>275435</v>
      </c>
      <c r="K9" s="146" t="s">
        <v>1580</v>
      </c>
      <c r="L9" s="44">
        <v>23857.666666666668</v>
      </c>
      <c r="M9" s="44">
        <v>192722.33333333334</v>
      </c>
      <c r="N9" s="44">
        <v>2193357.5</v>
      </c>
      <c r="O9" s="44">
        <v>4702836.666666667</v>
      </c>
      <c r="P9" s="44">
        <v>152707</v>
      </c>
      <c r="Q9" s="44">
        <v>260272.66666666666</v>
      </c>
      <c r="R9" s="44">
        <v>56980.333333333336</v>
      </c>
      <c r="S9" s="44">
        <v>799556.66666666663</v>
      </c>
      <c r="T9" s="44">
        <v>1513725</v>
      </c>
      <c r="U9" s="44">
        <v>2736780</v>
      </c>
      <c r="V9" s="44">
        <v>4961775</v>
      </c>
      <c r="W9" s="44">
        <v>224727.33333333334</v>
      </c>
      <c r="X9" s="44">
        <v>24384.333333333332</v>
      </c>
      <c r="Y9" s="44">
        <v>152317.5</v>
      </c>
      <c r="Z9" s="44">
        <v>145122.33333333334</v>
      </c>
      <c r="AA9" s="44">
        <v>327058.66666666669</v>
      </c>
      <c r="AB9" s="44">
        <v>149657.33333333334</v>
      </c>
      <c r="AC9" s="44">
        <v>212329.5</v>
      </c>
      <c r="AD9" s="44"/>
      <c r="AE9" s="44">
        <v>223667.33333333334</v>
      </c>
      <c r="AF9" s="44">
        <v>64486</v>
      </c>
      <c r="AG9"/>
      <c r="AH9"/>
      <c r="AI9"/>
      <c r="AJ9"/>
      <c r="AK9"/>
      <c r="AL9"/>
      <c r="AM9"/>
      <c r="AN9"/>
      <c r="AO9"/>
      <c r="AP9"/>
      <c r="AQ9"/>
      <c r="AR9"/>
      <c r="AS9"/>
      <c r="AT9"/>
      <c r="AU9"/>
      <c r="AV9"/>
      <c r="AW9"/>
      <c r="AX9"/>
      <c r="AY9"/>
      <c r="AZ9"/>
      <c r="BA9"/>
      <c r="BB9"/>
      <c r="BC9"/>
      <c r="BD9"/>
      <c r="BE9"/>
      <c r="BF9"/>
      <c r="BG9"/>
      <c r="BH9"/>
      <c r="BI9"/>
      <c r="BJ9"/>
      <c r="BK9"/>
      <c r="BL9"/>
      <c r="BM9"/>
      <c r="BN9"/>
      <c r="BO9"/>
      <c r="BP9"/>
      <c r="BQ9"/>
      <c r="BR9"/>
      <c r="BS9"/>
      <c r="BT9"/>
      <c r="BU9"/>
      <c r="BV9"/>
      <c r="BW9"/>
      <c r="BX9"/>
      <c r="BY9"/>
      <c r="BZ9"/>
      <c r="CA9"/>
      <c r="CB9"/>
      <c r="CC9"/>
      <c r="CD9"/>
      <c r="CE9"/>
      <c r="CF9"/>
      <c r="CG9"/>
      <c r="CH9"/>
      <c r="CI9"/>
      <c r="CJ9"/>
      <c r="CK9"/>
      <c r="CL9"/>
      <c r="CM9"/>
      <c r="CN9"/>
      <c r="CO9"/>
      <c r="CP9"/>
      <c r="CQ9"/>
      <c r="CR9"/>
      <c r="CS9"/>
      <c r="CT9"/>
      <c r="CU9"/>
      <c r="CV9"/>
      <c r="CW9"/>
      <c r="CX9"/>
      <c r="CY9"/>
      <c r="CZ9"/>
      <c r="DA9"/>
      <c r="DB9"/>
      <c r="DC9"/>
      <c r="DD9"/>
      <c r="DE9"/>
      <c r="DF9"/>
      <c r="DG9"/>
      <c r="DH9"/>
      <c r="DI9"/>
      <c r="DJ9"/>
      <c r="DK9"/>
      <c r="DL9"/>
      <c r="DM9"/>
      <c r="DN9"/>
      <c r="DO9"/>
      <c r="DP9"/>
      <c r="DQ9"/>
      <c r="DR9"/>
      <c r="DS9"/>
      <c r="DT9"/>
      <c r="DU9"/>
      <c r="DV9"/>
      <c r="DW9"/>
      <c r="DX9"/>
      <c r="DY9"/>
      <c r="DZ9"/>
      <c r="EA9"/>
      <c r="EB9"/>
      <c r="EC9"/>
      <c r="ED9"/>
      <c r="EE9"/>
      <c r="EF9"/>
      <c r="EG9"/>
      <c r="EH9"/>
      <c r="EI9"/>
      <c r="EJ9"/>
      <c r="EK9"/>
      <c r="EL9"/>
      <c r="EM9"/>
      <c r="EN9"/>
    </row>
    <row r="10" spans="1:144" x14ac:dyDescent="0.35">
      <c r="A10" s="1" t="str">
        <f t="shared" si="0"/>
        <v>1</v>
      </c>
      <c r="B10"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10" s="1" t="s">
        <v>184</v>
      </c>
      <c r="D10" s="1" t="s">
        <v>185</v>
      </c>
      <c r="E10" s="1" t="s">
        <v>186</v>
      </c>
      <c r="F10" s="1" t="s">
        <v>112</v>
      </c>
      <c r="G10" s="1">
        <v>246300</v>
      </c>
      <c r="K10" s="146" t="s">
        <v>1581</v>
      </c>
      <c r="L10" s="44">
        <v>61155</v>
      </c>
      <c r="M10" s="44">
        <v>1376382.3333333333</v>
      </c>
      <c r="N10" s="44">
        <v>1415006</v>
      </c>
      <c r="O10" s="44">
        <v>3265714</v>
      </c>
      <c r="P10" s="44">
        <v>266372.33333333331</v>
      </c>
      <c r="Q10" s="44">
        <v>215109.33333333334</v>
      </c>
      <c r="R10" s="44"/>
      <c r="S10" s="44">
        <v>163067.66666666666</v>
      </c>
      <c r="T10" s="44">
        <v>2032301.6666666667</v>
      </c>
      <c r="U10" s="44">
        <v>4106169</v>
      </c>
      <c r="V10" s="44">
        <v>4917830.666666667</v>
      </c>
      <c r="W10" s="44">
        <v>41320.333333333336</v>
      </c>
      <c r="X10" s="44">
        <v>260993.33333333334</v>
      </c>
      <c r="Y10" s="44">
        <v>115492.5</v>
      </c>
      <c r="Z10" s="44">
        <v>139794</v>
      </c>
      <c r="AA10" s="44">
        <v>155530</v>
      </c>
      <c r="AB10" s="44">
        <v>0</v>
      </c>
      <c r="AC10" s="44">
        <v>95074</v>
      </c>
      <c r="AD10" s="44">
        <v>127887</v>
      </c>
      <c r="AE10" s="44">
        <v>4996.666666666667</v>
      </c>
      <c r="AF10" s="44">
        <v>324027</v>
      </c>
      <c r="AG10"/>
      <c r="AH10"/>
      <c r="AI10"/>
      <c r="AJ10"/>
      <c r="AK10"/>
      <c r="AL10"/>
      <c r="AM10"/>
      <c r="AN10"/>
      <c r="AO10"/>
      <c r="AP10"/>
      <c r="AQ10"/>
      <c r="AR10"/>
      <c r="AS10"/>
      <c r="AT10"/>
      <c r="AU10"/>
      <c r="AV10"/>
      <c r="AW10"/>
      <c r="AX10"/>
      <c r="AY10"/>
      <c r="AZ10"/>
      <c r="BA10"/>
      <c r="BB10"/>
      <c r="BC10"/>
      <c r="BD10"/>
      <c r="BE10"/>
      <c r="BF10"/>
      <c r="BG10"/>
      <c r="BH10"/>
      <c r="BI10"/>
      <c r="BJ10"/>
      <c r="BK10"/>
      <c r="BL10"/>
      <c r="BM10"/>
      <c r="BN10"/>
      <c r="BO10"/>
      <c r="BP10"/>
      <c r="BQ10"/>
      <c r="BR10"/>
      <c r="BS10"/>
      <c r="BT10"/>
      <c r="BU10"/>
      <c r="BV10"/>
      <c r="BW10"/>
      <c r="BX10"/>
      <c r="BY10"/>
      <c r="BZ10"/>
      <c r="CA10"/>
      <c r="CB10"/>
      <c r="CC10"/>
      <c r="CD10"/>
      <c r="CE10"/>
      <c r="CF10"/>
      <c r="CG10"/>
      <c r="CH10"/>
      <c r="CI10"/>
      <c r="CJ10"/>
      <c r="CK10"/>
      <c r="CL10"/>
      <c r="CM10"/>
      <c r="CN10"/>
      <c r="CO10"/>
      <c r="CP10"/>
      <c r="CQ10"/>
      <c r="CR10"/>
      <c r="CS10"/>
      <c r="CT10"/>
      <c r="CU10"/>
      <c r="CV10"/>
      <c r="CW10"/>
      <c r="CX10"/>
      <c r="CY10"/>
      <c r="CZ10"/>
      <c r="DA10"/>
      <c r="DB10"/>
      <c r="DC10"/>
      <c r="DD10"/>
      <c r="DE10"/>
      <c r="DF10"/>
      <c r="DG10"/>
      <c r="DH10"/>
      <c r="DI10"/>
      <c r="DJ10"/>
      <c r="DK10"/>
      <c r="DL10"/>
      <c r="DM10"/>
      <c r="DN10"/>
      <c r="DO10"/>
      <c r="DP10"/>
      <c r="DQ10"/>
      <c r="DR10"/>
      <c r="DS10"/>
      <c r="DT10"/>
      <c r="DU10"/>
      <c r="DV10"/>
      <c r="DW10"/>
      <c r="DX10"/>
      <c r="DY10"/>
      <c r="DZ10"/>
      <c r="EA10"/>
      <c r="EB10"/>
      <c r="EC10"/>
      <c r="ED10"/>
      <c r="EE10"/>
      <c r="EF10"/>
      <c r="EG10"/>
      <c r="EH10"/>
      <c r="EI10"/>
      <c r="EJ10"/>
      <c r="EK10"/>
      <c r="EL10"/>
      <c r="EM10"/>
      <c r="EN10"/>
    </row>
    <row r="11" spans="1:144" x14ac:dyDescent="0.35">
      <c r="A11" s="1" t="str">
        <f t="shared" si="0"/>
        <v>1</v>
      </c>
      <c r="B11"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11" s="1" t="s">
        <v>187</v>
      </c>
      <c r="D11" s="1" t="s">
        <v>188</v>
      </c>
      <c r="E11" s="1" t="s">
        <v>189</v>
      </c>
      <c r="F11" s="1" t="s">
        <v>112</v>
      </c>
      <c r="G11" s="1">
        <v>227460</v>
      </c>
      <c r="K11" s="146" t="s">
        <v>1582</v>
      </c>
      <c r="L11" s="44">
        <v>440</v>
      </c>
      <c r="M11" s="44">
        <v>1717795.6666666667</v>
      </c>
      <c r="N11" s="44">
        <v>311802.33333333331</v>
      </c>
      <c r="O11" s="44">
        <v>4801562.666666667</v>
      </c>
      <c r="P11" s="44">
        <v>70946</v>
      </c>
      <c r="Q11" s="44">
        <v>85568.333333333328</v>
      </c>
      <c r="R11" s="44">
        <v>144509</v>
      </c>
      <c r="S11" s="44">
        <v>994283.33333333337</v>
      </c>
      <c r="T11" s="44">
        <v>2373686.3333333335</v>
      </c>
      <c r="U11" s="44">
        <v>3742541.6666666665</v>
      </c>
      <c r="V11" s="44">
        <v>4126154.6666666665</v>
      </c>
      <c r="W11" s="44">
        <v>116498.33333333333</v>
      </c>
      <c r="X11" s="44">
        <v>113859.66666666667</v>
      </c>
      <c r="Y11" s="44">
        <v>187192.33333333334</v>
      </c>
      <c r="Z11" s="44">
        <v>246829.5</v>
      </c>
      <c r="AA11" s="44">
        <v>466679.33333333331</v>
      </c>
      <c r="AB11" s="44">
        <v>251404</v>
      </c>
      <c r="AC11" s="44">
        <v>326467</v>
      </c>
      <c r="AD11" s="44">
        <v>317256.5</v>
      </c>
      <c r="AE11" s="44">
        <v>284379</v>
      </c>
      <c r="AF11" s="44">
        <v>121113</v>
      </c>
      <c r="AG11"/>
    </row>
    <row r="12" spans="1:144" x14ac:dyDescent="0.35">
      <c r="A12" s="1" t="str">
        <f t="shared" si="0"/>
        <v>1</v>
      </c>
      <c r="B1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12" s="1" t="s">
        <v>190</v>
      </c>
      <c r="D12" s="1" t="s">
        <v>191</v>
      </c>
      <c r="E12" s="1" t="s">
        <v>192</v>
      </c>
      <c r="F12" s="1" t="s">
        <v>112</v>
      </c>
      <c r="G12" s="1">
        <v>126297</v>
      </c>
      <c r="K12" s="146" t="s">
        <v>1583</v>
      </c>
      <c r="L12" s="44">
        <v>189593.33333333334</v>
      </c>
      <c r="M12" s="44"/>
      <c r="N12" s="44">
        <v>1213422.6666666667</v>
      </c>
      <c r="O12" s="44">
        <v>2435663.3333333335</v>
      </c>
      <c r="P12" s="44">
        <v>137674.66666666666</v>
      </c>
      <c r="Q12" s="44">
        <v>202506</v>
      </c>
      <c r="R12" s="44">
        <v>61155</v>
      </c>
      <c r="S12" s="44">
        <v>74785.5</v>
      </c>
      <c r="T12" s="44">
        <v>2684284.6666666665</v>
      </c>
      <c r="U12" s="44"/>
      <c r="V12" s="44">
        <v>2066065.6666666667</v>
      </c>
      <c r="W12" s="44">
        <v>216093</v>
      </c>
      <c r="X12" s="44">
        <v>49301.666666666664</v>
      </c>
      <c r="Y12" s="44">
        <v>226378.33333333334</v>
      </c>
      <c r="Z12" s="44">
        <v>77579</v>
      </c>
      <c r="AA12" s="44">
        <v>415906.66666666669</v>
      </c>
      <c r="AB12" s="44">
        <v>365328.5</v>
      </c>
      <c r="AC12" s="44">
        <v>8536.6666666666661</v>
      </c>
      <c r="AD12" s="44">
        <v>77305.333333333328</v>
      </c>
      <c r="AE12" s="44"/>
      <c r="AF12" s="44">
        <v>78005</v>
      </c>
      <c r="AG12"/>
    </row>
    <row r="13" spans="1:144" x14ac:dyDescent="0.35">
      <c r="A13" s="1" t="str">
        <f t="shared" si="0"/>
        <v>1</v>
      </c>
      <c r="B1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13" s="1" t="s">
        <v>193</v>
      </c>
      <c r="D13" s="1" t="s">
        <v>194</v>
      </c>
      <c r="E13" s="1" t="s">
        <v>195</v>
      </c>
      <c r="F13" s="1" t="s">
        <v>112</v>
      </c>
      <c r="G13" s="1">
        <v>249933</v>
      </c>
      <c r="K13"/>
      <c r="L13"/>
      <c r="M13"/>
      <c r="N13"/>
      <c r="O13"/>
      <c r="P13"/>
      <c r="Q13"/>
      <c r="R13"/>
      <c r="S13"/>
      <c r="T13"/>
      <c r="U13"/>
      <c r="V13"/>
      <c r="W13"/>
      <c r="X13"/>
      <c r="Y13"/>
      <c r="Z13"/>
      <c r="AA13"/>
      <c r="AB13"/>
      <c r="AC13"/>
      <c r="AD13"/>
      <c r="AE13"/>
      <c r="AF13"/>
      <c r="AG13"/>
    </row>
    <row r="14" spans="1:144" x14ac:dyDescent="0.35">
      <c r="A14" s="1" t="str">
        <f t="shared" si="0"/>
        <v>1</v>
      </c>
      <c r="B1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14" s="1" t="s">
        <v>196</v>
      </c>
      <c r="D14" s="1" t="s">
        <v>197</v>
      </c>
      <c r="E14" s="1" t="s">
        <v>198</v>
      </c>
      <c r="F14" s="1" t="s">
        <v>112</v>
      </c>
      <c r="G14" s="1">
        <v>61083</v>
      </c>
      <c r="K14"/>
      <c r="L14"/>
      <c r="M14"/>
      <c r="N14"/>
      <c r="O14"/>
      <c r="P14"/>
      <c r="Q14"/>
      <c r="R14"/>
      <c r="S14"/>
      <c r="T14"/>
      <c r="U14"/>
      <c r="V14"/>
      <c r="W14"/>
      <c r="X14"/>
      <c r="Y14"/>
      <c r="Z14"/>
      <c r="AA14"/>
      <c r="AB14"/>
      <c r="AC14"/>
      <c r="AD14"/>
      <c r="AE14"/>
      <c r="AF14"/>
      <c r="AG14"/>
    </row>
    <row r="15" spans="1:144" x14ac:dyDescent="0.35">
      <c r="A15" s="1" t="str">
        <f t="shared" si="0"/>
        <v>1</v>
      </c>
      <c r="B1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15" s="1" t="s">
        <v>199</v>
      </c>
      <c r="D15" s="1" t="s">
        <v>200</v>
      </c>
      <c r="E15" s="1" t="s">
        <v>201</v>
      </c>
      <c r="F15" s="1" t="s">
        <v>112</v>
      </c>
      <c r="G15" s="1">
        <v>65452</v>
      </c>
    </row>
    <row r="16" spans="1:144" x14ac:dyDescent="0.35">
      <c r="A16" s="1" t="str">
        <f t="shared" si="0"/>
        <v>1</v>
      </c>
      <c r="B16"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16" s="1" t="s">
        <v>202</v>
      </c>
      <c r="D16" s="1" t="s">
        <v>203</v>
      </c>
      <c r="E16" s="1" t="s">
        <v>204</v>
      </c>
      <c r="F16" s="1" t="s">
        <v>112</v>
      </c>
      <c r="G16" s="1">
        <v>6121</v>
      </c>
      <c r="M16"/>
      <c r="N16"/>
      <c r="O16"/>
      <c r="P16"/>
      <c r="Q16"/>
      <c r="R16"/>
      <c r="S16"/>
      <c r="T16"/>
      <c r="U16"/>
      <c r="V16"/>
      <c r="W16"/>
      <c r="X16"/>
      <c r="Y16"/>
      <c r="Z16"/>
      <c r="AA16"/>
      <c r="AB16"/>
      <c r="AC16"/>
      <c r="AD16"/>
      <c r="AE16"/>
      <c r="AF16"/>
      <c r="AG16"/>
      <c r="AH16"/>
    </row>
    <row r="17" spans="1:34" x14ac:dyDescent="0.35">
      <c r="A17" s="1" t="str">
        <f t="shared" si="0"/>
        <v>1</v>
      </c>
      <c r="B17"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17" s="1" t="s">
        <v>205</v>
      </c>
      <c r="D17" s="1">
        <v>0</v>
      </c>
      <c r="E17" s="1">
        <v>0</v>
      </c>
      <c r="F17" s="1" t="s">
        <v>112</v>
      </c>
      <c r="G17" s="1">
        <v>0</v>
      </c>
      <c r="M17"/>
      <c r="N17"/>
      <c r="O17"/>
      <c r="P17"/>
      <c r="Q17"/>
      <c r="R17"/>
      <c r="S17"/>
      <c r="T17"/>
      <c r="U17"/>
      <c r="V17"/>
      <c r="W17"/>
      <c r="X17"/>
      <c r="Y17"/>
      <c r="Z17"/>
      <c r="AA17"/>
      <c r="AB17"/>
      <c r="AC17"/>
      <c r="AD17"/>
      <c r="AE17"/>
      <c r="AF17"/>
      <c r="AG17"/>
      <c r="AH17"/>
    </row>
    <row r="18" spans="1:34" x14ac:dyDescent="0.35">
      <c r="A18" s="1" t="str">
        <f t="shared" si="0"/>
        <v>1</v>
      </c>
      <c r="B1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18" s="1" t="s">
        <v>206</v>
      </c>
      <c r="D18" s="1" t="s">
        <v>207</v>
      </c>
      <c r="E18" s="1" t="s">
        <v>208</v>
      </c>
      <c r="F18" s="1" t="s">
        <v>112</v>
      </c>
      <c r="G18" s="1">
        <v>157639</v>
      </c>
      <c r="M18"/>
      <c r="N18"/>
      <c r="O18"/>
      <c r="P18"/>
      <c r="Q18"/>
      <c r="R18"/>
      <c r="S18"/>
      <c r="T18"/>
      <c r="U18"/>
      <c r="V18"/>
      <c r="W18"/>
      <c r="X18"/>
      <c r="Y18"/>
      <c r="Z18"/>
      <c r="AA18"/>
      <c r="AB18"/>
      <c r="AC18"/>
      <c r="AD18"/>
      <c r="AE18"/>
      <c r="AF18"/>
      <c r="AG18"/>
      <c r="AH18"/>
    </row>
    <row r="19" spans="1:34" x14ac:dyDescent="0.35">
      <c r="A19" s="1" t="str">
        <f t="shared" si="0"/>
        <v>1</v>
      </c>
      <c r="B19"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19" s="1" t="s">
        <v>209</v>
      </c>
      <c r="D19" s="1" t="s">
        <v>210</v>
      </c>
      <c r="E19" s="1" t="s">
        <v>211</v>
      </c>
      <c r="F19" s="1" t="s">
        <v>112</v>
      </c>
      <c r="G19" s="1">
        <v>25826</v>
      </c>
      <c r="K19"/>
      <c r="L19"/>
      <c r="M19"/>
      <c r="N19"/>
      <c r="O19"/>
      <c r="P19"/>
      <c r="Q19"/>
      <c r="R19"/>
      <c r="S19"/>
      <c r="T19"/>
      <c r="U19"/>
      <c r="V19"/>
      <c r="W19"/>
      <c r="X19"/>
      <c r="Y19"/>
      <c r="Z19"/>
      <c r="AA19"/>
      <c r="AB19"/>
      <c r="AC19"/>
      <c r="AD19"/>
      <c r="AE19"/>
      <c r="AF19"/>
      <c r="AG19"/>
      <c r="AH19"/>
    </row>
    <row r="20" spans="1:34" x14ac:dyDescent="0.35">
      <c r="A20" s="1" t="str">
        <f t="shared" si="0"/>
        <v>1</v>
      </c>
      <c r="B20"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20" s="1" t="s">
        <v>212</v>
      </c>
      <c r="D20" s="1">
        <v>0</v>
      </c>
      <c r="E20" s="1">
        <v>0</v>
      </c>
      <c r="F20" s="1" t="s">
        <v>112</v>
      </c>
      <c r="G20" s="1">
        <v>0</v>
      </c>
      <c r="K20"/>
      <c r="L20"/>
      <c r="M20"/>
      <c r="N20"/>
      <c r="O20"/>
      <c r="P20"/>
      <c r="Q20"/>
      <c r="R20"/>
      <c r="S20"/>
      <c r="T20"/>
      <c r="U20"/>
      <c r="V20"/>
      <c r="W20"/>
      <c r="X20"/>
      <c r="Y20"/>
      <c r="Z20"/>
      <c r="AA20"/>
      <c r="AB20"/>
      <c r="AC20"/>
      <c r="AD20"/>
      <c r="AE20"/>
      <c r="AF20"/>
      <c r="AG20"/>
      <c r="AH20"/>
    </row>
    <row r="21" spans="1:34" x14ac:dyDescent="0.35">
      <c r="A21" s="1" t="str">
        <f t="shared" si="0"/>
        <v>1</v>
      </c>
      <c r="B21"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21" s="1" t="s">
        <v>213</v>
      </c>
      <c r="D21" s="1">
        <v>0</v>
      </c>
      <c r="E21" s="1">
        <v>0</v>
      </c>
      <c r="F21" s="1" t="s">
        <v>112</v>
      </c>
      <c r="G21" s="1">
        <v>0</v>
      </c>
      <c r="K21"/>
      <c r="L21"/>
      <c r="M21"/>
      <c r="N21"/>
      <c r="O21"/>
      <c r="P21"/>
      <c r="Q21"/>
      <c r="R21"/>
      <c r="S21"/>
      <c r="T21"/>
      <c r="U21"/>
      <c r="V21"/>
      <c r="W21"/>
      <c r="X21"/>
      <c r="Y21"/>
      <c r="Z21"/>
      <c r="AA21"/>
      <c r="AB21"/>
      <c r="AC21"/>
      <c r="AD21"/>
      <c r="AE21"/>
      <c r="AF21"/>
      <c r="AG21"/>
      <c r="AH21"/>
    </row>
    <row r="22" spans="1:34" x14ac:dyDescent="0.35">
      <c r="A22" s="1" t="str">
        <f t="shared" si="0"/>
        <v>1</v>
      </c>
      <c r="B2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22" s="1" t="s">
        <v>214</v>
      </c>
      <c r="D22" s="1" t="s">
        <v>215</v>
      </c>
      <c r="E22" s="1">
        <v>31</v>
      </c>
      <c r="F22" s="1" t="s">
        <v>112</v>
      </c>
      <c r="G22" s="1">
        <v>671</v>
      </c>
      <c r="K22"/>
      <c r="L22"/>
      <c r="M22"/>
      <c r="N22"/>
      <c r="O22"/>
      <c r="P22"/>
      <c r="Q22"/>
      <c r="R22"/>
      <c r="S22"/>
      <c r="T22"/>
      <c r="U22"/>
      <c r="V22"/>
      <c r="W22"/>
      <c r="X22"/>
      <c r="Y22"/>
      <c r="Z22"/>
      <c r="AA22"/>
      <c r="AB22"/>
      <c r="AC22"/>
      <c r="AD22"/>
      <c r="AE22"/>
      <c r="AF22"/>
      <c r="AG22"/>
      <c r="AH22"/>
    </row>
    <row r="23" spans="1:34" x14ac:dyDescent="0.35">
      <c r="A23" s="1" t="str">
        <f t="shared" si="0"/>
        <v>1</v>
      </c>
      <c r="B2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23" s="1" t="s">
        <v>216</v>
      </c>
      <c r="D23" s="1" t="s">
        <v>215</v>
      </c>
      <c r="E23" s="1">
        <v>30</v>
      </c>
      <c r="F23" s="1" t="s">
        <v>112</v>
      </c>
      <c r="G23" s="1">
        <v>649</v>
      </c>
      <c r="K23"/>
      <c r="L23"/>
      <c r="M23"/>
      <c r="N23"/>
      <c r="O23"/>
      <c r="P23"/>
      <c r="Q23"/>
      <c r="R23"/>
      <c r="S23"/>
      <c r="T23"/>
      <c r="U23"/>
      <c r="V23"/>
      <c r="W23"/>
      <c r="X23"/>
      <c r="Y23"/>
      <c r="Z23"/>
      <c r="AA23"/>
      <c r="AB23"/>
      <c r="AC23"/>
      <c r="AD23"/>
      <c r="AE23"/>
      <c r="AF23"/>
      <c r="AG23"/>
      <c r="AH23"/>
    </row>
    <row r="24" spans="1:34" x14ac:dyDescent="0.35">
      <c r="A24" s="1" t="str">
        <f t="shared" si="0"/>
        <v>1</v>
      </c>
      <c r="B2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24" s="1" t="s">
        <v>217</v>
      </c>
      <c r="D24" s="1" t="s">
        <v>218</v>
      </c>
      <c r="E24" s="1" t="s">
        <v>219</v>
      </c>
      <c r="F24" s="1" t="s">
        <v>112</v>
      </c>
      <c r="G24" s="1">
        <v>17672</v>
      </c>
      <c r="K24"/>
      <c r="L24"/>
      <c r="M24"/>
      <c r="N24"/>
      <c r="O24"/>
      <c r="P24"/>
      <c r="Q24"/>
      <c r="R24"/>
      <c r="S24"/>
      <c r="T24"/>
      <c r="U24"/>
      <c r="V24"/>
      <c r="W24"/>
      <c r="X24"/>
      <c r="Y24"/>
      <c r="Z24"/>
      <c r="AA24"/>
      <c r="AB24"/>
      <c r="AC24"/>
      <c r="AD24"/>
      <c r="AE24"/>
      <c r="AF24"/>
      <c r="AG24"/>
      <c r="AH24"/>
    </row>
    <row r="25" spans="1:34" x14ac:dyDescent="0.35">
      <c r="A25" s="1" t="str">
        <f t="shared" si="0"/>
        <v>1</v>
      </c>
      <c r="B2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25" s="1" t="s">
        <v>220</v>
      </c>
      <c r="D25" s="1" t="s">
        <v>221</v>
      </c>
      <c r="E25" s="1" t="s">
        <v>222</v>
      </c>
      <c r="F25" s="1" t="s">
        <v>112</v>
      </c>
      <c r="G25" s="1">
        <v>242255</v>
      </c>
      <c r="K25"/>
      <c r="L25"/>
      <c r="M25"/>
      <c r="N25"/>
      <c r="O25"/>
      <c r="P25"/>
      <c r="Q25"/>
      <c r="R25"/>
      <c r="S25"/>
      <c r="T25"/>
      <c r="U25"/>
      <c r="V25"/>
      <c r="W25"/>
      <c r="X25"/>
      <c r="Y25"/>
      <c r="Z25"/>
      <c r="AA25"/>
      <c r="AB25"/>
      <c r="AC25"/>
      <c r="AD25"/>
      <c r="AE25"/>
      <c r="AF25"/>
      <c r="AG25"/>
      <c r="AH25"/>
    </row>
    <row r="26" spans="1:34" x14ac:dyDescent="0.35">
      <c r="A26" s="1" t="str">
        <f t="shared" si="0"/>
        <v>1</v>
      </c>
      <c r="B26"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26" s="1" t="s">
        <v>223</v>
      </c>
      <c r="D26" s="1" t="s">
        <v>224</v>
      </c>
      <c r="E26" s="1" t="s">
        <v>225</v>
      </c>
      <c r="F26" s="1" t="s">
        <v>112</v>
      </c>
      <c r="G26" s="1">
        <v>308853</v>
      </c>
      <c r="K26"/>
      <c r="L26"/>
      <c r="M26"/>
      <c r="N26"/>
      <c r="O26"/>
      <c r="P26"/>
      <c r="Q26"/>
      <c r="R26"/>
      <c r="S26"/>
      <c r="T26"/>
      <c r="U26"/>
      <c r="V26"/>
      <c r="W26"/>
      <c r="X26"/>
      <c r="Y26"/>
      <c r="Z26"/>
      <c r="AA26"/>
      <c r="AB26"/>
      <c r="AC26"/>
      <c r="AD26"/>
      <c r="AE26"/>
      <c r="AF26"/>
      <c r="AG26"/>
      <c r="AH26"/>
    </row>
    <row r="27" spans="1:34" x14ac:dyDescent="0.35">
      <c r="A27" s="1" t="str">
        <f t="shared" si="0"/>
        <v/>
      </c>
      <c r="B2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27" s="1" t="s">
        <v>112</v>
      </c>
      <c r="K27"/>
      <c r="L27"/>
      <c r="M27"/>
      <c r="N27"/>
      <c r="O27"/>
      <c r="P27"/>
      <c r="Q27"/>
      <c r="R27"/>
      <c r="S27"/>
      <c r="T27"/>
      <c r="U27"/>
      <c r="V27"/>
      <c r="W27"/>
      <c r="X27"/>
      <c r="Y27"/>
      <c r="Z27"/>
      <c r="AA27"/>
      <c r="AB27"/>
      <c r="AC27"/>
      <c r="AD27"/>
      <c r="AE27"/>
      <c r="AF27"/>
      <c r="AG27"/>
      <c r="AH27"/>
    </row>
    <row r="28" spans="1:34" x14ac:dyDescent="0.35">
      <c r="A28" s="1" t="str">
        <f t="shared" si="0"/>
        <v/>
      </c>
      <c r="B2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28" s="1" t="s">
        <v>226</v>
      </c>
      <c r="D28" s="1" t="s">
        <v>112</v>
      </c>
      <c r="E28" s="1" t="s">
        <v>227</v>
      </c>
      <c r="F28" s="1" t="s">
        <v>228</v>
      </c>
      <c r="G28" s="1" t="s">
        <v>229</v>
      </c>
      <c r="H28" s="1" t="s">
        <v>230</v>
      </c>
      <c r="K28"/>
      <c r="L28"/>
      <c r="M28"/>
      <c r="N28"/>
      <c r="O28"/>
      <c r="P28"/>
      <c r="Q28"/>
      <c r="R28"/>
      <c r="S28"/>
      <c r="T28"/>
      <c r="U28"/>
      <c r="V28"/>
      <c r="W28"/>
      <c r="X28"/>
      <c r="Y28"/>
      <c r="Z28"/>
      <c r="AA28"/>
      <c r="AB28"/>
      <c r="AC28"/>
      <c r="AD28"/>
      <c r="AE28"/>
      <c r="AF28"/>
      <c r="AG28"/>
      <c r="AH28"/>
    </row>
    <row r="29" spans="1:34" x14ac:dyDescent="0.35">
      <c r="A29" s="1" t="str">
        <f t="shared" si="0"/>
        <v>1</v>
      </c>
      <c r="B29"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 xml:space="preserve"> </v>
      </c>
      <c r="C29" s="1" t="s">
        <v>231</v>
      </c>
      <c r="D29" s="1" t="s">
        <v>112</v>
      </c>
      <c r="E29" s="1" t="s">
        <v>232</v>
      </c>
      <c r="F29" s="1" t="s">
        <v>233</v>
      </c>
      <c r="G29" s="1" t="s">
        <v>234</v>
      </c>
      <c r="H29" s="1" t="s">
        <v>235</v>
      </c>
      <c r="K29"/>
      <c r="L29"/>
      <c r="M29"/>
      <c r="N29"/>
      <c r="O29"/>
      <c r="P29"/>
      <c r="Q29"/>
      <c r="R29"/>
      <c r="S29"/>
      <c r="T29"/>
      <c r="U29"/>
      <c r="V29"/>
      <c r="W29"/>
      <c r="X29"/>
      <c r="Y29"/>
      <c r="Z29"/>
      <c r="AA29"/>
      <c r="AB29"/>
      <c r="AC29"/>
      <c r="AD29"/>
      <c r="AE29"/>
      <c r="AF29"/>
      <c r="AG29"/>
      <c r="AH29"/>
    </row>
    <row r="30" spans="1:34" x14ac:dyDescent="0.35">
      <c r="A30" s="1" t="str">
        <f t="shared" si="0"/>
        <v/>
      </c>
      <c r="B3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30" s="1" t="s">
        <v>112</v>
      </c>
      <c r="K30"/>
      <c r="L30"/>
      <c r="M30"/>
      <c r="N30"/>
      <c r="O30"/>
      <c r="P30"/>
      <c r="Q30"/>
      <c r="R30"/>
      <c r="S30"/>
      <c r="T30"/>
      <c r="U30"/>
      <c r="V30"/>
      <c r="W30"/>
      <c r="X30"/>
      <c r="Y30"/>
      <c r="Z30"/>
      <c r="AA30"/>
      <c r="AB30"/>
      <c r="AC30"/>
      <c r="AD30"/>
      <c r="AE30"/>
      <c r="AF30"/>
      <c r="AG30"/>
      <c r="AH30"/>
    </row>
    <row r="31" spans="1:34" x14ac:dyDescent="0.35">
      <c r="A31" s="1" t="str">
        <f t="shared" si="0"/>
        <v/>
      </c>
      <c r="B3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31" s="1" t="s">
        <v>112</v>
      </c>
      <c r="K31"/>
      <c r="L31"/>
      <c r="M31"/>
      <c r="N31"/>
      <c r="O31"/>
      <c r="P31"/>
      <c r="Q31"/>
      <c r="R31"/>
      <c r="S31"/>
      <c r="T31"/>
      <c r="U31"/>
      <c r="V31"/>
      <c r="W31"/>
      <c r="X31"/>
      <c r="Y31"/>
      <c r="Z31"/>
      <c r="AA31"/>
      <c r="AB31"/>
      <c r="AC31"/>
      <c r="AD31"/>
      <c r="AE31"/>
      <c r="AF31"/>
      <c r="AG31"/>
      <c r="AH31"/>
    </row>
    <row r="32" spans="1:34" x14ac:dyDescent="0.35">
      <c r="A32" s="1" t="str">
        <f t="shared" si="0"/>
        <v/>
      </c>
      <c r="B3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32" s="1" t="s">
        <v>112</v>
      </c>
      <c r="K32"/>
      <c r="L32"/>
      <c r="M32"/>
      <c r="N32"/>
      <c r="O32"/>
      <c r="P32"/>
      <c r="Q32"/>
      <c r="R32"/>
      <c r="S32"/>
      <c r="T32"/>
      <c r="U32"/>
      <c r="V32"/>
      <c r="W32"/>
      <c r="X32"/>
      <c r="Y32"/>
      <c r="Z32"/>
      <c r="AA32"/>
      <c r="AB32"/>
      <c r="AC32"/>
      <c r="AD32"/>
      <c r="AE32"/>
      <c r="AF32"/>
      <c r="AG32"/>
      <c r="AH32"/>
    </row>
    <row r="33" spans="1:34" x14ac:dyDescent="0.35">
      <c r="A33" s="1" t="str">
        <f t="shared" si="0"/>
        <v/>
      </c>
      <c r="B3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33" s="1" t="s">
        <v>112</v>
      </c>
      <c r="K33"/>
      <c r="L33"/>
      <c r="M33"/>
      <c r="N33"/>
      <c r="O33"/>
      <c r="P33"/>
      <c r="Q33"/>
      <c r="R33"/>
      <c r="S33"/>
      <c r="T33"/>
      <c r="U33"/>
      <c r="V33"/>
      <c r="W33"/>
      <c r="X33"/>
      <c r="Y33"/>
      <c r="Z33"/>
      <c r="AA33"/>
      <c r="AB33"/>
      <c r="AC33"/>
      <c r="AD33"/>
      <c r="AE33"/>
      <c r="AF33"/>
      <c r="AG33"/>
      <c r="AH33"/>
    </row>
    <row r="34" spans="1:34" x14ac:dyDescent="0.35">
      <c r="A34" s="1" t="str">
        <f t="shared" si="0"/>
        <v/>
      </c>
      <c r="B3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34" s="1" t="s">
        <v>112</v>
      </c>
      <c r="K34"/>
      <c r="L34"/>
      <c r="M34"/>
      <c r="N34"/>
      <c r="O34"/>
      <c r="P34"/>
      <c r="Q34"/>
      <c r="R34"/>
      <c r="S34"/>
      <c r="T34"/>
      <c r="U34"/>
      <c r="V34"/>
      <c r="W34"/>
      <c r="X34"/>
      <c r="Y34"/>
      <c r="Z34"/>
      <c r="AA34"/>
      <c r="AB34"/>
      <c r="AC34"/>
      <c r="AD34"/>
      <c r="AE34"/>
      <c r="AF34"/>
      <c r="AG34"/>
      <c r="AH34"/>
    </row>
    <row r="35" spans="1:34" x14ac:dyDescent="0.35">
      <c r="A35" s="1" t="str">
        <f t="shared" si="0"/>
        <v/>
      </c>
      <c r="B3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35" s="1" t="s">
        <v>172</v>
      </c>
      <c r="D35" s="1" t="s">
        <v>110</v>
      </c>
      <c r="E35" s="1" t="s">
        <v>111</v>
      </c>
      <c r="F35" s="1" t="s">
        <v>112</v>
      </c>
      <c r="G35" s="1" t="s">
        <v>113</v>
      </c>
      <c r="K35"/>
      <c r="L35"/>
      <c r="M35"/>
      <c r="N35"/>
      <c r="O35"/>
      <c r="P35"/>
      <c r="Q35"/>
      <c r="R35"/>
      <c r="S35"/>
      <c r="T35"/>
      <c r="U35"/>
      <c r="V35"/>
      <c r="W35"/>
      <c r="X35"/>
      <c r="Y35"/>
      <c r="Z35"/>
      <c r="AA35"/>
      <c r="AB35"/>
      <c r="AC35"/>
      <c r="AD35"/>
      <c r="AE35"/>
      <c r="AF35"/>
      <c r="AG35"/>
      <c r="AH35"/>
    </row>
    <row r="36" spans="1:34" x14ac:dyDescent="0.35">
      <c r="A36" s="1" t="str">
        <f t="shared" si="0"/>
        <v>13</v>
      </c>
      <c r="B36"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36" s="1" t="s">
        <v>236</v>
      </c>
      <c r="D36" s="1" t="s">
        <v>237</v>
      </c>
      <c r="E36" s="1" t="s">
        <v>238</v>
      </c>
      <c r="F36" s="1" t="s">
        <v>112</v>
      </c>
      <c r="G36" s="1">
        <v>866537</v>
      </c>
      <c r="K36"/>
      <c r="L36"/>
      <c r="M36"/>
      <c r="N36"/>
      <c r="O36"/>
      <c r="P36"/>
      <c r="Q36"/>
      <c r="R36"/>
      <c r="S36"/>
      <c r="T36"/>
      <c r="U36"/>
      <c r="V36"/>
      <c r="W36"/>
      <c r="X36"/>
      <c r="Y36"/>
      <c r="Z36"/>
      <c r="AA36"/>
      <c r="AB36"/>
      <c r="AC36"/>
      <c r="AD36"/>
      <c r="AE36"/>
      <c r="AF36"/>
      <c r="AG36"/>
      <c r="AH36"/>
    </row>
    <row r="37" spans="1:34" x14ac:dyDescent="0.35">
      <c r="A37" s="1" t="str">
        <f t="shared" si="0"/>
        <v>13</v>
      </c>
      <c r="B37"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37" s="1" t="s">
        <v>239</v>
      </c>
      <c r="D37" s="1" t="s">
        <v>240</v>
      </c>
      <c r="E37" s="1" t="s">
        <v>241</v>
      </c>
      <c r="F37" s="1" t="s">
        <v>112</v>
      </c>
      <c r="G37" s="1">
        <v>535837</v>
      </c>
      <c r="K37"/>
      <c r="L37"/>
      <c r="M37"/>
      <c r="N37"/>
      <c r="O37"/>
      <c r="P37"/>
      <c r="Q37"/>
      <c r="R37"/>
      <c r="S37"/>
      <c r="T37"/>
      <c r="U37"/>
      <c r="V37"/>
      <c r="W37"/>
      <c r="X37"/>
      <c r="Y37"/>
      <c r="Z37"/>
      <c r="AA37"/>
      <c r="AB37"/>
      <c r="AC37"/>
      <c r="AD37"/>
      <c r="AE37"/>
      <c r="AF37"/>
      <c r="AG37"/>
      <c r="AH37"/>
    </row>
    <row r="38" spans="1:34" x14ac:dyDescent="0.35">
      <c r="A38" s="1" t="str">
        <f t="shared" si="0"/>
        <v>13</v>
      </c>
      <c r="B3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38" s="1" t="s">
        <v>242</v>
      </c>
      <c r="D38" s="1" t="s">
        <v>243</v>
      </c>
      <c r="E38" s="1" t="s">
        <v>244</v>
      </c>
      <c r="F38" s="1" t="s">
        <v>112</v>
      </c>
      <c r="G38" s="1">
        <v>770327</v>
      </c>
      <c r="K38"/>
      <c r="L38"/>
      <c r="M38"/>
      <c r="N38"/>
      <c r="O38"/>
      <c r="P38"/>
      <c r="Q38"/>
      <c r="R38"/>
      <c r="S38"/>
      <c r="T38"/>
      <c r="U38"/>
      <c r="V38"/>
      <c r="W38"/>
      <c r="X38"/>
      <c r="Y38"/>
      <c r="Z38"/>
      <c r="AA38"/>
      <c r="AB38"/>
      <c r="AC38"/>
      <c r="AD38"/>
      <c r="AE38"/>
      <c r="AF38"/>
      <c r="AG38"/>
      <c r="AH38"/>
    </row>
    <row r="39" spans="1:34" x14ac:dyDescent="0.35">
      <c r="A39" s="1" t="str">
        <f t="shared" si="0"/>
        <v>13</v>
      </c>
      <c r="B39"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39" s="1" t="s">
        <v>245</v>
      </c>
      <c r="D39" s="1" t="s">
        <v>246</v>
      </c>
      <c r="E39" s="1" t="s">
        <v>247</v>
      </c>
      <c r="F39" s="1" t="s">
        <v>112</v>
      </c>
      <c r="G39" s="1">
        <v>1739433</v>
      </c>
    </row>
    <row r="40" spans="1:34" x14ac:dyDescent="0.35">
      <c r="A40" s="1" t="str">
        <f t="shared" si="0"/>
        <v>13</v>
      </c>
      <c r="B40"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40" s="1" t="s">
        <v>248</v>
      </c>
      <c r="D40" s="1" t="s">
        <v>249</v>
      </c>
      <c r="E40" s="1" t="s">
        <v>250</v>
      </c>
      <c r="F40" s="1" t="s">
        <v>112</v>
      </c>
      <c r="G40" s="1">
        <v>2323570</v>
      </c>
    </row>
    <row r="41" spans="1:34" x14ac:dyDescent="0.35">
      <c r="A41" s="1" t="str">
        <f t="shared" si="0"/>
        <v>13</v>
      </c>
      <c r="B41"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41" s="1" t="s">
        <v>251</v>
      </c>
      <c r="D41" s="1" t="s">
        <v>252</v>
      </c>
      <c r="E41" s="1" t="s">
        <v>253</v>
      </c>
      <c r="F41" s="1" t="s">
        <v>112</v>
      </c>
      <c r="G41" s="1">
        <v>1897396</v>
      </c>
    </row>
    <row r="42" spans="1:34" x14ac:dyDescent="0.35">
      <c r="A42" s="1" t="str">
        <f t="shared" si="0"/>
        <v>13</v>
      </c>
      <c r="B4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42" s="1" t="s">
        <v>254</v>
      </c>
      <c r="D42" s="1" t="s">
        <v>255</v>
      </c>
      <c r="E42" s="1" t="s">
        <v>256</v>
      </c>
      <c r="F42" s="1" t="s">
        <v>112</v>
      </c>
      <c r="G42" s="1">
        <v>2993815</v>
      </c>
    </row>
    <row r="43" spans="1:34" x14ac:dyDescent="0.35">
      <c r="A43" s="1" t="str">
        <f t="shared" si="0"/>
        <v>13</v>
      </c>
      <c r="B4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43" s="1" t="s">
        <v>257</v>
      </c>
      <c r="D43" s="1" t="s">
        <v>258</v>
      </c>
      <c r="E43" s="1" t="s">
        <v>259</v>
      </c>
      <c r="F43" s="1" t="s">
        <v>112</v>
      </c>
      <c r="G43" s="1">
        <v>3572653</v>
      </c>
    </row>
    <row r="44" spans="1:34" x14ac:dyDescent="0.35">
      <c r="A44" s="1" t="str">
        <f t="shared" si="0"/>
        <v>13</v>
      </c>
      <c r="B4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44" s="1" t="s">
        <v>260</v>
      </c>
      <c r="D44" s="1" t="s">
        <v>261</v>
      </c>
      <c r="E44" s="1" t="s">
        <v>262</v>
      </c>
      <c r="F44" s="1" t="s">
        <v>112</v>
      </c>
      <c r="G44" s="1">
        <v>3531751</v>
      </c>
    </row>
    <row r="45" spans="1:34" x14ac:dyDescent="0.35">
      <c r="A45" s="1" t="str">
        <f t="shared" si="0"/>
        <v>13</v>
      </c>
      <c r="B4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45" s="1" t="s">
        <v>263</v>
      </c>
      <c r="D45" s="1" t="s">
        <v>264</v>
      </c>
      <c r="E45" s="1" t="s">
        <v>265</v>
      </c>
      <c r="F45" s="1" t="s">
        <v>112</v>
      </c>
      <c r="G45" s="1">
        <v>2008920</v>
      </c>
    </row>
    <row r="46" spans="1:34" x14ac:dyDescent="0.35">
      <c r="A46" s="1" t="str">
        <f t="shared" si="0"/>
        <v>13</v>
      </c>
      <c r="B46"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46" s="1" t="s">
        <v>266</v>
      </c>
      <c r="D46" s="1" t="s">
        <v>267</v>
      </c>
      <c r="E46" s="1" t="s">
        <v>268</v>
      </c>
      <c r="F46" s="1" t="s">
        <v>112</v>
      </c>
      <c r="G46" s="1">
        <v>1531440</v>
      </c>
    </row>
    <row r="47" spans="1:34" x14ac:dyDescent="0.35">
      <c r="A47" s="1" t="str">
        <f t="shared" si="0"/>
        <v>13</v>
      </c>
      <c r="B47"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47" s="1" t="s">
        <v>269</v>
      </c>
      <c r="D47" s="1" t="s">
        <v>270</v>
      </c>
      <c r="E47" s="1" t="s">
        <v>271</v>
      </c>
      <c r="F47" s="1" t="s">
        <v>112</v>
      </c>
      <c r="G47" s="1">
        <v>1555211</v>
      </c>
    </row>
    <row r="48" spans="1:34" x14ac:dyDescent="0.35">
      <c r="A48" s="1" t="str">
        <f t="shared" si="0"/>
        <v>13</v>
      </c>
      <c r="B4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48" s="1" t="s">
        <v>272</v>
      </c>
      <c r="D48" s="1" t="s">
        <v>273</v>
      </c>
      <c r="E48" s="1" t="s">
        <v>274</v>
      </c>
      <c r="F48" s="1" t="s">
        <v>112</v>
      </c>
      <c r="G48" s="1">
        <v>275067</v>
      </c>
    </row>
    <row r="49" spans="1:8" x14ac:dyDescent="0.35">
      <c r="A49" s="1" t="str">
        <f t="shared" si="0"/>
        <v>13</v>
      </c>
      <c r="B49"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49" s="1" t="s">
        <v>275</v>
      </c>
      <c r="D49" s="1" t="s">
        <v>276</v>
      </c>
      <c r="E49" s="1" t="s">
        <v>277</v>
      </c>
      <c r="F49" s="1" t="s">
        <v>112</v>
      </c>
      <c r="G49" s="1">
        <v>179896</v>
      </c>
    </row>
    <row r="50" spans="1:8" x14ac:dyDescent="0.35">
      <c r="A50" s="1" t="str">
        <f t="shared" si="0"/>
        <v>13</v>
      </c>
      <c r="B50"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50" s="1" t="s">
        <v>278</v>
      </c>
      <c r="D50" s="1" t="s">
        <v>279</v>
      </c>
      <c r="E50" s="1" t="s">
        <v>280</v>
      </c>
      <c r="F50" s="1" t="s">
        <v>112</v>
      </c>
      <c r="G50" s="1">
        <v>123204</v>
      </c>
    </row>
    <row r="51" spans="1:8" x14ac:dyDescent="0.35">
      <c r="A51" s="1" t="str">
        <f t="shared" si="0"/>
        <v>13</v>
      </c>
      <c r="B51"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51" s="1" t="s">
        <v>281</v>
      </c>
      <c r="D51" s="1" t="s">
        <v>282</v>
      </c>
      <c r="E51" s="1" t="s">
        <v>283</v>
      </c>
      <c r="F51" s="1" t="s">
        <v>112</v>
      </c>
      <c r="G51" s="1">
        <v>1483551</v>
      </c>
    </row>
    <row r="52" spans="1:8" x14ac:dyDescent="0.35">
      <c r="A52" s="1" t="str">
        <f t="shared" si="0"/>
        <v>13</v>
      </c>
      <c r="B5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52" s="1" t="s">
        <v>284</v>
      </c>
      <c r="D52" s="1" t="s">
        <v>285</v>
      </c>
      <c r="E52" s="1" t="s">
        <v>286</v>
      </c>
      <c r="F52" s="1" t="s">
        <v>112</v>
      </c>
      <c r="G52" s="1">
        <v>1136608</v>
      </c>
    </row>
    <row r="53" spans="1:8" x14ac:dyDescent="0.35">
      <c r="A53" s="1" t="str">
        <f t="shared" si="0"/>
        <v>13</v>
      </c>
      <c r="B5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53" s="1" t="s">
        <v>287</v>
      </c>
      <c r="D53" s="1" t="s">
        <v>288</v>
      </c>
      <c r="E53" s="1" t="s">
        <v>289</v>
      </c>
      <c r="F53" s="1" t="s">
        <v>112</v>
      </c>
      <c r="G53" s="1">
        <v>1508988</v>
      </c>
    </row>
    <row r="54" spans="1:8" x14ac:dyDescent="0.35">
      <c r="A54" s="1" t="str">
        <f t="shared" si="0"/>
        <v>13</v>
      </c>
      <c r="B5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54" s="1" t="s">
        <v>290</v>
      </c>
      <c r="D54" s="1" t="s">
        <v>291</v>
      </c>
      <c r="E54" s="1" t="s">
        <v>292</v>
      </c>
      <c r="F54" s="1" t="s">
        <v>112</v>
      </c>
      <c r="G54" s="1">
        <v>1879357</v>
      </c>
    </row>
    <row r="55" spans="1:8" x14ac:dyDescent="0.35">
      <c r="A55" s="1" t="str">
        <f t="shared" si="0"/>
        <v>13</v>
      </c>
      <c r="B5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55" s="1" t="s">
        <v>293</v>
      </c>
      <c r="D55" s="1" t="s">
        <v>294</v>
      </c>
      <c r="E55" s="1" t="s">
        <v>295</v>
      </c>
      <c r="F55" s="1" t="s">
        <v>112</v>
      </c>
      <c r="G55" s="1">
        <v>1539832</v>
      </c>
    </row>
    <row r="56" spans="1:8" x14ac:dyDescent="0.35">
      <c r="A56" s="1" t="str">
        <f t="shared" si="0"/>
        <v>13</v>
      </c>
      <c r="B56"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56" s="1" t="s">
        <v>296</v>
      </c>
      <c r="D56" s="1" t="s">
        <v>297</v>
      </c>
      <c r="E56" s="1" t="s">
        <v>298</v>
      </c>
      <c r="F56" s="1" t="s">
        <v>112</v>
      </c>
      <c r="G56" s="1">
        <v>1734198</v>
      </c>
    </row>
    <row r="57" spans="1:8" x14ac:dyDescent="0.35">
      <c r="A57" s="1" t="str">
        <f t="shared" si="0"/>
        <v>13</v>
      </c>
      <c r="B57"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57" s="1" t="s">
        <v>299</v>
      </c>
    </row>
    <row r="58" spans="1:8" x14ac:dyDescent="0.35">
      <c r="A58" s="1" t="str">
        <f t="shared" si="0"/>
        <v>13</v>
      </c>
      <c r="B5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58" s="1" t="s">
        <v>300</v>
      </c>
    </row>
    <row r="59" spans="1:8" x14ac:dyDescent="0.35">
      <c r="A59" s="1" t="str">
        <f t="shared" si="0"/>
        <v>13</v>
      </c>
      <c r="B59"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59" s="1" t="s">
        <v>301</v>
      </c>
    </row>
    <row r="60" spans="1:8" x14ac:dyDescent="0.35">
      <c r="A60" s="1" t="str">
        <f t="shared" si="0"/>
        <v/>
      </c>
      <c r="B6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60" s="1" t="s">
        <v>112</v>
      </c>
    </row>
    <row r="61" spans="1:8" x14ac:dyDescent="0.35">
      <c r="A61" s="1" t="str">
        <f t="shared" si="0"/>
        <v/>
      </c>
      <c r="B6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61" s="1" t="s">
        <v>226</v>
      </c>
      <c r="D61" s="1" t="s">
        <v>112</v>
      </c>
      <c r="E61" s="1" t="s">
        <v>227</v>
      </c>
      <c r="F61" s="1" t="s">
        <v>228</v>
      </c>
      <c r="G61" s="1" t="s">
        <v>229</v>
      </c>
      <c r="H61" s="1" t="s">
        <v>230</v>
      </c>
    </row>
    <row r="62" spans="1:8" x14ac:dyDescent="0.35">
      <c r="A62" s="1" t="str">
        <f t="shared" si="0"/>
        <v>13</v>
      </c>
      <c r="B6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 xml:space="preserve"> </v>
      </c>
      <c r="C62" s="1" t="s">
        <v>302</v>
      </c>
      <c r="D62" s="1" t="s">
        <v>112</v>
      </c>
      <c r="E62" s="1" t="s">
        <v>303</v>
      </c>
      <c r="F62" s="1" t="s">
        <v>304</v>
      </c>
      <c r="G62" s="1" t="s">
        <v>305</v>
      </c>
      <c r="H62" s="1" t="s">
        <v>306</v>
      </c>
    </row>
    <row r="63" spans="1:8" x14ac:dyDescent="0.35">
      <c r="A63" s="1" t="str">
        <f t="shared" si="0"/>
        <v/>
      </c>
      <c r="B6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63" s="1" t="s">
        <v>112</v>
      </c>
    </row>
    <row r="64" spans="1:8" x14ac:dyDescent="0.35">
      <c r="A64" s="1" t="str">
        <f t="shared" si="0"/>
        <v/>
      </c>
      <c r="B6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64" s="1" t="s">
        <v>112</v>
      </c>
    </row>
    <row r="65" spans="1:7" x14ac:dyDescent="0.35">
      <c r="A65" s="1" t="str">
        <f t="shared" si="0"/>
        <v/>
      </c>
      <c r="B6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65" s="1" t="s">
        <v>112</v>
      </c>
    </row>
    <row r="66" spans="1:7" x14ac:dyDescent="0.35">
      <c r="A66" s="1" t="str">
        <f t="shared" ref="A66:A129" si="1">IFERROR(LEFT(RIGHT(C66,LEN(C66)-SEARCH("@",C66)),SEARCH("/",RIGHT(C66,LEN(C66)-SEARCH("@",C66)-1))),"")</f>
        <v/>
      </c>
      <c r="B6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66" s="1" t="s">
        <v>112</v>
      </c>
    </row>
    <row r="67" spans="1:7" x14ac:dyDescent="0.35">
      <c r="A67" s="1" t="str">
        <f t="shared" si="1"/>
        <v/>
      </c>
      <c r="B6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67" s="1" t="s">
        <v>112</v>
      </c>
    </row>
    <row r="68" spans="1:7" x14ac:dyDescent="0.35">
      <c r="A68" s="1" t="str">
        <f t="shared" si="1"/>
        <v/>
      </c>
      <c r="B6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68" s="1" t="s">
        <v>172</v>
      </c>
      <c r="D68" s="1" t="s">
        <v>110</v>
      </c>
      <c r="E68" s="1" t="s">
        <v>111</v>
      </c>
      <c r="F68" s="1" t="s">
        <v>112</v>
      </c>
      <c r="G68" s="1" t="s">
        <v>113</v>
      </c>
    </row>
    <row r="69" spans="1:7" x14ac:dyDescent="0.35">
      <c r="A69" s="1" t="str">
        <f t="shared" si="1"/>
        <v>14</v>
      </c>
      <c r="B69"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69" s="1" t="s">
        <v>307</v>
      </c>
      <c r="D69" s="1" t="s">
        <v>308</v>
      </c>
      <c r="E69" s="1" t="s">
        <v>309</v>
      </c>
      <c r="F69" s="1" t="s">
        <v>112</v>
      </c>
      <c r="G69" s="1">
        <v>2441150</v>
      </c>
    </row>
    <row r="70" spans="1:7" x14ac:dyDescent="0.35">
      <c r="A70" s="1" t="str">
        <f t="shared" si="1"/>
        <v>14</v>
      </c>
      <c r="B70"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70" s="1" t="s">
        <v>310</v>
      </c>
      <c r="D70" s="1" t="s">
        <v>311</v>
      </c>
      <c r="E70" s="1" t="s">
        <v>312</v>
      </c>
      <c r="F70" s="1" t="s">
        <v>112</v>
      </c>
      <c r="G70" s="1">
        <v>2661883</v>
      </c>
    </row>
    <row r="71" spans="1:7" x14ac:dyDescent="0.35">
      <c r="A71" s="1" t="str">
        <f t="shared" si="1"/>
        <v>14</v>
      </c>
      <c r="B71"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71" s="1" t="s">
        <v>313</v>
      </c>
      <c r="D71" s="1" t="s">
        <v>314</v>
      </c>
      <c r="E71" s="1" t="s">
        <v>315</v>
      </c>
      <c r="F71" s="1" t="s">
        <v>112</v>
      </c>
      <c r="G71" s="1">
        <v>3056131</v>
      </c>
    </row>
    <row r="72" spans="1:7" x14ac:dyDescent="0.35">
      <c r="A72" s="1" t="str">
        <f t="shared" si="1"/>
        <v>14</v>
      </c>
      <c r="B7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72" s="1" t="s">
        <v>316</v>
      </c>
      <c r="D72" s="1" t="s">
        <v>317</v>
      </c>
      <c r="E72" s="1" t="s">
        <v>318</v>
      </c>
      <c r="F72" s="1" t="s">
        <v>112</v>
      </c>
      <c r="G72" s="1">
        <v>2327571</v>
      </c>
    </row>
    <row r="73" spans="1:7" x14ac:dyDescent="0.35">
      <c r="A73" s="1" t="str">
        <f t="shared" si="1"/>
        <v>14</v>
      </c>
      <c r="B7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73" s="1" t="s">
        <v>319</v>
      </c>
      <c r="D73" s="1" t="s">
        <v>320</v>
      </c>
      <c r="E73" s="1" t="s">
        <v>321</v>
      </c>
      <c r="F73" s="1" t="s">
        <v>112</v>
      </c>
      <c r="G73" s="1">
        <v>2293807</v>
      </c>
    </row>
    <row r="74" spans="1:7" x14ac:dyDescent="0.35">
      <c r="A74" s="1" t="str">
        <f t="shared" si="1"/>
        <v>14</v>
      </c>
      <c r="B7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74" s="1" t="s">
        <v>322</v>
      </c>
      <c r="D74" s="1" t="s">
        <v>323</v>
      </c>
      <c r="E74" s="1" t="s">
        <v>324</v>
      </c>
      <c r="F74" s="1" t="s">
        <v>112</v>
      </c>
      <c r="G74" s="1">
        <v>2322423</v>
      </c>
    </row>
    <row r="75" spans="1:7" x14ac:dyDescent="0.35">
      <c r="A75" s="1" t="str">
        <f t="shared" si="1"/>
        <v>14</v>
      </c>
      <c r="B7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75" s="1" t="s">
        <v>325</v>
      </c>
      <c r="D75" s="1" t="s">
        <v>326</v>
      </c>
      <c r="E75" s="1" t="s">
        <v>327</v>
      </c>
      <c r="F75" s="1" t="s">
        <v>112</v>
      </c>
      <c r="G75" s="1">
        <v>2776997</v>
      </c>
    </row>
    <row r="76" spans="1:7" x14ac:dyDescent="0.35">
      <c r="A76" s="1" t="str">
        <f t="shared" si="1"/>
        <v>14</v>
      </c>
      <c r="B76"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76" s="1" t="s">
        <v>328</v>
      </c>
      <c r="D76" s="1" t="s">
        <v>329</v>
      </c>
      <c r="E76" s="1" t="s">
        <v>330</v>
      </c>
      <c r="F76" s="1" t="s">
        <v>112</v>
      </c>
      <c r="G76" s="1">
        <v>2564830</v>
      </c>
    </row>
    <row r="77" spans="1:7" x14ac:dyDescent="0.35">
      <c r="A77" s="1" t="str">
        <f t="shared" si="1"/>
        <v>14</v>
      </c>
      <c r="B77"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77" s="1" t="s">
        <v>331</v>
      </c>
      <c r="D77" s="1" t="s">
        <v>332</v>
      </c>
      <c r="E77" s="1" t="s">
        <v>333</v>
      </c>
      <c r="F77" s="1" t="s">
        <v>112</v>
      </c>
      <c r="G77" s="1">
        <v>2329929</v>
      </c>
    </row>
    <row r="78" spans="1:7" x14ac:dyDescent="0.35">
      <c r="A78" s="1" t="str">
        <f t="shared" si="1"/>
        <v>14</v>
      </c>
      <c r="B7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78" s="1" t="s">
        <v>334</v>
      </c>
      <c r="D78" s="1" t="s">
        <v>335</v>
      </c>
      <c r="E78" s="1" t="s">
        <v>336</v>
      </c>
      <c r="F78" s="1" t="s">
        <v>112</v>
      </c>
      <c r="G78" s="1">
        <v>2931521</v>
      </c>
    </row>
    <row r="79" spans="1:7" x14ac:dyDescent="0.35">
      <c r="A79" s="1" t="str">
        <f t="shared" si="1"/>
        <v>14</v>
      </c>
      <c r="B79"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79" s="1" t="s">
        <v>337</v>
      </c>
      <c r="D79" s="1" t="s">
        <v>338</v>
      </c>
      <c r="E79" s="1" t="s">
        <v>339</v>
      </c>
      <c r="F79" s="1" t="s">
        <v>112</v>
      </c>
      <c r="G79" s="1">
        <v>2314420</v>
      </c>
    </row>
    <row r="80" spans="1:7" x14ac:dyDescent="0.35">
      <c r="A80" s="1" t="str">
        <f t="shared" si="1"/>
        <v>14</v>
      </c>
      <c r="B80"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80" s="1" t="s">
        <v>340</v>
      </c>
      <c r="D80" s="1" t="s">
        <v>341</v>
      </c>
      <c r="E80" s="1" t="s">
        <v>342</v>
      </c>
      <c r="F80" s="1" t="s">
        <v>112</v>
      </c>
      <c r="G80" s="1">
        <v>2645077</v>
      </c>
    </row>
    <row r="81" spans="1:8" x14ac:dyDescent="0.35">
      <c r="A81" s="1" t="str">
        <f t="shared" si="1"/>
        <v>14</v>
      </c>
      <c r="B81"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81" s="1" t="s">
        <v>343</v>
      </c>
      <c r="D81" s="1" t="s">
        <v>344</v>
      </c>
      <c r="E81" s="1" t="s">
        <v>345</v>
      </c>
      <c r="F81" s="1" t="s">
        <v>112</v>
      </c>
      <c r="G81" s="1">
        <v>2370593</v>
      </c>
    </row>
    <row r="82" spans="1:8" x14ac:dyDescent="0.35">
      <c r="A82" s="1" t="str">
        <f t="shared" si="1"/>
        <v>14</v>
      </c>
      <c r="B8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82" s="1" t="s">
        <v>346</v>
      </c>
    </row>
    <row r="83" spans="1:8" x14ac:dyDescent="0.35">
      <c r="A83" s="1" t="str">
        <f t="shared" si="1"/>
        <v>14</v>
      </c>
      <c r="B8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83" s="1" t="s">
        <v>347</v>
      </c>
      <c r="D83" s="1" t="s">
        <v>348</v>
      </c>
      <c r="E83" s="1" t="s">
        <v>349</v>
      </c>
      <c r="F83" s="1" t="s">
        <v>112</v>
      </c>
      <c r="G83" s="1">
        <v>2016122</v>
      </c>
    </row>
    <row r="84" spans="1:8" x14ac:dyDescent="0.35">
      <c r="A84" s="1" t="str">
        <f t="shared" si="1"/>
        <v>14</v>
      </c>
      <c r="B8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84" s="1" t="s">
        <v>350</v>
      </c>
      <c r="D84" s="1" t="s">
        <v>351</v>
      </c>
      <c r="E84" s="1" t="s">
        <v>352</v>
      </c>
      <c r="F84" s="1" t="s">
        <v>112</v>
      </c>
      <c r="G84" s="1">
        <v>1573272</v>
      </c>
    </row>
    <row r="85" spans="1:8" x14ac:dyDescent="0.35">
      <c r="A85" s="1" t="str">
        <f t="shared" si="1"/>
        <v>14</v>
      </c>
      <c r="B8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85" s="1" t="s">
        <v>353</v>
      </c>
      <c r="D85" s="1" t="s">
        <v>354</v>
      </c>
      <c r="E85" s="1" t="s">
        <v>355</v>
      </c>
      <c r="F85" s="1" t="s">
        <v>112</v>
      </c>
      <c r="G85" s="1">
        <v>1401747</v>
      </c>
    </row>
    <row r="86" spans="1:8" x14ac:dyDescent="0.35">
      <c r="A86" s="1" t="str">
        <f t="shared" si="1"/>
        <v>14</v>
      </c>
      <c r="B86"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86" s="1" t="s">
        <v>356</v>
      </c>
      <c r="D86" s="1" t="s">
        <v>357</v>
      </c>
      <c r="E86" s="1" t="s">
        <v>358</v>
      </c>
      <c r="F86" s="1" t="s">
        <v>112</v>
      </c>
      <c r="G86" s="1">
        <v>1269999</v>
      </c>
    </row>
    <row r="87" spans="1:8" x14ac:dyDescent="0.35">
      <c r="A87" s="1" t="str">
        <f t="shared" si="1"/>
        <v>14</v>
      </c>
      <c r="B87"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87" s="1" t="s">
        <v>359</v>
      </c>
      <c r="D87" s="1" t="s">
        <v>360</v>
      </c>
      <c r="E87" s="1" t="s">
        <v>361</v>
      </c>
      <c r="F87" s="1" t="s">
        <v>112</v>
      </c>
      <c r="G87" s="1">
        <v>220452</v>
      </c>
    </row>
    <row r="88" spans="1:8" x14ac:dyDescent="0.35">
      <c r="A88" s="1" t="str">
        <f t="shared" si="1"/>
        <v>14</v>
      </c>
      <c r="B8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88" s="1" t="s">
        <v>362</v>
      </c>
      <c r="D88" s="1" t="s">
        <v>363</v>
      </c>
      <c r="E88" s="1" t="s">
        <v>364</v>
      </c>
      <c r="F88" s="1" t="s">
        <v>112</v>
      </c>
      <c r="G88" s="1">
        <v>449253</v>
      </c>
    </row>
    <row r="89" spans="1:8" x14ac:dyDescent="0.35">
      <c r="A89" s="1" t="str">
        <f t="shared" si="1"/>
        <v>14</v>
      </c>
      <c r="B89"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89" s="1" t="s">
        <v>365</v>
      </c>
      <c r="D89" s="1" t="s">
        <v>366</v>
      </c>
      <c r="E89" s="1" t="s">
        <v>367</v>
      </c>
      <c r="F89" s="1" t="s">
        <v>112</v>
      </c>
      <c r="G89" s="1">
        <v>265702</v>
      </c>
    </row>
    <row r="90" spans="1:8" x14ac:dyDescent="0.35">
      <c r="A90" s="1" t="str">
        <f t="shared" si="1"/>
        <v>14</v>
      </c>
      <c r="B90"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90" s="1" t="s">
        <v>368</v>
      </c>
      <c r="D90" s="1" t="s">
        <v>369</v>
      </c>
      <c r="E90" s="1" t="s">
        <v>370</v>
      </c>
      <c r="F90" s="1" t="s">
        <v>112</v>
      </c>
      <c r="G90" s="1">
        <v>1094365</v>
      </c>
    </row>
    <row r="91" spans="1:8" x14ac:dyDescent="0.35">
      <c r="A91" s="1" t="str">
        <f t="shared" si="1"/>
        <v>14</v>
      </c>
      <c r="B91"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91" s="1" t="s">
        <v>371</v>
      </c>
      <c r="D91" s="1" t="s">
        <v>372</v>
      </c>
      <c r="E91" s="1" t="s">
        <v>373</v>
      </c>
      <c r="F91" s="1" t="s">
        <v>112</v>
      </c>
      <c r="G91" s="1">
        <v>1272465</v>
      </c>
    </row>
    <row r="92" spans="1:8" x14ac:dyDescent="0.35">
      <c r="A92" s="1" t="str">
        <f t="shared" si="1"/>
        <v>14</v>
      </c>
      <c r="B9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92" s="1" t="s">
        <v>374</v>
      </c>
      <c r="D92" s="1" t="s">
        <v>375</v>
      </c>
      <c r="E92" s="1" t="s">
        <v>376</v>
      </c>
      <c r="F92" s="1" t="s">
        <v>112</v>
      </c>
      <c r="G92" s="1">
        <v>1273438</v>
      </c>
    </row>
    <row r="93" spans="1:8" x14ac:dyDescent="0.35">
      <c r="A93" s="1" t="str">
        <f t="shared" si="1"/>
        <v/>
      </c>
      <c r="B9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93" s="1" t="s">
        <v>112</v>
      </c>
    </row>
    <row r="94" spans="1:8" x14ac:dyDescent="0.35">
      <c r="A94" s="1" t="str">
        <f t="shared" si="1"/>
        <v/>
      </c>
      <c r="B9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94" s="1" t="s">
        <v>226</v>
      </c>
      <c r="D94" s="1" t="s">
        <v>112</v>
      </c>
      <c r="E94" s="1" t="s">
        <v>227</v>
      </c>
      <c r="F94" s="1" t="s">
        <v>228</v>
      </c>
      <c r="G94" s="1" t="s">
        <v>229</v>
      </c>
      <c r="H94" s="1" t="s">
        <v>230</v>
      </c>
    </row>
    <row r="95" spans="1:8" x14ac:dyDescent="0.35">
      <c r="A95" s="1" t="str">
        <f t="shared" si="1"/>
        <v>14</v>
      </c>
      <c r="B9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 xml:space="preserve"> </v>
      </c>
      <c r="C95" s="1" t="s">
        <v>377</v>
      </c>
      <c r="D95" s="1" t="s">
        <v>112</v>
      </c>
      <c r="E95" s="1" t="s">
        <v>378</v>
      </c>
      <c r="F95" s="1" t="s">
        <v>379</v>
      </c>
      <c r="G95" s="1" t="s">
        <v>380</v>
      </c>
      <c r="H95" s="1" t="s">
        <v>381</v>
      </c>
    </row>
    <row r="96" spans="1:8" x14ac:dyDescent="0.35">
      <c r="A96" s="1" t="str">
        <f t="shared" si="1"/>
        <v/>
      </c>
      <c r="B9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96" s="1" t="s">
        <v>112</v>
      </c>
    </row>
    <row r="97" spans="1:7" x14ac:dyDescent="0.35">
      <c r="A97" s="1" t="str">
        <f t="shared" si="1"/>
        <v/>
      </c>
      <c r="B9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97" s="1" t="s">
        <v>112</v>
      </c>
    </row>
    <row r="98" spans="1:7" x14ac:dyDescent="0.35">
      <c r="A98" s="1" t="str">
        <f t="shared" si="1"/>
        <v/>
      </c>
      <c r="B9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98" s="1" t="s">
        <v>112</v>
      </c>
    </row>
    <row r="99" spans="1:7" x14ac:dyDescent="0.35">
      <c r="A99" s="1" t="str">
        <f t="shared" si="1"/>
        <v/>
      </c>
      <c r="B9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99" s="1" t="s">
        <v>112</v>
      </c>
    </row>
    <row r="100" spans="1:7" x14ac:dyDescent="0.35">
      <c r="A100" s="1" t="str">
        <f t="shared" si="1"/>
        <v/>
      </c>
      <c r="B10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100" s="1" t="s">
        <v>112</v>
      </c>
    </row>
    <row r="101" spans="1:7" x14ac:dyDescent="0.35">
      <c r="A101" s="1" t="str">
        <f t="shared" si="1"/>
        <v/>
      </c>
      <c r="B10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101" s="1" t="s">
        <v>172</v>
      </c>
      <c r="D101" s="1" t="s">
        <v>110</v>
      </c>
      <c r="E101" s="1" t="s">
        <v>111</v>
      </c>
      <c r="F101" s="1" t="s">
        <v>112</v>
      </c>
      <c r="G101" s="1" t="s">
        <v>113</v>
      </c>
    </row>
    <row r="102" spans="1:7" x14ac:dyDescent="0.35">
      <c r="A102" s="1" t="str">
        <f t="shared" si="1"/>
        <v>15</v>
      </c>
      <c r="B10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102" s="1" t="s">
        <v>382</v>
      </c>
      <c r="D102" s="1" t="s">
        <v>383</v>
      </c>
      <c r="E102" s="1" t="s">
        <v>384</v>
      </c>
      <c r="F102" s="1" t="s">
        <v>112</v>
      </c>
      <c r="G102" s="1">
        <v>4060299</v>
      </c>
    </row>
    <row r="103" spans="1:7" x14ac:dyDescent="0.35">
      <c r="A103" s="1" t="str">
        <f t="shared" si="1"/>
        <v>15</v>
      </c>
      <c r="B10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103" s="1" t="s">
        <v>385</v>
      </c>
      <c r="D103" s="1" t="s">
        <v>386</v>
      </c>
      <c r="E103" s="1" t="s">
        <v>387</v>
      </c>
      <c r="F103" s="1" t="s">
        <v>112</v>
      </c>
      <c r="G103" s="1">
        <v>3659994</v>
      </c>
    </row>
    <row r="104" spans="1:7" x14ac:dyDescent="0.35">
      <c r="A104" s="1" t="str">
        <f t="shared" si="1"/>
        <v>15</v>
      </c>
      <c r="B10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104" s="1" t="s">
        <v>388</v>
      </c>
      <c r="D104" s="1" t="s">
        <v>389</v>
      </c>
      <c r="E104" s="1" t="s">
        <v>390</v>
      </c>
      <c r="F104" s="1" t="s">
        <v>112</v>
      </c>
      <c r="G104" s="1">
        <v>4049722</v>
      </c>
    </row>
    <row r="105" spans="1:7" x14ac:dyDescent="0.35">
      <c r="A105" s="1" t="str">
        <f t="shared" si="1"/>
        <v>15</v>
      </c>
      <c r="B10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105" s="1" t="s">
        <v>391</v>
      </c>
      <c r="D105" s="1" t="s">
        <v>392</v>
      </c>
      <c r="E105" s="1" t="s">
        <v>393</v>
      </c>
      <c r="F105" s="1" t="s">
        <v>112</v>
      </c>
      <c r="G105" s="1">
        <v>3747790</v>
      </c>
    </row>
    <row r="106" spans="1:7" x14ac:dyDescent="0.35">
      <c r="A106" s="1" t="str">
        <f t="shared" si="1"/>
        <v>15</v>
      </c>
      <c r="B106"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106" s="1" t="s">
        <v>394</v>
      </c>
      <c r="D106" s="1" t="s">
        <v>395</v>
      </c>
      <c r="E106" s="1" t="s">
        <v>396</v>
      </c>
      <c r="F106" s="1" t="s">
        <v>112</v>
      </c>
      <c r="G106" s="1">
        <v>4060905</v>
      </c>
    </row>
    <row r="107" spans="1:7" x14ac:dyDescent="0.35">
      <c r="A107" s="1" t="str">
        <f t="shared" si="1"/>
        <v>15</v>
      </c>
      <c r="B107"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107" s="1" t="s">
        <v>397</v>
      </c>
      <c r="D107" s="1" t="s">
        <v>398</v>
      </c>
      <c r="E107" s="1" t="s">
        <v>399</v>
      </c>
      <c r="F107" s="1" t="s">
        <v>112</v>
      </c>
      <c r="G107" s="1">
        <v>3930260</v>
      </c>
    </row>
    <row r="108" spans="1:7" x14ac:dyDescent="0.35">
      <c r="A108" s="1" t="str">
        <f t="shared" si="1"/>
        <v>15</v>
      </c>
      <c r="B10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108" s="1" t="s">
        <v>400</v>
      </c>
      <c r="D108" s="1" t="s">
        <v>401</v>
      </c>
      <c r="E108" s="1" t="s">
        <v>402</v>
      </c>
      <c r="F108" s="1" t="s">
        <v>112</v>
      </c>
      <c r="G108" s="1">
        <v>4364350</v>
      </c>
    </row>
    <row r="109" spans="1:7" x14ac:dyDescent="0.35">
      <c r="A109" s="1" t="str">
        <f t="shared" si="1"/>
        <v>15</v>
      </c>
      <c r="B109"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109" s="1" t="s">
        <v>403</v>
      </c>
      <c r="D109" s="1" t="s">
        <v>404</v>
      </c>
      <c r="E109" s="1" t="s">
        <v>405</v>
      </c>
      <c r="F109" s="1" t="s">
        <v>112</v>
      </c>
      <c r="G109" s="1">
        <v>4163733</v>
      </c>
    </row>
    <row r="110" spans="1:7" x14ac:dyDescent="0.35">
      <c r="A110" s="1" t="str">
        <f t="shared" si="1"/>
        <v>15</v>
      </c>
      <c r="B110"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110" s="1" t="s">
        <v>406</v>
      </c>
      <c r="D110" s="1" t="s">
        <v>407</v>
      </c>
      <c r="E110" s="1" t="s">
        <v>408</v>
      </c>
      <c r="F110" s="1" t="s">
        <v>112</v>
      </c>
      <c r="G110" s="1">
        <v>4923051</v>
      </c>
    </row>
    <row r="111" spans="1:7" x14ac:dyDescent="0.35">
      <c r="A111" s="1" t="str">
        <f t="shared" si="1"/>
        <v>15</v>
      </c>
      <c r="B111"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111" s="1" t="s">
        <v>409</v>
      </c>
    </row>
    <row r="112" spans="1:7" x14ac:dyDescent="0.35">
      <c r="A112" s="1" t="str">
        <f t="shared" si="1"/>
        <v>15</v>
      </c>
      <c r="B11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112" s="1" t="s">
        <v>410</v>
      </c>
      <c r="D112" s="1" t="s">
        <v>411</v>
      </c>
      <c r="E112" s="1" t="s">
        <v>412</v>
      </c>
      <c r="F112" s="1" t="s">
        <v>112</v>
      </c>
      <c r="G112" s="1">
        <v>2337153</v>
      </c>
    </row>
    <row r="113" spans="1:8" x14ac:dyDescent="0.35">
      <c r="A113" s="1" t="str">
        <f t="shared" si="1"/>
        <v>15</v>
      </c>
      <c r="B11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113" s="1" t="s">
        <v>413</v>
      </c>
      <c r="D113" s="1" t="s">
        <v>414</v>
      </c>
      <c r="E113" s="1" t="s">
        <v>415</v>
      </c>
      <c r="F113" s="1" t="s">
        <v>112</v>
      </c>
      <c r="G113" s="1">
        <v>2072555</v>
      </c>
    </row>
    <row r="114" spans="1:8" x14ac:dyDescent="0.35">
      <c r="A114" s="1" t="str">
        <f t="shared" si="1"/>
        <v>15</v>
      </c>
      <c r="B11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114" s="1" t="s">
        <v>416</v>
      </c>
      <c r="D114" s="1" t="s">
        <v>417</v>
      </c>
      <c r="E114" s="1" t="s">
        <v>418</v>
      </c>
      <c r="F114" s="1" t="s">
        <v>112</v>
      </c>
      <c r="G114" s="1">
        <v>4949050</v>
      </c>
    </row>
    <row r="115" spans="1:8" x14ac:dyDescent="0.35">
      <c r="A115" s="1" t="str">
        <f t="shared" si="1"/>
        <v>15</v>
      </c>
      <c r="B11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115" s="1" t="s">
        <v>419</v>
      </c>
      <c r="D115" s="1" t="s">
        <v>420</v>
      </c>
      <c r="E115" s="1" t="s">
        <v>421</v>
      </c>
      <c r="F115" s="1" t="s">
        <v>112</v>
      </c>
      <c r="G115" s="1">
        <v>4289143</v>
      </c>
    </row>
    <row r="116" spans="1:8" x14ac:dyDescent="0.35">
      <c r="A116" s="1" t="str">
        <f t="shared" si="1"/>
        <v>15</v>
      </c>
      <c r="B116"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116" s="1" t="s">
        <v>422</v>
      </c>
      <c r="D116" s="1" t="s">
        <v>423</v>
      </c>
      <c r="E116" s="1" t="s">
        <v>424</v>
      </c>
      <c r="F116" s="1" t="s">
        <v>112</v>
      </c>
      <c r="G116" s="1">
        <v>4870317</v>
      </c>
    </row>
    <row r="117" spans="1:8" x14ac:dyDescent="0.35">
      <c r="A117" s="1" t="str">
        <f t="shared" si="1"/>
        <v>15</v>
      </c>
      <c r="B117"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117" s="1" t="s">
        <v>425</v>
      </c>
      <c r="D117" s="1" t="s">
        <v>426</v>
      </c>
      <c r="E117" s="1" t="s">
        <v>427</v>
      </c>
      <c r="F117" s="1" t="s">
        <v>112</v>
      </c>
      <c r="G117" s="1">
        <v>3162269</v>
      </c>
    </row>
    <row r="118" spans="1:8" x14ac:dyDescent="0.35">
      <c r="A118" s="1" t="str">
        <f t="shared" si="1"/>
        <v>15</v>
      </c>
      <c r="B11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118" s="1" t="s">
        <v>428</v>
      </c>
      <c r="D118" s="1" t="s">
        <v>429</v>
      </c>
      <c r="E118" s="1" t="s">
        <v>430</v>
      </c>
      <c r="F118" s="1" t="s">
        <v>112</v>
      </c>
      <c r="G118" s="1">
        <v>3369159</v>
      </c>
    </row>
    <row r="119" spans="1:8" x14ac:dyDescent="0.35">
      <c r="A119" s="1" t="str">
        <f t="shared" si="1"/>
        <v>15</v>
      </c>
      <c r="B119"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119" s="1" t="s">
        <v>431</v>
      </c>
    </row>
    <row r="120" spans="1:8" x14ac:dyDescent="0.35">
      <c r="A120" s="1" t="str">
        <f t="shared" si="1"/>
        <v>15</v>
      </c>
      <c r="B120"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120" s="1" t="s">
        <v>432</v>
      </c>
      <c r="D120" s="1" t="s">
        <v>433</v>
      </c>
      <c r="E120" s="1" t="s">
        <v>434</v>
      </c>
      <c r="F120" s="1" t="s">
        <v>112</v>
      </c>
      <c r="G120" s="1">
        <v>4988286</v>
      </c>
    </row>
    <row r="121" spans="1:8" x14ac:dyDescent="0.35">
      <c r="A121" s="1" t="str">
        <f t="shared" si="1"/>
        <v>15</v>
      </c>
      <c r="B121"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121" s="1" t="s">
        <v>435</v>
      </c>
      <c r="D121" s="1" t="s">
        <v>436</v>
      </c>
      <c r="E121" s="1" t="s">
        <v>437</v>
      </c>
      <c r="F121" s="1" t="s">
        <v>112</v>
      </c>
      <c r="G121" s="1">
        <v>4372051</v>
      </c>
    </row>
    <row r="122" spans="1:8" x14ac:dyDescent="0.35">
      <c r="A122" s="1" t="str">
        <f t="shared" si="1"/>
        <v>15</v>
      </c>
      <c r="B12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122" s="1" t="s">
        <v>438</v>
      </c>
      <c r="D122" s="1" t="s">
        <v>439</v>
      </c>
      <c r="E122" s="1" t="s">
        <v>440</v>
      </c>
      <c r="F122" s="1" t="s">
        <v>112</v>
      </c>
      <c r="G122" s="1">
        <v>5044351</v>
      </c>
    </row>
    <row r="123" spans="1:8" x14ac:dyDescent="0.35">
      <c r="A123" s="1" t="str">
        <f t="shared" si="1"/>
        <v>15</v>
      </c>
      <c r="B12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123" s="1" t="s">
        <v>441</v>
      </c>
      <c r="D123" s="1" t="s">
        <v>442</v>
      </c>
      <c r="E123" s="1" t="s">
        <v>443</v>
      </c>
      <c r="F123" s="1" t="s">
        <v>112</v>
      </c>
      <c r="G123" s="1">
        <v>2321991</v>
      </c>
    </row>
    <row r="124" spans="1:8" x14ac:dyDescent="0.35">
      <c r="A124" s="1" t="str">
        <f t="shared" si="1"/>
        <v>15</v>
      </c>
      <c r="B12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124" s="1" t="s">
        <v>444</v>
      </c>
      <c r="D124" s="1" t="s">
        <v>445</v>
      </c>
      <c r="E124" s="1" t="s">
        <v>446</v>
      </c>
      <c r="F124" s="1" t="s">
        <v>112</v>
      </c>
      <c r="G124" s="1">
        <v>2562645</v>
      </c>
    </row>
    <row r="125" spans="1:8" x14ac:dyDescent="0.35">
      <c r="A125" s="1" t="str">
        <f t="shared" si="1"/>
        <v>15</v>
      </c>
      <c r="B12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125" s="1" t="s">
        <v>447</v>
      </c>
      <c r="D125" s="1" t="s">
        <v>448</v>
      </c>
      <c r="E125" s="1" t="s">
        <v>449</v>
      </c>
      <c r="F125" s="1" t="s">
        <v>112</v>
      </c>
      <c r="G125" s="1">
        <v>2422354</v>
      </c>
    </row>
    <row r="126" spans="1:8" x14ac:dyDescent="0.35">
      <c r="A126" s="1" t="str">
        <f t="shared" si="1"/>
        <v/>
      </c>
      <c r="B12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126" s="1" t="s">
        <v>112</v>
      </c>
    </row>
    <row r="127" spans="1:8" x14ac:dyDescent="0.35">
      <c r="A127" s="1" t="str">
        <f t="shared" si="1"/>
        <v/>
      </c>
      <c r="B12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127" s="1" t="s">
        <v>226</v>
      </c>
      <c r="D127" s="1" t="s">
        <v>112</v>
      </c>
      <c r="E127" s="1" t="s">
        <v>227</v>
      </c>
      <c r="F127" s="1" t="s">
        <v>228</v>
      </c>
      <c r="G127" s="1" t="s">
        <v>229</v>
      </c>
      <c r="H127" s="1" t="s">
        <v>230</v>
      </c>
    </row>
    <row r="128" spans="1:8" x14ac:dyDescent="0.35">
      <c r="A128" s="1" t="str">
        <f t="shared" si="1"/>
        <v>15</v>
      </c>
      <c r="B12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 xml:space="preserve"> </v>
      </c>
      <c r="C128" s="1" t="s">
        <v>450</v>
      </c>
      <c r="D128" s="1" t="s">
        <v>112</v>
      </c>
      <c r="E128" s="1" t="s">
        <v>451</v>
      </c>
      <c r="F128" s="1" t="s">
        <v>452</v>
      </c>
      <c r="G128" s="1" t="s">
        <v>453</v>
      </c>
      <c r="H128" s="1" t="s">
        <v>454</v>
      </c>
    </row>
    <row r="129" spans="1:7" x14ac:dyDescent="0.35">
      <c r="A129" s="1" t="str">
        <f t="shared" si="1"/>
        <v/>
      </c>
      <c r="B12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129" s="1" t="s">
        <v>112</v>
      </c>
    </row>
    <row r="130" spans="1:7" x14ac:dyDescent="0.35">
      <c r="A130" s="1" t="str">
        <f t="shared" ref="A130:A193" si="2">IFERROR(LEFT(RIGHT(C130,LEN(C130)-SEARCH("@",C130)),SEARCH("/",RIGHT(C130,LEN(C130)-SEARCH("@",C130)-1))),"")</f>
        <v/>
      </c>
      <c r="B13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130" s="1" t="s">
        <v>112</v>
      </c>
    </row>
    <row r="131" spans="1:7" x14ac:dyDescent="0.35">
      <c r="A131" s="1" t="str">
        <f t="shared" si="2"/>
        <v/>
      </c>
      <c r="B13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131" s="1" t="s">
        <v>112</v>
      </c>
    </row>
    <row r="132" spans="1:7" x14ac:dyDescent="0.35">
      <c r="A132" s="1" t="str">
        <f t="shared" si="2"/>
        <v/>
      </c>
      <c r="B13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132" s="1" t="s">
        <v>112</v>
      </c>
    </row>
    <row r="133" spans="1:7" x14ac:dyDescent="0.35">
      <c r="A133" s="1" t="str">
        <f t="shared" si="2"/>
        <v/>
      </c>
      <c r="B13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133" s="1" t="s">
        <v>112</v>
      </c>
    </row>
    <row r="134" spans="1:7" x14ac:dyDescent="0.35">
      <c r="A134" s="1" t="str">
        <f t="shared" si="2"/>
        <v/>
      </c>
      <c r="B13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134" s="1" t="s">
        <v>172</v>
      </c>
      <c r="D134" s="1" t="s">
        <v>110</v>
      </c>
      <c r="E134" s="1" t="s">
        <v>111</v>
      </c>
      <c r="F134" s="1" t="s">
        <v>112</v>
      </c>
      <c r="G134" s="1" t="s">
        <v>113</v>
      </c>
    </row>
    <row r="135" spans="1:7" x14ac:dyDescent="0.35">
      <c r="A135" s="1" t="str">
        <f t="shared" si="2"/>
        <v>16</v>
      </c>
      <c r="B13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135" s="1" t="s">
        <v>455</v>
      </c>
      <c r="D135" s="1" t="s">
        <v>456</v>
      </c>
      <c r="E135" s="1" t="s">
        <v>457</v>
      </c>
      <c r="F135" s="1" t="s">
        <v>112</v>
      </c>
      <c r="G135" s="1">
        <v>148273</v>
      </c>
    </row>
    <row r="136" spans="1:7" x14ac:dyDescent="0.35">
      <c r="A136" s="1" t="str">
        <f t="shared" si="2"/>
        <v>16</v>
      </c>
      <c r="B136"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136" s="1" t="s">
        <v>458</v>
      </c>
      <c r="D136" s="1" t="s">
        <v>459</v>
      </c>
      <c r="E136" s="1" t="s">
        <v>460</v>
      </c>
      <c r="F136" s="1" t="s">
        <v>112</v>
      </c>
      <c r="G136" s="1">
        <v>23858</v>
      </c>
    </row>
    <row r="137" spans="1:7" x14ac:dyDescent="0.35">
      <c r="A137" s="1" t="str">
        <f t="shared" si="2"/>
        <v>16</v>
      </c>
      <c r="B137"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137" s="1" t="s">
        <v>461</v>
      </c>
      <c r="D137" s="1" t="s">
        <v>462</v>
      </c>
      <c r="E137" s="1">
        <v>32</v>
      </c>
      <c r="F137" s="1" t="s">
        <v>112</v>
      </c>
      <c r="G137" s="1">
        <v>6922</v>
      </c>
    </row>
    <row r="138" spans="1:7" x14ac:dyDescent="0.35">
      <c r="A138" s="1" t="str">
        <f t="shared" si="2"/>
        <v>16</v>
      </c>
      <c r="B13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138" s="1" t="s">
        <v>463</v>
      </c>
      <c r="D138" s="1" t="s">
        <v>464</v>
      </c>
      <c r="E138" s="1" t="s">
        <v>465</v>
      </c>
      <c r="F138" s="1" t="s">
        <v>112</v>
      </c>
      <c r="G138" s="1">
        <v>73217</v>
      </c>
    </row>
    <row r="139" spans="1:7" x14ac:dyDescent="0.35">
      <c r="A139" s="1" t="str">
        <f t="shared" si="2"/>
        <v>16</v>
      </c>
      <c r="B139"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139" s="1" t="s">
        <v>466</v>
      </c>
      <c r="D139" s="1" t="s">
        <v>467</v>
      </c>
      <c r="E139" s="1" t="s">
        <v>468</v>
      </c>
      <c r="F139" s="1" t="s">
        <v>112</v>
      </c>
      <c r="G139" s="1">
        <v>104818</v>
      </c>
    </row>
    <row r="140" spans="1:7" x14ac:dyDescent="0.35">
      <c r="A140" s="1" t="str">
        <f t="shared" si="2"/>
        <v>16</v>
      </c>
      <c r="B140"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140" s="1" t="s">
        <v>469</v>
      </c>
      <c r="D140" s="1" t="s">
        <v>470</v>
      </c>
      <c r="E140" s="1" t="s">
        <v>471</v>
      </c>
      <c r="F140" s="1" t="s">
        <v>112</v>
      </c>
      <c r="G140" s="1">
        <v>105446</v>
      </c>
    </row>
    <row r="141" spans="1:7" x14ac:dyDescent="0.35">
      <c r="A141" s="1" t="str">
        <f t="shared" si="2"/>
        <v>16</v>
      </c>
      <c r="B141"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141" s="1" t="s">
        <v>472</v>
      </c>
      <c r="D141" s="1" t="s">
        <v>473</v>
      </c>
      <c r="E141" s="1" t="s">
        <v>474</v>
      </c>
      <c r="F141" s="1" t="s">
        <v>112</v>
      </c>
      <c r="G141" s="1">
        <v>98438</v>
      </c>
    </row>
    <row r="142" spans="1:7" x14ac:dyDescent="0.35">
      <c r="A142" s="1" t="str">
        <f t="shared" si="2"/>
        <v>16</v>
      </c>
      <c r="B14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142" s="1" t="s">
        <v>475</v>
      </c>
    </row>
    <row r="143" spans="1:7" x14ac:dyDescent="0.35">
      <c r="A143" s="1" t="str">
        <f t="shared" si="2"/>
        <v>16</v>
      </c>
      <c r="B14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143" s="1" t="s">
        <v>476</v>
      </c>
      <c r="D143" s="1" t="s">
        <v>477</v>
      </c>
      <c r="E143" s="1" t="s">
        <v>478</v>
      </c>
      <c r="F143" s="1" t="s">
        <v>112</v>
      </c>
      <c r="G143" s="1">
        <v>20008</v>
      </c>
    </row>
    <row r="144" spans="1:7" x14ac:dyDescent="0.35">
      <c r="A144" s="1" t="str">
        <f t="shared" si="2"/>
        <v>16</v>
      </c>
      <c r="B14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144" s="1" t="s">
        <v>479</v>
      </c>
      <c r="D144" s="1" t="s">
        <v>480</v>
      </c>
      <c r="E144" s="1" t="s">
        <v>481</v>
      </c>
      <c r="F144" s="1" t="s">
        <v>112</v>
      </c>
      <c r="G144" s="1">
        <v>331846</v>
      </c>
    </row>
    <row r="145" spans="1:8" x14ac:dyDescent="0.35">
      <c r="A145" s="1" t="str">
        <f t="shared" si="2"/>
        <v>16</v>
      </c>
      <c r="B14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145" s="1" t="s">
        <v>482</v>
      </c>
      <c r="D145" s="1" t="s">
        <v>483</v>
      </c>
      <c r="E145" s="1" t="s">
        <v>484</v>
      </c>
      <c r="F145" s="1" t="s">
        <v>112</v>
      </c>
      <c r="G145" s="1">
        <v>91905</v>
      </c>
    </row>
    <row r="146" spans="1:8" x14ac:dyDescent="0.35">
      <c r="A146" s="1" t="str">
        <f t="shared" si="2"/>
        <v>16</v>
      </c>
      <c r="B146"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146" s="1" t="s">
        <v>485</v>
      </c>
      <c r="D146" s="1" t="s">
        <v>486</v>
      </c>
      <c r="E146" s="1" t="s">
        <v>487</v>
      </c>
      <c r="F146" s="1" t="s">
        <v>112</v>
      </c>
      <c r="G146" s="1">
        <v>112865</v>
      </c>
    </row>
    <row r="147" spans="1:8" x14ac:dyDescent="0.35">
      <c r="A147" s="1" t="str">
        <f t="shared" si="2"/>
        <v>16</v>
      </c>
      <c r="B147"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147" s="1" t="s">
        <v>488</v>
      </c>
      <c r="D147" s="1" t="s">
        <v>489</v>
      </c>
      <c r="E147" s="1" t="s">
        <v>490</v>
      </c>
      <c r="F147" s="1" t="s">
        <v>112</v>
      </c>
      <c r="G147" s="1">
        <v>152707</v>
      </c>
    </row>
    <row r="148" spans="1:8" x14ac:dyDescent="0.35">
      <c r="A148" s="1" t="str">
        <f t="shared" si="2"/>
        <v>16</v>
      </c>
      <c r="B14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148" s="1" t="s">
        <v>491</v>
      </c>
    </row>
    <row r="149" spans="1:8" x14ac:dyDescent="0.35">
      <c r="A149" s="1" t="str">
        <f t="shared" si="2"/>
        <v>16</v>
      </c>
      <c r="B149"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149" s="1" t="s">
        <v>492</v>
      </c>
    </row>
    <row r="150" spans="1:8" x14ac:dyDescent="0.35">
      <c r="A150" s="1" t="str">
        <f t="shared" si="2"/>
        <v>16</v>
      </c>
      <c r="B150"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150" s="1" t="s">
        <v>493</v>
      </c>
      <c r="D150" s="1" t="s">
        <v>494</v>
      </c>
      <c r="E150" s="1" t="s">
        <v>495</v>
      </c>
      <c r="F150" s="1" t="s">
        <v>112</v>
      </c>
      <c r="G150" s="1">
        <v>414580</v>
      </c>
    </row>
    <row r="151" spans="1:8" x14ac:dyDescent="0.35">
      <c r="A151" s="1" t="str">
        <f t="shared" si="2"/>
        <v>16</v>
      </c>
      <c r="B151"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151" s="1" t="s">
        <v>496</v>
      </c>
      <c r="D151" s="1" t="s">
        <v>497</v>
      </c>
      <c r="E151" s="1" t="s">
        <v>498</v>
      </c>
      <c r="F151" s="1" t="s">
        <v>112</v>
      </c>
      <c r="G151" s="1">
        <v>218895</v>
      </c>
    </row>
    <row r="152" spans="1:8" x14ac:dyDescent="0.35">
      <c r="A152" s="1" t="str">
        <f t="shared" si="2"/>
        <v>16</v>
      </c>
      <c r="B15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152" s="1" t="s">
        <v>499</v>
      </c>
      <c r="D152" s="1" t="s">
        <v>500</v>
      </c>
      <c r="E152" s="1" t="s">
        <v>501</v>
      </c>
      <c r="F152" s="1" t="s">
        <v>112</v>
      </c>
      <c r="G152" s="1">
        <v>165642</v>
      </c>
    </row>
    <row r="153" spans="1:8" x14ac:dyDescent="0.35">
      <c r="A153" s="1" t="str">
        <f t="shared" si="2"/>
        <v>16</v>
      </c>
      <c r="B15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153" s="1" t="s">
        <v>502</v>
      </c>
      <c r="D153" s="1" t="s">
        <v>503</v>
      </c>
      <c r="E153" s="1" t="s">
        <v>504</v>
      </c>
      <c r="F153" s="1" t="s">
        <v>112</v>
      </c>
      <c r="G153" s="1">
        <v>55805</v>
      </c>
    </row>
    <row r="154" spans="1:8" x14ac:dyDescent="0.35">
      <c r="A154" s="1" t="str">
        <f t="shared" si="2"/>
        <v>16</v>
      </c>
      <c r="B15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154" s="1" t="s">
        <v>505</v>
      </c>
      <c r="D154" s="1" t="s">
        <v>506</v>
      </c>
      <c r="E154" s="1" t="s">
        <v>507</v>
      </c>
      <c r="F154" s="1" t="s">
        <v>112</v>
      </c>
      <c r="G154" s="1">
        <v>31104</v>
      </c>
    </row>
    <row r="155" spans="1:8" x14ac:dyDescent="0.35">
      <c r="A155" s="1" t="str">
        <f t="shared" si="2"/>
        <v>16</v>
      </c>
      <c r="B15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155" s="1" t="s">
        <v>508</v>
      </c>
      <c r="D155" s="1" t="s">
        <v>509</v>
      </c>
      <c r="E155" s="1" t="s">
        <v>510</v>
      </c>
      <c r="F155" s="1" t="s">
        <v>112</v>
      </c>
      <c r="G155" s="1">
        <v>125929</v>
      </c>
    </row>
    <row r="156" spans="1:8" x14ac:dyDescent="0.35">
      <c r="A156" s="1" t="str">
        <f t="shared" si="2"/>
        <v>16</v>
      </c>
      <c r="B156"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156" s="1" t="s">
        <v>511</v>
      </c>
      <c r="D156" s="1" t="s">
        <v>512</v>
      </c>
      <c r="E156" s="1" t="s">
        <v>513</v>
      </c>
      <c r="F156" s="1" t="s">
        <v>112</v>
      </c>
      <c r="G156" s="1">
        <v>154481</v>
      </c>
    </row>
    <row r="157" spans="1:8" x14ac:dyDescent="0.35">
      <c r="A157" s="1" t="str">
        <f t="shared" si="2"/>
        <v>16</v>
      </c>
      <c r="B157"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157" s="1" t="s">
        <v>514</v>
      </c>
      <c r="D157" s="1" t="s">
        <v>515</v>
      </c>
      <c r="E157" s="1" t="s">
        <v>516</v>
      </c>
      <c r="F157" s="1" t="s">
        <v>112</v>
      </c>
      <c r="G157" s="1">
        <v>95345</v>
      </c>
    </row>
    <row r="158" spans="1:8" x14ac:dyDescent="0.35">
      <c r="A158" s="1" t="str">
        <f t="shared" si="2"/>
        <v>16</v>
      </c>
      <c r="B15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158" s="1" t="s">
        <v>517</v>
      </c>
      <c r="D158" s="1" t="s">
        <v>518</v>
      </c>
      <c r="E158" s="1" t="s">
        <v>519</v>
      </c>
      <c r="F158" s="1" t="s">
        <v>112</v>
      </c>
      <c r="G158" s="1">
        <v>163198</v>
      </c>
    </row>
    <row r="159" spans="1:8" x14ac:dyDescent="0.35">
      <c r="A159" s="1" t="str">
        <f t="shared" si="2"/>
        <v/>
      </c>
      <c r="B15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159" s="1" t="s">
        <v>112</v>
      </c>
    </row>
    <row r="160" spans="1:8" x14ac:dyDescent="0.35">
      <c r="A160" s="1" t="str">
        <f t="shared" si="2"/>
        <v/>
      </c>
      <c r="B16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160" s="1" t="s">
        <v>226</v>
      </c>
      <c r="D160" s="1" t="s">
        <v>112</v>
      </c>
      <c r="E160" s="1" t="s">
        <v>227</v>
      </c>
      <c r="F160" s="1" t="s">
        <v>228</v>
      </c>
      <c r="G160" s="1" t="s">
        <v>229</v>
      </c>
      <c r="H160" s="1" t="s">
        <v>230</v>
      </c>
    </row>
    <row r="161" spans="1:8" x14ac:dyDescent="0.35">
      <c r="A161" s="1" t="str">
        <f t="shared" si="2"/>
        <v>16</v>
      </c>
      <c r="B161"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 xml:space="preserve"> </v>
      </c>
      <c r="C161" s="1" t="s">
        <v>520</v>
      </c>
      <c r="D161" s="1" t="s">
        <v>112</v>
      </c>
      <c r="E161" s="1" t="s">
        <v>521</v>
      </c>
      <c r="F161" s="1" t="s">
        <v>522</v>
      </c>
      <c r="G161" s="1" t="s">
        <v>523</v>
      </c>
      <c r="H161" s="1" t="s">
        <v>524</v>
      </c>
    </row>
    <row r="162" spans="1:8" x14ac:dyDescent="0.35">
      <c r="A162" s="1" t="str">
        <f t="shared" si="2"/>
        <v/>
      </c>
      <c r="B16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162" s="1" t="s">
        <v>112</v>
      </c>
    </row>
    <row r="163" spans="1:8" x14ac:dyDescent="0.35">
      <c r="A163" s="1" t="str">
        <f t="shared" si="2"/>
        <v/>
      </c>
      <c r="B16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163" s="1" t="s">
        <v>112</v>
      </c>
    </row>
    <row r="164" spans="1:8" x14ac:dyDescent="0.35">
      <c r="A164" s="1" t="str">
        <f t="shared" si="2"/>
        <v/>
      </c>
      <c r="B16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164" s="1" t="s">
        <v>112</v>
      </c>
    </row>
    <row r="165" spans="1:8" x14ac:dyDescent="0.35">
      <c r="A165" s="1" t="str">
        <f t="shared" si="2"/>
        <v/>
      </c>
      <c r="B16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165" s="1" t="s">
        <v>112</v>
      </c>
    </row>
    <row r="166" spans="1:8" x14ac:dyDescent="0.35">
      <c r="A166" s="1" t="str">
        <f t="shared" si="2"/>
        <v/>
      </c>
      <c r="B16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166" s="1" t="s">
        <v>112</v>
      </c>
    </row>
    <row r="167" spans="1:8" x14ac:dyDescent="0.35">
      <c r="A167" s="1" t="str">
        <f t="shared" si="2"/>
        <v/>
      </c>
      <c r="B16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167" s="1" t="s">
        <v>172</v>
      </c>
      <c r="D167" s="1" t="s">
        <v>110</v>
      </c>
      <c r="E167" s="1" t="s">
        <v>111</v>
      </c>
      <c r="F167" s="1" t="s">
        <v>112</v>
      </c>
      <c r="G167" s="1" t="s">
        <v>113</v>
      </c>
    </row>
    <row r="168" spans="1:8" x14ac:dyDescent="0.35">
      <c r="A168" s="1" t="str">
        <f t="shared" si="2"/>
        <v>2</v>
      </c>
      <c r="B16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168" s="1" t="s">
        <v>525</v>
      </c>
      <c r="D168" s="1" t="s">
        <v>526</v>
      </c>
      <c r="E168" s="1" t="s">
        <v>527</v>
      </c>
      <c r="F168" s="1" t="s">
        <v>112</v>
      </c>
      <c r="G168" s="1">
        <v>83535</v>
      </c>
    </row>
    <row r="169" spans="1:8" x14ac:dyDescent="0.35">
      <c r="A169" s="1" t="str">
        <f t="shared" si="2"/>
        <v>2</v>
      </c>
      <c r="B169"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169" s="1" t="s">
        <v>528</v>
      </c>
      <c r="D169" s="1" t="s">
        <v>529</v>
      </c>
      <c r="E169" s="1" t="s">
        <v>530</v>
      </c>
      <c r="F169" s="1" t="s">
        <v>112</v>
      </c>
      <c r="G169" s="1">
        <v>114033</v>
      </c>
    </row>
    <row r="170" spans="1:8" x14ac:dyDescent="0.35">
      <c r="A170" s="1" t="str">
        <f t="shared" si="2"/>
        <v>2</v>
      </c>
      <c r="B170"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170" s="1" t="s">
        <v>531</v>
      </c>
      <c r="D170" s="1" t="s">
        <v>532</v>
      </c>
      <c r="E170" s="1" t="s">
        <v>533</v>
      </c>
      <c r="F170" s="1" t="s">
        <v>112</v>
      </c>
      <c r="G170" s="1">
        <v>86152</v>
      </c>
    </row>
    <row r="171" spans="1:8" x14ac:dyDescent="0.35">
      <c r="A171" s="1" t="str">
        <f t="shared" si="2"/>
        <v>2</v>
      </c>
      <c r="B171"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171" s="1" t="s">
        <v>534</v>
      </c>
      <c r="D171" s="1" t="s">
        <v>535</v>
      </c>
      <c r="E171" s="1" t="s">
        <v>536</v>
      </c>
      <c r="F171" s="1" t="s">
        <v>112</v>
      </c>
      <c r="G171" s="1">
        <v>241238</v>
      </c>
    </row>
    <row r="172" spans="1:8" x14ac:dyDescent="0.35">
      <c r="A172" s="1" t="str">
        <f t="shared" si="2"/>
        <v>2</v>
      </c>
      <c r="B17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172" s="1" t="s">
        <v>537</v>
      </c>
      <c r="D172" s="1" t="s">
        <v>538</v>
      </c>
      <c r="E172" s="1" t="s">
        <v>539</v>
      </c>
      <c r="F172" s="1" t="s">
        <v>112</v>
      </c>
      <c r="G172" s="1">
        <v>179961</v>
      </c>
    </row>
    <row r="173" spans="1:8" x14ac:dyDescent="0.35">
      <c r="A173" s="1" t="str">
        <f t="shared" si="2"/>
        <v>2</v>
      </c>
      <c r="B17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173" s="1" t="s">
        <v>540</v>
      </c>
      <c r="D173" s="1" t="s">
        <v>541</v>
      </c>
      <c r="E173" s="1" t="s">
        <v>542</v>
      </c>
      <c r="F173" s="1" t="s">
        <v>112</v>
      </c>
      <c r="G173" s="1">
        <v>233906</v>
      </c>
    </row>
    <row r="174" spans="1:8" x14ac:dyDescent="0.35">
      <c r="A174" s="1" t="str">
        <f t="shared" si="2"/>
        <v>2</v>
      </c>
      <c r="B17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174" s="1" t="s">
        <v>543</v>
      </c>
      <c r="D174" s="1" t="s">
        <v>544</v>
      </c>
      <c r="E174" s="1" t="s">
        <v>545</v>
      </c>
      <c r="F174" s="1" t="s">
        <v>112</v>
      </c>
      <c r="G174" s="1">
        <v>9474</v>
      </c>
    </row>
    <row r="175" spans="1:8" x14ac:dyDescent="0.35">
      <c r="A175" s="1" t="str">
        <f t="shared" si="2"/>
        <v>2</v>
      </c>
      <c r="B17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175" s="1" t="s">
        <v>546</v>
      </c>
      <c r="D175" s="1" t="s">
        <v>547</v>
      </c>
      <c r="E175" s="1" t="s">
        <v>548</v>
      </c>
      <c r="F175" s="1" t="s">
        <v>112</v>
      </c>
      <c r="G175" s="1">
        <v>155346</v>
      </c>
    </row>
    <row r="176" spans="1:8" x14ac:dyDescent="0.35">
      <c r="A176" s="1" t="str">
        <f t="shared" si="2"/>
        <v>2</v>
      </c>
      <c r="B176"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176" s="1" t="s">
        <v>549</v>
      </c>
      <c r="D176" s="1" t="s">
        <v>550</v>
      </c>
      <c r="E176" s="1" t="s">
        <v>551</v>
      </c>
      <c r="F176" s="1" t="s">
        <v>112</v>
      </c>
      <c r="G176" s="1">
        <v>249869</v>
      </c>
    </row>
    <row r="177" spans="1:7" x14ac:dyDescent="0.35">
      <c r="A177" s="1" t="str">
        <f t="shared" si="2"/>
        <v>2</v>
      </c>
      <c r="B177"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177" s="1" t="s">
        <v>552</v>
      </c>
      <c r="D177" s="1" t="s">
        <v>553</v>
      </c>
      <c r="E177" s="1" t="s">
        <v>554</v>
      </c>
      <c r="F177" s="1" t="s">
        <v>112</v>
      </c>
      <c r="G177" s="1">
        <v>140854</v>
      </c>
    </row>
    <row r="178" spans="1:7" x14ac:dyDescent="0.35">
      <c r="A178" s="1" t="str">
        <f t="shared" si="2"/>
        <v>2</v>
      </c>
      <c r="B17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178" s="1" t="s">
        <v>555</v>
      </c>
      <c r="D178" s="1" t="s">
        <v>556</v>
      </c>
      <c r="E178" s="1" t="s">
        <v>557</v>
      </c>
      <c r="F178" s="1" t="s">
        <v>112</v>
      </c>
      <c r="G178" s="1">
        <v>169557</v>
      </c>
    </row>
    <row r="179" spans="1:7" x14ac:dyDescent="0.35">
      <c r="A179" s="1" t="str">
        <f t="shared" si="2"/>
        <v>2</v>
      </c>
      <c r="B179"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179" s="1" t="s">
        <v>558</v>
      </c>
      <c r="D179" s="1" t="s">
        <v>559</v>
      </c>
      <c r="E179" s="1" t="s">
        <v>560</v>
      </c>
      <c r="F179" s="1" t="s">
        <v>112</v>
      </c>
      <c r="G179" s="1">
        <v>204705</v>
      </c>
    </row>
    <row r="180" spans="1:7" x14ac:dyDescent="0.35">
      <c r="A180" s="1" t="str">
        <f t="shared" si="2"/>
        <v>2</v>
      </c>
      <c r="B180"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180" s="1" t="s">
        <v>561</v>
      </c>
      <c r="D180" s="1" t="s">
        <v>562</v>
      </c>
      <c r="E180" s="1" t="s">
        <v>563</v>
      </c>
      <c r="F180" s="1" t="s">
        <v>112</v>
      </c>
      <c r="G180" s="1">
        <v>251491</v>
      </c>
    </row>
    <row r="181" spans="1:7" x14ac:dyDescent="0.35">
      <c r="A181" s="1" t="str">
        <f t="shared" si="2"/>
        <v>2</v>
      </c>
      <c r="B181"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181" s="1" t="s">
        <v>564</v>
      </c>
      <c r="D181" s="1" t="s">
        <v>565</v>
      </c>
      <c r="E181" s="1" t="s">
        <v>566</v>
      </c>
      <c r="F181" s="1" t="s">
        <v>112</v>
      </c>
      <c r="G181" s="1">
        <v>254195</v>
      </c>
    </row>
    <row r="182" spans="1:7" x14ac:dyDescent="0.35">
      <c r="A182" s="1" t="str">
        <f t="shared" si="2"/>
        <v>2</v>
      </c>
      <c r="B18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182" s="1" t="s">
        <v>567</v>
      </c>
      <c r="D182" s="1" t="s">
        <v>568</v>
      </c>
      <c r="E182" s="1" t="s">
        <v>569</v>
      </c>
      <c r="F182" s="1" t="s">
        <v>112</v>
      </c>
      <c r="G182" s="1">
        <v>275132</v>
      </c>
    </row>
    <row r="183" spans="1:7" x14ac:dyDescent="0.35">
      <c r="A183" s="1" t="str">
        <f t="shared" si="2"/>
        <v>2</v>
      </c>
      <c r="B18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183" s="1" t="s">
        <v>570</v>
      </c>
      <c r="D183" s="1" t="s">
        <v>571</v>
      </c>
      <c r="E183" s="1" t="s">
        <v>572</v>
      </c>
      <c r="F183" s="1" t="s">
        <v>112</v>
      </c>
      <c r="G183" s="1">
        <v>124826</v>
      </c>
    </row>
    <row r="184" spans="1:7" x14ac:dyDescent="0.35">
      <c r="A184" s="1" t="str">
        <f t="shared" si="2"/>
        <v>2</v>
      </c>
      <c r="B18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184" s="1" t="s">
        <v>573</v>
      </c>
      <c r="D184" s="1" t="s">
        <v>574</v>
      </c>
      <c r="E184" s="1" t="s">
        <v>575</v>
      </c>
      <c r="F184" s="1" t="s">
        <v>112</v>
      </c>
      <c r="G184" s="1">
        <v>223242</v>
      </c>
    </row>
    <row r="185" spans="1:7" x14ac:dyDescent="0.35">
      <c r="A185" s="1" t="str">
        <f t="shared" si="2"/>
        <v>2</v>
      </c>
      <c r="B18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185" s="1" t="s">
        <v>576</v>
      </c>
      <c r="D185" s="1" t="s">
        <v>577</v>
      </c>
      <c r="E185" s="1" t="s">
        <v>578</v>
      </c>
      <c r="F185" s="1" t="s">
        <v>112</v>
      </c>
      <c r="G185" s="1">
        <v>297260</v>
      </c>
    </row>
    <row r="186" spans="1:7" x14ac:dyDescent="0.35">
      <c r="A186" s="1" t="str">
        <f t="shared" si="2"/>
        <v>2</v>
      </c>
      <c r="B186"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186" s="1" t="s">
        <v>579</v>
      </c>
      <c r="D186" s="1" t="s">
        <v>580</v>
      </c>
      <c r="E186" s="1" t="s">
        <v>478</v>
      </c>
      <c r="F186" s="1" t="s">
        <v>112</v>
      </c>
      <c r="G186" s="1">
        <v>4002</v>
      </c>
    </row>
    <row r="187" spans="1:7" x14ac:dyDescent="0.35">
      <c r="A187" s="1" t="str">
        <f t="shared" si="2"/>
        <v>2</v>
      </c>
      <c r="B187"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187" s="1" t="s">
        <v>581</v>
      </c>
      <c r="D187" s="1" t="s">
        <v>515</v>
      </c>
      <c r="E187" s="1" t="s">
        <v>582</v>
      </c>
      <c r="F187" s="1" t="s">
        <v>112</v>
      </c>
      <c r="G187" s="1">
        <v>97919</v>
      </c>
    </row>
    <row r="188" spans="1:7" x14ac:dyDescent="0.35">
      <c r="A188" s="1" t="str">
        <f t="shared" si="2"/>
        <v>2</v>
      </c>
      <c r="B18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188" s="1" t="s">
        <v>583</v>
      </c>
      <c r="D188" s="1" t="s">
        <v>584</v>
      </c>
      <c r="E188" s="1" t="s">
        <v>585</v>
      </c>
      <c r="F188" s="1" t="s">
        <v>112</v>
      </c>
      <c r="G188" s="1">
        <v>154784</v>
      </c>
    </row>
    <row r="189" spans="1:7" x14ac:dyDescent="0.35">
      <c r="A189" s="1" t="str">
        <f t="shared" si="2"/>
        <v>2</v>
      </c>
      <c r="B189"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189" s="1" t="s">
        <v>586</v>
      </c>
      <c r="D189" s="1" t="s">
        <v>587</v>
      </c>
      <c r="E189" s="1" t="s">
        <v>588</v>
      </c>
      <c r="F189" s="1" t="s">
        <v>112</v>
      </c>
      <c r="G189" s="1">
        <v>221079</v>
      </c>
    </row>
    <row r="190" spans="1:7" x14ac:dyDescent="0.35">
      <c r="A190" s="1" t="str">
        <f t="shared" si="2"/>
        <v>2</v>
      </c>
      <c r="B190"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190" s="1" t="s">
        <v>589</v>
      </c>
      <c r="D190" s="1" t="s">
        <v>590</v>
      </c>
      <c r="E190" s="1" t="s">
        <v>591</v>
      </c>
      <c r="F190" s="1" t="s">
        <v>112</v>
      </c>
      <c r="G190" s="1">
        <v>167999</v>
      </c>
    </row>
    <row r="191" spans="1:7" x14ac:dyDescent="0.35">
      <c r="A191" s="1" t="str">
        <f t="shared" si="2"/>
        <v>2</v>
      </c>
      <c r="B191"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191" s="1" t="s">
        <v>592</v>
      </c>
      <c r="D191" s="1" t="s">
        <v>593</v>
      </c>
      <c r="E191" s="1" t="s">
        <v>594</v>
      </c>
      <c r="F191" s="1" t="s">
        <v>112</v>
      </c>
      <c r="G191" s="1">
        <v>218440</v>
      </c>
    </row>
    <row r="192" spans="1:7" x14ac:dyDescent="0.35">
      <c r="A192" s="1" t="str">
        <f t="shared" si="2"/>
        <v/>
      </c>
      <c r="B19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192" s="1" t="s">
        <v>112</v>
      </c>
    </row>
    <row r="193" spans="1:8" x14ac:dyDescent="0.35">
      <c r="A193" s="1" t="str">
        <f t="shared" si="2"/>
        <v/>
      </c>
      <c r="B19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193" s="1" t="s">
        <v>226</v>
      </c>
      <c r="D193" s="1" t="s">
        <v>112</v>
      </c>
      <c r="E193" s="1" t="s">
        <v>227</v>
      </c>
      <c r="F193" s="1" t="s">
        <v>228</v>
      </c>
      <c r="G193" s="1" t="s">
        <v>229</v>
      </c>
      <c r="H193" s="1" t="s">
        <v>230</v>
      </c>
    </row>
    <row r="194" spans="1:8" x14ac:dyDescent="0.35">
      <c r="A194" s="1" t="str">
        <f t="shared" ref="A194:A257" si="3">IFERROR(LEFT(RIGHT(C194,LEN(C194)-SEARCH("@",C194)),SEARCH("/",RIGHT(C194,LEN(C194)-SEARCH("@",C194)-1))),"")</f>
        <v>2</v>
      </c>
      <c r="B19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 xml:space="preserve"> </v>
      </c>
      <c r="C194" s="1" t="s">
        <v>595</v>
      </c>
      <c r="D194" s="1" t="s">
        <v>112</v>
      </c>
      <c r="E194" s="1" t="s">
        <v>596</v>
      </c>
      <c r="F194" s="1" t="s">
        <v>597</v>
      </c>
      <c r="G194" s="1" t="s">
        <v>598</v>
      </c>
      <c r="H194" s="1" t="s">
        <v>599</v>
      </c>
    </row>
    <row r="195" spans="1:8" x14ac:dyDescent="0.35">
      <c r="A195" s="1" t="str">
        <f t="shared" si="3"/>
        <v/>
      </c>
      <c r="B19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195" s="1" t="s">
        <v>112</v>
      </c>
    </row>
    <row r="196" spans="1:8" x14ac:dyDescent="0.35">
      <c r="A196" s="1" t="str">
        <f t="shared" si="3"/>
        <v/>
      </c>
      <c r="B19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196" s="1" t="s">
        <v>112</v>
      </c>
    </row>
    <row r="197" spans="1:8" x14ac:dyDescent="0.35">
      <c r="A197" s="1" t="str">
        <f t="shared" si="3"/>
        <v/>
      </c>
      <c r="B19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197" s="1" t="s">
        <v>112</v>
      </c>
    </row>
    <row r="198" spans="1:8" x14ac:dyDescent="0.35">
      <c r="A198" s="1" t="str">
        <f t="shared" si="3"/>
        <v/>
      </c>
      <c r="B19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198" s="1" t="s">
        <v>112</v>
      </c>
    </row>
    <row r="199" spans="1:8" x14ac:dyDescent="0.35">
      <c r="A199" s="1" t="str">
        <f t="shared" si="3"/>
        <v/>
      </c>
      <c r="B19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199" s="1" t="s">
        <v>112</v>
      </c>
    </row>
    <row r="200" spans="1:8" x14ac:dyDescent="0.35">
      <c r="A200" s="1" t="str">
        <f t="shared" si="3"/>
        <v/>
      </c>
      <c r="B20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200" s="1" t="s">
        <v>172</v>
      </c>
      <c r="D200" s="1" t="s">
        <v>110</v>
      </c>
      <c r="E200" s="1" t="s">
        <v>111</v>
      </c>
      <c r="F200" s="1" t="s">
        <v>112</v>
      </c>
      <c r="G200" s="1" t="s">
        <v>113</v>
      </c>
    </row>
    <row r="201" spans="1:8" x14ac:dyDescent="0.35">
      <c r="A201" s="1" t="str">
        <f t="shared" si="3"/>
        <v>3</v>
      </c>
      <c r="B201"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201" s="1" t="s">
        <v>600</v>
      </c>
      <c r="D201" s="1" t="s">
        <v>601</v>
      </c>
      <c r="E201" s="1" t="s">
        <v>602</v>
      </c>
      <c r="F201" s="1" t="s">
        <v>112</v>
      </c>
      <c r="G201" s="1">
        <v>264988</v>
      </c>
    </row>
    <row r="202" spans="1:8" x14ac:dyDescent="0.35">
      <c r="A202" s="1" t="str">
        <f t="shared" si="3"/>
        <v>3</v>
      </c>
      <c r="B20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202" s="1" t="s">
        <v>603</v>
      </c>
      <c r="D202" s="1" t="s">
        <v>604</v>
      </c>
      <c r="E202" s="1" t="s">
        <v>605</v>
      </c>
      <c r="F202" s="1" t="s">
        <v>112</v>
      </c>
      <c r="G202" s="1">
        <v>296438</v>
      </c>
    </row>
    <row r="203" spans="1:8" x14ac:dyDescent="0.35">
      <c r="A203" s="1" t="str">
        <f t="shared" si="3"/>
        <v>3</v>
      </c>
      <c r="B20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203" s="1" t="s">
        <v>606</v>
      </c>
      <c r="D203" s="1">
        <v>0</v>
      </c>
      <c r="E203" s="1">
        <v>0</v>
      </c>
      <c r="F203" s="1" t="s">
        <v>112</v>
      </c>
      <c r="G203" s="1">
        <v>0</v>
      </c>
    </row>
    <row r="204" spans="1:8" x14ac:dyDescent="0.35">
      <c r="A204" s="1" t="str">
        <f t="shared" si="3"/>
        <v>3</v>
      </c>
      <c r="B20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204" s="1" t="s">
        <v>607</v>
      </c>
      <c r="D204" s="1" t="s">
        <v>608</v>
      </c>
      <c r="E204" s="1" t="s">
        <v>609</v>
      </c>
      <c r="F204" s="1" t="s">
        <v>112</v>
      </c>
      <c r="G204" s="1">
        <v>1493761</v>
      </c>
    </row>
    <row r="205" spans="1:8" x14ac:dyDescent="0.35">
      <c r="A205" s="1" t="str">
        <f t="shared" si="3"/>
        <v>3</v>
      </c>
      <c r="B20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205" s="1" t="s">
        <v>610</v>
      </c>
      <c r="D205" s="1" t="s">
        <v>611</v>
      </c>
      <c r="E205" s="1" t="s">
        <v>612</v>
      </c>
      <c r="F205" s="1" t="s">
        <v>112</v>
      </c>
      <c r="G205" s="1">
        <v>1168858</v>
      </c>
    </row>
    <row r="206" spans="1:8" x14ac:dyDescent="0.35">
      <c r="A206" s="1" t="str">
        <f t="shared" si="3"/>
        <v>3</v>
      </c>
      <c r="B206"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206" s="1" t="s">
        <v>613</v>
      </c>
      <c r="D206" s="1" t="s">
        <v>614</v>
      </c>
      <c r="E206" s="1" t="s">
        <v>615</v>
      </c>
      <c r="F206" s="1" t="s">
        <v>112</v>
      </c>
      <c r="G206" s="1">
        <v>1371876</v>
      </c>
    </row>
    <row r="207" spans="1:8" x14ac:dyDescent="0.35">
      <c r="A207" s="1" t="str">
        <f t="shared" si="3"/>
        <v>3</v>
      </c>
      <c r="B207"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207" s="1" t="s">
        <v>616</v>
      </c>
      <c r="D207" s="1" t="s">
        <v>617</v>
      </c>
      <c r="E207" s="1" t="s">
        <v>618</v>
      </c>
      <c r="F207" s="1" t="s">
        <v>112</v>
      </c>
      <c r="G207" s="1">
        <v>100363</v>
      </c>
    </row>
    <row r="208" spans="1:8" x14ac:dyDescent="0.35">
      <c r="A208" s="1" t="str">
        <f t="shared" si="3"/>
        <v>3</v>
      </c>
      <c r="B20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208" s="1" t="s">
        <v>619</v>
      </c>
      <c r="D208" s="1" t="s">
        <v>620</v>
      </c>
      <c r="E208" s="1" t="s">
        <v>621</v>
      </c>
      <c r="F208" s="1" t="s">
        <v>112</v>
      </c>
      <c r="G208" s="1">
        <v>85438</v>
      </c>
    </row>
    <row r="209" spans="1:7" x14ac:dyDescent="0.35">
      <c r="A209" s="1" t="str">
        <f t="shared" si="3"/>
        <v>3</v>
      </c>
      <c r="B209"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209" s="1" t="s">
        <v>622</v>
      </c>
      <c r="D209" s="1" t="s">
        <v>623</v>
      </c>
      <c r="E209" s="1" t="s">
        <v>624</v>
      </c>
      <c r="F209" s="1" t="s">
        <v>112</v>
      </c>
      <c r="G209" s="1">
        <v>50679</v>
      </c>
    </row>
    <row r="210" spans="1:7" x14ac:dyDescent="0.35">
      <c r="A210" s="1" t="str">
        <f t="shared" si="3"/>
        <v>3</v>
      </c>
      <c r="B210"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210" s="1" t="s">
        <v>625</v>
      </c>
      <c r="D210" s="1" t="s">
        <v>626</v>
      </c>
      <c r="E210" s="1" t="s">
        <v>627</v>
      </c>
      <c r="F210" s="1" t="s">
        <v>112</v>
      </c>
      <c r="G210" s="1">
        <v>221058</v>
      </c>
    </row>
    <row r="211" spans="1:7" x14ac:dyDescent="0.35">
      <c r="A211" s="1" t="str">
        <f t="shared" si="3"/>
        <v>3</v>
      </c>
      <c r="B211"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211" s="1" t="s">
        <v>628</v>
      </c>
      <c r="D211" s="1" t="s">
        <v>565</v>
      </c>
      <c r="E211" s="1" t="s">
        <v>629</v>
      </c>
      <c r="F211" s="1" t="s">
        <v>112</v>
      </c>
      <c r="G211" s="1">
        <v>219543</v>
      </c>
    </row>
    <row r="212" spans="1:7" x14ac:dyDescent="0.35">
      <c r="A212" s="1" t="str">
        <f t="shared" si="3"/>
        <v>3</v>
      </c>
      <c r="B21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212" s="1" t="s">
        <v>630</v>
      </c>
      <c r="D212" s="1" t="s">
        <v>631</v>
      </c>
      <c r="E212" s="1" t="s">
        <v>632</v>
      </c>
      <c r="F212" s="1" t="s">
        <v>112</v>
      </c>
      <c r="G212" s="1">
        <v>134776</v>
      </c>
    </row>
    <row r="213" spans="1:7" x14ac:dyDescent="0.35">
      <c r="A213" s="1" t="str">
        <f t="shared" si="3"/>
        <v>3</v>
      </c>
      <c r="B21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213" s="1" t="s">
        <v>633</v>
      </c>
      <c r="D213" s="1">
        <v>0</v>
      </c>
      <c r="E213" s="1">
        <v>0</v>
      </c>
      <c r="F213" s="1" t="s">
        <v>112</v>
      </c>
      <c r="G213" s="1">
        <v>0</v>
      </c>
    </row>
    <row r="214" spans="1:7" x14ac:dyDescent="0.35">
      <c r="A214" s="1" t="str">
        <f t="shared" si="3"/>
        <v>3</v>
      </c>
      <c r="B21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214" s="1" t="s">
        <v>634</v>
      </c>
      <c r="D214" s="1" t="s">
        <v>635</v>
      </c>
      <c r="E214" s="1" t="s">
        <v>636</v>
      </c>
      <c r="F214" s="1" t="s">
        <v>112</v>
      </c>
      <c r="G214" s="1">
        <v>63700</v>
      </c>
    </row>
    <row r="215" spans="1:7" x14ac:dyDescent="0.35">
      <c r="A215" s="1" t="str">
        <f t="shared" si="3"/>
        <v>3</v>
      </c>
      <c r="B21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215" s="1" t="s">
        <v>637</v>
      </c>
      <c r="D215" s="1" t="s">
        <v>638</v>
      </c>
      <c r="E215" s="1" t="s">
        <v>639</v>
      </c>
      <c r="F215" s="1" t="s">
        <v>112</v>
      </c>
      <c r="G215" s="1">
        <v>107241</v>
      </c>
    </row>
    <row r="216" spans="1:7" x14ac:dyDescent="0.35">
      <c r="A216" s="1" t="str">
        <f t="shared" si="3"/>
        <v>3</v>
      </c>
      <c r="B216"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216" s="1" t="s">
        <v>640</v>
      </c>
    </row>
    <row r="217" spans="1:7" x14ac:dyDescent="0.35">
      <c r="A217" s="1" t="str">
        <f t="shared" si="3"/>
        <v>3</v>
      </c>
      <c r="B217"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217" s="1" t="s">
        <v>641</v>
      </c>
    </row>
    <row r="218" spans="1:7" x14ac:dyDescent="0.35">
      <c r="A218" s="1" t="str">
        <f t="shared" si="3"/>
        <v>3</v>
      </c>
      <c r="B21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218" s="1" t="s">
        <v>642</v>
      </c>
    </row>
    <row r="219" spans="1:7" x14ac:dyDescent="0.35">
      <c r="A219" s="1" t="str">
        <f t="shared" si="3"/>
        <v>3</v>
      </c>
      <c r="B219"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219" s="1" t="s">
        <v>643</v>
      </c>
    </row>
    <row r="220" spans="1:7" x14ac:dyDescent="0.35">
      <c r="A220" s="1" t="str">
        <f t="shared" si="3"/>
        <v>3</v>
      </c>
      <c r="B220"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220" s="1" t="s">
        <v>644</v>
      </c>
      <c r="D220" s="1" t="s">
        <v>645</v>
      </c>
      <c r="E220" s="1" t="s">
        <v>646</v>
      </c>
      <c r="F220" s="1" t="s">
        <v>112</v>
      </c>
      <c r="G220" s="1">
        <v>144509</v>
      </c>
    </row>
    <row r="221" spans="1:7" x14ac:dyDescent="0.35">
      <c r="A221" s="1" t="str">
        <f t="shared" si="3"/>
        <v>3</v>
      </c>
      <c r="B221"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221" s="1" t="s">
        <v>647</v>
      </c>
    </row>
    <row r="222" spans="1:7" x14ac:dyDescent="0.35">
      <c r="A222" s="1" t="str">
        <f t="shared" si="3"/>
        <v>3</v>
      </c>
      <c r="B22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222" s="1" t="s">
        <v>648</v>
      </c>
      <c r="D222" s="1" t="s">
        <v>649</v>
      </c>
      <c r="E222" s="1" t="s">
        <v>650</v>
      </c>
      <c r="F222" s="1" t="s">
        <v>112</v>
      </c>
      <c r="G222" s="1">
        <v>66815</v>
      </c>
    </row>
    <row r="223" spans="1:7" x14ac:dyDescent="0.35">
      <c r="A223" s="1" t="str">
        <f t="shared" si="3"/>
        <v>3</v>
      </c>
      <c r="B22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223" s="1" t="s">
        <v>651</v>
      </c>
      <c r="D223" s="1" t="s">
        <v>652</v>
      </c>
      <c r="E223" s="1" t="s">
        <v>653</v>
      </c>
      <c r="F223" s="1" t="s">
        <v>112</v>
      </c>
      <c r="G223" s="1">
        <v>28487</v>
      </c>
    </row>
    <row r="224" spans="1:7" x14ac:dyDescent="0.35">
      <c r="A224" s="1" t="str">
        <f t="shared" si="3"/>
        <v>3</v>
      </c>
      <c r="B22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224" s="1" t="s">
        <v>654</v>
      </c>
      <c r="D224" s="1" t="s">
        <v>655</v>
      </c>
      <c r="E224" s="1" t="s">
        <v>656</v>
      </c>
      <c r="F224" s="1" t="s">
        <v>112</v>
      </c>
      <c r="G224" s="1">
        <v>88163</v>
      </c>
    </row>
    <row r="225" spans="1:8" x14ac:dyDescent="0.35">
      <c r="A225" s="1" t="str">
        <f t="shared" si="3"/>
        <v/>
      </c>
      <c r="B22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225" s="1" t="s">
        <v>112</v>
      </c>
    </row>
    <row r="226" spans="1:8" x14ac:dyDescent="0.35">
      <c r="A226" s="1" t="str">
        <f t="shared" si="3"/>
        <v/>
      </c>
      <c r="B22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226" s="1" t="s">
        <v>226</v>
      </c>
      <c r="D226" s="1" t="s">
        <v>112</v>
      </c>
      <c r="E226" s="1" t="s">
        <v>227</v>
      </c>
      <c r="F226" s="1" t="s">
        <v>228</v>
      </c>
      <c r="G226" s="1" t="s">
        <v>229</v>
      </c>
      <c r="H226" s="1" t="s">
        <v>230</v>
      </c>
    </row>
    <row r="227" spans="1:8" x14ac:dyDescent="0.35">
      <c r="A227" s="1" t="str">
        <f t="shared" si="3"/>
        <v>3</v>
      </c>
      <c r="B227"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 xml:space="preserve"> </v>
      </c>
      <c r="C227" s="1" t="s">
        <v>657</v>
      </c>
      <c r="D227" s="1" t="s">
        <v>112</v>
      </c>
      <c r="E227" s="1" t="s">
        <v>658</v>
      </c>
      <c r="F227" s="1" t="s">
        <v>659</v>
      </c>
      <c r="G227" s="1" t="s">
        <v>660</v>
      </c>
      <c r="H227" s="1" t="s">
        <v>661</v>
      </c>
    </row>
    <row r="228" spans="1:8" x14ac:dyDescent="0.35">
      <c r="A228" s="1" t="str">
        <f t="shared" si="3"/>
        <v/>
      </c>
      <c r="B22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228" s="1" t="s">
        <v>112</v>
      </c>
    </row>
    <row r="229" spans="1:8" x14ac:dyDescent="0.35">
      <c r="A229" s="1" t="str">
        <f t="shared" si="3"/>
        <v/>
      </c>
      <c r="B22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229" s="1" t="s">
        <v>112</v>
      </c>
    </row>
    <row r="230" spans="1:8" x14ac:dyDescent="0.35">
      <c r="A230" s="1" t="str">
        <f t="shared" si="3"/>
        <v/>
      </c>
      <c r="B23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230" s="1" t="s">
        <v>112</v>
      </c>
    </row>
    <row r="231" spans="1:8" x14ac:dyDescent="0.35">
      <c r="A231" s="1" t="str">
        <f t="shared" si="3"/>
        <v/>
      </c>
      <c r="B23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231" s="1" t="s">
        <v>112</v>
      </c>
    </row>
    <row r="232" spans="1:8" x14ac:dyDescent="0.35">
      <c r="A232" s="1" t="str">
        <f t="shared" si="3"/>
        <v/>
      </c>
      <c r="B23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232" s="1" t="s">
        <v>112</v>
      </c>
    </row>
    <row r="233" spans="1:8" x14ac:dyDescent="0.35">
      <c r="A233" s="1" t="str">
        <f t="shared" si="3"/>
        <v/>
      </c>
      <c r="B23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233" s="1" t="s">
        <v>172</v>
      </c>
      <c r="D233" s="1" t="s">
        <v>110</v>
      </c>
      <c r="E233" s="1" t="s">
        <v>111</v>
      </c>
      <c r="F233" s="1" t="s">
        <v>112</v>
      </c>
      <c r="G233" s="1" t="s">
        <v>113</v>
      </c>
    </row>
    <row r="234" spans="1:8" x14ac:dyDescent="0.35">
      <c r="A234" s="1" t="str">
        <f t="shared" si="3"/>
        <v>4</v>
      </c>
      <c r="B23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234" s="1" t="s">
        <v>662</v>
      </c>
      <c r="D234" s="1" t="s">
        <v>663</v>
      </c>
      <c r="E234" s="1" t="s">
        <v>664</v>
      </c>
      <c r="F234" s="1" t="s">
        <v>112</v>
      </c>
      <c r="G234" s="1">
        <v>321572</v>
      </c>
    </row>
    <row r="235" spans="1:8" x14ac:dyDescent="0.35">
      <c r="A235" s="1" t="str">
        <f t="shared" si="3"/>
        <v>4</v>
      </c>
      <c r="B23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235" s="1" t="s">
        <v>665</v>
      </c>
    </row>
    <row r="236" spans="1:8" x14ac:dyDescent="0.35">
      <c r="A236" s="1" t="str">
        <f t="shared" si="3"/>
        <v>4</v>
      </c>
      <c r="B236"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236" s="1" t="s">
        <v>666</v>
      </c>
      <c r="D236" s="1" t="s">
        <v>667</v>
      </c>
      <c r="E236" s="1" t="s">
        <v>668</v>
      </c>
      <c r="F236" s="1" t="s">
        <v>112</v>
      </c>
      <c r="G236" s="1">
        <v>238902</v>
      </c>
    </row>
    <row r="237" spans="1:8" x14ac:dyDescent="0.35">
      <c r="A237" s="1" t="str">
        <f t="shared" si="3"/>
        <v>4</v>
      </c>
      <c r="B237"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237" s="1" t="s">
        <v>669</v>
      </c>
      <c r="D237" s="1" t="s">
        <v>670</v>
      </c>
      <c r="E237" s="1" t="s">
        <v>671</v>
      </c>
      <c r="F237" s="1" t="s">
        <v>112</v>
      </c>
      <c r="G237" s="1">
        <v>259169</v>
      </c>
    </row>
    <row r="238" spans="1:8" x14ac:dyDescent="0.35">
      <c r="A238" s="1" t="str">
        <f t="shared" si="3"/>
        <v>4</v>
      </c>
      <c r="B23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238" s="1" t="s">
        <v>672</v>
      </c>
      <c r="D238" s="1" t="s">
        <v>673</v>
      </c>
      <c r="E238" s="1" t="s">
        <v>674</v>
      </c>
      <c r="F238" s="1" t="s">
        <v>112</v>
      </c>
      <c r="G238" s="1">
        <v>591729</v>
      </c>
    </row>
    <row r="239" spans="1:8" x14ac:dyDescent="0.35">
      <c r="A239" s="1" t="str">
        <f t="shared" si="3"/>
        <v>4</v>
      </c>
      <c r="B239"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239" s="1" t="s">
        <v>675</v>
      </c>
      <c r="D239" s="1" t="s">
        <v>676</v>
      </c>
      <c r="E239" s="1" t="s">
        <v>677</v>
      </c>
      <c r="F239" s="1" t="s">
        <v>112</v>
      </c>
      <c r="G239" s="1">
        <v>383476</v>
      </c>
    </row>
    <row r="240" spans="1:8" x14ac:dyDescent="0.35">
      <c r="A240" s="1" t="str">
        <f t="shared" si="3"/>
        <v>4</v>
      </c>
      <c r="B240"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240" s="1" t="s">
        <v>678</v>
      </c>
      <c r="D240" s="1" t="s">
        <v>679</v>
      </c>
      <c r="E240" s="1" t="s">
        <v>680</v>
      </c>
      <c r="F240" s="1" t="s">
        <v>112</v>
      </c>
      <c r="G240" s="1">
        <v>722374</v>
      </c>
    </row>
    <row r="241" spans="1:7" x14ac:dyDescent="0.35">
      <c r="A241" s="1" t="str">
        <f t="shared" si="3"/>
        <v>4</v>
      </c>
      <c r="B241"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241" s="1" t="s">
        <v>681</v>
      </c>
      <c r="D241" s="1" t="s">
        <v>682</v>
      </c>
      <c r="E241" s="1" t="s">
        <v>683</v>
      </c>
      <c r="F241" s="1" t="s">
        <v>112</v>
      </c>
      <c r="G241" s="1">
        <v>1010441</v>
      </c>
    </row>
    <row r="242" spans="1:7" x14ac:dyDescent="0.35">
      <c r="A242" s="1" t="str">
        <f t="shared" si="3"/>
        <v>4</v>
      </c>
      <c r="B24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242" s="1" t="s">
        <v>684</v>
      </c>
      <c r="D242" s="1" t="s">
        <v>685</v>
      </c>
      <c r="E242" s="1" t="s">
        <v>686</v>
      </c>
      <c r="F242" s="1" t="s">
        <v>112</v>
      </c>
      <c r="G242" s="1">
        <v>1310750</v>
      </c>
    </row>
    <row r="243" spans="1:7" x14ac:dyDescent="0.35">
      <c r="A243" s="1" t="str">
        <f t="shared" si="3"/>
        <v>4</v>
      </c>
      <c r="B24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243" s="1" t="s">
        <v>687</v>
      </c>
      <c r="D243" s="1" t="s">
        <v>688</v>
      </c>
      <c r="E243" s="1" t="s">
        <v>689</v>
      </c>
      <c r="F243" s="1" t="s">
        <v>112</v>
      </c>
      <c r="G243" s="1">
        <v>632155</v>
      </c>
    </row>
    <row r="244" spans="1:7" x14ac:dyDescent="0.35">
      <c r="A244" s="1" t="str">
        <f t="shared" si="3"/>
        <v>4</v>
      </c>
      <c r="B24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244" s="1" t="s">
        <v>690</v>
      </c>
      <c r="D244" s="1" t="s">
        <v>691</v>
      </c>
      <c r="E244" s="1" t="s">
        <v>692</v>
      </c>
      <c r="F244" s="1" t="s">
        <v>112</v>
      </c>
      <c r="G244" s="1">
        <v>835152</v>
      </c>
    </row>
    <row r="245" spans="1:7" x14ac:dyDescent="0.35">
      <c r="A245" s="1" t="str">
        <f t="shared" si="3"/>
        <v>4</v>
      </c>
      <c r="B24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245" s="1" t="s">
        <v>693</v>
      </c>
      <c r="D245" s="1" t="s">
        <v>694</v>
      </c>
      <c r="E245" s="1" t="s">
        <v>695</v>
      </c>
      <c r="F245" s="1" t="s">
        <v>112</v>
      </c>
      <c r="G245" s="1">
        <v>623201</v>
      </c>
    </row>
    <row r="246" spans="1:7" x14ac:dyDescent="0.35">
      <c r="A246" s="1" t="str">
        <f t="shared" si="3"/>
        <v>4</v>
      </c>
      <c r="B246"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246" s="1" t="s">
        <v>696</v>
      </c>
      <c r="D246" s="1" t="s">
        <v>697</v>
      </c>
      <c r="E246" s="1" t="s">
        <v>698</v>
      </c>
      <c r="F246" s="1" t="s">
        <v>112</v>
      </c>
      <c r="G246" s="1">
        <v>988465</v>
      </c>
    </row>
    <row r="247" spans="1:7" x14ac:dyDescent="0.35">
      <c r="A247" s="1" t="str">
        <f t="shared" si="3"/>
        <v>4</v>
      </c>
      <c r="B247"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247" s="1" t="s">
        <v>699</v>
      </c>
      <c r="D247" s="1" t="s">
        <v>700</v>
      </c>
      <c r="E247" s="1" t="s">
        <v>701</v>
      </c>
      <c r="F247" s="1" t="s">
        <v>112</v>
      </c>
      <c r="G247" s="1">
        <v>840841</v>
      </c>
    </row>
    <row r="248" spans="1:7" x14ac:dyDescent="0.35">
      <c r="A248" s="1" t="str">
        <f t="shared" si="3"/>
        <v>4</v>
      </c>
      <c r="B24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248" s="1" t="s">
        <v>702</v>
      </c>
      <c r="D248" s="1" t="s">
        <v>703</v>
      </c>
      <c r="E248" s="1" t="s">
        <v>704</v>
      </c>
      <c r="F248" s="1" t="s">
        <v>112</v>
      </c>
      <c r="G248" s="1">
        <v>569364</v>
      </c>
    </row>
    <row r="249" spans="1:7" x14ac:dyDescent="0.35">
      <c r="A249" s="1" t="str">
        <f t="shared" si="3"/>
        <v>4</v>
      </c>
      <c r="B249"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249" s="1" t="s">
        <v>705</v>
      </c>
      <c r="D249" s="1" t="s">
        <v>706</v>
      </c>
      <c r="E249" s="1" t="s">
        <v>707</v>
      </c>
      <c r="F249" s="1" t="s">
        <v>112</v>
      </c>
      <c r="G249" s="1">
        <v>95496</v>
      </c>
    </row>
    <row r="250" spans="1:7" x14ac:dyDescent="0.35">
      <c r="A250" s="1" t="str">
        <f t="shared" si="3"/>
        <v>4</v>
      </c>
      <c r="B250"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250" s="1" t="s">
        <v>708</v>
      </c>
      <c r="D250" s="1" t="s">
        <v>577</v>
      </c>
      <c r="E250" s="1" t="s">
        <v>709</v>
      </c>
      <c r="F250" s="1" t="s">
        <v>112</v>
      </c>
      <c r="G250" s="1">
        <v>239356</v>
      </c>
    </row>
    <row r="251" spans="1:7" x14ac:dyDescent="0.35">
      <c r="A251" s="1" t="str">
        <f t="shared" si="3"/>
        <v>4</v>
      </c>
      <c r="B251"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251" s="1" t="s">
        <v>710</v>
      </c>
      <c r="D251" s="1" t="s">
        <v>711</v>
      </c>
      <c r="E251" s="1" t="s">
        <v>712</v>
      </c>
      <c r="F251" s="1" t="s">
        <v>112</v>
      </c>
      <c r="G251" s="1">
        <v>154351</v>
      </c>
    </row>
    <row r="252" spans="1:7" x14ac:dyDescent="0.35">
      <c r="A252" s="1" t="str">
        <f t="shared" si="3"/>
        <v>4</v>
      </c>
      <c r="B25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252" s="1" t="s">
        <v>713</v>
      </c>
      <c r="D252" s="1" t="s">
        <v>714</v>
      </c>
      <c r="E252" s="1" t="s">
        <v>715</v>
      </c>
      <c r="F252" s="1" t="s">
        <v>112</v>
      </c>
      <c r="G252" s="1">
        <v>819038</v>
      </c>
    </row>
    <row r="253" spans="1:7" x14ac:dyDescent="0.35">
      <c r="A253" s="1" t="str">
        <f t="shared" si="3"/>
        <v>4</v>
      </c>
      <c r="B25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253" s="1" t="s">
        <v>716</v>
      </c>
      <c r="D253" s="1" t="s">
        <v>717</v>
      </c>
      <c r="E253" s="1" t="s">
        <v>718</v>
      </c>
      <c r="F253" s="1" t="s">
        <v>112</v>
      </c>
      <c r="G253" s="1">
        <v>1345704</v>
      </c>
    </row>
    <row r="254" spans="1:7" x14ac:dyDescent="0.35">
      <c r="A254" s="1" t="str">
        <f t="shared" si="3"/>
        <v>4</v>
      </c>
      <c r="B25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254" s="1" t="s">
        <v>719</v>
      </c>
      <c r="D254" s="1" t="s">
        <v>720</v>
      </c>
      <c r="E254" s="1" t="s">
        <v>721</v>
      </c>
      <c r="F254" s="1" t="s">
        <v>112</v>
      </c>
      <c r="G254" s="1">
        <v>818108</v>
      </c>
    </row>
    <row r="255" spans="1:7" x14ac:dyDescent="0.35">
      <c r="A255" s="1" t="str">
        <f t="shared" si="3"/>
        <v>4</v>
      </c>
      <c r="B25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255" s="1" t="s">
        <v>722</v>
      </c>
      <c r="D255" s="1" t="s">
        <v>723</v>
      </c>
      <c r="E255" s="1" t="s">
        <v>724</v>
      </c>
      <c r="F255" s="1" t="s">
        <v>112</v>
      </c>
      <c r="G255" s="1">
        <v>24204</v>
      </c>
    </row>
    <row r="256" spans="1:7" x14ac:dyDescent="0.35">
      <c r="A256" s="1" t="str">
        <f t="shared" si="3"/>
        <v>4</v>
      </c>
      <c r="B256"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256" s="1" t="s">
        <v>725</v>
      </c>
    </row>
    <row r="257" spans="1:8" x14ac:dyDescent="0.35">
      <c r="A257" s="1" t="str">
        <f t="shared" si="3"/>
        <v>4</v>
      </c>
      <c r="B257"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257" s="1" t="s">
        <v>726</v>
      </c>
      <c r="D257" s="1" t="s">
        <v>645</v>
      </c>
      <c r="E257" s="1" t="s">
        <v>727</v>
      </c>
      <c r="F257" s="1" t="s">
        <v>112</v>
      </c>
      <c r="G257" s="1">
        <v>125367</v>
      </c>
    </row>
    <row r="258" spans="1:8" x14ac:dyDescent="0.35">
      <c r="A258" s="1" t="str">
        <f t="shared" ref="A258:A321" si="4">IFERROR(LEFT(RIGHT(C258,LEN(C258)-SEARCH("@",C258)),SEARCH("/",RIGHT(C258,LEN(C258)-SEARCH("@",C258)-1))),"")</f>
        <v/>
      </c>
      <c r="B25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258" s="1" t="s">
        <v>112</v>
      </c>
    </row>
    <row r="259" spans="1:8" x14ac:dyDescent="0.35">
      <c r="A259" s="1" t="str">
        <f t="shared" si="4"/>
        <v/>
      </c>
      <c r="B25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259" s="1" t="s">
        <v>226</v>
      </c>
      <c r="D259" s="1" t="s">
        <v>112</v>
      </c>
      <c r="E259" s="1" t="s">
        <v>227</v>
      </c>
      <c r="F259" s="1" t="s">
        <v>228</v>
      </c>
      <c r="G259" s="1" t="s">
        <v>229</v>
      </c>
      <c r="H259" s="1" t="s">
        <v>230</v>
      </c>
    </row>
    <row r="260" spans="1:8" x14ac:dyDescent="0.35">
      <c r="A260" s="1" t="str">
        <f t="shared" si="4"/>
        <v>4</v>
      </c>
      <c r="B260"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 xml:space="preserve"> </v>
      </c>
      <c r="C260" s="1" t="s">
        <v>728</v>
      </c>
      <c r="D260" s="1" t="s">
        <v>112</v>
      </c>
      <c r="E260" s="1" t="s">
        <v>729</v>
      </c>
      <c r="F260" s="1" t="s">
        <v>730</v>
      </c>
      <c r="G260" s="1" t="s">
        <v>731</v>
      </c>
      <c r="H260" s="1" t="s">
        <v>732</v>
      </c>
    </row>
    <row r="261" spans="1:8" x14ac:dyDescent="0.35">
      <c r="A261" s="1" t="str">
        <f t="shared" si="4"/>
        <v/>
      </c>
      <c r="B26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261" s="1" t="s">
        <v>112</v>
      </c>
    </row>
    <row r="262" spans="1:8" x14ac:dyDescent="0.35">
      <c r="A262" s="1" t="str">
        <f t="shared" si="4"/>
        <v/>
      </c>
      <c r="B26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262" s="1" t="s">
        <v>112</v>
      </c>
    </row>
    <row r="263" spans="1:8" x14ac:dyDescent="0.35">
      <c r="A263" s="1" t="str">
        <f t="shared" si="4"/>
        <v/>
      </c>
      <c r="B26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263" s="1" t="s">
        <v>112</v>
      </c>
    </row>
    <row r="264" spans="1:8" x14ac:dyDescent="0.35">
      <c r="A264" s="1" t="str">
        <f t="shared" si="4"/>
        <v/>
      </c>
      <c r="B26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264" s="1" t="s">
        <v>112</v>
      </c>
    </row>
    <row r="265" spans="1:8" x14ac:dyDescent="0.35">
      <c r="A265" s="1" t="str">
        <f t="shared" si="4"/>
        <v/>
      </c>
      <c r="B26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265" s="1" t="s">
        <v>112</v>
      </c>
    </row>
    <row r="266" spans="1:8" x14ac:dyDescent="0.35">
      <c r="A266" s="1" t="str">
        <f t="shared" si="4"/>
        <v/>
      </c>
      <c r="B26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266" s="1" t="s">
        <v>172</v>
      </c>
      <c r="D266" s="1" t="s">
        <v>110</v>
      </c>
      <c r="E266" s="1" t="s">
        <v>111</v>
      </c>
      <c r="F266" s="1" t="s">
        <v>112</v>
      </c>
      <c r="G266" s="1" t="s">
        <v>113</v>
      </c>
    </row>
    <row r="267" spans="1:8" x14ac:dyDescent="0.35">
      <c r="A267" s="1" t="str">
        <f t="shared" si="4"/>
        <v>5</v>
      </c>
      <c r="B267"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267" s="1" t="s">
        <v>733</v>
      </c>
      <c r="D267" s="1" t="s">
        <v>734</v>
      </c>
      <c r="E267" s="1" t="s">
        <v>735</v>
      </c>
      <c r="F267" s="1" t="s">
        <v>112</v>
      </c>
      <c r="G267" s="1">
        <v>843523</v>
      </c>
    </row>
    <row r="268" spans="1:8" x14ac:dyDescent="0.35">
      <c r="A268" s="1" t="str">
        <f t="shared" si="4"/>
        <v>5</v>
      </c>
      <c r="B26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268" s="1" t="s">
        <v>736</v>
      </c>
    </row>
    <row r="269" spans="1:8" x14ac:dyDescent="0.35">
      <c r="A269" s="1" t="str">
        <f t="shared" si="4"/>
        <v>5</v>
      </c>
      <c r="B269"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269" s="1" t="s">
        <v>737</v>
      </c>
      <c r="D269" s="1" t="s">
        <v>738</v>
      </c>
      <c r="E269" s="1" t="s">
        <v>739</v>
      </c>
      <c r="F269" s="1" t="s">
        <v>112</v>
      </c>
      <c r="G269" s="1">
        <v>863379</v>
      </c>
    </row>
    <row r="270" spans="1:8" x14ac:dyDescent="0.35">
      <c r="A270" s="1" t="str">
        <f t="shared" si="4"/>
        <v>5</v>
      </c>
      <c r="B270"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270" s="1" t="s">
        <v>740</v>
      </c>
      <c r="D270" s="1" t="s">
        <v>741</v>
      </c>
      <c r="E270" s="1" t="s">
        <v>742</v>
      </c>
      <c r="F270" s="1" t="s">
        <v>112</v>
      </c>
      <c r="G270" s="1">
        <v>2049281</v>
      </c>
    </row>
    <row r="271" spans="1:8" x14ac:dyDescent="0.35">
      <c r="A271" s="1" t="str">
        <f t="shared" si="4"/>
        <v>5</v>
      </c>
      <c r="B271"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271" s="1" t="s">
        <v>743</v>
      </c>
      <c r="D271" s="1" t="s">
        <v>744</v>
      </c>
      <c r="E271" s="1" t="s">
        <v>745</v>
      </c>
      <c r="F271" s="1" t="s">
        <v>112</v>
      </c>
      <c r="G271" s="1">
        <v>2005394</v>
      </c>
    </row>
    <row r="272" spans="1:8" x14ac:dyDescent="0.35">
      <c r="A272" s="1" t="str">
        <f t="shared" si="4"/>
        <v>5</v>
      </c>
      <c r="B27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272" s="1" t="s">
        <v>746</v>
      </c>
      <c r="D272" s="1" t="s">
        <v>747</v>
      </c>
      <c r="E272" s="1" t="s">
        <v>748</v>
      </c>
      <c r="F272" s="1" t="s">
        <v>112</v>
      </c>
      <c r="G272" s="1">
        <v>2733413</v>
      </c>
    </row>
    <row r="273" spans="1:7" x14ac:dyDescent="0.35">
      <c r="A273" s="1" t="str">
        <f t="shared" si="4"/>
        <v>5</v>
      </c>
      <c r="B27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273" s="1" t="s">
        <v>749</v>
      </c>
      <c r="D273" s="1" t="s">
        <v>750</v>
      </c>
      <c r="E273" s="1" t="s">
        <v>751</v>
      </c>
      <c r="F273" s="1" t="s">
        <v>112</v>
      </c>
      <c r="G273" s="1">
        <v>1075244</v>
      </c>
    </row>
    <row r="274" spans="1:7" x14ac:dyDescent="0.35">
      <c r="A274" s="1" t="str">
        <f t="shared" si="4"/>
        <v>5</v>
      </c>
      <c r="B27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274" s="1" t="s">
        <v>752</v>
      </c>
      <c r="D274" s="1" t="s">
        <v>753</v>
      </c>
      <c r="E274" s="1" t="s">
        <v>754</v>
      </c>
      <c r="F274" s="1" t="s">
        <v>112</v>
      </c>
      <c r="G274" s="1">
        <v>745561</v>
      </c>
    </row>
    <row r="275" spans="1:7" x14ac:dyDescent="0.35">
      <c r="A275" s="1" t="str">
        <f t="shared" si="4"/>
        <v>5</v>
      </c>
      <c r="B27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275" s="1" t="s">
        <v>755</v>
      </c>
      <c r="D275" s="1" t="s">
        <v>756</v>
      </c>
      <c r="E275" s="1" t="s">
        <v>757</v>
      </c>
      <c r="F275" s="1" t="s">
        <v>112</v>
      </c>
      <c r="G275" s="1">
        <v>1177705</v>
      </c>
    </row>
    <row r="276" spans="1:7" x14ac:dyDescent="0.35">
      <c r="A276" s="1" t="str">
        <f t="shared" si="4"/>
        <v>5</v>
      </c>
      <c r="B276"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276" s="1" t="s">
        <v>758</v>
      </c>
      <c r="D276" s="1" t="s">
        <v>759</v>
      </c>
      <c r="E276" s="1" t="s">
        <v>760</v>
      </c>
      <c r="F276" s="1" t="s">
        <v>112</v>
      </c>
      <c r="G276" s="1">
        <v>3669490</v>
      </c>
    </row>
    <row r="277" spans="1:7" x14ac:dyDescent="0.35">
      <c r="A277" s="1" t="str">
        <f t="shared" si="4"/>
        <v>5</v>
      </c>
      <c r="B277"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277" s="1" t="s">
        <v>761</v>
      </c>
      <c r="D277" s="1" t="s">
        <v>762</v>
      </c>
      <c r="E277" s="1" t="s">
        <v>763</v>
      </c>
      <c r="F277" s="1" t="s">
        <v>112</v>
      </c>
      <c r="G277" s="1">
        <v>3403053</v>
      </c>
    </row>
    <row r="278" spans="1:7" x14ac:dyDescent="0.35">
      <c r="A278" s="1" t="str">
        <f t="shared" si="4"/>
        <v>5</v>
      </c>
      <c r="B27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278" s="1" t="s">
        <v>764</v>
      </c>
      <c r="D278" s="1" t="s">
        <v>765</v>
      </c>
      <c r="E278" s="1" t="s">
        <v>766</v>
      </c>
      <c r="F278" s="1" t="s">
        <v>112</v>
      </c>
      <c r="G278" s="1">
        <v>3417523</v>
      </c>
    </row>
    <row r="279" spans="1:7" x14ac:dyDescent="0.35">
      <c r="A279" s="1" t="str">
        <f t="shared" si="4"/>
        <v>5</v>
      </c>
      <c r="B279"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279" s="1" t="s">
        <v>767</v>
      </c>
      <c r="D279" s="1" t="s">
        <v>768</v>
      </c>
      <c r="E279" s="1" t="s">
        <v>769</v>
      </c>
      <c r="F279" s="1" t="s">
        <v>112</v>
      </c>
      <c r="G279" s="1">
        <v>1513725</v>
      </c>
    </row>
    <row r="280" spans="1:7" x14ac:dyDescent="0.35">
      <c r="A280" s="1" t="str">
        <f t="shared" si="4"/>
        <v>5</v>
      </c>
      <c r="B280"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280" s="1" t="s">
        <v>770</v>
      </c>
    </row>
    <row r="281" spans="1:7" x14ac:dyDescent="0.35">
      <c r="A281" s="1" t="str">
        <f t="shared" si="4"/>
        <v>5</v>
      </c>
      <c r="B281"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281" s="1" t="s">
        <v>771</v>
      </c>
    </row>
    <row r="282" spans="1:7" x14ac:dyDescent="0.35">
      <c r="A282" s="1" t="str">
        <f t="shared" si="4"/>
        <v>5</v>
      </c>
      <c r="B28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282" s="1" t="s">
        <v>772</v>
      </c>
      <c r="D282" s="1" t="s">
        <v>773</v>
      </c>
      <c r="E282" s="1" t="s">
        <v>774</v>
      </c>
      <c r="F282" s="1" t="s">
        <v>112</v>
      </c>
      <c r="G282" s="1">
        <v>1953872</v>
      </c>
    </row>
    <row r="283" spans="1:7" x14ac:dyDescent="0.35">
      <c r="A283" s="1" t="str">
        <f t="shared" si="4"/>
        <v>5</v>
      </c>
      <c r="B28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283" s="1" t="s">
        <v>775</v>
      </c>
      <c r="D283" s="1" t="s">
        <v>776</v>
      </c>
      <c r="E283" s="1" t="s">
        <v>777</v>
      </c>
      <c r="F283" s="1" t="s">
        <v>112</v>
      </c>
      <c r="G283" s="1">
        <v>1842326</v>
      </c>
    </row>
    <row r="284" spans="1:7" x14ac:dyDescent="0.35">
      <c r="A284" s="1" t="str">
        <f t="shared" si="4"/>
        <v>5</v>
      </c>
      <c r="B28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284" s="1" t="s">
        <v>778</v>
      </c>
      <c r="D284" s="1" t="s">
        <v>779</v>
      </c>
      <c r="E284" s="1" t="s">
        <v>780</v>
      </c>
      <c r="F284" s="1" t="s">
        <v>112</v>
      </c>
      <c r="G284" s="1">
        <v>2300707</v>
      </c>
    </row>
    <row r="285" spans="1:7" x14ac:dyDescent="0.35">
      <c r="A285" s="1" t="str">
        <f t="shared" si="4"/>
        <v>5</v>
      </c>
      <c r="B28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285" s="1" t="s">
        <v>781</v>
      </c>
      <c r="D285" s="1" t="s">
        <v>782</v>
      </c>
      <c r="E285" s="1" t="s">
        <v>783</v>
      </c>
      <c r="F285" s="1" t="s">
        <v>112</v>
      </c>
      <c r="G285" s="1">
        <v>2628681</v>
      </c>
    </row>
    <row r="286" spans="1:7" x14ac:dyDescent="0.35">
      <c r="A286" s="1" t="str">
        <f t="shared" si="4"/>
        <v>5</v>
      </c>
      <c r="B286"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286" s="1" t="s">
        <v>784</v>
      </c>
      <c r="D286" s="1" t="s">
        <v>785</v>
      </c>
      <c r="E286" s="1" t="s">
        <v>786</v>
      </c>
      <c r="F286" s="1" t="s">
        <v>112</v>
      </c>
      <c r="G286" s="1">
        <v>1993087</v>
      </c>
    </row>
    <row r="287" spans="1:7" x14ac:dyDescent="0.35">
      <c r="A287" s="1" t="str">
        <f t="shared" si="4"/>
        <v>5</v>
      </c>
      <c r="B287"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287" s="1" t="s">
        <v>787</v>
      </c>
      <c r="D287" s="1" t="s">
        <v>788</v>
      </c>
      <c r="E287" s="1" t="s">
        <v>789</v>
      </c>
      <c r="F287" s="1" t="s">
        <v>112</v>
      </c>
      <c r="G287" s="1">
        <v>2499291</v>
      </c>
    </row>
    <row r="288" spans="1:7" x14ac:dyDescent="0.35">
      <c r="A288" s="1" t="str">
        <f t="shared" si="4"/>
        <v>5</v>
      </c>
      <c r="B28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288" s="1" t="s">
        <v>790</v>
      </c>
      <c r="D288" s="1" t="s">
        <v>791</v>
      </c>
      <c r="E288" s="1" t="s">
        <v>792</v>
      </c>
      <c r="F288" s="1" t="s">
        <v>112</v>
      </c>
      <c r="G288" s="1">
        <v>2687623</v>
      </c>
    </row>
    <row r="289" spans="1:8" x14ac:dyDescent="0.35">
      <c r="A289" s="1" t="str">
        <f t="shared" si="4"/>
        <v>5</v>
      </c>
      <c r="B289"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289" s="1" t="s">
        <v>793</v>
      </c>
      <c r="D289" s="1" t="s">
        <v>794</v>
      </c>
      <c r="E289" s="1" t="s">
        <v>795</v>
      </c>
      <c r="F289" s="1" t="s">
        <v>112</v>
      </c>
      <c r="G289" s="1">
        <v>2964637</v>
      </c>
    </row>
    <row r="290" spans="1:8" x14ac:dyDescent="0.35">
      <c r="A290" s="1" t="str">
        <f t="shared" si="4"/>
        <v>5</v>
      </c>
      <c r="B290"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290" s="1" t="s">
        <v>796</v>
      </c>
      <c r="D290" s="1" t="s">
        <v>797</v>
      </c>
      <c r="E290" s="1" t="s">
        <v>798</v>
      </c>
      <c r="F290" s="1" t="s">
        <v>112</v>
      </c>
      <c r="G290" s="1">
        <v>2400594</v>
      </c>
    </row>
    <row r="291" spans="1:8" x14ac:dyDescent="0.35">
      <c r="A291" s="1" t="str">
        <f t="shared" si="4"/>
        <v/>
      </c>
      <c r="B29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291" s="1" t="s">
        <v>112</v>
      </c>
    </row>
    <row r="292" spans="1:8" x14ac:dyDescent="0.35">
      <c r="A292" s="1" t="str">
        <f t="shared" si="4"/>
        <v/>
      </c>
      <c r="B29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292" s="1" t="s">
        <v>226</v>
      </c>
      <c r="D292" s="1" t="s">
        <v>112</v>
      </c>
      <c r="E292" s="1" t="s">
        <v>227</v>
      </c>
      <c r="F292" s="1" t="s">
        <v>228</v>
      </c>
      <c r="G292" s="1" t="s">
        <v>229</v>
      </c>
      <c r="H292" s="1" t="s">
        <v>230</v>
      </c>
    </row>
    <row r="293" spans="1:8" x14ac:dyDescent="0.35">
      <c r="A293" s="1" t="str">
        <f t="shared" si="4"/>
        <v>5</v>
      </c>
      <c r="B29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 xml:space="preserve"> </v>
      </c>
      <c r="C293" s="1" t="s">
        <v>799</v>
      </c>
      <c r="D293" s="1" t="s">
        <v>112</v>
      </c>
      <c r="E293" s="1" t="s">
        <v>800</v>
      </c>
      <c r="F293" s="1" t="s">
        <v>801</v>
      </c>
      <c r="G293" s="1" t="s">
        <v>802</v>
      </c>
      <c r="H293" s="1" t="s">
        <v>803</v>
      </c>
    </row>
    <row r="294" spans="1:8" x14ac:dyDescent="0.35">
      <c r="A294" s="1" t="str">
        <f t="shared" si="4"/>
        <v/>
      </c>
      <c r="B29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294" s="1" t="s">
        <v>112</v>
      </c>
    </row>
    <row r="295" spans="1:8" x14ac:dyDescent="0.35">
      <c r="A295" s="1" t="str">
        <f t="shared" si="4"/>
        <v/>
      </c>
      <c r="B29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295" s="1" t="s">
        <v>112</v>
      </c>
    </row>
    <row r="296" spans="1:8" x14ac:dyDescent="0.35">
      <c r="A296" s="1" t="str">
        <f t="shared" si="4"/>
        <v/>
      </c>
      <c r="B29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296" s="1" t="s">
        <v>112</v>
      </c>
    </row>
    <row r="297" spans="1:8" x14ac:dyDescent="0.35">
      <c r="A297" s="1" t="str">
        <f t="shared" si="4"/>
        <v/>
      </c>
      <c r="B29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297" s="1" t="s">
        <v>112</v>
      </c>
    </row>
    <row r="298" spans="1:8" x14ac:dyDescent="0.35">
      <c r="A298" s="1" t="str">
        <f t="shared" si="4"/>
        <v/>
      </c>
      <c r="B29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298" s="1" t="s">
        <v>112</v>
      </c>
    </row>
    <row r="299" spans="1:8" x14ac:dyDescent="0.35">
      <c r="A299" s="1" t="str">
        <f t="shared" si="4"/>
        <v/>
      </c>
      <c r="B29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299" s="1" t="s">
        <v>172</v>
      </c>
      <c r="D299" s="1" t="s">
        <v>110</v>
      </c>
      <c r="E299" s="1" t="s">
        <v>111</v>
      </c>
      <c r="F299" s="1" t="s">
        <v>112</v>
      </c>
      <c r="G299" s="1" t="s">
        <v>113</v>
      </c>
    </row>
    <row r="300" spans="1:8" x14ac:dyDescent="0.35">
      <c r="A300" s="1" t="str">
        <f t="shared" si="4"/>
        <v>6</v>
      </c>
      <c r="B300"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300" s="1" t="s">
        <v>804</v>
      </c>
      <c r="D300" s="1" t="s">
        <v>805</v>
      </c>
      <c r="E300" s="1" t="s">
        <v>806</v>
      </c>
      <c r="F300" s="1" t="s">
        <v>112</v>
      </c>
      <c r="G300" s="1">
        <v>2349504</v>
      </c>
    </row>
    <row r="301" spans="1:8" x14ac:dyDescent="0.35">
      <c r="A301" s="1" t="str">
        <f t="shared" si="4"/>
        <v>6</v>
      </c>
      <c r="B301"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301" s="1" t="s">
        <v>807</v>
      </c>
    </row>
    <row r="302" spans="1:8" x14ac:dyDescent="0.35">
      <c r="A302" s="1" t="str">
        <f t="shared" si="4"/>
        <v>6</v>
      </c>
      <c r="B30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302" s="1" t="s">
        <v>808</v>
      </c>
      <c r="D302" s="1" t="s">
        <v>809</v>
      </c>
      <c r="E302" s="1" t="s">
        <v>810</v>
      </c>
      <c r="F302" s="1" t="s">
        <v>112</v>
      </c>
      <c r="G302" s="1">
        <v>1908730</v>
      </c>
    </row>
    <row r="303" spans="1:8" x14ac:dyDescent="0.35">
      <c r="A303" s="1" t="str">
        <f t="shared" si="4"/>
        <v>6</v>
      </c>
      <c r="B30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303" s="1" t="s">
        <v>811</v>
      </c>
      <c r="D303" s="1" t="s">
        <v>812</v>
      </c>
      <c r="E303" s="1" t="s">
        <v>813</v>
      </c>
      <c r="F303" s="1" t="s">
        <v>112</v>
      </c>
      <c r="G303" s="1">
        <v>2497106</v>
      </c>
    </row>
    <row r="304" spans="1:8" x14ac:dyDescent="0.35">
      <c r="A304" s="1" t="str">
        <f t="shared" si="4"/>
        <v>6</v>
      </c>
      <c r="B30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304" s="1" t="s">
        <v>814</v>
      </c>
      <c r="D304" s="1" t="s">
        <v>448</v>
      </c>
      <c r="E304" s="1" t="s">
        <v>815</v>
      </c>
      <c r="F304" s="1" t="s">
        <v>112</v>
      </c>
      <c r="G304" s="1">
        <v>2080233</v>
      </c>
    </row>
    <row r="305" spans="1:7" x14ac:dyDescent="0.35">
      <c r="A305" s="1" t="str">
        <f t="shared" si="4"/>
        <v>6</v>
      </c>
      <c r="B30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305" s="1" t="s">
        <v>816</v>
      </c>
      <c r="D305" s="1" t="s">
        <v>817</v>
      </c>
      <c r="E305" s="1" t="s">
        <v>818</v>
      </c>
      <c r="F305" s="1" t="s">
        <v>112</v>
      </c>
      <c r="G305" s="1">
        <v>2709836</v>
      </c>
    </row>
    <row r="306" spans="1:7" x14ac:dyDescent="0.35">
      <c r="A306" s="1" t="str">
        <f t="shared" si="4"/>
        <v>6</v>
      </c>
      <c r="B306"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306" s="1" t="s">
        <v>819</v>
      </c>
      <c r="D306" s="1" t="s">
        <v>820</v>
      </c>
      <c r="E306" s="1" t="s">
        <v>821</v>
      </c>
      <c r="F306" s="1" t="s">
        <v>112</v>
      </c>
      <c r="G306" s="1">
        <v>3616756</v>
      </c>
    </row>
    <row r="307" spans="1:7" x14ac:dyDescent="0.35">
      <c r="A307" s="1" t="str">
        <f t="shared" si="4"/>
        <v>6</v>
      </c>
      <c r="B307"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307" s="1" t="s">
        <v>822</v>
      </c>
      <c r="D307" s="1" t="s">
        <v>823</v>
      </c>
      <c r="E307" s="1" t="s">
        <v>824</v>
      </c>
      <c r="F307" s="1" t="s">
        <v>112</v>
      </c>
      <c r="G307" s="1">
        <v>3395266</v>
      </c>
    </row>
    <row r="308" spans="1:7" x14ac:dyDescent="0.35">
      <c r="A308" s="1" t="str">
        <f t="shared" si="4"/>
        <v>6</v>
      </c>
      <c r="B30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308" s="1" t="s">
        <v>825</v>
      </c>
      <c r="D308" s="1" t="s">
        <v>826</v>
      </c>
      <c r="E308" s="1" t="s">
        <v>827</v>
      </c>
      <c r="F308" s="1" t="s">
        <v>112</v>
      </c>
      <c r="G308" s="1">
        <v>3308227</v>
      </c>
    </row>
    <row r="309" spans="1:7" x14ac:dyDescent="0.35">
      <c r="A309" s="1" t="str">
        <f t="shared" si="4"/>
        <v>6</v>
      </c>
      <c r="B309"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309" s="1" t="s">
        <v>828</v>
      </c>
      <c r="D309" s="1" t="s">
        <v>829</v>
      </c>
      <c r="E309" s="1" t="s">
        <v>830</v>
      </c>
      <c r="F309" s="1" t="s">
        <v>112</v>
      </c>
      <c r="G309" s="1">
        <v>4009014</v>
      </c>
    </row>
    <row r="310" spans="1:7" x14ac:dyDescent="0.35">
      <c r="A310" s="1" t="str">
        <f t="shared" si="4"/>
        <v>6</v>
      </c>
      <c r="B310"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310" s="1" t="s">
        <v>831</v>
      </c>
      <c r="D310" s="1" t="s">
        <v>832</v>
      </c>
      <c r="E310" s="1" t="s">
        <v>833</v>
      </c>
      <c r="F310" s="1" t="s">
        <v>112</v>
      </c>
      <c r="G310" s="1">
        <v>3573821</v>
      </c>
    </row>
    <row r="311" spans="1:7" x14ac:dyDescent="0.35">
      <c r="A311" s="1" t="str">
        <f t="shared" si="4"/>
        <v>6</v>
      </c>
      <c r="B311"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311" s="1" t="s">
        <v>834</v>
      </c>
      <c r="D311" s="1" t="s">
        <v>835</v>
      </c>
      <c r="E311" s="1" t="s">
        <v>836</v>
      </c>
      <c r="F311" s="1" t="s">
        <v>112</v>
      </c>
      <c r="G311" s="1">
        <v>3104431</v>
      </c>
    </row>
    <row r="312" spans="1:7" x14ac:dyDescent="0.35">
      <c r="A312" s="1" t="str">
        <f t="shared" si="4"/>
        <v>6</v>
      </c>
      <c r="B31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312" s="1" t="s">
        <v>837</v>
      </c>
      <c r="D312" s="1" t="s">
        <v>838</v>
      </c>
      <c r="E312" s="1" t="s">
        <v>839</v>
      </c>
      <c r="F312" s="1" t="s">
        <v>112</v>
      </c>
      <c r="G312" s="1">
        <v>2555399</v>
      </c>
    </row>
    <row r="313" spans="1:7" x14ac:dyDescent="0.35">
      <c r="A313" s="1" t="str">
        <f t="shared" si="4"/>
        <v>6</v>
      </c>
      <c r="B31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313" s="1" t="s">
        <v>840</v>
      </c>
      <c r="D313" s="1" t="s">
        <v>841</v>
      </c>
      <c r="E313" s="1" t="s">
        <v>842</v>
      </c>
      <c r="F313" s="1" t="s">
        <v>112</v>
      </c>
      <c r="G313" s="1">
        <v>2632553</v>
      </c>
    </row>
    <row r="314" spans="1:7" x14ac:dyDescent="0.35">
      <c r="A314" s="1" t="str">
        <f t="shared" si="4"/>
        <v>6</v>
      </c>
      <c r="B31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314" s="1" t="s">
        <v>843</v>
      </c>
      <c r="D314" s="1" t="s">
        <v>844</v>
      </c>
      <c r="E314" s="1" t="s">
        <v>845</v>
      </c>
      <c r="F314" s="1" t="s">
        <v>112</v>
      </c>
      <c r="G314" s="1">
        <v>3022388</v>
      </c>
    </row>
    <row r="315" spans="1:7" x14ac:dyDescent="0.35">
      <c r="A315" s="1" t="str">
        <f t="shared" si="4"/>
        <v>6</v>
      </c>
      <c r="B31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315" s="1" t="s">
        <v>846</v>
      </c>
      <c r="D315" s="1" t="s">
        <v>847</v>
      </c>
      <c r="E315" s="1" t="s">
        <v>848</v>
      </c>
      <c r="F315" s="1" t="s">
        <v>112</v>
      </c>
      <c r="G315" s="1">
        <v>3961732</v>
      </c>
    </row>
    <row r="316" spans="1:7" x14ac:dyDescent="0.35">
      <c r="A316" s="1" t="str">
        <f t="shared" si="4"/>
        <v>6</v>
      </c>
      <c r="B316"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316" s="1" t="s">
        <v>849</v>
      </c>
      <c r="D316" s="1" t="s">
        <v>850</v>
      </c>
      <c r="E316" s="1" t="s">
        <v>851</v>
      </c>
      <c r="F316" s="1" t="s">
        <v>112</v>
      </c>
      <c r="G316" s="1">
        <v>4256482</v>
      </c>
    </row>
    <row r="317" spans="1:7" x14ac:dyDescent="0.35">
      <c r="A317" s="1" t="str">
        <f t="shared" si="4"/>
        <v>6</v>
      </c>
      <c r="B317"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317" s="1" t="s">
        <v>852</v>
      </c>
      <c r="D317" s="1" t="s">
        <v>853</v>
      </c>
      <c r="E317" s="1" t="s">
        <v>854</v>
      </c>
      <c r="F317" s="1" t="s">
        <v>112</v>
      </c>
      <c r="G317" s="1">
        <v>4100293</v>
      </c>
    </row>
    <row r="318" spans="1:7" x14ac:dyDescent="0.35">
      <c r="A318" s="1" t="str">
        <f t="shared" si="4"/>
        <v>6</v>
      </c>
      <c r="B31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318" s="1" t="s">
        <v>855</v>
      </c>
      <c r="D318" s="1" t="s">
        <v>856</v>
      </c>
      <c r="E318" s="1" t="s">
        <v>857</v>
      </c>
      <c r="F318" s="1" t="s">
        <v>112</v>
      </c>
      <c r="G318" s="1">
        <v>3212905</v>
      </c>
    </row>
    <row r="319" spans="1:7" x14ac:dyDescent="0.35">
      <c r="A319" s="1" t="str">
        <f t="shared" si="4"/>
        <v>6</v>
      </c>
      <c r="B319"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319" s="1" t="s">
        <v>858</v>
      </c>
      <c r="D319" s="1" t="s">
        <v>859</v>
      </c>
      <c r="E319" s="1" t="s">
        <v>860</v>
      </c>
      <c r="F319" s="1" t="s">
        <v>112</v>
      </c>
      <c r="G319" s="1">
        <v>3876748</v>
      </c>
    </row>
    <row r="320" spans="1:7" x14ac:dyDescent="0.35">
      <c r="A320" s="1" t="str">
        <f t="shared" si="4"/>
        <v>6</v>
      </c>
      <c r="B320"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320" s="1" t="s">
        <v>861</v>
      </c>
      <c r="D320" s="1" t="s">
        <v>862</v>
      </c>
      <c r="E320" s="1" t="s">
        <v>863</v>
      </c>
      <c r="F320" s="1" t="s">
        <v>112</v>
      </c>
      <c r="G320" s="1">
        <v>4137972</v>
      </c>
    </row>
    <row r="321" spans="1:8" x14ac:dyDescent="0.35">
      <c r="A321" s="1" t="str">
        <f t="shared" si="4"/>
        <v>6</v>
      </c>
      <c r="B321"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321" s="1" t="s">
        <v>864</v>
      </c>
    </row>
    <row r="322" spans="1:8" x14ac:dyDescent="0.35">
      <c r="A322" s="1" t="str">
        <f t="shared" ref="A322:A385" si="5">IFERROR(LEFT(RIGHT(C322,LEN(C322)-SEARCH("@",C322)),SEARCH("/",RIGHT(C322,LEN(C322)-SEARCH("@",C322)-1))),"")</f>
        <v>6</v>
      </c>
      <c r="B32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322" s="1" t="s">
        <v>865</v>
      </c>
    </row>
    <row r="323" spans="1:8" x14ac:dyDescent="0.35">
      <c r="A323" s="1" t="str">
        <f t="shared" si="5"/>
        <v>6</v>
      </c>
      <c r="B32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323" s="1" t="s">
        <v>866</v>
      </c>
    </row>
    <row r="324" spans="1:8" x14ac:dyDescent="0.35">
      <c r="A324" s="1" t="str">
        <f t="shared" si="5"/>
        <v/>
      </c>
      <c r="B32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324" s="1" t="s">
        <v>112</v>
      </c>
    </row>
    <row r="325" spans="1:8" x14ac:dyDescent="0.35">
      <c r="A325" s="1" t="str">
        <f t="shared" si="5"/>
        <v/>
      </c>
      <c r="B32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325" s="1" t="s">
        <v>226</v>
      </c>
      <c r="D325" s="1" t="s">
        <v>112</v>
      </c>
      <c r="E325" s="1" t="s">
        <v>227</v>
      </c>
      <c r="F325" s="1" t="s">
        <v>228</v>
      </c>
      <c r="G325" s="1" t="s">
        <v>229</v>
      </c>
      <c r="H325" s="1" t="s">
        <v>230</v>
      </c>
    </row>
    <row r="326" spans="1:8" x14ac:dyDescent="0.35">
      <c r="A326" s="1" t="str">
        <f t="shared" si="5"/>
        <v>6</v>
      </c>
      <c r="B326"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 xml:space="preserve"> </v>
      </c>
      <c r="C326" s="1" t="s">
        <v>867</v>
      </c>
      <c r="D326" s="1" t="s">
        <v>112</v>
      </c>
      <c r="E326" s="1" t="s">
        <v>868</v>
      </c>
      <c r="F326" s="1" t="s">
        <v>869</v>
      </c>
      <c r="G326" s="1" t="s">
        <v>870</v>
      </c>
      <c r="H326" s="1" t="s">
        <v>871</v>
      </c>
    </row>
    <row r="327" spans="1:8" x14ac:dyDescent="0.35">
      <c r="A327" s="1" t="str">
        <f t="shared" si="5"/>
        <v/>
      </c>
      <c r="B32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327" s="1" t="s">
        <v>112</v>
      </c>
    </row>
    <row r="328" spans="1:8" x14ac:dyDescent="0.35">
      <c r="A328" s="1" t="str">
        <f t="shared" si="5"/>
        <v/>
      </c>
      <c r="B32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328" s="1" t="s">
        <v>112</v>
      </c>
    </row>
    <row r="329" spans="1:8" x14ac:dyDescent="0.35">
      <c r="A329" s="1" t="str">
        <f t="shared" si="5"/>
        <v/>
      </c>
      <c r="B32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329" s="1" t="s">
        <v>112</v>
      </c>
    </row>
    <row r="330" spans="1:8" x14ac:dyDescent="0.35">
      <c r="A330" s="1" t="str">
        <f t="shared" si="5"/>
        <v/>
      </c>
      <c r="B33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330" s="1" t="s">
        <v>112</v>
      </c>
    </row>
    <row r="331" spans="1:8" x14ac:dyDescent="0.35">
      <c r="A331" s="1" t="str">
        <f t="shared" si="5"/>
        <v/>
      </c>
      <c r="B33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331" s="1" t="s">
        <v>112</v>
      </c>
    </row>
    <row r="332" spans="1:8" x14ac:dyDescent="0.35">
      <c r="A332" s="1" t="str">
        <f t="shared" si="5"/>
        <v/>
      </c>
      <c r="B33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332" s="1" t="s">
        <v>172</v>
      </c>
      <c r="D332" s="1" t="s">
        <v>110</v>
      </c>
      <c r="E332" s="1" t="s">
        <v>111</v>
      </c>
      <c r="F332" s="1" t="s">
        <v>112</v>
      </c>
      <c r="G332" s="1" t="s">
        <v>113</v>
      </c>
    </row>
    <row r="333" spans="1:8" x14ac:dyDescent="0.35">
      <c r="A333" s="1" t="str">
        <f t="shared" si="5"/>
        <v>7</v>
      </c>
      <c r="B33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333" s="1" t="s">
        <v>872</v>
      </c>
      <c r="D333" s="1" t="s">
        <v>873</v>
      </c>
      <c r="E333" s="1" t="s">
        <v>874</v>
      </c>
      <c r="F333" s="1" t="s">
        <v>112</v>
      </c>
      <c r="G333" s="1">
        <v>4539466</v>
      </c>
    </row>
    <row r="334" spans="1:8" x14ac:dyDescent="0.35">
      <c r="A334" s="1" t="str">
        <f t="shared" si="5"/>
        <v>7</v>
      </c>
      <c r="B33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334" s="1" t="s">
        <v>875</v>
      </c>
      <c r="D334" s="1" t="s">
        <v>876</v>
      </c>
      <c r="E334" s="1" t="s">
        <v>877</v>
      </c>
      <c r="F334" s="1" t="s">
        <v>112</v>
      </c>
      <c r="G334" s="1">
        <v>4718021</v>
      </c>
    </row>
    <row r="335" spans="1:8" x14ac:dyDescent="0.35">
      <c r="A335" s="1" t="str">
        <f t="shared" si="5"/>
        <v>7</v>
      </c>
      <c r="B33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335" s="1" t="s">
        <v>878</v>
      </c>
      <c r="D335" s="1" t="s">
        <v>879</v>
      </c>
      <c r="E335" s="1" t="s">
        <v>880</v>
      </c>
      <c r="F335" s="1" t="s">
        <v>112</v>
      </c>
      <c r="G335" s="1">
        <v>3257224</v>
      </c>
    </row>
    <row r="336" spans="1:8" x14ac:dyDescent="0.35">
      <c r="A336" s="1" t="str">
        <f t="shared" si="5"/>
        <v>7</v>
      </c>
      <c r="B336"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336" s="1" t="s">
        <v>881</v>
      </c>
      <c r="D336" s="1" t="s">
        <v>882</v>
      </c>
      <c r="E336" s="1" t="s">
        <v>883</v>
      </c>
      <c r="F336" s="1" t="s">
        <v>112</v>
      </c>
      <c r="G336" s="1">
        <v>3330874</v>
      </c>
    </row>
    <row r="337" spans="1:7" x14ac:dyDescent="0.35">
      <c r="A337" s="1" t="str">
        <f t="shared" si="5"/>
        <v>7</v>
      </c>
      <c r="B337"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337" s="1" t="s">
        <v>884</v>
      </c>
      <c r="D337" s="1" t="s">
        <v>885</v>
      </c>
      <c r="E337" s="1" t="s">
        <v>886</v>
      </c>
      <c r="F337" s="1" t="s">
        <v>112</v>
      </c>
      <c r="G337" s="1">
        <v>3352223</v>
      </c>
    </row>
    <row r="338" spans="1:7" x14ac:dyDescent="0.35">
      <c r="A338" s="1" t="str">
        <f t="shared" si="5"/>
        <v>7</v>
      </c>
      <c r="B33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338" s="1" t="s">
        <v>887</v>
      </c>
      <c r="D338" s="1" t="s">
        <v>888</v>
      </c>
      <c r="E338" s="1" t="s">
        <v>889</v>
      </c>
      <c r="F338" s="1" t="s">
        <v>112</v>
      </c>
      <c r="G338" s="1">
        <v>3824641</v>
      </c>
    </row>
    <row r="339" spans="1:7" x14ac:dyDescent="0.35">
      <c r="A339" s="1" t="str">
        <f t="shared" si="5"/>
        <v>7</v>
      </c>
      <c r="B339"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339" s="1" t="s">
        <v>890</v>
      </c>
      <c r="D339" s="1" t="s">
        <v>891</v>
      </c>
      <c r="E339" s="1" t="s">
        <v>892</v>
      </c>
      <c r="F339" s="1" t="s">
        <v>112</v>
      </c>
      <c r="G339" s="1">
        <v>3712880</v>
      </c>
    </row>
    <row r="340" spans="1:7" x14ac:dyDescent="0.35">
      <c r="A340" s="1" t="str">
        <f t="shared" si="5"/>
        <v>7</v>
      </c>
      <c r="B340"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340" s="1" t="s">
        <v>893</v>
      </c>
    </row>
    <row r="341" spans="1:7" x14ac:dyDescent="0.35">
      <c r="A341" s="1" t="str">
        <f t="shared" si="5"/>
        <v>7</v>
      </c>
      <c r="B341"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341" s="1" t="s">
        <v>894</v>
      </c>
      <c r="D341" s="1" t="s">
        <v>895</v>
      </c>
      <c r="E341" s="1" t="s">
        <v>896</v>
      </c>
      <c r="F341" s="1" t="s">
        <v>112</v>
      </c>
      <c r="G341" s="1">
        <v>4069405</v>
      </c>
    </row>
    <row r="342" spans="1:7" x14ac:dyDescent="0.35">
      <c r="A342" s="1" t="str">
        <f t="shared" si="5"/>
        <v>7</v>
      </c>
      <c r="B34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342" s="1" t="s">
        <v>897</v>
      </c>
      <c r="D342" s="1" t="s">
        <v>898</v>
      </c>
      <c r="E342" s="1" t="s">
        <v>899</v>
      </c>
      <c r="F342" s="1" t="s">
        <v>112</v>
      </c>
      <c r="G342" s="1">
        <v>3638105</v>
      </c>
    </row>
    <row r="343" spans="1:7" x14ac:dyDescent="0.35">
      <c r="A343" s="1" t="str">
        <f t="shared" si="5"/>
        <v>7</v>
      </c>
      <c r="B34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343" s="1" t="s">
        <v>900</v>
      </c>
      <c r="D343" s="1" t="s">
        <v>901</v>
      </c>
      <c r="E343" s="1" t="s">
        <v>902</v>
      </c>
      <c r="F343" s="1" t="s">
        <v>112</v>
      </c>
      <c r="G343" s="1">
        <v>3819796</v>
      </c>
    </row>
    <row r="344" spans="1:7" x14ac:dyDescent="0.35">
      <c r="A344" s="1" t="str">
        <f t="shared" si="5"/>
        <v>7</v>
      </c>
      <c r="B34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344" s="1" t="s">
        <v>903</v>
      </c>
      <c r="D344" s="1" t="s">
        <v>904</v>
      </c>
      <c r="E344" s="1" t="s">
        <v>905</v>
      </c>
      <c r="F344" s="1" t="s">
        <v>112</v>
      </c>
      <c r="G344" s="1">
        <v>3816422</v>
      </c>
    </row>
    <row r="345" spans="1:7" x14ac:dyDescent="0.35">
      <c r="A345" s="1" t="str">
        <f t="shared" si="5"/>
        <v>7</v>
      </c>
      <c r="B34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345" s="1" t="s">
        <v>906</v>
      </c>
      <c r="D345" s="1" t="s">
        <v>907</v>
      </c>
      <c r="E345" s="1" t="s">
        <v>908</v>
      </c>
      <c r="F345" s="1" t="s">
        <v>112</v>
      </c>
      <c r="G345" s="1">
        <v>4906287</v>
      </c>
    </row>
    <row r="346" spans="1:7" x14ac:dyDescent="0.35">
      <c r="A346" s="1" t="str">
        <f t="shared" si="5"/>
        <v>7</v>
      </c>
      <c r="B346"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346" s="1" t="s">
        <v>909</v>
      </c>
      <c r="D346" s="1" t="s">
        <v>910</v>
      </c>
      <c r="E346" s="1" t="s">
        <v>911</v>
      </c>
      <c r="F346" s="1" t="s">
        <v>112</v>
      </c>
      <c r="G346" s="1">
        <v>5097885</v>
      </c>
    </row>
    <row r="347" spans="1:7" x14ac:dyDescent="0.35">
      <c r="A347" s="1" t="str">
        <f t="shared" si="5"/>
        <v>7</v>
      </c>
      <c r="B347"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347" s="1" t="s">
        <v>912</v>
      </c>
      <c r="D347" s="1" t="s">
        <v>913</v>
      </c>
      <c r="E347" s="1" t="s">
        <v>914</v>
      </c>
      <c r="F347" s="1" t="s">
        <v>112</v>
      </c>
      <c r="G347" s="1">
        <v>4881153</v>
      </c>
    </row>
    <row r="348" spans="1:7" x14ac:dyDescent="0.35">
      <c r="A348" s="1" t="str">
        <f t="shared" si="5"/>
        <v>7</v>
      </c>
      <c r="B34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348" s="1" t="s">
        <v>915</v>
      </c>
      <c r="D348" s="1" t="s">
        <v>916</v>
      </c>
      <c r="E348" s="1" t="s">
        <v>917</v>
      </c>
      <c r="F348" s="1" t="s">
        <v>112</v>
      </c>
      <c r="G348" s="1">
        <v>5180944</v>
      </c>
    </row>
    <row r="349" spans="1:7" x14ac:dyDescent="0.35">
      <c r="A349" s="1" t="str">
        <f t="shared" si="5"/>
        <v>7</v>
      </c>
      <c r="B349"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349" s="1" t="s">
        <v>918</v>
      </c>
      <c r="D349" s="1" t="s">
        <v>919</v>
      </c>
      <c r="E349" s="1" t="s">
        <v>920</v>
      </c>
      <c r="F349" s="1" t="s">
        <v>112</v>
      </c>
      <c r="G349" s="1">
        <v>4778260</v>
      </c>
    </row>
    <row r="350" spans="1:7" x14ac:dyDescent="0.35">
      <c r="A350" s="1" t="str">
        <f t="shared" si="5"/>
        <v>7</v>
      </c>
      <c r="B350"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350" s="1" t="s">
        <v>921</v>
      </c>
      <c r="D350" s="1" t="s">
        <v>922</v>
      </c>
      <c r="E350" s="1" t="s">
        <v>923</v>
      </c>
      <c r="F350" s="1" t="s">
        <v>112</v>
      </c>
      <c r="G350" s="1">
        <v>4794288</v>
      </c>
    </row>
    <row r="351" spans="1:7" x14ac:dyDescent="0.35">
      <c r="A351" s="1" t="str">
        <f t="shared" si="5"/>
        <v>7</v>
      </c>
      <c r="B351"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351" s="1" t="s">
        <v>924</v>
      </c>
      <c r="D351" s="1" t="s">
        <v>925</v>
      </c>
      <c r="E351" s="1" t="s">
        <v>926</v>
      </c>
      <c r="F351" s="1" t="s">
        <v>112</v>
      </c>
      <c r="G351" s="1">
        <v>3886157</v>
      </c>
    </row>
    <row r="352" spans="1:7" x14ac:dyDescent="0.35">
      <c r="A352" s="1" t="str">
        <f t="shared" si="5"/>
        <v>7</v>
      </c>
      <c r="B35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352" s="1" t="s">
        <v>927</v>
      </c>
      <c r="D352" s="1" t="s">
        <v>928</v>
      </c>
      <c r="E352" s="1" t="s">
        <v>929</v>
      </c>
      <c r="F352" s="1" t="s">
        <v>112</v>
      </c>
      <c r="G352" s="1">
        <v>4379599</v>
      </c>
    </row>
    <row r="353" spans="1:8" x14ac:dyDescent="0.35">
      <c r="A353" s="1" t="str">
        <f t="shared" si="5"/>
        <v>7</v>
      </c>
      <c r="B35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353" s="1" t="s">
        <v>930</v>
      </c>
      <c r="D353" s="1" t="s">
        <v>931</v>
      </c>
      <c r="E353" s="1" t="s">
        <v>932</v>
      </c>
      <c r="F353" s="1" t="s">
        <v>112</v>
      </c>
      <c r="G353" s="1">
        <v>4112708</v>
      </c>
    </row>
    <row r="354" spans="1:8" x14ac:dyDescent="0.35">
      <c r="A354" s="1" t="str">
        <f t="shared" si="5"/>
        <v>7</v>
      </c>
      <c r="B35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354" s="1" t="s">
        <v>933</v>
      </c>
      <c r="D354" s="1" t="s">
        <v>934</v>
      </c>
      <c r="E354" s="1" t="s">
        <v>935</v>
      </c>
      <c r="F354" s="1" t="s">
        <v>112</v>
      </c>
      <c r="G354" s="1">
        <v>1921297</v>
      </c>
    </row>
    <row r="355" spans="1:8" x14ac:dyDescent="0.35">
      <c r="A355" s="1" t="str">
        <f t="shared" si="5"/>
        <v>7</v>
      </c>
      <c r="B35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355" s="1" t="s">
        <v>936</v>
      </c>
      <c r="D355" s="1" t="s">
        <v>937</v>
      </c>
      <c r="E355" s="1" t="s">
        <v>938</v>
      </c>
      <c r="F355" s="1" t="s">
        <v>112</v>
      </c>
      <c r="G355" s="1">
        <v>1937930</v>
      </c>
    </row>
    <row r="356" spans="1:8" x14ac:dyDescent="0.35">
      <c r="A356" s="1" t="str">
        <f t="shared" si="5"/>
        <v>7</v>
      </c>
      <c r="B356"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356" s="1" t="s">
        <v>939</v>
      </c>
      <c r="D356" s="1" t="s">
        <v>940</v>
      </c>
      <c r="E356" s="1" t="s">
        <v>941</v>
      </c>
      <c r="F356" s="1" t="s">
        <v>112</v>
      </c>
      <c r="G356" s="1">
        <v>2338970</v>
      </c>
    </row>
    <row r="357" spans="1:8" x14ac:dyDescent="0.35">
      <c r="A357" s="1" t="str">
        <f t="shared" si="5"/>
        <v/>
      </c>
      <c r="B35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357" s="1" t="s">
        <v>112</v>
      </c>
    </row>
    <row r="358" spans="1:8" x14ac:dyDescent="0.35">
      <c r="A358" s="1" t="str">
        <f t="shared" si="5"/>
        <v/>
      </c>
      <c r="B35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358" s="1" t="s">
        <v>226</v>
      </c>
      <c r="D358" s="1" t="s">
        <v>112</v>
      </c>
      <c r="E358" s="1" t="s">
        <v>227</v>
      </c>
      <c r="F358" s="1" t="s">
        <v>228</v>
      </c>
      <c r="G358" s="1" t="s">
        <v>229</v>
      </c>
      <c r="H358" s="1" t="s">
        <v>230</v>
      </c>
    </row>
    <row r="359" spans="1:8" x14ac:dyDescent="0.35">
      <c r="A359" s="1" t="str">
        <f t="shared" si="5"/>
        <v>7</v>
      </c>
      <c r="B359"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 xml:space="preserve"> </v>
      </c>
      <c r="C359" s="1" t="s">
        <v>942</v>
      </c>
      <c r="D359" s="1" t="s">
        <v>112</v>
      </c>
      <c r="E359" s="1" t="s">
        <v>943</v>
      </c>
      <c r="F359" s="1" t="s">
        <v>944</v>
      </c>
      <c r="G359" s="1" t="s">
        <v>945</v>
      </c>
      <c r="H359" s="1" t="s">
        <v>946</v>
      </c>
    </row>
    <row r="360" spans="1:8" x14ac:dyDescent="0.35">
      <c r="A360" s="1" t="str">
        <f t="shared" si="5"/>
        <v/>
      </c>
      <c r="B36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360" s="1" t="s">
        <v>112</v>
      </c>
    </row>
    <row r="361" spans="1:8" x14ac:dyDescent="0.35">
      <c r="A361" s="1" t="str">
        <f t="shared" si="5"/>
        <v/>
      </c>
      <c r="B36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361" s="1" t="s">
        <v>112</v>
      </c>
    </row>
    <row r="362" spans="1:8" x14ac:dyDescent="0.35">
      <c r="A362" s="1" t="str">
        <f t="shared" si="5"/>
        <v/>
      </c>
      <c r="B36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362" s="1" t="s">
        <v>112</v>
      </c>
    </row>
    <row r="363" spans="1:8" x14ac:dyDescent="0.35">
      <c r="A363" s="1" t="str">
        <f t="shared" si="5"/>
        <v/>
      </c>
      <c r="B36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363" s="1" t="s">
        <v>112</v>
      </c>
    </row>
    <row r="364" spans="1:8" x14ac:dyDescent="0.35">
      <c r="A364" s="1" t="str">
        <f t="shared" si="5"/>
        <v/>
      </c>
      <c r="B36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364" s="1" t="s">
        <v>112</v>
      </c>
    </row>
    <row r="365" spans="1:8" x14ac:dyDescent="0.35">
      <c r="A365" s="1" t="str">
        <f t="shared" si="5"/>
        <v/>
      </c>
      <c r="B36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365" s="1" t="s">
        <v>172</v>
      </c>
      <c r="D365" s="1" t="s">
        <v>110</v>
      </c>
      <c r="E365" s="1" t="s">
        <v>111</v>
      </c>
      <c r="F365" s="1" t="s">
        <v>112</v>
      </c>
      <c r="G365" s="1" t="s">
        <v>113</v>
      </c>
    </row>
    <row r="366" spans="1:8" x14ac:dyDescent="0.35">
      <c r="A366" s="1" t="str">
        <f t="shared" si="5"/>
        <v>10</v>
      </c>
      <c r="B366"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366" s="1" t="s">
        <v>947</v>
      </c>
    </row>
    <row r="367" spans="1:8" x14ac:dyDescent="0.35">
      <c r="A367" s="1" t="str">
        <f t="shared" si="5"/>
        <v>10</v>
      </c>
      <c r="B367"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367" s="1" t="s">
        <v>948</v>
      </c>
    </row>
    <row r="368" spans="1:8" x14ac:dyDescent="0.35">
      <c r="A368" s="1" t="str">
        <f t="shared" si="5"/>
        <v>10</v>
      </c>
      <c r="B36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368" s="1" t="s">
        <v>949</v>
      </c>
    </row>
    <row r="369" spans="1:7" x14ac:dyDescent="0.35">
      <c r="A369" s="1" t="str">
        <f t="shared" si="5"/>
        <v>10</v>
      </c>
      <c r="B369"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369" s="1" t="s">
        <v>950</v>
      </c>
      <c r="D369" s="1" t="s">
        <v>951</v>
      </c>
      <c r="E369" s="1" t="s">
        <v>952</v>
      </c>
      <c r="F369" s="1" t="s">
        <v>112</v>
      </c>
      <c r="G369" s="1">
        <v>118056</v>
      </c>
    </row>
    <row r="370" spans="1:7" x14ac:dyDescent="0.35">
      <c r="A370" s="1" t="str">
        <f t="shared" si="5"/>
        <v>10</v>
      </c>
      <c r="B370"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370" s="1" t="s">
        <v>953</v>
      </c>
      <c r="D370" s="1" t="s">
        <v>954</v>
      </c>
      <c r="E370" s="1">
        <v>30</v>
      </c>
      <c r="F370" s="1" t="s">
        <v>112</v>
      </c>
      <c r="G370" s="1">
        <v>1298</v>
      </c>
    </row>
    <row r="371" spans="1:7" x14ac:dyDescent="0.35">
      <c r="A371" s="1" t="str">
        <f t="shared" si="5"/>
        <v>10</v>
      </c>
      <c r="B371"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371" s="1" t="s">
        <v>955</v>
      </c>
      <c r="D371" s="1" t="s">
        <v>956</v>
      </c>
      <c r="E371" s="1" t="s">
        <v>957</v>
      </c>
      <c r="F371" s="1" t="s">
        <v>112</v>
      </c>
      <c r="G371" s="1">
        <v>209486</v>
      </c>
    </row>
    <row r="372" spans="1:7" x14ac:dyDescent="0.35">
      <c r="A372" s="1" t="str">
        <f t="shared" si="5"/>
        <v>10</v>
      </c>
      <c r="B37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372" s="1" t="s">
        <v>958</v>
      </c>
      <c r="D372" s="1" t="s">
        <v>959</v>
      </c>
      <c r="E372" s="1" t="s">
        <v>960</v>
      </c>
      <c r="F372" s="1" t="s">
        <v>112</v>
      </c>
      <c r="G372" s="1">
        <v>221750</v>
      </c>
    </row>
    <row r="373" spans="1:7" x14ac:dyDescent="0.35">
      <c r="A373" s="1" t="str">
        <f t="shared" si="5"/>
        <v>10</v>
      </c>
      <c r="B37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373" s="1" t="s">
        <v>961</v>
      </c>
      <c r="D373" s="1" t="s">
        <v>535</v>
      </c>
      <c r="E373" s="1" t="s">
        <v>962</v>
      </c>
      <c r="F373" s="1" t="s">
        <v>112</v>
      </c>
      <c r="G373" s="1">
        <v>246862</v>
      </c>
    </row>
    <row r="374" spans="1:7" x14ac:dyDescent="0.35">
      <c r="A374" s="1" t="str">
        <f t="shared" si="5"/>
        <v>10</v>
      </c>
      <c r="B37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374" s="1" t="s">
        <v>963</v>
      </c>
      <c r="D374" s="1" t="s">
        <v>964</v>
      </c>
      <c r="E374" s="1" t="s">
        <v>965</v>
      </c>
      <c r="F374" s="1" t="s">
        <v>112</v>
      </c>
      <c r="G374" s="1">
        <v>152685</v>
      </c>
    </row>
    <row r="375" spans="1:7" x14ac:dyDescent="0.35">
      <c r="A375" s="1" t="str">
        <f t="shared" si="5"/>
        <v>10</v>
      </c>
      <c r="B37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375" s="1" t="s">
        <v>966</v>
      </c>
      <c r="D375" s="1" t="s">
        <v>967</v>
      </c>
      <c r="E375" s="1" t="s">
        <v>968</v>
      </c>
      <c r="F375" s="1" t="s">
        <v>112</v>
      </c>
      <c r="G375" s="1">
        <v>68891</v>
      </c>
    </row>
    <row r="376" spans="1:7" x14ac:dyDescent="0.35">
      <c r="A376" s="1" t="str">
        <f t="shared" si="5"/>
        <v>10</v>
      </c>
      <c r="B376"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376" s="1" t="s">
        <v>969</v>
      </c>
      <c r="D376" s="1" t="s">
        <v>951</v>
      </c>
      <c r="E376" s="1" t="s">
        <v>970</v>
      </c>
      <c r="F376" s="1" t="s">
        <v>112</v>
      </c>
      <c r="G376" s="1">
        <v>112259</v>
      </c>
    </row>
    <row r="377" spans="1:7" x14ac:dyDescent="0.35">
      <c r="A377" s="1" t="str">
        <f t="shared" si="5"/>
        <v>10</v>
      </c>
      <c r="B377"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377" s="1" t="s">
        <v>971</v>
      </c>
      <c r="D377" s="1" t="s">
        <v>635</v>
      </c>
      <c r="E377" s="1" t="s">
        <v>972</v>
      </c>
      <c r="F377" s="1" t="s">
        <v>112</v>
      </c>
      <c r="G377" s="1">
        <v>65041</v>
      </c>
    </row>
    <row r="378" spans="1:7" x14ac:dyDescent="0.35">
      <c r="A378" s="1" t="str">
        <f t="shared" si="5"/>
        <v>10</v>
      </c>
      <c r="B37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378" s="1" t="s">
        <v>973</v>
      </c>
      <c r="D378" s="1" t="s">
        <v>489</v>
      </c>
      <c r="E378" s="1" t="s">
        <v>974</v>
      </c>
      <c r="F378" s="1" t="s">
        <v>112</v>
      </c>
      <c r="G378" s="1">
        <v>157941</v>
      </c>
    </row>
    <row r="379" spans="1:7" x14ac:dyDescent="0.35">
      <c r="A379" s="1" t="str">
        <f t="shared" si="5"/>
        <v>10</v>
      </c>
      <c r="B379"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379" s="1" t="s">
        <v>975</v>
      </c>
      <c r="D379" s="1" t="s">
        <v>541</v>
      </c>
      <c r="E379" s="1" t="s">
        <v>976</v>
      </c>
      <c r="F379" s="1" t="s">
        <v>112</v>
      </c>
      <c r="G379" s="1">
        <v>237929</v>
      </c>
    </row>
    <row r="380" spans="1:7" x14ac:dyDescent="0.35">
      <c r="A380" s="1" t="str">
        <f t="shared" si="5"/>
        <v>10</v>
      </c>
      <c r="B380"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380" s="1" t="s">
        <v>977</v>
      </c>
      <c r="D380" s="1" t="s">
        <v>978</v>
      </c>
      <c r="E380" s="1" t="s">
        <v>979</v>
      </c>
      <c r="F380" s="1" t="s">
        <v>112</v>
      </c>
      <c r="G380" s="1">
        <v>278312</v>
      </c>
    </row>
    <row r="381" spans="1:7" x14ac:dyDescent="0.35">
      <c r="A381" s="1" t="str">
        <f t="shared" si="5"/>
        <v>10</v>
      </c>
      <c r="B381"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381" s="1" t="s">
        <v>980</v>
      </c>
      <c r="D381" s="1" t="s">
        <v>981</v>
      </c>
      <c r="E381" s="1" t="s">
        <v>982</v>
      </c>
      <c r="F381" s="1" t="s">
        <v>112</v>
      </c>
      <c r="G381" s="1">
        <v>7441</v>
      </c>
    </row>
    <row r="382" spans="1:7" x14ac:dyDescent="0.35">
      <c r="A382" s="1" t="str">
        <f t="shared" si="5"/>
        <v>10</v>
      </c>
      <c r="B38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382" s="1" t="s">
        <v>983</v>
      </c>
      <c r="D382" s="1" t="s">
        <v>984</v>
      </c>
      <c r="E382" s="1">
        <v>34</v>
      </c>
      <c r="F382" s="1" t="s">
        <v>112</v>
      </c>
      <c r="G382" s="1">
        <v>15444</v>
      </c>
    </row>
    <row r="383" spans="1:7" x14ac:dyDescent="0.35">
      <c r="A383" s="1" t="str">
        <f t="shared" si="5"/>
        <v>10</v>
      </c>
      <c r="B38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383" s="1" t="s">
        <v>985</v>
      </c>
      <c r="D383" s="1" t="s">
        <v>467</v>
      </c>
      <c r="E383" s="1" t="s">
        <v>986</v>
      </c>
      <c r="F383" s="1" t="s">
        <v>112</v>
      </c>
      <c r="G383" s="1">
        <v>101076</v>
      </c>
    </row>
    <row r="384" spans="1:7" x14ac:dyDescent="0.35">
      <c r="A384" s="1" t="str">
        <f t="shared" si="5"/>
        <v>10</v>
      </c>
      <c r="B38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384" s="1" t="s">
        <v>987</v>
      </c>
      <c r="D384" s="1" t="s">
        <v>988</v>
      </c>
      <c r="E384" s="1" t="s">
        <v>989</v>
      </c>
      <c r="F384" s="1" t="s">
        <v>112</v>
      </c>
      <c r="G384" s="1">
        <v>14016</v>
      </c>
    </row>
    <row r="385" spans="1:8" x14ac:dyDescent="0.35">
      <c r="A385" s="1" t="str">
        <f t="shared" si="5"/>
        <v>10</v>
      </c>
      <c r="B38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385" s="1" t="s">
        <v>990</v>
      </c>
      <c r="D385" s="1" t="s">
        <v>991</v>
      </c>
      <c r="E385" s="1" t="s">
        <v>992</v>
      </c>
      <c r="F385" s="1" t="s">
        <v>112</v>
      </c>
      <c r="G385" s="1">
        <v>8284</v>
      </c>
    </row>
    <row r="386" spans="1:8" x14ac:dyDescent="0.35">
      <c r="A386" s="1" t="str">
        <f t="shared" ref="A386:A449" si="6">IFERROR(LEFT(RIGHT(C386,LEN(C386)-SEARCH("@",C386)),SEARCH("/",RIGHT(C386,LEN(C386)-SEARCH("@",C386)-1))),"")</f>
        <v>10</v>
      </c>
      <c r="B386"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386" s="1" t="s">
        <v>993</v>
      </c>
      <c r="D386" s="1" t="s">
        <v>994</v>
      </c>
      <c r="E386" s="1" t="s">
        <v>995</v>
      </c>
      <c r="F386" s="1" t="s">
        <v>112</v>
      </c>
      <c r="G386" s="1">
        <v>327195</v>
      </c>
    </row>
    <row r="387" spans="1:8" x14ac:dyDescent="0.35">
      <c r="A387" s="1" t="str">
        <f t="shared" si="6"/>
        <v>10</v>
      </c>
      <c r="B387"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387" s="1" t="s">
        <v>996</v>
      </c>
      <c r="D387" s="1" t="s">
        <v>997</v>
      </c>
      <c r="E387" s="1" t="s">
        <v>998</v>
      </c>
      <c r="F387" s="1" t="s">
        <v>112</v>
      </c>
      <c r="G387" s="1">
        <v>5234</v>
      </c>
    </row>
    <row r="388" spans="1:8" x14ac:dyDescent="0.35">
      <c r="A388" s="1" t="str">
        <f t="shared" si="6"/>
        <v>10</v>
      </c>
      <c r="B38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388" s="1" t="s">
        <v>999</v>
      </c>
      <c r="D388" s="1" t="s">
        <v>1000</v>
      </c>
      <c r="E388" s="1" t="s">
        <v>1001</v>
      </c>
      <c r="F388" s="1" t="s">
        <v>112</v>
      </c>
      <c r="G388" s="1">
        <v>426952</v>
      </c>
    </row>
    <row r="389" spans="1:8" x14ac:dyDescent="0.35">
      <c r="A389" s="1" t="str">
        <f t="shared" si="6"/>
        <v>10</v>
      </c>
      <c r="B389"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389" s="1" t="s">
        <v>1002</v>
      </c>
    </row>
    <row r="390" spans="1:8" x14ac:dyDescent="0.35">
      <c r="A390" s="1" t="str">
        <f t="shared" si="6"/>
        <v/>
      </c>
      <c r="B39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390" s="1" t="s">
        <v>112</v>
      </c>
    </row>
    <row r="391" spans="1:8" x14ac:dyDescent="0.35">
      <c r="A391" s="1" t="str">
        <f t="shared" si="6"/>
        <v/>
      </c>
      <c r="B39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391" s="1" t="s">
        <v>226</v>
      </c>
      <c r="D391" s="1" t="s">
        <v>112</v>
      </c>
      <c r="E391" s="1" t="s">
        <v>227</v>
      </c>
      <c r="F391" s="1" t="s">
        <v>228</v>
      </c>
      <c r="G391" s="1" t="s">
        <v>229</v>
      </c>
      <c r="H391" s="1" t="s">
        <v>230</v>
      </c>
    </row>
    <row r="392" spans="1:8" x14ac:dyDescent="0.35">
      <c r="A392" s="1" t="str">
        <f t="shared" si="6"/>
        <v>10</v>
      </c>
      <c r="B39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 xml:space="preserve"> </v>
      </c>
      <c r="C392" s="1" t="s">
        <v>1003</v>
      </c>
      <c r="D392" s="1" t="s">
        <v>112</v>
      </c>
      <c r="E392" s="1" t="s">
        <v>1004</v>
      </c>
      <c r="F392" s="1" t="s">
        <v>1005</v>
      </c>
      <c r="G392" s="1" t="s">
        <v>1006</v>
      </c>
      <c r="H392" s="1" t="s">
        <v>1007</v>
      </c>
    </row>
    <row r="393" spans="1:8" x14ac:dyDescent="0.35">
      <c r="A393" s="1" t="str">
        <f t="shared" si="6"/>
        <v/>
      </c>
      <c r="B39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393" s="1" t="s">
        <v>112</v>
      </c>
    </row>
    <row r="394" spans="1:8" x14ac:dyDescent="0.35">
      <c r="A394" s="1" t="str">
        <f t="shared" si="6"/>
        <v/>
      </c>
      <c r="B39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394" s="1" t="s">
        <v>112</v>
      </c>
    </row>
    <row r="395" spans="1:8" x14ac:dyDescent="0.35">
      <c r="A395" s="1" t="str">
        <f t="shared" si="6"/>
        <v/>
      </c>
      <c r="B39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395" s="1" t="s">
        <v>112</v>
      </c>
    </row>
    <row r="396" spans="1:8" x14ac:dyDescent="0.35">
      <c r="A396" s="1" t="str">
        <f t="shared" si="6"/>
        <v/>
      </c>
      <c r="B39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396" s="1" t="s">
        <v>112</v>
      </c>
    </row>
    <row r="397" spans="1:8" x14ac:dyDescent="0.35">
      <c r="A397" s="1" t="str">
        <f t="shared" si="6"/>
        <v/>
      </c>
      <c r="B39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397" s="1" t="s">
        <v>112</v>
      </c>
    </row>
    <row r="398" spans="1:8" x14ac:dyDescent="0.35">
      <c r="A398" s="1" t="str">
        <f t="shared" si="6"/>
        <v/>
      </c>
      <c r="B39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398" s="1" t="s">
        <v>172</v>
      </c>
      <c r="D398" s="1" t="s">
        <v>110</v>
      </c>
      <c r="E398" s="1" t="s">
        <v>111</v>
      </c>
      <c r="F398" s="1" t="s">
        <v>112</v>
      </c>
      <c r="G398" s="1" t="s">
        <v>113</v>
      </c>
    </row>
    <row r="399" spans="1:8" x14ac:dyDescent="0.35">
      <c r="A399" s="1" t="str">
        <f t="shared" si="6"/>
        <v>11</v>
      </c>
      <c r="B399"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399" s="1" t="s">
        <v>1008</v>
      </c>
      <c r="D399" s="1" t="s">
        <v>1009</v>
      </c>
      <c r="E399" s="1" t="s">
        <v>1010</v>
      </c>
      <c r="F399" s="1" t="s">
        <v>112</v>
      </c>
      <c r="G399" s="1">
        <v>50116</v>
      </c>
    </row>
    <row r="400" spans="1:8" x14ac:dyDescent="0.35">
      <c r="A400" s="1" t="str">
        <f t="shared" si="6"/>
        <v>11</v>
      </c>
      <c r="B400"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400" s="1" t="s">
        <v>1011</v>
      </c>
      <c r="D400" s="1" t="s">
        <v>1012</v>
      </c>
      <c r="E400" s="1" t="s">
        <v>1013</v>
      </c>
      <c r="F400" s="1" t="s">
        <v>112</v>
      </c>
      <c r="G400" s="1">
        <v>89353</v>
      </c>
    </row>
    <row r="401" spans="1:7" x14ac:dyDescent="0.35">
      <c r="A401" s="1" t="str">
        <f t="shared" si="6"/>
        <v>11</v>
      </c>
      <c r="B401"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401" s="1" t="s">
        <v>1014</v>
      </c>
      <c r="D401" s="1" t="s">
        <v>1015</v>
      </c>
      <c r="E401" s="1" t="s">
        <v>1016</v>
      </c>
      <c r="F401" s="1" t="s">
        <v>112</v>
      </c>
      <c r="G401" s="1">
        <v>10664</v>
      </c>
    </row>
    <row r="402" spans="1:7" x14ac:dyDescent="0.35">
      <c r="A402" s="1" t="str">
        <f t="shared" si="6"/>
        <v>11</v>
      </c>
      <c r="B40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402" s="1" t="s">
        <v>1017</v>
      </c>
      <c r="D402" s="1" t="s">
        <v>1018</v>
      </c>
      <c r="E402" s="1" t="s">
        <v>1019</v>
      </c>
      <c r="F402" s="1" t="s">
        <v>112</v>
      </c>
      <c r="G402" s="1">
        <v>104343</v>
      </c>
    </row>
    <row r="403" spans="1:7" x14ac:dyDescent="0.35">
      <c r="A403" s="1" t="str">
        <f t="shared" si="6"/>
        <v>11</v>
      </c>
      <c r="B40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403" s="1" t="s">
        <v>1020</v>
      </c>
      <c r="D403" s="1" t="s">
        <v>1021</v>
      </c>
      <c r="E403" s="1" t="s">
        <v>1022</v>
      </c>
      <c r="F403" s="1" t="s">
        <v>112</v>
      </c>
      <c r="G403" s="1">
        <v>82648</v>
      </c>
    </row>
    <row r="404" spans="1:7" x14ac:dyDescent="0.35">
      <c r="A404" s="1" t="str">
        <f t="shared" si="6"/>
        <v>11</v>
      </c>
      <c r="B40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404" s="1" t="s">
        <v>1023</v>
      </c>
      <c r="D404" s="1" t="s">
        <v>1024</v>
      </c>
      <c r="E404" s="1" t="s">
        <v>1025</v>
      </c>
      <c r="F404" s="1" t="s">
        <v>112</v>
      </c>
      <c r="G404" s="1">
        <v>209356</v>
      </c>
    </row>
    <row r="405" spans="1:7" x14ac:dyDescent="0.35">
      <c r="A405" s="1" t="str">
        <f t="shared" si="6"/>
        <v>11</v>
      </c>
      <c r="B40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405" s="1" t="s">
        <v>1026</v>
      </c>
      <c r="D405" s="1" t="s">
        <v>1027</v>
      </c>
      <c r="E405" s="1" t="s">
        <v>1028</v>
      </c>
      <c r="F405" s="1" t="s">
        <v>112</v>
      </c>
      <c r="G405" s="1">
        <v>159391</v>
      </c>
    </row>
    <row r="406" spans="1:7" x14ac:dyDescent="0.35">
      <c r="A406" s="1" t="str">
        <f t="shared" si="6"/>
        <v>11</v>
      </c>
      <c r="B406"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406" s="1" t="s">
        <v>1029</v>
      </c>
      <c r="D406" s="1" t="s">
        <v>1030</v>
      </c>
      <c r="E406" s="1" t="s">
        <v>1031</v>
      </c>
      <c r="F406" s="1" t="s">
        <v>112</v>
      </c>
      <c r="G406" s="1">
        <v>187358</v>
      </c>
    </row>
    <row r="407" spans="1:7" x14ac:dyDescent="0.35">
      <c r="A407" s="1" t="str">
        <f t="shared" si="6"/>
        <v>11</v>
      </c>
      <c r="B407"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407" s="1" t="s">
        <v>1032</v>
      </c>
      <c r="D407" s="1" t="s">
        <v>1033</v>
      </c>
      <c r="E407" s="1" t="s">
        <v>1034</v>
      </c>
      <c r="F407" s="1" t="s">
        <v>112</v>
      </c>
      <c r="G407" s="1">
        <v>145742</v>
      </c>
    </row>
    <row r="408" spans="1:7" x14ac:dyDescent="0.35">
      <c r="A408" s="1" t="str">
        <f t="shared" si="6"/>
        <v>11</v>
      </c>
      <c r="B40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408" s="1" t="s">
        <v>1035</v>
      </c>
      <c r="D408" s="1" t="s">
        <v>1036</v>
      </c>
      <c r="E408" s="1" t="s">
        <v>1037</v>
      </c>
      <c r="F408" s="1" t="s">
        <v>112</v>
      </c>
      <c r="G408" s="1">
        <v>12870</v>
      </c>
    </row>
    <row r="409" spans="1:7" x14ac:dyDescent="0.35">
      <c r="A409" s="1" t="str">
        <f t="shared" si="6"/>
        <v>11</v>
      </c>
      <c r="B409"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409" s="1" t="s">
        <v>1038</v>
      </c>
      <c r="D409" s="1" t="s">
        <v>1039</v>
      </c>
      <c r="E409" s="1" t="s">
        <v>1040</v>
      </c>
      <c r="F409" s="1" t="s">
        <v>112</v>
      </c>
      <c r="G409" s="1">
        <v>301283</v>
      </c>
    </row>
    <row r="410" spans="1:7" x14ac:dyDescent="0.35">
      <c r="A410" s="1" t="str">
        <f t="shared" si="6"/>
        <v>11</v>
      </c>
      <c r="B410"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410" s="1" t="s">
        <v>1041</v>
      </c>
      <c r="D410" s="1" t="s">
        <v>1042</v>
      </c>
      <c r="E410" s="1" t="s">
        <v>1043</v>
      </c>
      <c r="F410" s="1" t="s">
        <v>112</v>
      </c>
      <c r="G410" s="1">
        <v>95236</v>
      </c>
    </row>
    <row r="411" spans="1:7" x14ac:dyDescent="0.35">
      <c r="A411" s="1" t="str">
        <f t="shared" si="6"/>
        <v>11</v>
      </c>
      <c r="B411"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411" s="1" t="s">
        <v>1044</v>
      </c>
      <c r="D411" s="1" t="s">
        <v>1045</v>
      </c>
      <c r="E411" s="1" t="s">
        <v>1046</v>
      </c>
      <c r="F411" s="1" t="s">
        <v>112</v>
      </c>
      <c r="G411" s="1">
        <v>16893</v>
      </c>
    </row>
    <row r="412" spans="1:7" x14ac:dyDescent="0.35">
      <c r="A412" s="1" t="str">
        <f t="shared" si="6"/>
        <v>11</v>
      </c>
      <c r="B41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412" s="1" t="s">
        <v>1047</v>
      </c>
      <c r="D412" s="1" t="s">
        <v>1048</v>
      </c>
      <c r="E412" s="1" t="s">
        <v>1049</v>
      </c>
      <c r="F412" s="1" t="s">
        <v>112</v>
      </c>
      <c r="G412" s="1">
        <v>43217</v>
      </c>
    </row>
    <row r="413" spans="1:7" x14ac:dyDescent="0.35">
      <c r="A413" s="1" t="str">
        <f t="shared" si="6"/>
        <v>11</v>
      </c>
      <c r="B41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413" s="1" t="s">
        <v>1050</v>
      </c>
      <c r="D413" s="1" t="s">
        <v>1051</v>
      </c>
      <c r="E413" s="1" t="s">
        <v>1052</v>
      </c>
      <c r="F413" s="1" t="s">
        <v>112</v>
      </c>
      <c r="G413" s="1">
        <v>13043</v>
      </c>
    </row>
    <row r="414" spans="1:7" x14ac:dyDescent="0.35">
      <c r="A414" s="1" t="str">
        <f t="shared" si="6"/>
        <v>11</v>
      </c>
      <c r="B41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414" s="1" t="s">
        <v>1053</v>
      </c>
      <c r="D414" s="1" t="s">
        <v>1054</v>
      </c>
      <c r="E414" s="1" t="s">
        <v>1055</v>
      </c>
      <c r="F414" s="1" t="s">
        <v>112</v>
      </c>
      <c r="G414" s="1">
        <v>194388</v>
      </c>
    </row>
    <row r="415" spans="1:7" x14ac:dyDescent="0.35">
      <c r="A415" s="1" t="str">
        <f t="shared" si="6"/>
        <v>11</v>
      </c>
      <c r="B41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415" s="1" t="s">
        <v>1056</v>
      </c>
      <c r="D415" s="1" t="s">
        <v>1057</v>
      </c>
      <c r="E415" s="1" t="s">
        <v>1058</v>
      </c>
      <c r="F415" s="1" t="s">
        <v>112</v>
      </c>
      <c r="G415" s="1">
        <v>344023</v>
      </c>
    </row>
    <row r="416" spans="1:7" x14ac:dyDescent="0.35">
      <c r="A416" s="1" t="str">
        <f t="shared" si="6"/>
        <v>11</v>
      </c>
      <c r="B416"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416" s="1" t="s">
        <v>1059</v>
      </c>
      <c r="D416" s="1" t="s">
        <v>1060</v>
      </c>
      <c r="E416" s="1" t="s">
        <v>1061</v>
      </c>
      <c r="F416" s="1" t="s">
        <v>112</v>
      </c>
      <c r="G416" s="1">
        <v>244569</v>
      </c>
    </row>
    <row r="417" spans="1:8" x14ac:dyDescent="0.35">
      <c r="A417" s="1" t="str">
        <f t="shared" si="6"/>
        <v>11</v>
      </c>
      <c r="B417"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417" s="1" t="s">
        <v>1062</v>
      </c>
      <c r="D417" s="1" t="s">
        <v>1063</v>
      </c>
      <c r="E417" s="1" t="s">
        <v>1064</v>
      </c>
      <c r="F417" s="1" t="s">
        <v>112</v>
      </c>
      <c r="G417" s="1">
        <v>65863</v>
      </c>
    </row>
    <row r="418" spans="1:8" x14ac:dyDescent="0.35">
      <c r="A418" s="1" t="str">
        <f t="shared" si="6"/>
        <v>11</v>
      </c>
      <c r="B41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418" s="1" t="s">
        <v>1065</v>
      </c>
      <c r="D418" s="1" t="s">
        <v>1066</v>
      </c>
      <c r="E418" s="1" t="s">
        <v>1067</v>
      </c>
      <c r="F418" s="1" t="s">
        <v>112</v>
      </c>
      <c r="G418" s="1">
        <v>275716</v>
      </c>
    </row>
    <row r="419" spans="1:8" x14ac:dyDescent="0.35">
      <c r="A419" s="1" t="str">
        <f t="shared" si="6"/>
        <v>11</v>
      </c>
      <c r="B419"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419" s="1" t="s">
        <v>1068</v>
      </c>
      <c r="D419" s="1">
        <v>0</v>
      </c>
      <c r="E419" s="1">
        <v>0</v>
      </c>
      <c r="F419" s="1" t="s">
        <v>112</v>
      </c>
      <c r="G419" s="1">
        <v>0</v>
      </c>
    </row>
    <row r="420" spans="1:8" x14ac:dyDescent="0.35">
      <c r="A420" s="1" t="str">
        <f t="shared" si="6"/>
        <v>11</v>
      </c>
      <c r="B420"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420" s="1" t="s">
        <v>1069</v>
      </c>
      <c r="D420" s="1" t="s">
        <v>1070</v>
      </c>
      <c r="E420" s="1" t="s">
        <v>1071</v>
      </c>
      <c r="F420" s="1" t="s">
        <v>112</v>
      </c>
      <c r="G420" s="1">
        <v>58617</v>
      </c>
    </row>
    <row r="421" spans="1:8" x14ac:dyDescent="0.35">
      <c r="A421" s="1" t="str">
        <f t="shared" si="6"/>
        <v>11</v>
      </c>
      <c r="B421"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421" s="1" t="s">
        <v>1072</v>
      </c>
      <c r="D421" s="1" t="s">
        <v>988</v>
      </c>
      <c r="E421" s="1" t="s">
        <v>1073</v>
      </c>
      <c r="F421" s="1" t="s">
        <v>112</v>
      </c>
      <c r="G421" s="1">
        <v>14146</v>
      </c>
    </row>
    <row r="422" spans="1:8" x14ac:dyDescent="0.35">
      <c r="A422" s="1" t="str">
        <f t="shared" si="6"/>
        <v>11</v>
      </c>
      <c r="B42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422" s="1" t="s">
        <v>1074</v>
      </c>
      <c r="D422" s="1" t="s">
        <v>1075</v>
      </c>
      <c r="E422" s="1" t="s">
        <v>1076</v>
      </c>
      <c r="F422" s="1" t="s">
        <v>112</v>
      </c>
      <c r="G422" s="1">
        <v>75142</v>
      </c>
    </row>
    <row r="423" spans="1:8" x14ac:dyDescent="0.35">
      <c r="A423" s="1" t="str">
        <f t="shared" si="6"/>
        <v/>
      </c>
      <c r="B42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423" s="1" t="s">
        <v>112</v>
      </c>
    </row>
    <row r="424" spans="1:8" x14ac:dyDescent="0.35">
      <c r="A424" s="1" t="str">
        <f t="shared" si="6"/>
        <v/>
      </c>
      <c r="B42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424" s="1" t="s">
        <v>226</v>
      </c>
      <c r="D424" s="1" t="s">
        <v>112</v>
      </c>
      <c r="E424" s="1" t="s">
        <v>227</v>
      </c>
      <c r="F424" s="1" t="s">
        <v>228</v>
      </c>
      <c r="G424" s="1" t="s">
        <v>229</v>
      </c>
      <c r="H424" s="1" t="s">
        <v>230</v>
      </c>
    </row>
    <row r="425" spans="1:8" x14ac:dyDescent="0.35">
      <c r="A425" s="1" t="str">
        <f t="shared" si="6"/>
        <v>11</v>
      </c>
      <c r="B42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 xml:space="preserve"> </v>
      </c>
      <c r="C425" s="1" t="s">
        <v>1077</v>
      </c>
      <c r="D425" s="1" t="s">
        <v>112</v>
      </c>
      <c r="E425" s="1" t="s">
        <v>1078</v>
      </c>
      <c r="F425" s="1" t="s">
        <v>1079</v>
      </c>
      <c r="G425" s="1" t="s">
        <v>1080</v>
      </c>
      <c r="H425" s="1" t="s">
        <v>1081</v>
      </c>
    </row>
    <row r="426" spans="1:8" x14ac:dyDescent="0.35">
      <c r="A426" s="1" t="str">
        <f t="shared" si="6"/>
        <v/>
      </c>
      <c r="B42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426" s="1" t="s">
        <v>112</v>
      </c>
    </row>
    <row r="427" spans="1:8" x14ac:dyDescent="0.35">
      <c r="A427" s="1" t="str">
        <f t="shared" si="6"/>
        <v/>
      </c>
      <c r="B42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427" s="1" t="s">
        <v>112</v>
      </c>
    </row>
    <row r="428" spans="1:8" x14ac:dyDescent="0.35">
      <c r="A428" s="1" t="str">
        <f t="shared" si="6"/>
        <v/>
      </c>
      <c r="B42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428" s="1" t="s">
        <v>112</v>
      </c>
    </row>
    <row r="429" spans="1:8" x14ac:dyDescent="0.35">
      <c r="A429" s="1" t="str">
        <f t="shared" si="6"/>
        <v/>
      </c>
      <c r="B42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429" s="1" t="s">
        <v>112</v>
      </c>
    </row>
    <row r="430" spans="1:8" x14ac:dyDescent="0.35">
      <c r="A430" s="1" t="str">
        <f t="shared" si="6"/>
        <v/>
      </c>
      <c r="B43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430" s="1" t="s">
        <v>112</v>
      </c>
    </row>
    <row r="431" spans="1:8" x14ac:dyDescent="0.35">
      <c r="A431" s="1" t="str">
        <f t="shared" si="6"/>
        <v/>
      </c>
      <c r="B43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431" s="1" t="s">
        <v>172</v>
      </c>
      <c r="D431" s="1" t="s">
        <v>110</v>
      </c>
      <c r="E431" s="1" t="s">
        <v>111</v>
      </c>
      <c r="F431" s="1" t="s">
        <v>112</v>
      </c>
      <c r="G431" s="1" t="s">
        <v>113</v>
      </c>
    </row>
    <row r="432" spans="1:8" x14ac:dyDescent="0.35">
      <c r="A432" s="1" t="str">
        <f t="shared" si="6"/>
        <v>12</v>
      </c>
      <c r="B43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432" s="1" t="s">
        <v>1082</v>
      </c>
      <c r="D432" s="1" t="s">
        <v>1083</v>
      </c>
      <c r="E432" s="1" t="s">
        <v>1084</v>
      </c>
      <c r="F432" s="1" t="s">
        <v>112</v>
      </c>
      <c r="G432" s="1">
        <v>220755</v>
      </c>
    </row>
    <row r="433" spans="1:7" x14ac:dyDescent="0.35">
      <c r="A433" s="1" t="str">
        <f t="shared" si="6"/>
        <v>12</v>
      </c>
      <c r="B43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433" s="1" t="s">
        <v>1085</v>
      </c>
      <c r="D433" s="1" t="s">
        <v>580</v>
      </c>
      <c r="E433" s="1" t="s">
        <v>1086</v>
      </c>
      <c r="F433" s="1" t="s">
        <v>112</v>
      </c>
      <c r="G433" s="1">
        <v>3937</v>
      </c>
    </row>
    <row r="434" spans="1:7" x14ac:dyDescent="0.35">
      <c r="A434" s="1" t="str">
        <f t="shared" si="6"/>
        <v>12</v>
      </c>
      <c r="B43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434" s="1" t="s">
        <v>1087</v>
      </c>
      <c r="D434" s="1" t="s">
        <v>1088</v>
      </c>
      <c r="E434" s="1" t="s">
        <v>1089</v>
      </c>
      <c r="F434" s="1" t="s">
        <v>112</v>
      </c>
      <c r="G434" s="1">
        <v>275630</v>
      </c>
    </row>
    <row r="435" spans="1:7" x14ac:dyDescent="0.35">
      <c r="A435" s="1" t="str">
        <f t="shared" si="6"/>
        <v>12</v>
      </c>
      <c r="B43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435" s="1" t="s">
        <v>1090</v>
      </c>
      <c r="D435" s="1" t="s">
        <v>964</v>
      </c>
      <c r="E435" s="1" t="s">
        <v>1091</v>
      </c>
      <c r="F435" s="1" t="s">
        <v>112</v>
      </c>
      <c r="G435" s="1">
        <v>150674</v>
      </c>
    </row>
    <row r="436" spans="1:7" x14ac:dyDescent="0.35">
      <c r="A436" s="1" t="str">
        <f t="shared" si="6"/>
        <v>12</v>
      </c>
      <c r="B436"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436" s="1" t="s">
        <v>1092</v>
      </c>
      <c r="D436" s="1" t="s">
        <v>1093</v>
      </c>
      <c r="E436" s="1" t="s">
        <v>1094</v>
      </c>
      <c r="F436" s="1" t="s">
        <v>112</v>
      </c>
      <c r="G436" s="1">
        <v>109901</v>
      </c>
    </row>
    <row r="437" spans="1:7" x14ac:dyDescent="0.35">
      <c r="A437" s="1" t="str">
        <f t="shared" si="6"/>
        <v>12</v>
      </c>
      <c r="B437"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437" s="1" t="s">
        <v>1095</v>
      </c>
      <c r="D437" s="1" t="s">
        <v>1096</v>
      </c>
      <c r="E437" s="1" t="s">
        <v>1097</v>
      </c>
      <c r="F437" s="1" t="s">
        <v>112</v>
      </c>
      <c r="G437" s="1">
        <v>133197</v>
      </c>
    </row>
    <row r="438" spans="1:7" x14ac:dyDescent="0.35">
      <c r="A438" s="1" t="str">
        <f t="shared" si="6"/>
        <v>12</v>
      </c>
      <c r="B43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438" s="1" t="s">
        <v>1098</v>
      </c>
      <c r="D438" s="1" t="s">
        <v>1099</v>
      </c>
      <c r="E438" s="1" t="s">
        <v>1100</v>
      </c>
      <c r="F438" s="1" t="s">
        <v>112</v>
      </c>
      <c r="G438" s="1">
        <v>256314</v>
      </c>
    </row>
    <row r="439" spans="1:7" x14ac:dyDescent="0.35">
      <c r="A439" s="1" t="str">
        <f t="shared" si="6"/>
        <v>12</v>
      </c>
      <c r="B439"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439" s="1" t="s">
        <v>1101</v>
      </c>
      <c r="D439" s="1" t="s">
        <v>1102</v>
      </c>
      <c r="E439" s="1" t="s">
        <v>1103</v>
      </c>
      <c r="F439" s="1" t="s">
        <v>112</v>
      </c>
      <c r="G439" s="1">
        <v>203234</v>
      </c>
    </row>
    <row r="440" spans="1:7" x14ac:dyDescent="0.35">
      <c r="A440" s="1" t="str">
        <f t="shared" si="6"/>
        <v>12</v>
      </c>
      <c r="B440"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440" s="1" t="s">
        <v>1104</v>
      </c>
      <c r="D440" s="1" t="s">
        <v>626</v>
      </c>
      <c r="E440" s="1" t="s">
        <v>1105</v>
      </c>
      <c r="F440" s="1" t="s">
        <v>112</v>
      </c>
      <c r="G440" s="1">
        <v>215693</v>
      </c>
    </row>
    <row r="441" spans="1:7" x14ac:dyDescent="0.35">
      <c r="A441" s="1" t="str">
        <f t="shared" si="6"/>
        <v>12</v>
      </c>
      <c r="B441"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441" s="1" t="s">
        <v>1106</v>
      </c>
      <c r="D441" s="1" t="s">
        <v>1107</v>
      </c>
      <c r="E441" s="1" t="s">
        <v>1108</v>
      </c>
      <c r="F441" s="1" t="s">
        <v>112</v>
      </c>
      <c r="G441" s="1">
        <v>219349</v>
      </c>
    </row>
    <row r="442" spans="1:7" x14ac:dyDescent="0.35">
      <c r="A442" s="1" t="str">
        <f t="shared" si="6"/>
        <v>12</v>
      </c>
      <c r="B44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442" s="1" t="s">
        <v>1109</v>
      </c>
      <c r="D442" s="1" t="s">
        <v>1110</v>
      </c>
      <c r="E442" s="1" t="s">
        <v>1111</v>
      </c>
      <c r="F442" s="1" t="s">
        <v>112</v>
      </c>
      <c r="G442" s="1">
        <v>157768</v>
      </c>
    </row>
    <row r="443" spans="1:7" x14ac:dyDescent="0.35">
      <c r="A443" s="1" t="str">
        <f t="shared" si="6"/>
        <v>12</v>
      </c>
      <c r="B44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443" s="1" t="s">
        <v>1112</v>
      </c>
      <c r="D443" s="1" t="s">
        <v>655</v>
      </c>
      <c r="E443" s="1" t="s">
        <v>1113</v>
      </c>
      <c r="F443" s="1" t="s">
        <v>112</v>
      </c>
      <c r="G443" s="1">
        <v>90283</v>
      </c>
    </row>
    <row r="444" spans="1:7" x14ac:dyDescent="0.35">
      <c r="A444" s="1" t="str">
        <f t="shared" si="6"/>
        <v>12</v>
      </c>
      <c r="B44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444" s="1" t="s">
        <v>1114</v>
      </c>
    </row>
    <row r="445" spans="1:7" x14ac:dyDescent="0.35">
      <c r="A445" s="1" t="str">
        <f t="shared" si="6"/>
        <v>12</v>
      </c>
      <c r="B44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445" s="1" t="s">
        <v>1115</v>
      </c>
      <c r="D445" s="1" t="s">
        <v>620</v>
      </c>
      <c r="E445" s="1" t="s">
        <v>1116</v>
      </c>
      <c r="F445" s="1" t="s">
        <v>112</v>
      </c>
      <c r="G445" s="1">
        <v>83621</v>
      </c>
    </row>
    <row r="446" spans="1:7" x14ac:dyDescent="0.35">
      <c r="A446" s="1" t="str">
        <f t="shared" si="6"/>
        <v>12</v>
      </c>
      <c r="B446"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446" s="1" t="s">
        <v>1117</v>
      </c>
      <c r="D446" s="1" t="s">
        <v>565</v>
      </c>
      <c r="E446" s="1" t="s">
        <v>1118</v>
      </c>
      <c r="F446" s="1" t="s">
        <v>112</v>
      </c>
      <c r="G446" s="1">
        <v>221014</v>
      </c>
    </row>
    <row r="447" spans="1:7" x14ac:dyDescent="0.35">
      <c r="A447" s="1" t="str">
        <f t="shared" si="6"/>
        <v>12</v>
      </c>
      <c r="B447"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447" s="1" t="s">
        <v>1119</v>
      </c>
      <c r="D447" s="1" t="s">
        <v>1120</v>
      </c>
      <c r="E447" s="1" t="s">
        <v>1121</v>
      </c>
      <c r="F447" s="1" t="s">
        <v>112</v>
      </c>
      <c r="G447" s="1">
        <v>125799</v>
      </c>
    </row>
    <row r="448" spans="1:7" x14ac:dyDescent="0.35">
      <c r="A448" s="1" t="str">
        <f t="shared" si="6"/>
        <v>12</v>
      </c>
      <c r="B44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448" s="1" t="s">
        <v>1122</v>
      </c>
    </row>
    <row r="449" spans="1:8" x14ac:dyDescent="0.35">
      <c r="A449" s="1" t="str">
        <f t="shared" si="6"/>
        <v>12</v>
      </c>
      <c r="B449"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449" s="1" t="s">
        <v>1123</v>
      </c>
      <c r="D449" s="1" t="s">
        <v>1093</v>
      </c>
      <c r="E449" s="1" t="s">
        <v>1124</v>
      </c>
      <c r="F449" s="1" t="s">
        <v>112</v>
      </c>
      <c r="G449" s="1">
        <v>105186</v>
      </c>
    </row>
    <row r="450" spans="1:8" x14ac:dyDescent="0.35">
      <c r="A450" s="1" t="str">
        <f t="shared" ref="A450:A513" si="7">IFERROR(LEFT(RIGHT(C450,LEN(C450)-SEARCH("@",C450)),SEARCH("/",RIGHT(C450,LEN(C450)-SEARCH("@",C450)-1))),"")</f>
        <v>12</v>
      </c>
      <c r="B450"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450" s="1" t="s">
        <v>1125</v>
      </c>
      <c r="D450" s="1" t="s">
        <v>1126</v>
      </c>
      <c r="E450" s="1" t="s">
        <v>1127</v>
      </c>
      <c r="F450" s="1" t="s">
        <v>112</v>
      </c>
      <c r="G450" s="1">
        <v>177452</v>
      </c>
    </row>
    <row r="451" spans="1:8" x14ac:dyDescent="0.35">
      <c r="A451" s="1" t="str">
        <f t="shared" si="7"/>
        <v>12</v>
      </c>
      <c r="B451"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451" s="1" t="s">
        <v>1128</v>
      </c>
      <c r="D451" s="1" t="s">
        <v>1129</v>
      </c>
      <c r="E451" s="1" t="s">
        <v>1130</v>
      </c>
      <c r="F451" s="1" t="s">
        <v>112</v>
      </c>
      <c r="G451" s="1">
        <v>177192</v>
      </c>
    </row>
    <row r="452" spans="1:8" x14ac:dyDescent="0.35">
      <c r="A452" s="1" t="str">
        <f t="shared" si="7"/>
        <v>12</v>
      </c>
      <c r="B45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452" s="1" t="s">
        <v>1131</v>
      </c>
      <c r="D452" s="1" t="s">
        <v>276</v>
      </c>
      <c r="E452" s="1" t="s">
        <v>1132</v>
      </c>
      <c r="F452" s="1" t="s">
        <v>112</v>
      </c>
      <c r="G452" s="1">
        <v>206933</v>
      </c>
    </row>
    <row r="453" spans="1:8" x14ac:dyDescent="0.35">
      <c r="A453" s="1" t="str">
        <f t="shared" si="7"/>
        <v>12</v>
      </c>
      <c r="B45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453" s="1" t="s">
        <v>1133</v>
      </c>
      <c r="D453" s="1" t="s">
        <v>1134</v>
      </c>
      <c r="E453" s="1" t="s">
        <v>1135</v>
      </c>
      <c r="F453" s="1" t="s">
        <v>112</v>
      </c>
      <c r="G453" s="1">
        <v>343439</v>
      </c>
    </row>
    <row r="454" spans="1:8" x14ac:dyDescent="0.35">
      <c r="A454" s="1" t="str">
        <f t="shared" si="7"/>
        <v>12</v>
      </c>
      <c r="B45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454" s="1" t="s">
        <v>1136</v>
      </c>
      <c r="D454" s="1" t="s">
        <v>663</v>
      </c>
      <c r="E454" s="1" t="s">
        <v>1137</v>
      </c>
      <c r="F454" s="1" t="s">
        <v>112</v>
      </c>
      <c r="G454" s="1">
        <v>333641</v>
      </c>
    </row>
    <row r="455" spans="1:8" x14ac:dyDescent="0.35">
      <c r="A455" s="1" t="str">
        <f t="shared" si="7"/>
        <v>12</v>
      </c>
      <c r="B45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455" s="1" t="s">
        <v>1138</v>
      </c>
      <c r="D455" s="1" t="s">
        <v>1139</v>
      </c>
      <c r="E455" s="1" t="s">
        <v>1140</v>
      </c>
      <c r="F455" s="1" t="s">
        <v>112</v>
      </c>
      <c r="G455" s="1">
        <v>2055</v>
      </c>
    </row>
    <row r="456" spans="1:8" x14ac:dyDescent="0.35">
      <c r="A456" s="1" t="str">
        <f t="shared" si="7"/>
        <v/>
      </c>
      <c r="B45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456" s="1" t="s">
        <v>112</v>
      </c>
    </row>
    <row r="457" spans="1:8" x14ac:dyDescent="0.35">
      <c r="A457" s="1" t="str">
        <f t="shared" si="7"/>
        <v/>
      </c>
      <c r="B45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457" s="1" t="s">
        <v>226</v>
      </c>
      <c r="D457" s="1" t="s">
        <v>112</v>
      </c>
      <c r="E457" s="1" t="s">
        <v>227</v>
      </c>
      <c r="F457" s="1" t="s">
        <v>228</v>
      </c>
      <c r="G457" s="1" t="s">
        <v>229</v>
      </c>
      <c r="H457" s="1" t="s">
        <v>230</v>
      </c>
    </row>
    <row r="458" spans="1:8" x14ac:dyDescent="0.35">
      <c r="A458" s="1" t="str">
        <f t="shared" si="7"/>
        <v>12</v>
      </c>
      <c r="B45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 xml:space="preserve"> </v>
      </c>
      <c r="C458" s="1" t="s">
        <v>1141</v>
      </c>
      <c r="D458" s="1" t="s">
        <v>112</v>
      </c>
      <c r="E458" s="1" t="s">
        <v>1142</v>
      </c>
      <c r="F458" s="1" t="s">
        <v>1143</v>
      </c>
      <c r="G458" s="1" t="s">
        <v>1144</v>
      </c>
      <c r="H458" s="1" t="s">
        <v>1145</v>
      </c>
    </row>
    <row r="459" spans="1:8" x14ac:dyDescent="0.35">
      <c r="A459" s="1" t="str">
        <f t="shared" si="7"/>
        <v/>
      </c>
      <c r="B45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459" s="1" t="s">
        <v>112</v>
      </c>
    </row>
    <row r="460" spans="1:8" x14ac:dyDescent="0.35">
      <c r="A460" s="1" t="str">
        <f t="shared" si="7"/>
        <v/>
      </c>
      <c r="B46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460" s="1" t="s">
        <v>112</v>
      </c>
    </row>
    <row r="461" spans="1:8" x14ac:dyDescent="0.35">
      <c r="A461" s="1" t="str">
        <f t="shared" si="7"/>
        <v/>
      </c>
      <c r="B46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461" s="1" t="s">
        <v>112</v>
      </c>
    </row>
    <row r="462" spans="1:8" x14ac:dyDescent="0.35">
      <c r="A462" s="1" t="str">
        <f t="shared" si="7"/>
        <v/>
      </c>
      <c r="B46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462" s="1" t="s">
        <v>112</v>
      </c>
    </row>
    <row r="463" spans="1:8" x14ac:dyDescent="0.35">
      <c r="A463" s="1" t="str">
        <f t="shared" si="7"/>
        <v/>
      </c>
      <c r="B46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463" s="1" t="s">
        <v>112</v>
      </c>
    </row>
    <row r="464" spans="1:8" x14ac:dyDescent="0.35">
      <c r="A464" s="1" t="str">
        <f t="shared" si="7"/>
        <v/>
      </c>
      <c r="B46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464" s="1" t="s">
        <v>172</v>
      </c>
      <c r="D464" s="1" t="s">
        <v>110</v>
      </c>
      <c r="E464" s="1" t="s">
        <v>111</v>
      </c>
      <c r="F464" s="1" t="s">
        <v>112</v>
      </c>
      <c r="G464" s="1" t="s">
        <v>113</v>
      </c>
    </row>
    <row r="465" spans="1:7" x14ac:dyDescent="0.35">
      <c r="A465" s="1" t="str">
        <f t="shared" si="7"/>
        <v>17</v>
      </c>
      <c r="B46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465" s="1" t="s">
        <v>1146</v>
      </c>
      <c r="D465" s="1" t="s">
        <v>1147</v>
      </c>
      <c r="E465" s="1" t="s">
        <v>1148</v>
      </c>
      <c r="F465" s="1" t="s">
        <v>112</v>
      </c>
      <c r="G465" s="1">
        <v>380167</v>
      </c>
    </row>
    <row r="466" spans="1:7" x14ac:dyDescent="0.35">
      <c r="A466" s="1" t="str">
        <f t="shared" si="7"/>
        <v>17</v>
      </c>
      <c r="B466"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466" s="1" t="s">
        <v>1149</v>
      </c>
      <c r="D466" s="1" t="s">
        <v>538</v>
      </c>
      <c r="E466" s="1" t="s">
        <v>1150</v>
      </c>
      <c r="F466" s="1" t="s">
        <v>112</v>
      </c>
      <c r="G466" s="1">
        <v>178793</v>
      </c>
    </row>
    <row r="467" spans="1:7" x14ac:dyDescent="0.35">
      <c r="A467" s="1" t="str">
        <f t="shared" si="7"/>
        <v>17</v>
      </c>
      <c r="B467"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467" s="1" t="s">
        <v>1151</v>
      </c>
      <c r="D467" s="1" t="s">
        <v>1152</v>
      </c>
      <c r="E467" s="1" t="s">
        <v>1153</v>
      </c>
      <c r="F467" s="1" t="s">
        <v>112</v>
      </c>
      <c r="G467" s="1">
        <v>90846</v>
      </c>
    </row>
    <row r="468" spans="1:7" x14ac:dyDescent="0.35">
      <c r="A468" s="1" t="str">
        <f t="shared" si="7"/>
        <v>17</v>
      </c>
      <c r="B46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468" s="1" t="s">
        <v>1154</v>
      </c>
      <c r="D468" s="1" t="s">
        <v>584</v>
      </c>
      <c r="E468" s="1" t="s">
        <v>1155</v>
      </c>
      <c r="F468" s="1" t="s">
        <v>112</v>
      </c>
      <c r="G468" s="1">
        <v>139426</v>
      </c>
    </row>
    <row r="469" spans="1:7" x14ac:dyDescent="0.35">
      <c r="A469" s="1" t="str">
        <f t="shared" si="7"/>
        <v>17</v>
      </c>
      <c r="B469"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469" s="1" t="s">
        <v>1156</v>
      </c>
      <c r="D469" s="1" t="s">
        <v>1157</v>
      </c>
      <c r="E469" s="1" t="s">
        <v>1158</v>
      </c>
      <c r="F469" s="1" t="s">
        <v>112</v>
      </c>
      <c r="G469" s="1">
        <v>426455</v>
      </c>
    </row>
    <row r="470" spans="1:7" x14ac:dyDescent="0.35">
      <c r="A470" s="1" t="str">
        <f t="shared" si="7"/>
        <v>17</v>
      </c>
      <c r="B470"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470" s="1" t="s">
        <v>1159</v>
      </c>
      <c r="D470" s="1" t="s">
        <v>1160</v>
      </c>
      <c r="E470" s="1" t="s">
        <v>1161</v>
      </c>
      <c r="F470" s="1" t="s">
        <v>112</v>
      </c>
      <c r="G470" s="1">
        <v>244829</v>
      </c>
    </row>
    <row r="471" spans="1:7" x14ac:dyDescent="0.35">
      <c r="A471" s="1" t="str">
        <f t="shared" si="7"/>
        <v>17</v>
      </c>
      <c r="B471"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471" s="1" t="s">
        <v>1162</v>
      </c>
      <c r="D471" s="1" t="s">
        <v>997</v>
      </c>
      <c r="E471" s="1" t="s">
        <v>1163</v>
      </c>
      <c r="F471" s="1" t="s">
        <v>112</v>
      </c>
      <c r="G471" s="1">
        <v>5278</v>
      </c>
    </row>
    <row r="472" spans="1:7" x14ac:dyDescent="0.35">
      <c r="A472" s="1" t="str">
        <f t="shared" si="7"/>
        <v>17</v>
      </c>
      <c r="B47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472" s="1" t="s">
        <v>1164</v>
      </c>
      <c r="D472" s="1" t="s">
        <v>210</v>
      </c>
      <c r="E472" s="1" t="s">
        <v>1165</v>
      </c>
      <c r="F472" s="1" t="s">
        <v>112</v>
      </c>
      <c r="G472" s="1">
        <v>25350</v>
      </c>
    </row>
    <row r="473" spans="1:7" x14ac:dyDescent="0.35">
      <c r="A473" s="1" t="str">
        <f t="shared" si="7"/>
        <v>17</v>
      </c>
      <c r="B47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473" s="1" t="s">
        <v>1166</v>
      </c>
      <c r="D473" s="1" t="s">
        <v>1167</v>
      </c>
      <c r="E473" s="1" t="s">
        <v>1168</v>
      </c>
      <c r="F473" s="1" t="s">
        <v>112</v>
      </c>
      <c r="G473" s="1">
        <v>34521</v>
      </c>
    </row>
    <row r="474" spans="1:7" x14ac:dyDescent="0.35">
      <c r="A474" s="1" t="str">
        <f t="shared" si="7"/>
        <v>17</v>
      </c>
      <c r="B47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474" s="1" t="s">
        <v>1169</v>
      </c>
      <c r="D474" s="1" t="s">
        <v>1170</v>
      </c>
      <c r="E474" s="1" t="s">
        <v>1171</v>
      </c>
      <c r="F474" s="1" t="s">
        <v>112</v>
      </c>
      <c r="G474" s="1">
        <v>202564</v>
      </c>
    </row>
    <row r="475" spans="1:7" x14ac:dyDescent="0.35">
      <c r="A475" s="1" t="str">
        <f t="shared" si="7"/>
        <v>17</v>
      </c>
      <c r="B47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475" s="1" t="s">
        <v>1172</v>
      </c>
      <c r="D475" s="1" t="s">
        <v>670</v>
      </c>
      <c r="E475" s="1" t="s">
        <v>1173</v>
      </c>
      <c r="F475" s="1" t="s">
        <v>112</v>
      </c>
      <c r="G475" s="1">
        <v>252637</v>
      </c>
    </row>
    <row r="476" spans="1:7" x14ac:dyDescent="0.35">
      <c r="A476" s="1" t="str">
        <f t="shared" si="7"/>
        <v>17</v>
      </c>
      <c r="B476"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476" s="1" t="s">
        <v>1174</v>
      </c>
      <c r="D476" s="1" t="s">
        <v>1175</v>
      </c>
      <c r="E476" s="1" t="s">
        <v>1176</v>
      </c>
      <c r="F476" s="1" t="s">
        <v>112</v>
      </c>
      <c r="G476" s="1">
        <v>128482</v>
      </c>
    </row>
    <row r="477" spans="1:7" x14ac:dyDescent="0.35">
      <c r="A477" s="1" t="str">
        <f t="shared" si="7"/>
        <v>17</v>
      </c>
      <c r="B477"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477" s="1" t="s">
        <v>1177</v>
      </c>
      <c r="D477" s="1" t="s">
        <v>1178</v>
      </c>
      <c r="E477" s="1" t="s">
        <v>1179</v>
      </c>
      <c r="F477" s="1" t="s">
        <v>112</v>
      </c>
      <c r="G477" s="1">
        <v>78495</v>
      </c>
    </row>
    <row r="478" spans="1:7" x14ac:dyDescent="0.35">
      <c r="A478" s="1" t="str">
        <f t="shared" si="7"/>
        <v>17</v>
      </c>
      <c r="B47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478" s="1" t="s">
        <v>1180</v>
      </c>
      <c r="D478" s="1" t="s">
        <v>1181</v>
      </c>
      <c r="E478" s="1" t="s">
        <v>1182</v>
      </c>
      <c r="F478" s="1" t="s">
        <v>112</v>
      </c>
      <c r="G478" s="1">
        <v>208577</v>
      </c>
    </row>
    <row r="479" spans="1:7" x14ac:dyDescent="0.35">
      <c r="A479" s="1" t="str">
        <f t="shared" si="7"/>
        <v>17</v>
      </c>
      <c r="B479"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479" s="1" t="s">
        <v>1183</v>
      </c>
      <c r="D479" s="1" t="s">
        <v>1184</v>
      </c>
      <c r="E479" s="1" t="s">
        <v>1185</v>
      </c>
      <c r="F479" s="1" t="s">
        <v>112</v>
      </c>
      <c r="G479" s="1">
        <v>148295</v>
      </c>
    </row>
    <row r="480" spans="1:7" x14ac:dyDescent="0.35">
      <c r="A480" s="1" t="str">
        <f t="shared" si="7"/>
        <v>17</v>
      </c>
      <c r="B480"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480" s="1" t="s">
        <v>1186</v>
      </c>
      <c r="D480" s="1" t="s">
        <v>1187</v>
      </c>
      <c r="E480" s="1" t="s">
        <v>1188</v>
      </c>
      <c r="F480" s="1" t="s">
        <v>112</v>
      </c>
      <c r="G480" s="1">
        <v>255687</v>
      </c>
    </row>
    <row r="481" spans="1:8" x14ac:dyDescent="0.35">
      <c r="A481" s="1" t="str">
        <f t="shared" si="7"/>
        <v>17</v>
      </c>
      <c r="B481"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481" s="1" t="s">
        <v>1189</v>
      </c>
      <c r="D481" s="1" t="s">
        <v>1190</v>
      </c>
      <c r="E481" s="1" t="s">
        <v>1191</v>
      </c>
      <c r="F481" s="1" t="s">
        <v>112</v>
      </c>
      <c r="G481" s="1">
        <v>152556</v>
      </c>
    </row>
    <row r="482" spans="1:8" x14ac:dyDescent="0.35">
      <c r="A482" s="1" t="str">
        <f t="shared" si="7"/>
        <v>17</v>
      </c>
      <c r="B48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482" s="1" t="s">
        <v>1192</v>
      </c>
      <c r="D482" s="1" t="s">
        <v>1015</v>
      </c>
      <c r="E482" s="1" t="s">
        <v>1193</v>
      </c>
      <c r="F482" s="1" t="s">
        <v>112</v>
      </c>
      <c r="G482" s="1">
        <v>11139</v>
      </c>
    </row>
    <row r="483" spans="1:8" x14ac:dyDescent="0.35">
      <c r="A483" s="1" t="str">
        <f t="shared" si="7"/>
        <v>17</v>
      </c>
      <c r="B48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483" s="1" t="s">
        <v>1194</v>
      </c>
      <c r="D483" s="1" t="s">
        <v>1195</v>
      </c>
      <c r="E483" s="1" t="s">
        <v>1196</v>
      </c>
      <c r="F483" s="1" t="s">
        <v>112</v>
      </c>
      <c r="G483" s="1">
        <v>493659</v>
      </c>
    </row>
    <row r="484" spans="1:8" x14ac:dyDescent="0.35">
      <c r="A484" s="1" t="str">
        <f t="shared" si="7"/>
        <v>17</v>
      </c>
      <c r="B48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484" s="1" t="s">
        <v>1197</v>
      </c>
      <c r="D484" s="1">
        <v>0</v>
      </c>
      <c r="E484" s="1">
        <v>0</v>
      </c>
      <c r="F484" s="1" t="s">
        <v>112</v>
      </c>
      <c r="G484" s="1">
        <v>0</v>
      </c>
    </row>
    <row r="485" spans="1:8" x14ac:dyDescent="0.35">
      <c r="A485" s="1" t="str">
        <f t="shared" si="7"/>
        <v>17</v>
      </c>
      <c r="B48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485" s="1" t="s">
        <v>1198</v>
      </c>
    </row>
    <row r="486" spans="1:8" x14ac:dyDescent="0.35">
      <c r="A486" s="1" t="str">
        <f t="shared" si="7"/>
        <v>17</v>
      </c>
      <c r="B486"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486" s="1" t="s">
        <v>1199</v>
      </c>
      <c r="D486" s="1" t="s">
        <v>655</v>
      </c>
      <c r="E486" s="1" t="s">
        <v>1200</v>
      </c>
      <c r="F486" s="1" t="s">
        <v>112</v>
      </c>
      <c r="G486" s="1">
        <v>92381</v>
      </c>
    </row>
    <row r="487" spans="1:8" x14ac:dyDescent="0.35">
      <c r="A487" s="1" t="str">
        <f t="shared" si="7"/>
        <v>17</v>
      </c>
      <c r="B487"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487" s="1" t="s">
        <v>1201</v>
      </c>
      <c r="D487" s="1" t="s">
        <v>1202</v>
      </c>
      <c r="E487" s="1" t="s">
        <v>1203</v>
      </c>
      <c r="F487" s="1" t="s">
        <v>112</v>
      </c>
      <c r="G487" s="1">
        <v>110550</v>
      </c>
    </row>
    <row r="488" spans="1:8" x14ac:dyDescent="0.35">
      <c r="A488" s="1" t="str">
        <f t="shared" si="7"/>
        <v>17</v>
      </c>
      <c r="B48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488" s="1" t="s">
        <v>1204</v>
      </c>
      <c r="D488" s="1" t="s">
        <v>1205</v>
      </c>
      <c r="E488" s="1" t="s">
        <v>1206</v>
      </c>
      <c r="F488" s="1" t="s">
        <v>112</v>
      </c>
      <c r="G488" s="1">
        <v>29806</v>
      </c>
    </row>
    <row r="489" spans="1:8" x14ac:dyDescent="0.35">
      <c r="A489" s="1" t="str">
        <f t="shared" si="7"/>
        <v/>
      </c>
      <c r="B48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489" s="1" t="s">
        <v>112</v>
      </c>
    </row>
    <row r="490" spans="1:8" x14ac:dyDescent="0.35">
      <c r="A490" s="1" t="str">
        <f t="shared" si="7"/>
        <v/>
      </c>
      <c r="B49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490" s="1" t="s">
        <v>226</v>
      </c>
      <c r="D490" s="1" t="s">
        <v>112</v>
      </c>
      <c r="E490" s="1" t="s">
        <v>227</v>
      </c>
      <c r="F490" s="1" t="s">
        <v>228</v>
      </c>
      <c r="G490" s="1" t="s">
        <v>229</v>
      </c>
      <c r="H490" s="1" t="s">
        <v>230</v>
      </c>
    </row>
    <row r="491" spans="1:8" x14ac:dyDescent="0.35">
      <c r="A491" s="1" t="str">
        <f t="shared" si="7"/>
        <v>17</v>
      </c>
      <c r="B491"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 xml:space="preserve"> </v>
      </c>
      <c r="C491" s="1" t="s">
        <v>1207</v>
      </c>
      <c r="D491" s="1" t="s">
        <v>112</v>
      </c>
      <c r="E491" s="1" t="s">
        <v>1208</v>
      </c>
      <c r="F491" s="1" t="s">
        <v>1209</v>
      </c>
      <c r="G491" s="1" t="s">
        <v>1210</v>
      </c>
      <c r="H491" s="1" t="s">
        <v>1211</v>
      </c>
    </row>
    <row r="492" spans="1:8" x14ac:dyDescent="0.35">
      <c r="A492" s="1" t="str">
        <f t="shared" si="7"/>
        <v/>
      </c>
      <c r="B49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492" s="1" t="s">
        <v>112</v>
      </c>
    </row>
    <row r="493" spans="1:8" x14ac:dyDescent="0.35">
      <c r="A493" s="1" t="str">
        <f t="shared" si="7"/>
        <v/>
      </c>
      <c r="B49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493" s="1" t="s">
        <v>112</v>
      </c>
    </row>
    <row r="494" spans="1:8" x14ac:dyDescent="0.35">
      <c r="A494" s="1" t="str">
        <f t="shared" si="7"/>
        <v/>
      </c>
      <c r="B49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494" s="1" t="s">
        <v>112</v>
      </c>
    </row>
    <row r="495" spans="1:8" x14ac:dyDescent="0.35">
      <c r="A495" s="1" t="str">
        <f t="shared" si="7"/>
        <v/>
      </c>
      <c r="B49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495" s="1" t="s">
        <v>112</v>
      </c>
    </row>
    <row r="496" spans="1:8" x14ac:dyDescent="0.35">
      <c r="A496" s="1" t="str">
        <f t="shared" si="7"/>
        <v/>
      </c>
      <c r="B49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496" s="1" t="s">
        <v>112</v>
      </c>
    </row>
    <row r="497" spans="1:7" x14ac:dyDescent="0.35">
      <c r="A497" s="1" t="str">
        <f t="shared" si="7"/>
        <v/>
      </c>
      <c r="B49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497" s="1" t="s">
        <v>172</v>
      </c>
      <c r="D497" s="1" t="s">
        <v>110</v>
      </c>
      <c r="E497" s="1" t="s">
        <v>111</v>
      </c>
      <c r="F497" s="1" t="s">
        <v>112</v>
      </c>
      <c r="G497" s="1" t="s">
        <v>113</v>
      </c>
    </row>
    <row r="498" spans="1:7" x14ac:dyDescent="0.35">
      <c r="A498" s="1" t="str">
        <f t="shared" si="7"/>
        <v>18</v>
      </c>
      <c r="B49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498" s="1" t="s">
        <v>1212</v>
      </c>
      <c r="D498" s="1" t="s">
        <v>1213</v>
      </c>
      <c r="E498" s="1" t="s">
        <v>1214</v>
      </c>
      <c r="F498" s="1" t="s">
        <v>112</v>
      </c>
      <c r="G498" s="1">
        <v>233105</v>
      </c>
    </row>
    <row r="499" spans="1:7" x14ac:dyDescent="0.35">
      <c r="A499" s="1" t="str">
        <f t="shared" si="7"/>
        <v>18</v>
      </c>
      <c r="B499"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499" s="1" t="s">
        <v>1215</v>
      </c>
      <c r="D499" s="1" t="s">
        <v>1216</v>
      </c>
      <c r="E499" s="1" t="s">
        <v>1217</v>
      </c>
      <c r="F499" s="1" t="s">
        <v>112</v>
      </c>
      <c r="G499" s="1">
        <v>196464</v>
      </c>
    </row>
    <row r="500" spans="1:7" x14ac:dyDescent="0.35">
      <c r="A500" s="1" t="str">
        <f t="shared" si="7"/>
        <v>18</v>
      </c>
      <c r="B500"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500" s="1" t="s">
        <v>1218</v>
      </c>
      <c r="D500" s="1" t="s">
        <v>1219</v>
      </c>
      <c r="E500" s="1" t="s">
        <v>1220</v>
      </c>
      <c r="F500" s="1" t="s">
        <v>112</v>
      </c>
      <c r="G500" s="1">
        <v>307858</v>
      </c>
    </row>
    <row r="501" spans="1:7" x14ac:dyDescent="0.35">
      <c r="A501" s="1" t="str">
        <f t="shared" si="7"/>
        <v>18</v>
      </c>
      <c r="B501"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501" s="1" t="s">
        <v>1221</v>
      </c>
      <c r="D501" s="1" t="s">
        <v>1222</v>
      </c>
      <c r="E501" s="1" t="s">
        <v>1223</v>
      </c>
      <c r="F501" s="1" t="s">
        <v>112</v>
      </c>
      <c r="G501" s="1">
        <v>567157</v>
      </c>
    </row>
    <row r="502" spans="1:7" x14ac:dyDescent="0.35">
      <c r="A502" s="1" t="str">
        <f t="shared" si="7"/>
        <v>18</v>
      </c>
      <c r="B50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502" s="1" t="s">
        <v>1224</v>
      </c>
      <c r="D502" s="1" t="s">
        <v>1225</v>
      </c>
      <c r="E502" s="1" t="s">
        <v>1226</v>
      </c>
      <c r="F502" s="1" t="s">
        <v>112</v>
      </c>
      <c r="G502" s="1">
        <v>480205</v>
      </c>
    </row>
    <row r="503" spans="1:7" x14ac:dyDescent="0.35">
      <c r="A503" s="1" t="str">
        <f t="shared" si="7"/>
        <v>18</v>
      </c>
      <c r="B50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503" s="1" t="s">
        <v>1227</v>
      </c>
      <c r="D503" s="1" t="s">
        <v>1228</v>
      </c>
      <c r="E503" s="1" t="s">
        <v>1229</v>
      </c>
      <c r="F503" s="1" t="s">
        <v>112</v>
      </c>
      <c r="G503" s="1">
        <v>331543</v>
      </c>
    </row>
    <row r="504" spans="1:7" x14ac:dyDescent="0.35">
      <c r="A504" s="1" t="str">
        <f t="shared" si="7"/>
        <v>18</v>
      </c>
      <c r="B50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504" s="1" t="s">
        <v>1230</v>
      </c>
      <c r="D504" s="1" t="s">
        <v>1231</v>
      </c>
      <c r="E504" s="1" t="s">
        <v>1232</v>
      </c>
      <c r="F504" s="1" t="s">
        <v>112</v>
      </c>
      <c r="G504" s="1">
        <v>286250</v>
      </c>
    </row>
    <row r="505" spans="1:7" x14ac:dyDescent="0.35">
      <c r="A505" s="1" t="str">
        <f t="shared" si="7"/>
        <v>18</v>
      </c>
      <c r="B50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505" s="1" t="s">
        <v>1233</v>
      </c>
      <c r="D505" s="1" t="s">
        <v>553</v>
      </c>
      <c r="E505" s="1" t="s">
        <v>1234</v>
      </c>
      <c r="F505" s="1" t="s">
        <v>112</v>
      </c>
      <c r="G505" s="1">
        <v>143839</v>
      </c>
    </row>
    <row r="506" spans="1:7" x14ac:dyDescent="0.35">
      <c r="A506" s="1" t="str">
        <f t="shared" si="7"/>
        <v>18</v>
      </c>
      <c r="B506"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506" s="1" t="s">
        <v>1235</v>
      </c>
      <c r="D506" s="1" t="s">
        <v>462</v>
      </c>
      <c r="E506" s="1" t="s">
        <v>1236</v>
      </c>
      <c r="F506" s="1" t="s">
        <v>112</v>
      </c>
      <c r="G506" s="1">
        <v>6900</v>
      </c>
    </row>
    <row r="507" spans="1:7" x14ac:dyDescent="0.35">
      <c r="A507" s="1" t="str">
        <f t="shared" si="7"/>
        <v>18</v>
      </c>
      <c r="B507"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507" s="1" t="s">
        <v>1237</v>
      </c>
      <c r="D507" s="1" t="s">
        <v>1238</v>
      </c>
      <c r="E507" s="1" t="s">
        <v>1239</v>
      </c>
      <c r="F507" s="1" t="s">
        <v>112</v>
      </c>
      <c r="G507" s="1">
        <v>118099</v>
      </c>
    </row>
    <row r="508" spans="1:7" x14ac:dyDescent="0.35">
      <c r="A508" s="1" t="str">
        <f t="shared" si="7"/>
        <v>18</v>
      </c>
      <c r="B50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508" s="1" t="s">
        <v>1240</v>
      </c>
    </row>
    <row r="509" spans="1:7" x14ac:dyDescent="0.35">
      <c r="A509" s="1" t="str">
        <f t="shared" si="7"/>
        <v>18</v>
      </c>
      <c r="B509"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509" s="1" t="s">
        <v>1241</v>
      </c>
    </row>
    <row r="510" spans="1:7" x14ac:dyDescent="0.35">
      <c r="A510" s="1" t="str">
        <f t="shared" si="7"/>
        <v>18</v>
      </c>
      <c r="B510"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510" s="1" t="s">
        <v>1242</v>
      </c>
      <c r="D510" s="1" t="s">
        <v>1243</v>
      </c>
      <c r="E510" s="1" t="s">
        <v>1244</v>
      </c>
      <c r="F510" s="1" t="s">
        <v>112</v>
      </c>
      <c r="G510" s="1">
        <v>229969</v>
      </c>
    </row>
    <row r="511" spans="1:7" x14ac:dyDescent="0.35">
      <c r="A511" s="1" t="str">
        <f t="shared" si="7"/>
        <v>18</v>
      </c>
      <c r="B511"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511" s="1" t="s">
        <v>1245</v>
      </c>
      <c r="D511" s="1" t="s">
        <v>1246</v>
      </c>
      <c r="E511" s="1" t="s">
        <v>1247</v>
      </c>
      <c r="F511" s="1" t="s">
        <v>112</v>
      </c>
      <c r="G511" s="1">
        <v>485505</v>
      </c>
    </row>
    <row r="512" spans="1:7" x14ac:dyDescent="0.35">
      <c r="A512" s="1" t="str">
        <f t="shared" si="7"/>
        <v>18</v>
      </c>
      <c r="B51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512" s="1" t="s">
        <v>1248</v>
      </c>
      <c r="D512" s="1" t="s">
        <v>1249</v>
      </c>
      <c r="E512" s="1" t="s">
        <v>1250</v>
      </c>
      <c r="F512" s="1" t="s">
        <v>112</v>
      </c>
      <c r="G512" s="1">
        <v>265702</v>
      </c>
    </row>
    <row r="513" spans="1:8" x14ac:dyDescent="0.35">
      <c r="A513" s="1" t="str">
        <f t="shared" si="7"/>
        <v>18</v>
      </c>
      <c r="B51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513" s="1" t="s">
        <v>1251</v>
      </c>
      <c r="D513" s="1" t="s">
        <v>1252</v>
      </c>
      <c r="E513" s="1" t="s">
        <v>1253</v>
      </c>
      <c r="F513" s="1" t="s">
        <v>112</v>
      </c>
      <c r="G513" s="1">
        <v>199190</v>
      </c>
    </row>
    <row r="514" spans="1:8" x14ac:dyDescent="0.35">
      <c r="A514" s="1" t="str">
        <f t="shared" ref="A514:A577" si="8">IFERROR(LEFT(RIGHT(C514,LEN(C514)-SEARCH("@",C514)),SEARCH("/",RIGHT(C514,LEN(C514)-SEARCH("@",C514)-1))),"")</f>
        <v>18</v>
      </c>
      <c r="B51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514" s="1" t="s">
        <v>1254</v>
      </c>
    </row>
    <row r="515" spans="1:8" x14ac:dyDescent="0.35">
      <c r="A515" s="1" t="str">
        <f t="shared" si="8"/>
        <v>18</v>
      </c>
      <c r="B51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515" s="1" t="s">
        <v>1255</v>
      </c>
      <c r="D515" s="1" t="s">
        <v>1238</v>
      </c>
      <c r="E515" s="1" t="s">
        <v>1256</v>
      </c>
      <c r="F515" s="1" t="s">
        <v>112</v>
      </c>
      <c r="G515" s="1">
        <v>111870</v>
      </c>
    </row>
    <row r="516" spans="1:8" x14ac:dyDescent="0.35">
      <c r="A516" s="1" t="str">
        <f t="shared" si="8"/>
        <v>18</v>
      </c>
      <c r="B516"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516" s="1" t="s">
        <v>1257</v>
      </c>
      <c r="D516" s="1" t="s">
        <v>1258</v>
      </c>
      <c r="E516" s="1" t="s">
        <v>1259</v>
      </c>
      <c r="F516" s="1" t="s">
        <v>112</v>
      </c>
      <c r="G516" s="1">
        <v>452086</v>
      </c>
    </row>
    <row r="517" spans="1:8" x14ac:dyDescent="0.35">
      <c r="A517" s="1" t="str">
        <f t="shared" si="8"/>
        <v>18</v>
      </c>
      <c r="B517"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517" s="1" t="s">
        <v>1260</v>
      </c>
      <c r="D517" s="1" t="s">
        <v>1261</v>
      </c>
      <c r="E517" s="1" t="s">
        <v>1262</v>
      </c>
      <c r="F517" s="1" t="s">
        <v>112</v>
      </c>
      <c r="G517" s="1">
        <v>386159</v>
      </c>
    </row>
    <row r="518" spans="1:8" x14ac:dyDescent="0.35">
      <c r="A518" s="1" t="str">
        <f t="shared" si="8"/>
        <v>18</v>
      </c>
      <c r="B51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518" s="1" t="s">
        <v>1263</v>
      </c>
      <c r="D518" s="1" t="s">
        <v>1264</v>
      </c>
      <c r="E518" s="1" t="s">
        <v>1265</v>
      </c>
      <c r="F518" s="1" t="s">
        <v>112</v>
      </c>
      <c r="G518" s="1">
        <v>561793</v>
      </c>
    </row>
    <row r="519" spans="1:8" x14ac:dyDescent="0.35">
      <c r="A519" s="1" t="str">
        <f t="shared" si="8"/>
        <v>18</v>
      </c>
      <c r="B519"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519" s="1" t="s">
        <v>1266</v>
      </c>
      <c r="D519" s="1" t="s">
        <v>1267</v>
      </c>
      <c r="E519" s="1" t="s">
        <v>1268</v>
      </c>
      <c r="F519" s="1" t="s">
        <v>112</v>
      </c>
      <c r="G519" s="1">
        <v>402857</v>
      </c>
    </row>
    <row r="520" spans="1:8" x14ac:dyDescent="0.35">
      <c r="A520" s="1" t="str">
        <f t="shared" si="8"/>
        <v>18</v>
      </c>
      <c r="B520"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520" s="1" t="s">
        <v>1269</v>
      </c>
      <c r="D520" s="1" t="s">
        <v>1270</v>
      </c>
      <c r="E520" s="1" t="s">
        <v>1271</v>
      </c>
      <c r="F520" s="1" t="s">
        <v>112</v>
      </c>
      <c r="G520" s="1">
        <v>410427</v>
      </c>
    </row>
    <row r="521" spans="1:8" x14ac:dyDescent="0.35">
      <c r="A521" s="1" t="str">
        <f t="shared" si="8"/>
        <v>18</v>
      </c>
      <c r="B521"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521" s="1" t="s">
        <v>1272</v>
      </c>
      <c r="D521" s="1" t="s">
        <v>1273</v>
      </c>
      <c r="E521" s="1" t="s">
        <v>1274</v>
      </c>
      <c r="F521" s="1" t="s">
        <v>112</v>
      </c>
      <c r="G521" s="1">
        <v>434436</v>
      </c>
    </row>
    <row r="522" spans="1:8" x14ac:dyDescent="0.35">
      <c r="A522" s="1" t="str">
        <f t="shared" si="8"/>
        <v/>
      </c>
      <c r="B52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522" s="1" t="s">
        <v>112</v>
      </c>
    </row>
    <row r="523" spans="1:8" x14ac:dyDescent="0.35">
      <c r="A523" s="1" t="str">
        <f t="shared" si="8"/>
        <v/>
      </c>
      <c r="B52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523" s="1" t="s">
        <v>226</v>
      </c>
      <c r="D523" s="1" t="s">
        <v>112</v>
      </c>
      <c r="E523" s="1" t="s">
        <v>227</v>
      </c>
      <c r="F523" s="1" t="s">
        <v>228</v>
      </c>
      <c r="G523" s="1" t="s">
        <v>229</v>
      </c>
      <c r="H523" s="1" t="s">
        <v>230</v>
      </c>
    </row>
    <row r="524" spans="1:8" x14ac:dyDescent="0.35">
      <c r="A524" s="1" t="str">
        <f t="shared" si="8"/>
        <v>18</v>
      </c>
      <c r="B52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 xml:space="preserve"> </v>
      </c>
      <c r="C524" s="1" t="s">
        <v>1275</v>
      </c>
      <c r="D524" s="1" t="s">
        <v>112</v>
      </c>
      <c r="E524" s="1" t="s">
        <v>1276</v>
      </c>
      <c r="F524" s="1" t="s">
        <v>1277</v>
      </c>
      <c r="G524" s="1" t="s">
        <v>1278</v>
      </c>
      <c r="H524" s="1" t="s">
        <v>1279</v>
      </c>
    </row>
    <row r="525" spans="1:8" x14ac:dyDescent="0.35">
      <c r="A525" s="1" t="str">
        <f t="shared" si="8"/>
        <v/>
      </c>
      <c r="B52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525" s="1" t="s">
        <v>112</v>
      </c>
    </row>
    <row r="526" spans="1:8" x14ac:dyDescent="0.35">
      <c r="A526" s="1" t="str">
        <f t="shared" si="8"/>
        <v/>
      </c>
      <c r="B52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526" s="1" t="s">
        <v>112</v>
      </c>
    </row>
    <row r="527" spans="1:8" x14ac:dyDescent="0.35">
      <c r="A527" s="1" t="str">
        <f t="shared" si="8"/>
        <v/>
      </c>
      <c r="B52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527" s="1" t="s">
        <v>112</v>
      </c>
    </row>
    <row r="528" spans="1:8" x14ac:dyDescent="0.35">
      <c r="A528" s="1" t="str">
        <f t="shared" si="8"/>
        <v/>
      </c>
      <c r="B52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528" s="1" t="s">
        <v>112</v>
      </c>
    </row>
    <row r="529" spans="1:7" x14ac:dyDescent="0.35">
      <c r="A529" s="1" t="str">
        <f t="shared" si="8"/>
        <v/>
      </c>
      <c r="B52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529" s="1" t="s">
        <v>112</v>
      </c>
    </row>
    <row r="530" spans="1:7" x14ac:dyDescent="0.35">
      <c r="A530" s="1" t="str">
        <f t="shared" si="8"/>
        <v/>
      </c>
      <c r="B53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530" s="1" t="s">
        <v>172</v>
      </c>
      <c r="D530" s="1" t="s">
        <v>110</v>
      </c>
      <c r="E530" s="1" t="s">
        <v>111</v>
      </c>
      <c r="F530" s="1" t="s">
        <v>112</v>
      </c>
      <c r="G530" s="1" t="s">
        <v>113</v>
      </c>
    </row>
    <row r="531" spans="1:7" x14ac:dyDescent="0.35">
      <c r="A531" s="1" t="str">
        <f t="shared" si="8"/>
        <v>19</v>
      </c>
      <c r="B531"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531" s="1" t="s">
        <v>1280</v>
      </c>
      <c r="D531" s="1" t="s">
        <v>1281</v>
      </c>
      <c r="E531" s="1" t="s">
        <v>1282</v>
      </c>
      <c r="F531" s="1" t="s">
        <v>112</v>
      </c>
      <c r="G531" s="1">
        <v>148338</v>
      </c>
    </row>
    <row r="532" spans="1:7" x14ac:dyDescent="0.35">
      <c r="A532" s="1" t="str">
        <f t="shared" si="8"/>
        <v>19</v>
      </c>
      <c r="B53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532" s="1" t="s">
        <v>1283</v>
      </c>
      <c r="D532" s="1" t="s">
        <v>1284</v>
      </c>
      <c r="E532" s="1" t="s">
        <v>1285</v>
      </c>
      <c r="F532" s="1" t="s">
        <v>112</v>
      </c>
      <c r="G532" s="1">
        <v>75445</v>
      </c>
    </row>
    <row r="533" spans="1:7" x14ac:dyDescent="0.35">
      <c r="A533" s="1" t="str">
        <f t="shared" si="8"/>
        <v>19</v>
      </c>
      <c r="B53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533" s="1" t="s">
        <v>1286</v>
      </c>
    </row>
    <row r="534" spans="1:7" x14ac:dyDescent="0.35">
      <c r="A534" s="1" t="str">
        <f t="shared" si="8"/>
        <v>19</v>
      </c>
      <c r="B53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534" s="1" t="s">
        <v>1287</v>
      </c>
      <c r="D534" s="1" t="s">
        <v>1288</v>
      </c>
      <c r="E534" s="1" t="s">
        <v>1289</v>
      </c>
      <c r="F534" s="1" t="s">
        <v>112</v>
      </c>
      <c r="G534" s="1">
        <v>455266</v>
      </c>
    </row>
    <row r="535" spans="1:7" x14ac:dyDescent="0.35">
      <c r="A535" s="1" t="str">
        <f t="shared" si="8"/>
        <v>19</v>
      </c>
      <c r="B53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535" s="1" t="s">
        <v>1290</v>
      </c>
      <c r="D535" s="1" t="s">
        <v>1291</v>
      </c>
      <c r="E535" s="1" t="s">
        <v>1292</v>
      </c>
      <c r="F535" s="1" t="s">
        <v>112</v>
      </c>
      <c r="G535" s="1">
        <v>455244</v>
      </c>
    </row>
    <row r="536" spans="1:7" x14ac:dyDescent="0.35">
      <c r="A536" s="1" t="str">
        <f t="shared" si="8"/>
        <v>19</v>
      </c>
      <c r="B536"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536" s="1" t="s">
        <v>1293</v>
      </c>
      <c r="D536" s="1" t="s">
        <v>1294</v>
      </c>
      <c r="E536" s="1" t="s">
        <v>1295</v>
      </c>
      <c r="F536" s="1" t="s">
        <v>112</v>
      </c>
      <c r="G536" s="1">
        <v>111740</v>
      </c>
    </row>
    <row r="537" spans="1:7" x14ac:dyDescent="0.35">
      <c r="A537" s="1" t="str">
        <f t="shared" si="8"/>
        <v>19</v>
      </c>
      <c r="B537"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537" s="1" t="s">
        <v>1296</v>
      </c>
      <c r="D537" s="1" t="s">
        <v>1297</v>
      </c>
      <c r="E537" s="1" t="s">
        <v>1298</v>
      </c>
      <c r="F537" s="1" t="s">
        <v>112</v>
      </c>
      <c r="G537" s="1">
        <v>4607</v>
      </c>
    </row>
    <row r="538" spans="1:7" x14ac:dyDescent="0.35">
      <c r="A538" s="1" t="str">
        <f t="shared" si="8"/>
        <v>19</v>
      </c>
      <c r="B53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538" s="1" t="s">
        <v>1299</v>
      </c>
      <c r="D538" s="1" t="s">
        <v>1300</v>
      </c>
      <c r="E538" s="1" t="s">
        <v>1301</v>
      </c>
      <c r="F538" s="1" t="s">
        <v>112</v>
      </c>
      <c r="G538" s="1">
        <v>94350</v>
      </c>
    </row>
    <row r="539" spans="1:7" x14ac:dyDescent="0.35">
      <c r="A539" s="1" t="str">
        <f t="shared" si="8"/>
        <v>19</v>
      </c>
      <c r="B539"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539" s="1" t="s">
        <v>1302</v>
      </c>
      <c r="D539" s="1" t="s">
        <v>1303</v>
      </c>
      <c r="E539" s="1" t="s">
        <v>1304</v>
      </c>
      <c r="F539" s="1" t="s">
        <v>112</v>
      </c>
      <c r="G539" s="1">
        <v>79836</v>
      </c>
    </row>
    <row r="540" spans="1:7" x14ac:dyDescent="0.35">
      <c r="A540" s="1" t="str">
        <f t="shared" si="8"/>
        <v>19</v>
      </c>
      <c r="B540"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540" s="1" t="s">
        <v>1305</v>
      </c>
    </row>
    <row r="541" spans="1:7" x14ac:dyDescent="0.35">
      <c r="A541" s="1" t="str">
        <f t="shared" si="8"/>
        <v>19</v>
      </c>
      <c r="B541"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541" s="1" t="s">
        <v>1306</v>
      </c>
      <c r="D541" s="1" t="s">
        <v>185</v>
      </c>
      <c r="E541" s="1" t="s">
        <v>1307</v>
      </c>
      <c r="F541" s="1" t="s">
        <v>112</v>
      </c>
      <c r="G541" s="1">
        <v>215542</v>
      </c>
    </row>
    <row r="542" spans="1:7" x14ac:dyDescent="0.35">
      <c r="A542" s="1" t="str">
        <f t="shared" si="8"/>
        <v>19</v>
      </c>
      <c r="B54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542" s="1" t="s">
        <v>1308</v>
      </c>
      <c r="D542" s="1" t="s">
        <v>1309</v>
      </c>
      <c r="E542" s="1" t="s">
        <v>1310</v>
      </c>
      <c r="F542" s="1" t="s">
        <v>112</v>
      </c>
      <c r="G542" s="1">
        <v>194150</v>
      </c>
    </row>
    <row r="543" spans="1:7" x14ac:dyDescent="0.35">
      <c r="A543" s="1" t="str">
        <f t="shared" si="8"/>
        <v>19</v>
      </c>
      <c r="B54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543" s="1" t="s">
        <v>1311</v>
      </c>
      <c r="D543" s="1" t="s">
        <v>1312</v>
      </c>
      <c r="E543" s="1" t="s">
        <v>1313</v>
      </c>
      <c r="F543" s="1" t="s">
        <v>112</v>
      </c>
      <c r="G543" s="1">
        <v>174099</v>
      </c>
    </row>
    <row r="544" spans="1:7" x14ac:dyDescent="0.35">
      <c r="A544" s="1" t="str">
        <f t="shared" si="8"/>
        <v>19</v>
      </c>
      <c r="B54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544" s="1" t="s">
        <v>1314</v>
      </c>
      <c r="D544" s="1" t="s">
        <v>1315</v>
      </c>
      <c r="E544" s="1" t="s">
        <v>1316</v>
      </c>
      <c r="F544" s="1" t="s">
        <v>112</v>
      </c>
      <c r="G544" s="1">
        <v>8955</v>
      </c>
    </row>
    <row r="545" spans="1:8" x14ac:dyDescent="0.35">
      <c r="A545" s="1" t="str">
        <f t="shared" si="8"/>
        <v>19</v>
      </c>
      <c r="B54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545" s="1" t="s">
        <v>1317</v>
      </c>
      <c r="D545" s="1" t="s">
        <v>670</v>
      </c>
      <c r="E545" s="1" t="s">
        <v>1318</v>
      </c>
      <c r="F545" s="1" t="s">
        <v>112</v>
      </c>
      <c r="G545" s="1">
        <v>265918</v>
      </c>
    </row>
    <row r="546" spans="1:8" x14ac:dyDescent="0.35">
      <c r="A546" s="1" t="str">
        <f t="shared" si="8"/>
        <v>19</v>
      </c>
      <c r="B546"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546" s="1" t="s">
        <v>1319</v>
      </c>
    </row>
    <row r="547" spans="1:8" x14ac:dyDescent="0.35">
      <c r="A547" s="1" t="str">
        <f t="shared" si="8"/>
        <v>19</v>
      </c>
      <c r="B547"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547" s="1" t="s">
        <v>1320</v>
      </c>
      <c r="D547" s="1">
        <v>0</v>
      </c>
      <c r="E547" s="1">
        <v>0</v>
      </c>
      <c r="F547" s="1" t="s">
        <v>112</v>
      </c>
      <c r="G547" s="1">
        <v>0</v>
      </c>
    </row>
    <row r="548" spans="1:8" x14ac:dyDescent="0.35">
      <c r="A548" s="1" t="str">
        <f t="shared" si="8"/>
        <v>19</v>
      </c>
      <c r="B54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548" s="1" t="s">
        <v>1321</v>
      </c>
      <c r="D548" s="1">
        <v>0</v>
      </c>
      <c r="E548" s="1">
        <v>0</v>
      </c>
      <c r="F548" s="1" t="s">
        <v>112</v>
      </c>
      <c r="G548" s="1">
        <v>0</v>
      </c>
    </row>
    <row r="549" spans="1:8" x14ac:dyDescent="0.35">
      <c r="A549" s="1" t="str">
        <f t="shared" si="8"/>
        <v>19</v>
      </c>
      <c r="B549"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549" s="1" t="s">
        <v>1322</v>
      </c>
      <c r="D549" s="1" t="s">
        <v>1323</v>
      </c>
      <c r="E549" s="1" t="s">
        <v>1324</v>
      </c>
      <c r="F549" s="1" t="s">
        <v>112</v>
      </c>
      <c r="G549" s="1">
        <v>251404</v>
      </c>
    </row>
    <row r="550" spans="1:8" x14ac:dyDescent="0.35">
      <c r="A550" s="1" t="str">
        <f t="shared" si="8"/>
        <v>19</v>
      </c>
      <c r="B550"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550" s="1" t="s">
        <v>1325</v>
      </c>
    </row>
    <row r="551" spans="1:8" x14ac:dyDescent="0.35">
      <c r="A551" s="1" t="str">
        <f t="shared" si="8"/>
        <v>19</v>
      </c>
      <c r="B551"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551" s="1" t="s">
        <v>1326</v>
      </c>
    </row>
    <row r="552" spans="1:8" x14ac:dyDescent="0.35">
      <c r="A552" s="1" t="str">
        <f t="shared" si="8"/>
        <v>19</v>
      </c>
      <c r="B55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552" s="1" t="s">
        <v>1327</v>
      </c>
      <c r="D552" s="1" t="s">
        <v>1328</v>
      </c>
      <c r="E552" s="1" t="s">
        <v>1329</v>
      </c>
      <c r="F552" s="1" t="s">
        <v>112</v>
      </c>
      <c r="G552" s="1">
        <v>431516</v>
      </c>
    </row>
    <row r="553" spans="1:8" x14ac:dyDescent="0.35">
      <c r="A553" s="1" t="str">
        <f t="shared" si="8"/>
        <v>19</v>
      </c>
      <c r="B55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553" s="1" t="s">
        <v>1330</v>
      </c>
      <c r="D553" s="1" t="s">
        <v>1331</v>
      </c>
      <c r="E553" s="1" t="s">
        <v>1332</v>
      </c>
      <c r="F553" s="1" t="s">
        <v>112</v>
      </c>
      <c r="G553" s="1">
        <v>299141</v>
      </c>
    </row>
    <row r="554" spans="1:8" x14ac:dyDescent="0.35">
      <c r="A554" s="1" t="str">
        <f t="shared" si="8"/>
        <v>19</v>
      </c>
      <c r="B55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554" s="1" t="s">
        <v>1333</v>
      </c>
    </row>
    <row r="555" spans="1:8" x14ac:dyDescent="0.35">
      <c r="A555" s="1" t="str">
        <f t="shared" si="8"/>
        <v/>
      </c>
      <c r="B55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555" s="1" t="s">
        <v>112</v>
      </c>
    </row>
    <row r="556" spans="1:8" x14ac:dyDescent="0.35">
      <c r="A556" s="1" t="str">
        <f t="shared" si="8"/>
        <v/>
      </c>
      <c r="B55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556" s="1" t="s">
        <v>226</v>
      </c>
      <c r="D556" s="1" t="s">
        <v>112</v>
      </c>
      <c r="E556" s="1" t="s">
        <v>227</v>
      </c>
      <c r="F556" s="1" t="s">
        <v>228</v>
      </c>
      <c r="G556" s="1" t="s">
        <v>229</v>
      </c>
      <c r="H556" s="1" t="s">
        <v>230</v>
      </c>
    </row>
    <row r="557" spans="1:8" x14ac:dyDescent="0.35">
      <c r="A557" s="1" t="str">
        <f t="shared" si="8"/>
        <v>19</v>
      </c>
      <c r="B557"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 xml:space="preserve"> </v>
      </c>
      <c r="C557" s="1" t="s">
        <v>1334</v>
      </c>
      <c r="D557" s="1" t="s">
        <v>112</v>
      </c>
      <c r="E557" s="1" t="s">
        <v>1335</v>
      </c>
      <c r="F557" s="1" t="s">
        <v>1336</v>
      </c>
      <c r="G557" s="1" t="s">
        <v>1337</v>
      </c>
      <c r="H557" s="1" t="s">
        <v>1338</v>
      </c>
    </row>
    <row r="558" spans="1:8" x14ac:dyDescent="0.35">
      <c r="A558" s="1" t="str">
        <f t="shared" si="8"/>
        <v/>
      </c>
      <c r="B55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558" s="1" t="s">
        <v>112</v>
      </c>
    </row>
    <row r="559" spans="1:8" x14ac:dyDescent="0.35">
      <c r="A559" s="1" t="str">
        <f t="shared" si="8"/>
        <v/>
      </c>
      <c r="B55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559" s="1" t="s">
        <v>112</v>
      </c>
    </row>
    <row r="560" spans="1:8" x14ac:dyDescent="0.35">
      <c r="A560" s="1" t="str">
        <f t="shared" si="8"/>
        <v/>
      </c>
      <c r="B56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560" s="1" t="s">
        <v>112</v>
      </c>
    </row>
    <row r="561" spans="1:7" x14ac:dyDescent="0.35">
      <c r="A561" s="1" t="str">
        <f t="shared" si="8"/>
        <v/>
      </c>
      <c r="B56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561" s="1" t="s">
        <v>112</v>
      </c>
    </row>
    <row r="562" spans="1:7" x14ac:dyDescent="0.35">
      <c r="A562" s="1" t="str">
        <f t="shared" si="8"/>
        <v/>
      </c>
      <c r="B56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562" s="1" t="s">
        <v>112</v>
      </c>
    </row>
    <row r="563" spans="1:7" x14ac:dyDescent="0.35">
      <c r="A563" s="1" t="str">
        <f t="shared" si="8"/>
        <v/>
      </c>
      <c r="B56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563" s="1" t="s">
        <v>172</v>
      </c>
      <c r="D563" s="1" t="s">
        <v>110</v>
      </c>
      <c r="E563" s="1" t="s">
        <v>111</v>
      </c>
      <c r="F563" s="1" t="s">
        <v>112</v>
      </c>
      <c r="G563" s="1" t="s">
        <v>113</v>
      </c>
    </row>
    <row r="564" spans="1:7" x14ac:dyDescent="0.35">
      <c r="A564" s="1" t="str">
        <f t="shared" si="8"/>
        <v>20</v>
      </c>
      <c r="B56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564" s="1" t="s">
        <v>1339</v>
      </c>
      <c r="D564" s="1" t="s">
        <v>626</v>
      </c>
      <c r="E564" s="1" t="s">
        <v>1340</v>
      </c>
      <c r="F564" s="1" t="s">
        <v>112</v>
      </c>
      <c r="G564" s="1">
        <v>203927</v>
      </c>
    </row>
    <row r="565" spans="1:7" x14ac:dyDescent="0.35">
      <c r="A565" s="1" t="str">
        <f t="shared" si="8"/>
        <v>20</v>
      </c>
      <c r="B56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565" s="1" t="s">
        <v>1341</v>
      </c>
      <c r="D565" s="1" t="s">
        <v>541</v>
      </c>
      <c r="E565" s="1" t="s">
        <v>1342</v>
      </c>
      <c r="F565" s="1" t="s">
        <v>112</v>
      </c>
      <c r="G565" s="1">
        <v>239010</v>
      </c>
    </row>
    <row r="566" spans="1:7" x14ac:dyDescent="0.35">
      <c r="A566" s="1" t="str">
        <f t="shared" si="8"/>
        <v>20</v>
      </c>
      <c r="B566"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566" s="1" t="s">
        <v>1343</v>
      </c>
    </row>
    <row r="567" spans="1:7" x14ac:dyDescent="0.35">
      <c r="A567" s="1" t="str">
        <f t="shared" si="8"/>
        <v>20</v>
      </c>
      <c r="B567"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567" s="1" t="s">
        <v>1344</v>
      </c>
      <c r="D567" s="1" t="s">
        <v>276</v>
      </c>
      <c r="E567" s="1" t="s">
        <v>1345</v>
      </c>
      <c r="F567" s="1" t="s">
        <v>112</v>
      </c>
      <c r="G567" s="1">
        <v>198476</v>
      </c>
    </row>
    <row r="568" spans="1:7" x14ac:dyDescent="0.35">
      <c r="A568" s="1" t="str">
        <f t="shared" si="8"/>
        <v>20</v>
      </c>
      <c r="B56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568" s="1" t="s">
        <v>1346</v>
      </c>
      <c r="D568" s="1" t="s">
        <v>1347</v>
      </c>
      <c r="E568" s="1" t="s">
        <v>1348</v>
      </c>
      <c r="F568" s="1" t="s">
        <v>112</v>
      </c>
      <c r="G568" s="1">
        <v>221685</v>
      </c>
    </row>
    <row r="569" spans="1:7" x14ac:dyDescent="0.35">
      <c r="A569" s="1" t="str">
        <f t="shared" si="8"/>
        <v>20</v>
      </c>
      <c r="B569"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569" s="1" t="s">
        <v>1349</v>
      </c>
      <c r="D569" s="1" t="s">
        <v>1350</v>
      </c>
      <c r="E569" s="1" t="s">
        <v>1351</v>
      </c>
      <c r="F569" s="1" t="s">
        <v>112</v>
      </c>
      <c r="G569" s="1">
        <v>286661</v>
      </c>
    </row>
    <row r="570" spans="1:7" x14ac:dyDescent="0.35">
      <c r="A570" s="1" t="str">
        <f t="shared" si="8"/>
        <v>20</v>
      </c>
      <c r="B570"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570" s="1" t="s">
        <v>1352</v>
      </c>
      <c r="D570" s="1" t="s">
        <v>1070</v>
      </c>
      <c r="E570" s="1" t="s">
        <v>1353</v>
      </c>
      <c r="F570" s="1" t="s">
        <v>112</v>
      </c>
      <c r="G570" s="1">
        <v>54010</v>
      </c>
    </row>
    <row r="571" spans="1:7" x14ac:dyDescent="0.35">
      <c r="A571" s="1" t="str">
        <f t="shared" si="8"/>
        <v>20</v>
      </c>
      <c r="B571"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571" s="1" t="s">
        <v>1354</v>
      </c>
      <c r="D571" s="1" t="s">
        <v>1297</v>
      </c>
      <c r="E571" s="1" t="s">
        <v>1355</v>
      </c>
      <c r="F571" s="1" t="s">
        <v>112</v>
      </c>
      <c r="G571" s="1">
        <v>4715</v>
      </c>
    </row>
    <row r="572" spans="1:7" x14ac:dyDescent="0.35">
      <c r="A572" s="1" t="str">
        <f t="shared" si="8"/>
        <v>20</v>
      </c>
      <c r="B57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572" s="1" t="s">
        <v>1356</v>
      </c>
      <c r="D572" s="1" t="s">
        <v>623</v>
      </c>
      <c r="E572" s="1" t="s">
        <v>1357</v>
      </c>
      <c r="F572" s="1" t="s">
        <v>112</v>
      </c>
      <c r="G572" s="1">
        <v>53188</v>
      </c>
    </row>
    <row r="573" spans="1:7" x14ac:dyDescent="0.35">
      <c r="A573" s="1" t="str">
        <f t="shared" si="8"/>
        <v>20</v>
      </c>
      <c r="B57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573" s="1" t="s">
        <v>1358</v>
      </c>
      <c r="D573" s="1" t="s">
        <v>224</v>
      </c>
      <c r="E573" s="1" t="s">
        <v>1359</v>
      </c>
      <c r="F573" s="1" t="s">
        <v>112</v>
      </c>
      <c r="G573" s="1">
        <v>298536</v>
      </c>
    </row>
    <row r="574" spans="1:7" x14ac:dyDescent="0.35">
      <c r="A574" s="1" t="str">
        <f t="shared" si="8"/>
        <v>20</v>
      </c>
      <c r="B57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574" s="1" t="s">
        <v>1360</v>
      </c>
    </row>
    <row r="575" spans="1:7" x14ac:dyDescent="0.35">
      <c r="A575" s="1" t="str">
        <f t="shared" si="8"/>
        <v>20</v>
      </c>
      <c r="B57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575" s="1" t="s">
        <v>1361</v>
      </c>
    </row>
    <row r="576" spans="1:7" x14ac:dyDescent="0.35">
      <c r="A576" s="1" t="str">
        <f t="shared" si="8"/>
        <v>20</v>
      </c>
      <c r="B576"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576" s="1" t="s">
        <v>1362</v>
      </c>
      <c r="D576" s="1" t="s">
        <v>1363</v>
      </c>
      <c r="E576" s="1" t="s">
        <v>1364</v>
      </c>
      <c r="F576" s="1" t="s">
        <v>112</v>
      </c>
      <c r="G576" s="1">
        <v>218440</v>
      </c>
    </row>
    <row r="577" spans="1:8" x14ac:dyDescent="0.35">
      <c r="A577" s="1" t="str">
        <f t="shared" si="8"/>
        <v>20</v>
      </c>
      <c r="B577"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577" s="1" t="s">
        <v>1365</v>
      </c>
    </row>
    <row r="578" spans="1:8" x14ac:dyDescent="0.35">
      <c r="A578" s="1" t="str">
        <f t="shared" ref="A578:A641" si="9">IFERROR(LEFT(RIGHT(C578,LEN(C578)-SEARCH("@",C578)),SEARCH("/",RIGHT(C578,LEN(C578)-SEARCH("@",C578)-1))),"")</f>
        <v>20</v>
      </c>
      <c r="B57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578" s="1" t="s">
        <v>1366</v>
      </c>
      <c r="D578" s="1" t="s">
        <v>1367</v>
      </c>
      <c r="E578" s="1" t="s">
        <v>1368</v>
      </c>
      <c r="F578" s="1" t="s">
        <v>112</v>
      </c>
      <c r="G578" s="1">
        <v>206219</v>
      </c>
    </row>
    <row r="579" spans="1:8" x14ac:dyDescent="0.35">
      <c r="A579" s="1" t="str">
        <f t="shared" si="9"/>
        <v>20</v>
      </c>
      <c r="B579"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579" s="1" t="s">
        <v>1369</v>
      </c>
      <c r="D579" s="1" t="s">
        <v>1370</v>
      </c>
      <c r="E579" s="1" t="s">
        <v>1371</v>
      </c>
      <c r="F579" s="1" t="s">
        <v>112</v>
      </c>
      <c r="G579" s="1">
        <v>46742</v>
      </c>
    </row>
    <row r="580" spans="1:8" x14ac:dyDescent="0.35">
      <c r="A580" s="1" t="str">
        <f t="shared" si="9"/>
        <v>20</v>
      </c>
      <c r="B580"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580" s="1" t="s">
        <v>1372</v>
      </c>
    </row>
    <row r="581" spans="1:8" x14ac:dyDescent="0.35">
      <c r="A581" s="1" t="str">
        <f t="shared" si="9"/>
        <v>20</v>
      </c>
      <c r="B581"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581" s="1" t="s">
        <v>1373</v>
      </c>
      <c r="D581" s="1" t="s">
        <v>1374</v>
      </c>
      <c r="E581" s="1" t="s">
        <v>1375</v>
      </c>
      <c r="F581" s="1" t="s">
        <v>112</v>
      </c>
      <c r="G581" s="1">
        <v>143406</v>
      </c>
    </row>
    <row r="582" spans="1:8" x14ac:dyDescent="0.35">
      <c r="A582" s="1" t="str">
        <f t="shared" si="9"/>
        <v>20</v>
      </c>
      <c r="B58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582" s="1" t="s">
        <v>1376</v>
      </c>
      <c r="D582" s="1" t="s">
        <v>1377</v>
      </c>
      <c r="E582" s="1" t="s">
        <v>1378</v>
      </c>
      <c r="F582" s="1" t="s">
        <v>112</v>
      </c>
      <c r="G582" s="1">
        <v>319711</v>
      </c>
    </row>
    <row r="583" spans="1:8" x14ac:dyDescent="0.35">
      <c r="A583" s="1" t="str">
        <f t="shared" si="9"/>
        <v>20</v>
      </c>
      <c r="B58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583" s="1" t="s">
        <v>1379</v>
      </c>
      <c r="D583" s="1" t="s">
        <v>1380</v>
      </c>
      <c r="E583" s="1" t="s">
        <v>1381</v>
      </c>
      <c r="F583" s="1" t="s">
        <v>112</v>
      </c>
      <c r="G583" s="1">
        <v>259905</v>
      </c>
    </row>
    <row r="584" spans="1:8" x14ac:dyDescent="0.35">
      <c r="A584" s="1" t="str">
        <f t="shared" si="9"/>
        <v>20</v>
      </c>
      <c r="B58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584" s="1" t="s">
        <v>1382</v>
      </c>
      <c r="D584" s="1" t="s">
        <v>1383</v>
      </c>
      <c r="E584" s="1" t="s">
        <v>1384</v>
      </c>
      <c r="F584" s="1" t="s">
        <v>112</v>
      </c>
      <c r="G584" s="1">
        <v>399785</v>
      </c>
    </row>
    <row r="585" spans="1:8" x14ac:dyDescent="0.35">
      <c r="A585" s="1" t="str">
        <f t="shared" si="9"/>
        <v>20</v>
      </c>
      <c r="B58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585" s="1" t="s">
        <v>1385</v>
      </c>
      <c r="D585" s="1" t="s">
        <v>723</v>
      </c>
      <c r="E585" s="1" t="s">
        <v>1386</v>
      </c>
      <c r="F585" s="1" t="s">
        <v>112</v>
      </c>
      <c r="G585" s="1">
        <v>25610</v>
      </c>
    </row>
    <row r="586" spans="1:8" x14ac:dyDescent="0.35">
      <c r="A586" s="1" t="str">
        <f t="shared" si="9"/>
        <v>20</v>
      </c>
      <c r="B586"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586" s="1" t="s">
        <v>1387</v>
      </c>
      <c r="D586" s="1">
        <v>0</v>
      </c>
      <c r="E586" s="1">
        <v>0</v>
      </c>
      <c r="F586" s="1" t="s">
        <v>112</v>
      </c>
      <c r="G586" s="1">
        <v>0</v>
      </c>
    </row>
    <row r="587" spans="1:8" x14ac:dyDescent="0.35">
      <c r="A587" s="1" t="str">
        <f t="shared" si="9"/>
        <v>20</v>
      </c>
      <c r="B587"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587" s="1" t="s">
        <v>1388</v>
      </c>
      <c r="D587" s="1">
        <v>0</v>
      </c>
      <c r="E587" s="1">
        <v>0</v>
      </c>
      <c r="F587" s="1" t="s">
        <v>112</v>
      </c>
      <c r="G587" s="1">
        <v>0</v>
      </c>
    </row>
    <row r="588" spans="1:8" x14ac:dyDescent="0.35">
      <c r="A588" s="1" t="str">
        <f t="shared" si="9"/>
        <v/>
      </c>
      <c r="B58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588" s="1" t="s">
        <v>112</v>
      </c>
    </row>
    <row r="589" spans="1:8" x14ac:dyDescent="0.35">
      <c r="A589" s="1" t="str">
        <f t="shared" si="9"/>
        <v/>
      </c>
      <c r="B58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589" s="1" t="s">
        <v>226</v>
      </c>
      <c r="D589" s="1" t="s">
        <v>112</v>
      </c>
      <c r="E589" s="1" t="s">
        <v>227</v>
      </c>
      <c r="F589" s="1" t="s">
        <v>228</v>
      </c>
      <c r="G589" s="1" t="s">
        <v>229</v>
      </c>
      <c r="H589" s="1" t="s">
        <v>230</v>
      </c>
    </row>
    <row r="590" spans="1:8" x14ac:dyDescent="0.35">
      <c r="A590" s="1" t="str">
        <f t="shared" si="9"/>
        <v>20</v>
      </c>
      <c r="B590"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 xml:space="preserve"> </v>
      </c>
      <c r="C590" s="1" t="s">
        <v>1389</v>
      </c>
      <c r="D590" s="1" t="s">
        <v>112</v>
      </c>
      <c r="E590" s="1" t="s">
        <v>1390</v>
      </c>
      <c r="F590" s="1" t="s">
        <v>1391</v>
      </c>
      <c r="G590" s="1" t="s">
        <v>1392</v>
      </c>
      <c r="H590" s="1" t="s">
        <v>1393</v>
      </c>
    </row>
    <row r="591" spans="1:8" x14ac:dyDescent="0.35">
      <c r="A591" s="1" t="str">
        <f t="shared" si="9"/>
        <v/>
      </c>
      <c r="B59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591" s="1" t="s">
        <v>112</v>
      </c>
    </row>
    <row r="592" spans="1:8" x14ac:dyDescent="0.35">
      <c r="A592" s="1" t="str">
        <f t="shared" si="9"/>
        <v/>
      </c>
      <c r="B59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592" s="1" t="s">
        <v>112</v>
      </c>
    </row>
    <row r="593" spans="1:7" x14ac:dyDescent="0.35">
      <c r="A593" s="1" t="str">
        <f t="shared" si="9"/>
        <v/>
      </c>
      <c r="B59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593" s="1" t="s">
        <v>112</v>
      </c>
    </row>
    <row r="594" spans="1:7" x14ac:dyDescent="0.35">
      <c r="A594" s="1" t="str">
        <f t="shared" si="9"/>
        <v/>
      </c>
      <c r="B59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594" s="1" t="s">
        <v>112</v>
      </c>
    </row>
    <row r="595" spans="1:7" x14ac:dyDescent="0.35">
      <c r="A595" s="1" t="str">
        <f t="shared" si="9"/>
        <v/>
      </c>
      <c r="B59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595" s="1" t="s">
        <v>112</v>
      </c>
    </row>
    <row r="596" spans="1:7" x14ac:dyDescent="0.35">
      <c r="A596" s="1" t="str">
        <f t="shared" si="9"/>
        <v/>
      </c>
      <c r="B59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596" s="1" t="s">
        <v>172</v>
      </c>
      <c r="D596" s="1" t="s">
        <v>110</v>
      </c>
      <c r="E596" s="1" t="s">
        <v>111</v>
      </c>
      <c r="F596" s="1" t="s">
        <v>112</v>
      </c>
      <c r="G596" s="1" t="s">
        <v>113</v>
      </c>
    </row>
    <row r="597" spans="1:7" x14ac:dyDescent="0.35">
      <c r="A597" s="1" t="str">
        <f t="shared" si="9"/>
        <v>21</v>
      </c>
      <c r="B597"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597" s="1" t="s">
        <v>1394</v>
      </c>
      <c r="D597" s="1" t="s">
        <v>574</v>
      </c>
      <c r="E597" s="1" t="s">
        <v>1395</v>
      </c>
      <c r="F597" s="1" t="s">
        <v>112</v>
      </c>
      <c r="G597" s="1">
        <v>212730</v>
      </c>
    </row>
    <row r="598" spans="1:7" x14ac:dyDescent="0.35">
      <c r="A598" s="1" t="str">
        <f t="shared" si="9"/>
        <v>21</v>
      </c>
      <c r="B59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598" s="1" t="s">
        <v>1396</v>
      </c>
      <c r="D598" s="1" t="s">
        <v>1397</v>
      </c>
      <c r="E598" s="1" t="s">
        <v>1398</v>
      </c>
      <c r="F598" s="1" t="s">
        <v>112</v>
      </c>
      <c r="G598" s="1">
        <v>243682</v>
      </c>
    </row>
    <row r="599" spans="1:7" x14ac:dyDescent="0.35">
      <c r="A599" s="1" t="str">
        <f t="shared" si="9"/>
        <v>21</v>
      </c>
      <c r="B599"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599" s="1" t="s">
        <v>1399</v>
      </c>
      <c r="D599" s="1" t="s">
        <v>273</v>
      </c>
      <c r="E599" s="1" t="s">
        <v>1400</v>
      </c>
      <c r="F599" s="1" t="s">
        <v>112</v>
      </c>
      <c r="G599" s="1">
        <v>355574</v>
      </c>
    </row>
    <row r="600" spans="1:7" x14ac:dyDescent="0.35">
      <c r="A600" s="1" t="str">
        <f t="shared" si="9"/>
        <v>21</v>
      </c>
      <c r="B600"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600" s="1" t="s">
        <v>1401</v>
      </c>
      <c r="D600" s="1" t="s">
        <v>1402</v>
      </c>
      <c r="E600" s="1" t="s">
        <v>1403</v>
      </c>
      <c r="F600" s="1" t="s">
        <v>112</v>
      </c>
      <c r="G600" s="1">
        <v>227482</v>
      </c>
    </row>
    <row r="601" spans="1:7" x14ac:dyDescent="0.35">
      <c r="A601" s="1" t="str">
        <f t="shared" si="9"/>
        <v>21</v>
      </c>
      <c r="B601"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601" s="1" t="s">
        <v>1404</v>
      </c>
      <c r="D601" s="1">
        <v>0</v>
      </c>
      <c r="E601" s="1">
        <v>0</v>
      </c>
      <c r="F601" s="1" t="s">
        <v>112</v>
      </c>
      <c r="G601" s="1">
        <v>0</v>
      </c>
    </row>
    <row r="602" spans="1:7" x14ac:dyDescent="0.35">
      <c r="A602" s="1" t="str">
        <f t="shared" si="9"/>
        <v>21</v>
      </c>
      <c r="B60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602" s="1" t="s">
        <v>1405</v>
      </c>
      <c r="D602" s="1">
        <v>0</v>
      </c>
      <c r="E602" s="1">
        <v>0</v>
      </c>
      <c r="F602" s="1" t="s">
        <v>112</v>
      </c>
      <c r="G602" s="1">
        <v>0</v>
      </c>
    </row>
    <row r="603" spans="1:7" x14ac:dyDescent="0.35">
      <c r="A603" s="1" t="str">
        <f t="shared" si="9"/>
        <v>21</v>
      </c>
      <c r="B60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603" s="1" t="s">
        <v>1406</v>
      </c>
      <c r="D603" s="1" t="s">
        <v>1407</v>
      </c>
      <c r="E603" s="1" t="s">
        <v>1408</v>
      </c>
      <c r="F603" s="1" t="s">
        <v>112</v>
      </c>
      <c r="G603" s="1">
        <v>488836</v>
      </c>
    </row>
    <row r="604" spans="1:7" x14ac:dyDescent="0.35">
      <c r="A604" s="1" t="str">
        <f t="shared" si="9"/>
        <v>21</v>
      </c>
      <c r="B60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604" s="1" t="s">
        <v>1409</v>
      </c>
      <c r="D604" s="1" t="s">
        <v>1410</v>
      </c>
      <c r="E604" s="1" t="s">
        <v>1411</v>
      </c>
      <c r="F604" s="1" t="s">
        <v>112</v>
      </c>
      <c r="G604" s="1">
        <v>468201</v>
      </c>
    </row>
    <row r="605" spans="1:7" x14ac:dyDescent="0.35">
      <c r="A605" s="1" t="str">
        <f t="shared" si="9"/>
        <v>21</v>
      </c>
      <c r="B60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605" s="1" t="s">
        <v>1412</v>
      </c>
      <c r="D605" s="1" t="s">
        <v>663</v>
      </c>
      <c r="E605" s="1" t="s">
        <v>1413</v>
      </c>
      <c r="F605" s="1" t="s">
        <v>112</v>
      </c>
      <c r="G605" s="1">
        <v>328796</v>
      </c>
    </row>
    <row r="606" spans="1:7" x14ac:dyDescent="0.35">
      <c r="A606" s="1" t="str">
        <f t="shared" si="9"/>
        <v>21</v>
      </c>
      <c r="B606"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606" s="1" t="s">
        <v>1414</v>
      </c>
      <c r="D606" s="1" t="s">
        <v>1030</v>
      </c>
      <c r="E606" s="1" t="s">
        <v>1415</v>
      </c>
      <c r="F606" s="1" t="s">
        <v>112</v>
      </c>
      <c r="G606" s="1">
        <v>175548</v>
      </c>
    </row>
    <row r="607" spans="1:7" x14ac:dyDescent="0.35">
      <c r="A607" s="1" t="str">
        <f t="shared" si="9"/>
        <v>21</v>
      </c>
      <c r="B607"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607" s="1" t="s">
        <v>1416</v>
      </c>
      <c r="D607" s="1" t="s">
        <v>464</v>
      </c>
      <c r="E607" s="1" t="s">
        <v>1417</v>
      </c>
      <c r="F607" s="1" t="s">
        <v>112</v>
      </c>
      <c r="G607" s="1">
        <v>73498</v>
      </c>
    </row>
    <row r="608" spans="1:7" x14ac:dyDescent="0.35">
      <c r="A608" s="1" t="str">
        <f t="shared" si="9"/>
        <v>21</v>
      </c>
      <c r="B60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608" s="1" t="s">
        <v>1418</v>
      </c>
      <c r="D608" s="1" t="s">
        <v>1419</v>
      </c>
      <c r="E608" s="1" t="s">
        <v>1420</v>
      </c>
      <c r="F608" s="1" t="s">
        <v>112</v>
      </c>
      <c r="G608" s="1">
        <v>80917</v>
      </c>
    </row>
    <row r="609" spans="1:8" x14ac:dyDescent="0.35">
      <c r="A609" s="1" t="str">
        <f t="shared" si="9"/>
        <v>21</v>
      </c>
      <c r="B609"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609" s="1" t="s">
        <v>1421</v>
      </c>
    </row>
    <row r="610" spans="1:8" x14ac:dyDescent="0.35">
      <c r="A610" s="1" t="str">
        <f t="shared" si="9"/>
        <v>21</v>
      </c>
      <c r="B610"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610" s="1" t="s">
        <v>1422</v>
      </c>
    </row>
    <row r="611" spans="1:8" x14ac:dyDescent="0.35">
      <c r="A611" s="1" t="str">
        <f t="shared" si="9"/>
        <v>21</v>
      </c>
      <c r="B611"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611" s="1" t="s">
        <v>1423</v>
      </c>
    </row>
    <row r="612" spans="1:8" x14ac:dyDescent="0.35">
      <c r="A612" s="1" t="str">
        <f t="shared" si="9"/>
        <v>21</v>
      </c>
      <c r="B61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612" s="1" t="s">
        <v>1424</v>
      </c>
      <c r="D612" s="1" t="s">
        <v>1425</v>
      </c>
      <c r="E612" s="1" t="s">
        <v>1426</v>
      </c>
      <c r="F612" s="1" t="s">
        <v>112</v>
      </c>
      <c r="G612" s="1">
        <v>147127</v>
      </c>
    </row>
    <row r="613" spans="1:8" x14ac:dyDescent="0.35">
      <c r="A613" s="1" t="str">
        <f t="shared" si="9"/>
        <v>21</v>
      </c>
      <c r="B61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613" s="1" t="s">
        <v>1427</v>
      </c>
      <c r="D613" s="1" t="s">
        <v>617</v>
      </c>
      <c r="E613" s="1" t="s">
        <v>1428</v>
      </c>
      <c r="F613" s="1" t="s">
        <v>112</v>
      </c>
      <c r="G613" s="1">
        <v>108647</v>
      </c>
    </row>
    <row r="614" spans="1:8" x14ac:dyDescent="0.35">
      <c r="A614" s="1" t="str">
        <f t="shared" si="9"/>
        <v>21</v>
      </c>
      <c r="B61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614" s="1" t="s">
        <v>1429</v>
      </c>
    </row>
    <row r="615" spans="1:8" x14ac:dyDescent="0.35">
      <c r="A615" s="1" t="str">
        <f t="shared" si="9"/>
        <v>21</v>
      </c>
      <c r="B61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615" s="1" t="s">
        <v>1430</v>
      </c>
      <c r="D615" s="1" t="s">
        <v>1431</v>
      </c>
      <c r="E615" s="1" t="s">
        <v>1432</v>
      </c>
      <c r="F615" s="1" t="s">
        <v>112</v>
      </c>
      <c r="G615" s="1">
        <v>268189</v>
      </c>
    </row>
    <row r="616" spans="1:8" x14ac:dyDescent="0.35">
      <c r="A616" s="1" t="str">
        <f t="shared" si="9"/>
        <v>21</v>
      </c>
      <c r="B616"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616" s="1" t="s">
        <v>1433</v>
      </c>
      <c r="D616" s="1" t="s">
        <v>1434</v>
      </c>
      <c r="E616" s="1" t="s">
        <v>1435</v>
      </c>
      <c r="F616" s="1" t="s">
        <v>112</v>
      </c>
      <c r="G616" s="1">
        <v>366324</v>
      </c>
    </row>
    <row r="617" spans="1:8" x14ac:dyDescent="0.35">
      <c r="A617" s="1" t="str">
        <f t="shared" si="9"/>
        <v>21</v>
      </c>
      <c r="B617"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617" s="1" t="s">
        <v>1436</v>
      </c>
    </row>
    <row r="618" spans="1:8" x14ac:dyDescent="0.35">
      <c r="A618" s="1" t="str">
        <f t="shared" si="9"/>
        <v>21</v>
      </c>
      <c r="B61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618" s="1" t="s">
        <v>1437</v>
      </c>
      <c r="D618" s="1">
        <v>0</v>
      </c>
      <c r="E618" s="1">
        <v>0</v>
      </c>
      <c r="F618" s="1" t="s">
        <v>112</v>
      </c>
      <c r="G618" s="1">
        <v>0</v>
      </c>
    </row>
    <row r="619" spans="1:8" x14ac:dyDescent="0.35">
      <c r="A619" s="1" t="str">
        <f t="shared" si="9"/>
        <v>21</v>
      </c>
      <c r="B619"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619" s="1" t="s">
        <v>1438</v>
      </c>
      <c r="D619" s="1" t="s">
        <v>1088</v>
      </c>
      <c r="E619" s="1" t="s">
        <v>1439</v>
      </c>
      <c r="F619" s="1" t="s">
        <v>112</v>
      </c>
      <c r="G619" s="1">
        <v>231916</v>
      </c>
    </row>
    <row r="620" spans="1:8" x14ac:dyDescent="0.35">
      <c r="A620" s="1" t="str">
        <f t="shared" si="9"/>
        <v>21</v>
      </c>
      <c r="B620"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620" s="1" t="s">
        <v>1440</v>
      </c>
      <c r="D620" s="1">
        <v>0</v>
      </c>
      <c r="E620" s="1">
        <v>0</v>
      </c>
      <c r="F620" s="1" t="s">
        <v>112</v>
      </c>
      <c r="G620" s="1">
        <v>0</v>
      </c>
    </row>
    <row r="621" spans="1:8" x14ac:dyDescent="0.35">
      <c r="A621" s="1" t="str">
        <f t="shared" si="9"/>
        <v/>
      </c>
      <c r="B62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621" s="1" t="s">
        <v>112</v>
      </c>
    </row>
    <row r="622" spans="1:8" x14ac:dyDescent="0.35">
      <c r="A622" s="1" t="str">
        <f t="shared" si="9"/>
        <v/>
      </c>
      <c r="B62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622" s="1" t="s">
        <v>226</v>
      </c>
      <c r="D622" s="1" t="s">
        <v>112</v>
      </c>
      <c r="E622" s="1" t="s">
        <v>227</v>
      </c>
      <c r="F622" s="1" t="s">
        <v>228</v>
      </c>
      <c r="G622" s="1" t="s">
        <v>229</v>
      </c>
      <c r="H622" s="1" t="s">
        <v>230</v>
      </c>
    </row>
    <row r="623" spans="1:8" x14ac:dyDescent="0.35">
      <c r="A623" s="1" t="str">
        <f t="shared" si="9"/>
        <v>21</v>
      </c>
      <c r="B62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 xml:space="preserve"> </v>
      </c>
      <c r="C623" s="1" t="s">
        <v>1441</v>
      </c>
      <c r="D623" s="1" t="s">
        <v>112</v>
      </c>
      <c r="E623" s="1" t="s">
        <v>1442</v>
      </c>
      <c r="F623" s="1" t="s">
        <v>1443</v>
      </c>
      <c r="G623" s="1" t="s">
        <v>1444</v>
      </c>
      <c r="H623" s="1" t="s">
        <v>1445</v>
      </c>
    </row>
    <row r="624" spans="1:8" x14ac:dyDescent="0.35">
      <c r="A624" s="1" t="str">
        <f t="shared" si="9"/>
        <v/>
      </c>
      <c r="B62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624" s="1" t="s">
        <v>112</v>
      </c>
    </row>
    <row r="625" spans="1:7" x14ac:dyDescent="0.35">
      <c r="A625" s="1" t="str">
        <f t="shared" si="9"/>
        <v/>
      </c>
      <c r="B62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625" s="1" t="s">
        <v>112</v>
      </c>
    </row>
    <row r="626" spans="1:7" x14ac:dyDescent="0.35">
      <c r="A626" s="1" t="str">
        <f t="shared" si="9"/>
        <v/>
      </c>
      <c r="B62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626" s="1" t="s">
        <v>112</v>
      </c>
    </row>
    <row r="627" spans="1:7" x14ac:dyDescent="0.35">
      <c r="A627" s="1" t="str">
        <f t="shared" si="9"/>
        <v/>
      </c>
      <c r="B62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627" s="1" t="s">
        <v>112</v>
      </c>
    </row>
    <row r="628" spans="1:7" x14ac:dyDescent="0.35">
      <c r="A628" s="1" t="str">
        <f t="shared" si="9"/>
        <v/>
      </c>
      <c r="B62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628" s="1" t="s">
        <v>112</v>
      </c>
    </row>
    <row r="629" spans="1:7" x14ac:dyDescent="0.35">
      <c r="A629" s="1" t="str">
        <f t="shared" si="9"/>
        <v/>
      </c>
      <c r="B62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629" s="1" t="s">
        <v>172</v>
      </c>
      <c r="D629" s="1" t="s">
        <v>110</v>
      </c>
      <c r="E629" s="1" t="s">
        <v>111</v>
      </c>
      <c r="F629" s="1" t="s">
        <v>112</v>
      </c>
      <c r="G629" s="1" t="s">
        <v>113</v>
      </c>
    </row>
    <row r="630" spans="1:7" x14ac:dyDescent="0.35">
      <c r="A630" s="1" t="str">
        <f t="shared" si="9"/>
        <v>8</v>
      </c>
      <c r="B630"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630" s="1" t="s">
        <v>1446</v>
      </c>
      <c r="D630" s="1" t="s">
        <v>1447</v>
      </c>
      <c r="E630" s="1" t="s">
        <v>1448</v>
      </c>
      <c r="F630" s="1" t="s">
        <v>112</v>
      </c>
      <c r="G630" s="1">
        <v>17563</v>
      </c>
    </row>
    <row r="631" spans="1:7" x14ac:dyDescent="0.35">
      <c r="A631" s="1" t="str">
        <f t="shared" si="9"/>
        <v>8</v>
      </c>
      <c r="B631"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631" s="1" t="s">
        <v>1449</v>
      </c>
      <c r="D631" s="1" t="s">
        <v>1036</v>
      </c>
      <c r="E631" s="1">
        <v>34</v>
      </c>
      <c r="F631" s="1" t="s">
        <v>112</v>
      </c>
      <c r="G631" s="1">
        <v>13973</v>
      </c>
    </row>
    <row r="632" spans="1:7" x14ac:dyDescent="0.35">
      <c r="A632" s="1" t="str">
        <f t="shared" si="9"/>
        <v>8</v>
      </c>
      <c r="B63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632" s="1" t="s">
        <v>1450</v>
      </c>
      <c r="D632" s="1" t="s">
        <v>1451</v>
      </c>
      <c r="E632" s="1">
        <v>32</v>
      </c>
      <c r="F632" s="1" t="s">
        <v>112</v>
      </c>
      <c r="G632" s="1">
        <v>3461</v>
      </c>
    </row>
    <row r="633" spans="1:7" x14ac:dyDescent="0.35">
      <c r="A633" s="1" t="str">
        <f t="shared" si="9"/>
        <v>8</v>
      </c>
      <c r="B63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633" s="1" t="s">
        <v>1452</v>
      </c>
      <c r="D633" s="1" t="s">
        <v>1453</v>
      </c>
      <c r="E633" s="1" t="s">
        <v>1454</v>
      </c>
      <c r="F633" s="1" t="s">
        <v>112</v>
      </c>
      <c r="G633" s="1">
        <v>20029</v>
      </c>
    </row>
    <row r="634" spans="1:7" x14ac:dyDescent="0.35">
      <c r="A634" s="1" t="str">
        <f t="shared" si="9"/>
        <v>8</v>
      </c>
      <c r="B63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634" s="1" t="s">
        <v>1455</v>
      </c>
      <c r="D634" s="1" t="s">
        <v>456</v>
      </c>
      <c r="E634" s="1" t="s">
        <v>1456</v>
      </c>
      <c r="F634" s="1" t="s">
        <v>112</v>
      </c>
      <c r="G634" s="1">
        <v>148100</v>
      </c>
    </row>
    <row r="635" spans="1:7" x14ac:dyDescent="0.35">
      <c r="A635" s="1" t="str">
        <f t="shared" si="9"/>
        <v>8</v>
      </c>
      <c r="B63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635" s="1" t="s">
        <v>1457</v>
      </c>
      <c r="D635" s="1" t="s">
        <v>951</v>
      </c>
      <c r="E635" s="1" t="s">
        <v>1458</v>
      </c>
      <c r="F635" s="1" t="s">
        <v>112</v>
      </c>
      <c r="G635" s="1">
        <v>109664</v>
      </c>
    </row>
    <row r="636" spans="1:7" x14ac:dyDescent="0.35">
      <c r="A636" s="1" t="str">
        <f t="shared" si="9"/>
        <v>8</v>
      </c>
      <c r="B636"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636" s="1" t="s">
        <v>1459</v>
      </c>
      <c r="D636" s="1" t="s">
        <v>1460</v>
      </c>
      <c r="E636" s="1" t="s">
        <v>1461</v>
      </c>
      <c r="F636" s="1" t="s">
        <v>112</v>
      </c>
      <c r="G636" s="1">
        <v>518663</v>
      </c>
    </row>
    <row r="637" spans="1:7" x14ac:dyDescent="0.35">
      <c r="A637" s="1" t="str">
        <f t="shared" si="9"/>
        <v>8</v>
      </c>
      <c r="B637"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637" s="1" t="s">
        <v>1462</v>
      </c>
      <c r="D637" s="1" t="s">
        <v>1463</v>
      </c>
      <c r="E637" s="1" t="s">
        <v>1464</v>
      </c>
      <c r="F637" s="1" t="s">
        <v>112</v>
      </c>
      <c r="G637" s="1">
        <v>430976</v>
      </c>
    </row>
    <row r="638" spans="1:7" x14ac:dyDescent="0.35">
      <c r="A638" s="1" t="str">
        <f t="shared" si="9"/>
        <v>8</v>
      </c>
      <c r="B63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638" s="1" t="s">
        <v>1465</v>
      </c>
      <c r="D638" s="1" t="s">
        <v>1000</v>
      </c>
      <c r="E638" s="1" t="s">
        <v>1466</v>
      </c>
      <c r="F638" s="1" t="s">
        <v>112</v>
      </c>
      <c r="G638" s="1">
        <v>457191</v>
      </c>
    </row>
    <row r="639" spans="1:7" x14ac:dyDescent="0.35">
      <c r="A639" s="1" t="str">
        <f t="shared" si="9"/>
        <v>8</v>
      </c>
      <c r="B639"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639" s="1" t="s">
        <v>1467</v>
      </c>
      <c r="D639" s="1" t="s">
        <v>1036</v>
      </c>
      <c r="E639" s="1" t="s">
        <v>1468</v>
      </c>
      <c r="F639" s="1" t="s">
        <v>112</v>
      </c>
      <c r="G639" s="1">
        <v>13540</v>
      </c>
    </row>
    <row r="640" spans="1:7" x14ac:dyDescent="0.35">
      <c r="A640" s="1" t="str">
        <f t="shared" si="9"/>
        <v>8</v>
      </c>
      <c r="B640"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640" s="1" t="s">
        <v>1469</v>
      </c>
    </row>
    <row r="641" spans="1:8" x14ac:dyDescent="0.35">
      <c r="A641" s="1" t="str">
        <f t="shared" si="9"/>
        <v>8</v>
      </c>
      <c r="B641"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641" s="1" t="s">
        <v>1470</v>
      </c>
      <c r="D641" s="1" t="s">
        <v>954</v>
      </c>
      <c r="E641" s="1" t="s">
        <v>1163</v>
      </c>
      <c r="F641" s="1" t="s">
        <v>112</v>
      </c>
      <c r="G641" s="1">
        <v>1319</v>
      </c>
    </row>
    <row r="642" spans="1:8" x14ac:dyDescent="0.35">
      <c r="A642" s="1" t="str">
        <f t="shared" ref="A642:A705" si="10">IFERROR(LEFT(RIGHT(C642,LEN(C642)-SEARCH("@",C642)),SEARCH("/",RIGHT(C642,LEN(C642)-SEARCH("@",C642)-1))),"")</f>
        <v>8</v>
      </c>
      <c r="B64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642" s="1" t="s">
        <v>1471</v>
      </c>
      <c r="D642" s="1" t="s">
        <v>1472</v>
      </c>
      <c r="E642" s="1" t="s">
        <v>1473</v>
      </c>
      <c r="F642" s="1" t="s">
        <v>112</v>
      </c>
      <c r="G642" s="1">
        <v>215477</v>
      </c>
    </row>
    <row r="643" spans="1:8" x14ac:dyDescent="0.35">
      <c r="A643" s="1" t="str">
        <f t="shared" si="10"/>
        <v>8</v>
      </c>
      <c r="B64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643" s="1" t="s">
        <v>1474</v>
      </c>
      <c r="D643" s="1" t="s">
        <v>590</v>
      </c>
      <c r="E643" s="1" t="s">
        <v>1475</v>
      </c>
      <c r="F643" s="1" t="s">
        <v>112</v>
      </c>
      <c r="G643" s="1">
        <v>178922</v>
      </c>
    </row>
    <row r="644" spans="1:8" x14ac:dyDescent="0.35">
      <c r="A644" s="1" t="str">
        <f t="shared" si="10"/>
        <v>8</v>
      </c>
      <c r="B64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644" s="1" t="s">
        <v>1476</v>
      </c>
      <c r="D644" s="1" t="s">
        <v>1431</v>
      </c>
      <c r="E644" s="1" t="s">
        <v>1477</v>
      </c>
      <c r="F644" s="1" t="s">
        <v>112</v>
      </c>
      <c r="G644" s="1">
        <v>276603</v>
      </c>
    </row>
    <row r="645" spans="1:8" x14ac:dyDescent="0.35">
      <c r="A645" s="1" t="str">
        <f t="shared" si="10"/>
        <v>8</v>
      </c>
      <c r="B64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645" s="1" t="s">
        <v>1478</v>
      </c>
      <c r="D645" s="1" t="s">
        <v>1139</v>
      </c>
      <c r="E645" s="1">
        <v>31</v>
      </c>
      <c r="F645" s="1" t="s">
        <v>112</v>
      </c>
      <c r="G645" s="1">
        <v>2012</v>
      </c>
    </row>
    <row r="646" spans="1:8" x14ac:dyDescent="0.35">
      <c r="A646" s="1" t="str">
        <f t="shared" si="10"/>
        <v>8</v>
      </c>
      <c r="B646"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646" s="1" t="s">
        <v>1479</v>
      </c>
      <c r="D646" s="1" t="s">
        <v>215</v>
      </c>
      <c r="E646" s="1">
        <v>30</v>
      </c>
      <c r="F646" s="1" t="s">
        <v>112</v>
      </c>
      <c r="G646" s="1">
        <v>649</v>
      </c>
    </row>
    <row r="647" spans="1:8" x14ac:dyDescent="0.35">
      <c r="A647" s="1" t="str">
        <f t="shared" si="10"/>
        <v>8</v>
      </c>
      <c r="B647"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647" s="1" t="s">
        <v>1480</v>
      </c>
      <c r="D647" s="1" t="s">
        <v>1051</v>
      </c>
      <c r="E647" s="1" t="s">
        <v>1140</v>
      </c>
      <c r="F647" s="1" t="s">
        <v>112</v>
      </c>
      <c r="G647" s="1">
        <v>12329</v>
      </c>
    </row>
    <row r="648" spans="1:8" x14ac:dyDescent="0.35">
      <c r="A648" s="1" t="str">
        <f t="shared" si="10"/>
        <v>8</v>
      </c>
      <c r="B64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648" s="1" t="s">
        <v>1481</v>
      </c>
    </row>
    <row r="649" spans="1:8" x14ac:dyDescent="0.35">
      <c r="A649" s="1" t="str">
        <f t="shared" si="10"/>
        <v>8</v>
      </c>
      <c r="B649"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649" s="1" t="s">
        <v>1482</v>
      </c>
      <c r="D649" s="1" t="s">
        <v>1483</v>
      </c>
      <c r="E649" s="1" t="s">
        <v>1484</v>
      </c>
      <c r="F649" s="1" t="s">
        <v>112</v>
      </c>
      <c r="G649" s="1">
        <v>297216</v>
      </c>
    </row>
    <row r="650" spans="1:8" x14ac:dyDescent="0.35">
      <c r="A650" s="1" t="str">
        <f t="shared" si="10"/>
        <v>8</v>
      </c>
      <c r="B650"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650" s="1" t="s">
        <v>1485</v>
      </c>
      <c r="D650" s="1" t="s">
        <v>1486</v>
      </c>
      <c r="E650" s="1" t="s">
        <v>1487</v>
      </c>
      <c r="F650" s="1" t="s">
        <v>112</v>
      </c>
      <c r="G650" s="1">
        <v>271542</v>
      </c>
    </row>
    <row r="651" spans="1:8" x14ac:dyDescent="0.35">
      <c r="A651" s="1" t="str">
        <f t="shared" si="10"/>
        <v>8</v>
      </c>
      <c r="B651"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651" s="1" t="s">
        <v>1488</v>
      </c>
    </row>
    <row r="652" spans="1:8" x14ac:dyDescent="0.35">
      <c r="A652" s="1" t="str">
        <f t="shared" si="10"/>
        <v>8</v>
      </c>
      <c r="B65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652" s="1" t="s">
        <v>1489</v>
      </c>
    </row>
    <row r="653" spans="1:8" x14ac:dyDescent="0.35">
      <c r="A653" s="1" t="str">
        <f t="shared" si="10"/>
        <v>8</v>
      </c>
      <c r="B65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653" s="1" t="s">
        <v>1490</v>
      </c>
    </row>
    <row r="654" spans="1:8" x14ac:dyDescent="0.35">
      <c r="A654" s="1" t="str">
        <f t="shared" si="10"/>
        <v/>
      </c>
      <c r="B65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654" s="1" t="s">
        <v>112</v>
      </c>
    </row>
    <row r="655" spans="1:8" x14ac:dyDescent="0.35">
      <c r="A655" s="1" t="str">
        <f t="shared" si="10"/>
        <v/>
      </c>
      <c r="B65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655" s="1" t="s">
        <v>226</v>
      </c>
      <c r="D655" s="1" t="s">
        <v>112</v>
      </c>
      <c r="E655" s="1" t="s">
        <v>227</v>
      </c>
      <c r="F655" s="1" t="s">
        <v>228</v>
      </c>
      <c r="G655" s="1" t="s">
        <v>229</v>
      </c>
      <c r="H655" s="1" t="s">
        <v>230</v>
      </c>
    </row>
    <row r="656" spans="1:8" x14ac:dyDescent="0.35">
      <c r="A656" s="1" t="str">
        <f t="shared" si="10"/>
        <v>8</v>
      </c>
      <c r="B656"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 xml:space="preserve"> </v>
      </c>
      <c r="C656" s="1" t="s">
        <v>1491</v>
      </c>
      <c r="D656" s="1" t="s">
        <v>112</v>
      </c>
      <c r="E656" s="1" t="s">
        <v>1492</v>
      </c>
      <c r="F656" s="1" t="s">
        <v>1493</v>
      </c>
      <c r="G656" s="1" t="s">
        <v>1494</v>
      </c>
      <c r="H656" s="1" t="s">
        <v>1495</v>
      </c>
    </row>
    <row r="657" spans="1:7" x14ac:dyDescent="0.35">
      <c r="A657" s="1" t="str">
        <f t="shared" si="10"/>
        <v/>
      </c>
      <c r="B65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657" s="1" t="s">
        <v>112</v>
      </c>
    </row>
    <row r="658" spans="1:7" x14ac:dyDescent="0.35">
      <c r="A658" s="1" t="str">
        <f t="shared" si="10"/>
        <v/>
      </c>
      <c r="B65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658" s="1" t="s">
        <v>112</v>
      </c>
    </row>
    <row r="659" spans="1:7" x14ac:dyDescent="0.35">
      <c r="A659" s="1" t="str">
        <f t="shared" si="10"/>
        <v/>
      </c>
      <c r="B65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659" s="1" t="s">
        <v>112</v>
      </c>
    </row>
    <row r="660" spans="1:7" x14ac:dyDescent="0.35">
      <c r="A660" s="1" t="str">
        <f t="shared" si="10"/>
        <v/>
      </c>
      <c r="B66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660" s="1" t="s">
        <v>112</v>
      </c>
    </row>
    <row r="661" spans="1:7" x14ac:dyDescent="0.35">
      <c r="A661" s="1" t="str">
        <f t="shared" si="10"/>
        <v/>
      </c>
      <c r="B66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661" s="1" t="s">
        <v>112</v>
      </c>
    </row>
    <row r="662" spans="1:7" x14ac:dyDescent="0.35">
      <c r="A662" s="1" t="str">
        <f t="shared" si="10"/>
        <v/>
      </c>
      <c r="B66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662" s="1" t="s">
        <v>172</v>
      </c>
      <c r="D662" s="1" t="s">
        <v>110</v>
      </c>
      <c r="E662" s="1" t="s">
        <v>111</v>
      </c>
      <c r="F662" s="1" t="s">
        <v>112</v>
      </c>
      <c r="G662" s="1" t="s">
        <v>113</v>
      </c>
    </row>
    <row r="663" spans="1:7" x14ac:dyDescent="0.35">
      <c r="A663" s="1" t="str">
        <f t="shared" si="10"/>
        <v>9</v>
      </c>
      <c r="B66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663" s="1" t="s">
        <v>1496</v>
      </c>
      <c r="D663" s="1" t="s">
        <v>1497</v>
      </c>
      <c r="E663" s="1" t="s">
        <v>1498</v>
      </c>
      <c r="F663" s="1" t="s">
        <v>112</v>
      </c>
      <c r="G663" s="1">
        <v>352070</v>
      </c>
    </row>
    <row r="664" spans="1:7" x14ac:dyDescent="0.35">
      <c r="A664" s="1" t="str">
        <f t="shared" si="10"/>
        <v>9</v>
      </c>
      <c r="B66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664" s="1" t="s">
        <v>1499</v>
      </c>
      <c r="D664" s="1" t="s">
        <v>1216</v>
      </c>
      <c r="E664" s="1" t="s">
        <v>1500</v>
      </c>
      <c r="F664" s="1" t="s">
        <v>112</v>
      </c>
      <c r="G664" s="1">
        <v>165901</v>
      </c>
    </row>
    <row r="665" spans="1:7" x14ac:dyDescent="0.35">
      <c r="A665" s="1" t="str">
        <f t="shared" si="10"/>
        <v>9</v>
      </c>
      <c r="B66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665" s="1" t="s">
        <v>1501</v>
      </c>
      <c r="D665" s="1" t="s">
        <v>1190</v>
      </c>
      <c r="E665" s="1" t="s">
        <v>1502</v>
      </c>
      <c r="F665" s="1" t="s">
        <v>112</v>
      </c>
      <c r="G665" s="1">
        <v>139599</v>
      </c>
    </row>
    <row r="666" spans="1:7" x14ac:dyDescent="0.35">
      <c r="A666" s="1" t="str">
        <f t="shared" si="10"/>
        <v>9</v>
      </c>
      <c r="B666"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666" s="1" t="s">
        <v>1503</v>
      </c>
      <c r="D666" s="1" t="s">
        <v>1504</v>
      </c>
      <c r="E666" s="1" t="s">
        <v>1505</v>
      </c>
      <c r="F666" s="1" t="s">
        <v>112</v>
      </c>
      <c r="G666" s="1">
        <v>125626</v>
      </c>
    </row>
    <row r="667" spans="1:7" x14ac:dyDescent="0.35">
      <c r="A667" s="1" t="str">
        <f t="shared" si="10"/>
        <v>9</v>
      </c>
      <c r="B667"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667" s="1" t="s">
        <v>1506</v>
      </c>
      <c r="D667" s="1" t="s">
        <v>1507</v>
      </c>
      <c r="E667" s="1" t="s">
        <v>1508</v>
      </c>
      <c r="F667" s="1" t="s">
        <v>112</v>
      </c>
      <c r="G667" s="1">
        <v>248008</v>
      </c>
    </row>
    <row r="668" spans="1:7" x14ac:dyDescent="0.35">
      <c r="A668" s="1" t="str">
        <f t="shared" si="10"/>
        <v>9</v>
      </c>
      <c r="B66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668" s="1" t="s">
        <v>1509</v>
      </c>
      <c r="D668" s="1" t="s">
        <v>1510</v>
      </c>
      <c r="E668" s="1" t="s">
        <v>1511</v>
      </c>
      <c r="F668" s="1" t="s">
        <v>112</v>
      </c>
      <c r="G668" s="1">
        <v>166226</v>
      </c>
    </row>
    <row r="669" spans="1:7" x14ac:dyDescent="0.35">
      <c r="A669" s="1" t="str">
        <f t="shared" si="10"/>
        <v>9</v>
      </c>
      <c r="B669"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669" s="1" t="s">
        <v>1512</v>
      </c>
      <c r="D669" s="1" t="s">
        <v>1513</v>
      </c>
      <c r="E669" s="1" t="s">
        <v>1514</v>
      </c>
      <c r="F669" s="1" t="s">
        <v>112</v>
      </c>
      <c r="G669" s="1">
        <v>197265</v>
      </c>
    </row>
    <row r="670" spans="1:7" x14ac:dyDescent="0.35">
      <c r="A670" s="1" t="str">
        <f t="shared" si="10"/>
        <v>9</v>
      </c>
      <c r="B670"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670" s="1" t="s">
        <v>1515</v>
      </c>
      <c r="D670" s="1" t="s">
        <v>1516</v>
      </c>
      <c r="E670" s="1" t="s">
        <v>1517</v>
      </c>
      <c r="F670" s="1" t="s">
        <v>112</v>
      </c>
      <c r="G670" s="1">
        <v>530884</v>
      </c>
    </row>
    <row r="671" spans="1:7" x14ac:dyDescent="0.35">
      <c r="A671" s="1" t="str">
        <f t="shared" si="10"/>
        <v>9</v>
      </c>
      <c r="B671"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671" s="1" t="s">
        <v>1518</v>
      </c>
    </row>
    <row r="672" spans="1:7" x14ac:dyDescent="0.35">
      <c r="A672" s="1" t="str">
        <f t="shared" si="10"/>
        <v>9</v>
      </c>
      <c r="B67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672" s="1" t="s">
        <v>1519</v>
      </c>
    </row>
    <row r="673" spans="1:8" x14ac:dyDescent="0.35">
      <c r="A673" s="1" t="str">
        <f t="shared" si="10"/>
        <v>9</v>
      </c>
      <c r="B67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673" s="1" t="s">
        <v>1520</v>
      </c>
    </row>
    <row r="674" spans="1:8" x14ac:dyDescent="0.35">
      <c r="A674" s="1" t="str">
        <f t="shared" si="10"/>
        <v>9</v>
      </c>
      <c r="B67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674" s="1" t="s">
        <v>1521</v>
      </c>
      <c r="D674" s="1">
        <v>0</v>
      </c>
      <c r="E674" s="1">
        <v>0</v>
      </c>
      <c r="F674" s="1" t="s">
        <v>112</v>
      </c>
      <c r="G674" s="1">
        <v>0</v>
      </c>
    </row>
    <row r="675" spans="1:8" x14ac:dyDescent="0.35">
      <c r="A675" s="1" t="str">
        <f t="shared" si="10"/>
        <v>9</v>
      </c>
      <c r="B67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675" s="1" t="s">
        <v>1522</v>
      </c>
      <c r="D675" s="1" t="s">
        <v>1523</v>
      </c>
      <c r="E675" s="1" t="s">
        <v>1524</v>
      </c>
      <c r="F675" s="1" t="s">
        <v>112</v>
      </c>
      <c r="G675" s="1">
        <v>76029</v>
      </c>
    </row>
    <row r="676" spans="1:8" x14ac:dyDescent="0.35">
      <c r="A676" s="1" t="str">
        <f t="shared" si="10"/>
        <v>9</v>
      </c>
      <c r="B676"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676" s="1" t="s">
        <v>1525</v>
      </c>
      <c r="D676" s="1" t="s">
        <v>1526</v>
      </c>
      <c r="E676" s="1" t="s">
        <v>1527</v>
      </c>
      <c r="F676" s="1" t="s">
        <v>112</v>
      </c>
      <c r="G676" s="1">
        <v>39561</v>
      </c>
    </row>
    <row r="677" spans="1:8" x14ac:dyDescent="0.35">
      <c r="A677" s="1" t="str">
        <f t="shared" si="10"/>
        <v>9</v>
      </c>
      <c r="B677"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677" s="1" t="s">
        <v>1528</v>
      </c>
      <c r="D677" s="1" t="s">
        <v>1529</v>
      </c>
      <c r="E677" s="1">
        <v>36</v>
      </c>
      <c r="F677" s="1" t="s">
        <v>112</v>
      </c>
      <c r="G677" s="1">
        <v>77868</v>
      </c>
    </row>
    <row r="678" spans="1:8" x14ac:dyDescent="0.35">
      <c r="A678" s="1" t="str">
        <f t="shared" si="10"/>
        <v>9</v>
      </c>
      <c r="B67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678" s="1" t="s">
        <v>1530</v>
      </c>
    </row>
    <row r="679" spans="1:8" x14ac:dyDescent="0.35">
      <c r="A679" s="1" t="str">
        <f t="shared" si="10"/>
        <v>9</v>
      </c>
      <c r="B679"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679" s="1" t="s">
        <v>1531</v>
      </c>
      <c r="D679" s="1" t="s">
        <v>273</v>
      </c>
      <c r="E679" s="1" t="s">
        <v>1532</v>
      </c>
      <c r="F679" s="1" t="s">
        <v>112</v>
      </c>
      <c r="G679" s="1">
        <v>328234</v>
      </c>
    </row>
    <row r="680" spans="1:8" x14ac:dyDescent="0.35">
      <c r="A680" s="1" t="str">
        <f t="shared" si="10"/>
        <v>9</v>
      </c>
      <c r="B680"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680" s="1" t="s">
        <v>1533</v>
      </c>
      <c r="D680" s="1" t="s">
        <v>1534</v>
      </c>
      <c r="E680" s="1" t="s">
        <v>1535</v>
      </c>
      <c r="F680" s="1" t="s">
        <v>112</v>
      </c>
      <c r="G680" s="1">
        <v>319820</v>
      </c>
    </row>
    <row r="681" spans="1:8" x14ac:dyDescent="0.35">
      <c r="A681" s="1" t="str">
        <f t="shared" si="10"/>
        <v>9</v>
      </c>
      <c r="B681"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681" s="1" t="s">
        <v>1536</v>
      </c>
      <c r="D681" s="1" t="s">
        <v>587</v>
      </c>
      <c r="E681" s="1" t="s">
        <v>1537</v>
      </c>
      <c r="F681" s="1" t="s">
        <v>112</v>
      </c>
      <c r="G681" s="1">
        <v>233798</v>
      </c>
    </row>
    <row r="682" spans="1:8" x14ac:dyDescent="0.35">
      <c r="A682" s="1" t="str">
        <f t="shared" si="10"/>
        <v>9</v>
      </c>
      <c r="B68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682" s="1" t="s">
        <v>1538</v>
      </c>
      <c r="D682" s="1" t="s">
        <v>1539</v>
      </c>
      <c r="E682" s="1" t="s">
        <v>1540</v>
      </c>
      <c r="F682" s="1" t="s">
        <v>112</v>
      </c>
      <c r="G682" s="1">
        <v>78300</v>
      </c>
    </row>
    <row r="683" spans="1:8" x14ac:dyDescent="0.35">
      <c r="A683" s="1" t="str">
        <f t="shared" si="10"/>
        <v>9</v>
      </c>
      <c r="B68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683" s="1" t="s">
        <v>1541</v>
      </c>
      <c r="D683" s="1" t="s">
        <v>1542</v>
      </c>
      <c r="E683" s="1" t="s">
        <v>1543</v>
      </c>
      <c r="F683" s="1" t="s">
        <v>112</v>
      </c>
      <c r="G683" s="1">
        <v>51241</v>
      </c>
    </row>
    <row r="684" spans="1:8" x14ac:dyDescent="0.35">
      <c r="A684" s="1" t="str">
        <f t="shared" si="10"/>
        <v>9</v>
      </c>
      <c r="B68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684" s="1" t="s">
        <v>1544</v>
      </c>
      <c r="D684" s="1" t="s">
        <v>1545</v>
      </c>
      <c r="E684" s="1" t="s">
        <v>1546</v>
      </c>
      <c r="F684" s="1" t="s">
        <v>112</v>
      </c>
      <c r="G684" s="1">
        <v>45964</v>
      </c>
    </row>
    <row r="685" spans="1:8" x14ac:dyDescent="0.35">
      <c r="A685" s="1" t="str">
        <f t="shared" si="10"/>
        <v>9</v>
      </c>
      <c r="B68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685" s="1" t="s">
        <v>1547</v>
      </c>
      <c r="D685" s="1" t="s">
        <v>515</v>
      </c>
      <c r="E685" s="1" t="s">
        <v>1548</v>
      </c>
      <c r="F685" s="1" t="s">
        <v>112</v>
      </c>
      <c r="G685" s="1">
        <v>96751</v>
      </c>
    </row>
    <row r="686" spans="1:8" x14ac:dyDescent="0.35">
      <c r="A686" s="1" t="str">
        <f t="shared" si="10"/>
        <v>9</v>
      </c>
      <c r="B686"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686" s="1" t="s">
        <v>1549</v>
      </c>
      <c r="D686" s="1" t="s">
        <v>1300</v>
      </c>
      <c r="E686" s="1" t="s">
        <v>1550</v>
      </c>
      <c r="F686" s="1" t="s">
        <v>112</v>
      </c>
      <c r="G686" s="1">
        <v>91300</v>
      </c>
    </row>
    <row r="687" spans="1:8" x14ac:dyDescent="0.35">
      <c r="A687" s="1" t="str">
        <f t="shared" si="10"/>
        <v/>
      </c>
      <c r="B68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687" s="1" t="s">
        <v>112</v>
      </c>
    </row>
    <row r="688" spans="1:8" x14ac:dyDescent="0.35">
      <c r="A688" s="1" t="str">
        <f t="shared" si="10"/>
        <v/>
      </c>
      <c r="B68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688" s="1" t="s">
        <v>226</v>
      </c>
      <c r="D688" s="1" t="s">
        <v>112</v>
      </c>
      <c r="E688" s="1" t="s">
        <v>227</v>
      </c>
      <c r="F688" s="1" t="s">
        <v>228</v>
      </c>
      <c r="G688" s="1" t="s">
        <v>229</v>
      </c>
      <c r="H688" s="1" t="s">
        <v>230</v>
      </c>
    </row>
    <row r="689" spans="1:8" x14ac:dyDescent="0.35">
      <c r="A689" s="1" t="str">
        <f t="shared" si="10"/>
        <v>9</v>
      </c>
      <c r="B689"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 xml:space="preserve"> </v>
      </c>
      <c r="C689" s="1" t="s">
        <v>1551</v>
      </c>
      <c r="D689" s="1" t="s">
        <v>112</v>
      </c>
      <c r="E689" s="1" t="s">
        <v>1552</v>
      </c>
      <c r="F689" s="1" t="s">
        <v>1553</v>
      </c>
      <c r="G689" s="1" t="s">
        <v>1554</v>
      </c>
      <c r="H689" s="1" t="s">
        <v>1555</v>
      </c>
    </row>
    <row r="690" spans="1:8" x14ac:dyDescent="0.35">
      <c r="A690" s="1" t="str">
        <f t="shared" si="10"/>
        <v/>
      </c>
      <c r="B69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91" spans="1:8" x14ac:dyDescent="0.35">
      <c r="A691" s="1" t="str">
        <f t="shared" si="10"/>
        <v/>
      </c>
      <c r="B69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92" spans="1:8" x14ac:dyDescent="0.35">
      <c r="A692" s="1" t="str">
        <f t="shared" si="10"/>
        <v/>
      </c>
      <c r="B69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93" spans="1:8" x14ac:dyDescent="0.35">
      <c r="A693" s="1" t="str">
        <f t="shared" si="10"/>
        <v/>
      </c>
      <c r="B69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94" spans="1:8" x14ac:dyDescent="0.35">
      <c r="A694" s="1" t="str">
        <f t="shared" si="10"/>
        <v/>
      </c>
      <c r="B69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95" spans="1:8" x14ac:dyDescent="0.35">
      <c r="A695" s="1" t="str">
        <f t="shared" si="10"/>
        <v/>
      </c>
      <c r="B69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96" spans="1:8" x14ac:dyDescent="0.35">
      <c r="A696" s="1" t="str">
        <f t="shared" si="10"/>
        <v/>
      </c>
      <c r="B69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97" spans="1:8" x14ac:dyDescent="0.35">
      <c r="A697" s="1" t="str">
        <f t="shared" si="10"/>
        <v/>
      </c>
      <c r="B69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98" spans="1:8" x14ac:dyDescent="0.35">
      <c r="A698" s="1" t="str">
        <f t="shared" si="10"/>
        <v/>
      </c>
      <c r="B69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99" spans="1:8" x14ac:dyDescent="0.35">
      <c r="A699" s="1" t="str">
        <f t="shared" si="10"/>
        <v/>
      </c>
      <c r="B69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00" spans="1:8" x14ac:dyDescent="0.35">
      <c r="A700" s="1" t="str">
        <f t="shared" si="10"/>
        <v/>
      </c>
      <c r="B70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01" spans="1:8" x14ac:dyDescent="0.35">
      <c r="A701" s="1" t="str">
        <f t="shared" si="10"/>
        <v/>
      </c>
      <c r="B70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02" spans="1:8" x14ac:dyDescent="0.35">
      <c r="A702" s="1" t="str">
        <f t="shared" si="10"/>
        <v/>
      </c>
      <c r="B70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03" spans="1:8" x14ac:dyDescent="0.35">
      <c r="A703" s="1" t="str">
        <f t="shared" si="10"/>
        <v/>
      </c>
      <c r="B70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04" spans="1:8" x14ac:dyDescent="0.35">
      <c r="A704" s="1" t="str">
        <f t="shared" si="10"/>
        <v/>
      </c>
      <c r="B70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05" spans="1:2" x14ac:dyDescent="0.35">
      <c r="A705" s="1" t="str">
        <f t="shared" si="10"/>
        <v/>
      </c>
      <c r="B70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06" spans="1:2" x14ac:dyDescent="0.35">
      <c r="A706" s="1" t="str">
        <f t="shared" ref="A706:A769" si="11">IFERROR(LEFT(RIGHT(C706,LEN(C706)-SEARCH("@",C706)),SEARCH("/",RIGHT(C706,LEN(C706)-SEARCH("@",C706)-1))),"")</f>
        <v/>
      </c>
      <c r="B70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07" spans="1:2" x14ac:dyDescent="0.35">
      <c r="A707" s="1" t="str">
        <f t="shared" si="11"/>
        <v/>
      </c>
      <c r="B70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08" spans="1:2" x14ac:dyDescent="0.35">
      <c r="A708" s="1" t="str">
        <f t="shared" si="11"/>
        <v/>
      </c>
      <c r="B70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09" spans="1:2" x14ac:dyDescent="0.35">
      <c r="A709" s="1" t="str">
        <f t="shared" si="11"/>
        <v/>
      </c>
      <c r="B70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10" spans="1:2" x14ac:dyDescent="0.35">
      <c r="A710" s="1" t="str">
        <f t="shared" si="11"/>
        <v/>
      </c>
      <c r="B71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11" spans="1:2" x14ac:dyDescent="0.35">
      <c r="A711" s="1" t="str">
        <f t="shared" si="11"/>
        <v/>
      </c>
      <c r="B71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12" spans="1:2" x14ac:dyDescent="0.35">
      <c r="A712" s="1" t="str">
        <f t="shared" si="11"/>
        <v/>
      </c>
      <c r="B71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13" spans="1:2" x14ac:dyDescent="0.35">
      <c r="A713" s="1" t="str">
        <f t="shared" si="11"/>
        <v/>
      </c>
      <c r="B71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14" spans="1:2" x14ac:dyDescent="0.35">
      <c r="A714" s="1" t="str">
        <f t="shared" si="11"/>
        <v/>
      </c>
      <c r="B71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15" spans="1:2" x14ac:dyDescent="0.35">
      <c r="A715" s="1" t="str">
        <f t="shared" si="11"/>
        <v/>
      </c>
      <c r="B71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16" spans="1:2" x14ac:dyDescent="0.35">
      <c r="A716" s="1" t="str">
        <f t="shared" si="11"/>
        <v/>
      </c>
      <c r="B71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17" spans="1:2" x14ac:dyDescent="0.35">
      <c r="A717" s="1" t="str">
        <f t="shared" si="11"/>
        <v/>
      </c>
      <c r="B71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18" spans="1:2" x14ac:dyDescent="0.35">
      <c r="A718" s="1" t="str">
        <f t="shared" si="11"/>
        <v/>
      </c>
      <c r="B71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19" spans="1:2" x14ac:dyDescent="0.35">
      <c r="A719" s="1" t="str">
        <f t="shared" si="11"/>
        <v/>
      </c>
      <c r="B71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20" spans="1:2" x14ac:dyDescent="0.35">
      <c r="A720" s="1" t="str">
        <f t="shared" si="11"/>
        <v/>
      </c>
      <c r="B72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21" spans="1:2" x14ac:dyDescent="0.35">
      <c r="A721" s="1" t="str">
        <f t="shared" si="11"/>
        <v/>
      </c>
      <c r="B72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22" spans="1:2" x14ac:dyDescent="0.35">
      <c r="A722" s="1" t="str">
        <f t="shared" si="11"/>
        <v/>
      </c>
      <c r="B72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23" spans="1:2" x14ac:dyDescent="0.35">
      <c r="A723" s="1" t="str">
        <f t="shared" si="11"/>
        <v/>
      </c>
      <c r="B72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24" spans="1:2" x14ac:dyDescent="0.35">
      <c r="A724" s="1" t="str">
        <f t="shared" si="11"/>
        <v/>
      </c>
      <c r="B72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25" spans="1:2" x14ac:dyDescent="0.35">
      <c r="A725" s="1" t="str">
        <f t="shared" si="11"/>
        <v/>
      </c>
      <c r="B72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26" spans="1:2" x14ac:dyDescent="0.35">
      <c r="A726" s="1" t="str">
        <f t="shared" si="11"/>
        <v/>
      </c>
      <c r="B72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27" spans="1:2" x14ac:dyDescent="0.35">
      <c r="A727" s="1" t="str">
        <f t="shared" si="11"/>
        <v/>
      </c>
      <c r="B72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28" spans="1:2" x14ac:dyDescent="0.35">
      <c r="A728" s="1" t="str">
        <f t="shared" si="11"/>
        <v/>
      </c>
      <c r="B72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29" spans="1:2" x14ac:dyDescent="0.35">
      <c r="A729" s="1" t="str">
        <f t="shared" si="11"/>
        <v/>
      </c>
      <c r="B72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30" spans="1:2" x14ac:dyDescent="0.35">
      <c r="A730" s="1" t="str">
        <f t="shared" si="11"/>
        <v/>
      </c>
      <c r="B73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31" spans="1:2" x14ac:dyDescent="0.35">
      <c r="A731" s="1" t="str">
        <f t="shared" si="11"/>
        <v/>
      </c>
      <c r="B73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32" spans="1:2" x14ac:dyDescent="0.35">
      <c r="A732" s="1" t="str">
        <f t="shared" si="11"/>
        <v/>
      </c>
      <c r="B73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33" spans="1:2" x14ac:dyDescent="0.35">
      <c r="A733" s="1" t="str">
        <f t="shared" si="11"/>
        <v/>
      </c>
      <c r="B73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34" spans="1:2" x14ac:dyDescent="0.35">
      <c r="A734" s="1" t="str">
        <f t="shared" si="11"/>
        <v/>
      </c>
      <c r="B73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35" spans="1:2" x14ac:dyDescent="0.35">
      <c r="A735" s="1" t="str">
        <f t="shared" si="11"/>
        <v/>
      </c>
      <c r="B73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36" spans="1:2" x14ac:dyDescent="0.35">
      <c r="A736" s="1" t="str">
        <f t="shared" si="11"/>
        <v/>
      </c>
      <c r="B73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37" spans="1:2" x14ac:dyDescent="0.35">
      <c r="A737" s="1" t="str">
        <f t="shared" si="11"/>
        <v/>
      </c>
      <c r="B73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38" spans="1:2" x14ac:dyDescent="0.35">
      <c r="A738" s="1" t="str">
        <f t="shared" si="11"/>
        <v/>
      </c>
      <c r="B73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39" spans="1:2" x14ac:dyDescent="0.35">
      <c r="A739" s="1" t="str">
        <f t="shared" si="11"/>
        <v/>
      </c>
      <c r="B73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40" spans="1:2" x14ac:dyDescent="0.35">
      <c r="A740" s="1" t="str">
        <f t="shared" si="11"/>
        <v/>
      </c>
      <c r="B74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41" spans="1:2" x14ac:dyDescent="0.35">
      <c r="A741" s="1" t="str">
        <f t="shared" si="11"/>
        <v/>
      </c>
      <c r="B74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42" spans="1:2" x14ac:dyDescent="0.35">
      <c r="A742" s="1" t="str">
        <f t="shared" si="11"/>
        <v/>
      </c>
      <c r="B74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43" spans="1:2" x14ac:dyDescent="0.35">
      <c r="A743" s="1" t="str">
        <f t="shared" si="11"/>
        <v/>
      </c>
      <c r="B74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44" spans="1:2" x14ac:dyDescent="0.35">
      <c r="A744" s="1" t="str">
        <f t="shared" si="11"/>
        <v/>
      </c>
      <c r="B74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45" spans="1:2" x14ac:dyDescent="0.35">
      <c r="A745" s="1" t="str">
        <f t="shared" si="11"/>
        <v/>
      </c>
      <c r="B74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46" spans="1:2" x14ac:dyDescent="0.35">
      <c r="A746" s="1" t="str">
        <f t="shared" si="11"/>
        <v/>
      </c>
      <c r="B74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47" spans="1:2" x14ac:dyDescent="0.35">
      <c r="A747" s="1" t="str">
        <f t="shared" si="11"/>
        <v/>
      </c>
      <c r="B74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48" spans="1:2" x14ac:dyDescent="0.35">
      <c r="A748" s="1" t="str">
        <f t="shared" si="11"/>
        <v/>
      </c>
      <c r="B74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49" spans="1:2" x14ac:dyDescent="0.35">
      <c r="A749" s="1" t="str">
        <f t="shared" si="11"/>
        <v/>
      </c>
      <c r="B74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50" spans="1:2" x14ac:dyDescent="0.35">
      <c r="A750" s="1" t="str">
        <f t="shared" si="11"/>
        <v/>
      </c>
      <c r="B75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51" spans="1:2" x14ac:dyDescent="0.35">
      <c r="A751" s="1" t="str">
        <f t="shared" si="11"/>
        <v/>
      </c>
      <c r="B75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52" spans="1:2" x14ac:dyDescent="0.35">
      <c r="A752" s="1" t="str">
        <f t="shared" si="11"/>
        <v/>
      </c>
      <c r="B75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53" spans="1:2" x14ac:dyDescent="0.35">
      <c r="A753" s="1" t="str">
        <f t="shared" si="11"/>
        <v/>
      </c>
      <c r="B75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54" spans="1:2" x14ac:dyDescent="0.35">
      <c r="A754" s="1" t="str">
        <f t="shared" si="11"/>
        <v/>
      </c>
      <c r="B75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55" spans="1:2" x14ac:dyDescent="0.35">
      <c r="A755" s="1" t="str">
        <f t="shared" si="11"/>
        <v/>
      </c>
      <c r="B75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56" spans="1:2" x14ac:dyDescent="0.35">
      <c r="A756" s="1" t="str">
        <f t="shared" si="11"/>
        <v/>
      </c>
      <c r="B75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57" spans="1:2" x14ac:dyDescent="0.35">
      <c r="A757" s="1" t="str">
        <f t="shared" si="11"/>
        <v/>
      </c>
      <c r="B75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58" spans="1:2" x14ac:dyDescent="0.35">
      <c r="A758" s="1" t="str">
        <f t="shared" si="11"/>
        <v/>
      </c>
      <c r="B75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59" spans="1:2" x14ac:dyDescent="0.35">
      <c r="A759" s="1" t="str">
        <f t="shared" si="11"/>
        <v/>
      </c>
      <c r="B75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60" spans="1:2" x14ac:dyDescent="0.35">
      <c r="A760" s="1" t="str">
        <f t="shared" si="11"/>
        <v/>
      </c>
      <c r="B76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61" spans="1:2" x14ac:dyDescent="0.35">
      <c r="A761" s="1" t="str">
        <f t="shared" si="11"/>
        <v/>
      </c>
      <c r="B76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62" spans="1:2" x14ac:dyDescent="0.35">
      <c r="A762" s="1" t="str">
        <f t="shared" si="11"/>
        <v/>
      </c>
      <c r="B76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63" spans="1:2" x14ac:dyDescent="0.35">
      <c r="A763" s="1" t="str">
        <f t="shared" si="11"/>
        <v/>
      </c>
      <c r="B76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64" spans="1:2" x14ac:dyDescent="0.35">
      <c r="A764" s="1" t="str">
        <f t="shared" si="11"/>
        <v/>
      </c>
      <c r="B76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65" spans="1:2" x14ac:dyDescent="0.35">
      <c r="A765" s="1" t="str">
        <f t="shared" si="11"/>
        <v/>
      </c>
      <c r="B76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66" spans="1:2" x14ac:dyDescent="0.35">
      <c r="A766" s="1" t="str">
        <f t="shared" si="11"/>
        <v/>
      </c>
      <c r="B76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67" spans="1:2" x14ac:dyDescent="0.35">
      <c r="A767" s="1" t="str">
        <f t="shared" si="11"/>
        <v/>
      </c>
      <c r="B76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68" spans="1:2" x14ac:dyDescent="0.35">
      <c r="A768" s="1" t="str">
        <f t="shared" si="11"/>
        <v/>
      </c>
      <c r="B76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69" spans="1:2" x14ac:dyDescent="0.35">
      <c r="A769" s="1" t="str">
        <f t="shared" si="11"/>
        <v/>
      </c>
      <c r="B76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70" spans="1:2" x14ac:dyDescent="0.35">
      <c r="A770" s="1" t="str">
        <f t="shared" ref="A770:A833" si="12">IFERROR(LEFT(RIGHT(C770,LEN(C770)-SEARCH("@",C770)),SEARCH("/",RIGHT(C770,LEN(C770)-SEARCH("@",C770)-1))),"")</f>
        <v/>
      </c>
      <c r="B77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71" spans="1:2" x14ac:dyDescent="0.35">
      <c r="A771" s="1" t="str">
        <f t="shared" si="12"/>
        <v/>
      </c>
      <c r="B77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72" spans="1:2" x14ac:dyDescent="0.35">
      <c r="A772" s="1" t="str">
        <f t="shared" si="12"/>
        <v/>
      </c>
      <c r="B77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73" spans="1:2" x14ac:dyDescent="0.35">
      <c r="A773" s="1" t="str">
        <f t="shared" si="12"/>
        <v/>
      </c>
      <c r="B77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74" spans="1:2" x14ac:dyDescent="0.35">
      <c r="A774" s="1" t="str">
        <f t="shared" si="12"/>
        <v/>
      </c>
      <c r="B77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75" spans="1:2" x14ac:dyDescent="0.35">
      <c r="A775" s="1" t="str">
        <f t="shared" si="12"/>
        <v/>
      </c>
      <c r="B77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76" spans="1:2" x14ac:dyDescent="0.35">
      <c r="A776" s="1" t="str">
        <f t="shared" si="12"/>
        <v/>
      </c>
      <c r="B77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77" spans="1:2" x14ac:dyDescent="0.35">
      <c r="A777" s="1" t="str">
        <f t="shared" si="12"/>
        <v/>
      </c>
      <c r="B77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78" spans="1:2" x14ac:dyDescent="0.35">
      <c r="A778" s="1" t="str">
        <f t="shared" si="12"/>
        <v/>
      </c>
      <c r="B77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79" spans="1:2" x14ac:dyDescent="0.35">
      <c r="A779" s="1" t="str">
        <f t="shared" si="12"/>
        <v/>
      </c>
      <c r="B77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80" spans="1:2" x14ac:dyDescent="0.35">
      <c r="A780" s="1" t="str">
        <f t="shared" si="12"/>
        <v/>
      </c>
      <c r="B78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81" spans="1:2" x14ac:dyDescent="0.35">
      <c r="A781" s="1" t="str">
        <f t="shared" si="12"/>
        <v/>
      </c>
      <c r="B78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82" spans="1:2" x14ac:dyDescent="0.35">
      <c r="A782" s="1" t="str">
        <f t="shared" si="12"/>
        <v/>
      </c>
      <c r="B78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83" spans="1:2" x14ac:dyDescent="0.35">
      <c r="A783" s="1" t="str">
        <f t="shared" si="12"/>
        <v/>
      </c>
      <c r="B78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84" spans="1:2" x14ac:dyDescent="0.35">
      <c r="A784" s="1" t="str">
        <f t="shared" si="12"/>
        <v/>
      </c>
      <c r="B78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85" spans="1:2" x14ac:dyDescent="0.35">
      <c r="A785" s="1" t="str">
        <f t="shared" si="12"/>
        <v/>
      </c>
      <c r="B78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86" spans="1:2" x14ac:dyDescent="0.35">
      <c r="A786" s="1" t="str">
        <f t="shared" si="12"/>
        <v/>
      </c>
      <c r="B78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87" spans="1:2" x14ac:dyDescent="0.35">
      <c r="A787" s="1" t="str">
        <f t="shared" si="12"/>
        <v/>
      </c>
      <c r="B78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88" spans="1:2" x14ac:dyDescent="0.35">
      <c r="A788" s="1" t="str">
        <f t="shared" si="12"/>
        <v/>
      </c>
      <c r="B78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89" spans="1:2" x14ac:dyDescent="0.35">
      <c r="A789" s="1" t="str">
        <f t="shared" si="12"/>
        <v/>
      </c>
      <c r="B78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90" spans="1:2" x14ac:dyDescent="0.35">
      <c r="A790" s="1" t="str">
        <f t="shared" si="12"/>
        <v/>
      </c>
      <c r="B79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91" spans="1:2" x14ac:dyDescent="0.35">
      <c r="A791" s="1" t="str">
        <f t="shared" si="12"/>
        <v/>
      </c>
      <c r="B79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92" spans="1:2" x14ac:dyDescent="0.35">
      <c r="A792" s="1" t="str">
        <f t="shared" si="12"/>
        <v/>
      </c>
      <c r="B79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93" spans="1:2" x14ac:dyDescent="0.35">
      <c r="A793" s="1" t="str">
        <f t="shared" si="12"/>
        <v/>
      </c>
      <c r="B79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94" spans="1:2" x14ac:dyDescent="0.35">
      <c r="A794" s="1" t="str">
        <f t="shared" si="12"/>
        <v/>
      </c>
      <c r="B79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95" spans="1:2" x14ac:dyDescent="0.35">
      <c r="A795" s="1" t="str">
        <f t="shared" si="12"/>
        <v/>
      </c>
      <c r="B79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96" spans="1:2" x14ac:dyDescent="0.35">
      <c r="A796" s="1" t="str">
        <f t="shared" si="12"/>
        <v/>
      </c>
      <c r="B79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97" spans="1:2" x14ac:dyDescent="0.35">
      <c r="A797" s="1" t="str">
        <f t="shared" si="12"/>
        <v/>
      </c>
      <c r="B79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98" spans="1:2" x14ac:dyDescent="0.35">
      <c r="A798" s="1" t="str">
        <f t="shared" si="12"/>
        <v/>
      </c>
      <c r="B79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99" spans="1:2" x14ac:dyDescent="0.35">
      <c r="A799" s="1" t="str">
        <f t="shared" si="12"/>
        <v/>
      </c>
      <c r="B79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00" spans="1:2" x14ac:dyDescent="0.35">
      <c r="A800" s="1" t="str">
        <f t="shared" si="12"/>
        <v/>
      </c>
      <c r="B80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01" spans="1:2" x14ac:dyDescent="0.35">
      <c r="A801" s="1" t="str">
        <f t="shared" si="12"/>
        <v/>
      </c>
      <c r="B80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02" spans="1:2" x14ac:dyDescent="0.35">
      <c r="A802" s="1" t="str">
        <f t="shared" si="12"/>
        <v/>
      </c>
      <c r="B80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03" spans="1:2" x14ac:dyDescent="0.35">
      <c r="A803" s="1" t="str">
        <f t="shared" si="12"/>
        <v/>
      </c>
      <c r="B80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04" spans="1:2" x14ac:dyDescent="0.35">
      <c r="A804" s="1" t="str">
        <f t="shared" si="12"/>
        <v/>
      </c>
      <c r="B80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05" spans="1:2" x14ac:dyDescent="0.35">
      <c r="A805" s="1" t="str">
        <f t="shared" si="12"/>
        <v/>
      </c>
      <c r="B80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06" spans="1:2" x14ac:dyDescent="0.35">
      <c r="A806" s="1" t="str">
        <f t="shared" si="12"/>
        <v/>
      </c>
      <c r="B80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07" spans="1:2" x14ac:dyDescent="0.35">
      <c r="A807" s="1" t="str">
        <f t="shared" si="12"/>
        <v/>
      </c>
      <c r="B80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08" spans="1:2" x14ac:dyDescent="0.35">
      <c r="A808" s="1" t="str">
        <f t="shared" si="12"/>
        <v/>
      </c>
      <c r="B80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09" spans="1:2" x14ac:dyDescent="0.35">
      <c r="A809" s="1" t="str">
        <f t="shared" si="12"/>
        <v/>
      </c>
      <c r="B80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10" spans="1:2" x14ac:dyDescent="0.35">
      <c r="A810" s="1" t="str">
        <f t="shared" si="12"/>
        <v/>
      </c>
      <c r="B81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11" spans="1:2" x14ac:dyDescent="0.35">
      <c r="A811" s="1" t="str">
        <f t="shared" si="12"/>
        <v/>
      </c>
      <c r="B81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12" spans="1:2" x14ac:dyDescent="0.35">
      <c r="A812" s="1" t="str">
        <f t="shared" si="12"/>
        <v/>
      </c>
      <c r="B81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13" spans="1:2" x14ac:dyDescent="0.35">
      <c r="A813" s="1" t="str">
        <f t="shared" si="12"/>
        <v/>
      </c>
      <c r="B81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14" spans="1:2" x14ac:dyDescent="0.35">
      <c r="A814" s="1" t="str">
        <f t="shared" si="12"/>
        <v/>
      </c>
      <c r="B81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15" spans="1:2" x14ac:dyDescent="0.35">
      <c r="A815" s="1" t="str">
        <f t="shared" si="12"/>
        <v/>
      </c>
      <c r="B81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16" spans="1:2" x14ac:dyDescent="0.35">
      <c r="A816" s="1" t="str">
        <f t="shared" si="12"/>
        <v/>
      </c>
      <c r="B81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17" spans="1:2" x14ac:dyDescent="0.35">
      <c r="A817" s="1" t="str">
        <f t="shared" si="12"/>
        <v/>
      </c>
      <c r="B81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18" spans="1:2" x14ac:dyDescent="0.35">
      <c r="A818" s="1" t="str">
        <f t="shared" si="12"/>
        <v/>
      </c>
      <c r="B81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19" spans="1:2" x14ac:dyDescent="0.35">
      <c r="A819" s="1" t="str">
        <f t="shared" si="12"/>
        <v/>
      </c>
      <c r="B81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20" spans="1:2" x14ac:dyDescent="0.35">
      <c r="A820" s="1" t="str">
        <f t="shared" si="12"/>
        <v/>
      </c>
      <c r="B82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21" spans="1:2" x14ac:dyDescent="0.35">
      <c r="A821" s="1" t="str">
        <f t="shared" si="12"/>
        <v/>
      </c>
      <c r="B82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22" spans="1:2" x14ac:dyDescent="0.35">
      <c r="A822" s="1" t="str">
        <f t="shared" si="12"/>
        <v/>
      </c>
      <c r="B82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23" spans="1:2" x14ac:dyDescent="0.35">
      <c r="A823" s="1" t="str">
        <f t="shared" si="12"/>
        <v/>
      </c>
      <c r="B82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24" spans="1:2" x14ac:dyDescent="0.35">
      <c r="A824" s="1" t="str">
        <f t="shared" si="12"/>
        <v/>
      </c>
      <c r="B82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25" spans="1:2" x14ac:dyDescent="0.35">
      <c r="A825" s="1" t="str">
        <f t="shared" si="12"/>
        <v/>
      </c>
      <c r="B82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26" spans="1:2" x14ac:dyDescent="0.35">
      <c r="A826" s="1" t="str">
        <f t="shared" si="12"/>
        <v/>
      </c>
      <c r="B82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27" spans="1:2" x14ac:dyDescent="0.35">
      <c r="A827" s="1" t="str">
        <f t="shared" si="12"/>
        <v/>
      </c>
      <c r="B82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28" spans="1:2" x14ac:dyDescent="0.35">
      <c r="A828" s="1" t="str">
        <f t="shared" si="12"/>
        <v/>
      </c>
      <c r="B82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29" spans="1:2" x14ac:dyDescent="0.35">
      <c r="A829" s="1" t="str">
        <f t="shared" si="12"/>
        <v/>
      </c>
      <c r="B82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30" spans="1:2" x14ac:dyDescent="0.35">
      <c r="A830" s="1" t="str">
        <f t="shared" si="12"/>
        <v/>
      </c>
      <c r="B83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31" spans="1:2" x14ac:dyDescent="0.35">
      <c r="A831" s="1" t="str">
        <f t="shared" si="12"/>
        <v/>
      </c>
      <c r="B83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32" spans="1:2" x14ac:dyDescent="0.35">
      <c r="A832" s="1" t="str">
        <f t="shared" si="12"/>
        <v/>
      </c>
      <c r="B83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33" spans="1:2" x14ac:dyDescent="0.35">
      <c r="A833" s="1" t="str">
        <f t="shared" si="12"/>
        <v/>
      </c>
      <c r="B83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34" spans="1:2" x14ac:dyDescent="0.35">
      <c r="A834" s="1" t="str">
        <f t="shared" ref="A834:A897" si="13">IFERROR(LEFT(RIGHT(C834,LEN(C834)-SEARCH("@",C834)),SEARCH("/",RIGHT(C834,LEN(C834)-SEARCH("@",C834)-1))),"")</f>
        <v/>
      </c>
      <c r="B83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35" spans="1:2" x14ac:dyDescent="0.35">
      <c r="A835" s="1" t="str">
        <f t="shared" si="13"/>
        <v/>
      </c>
      <c r="B83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36" spans="1:2" x14ac:dyDescent="0.35">
      <c r="A836" s="1" t="str">
        <f t="shared" si="13"/>
        <v/>
      </c>
      <c r="B83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37" spans="1:2" x14ac:dyDescent="0.35">
      <c r="A837" s="1" t="str">
        <f t="shared" si="13"/>
        <v/>
      </c>
      <c r="B83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38" spans="1:2" x14ac:dyDescent="0.35">
      <c r="A838" s="1" t="str">
        <f t="shared" si="13"/>
        <v/>
      </c>
      <c r="B83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39" spans="1:2" x14ac:dyDescent="0.35">
      <c r="A839" s="1" t="str">
        <f t="shared" si="13"/>
        <v/>
      </c>
      <c r="B83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40" spans="1:2" x14ac:dyDescent="0.35">
      <c r="A840" s="1" t="str">
        <f t="shared" si="13"/>
        <v/>
      </c>
      <c r="B84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41" spans="1:2" x14ac:dyDescent="0.35">
      <c r="A841" s="1" t="str">
        <f t="shared" si="13"/>
        <v/>
      </c>
      <c r="B84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42" spans="1:2" x14ac:dyDescent="0.35">
      <c r="A842" s="1" t="str">
        <f t="shared" si="13"/>
        <v/>
      </c>
      <c r="B84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43" spans="1:2" x14ac:dyDescent="0.35">
      <c r="A843" s="1" t="str">
        <f t="shared" si="13"/>
        <v/>
      </c>
      <c r="B84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44" spans="1:2" x14ac:dyDescent="0.35">
      <c r="A844" s="1" t="str">
        <f t="shared" si="13"/>
        <v/>
      </c>
      <c r="B84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45" spans="1:2" x14ac:dyDescent="0.35">
      <c r="A845" s="1" t="str">
        <f t="shared" si="13"/>
        <v/>
      </c>
      <c r="B84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46" spans="1:2" x14ac:dyDescent="0.35">
      <c r="A846" s="1" t="str">
        <f t="shared" si="13"/>
        <v/>
      </c>
      <c r="B84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47" spans="1:2" x14ac:dyDescent="0.35">
      <c r="A847" s="1" t="str">
        <f t="shared" si="13"/>
        <v/>
      </c>
      <c r="B84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48" spans="1:2" x14ac:dyDescent="0.35">
      <c r="A848" s="1" t="str">
        <f t="shared" si="13"/>
        <v/>
      </c>
      <c r="B84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49" spans="1:2" x14ac:dyDescent="0.35">
      <c r="A849" s="1" t="str">
        <f t="shared" si="13"/>
        <v/>
      </c>
      <c r="B84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50" spans="1:2" x14ac:dyDescent="0.35">
      <c r="A850" s="1" t="str">
        <f t="shared" si="13"/>
        <v/>
      </c>
      <c r="B85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51" spans="1:2" x14ac:dyDescent="0.35">
      <c r="A851" s="1" t="str">
        <f t="shared" si="13"/>
        <v/>
      </c>
      <c r="B85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52" spans="1:2" x14ac:dyDescent="0.35">
      <c r="A852" s="1" t="str">
        <f t="shared" si="13"/>
        <v/>
      </c>
      <c r="B85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53" spans="1:2" x14ac:dyDescent="0.35">
      <c r="A853" s="1" t="str">
        <f t="shared" si="13"/>
        <v/>
      </c>
      <c r="B85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54" spans="1:2" x14ac:dyDescent="0.35">
      <c r="A854" s="1" t="str">
        <f t="shared" si="13"/>
        <v/>
      </c>
      <c r="B85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55" spans="1:2" x14ac:dyDescent="0.35">
      <c r="A855" s="1" t="str">
        <f t="shared" si="13"/>
        <v/>
      </c>
      <c r="B85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56" spans="1:2" x14ac:dyDescent="0.35">
      <c r="A856" s="1" t="str">
        <f t="shared" si="13"/>
        <v/>
      </c>
      <c r="B85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57" spans="1:2" x14ac:dyDescent="0.35">
      <c r="A857" s="1" t="str">
        <f t="shared" si="13"/>
        <v/>
      </c>
      <c r="B85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58" spans="1:2" x14ac:dyDescent="0.35">
      <c r="A858" s="1" t="str">
        <f t="shared" si="13"/>
        <v/>
      </c>
      <c r="B85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59" spans="1:2" x14ac:dyDescent="0.35">
      <c r="A859" s="1" t="str">
        <f t="shared" si="13"/>
        <v/>
      </c>
      <c r="B85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60" spans="1:2" x14ac:dyDescent="0.35">
      <c r="A860" s="1" t="str">
        <f t="shared" si="13"/>
        <v/>
      </c>
      <c r="B86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61" spans="1:2" x14ac:dyDescent="0.35">
      <c r="A861" s="1" t="str">
        <f t="shared" si="13"/>
        <v/>
      </c>
      <c r="B86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62" spans="1:2" x14ac:dyDescent="0.35">
      <c r="A862" s="1" t="str">
        <f t="shared" si="13"/>
        <v/>
      </c>
      <c r="B86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63" spans="1:2" x14ac:dyDescent="0.35">
      <c r="A863" s="1" t="str">
        <f t="shared" si="13"/>
        <v/>
      </c>
      <c r="B86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64" spans="1:2" x14ac:dyDescent="0.35">
      <c r="A864" s="1" t="str">
        <f t="shared" si="13"/>
        <v/>
      </c>
      <c r="B86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65" spans="1:2" x14ac:dyDescent="0.35">
      <c r="A865" s="1" t="str">
        <f t="shared" si="13"/>
        <v/>
      </c>
      <c r="B86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66" spans="1:2" x14ac:dyDescent="0.35">
      <c r="A866" s="1" t="str">
        <f t="shared" si="13"/>
        <v/>
      </c>
      <c r="B86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67" spans="1:2" x14ac:dyDescent="0.35">
      <c r="A867" s="1" t="str">
        <f t="shared" si="13"/>
        <v/>
      </c>
      <c r="B86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68" spans="1:2" x14ac:dyDescent="0.35">
      <c r="A868" s="1" t="str">
        <f t="shared" si="13"/>
        <v/>
      </c>
      <c r="B86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69" spans="1:2" x14ac:dyDescent="0.35">
      <c r="A869" s="1" t="str">
        <f t="shared" si="13"/>
        <v/>
      </c>
      <c r="B86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70" spans="1:2" x14ac:dyDescent="0.35">
      <c r="A870" s="1" t="str">
        <f t="shared" si="13"/>
        <v/>
      </c>
      <c r="B87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71" spans="1:2" x14ac:dyDescent="0.35">
      <c r="A871" s="1" t="str">
        <f t="shared" si="13"/>
        <v/>
      </c>
      <c r="B87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72" spans="1:2" x14ac:dyDescent="0.35">
      <c r="A872" s="1" t="str">
        <f t="shared" si="13"/>
        <v/>
      </c>
      <c r="B87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73" spans="1:2" x14ac:dyDescent="0.35">
      <c r="A873" s="1" t="str">
        <f t="shared" si="13"/>
        <v/>
      </c>
      <c r="B87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74" spans="1:2" x14ac:dyDescent="0.35">
      <c r="A874" s="1" t="str">
        <f t="shared" si="13"/>
        <v/>
      </c>
      <c r="B87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75" spans="1:2" x14ac:dyDescent="0.35">
      <c r="A875" s="1" t="str">
        <f t="shared" si="13"/>
        <v/>
      </c>
      <c r="B87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76" spans="1:2" x14ac:dyDescent="0.35">
      <c r="A876" s="1" t="str">
        <f t="shared" si="13"/>
        <v/>
      </c>
      <c r="B87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77" spans="1:2" x14ac:dyDescent="0.35">
      <c r="A877" s="1" t="str">
        <f t="shared" si="13"/>
        <v/>
      </c>
      <c r="B87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78" spans="1:2" x14ac:dyDescent="0.35">
      <c r="A878" s="1" t="str">
        <f t="shared" si="13"/>
        <v/>
      </c>
      <c r="B87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79" spans="1:2" x14ac:dyDescent="0.35">
      <c r="A879" s="1" t="str">
        <f t="shared" si="13"/>
        <v/>
      </c>
      <c r="B87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80" spans="1:2" x14ac:dyDescent="0.35">
      <c r="A880" s="1" t="str">
        <f t="shared" si="13"/>
        <v/>
      </c>
      <c r="B88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81" spans="1:2" x14ac:dyDescent="0.35">
      <c r="A881" s="1" t="str">
        <f t="shared" si="13"/>
        <v/>
      </c>
      <c r="B88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82" spans="1:2" x14ac:dyDescent="0.35">
      <c r="A882" s="1" t="str">
        <f t="shared" si="13"/>
        <v/>
      </c>
      <c r="B88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83" spans="1:2" x14ac:dyDescent="0.35">
      <c r="A883" s="1" t="str">
        <f t="shared" si="13"/>
        <v/>
      </c>
      <c r="B88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84" spans="1:2" x14ac:dyDescent="0.35">
      <c r="A884" s="1" t="str">
        <f t="shared" si="13"/>
        <v/>
      </c>
      <c r="B88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85" spans="1:2" x14ac:dyDescent="0.35">
      <c r="A885" s="1" t="str">
        <f t="shared" si="13"/>
        <v/>
      </c>
      <c r="B88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86" spans="1:2" x14ac:dyDescent="0.35">
      <c r="A886" s="1" t="str">
        <f t="shared" si="13"/>
        <v/>
      </c>
      <c r="B88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87" spans="1:2" x14ac:dyDescent="0.35">
      <c r="A887" s="1" t="str">
        <f t="shared" si="13"/>
        <v/>
      </c>
      <c r="B88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88" spans="1:2" x14ac:dyDescent="0.35">
      <c r="A888" s="1" t="str">
        <f t="shared" si="13"/>
        <v/>
      </c>
      <c r="B88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89" spans="1:2" x14ac:dyDescent="0.35">
      <c r="A889" s="1" t="str">
        <f t="shared" si="13"/>
        <v/>
      </c>
      <c r="B88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90" spans="1:2" x14ac:dyDescent="0.35">
      <c r="A890" s="1" t="str">
        <f t="shared" si="13"/>
        <v/>
      </c>
      <c r="B89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91" spans="1:2" x14ac:dyDescent="0.35">
      <c r="A891" s="1" t="str">
        <f t="shared" si="13"/>
        <v/>
      </c>
      <c r="B89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92" spans="1:2" x14ac:dyDescent="0.35">
      <c r="A892" s="1" t="str">
        <f t="shared" si="13"/>
        <v/>
      </c>
      <c r="B89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93" spans="1:2" x14ac:dyDescent="0.35">
      <c r="A893" s="1" t="str">
        <f t="shared" si="13"/>
        <v/>
      </c>
      <c r="B89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94" spans="1:2" x14ac:dyDescent="0.35">
      <c r="A894" s="1" t="str">
        <f t="shared" si="13"/>
        <v/>
      </c>
      <c r="B89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95" spans="1:2" x14ac:dyDescent="0.35">
      <c r="A895" s="1" t="str">
        <f t="shared" si="13"/>
        <v/>
      </c>
      <c r="B89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96" spans="1:2" x14ac:dyDescent="0.35">
      <c r="A896" s="1" t="str">
        <f t="shared" si="13"/>
        <v/>
      </c>
      <c r="B89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97" spans="1:2" x14ac:dyDescent="0.35">
      <c r="A897" s="1" t="str">
        <f t="shared" si="13"/>
        <v/>
      </c>
      <c r="B89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98" spans="1:2" x14ac:dyDescent="0.35">
      <c r="A898" s="1" t="str">
        <f t="shared" ref="A898:A961" si="14">IFERROR(LEFT(RIGHT(C898,LEN(C898)-SEARCH("@",C898)),SEARCH("/",RIGHT(C898,LEN(C898)-SEARCH("@",C898)-1))),"")</f>
        <v/>
      </c>
      <c r="B89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99" spans="1:2" x14ac:dyDescent="0.35">
      <c r="A899" s="1" t="str">
        <f t="shared" si="14"/>
        <v/>
      </c>
      <c r="B89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00" spans="1:2" x14ac:dyDescent="0.35">
      <c r="A900" s="1" t="str">
        <f t="shared" si="14"/>
        <v/>
      </c>
      <c r="B90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01" spans="1:2" x14ac:dyDescent="0.35">
      <c r="A901" s="1" t="str">
        <f t="shared" si="14"/>
        <v/>
      </c>
      <c r="B90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02" spans="1:2" x14ac:dyDescent="0.35">
      <c r="A902" s="1" t="str">
        <f t="shared" si="14"/>
        <v/>
      </c>
      <c r="B90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03" spans="1:2" x14ac:dyDescent="0.35">
      <c r="A903" s="1" t="str">
        <f t="shared" si="14"/>
        <v/>
      </c>
      <c r="B90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04" spans="1:2" x14ac:dyDescent="0.35">
      <c r="A904" s="1" t="str">
        <f t="shared" si="14"/>
        <v/>
      </c>
      <c r="B90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05" spans="1:2" x14ac:dyDescent="0.35">
      <c r="A905" s="1" t="str">
        <f t="shared" si="14"/>
        <v/>
      </c>
      <c r="B90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06" spans="1:2" x14ac:dyDescent="0.35">
      <c r="A906" s="1" t="str">
        <f t="shared" si="14"/>
        <v/>
      </c>
      <c r="B90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07" spans="1:2" x14ac:dyDescent="0.35">
      <c r="A907" s="1" t="str">
        <f t="shared" si="14"/>
        <v/>
      </c>
      <c r="B90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08" spans="1:2" x14ac:dyDescent="0.35">
      <c r="A908" s="1" t="str">
        <f t="shared" si="14"/>
        <v/>
      </c>
      <c r="B90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09" spans="1:2" x14ac:dyDescent="0.35">
      <c r="A909" s="1" t="str">
        <f t="shared" si="14"/>
        <v/>
      </c>
      <c r="B90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10" spans="1:2" x14ac:dyDescent="0.35">
      <c r="A910" s="1" t="str">
        <f t="shared" si="14"/>
        <v/>
      </c>
      <c r="B91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11" spans="1:2" x14ac:dyDescent="0.35">
      <c r="A911" s="1" t="str">
        <f t="shared" si="14"/>
        <v/>
      </c>
      <c r="B91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12" spans="1:2" x14ac:dyDescent="0.35">
      <c r="A912" s="1" t="str">
        <f t="shared" si="14"/>
        <v/>
      </c>
      <c r="B91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13" spans="1:2" x14ac:dyDescent="0.35">
      <c r="A913" s="1" t="str">
        <f t="shared" si="14"/>
        <v/>
      </c>
      <c r="B91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14" spans="1:2" x14ac:dyDescent="0.35">
      <c r="A914" s="1" t="str">
        <f t="shared" si="14"/>
        <v/>
      </c>
      <c r="B91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15" spans="1:2" x14ac:dyDescent="0.35">
      <c r="A915" s="1" t="str">
        <f t="shared" si="14"/>
        <v/>
      </c>
      <c r="B91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16" spans="1:2" x14ac:dyDescent="0.35">
      <c r="A916" s="1" t="str">
        <f t="shared" si="14"/>
        <v/>
      </c>
      <c r="B91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17" spans="1:2" x14ac:dyDescent="0.35">
      <c r="A917" s="1" t="str">
        <f t="shared" si="14"/>
        <v/>
      </c>
      <c r="B91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18" spans="1:2" x14ac:dyDescent="0.35">
      <c r="A918" s="1" t="str">
        <f t="shared" si="14"/>
        <v/>
      </c>
      <c r="B91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19" spans="1:2" x14ac:dyDescent="0.35">
      <c r="A919" s="1" t="str">
        <f t="shared" si="14"/>
        <v/>
      </c>
      <c r="B91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20" spans="1:2" x14ac:dyDescent="0.35">
      <c r="A920" s="1" t="str">
        <f t="shared" si="14"/>
        <v/>
      </c>
      <c r="B92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21" spans="1:2" x14ac:dyDescent="0.35">
      <c r="A921" s="1" t="str">
        <f t="shared" si="14"/>
        <v/>
      </c>
      <c r="B92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22" spans="1:2" x14ac:dyDescent="0.35">
      <c r="A922" s="1" t="str">
        <f t="shared" si="14"/>
        <v/>
      </c>
      <c r="B92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23" spans="1:2" x14ac:dyDescent="0.35">
      <c r="A923" s="1" t="str">
        <f t="shared" si="14"/>
        <v/>
      </c>
      <c r="B92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24" spans="1:2" x14ac:dyDescent="0.35">
      <c r="A924" s="1" t="str">
        <f t="shared" si="14"/>
        <v/>
      </c>
      <c r="B92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25" spans="1:2" x14ac:dyDescent="0.35">
      <c r="A925" s="1" t="str">
        <f t="shared" si="14"/>
        <v/>
      </c>
      <c r="B92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26" spans="1:2" x14ac:dyDescent="0.35">
      <c r="A926" s="1" t="str">
        <f t="shared" si="14"/>
        <v/>
      </c>
      <c r="B92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27" spans="1:2" x14ac:dyDescent="0.35">
      <c r="A927" s="1" t="str">
        <f t="shared" si="14"/>
        <v/>
      </c>
      <c r="B92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28" spans="1:2" x14ac:dyDescent="0.35">
      <c r="A928" s="1" t="str">
        <f t="shared" si="14"/>
        <v/>
      </c>
      <c r="B92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29" spans="1:2" x14ac:dyDescent="0.35">
      <c r="A929" s="1" t="str">
        <f t="shared" si="14"/>
        <v/>
      </c>
      <c r="B92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30" spans="1:2" x14ac:dyDescent="0.35">
      <c r="A930" s="1" t="str">
        <f t="shared" si="14"/>
        <v/>
      </c>
      <c r="B93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31" spans="1:2" x14ac:dyDescent="0.35">
      <c r="A931" s="1" t="str">
        <f t="shared" si="14"/>
        <v/>
      </c>
      <c r="B93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32" spans="1:2" x14ac:dyDescent="0.35">
      <c r="A932" s="1" t="str">
        <f t="shared" si="14"/>
        <v/>
      </c>
      <c r="B93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33" spans="1:2" x14ac:dyDescent="0.35">
      <c r="A933" s="1" t="str">
        <f t="shared" si="14"/>
        <v/>
      </c>
      <c r="B93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34" spans="1:2" x14ac:dyDescent="0.35">
      <c r="A934" s="1" t="str">
        <f t="shared" si="14"/>
        <v/>
      </c>
      <c r="B93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35" spans="1:2" x14ac:dyDescent="0.35">
      <c r="A935" s="1" t="str">
        <f t="shared" si="14"/>
        <v/>
      </c>
      <c r="B93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36" spans="1:2" x14ac:dyDescent="0.35">
      <c r="A936" s="1" t="str">
        <f t="shared" si="14"/>
        <v/>
      </c>
      <c r="B93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37" spans="1:2" x14ac:dyDescent="0.35">
      <c r="A937" s="1" t="str">
        <f t="shared" si="14"/>
        <v/>
      </c>
      <c r="B93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38" spans="1:2" x14ac:dyDescent="0.35">
      <c r="A938" s="1" t="str">
        <f t="shared" si="14"/>
        <v/>
      </c>
      <c r="B93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39" spans="1:2" x14ac:dyDescent="0.35">
      <c r="A939" s="1" t="str">
        <f t="shared" si="14"/>
        <v/>
      </c>
      <c r="B93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40" spans="1:2" x14ac:dyDescent="0.35">
      <c r="A940" s="1" t="str">
        <f t="shared" si="14"/>
        <v/>
      </c>
      <c r="B94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41" spans="1:2" x14ac:dyDescent="0.35">
      <c r="A941" s="1" t="str">
        <f t="shared" si="14"/>
        <v/>
      </c>
      <c r="B94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42" spans="1:2" x14ac:dyDescent="0.35">
      <c r="A942" s="1" t="str">
        <f t="shared" si="14"/>
        <v/>
      </c>
      <c r="B94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43" spans="1:2" x14ac:dyDescent="0.35">
      <c r="A943" s="1" t="str">
        <f t="shared" si="14"/>
        <v/>
      </c>
      <c r="B94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44" spans="1:2" x14ac:dyDescent="0.35">
      <c r="A944" s="1" t="str">
        <f t="shared" si="14"/>
        <v/>
      </c>
      <c r="B94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45" spans="1:2" x14ac:dyDescent="0.35">
      <c r="A945" s="1" t="str">
        <f t="shared" si="14"/>
        <v/>
      </c>
      <c r="B94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46" spans="1:2" x14ac:dyDescent="0.35">
      <c r="A946" s="1" t="str">
        <f t="shared" si="14"/>
        <v/>
      </c>
      <c r="B94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47" spans="1:2" x14ac:dyDescent="0.35">
      <c r="A947" s="1" t="str">
        <f t="shared" si="14"/>
        <v/>
      </c>
      <c r="B94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48" spans="1:2" x14ac:dyDescent="0.35">
      <c r="A948" s="1" t="str">
        <f t="shared" si="14"/>
        <v/>
      </c>
      <c r="B94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49" spans="1:2" x14ac:dyDescent="0.35">
      <c r="A949" s="1" t="str">
        <f t="shared" si="14"/>
        <v/>
      </c>
      <c r="B94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50" spans="1:2" x14ac:dyDescent="0.35">
      <c r="A950" s="1" t="str">
        <f t="shared" si="14"/>
        <v/>
      </c>
      <c r="B95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51" spans="1:2" x14ac:dyDescent="0.35">
      <c r="A951" s="1" t="str">
        <f t="shared" si="14"/>
        <v/>
      </c>
      <c r="B95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52" spans="1:2" x14ac:dyDescent="0.35">
      <c r="A952" s="1" t="str">
        <f t="shared" si="14"/>
        <v/>
      </c>
      <c r="B95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53" spans="1:2" x14ac:dyDescent="0.35">
      <c r="A953" s="1" t="str">
        <f t="shared" si="14"/>
        <v/>
      </c>
      <c r="B95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54" spans="1:2" x14ac:dyDescent="0.35">
      <c r="A954" s="1" t="str">
        <f t="shared" si="14"/>
        <v/>
      </c>
      <c r="B95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55" spans="1:2" x14ac:dyDescent="0.35">
      <c r="A955" s="1" t="str">
        <f t="shared" si="14"/>
        <v/>
      </c>
      <c r="B95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56" spans="1:2" x14ac:dyDescent="0.35">
      <c r="A956" s="1" t="str">
        <f t="shared" si="14"/>
        <v/>
      </c>
      <c r="B95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57" spans="1:2" x14ac:dyDescent="0.35">
      <c r="A957" s="1" t="str">
        <f t="shared" si="14"/>
        <v/>
      </c>
      <c r="B95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58" spans="1:2" x14ac:dyDescent="0.35">
      <c r="A958" s="1" t="str">
        <f t="shared" si="14"/>
        <v/>
      </c>
      <c r="B95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59" spans="1:2" x14ac:dyDescent="0.35">
      <c r="A959" s="1" t="str">
        <f t="shared" si="14"/>
        <v/>
      </c>
      <c r="B95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60" spans="1:2" x14ac:dyDescent="0.35">
      <c r="A960" s="1" t="str">
        <f t="shared" si="14"/>
        <v/>
      </c>
      <c r="B96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61" spans="1:2" x14ac:dyDescent="0.35">
      <c r="A961" s="1" t="str">
        <f t="shared" si="14"/>
        <v/>
      </c>
      <c r="B96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62" spans="1:2" x14ac:dyDescent="0.35">
      <c r="A962" s="1" t="str">
        <f t="shared" ref="A962:A1025" si="15">IFERROR(LEFT(RIGHT(C962,LEN(C962)-SEARCH("@",C962)),SEARCH("/",RIGHT(C962,LEN(C962)-SEARCH("@",C962)-1))),"")</f>
        <v/>
      </c>
      <c r="B96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63" spans="1:2" x14ac:dyDescent="0.35">
      <c r="A963" s="1" t="str">
        <f t="shared" si="15"/>
        <v/>
      </c>
      <c r="B96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64" spans="1:2" x14ac:dyDescent="0.35">
      <c r="A964" s="1" t="str">
        <f t="shared" si="15"/>
        <v/>
      </c>
      <c r="B96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65" spans="1:2" x14ac:dyDescent="0.35">
      <c r="A965" s="1" t="str">
        <f t="shared" si="15"/>
        <v/>
      </c>
      <c r="B96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66" spans="1:2" x14ac:dyDescent="0.35">
      <c r="A966" s="1" t="str">
        <f t="shared" si="15"/>
        <v/>
      </c>
      <c r="B96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67" spans="1:2" x14ac:dyDescent="0.35">
      <c r="A967" s="1" t="str">
        <f t="shared" si="15"/>
        <v/>
      </c>
      <c r="B96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68" spans="1:2" x14ac:dyDescent="0.35">
      <c r="A968" s="1" t="str">
        <f t="shared" si="15"/>
        <v/>
      </c>
      <c r="B96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69" spans="1:2" x14ac:dyDescent="0.35">
      <c r="A969" s="1" t="str">
        <f t="shared" si="15"/>
        <v/>
      </c>
      <c r="B96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70" spans="1:2" x14ac:dyDescent="0.35">
      <c r="A970" s="1" t="str">
        <f t="shared" si="15"/>
        <v/>
      </c>
      <c r="B97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71" spans="1:2" x14ac:dyDescent="0.35">
      <c r="A971" s="1" t="str">
        <f t="shared" si="15"/>
        <v/>
      </c>
      <c r="B97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72" spans="1:2" x14ac:dyDescent="0.35">
      <c r="A972" s="1" t="str">
        <f t="shared" si="15"/>
        <v/>
      </c>
      <c r="B97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73" spans="1:2" x14ac:dyDescent="0.35">
      <c r="A973" s="1" t="str">
        <f t="shared" si="15"/>
        <v/>
      </c>
      <c r="B97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74" spans="1:2" x14ac:dyDescent="0.35">
      <c r="A974" s="1" t="str">
        <f t="shared" si="15"/>
        <v/>
      </c>
      <c r="B97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75" spans="1:2" x14ac:dyDescent="0.35">
      <c r="A975" s="1" t="str">
        <f t="shared" si="15"/>
        <v/>
      </c>
      <c r="B97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76" spans="1:2" x14ac:dyDescent="0.35">
      <c r="A976" s="1" t="str">
        <f t="shared" si="15"/>
        <v/>
      </c>
      <c r="B97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77" spans="1:2" x14ac:dyDescent="0.35">
      <c r="A977" s="1" t="str">
        <f t="shared" si="15"/>
        <v/>
      </c>
      <c r="B97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78" spans="1:2" x14ac:dyDescent="0.35">
      <c r="A978" s="1" t="str">
        <f t="shared" si="15"/>
        <v/>
      </c>
      <c r="B97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79" spans="1:2" x14ac:dyDescent="0.35">
      <c r="A979" s="1" t="str">
        <f t="shared" si="15"/>
        <v/>
      </c>
      <c r="B97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80" spans="1:2" x14ac:dyDescent="0.35">
      <c r="A980" s="1" t="str">
        <f t="shared" si="15"/>
        <v/>
      </c>
      <c r="B98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81" spans="1:2" x14ac:dyDescent="0.35">
      <c r="A981" s="1" t="str">
        <f t="shared" si="15"/>
        <v/>
      </c>
      <c r="B98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82" spans="1:2" x14ac:dyDescent="0.35">
      <c r="A982" s="1" t="str">
        <f t="shared" si="15"/>
        <v/>
      </c>
      <c r="B98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83" spans="1:2" x14ac:dyDescent="0.35">
      <c r="A983" s="1" t="str">
        <f t="shared" si="15"/>
        <v/>
      </c>
      <c r="B98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84" spans="1:2" x14ac:dyDescent="0.35">
      <c r="A984" s="1" t="str">
        <f t="shared" si="15"/>
        <v/>
      </c>
      <c r="B98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85" spans="1:2" x14ac:dyDescent="0.35">
      <c r="A985" s="1" t="str">
        <f t="shared" si="15"/>
        <v/>
      </c>
      <c r="B98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86" spans="1:2" x14ac:dyDescent="0.35">
      <c r="A986" s="1" t="str">
        <f t="shared" si="15"/>
        <v/>
      </c>
      <c r="B98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87" spans="1:2" x14ac:dyDescent="0.35">
      <c r="A987" s="1" t="str">
        <f t="shared" si="15"/>
        <v/>
      </c>
      <c r="B98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88" spans="1:2" x14ac:dyDescent="0.35">
      <c r="A988" s="1" t="str">
        <f t="shared" si="15"/>
        <v/>
      </c>
      <c r="B98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89" spans="1:2" x14ac:dyDescent="0.35">
      <c r="A989" s="1" t="str">
        <f t="shared" si="15"/>
        <v/>
      </c>
      <c r="B98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90" spans="1:2" x14ac:dyDescent="0.35">
      <c r="A990" s="1" t="str">
        <f t="shared" si="15"/>
        <v/>
      </c>
      <c r="B99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91" spans="1:2" x14ac:dyDescent="0.35">
      <c r="A991" s="1" t="str">
        <f t="shared" si="15"/>
        <v/>
      </c>
      <c r="B99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92" spans="1:2" x14ac:dyDescent="0.35">
      <c r="A992" s="1" t="str">
        <f t="shared" si="15"/>
        <v/>
      </c>
      <c r="B99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93" spans="1:2" x14ac:dyDescent="0.35">
      <c r="A993" s="1" t="str">
        <f t="shared" si="15"/>
        <v/>
      </c>
      <c r="B99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94" spans="1:2" x14ac:dyDescent="0.35">
      <c r="A994" s="1" t="str">
        <f t="shared" si="15"/>
        <v/>
      </c>
      <c r="B99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95" spans="1:2" x14ac:dyDescent="0.35">
      <c r="A995" s="1" t="str">
        <f t="shared" si="15"/>
        <v/>
      </c>
      <c r="B99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96" spans="1:2" x14ac:dyDescent="0.35">
      <c r="A996" s="1" t="str">
        <f t="shared" si="15"/>
        <v/>
      </c>
      <c r="B99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97" spans="1:2" x14ac:dyDescent="0.35">
      <c r="A997" s="1" t="str">
        <f t="shared" si="15"/>
        <v/>
      </c>
      <c r="B99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98" spans="1:2" x14ac:dyDescent="0.35">
      <c r="A998" s="1" t="str">
        <f t="shared" si="15"/>
        <v/>
      </c>
      <c r="B99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99" spans="1:2" x14ac:dyDescent="0.35">
      <c r="A999" s="1" t="str">
        <f t="shared" si="15"/>
        <v/>
      </c>
      <c r="B99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00" spans="1:2" x14ac:dyDescent="0.35">
      <c r="A1000" s="1" t="str">
        <f t="shared" si="15"/>
        <v/>
      </c>
      <c r="B100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01" spans="1:2" x14ac:dyDescent="0.35">
      <c r="A1001" s="1" t="str">
        <f t="shared" si="15"/>
        <v/>
      </c>
      <c r="B100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02" spans="1:2" x14ac:dyDescent="0.35">
      <c r="A1002" s="1" t="str">
        <f t="shared" si="15"/>
        <v/>
      </c>
      <c r="B100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03" spans="1:2" x14ac:dyDescent="0.35">
      <c r="A1003" s="1" t="str">
        <f t="shared" si="15"/>
        <v/>
      </c>
      <c r="B100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04" spans="1:2" x14ac:dyDescent="0.35">
      <c r="A1004" s="1" t="str">
        <f t="shared" si="15"/>
        <v/>
      </c>
      <c r="B100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05" spans="1:2" x14ac:dyDescent="0.35">
      <c r="A1005" s="1" t="str">
        <f t="shared" si="15"/>
        <v/>
      </c>
      <c r="B100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06" spans="1:2" x14ac:dyDescent="0.35">
      <c r="A1006" s="1" t="str">
        <f t="shared" si="15"/>
        <v/>
      </c>
      <c r="B100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07" spans="1:2" x14ac:dyDescent="0.35">
      <c r="A1007" s="1" t="str">
        <f t="shared" si="15"/>
        <v/>
      </c>
      <c r="B100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08" spans="1:2" x14ac:dyDescent="0.35">
      <c r="A1008" s="1" t="str">
        <f t="shared" si="15"/>
        <v/>
      </c>
      <c r="B100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09" spans="1:2" x14ac:dyDescent="0.35">
      <c r="A1009" s="1" t="str">
        <f t="shared" si="15"/>
        <v/>
      </c>
      <c r="B100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10" spans="1:2" x14ac:dyDescent="0.35">
      <c r="A1010" s="1" t="str">
        <f t="shared" si="15"/>
        <v/>
      </c>
      <c r="B101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11" spans="1:2" x14ac:dyDescent="0.35">
      <c r="A1011" s="1" t="str">
        <f t="shared" si="15"/>
        <v/>
      </c>
      <c r="B101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12" spans="1:2" x14ac:dyDescent="0.35">
      <c r="A1012" s="1" t="str">
        <f t="shared" si="15"/>
        <v/>
      </c>
      <c r="B101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13" spans="1:2" x14ac:dyDescent="0.35">
      <c r="A1013" s="1" t="str">
        <f t="shared" si="15"/>
        <v/>
      </c>
      <c r="B101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14" spans="1:2" x14ac:dyDescent="0.35">
      <c r="A1014" s="1" t="str">
        <f t="shared" si="15"/>
        <v/>
      </c>
      <c r="B101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15" spans="1:2" x14ac:dyDescent="0.35">
      <c r="A1015" s="1" t="str">
        <f t="shared" si="15"/>
        <v/>
      </c>
      <c r="B101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16" spans="1:2" x14ac:dyDescent="0.35">
      <c r="A1016" s="1" t="str">
        <f t="shared" si="15"/>
        <v/>
      </c>
      <c r="B101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17" spans="1:2" x14ac:dyDescent="0.35">
      <c r="A1017" s="1" t="str">
        <f t="shared" si="15"/>
        <v/>
      </c>
      <c r="B101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18" spans="1:2" x14ac:dyDescent="0.35">
      <c r="A1018" s="1" t="str">
        <f t="shared" si="15"/>
        <v/>
      </c>
      <c r="B101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19" spans="1:2" x14ac:dyDescent="0.35">
      <c r="A1019" s="1" t="str">
        <f t="shared" si="15"/>
        <v/>
      </c>
      <c r="B101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20" spans="1:2" x14ac:dyDescent="0.35">
      <c r="A1020" s="1" t="str">
        <f t="shared" si="15"/>
        <v/>
      </c>
      <c r="B102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21" spans="1:2" x14ac:dyDescent="0.35">
      <c r="A1021" s="1" t="str">
        <f t="shared" si="15"/>
        <v/>
      </c>
      <c r="B102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22" spans="1:2" x14ac:dyDescent="0.35">
      <c r="A1022" s="1" t="str">
        <f t="shared" si="15"/>
        <v/>
      </c>
      <c r="B102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23" spans="1:2" x14ac:dyDescent="0.35">
      <c r="A1023" s="1" t="str">
        <f t="shared" si="15"/>
        <v/>
      </c>
      <c r="B102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24" spans="1:2" x14ac:dyDescent="0.35">
      <c r="A1024" s="1" t="str">
        <f t="shared" si="15"/>
        <v/>
      </c>
      <c r="B102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25" spans="1:2" x14ac:dyDescent="0.35">
      <c r="A1025" s="1" t="str">
        <f t="shared" si="15"/>
        <v/>
      </c>
      <c r="B102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26" spans="1:2" x14ac:dyDescent="0.35">
      <c r="A1026" s="1" t="str">
        <f t="shared" ref="A1026:A1089" si="16">IFERROR(LEFT(RIGHT(C1026,LEN(C1026)-SEARCH("@",C1026)),SEARCH("/",RIGHT(C1026,LEN(C1026)-SEARCH("@",C1026)-1))),"")</f>
        <v/>
      </c>
      <c r="B102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27" spans="1:2" x14ac:dyDescent="0.35">
      <c r="A1027" s="1" t="str">
        <f t="shared" si="16"/>
        <v/>
      </c>
      <c r="B102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28" spans="1:2" x14ac:dyDescent="0.35">
      <c r="A1028" s="1" t="str">
        <f t="shared" si="16"/>
        <v/>
      </c>
      <c r="B102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29" spans="1:2" x14ac:dyDescent="0.35">
      <c r="A1029" s="1" t="str">
        <f t="shared" si="16"/>
        <v/>
      </c>
      <c r="B102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30" spans="1:2" x14ac:dyDescent="0.35">
      <c r="A1030" s="1" t="str">
        <f t="shared" si="16"/>
        <v/>
      </c>
      <c r="B103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31" spans="1:2" x14ac:dyDescent="0.35">
      <c r="A1031" s="1" t="str">
        <f t="shared" si="16"/>
        <v/>
      </c>
      <c r="B103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32" spans="1:2" x14ac:dyDescent="0.35">
      <c r="A1032" s="1" t="str">
        <f t="shared" si="16"/>
        <v/>
      </c>
      <c r="B103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33" spans="1:2" x14ac:dyDescent="0.35">
      <c r="A1033" s="1" t="str">
        <f t="shared" si="16"/>
        <v/>
      </c>
      <c r="B103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34" spans="1:2" x14ac:dyDescent="0.35">
      <c r="A1034" s="1" t="str">
        <f t="shared" si="16"/>
        <v/>
      </c>
      <c r="B103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35" spans="1:2" x14ac:dyDescent="0.35">
      <c r="A1035" s="1" t="str">
        <f t="shared" si="16"/>
        <v/>
      </c>
      <c r="B103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36" spans="1:2" x14ac:dyDescent="0.35">
      <c r="A1036" s="1" t="str">
        <f t="shared" si="16"/>
        <v/>
      </c>
      <c r="B103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37" spans="1:2" x14ac:dyDescent="0.35">
      <c r="A1037" s="1" t="str">
        <f t="shared" si="16"/>
        <v/>
      </c>
      <c r="B103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38" spans="1:2" x14ac:dyDescent="0.35">
      <c r="A1038" s="1" t="str">
        <f t="shared" si="16"/>
        <v/>
      </c>
      <c r="B103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39" spans="1:2" x14ac:dyDescent="0.35">
      <c r="A1039" s="1" t="str">
        <f t="shared" si="16"/>
        <v/>
      </c>
      <c r="B103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40" spans="1:2" x14ac:dyDescent="0.35">
      <c r="A1040" s="1" t="str">
        <f t="shared" si="16"/>
        <v/>
      </c>
      <c r="B104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41" spans="1:2" x14ac:dyDescent="0.35">
      <c r="A1041" s="1" t="str">
        <f t="shared" si="16"/>
        <v/>
      </c>
      <c r="B104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42" spans="1:2" x14ac:dyDescent="0.35">
      <c r="A1042" s="1" t="str">
        <f t="shared" si="16"/>
        <v/>
      </c>
      <c r="B104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43" spans="1:2" x14ac:dyDescent="0.35">
      <c r="A1043" s="1" t="str">
        <f t="shared" si="16"/>
        <v/>
      </c>
      <c r="B104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44" spans="1:2" x14ac:dyDescent="0.35">
      <c r="A1044" s="1" t="str">
        <f t="shared" si="16"/>
        <v/>
      </c>
      <c r="B104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45" spans="1:2" x14ac:dyDescent="0.35">
      <c r="A1045" s="1" t="str">
        <f t="shared" si="16"/>
        <v/>
      </c>
      <c r="B104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46" spans="1:2" x14ac:dyDescent="0.35">
      <c r="A1046" s="1" t="str">
        <f t="shared" si="16"/>
        <v/>
      </c>
      <c r="B104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47" spans="1:2" x14ac:dyDescent="0.35">
      <c r="A1047" s="1" t="str">
        <f t="shared" si="16"/>
        <v/>
      </c>
      <c r="B104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48" spans="1:2" x14ac:dyDescent="0.35">
      <c r="A1048" s="1" t="str">
        <f t="shared" si="16"/>
        <v/>
      </c>
      <c r="B104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49" spans="1:2" x14ac:dyDescent="0.35">
      <c r="A1049" s="1" t="str">
        <f t="shared" si="16"/>
        <v/>
      </c>
      <c r="B104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50" spans="1:2" x14ac:dyDescent="0.35">
      <c r="A1050" s="1" t="str">
        <f t="shared" si="16"/>
        <v/>
      </c>
      <c r="B105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51" spans="1:2" x14ac:dyDescent="0.35">
      <c r="A1051" s="1" t="str">
        <f t="shared" si="16"/>
        <v/>
      </c>
      <c r="B105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52" spans="1:2" x14ac:dyDescent="0.35">
      <c r="A1052" s="1" t="str">
        <f t="shared" si="16"/>
        <v/>
      </c>
      <c r="B105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53" spans="1:2" x14ac:dyDescent="0.35">
      <c r="A1053" s="1" t="str">
        <f t="shared" si="16"/>
        <v/>
      </c>
      <c r="B105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54" spans="1:2" x14ac:dyDescent="0.35">
      <c r="A1054" s="1" t="str">
        <f t="shared" si="16"/>
        <v/>
      </c>
      <c r="B105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55" spans="1:2" x14ac:dyDescent="0.35">
      <c r="A1055" s="1" t="str">
        <f t="shared" si="16"/>
        <v/>
      </c>
      <c r="B105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56" spans="1:2" x14ac:dyDescent="0.35">
      <c r="A1056" s="1" t="str">
        <f t="shared" si="16"/>
        <v/>
      </c>
      <c r="B105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57" spans="1:2" x14ac:dyDescent="0.35">
      <c r="A1057" s="1" t="str">
        <f t="shared" si="16"/>
        <v/>
      </c>
      <c r="B105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58" spans="1:2" x14ac:dyDescent="0.35">
      <c r="A1058" s="1" t="str">
        <f t="shared" si="16"/>
        <v/>
      </c>
      <c r="B105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59" spans="1:2" x14ac:dyDescent="0.35">
      <c r="A1059" s="1" t="str">
        <f t="shared" si="16"/>
        <v/>
      </c>
      <c r="B105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60" spans="1:2" x14ac:dyDescent="0.35">
      <c r="A1060" s="1" t="str">
        <f t="shared" si="16"/>
        <v/>
      </c>
      <c r="B106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61" spans="1:2" x14ac:dyDescent="0.35">
      <c r="A1061" s="1" t="str">
        <f t="shared" si="16"/>
        <v/>
      </c>
      <c r="B106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62" spans="1:2" x14ac:dyDescent="0.35">
      <c r="A1062" s="1" t="str">
        <f t="shared" si="16"/>
        <v/>
      </c>
      <c r="B106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63" spans="1:2" x14ac:dyDescent="0.35">
      <c r="A1063" s="1" t="str">
        <f t="shared" si="16"/>
        <v/>
      </c>
      <c r="B106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64" spans="1:2" x14ac:dyDescent="0.35">
      <c r="A1064" s="1" t="str">
        <f t="shared" si="16"/>
        <v/>
      </c>
      <c r="B106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65" spans="1:2" x14ac:dyDescent="0.35">
      <c r="A1065" s="1" t="str">
        <f t="shared" si="16"/>
        <v/>
      </c>
      <c r="B106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66" spans="1:2" x14ac:dyDescent="0.35">
      <c r="A1066" s="1" t="str">
        <f t="shared" si="16"/>
        <v/>
      </c>
      <c r="B106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67" spans="1:2" x14ac:dyDescent="0.35">
      <c r="A1067" s="1" t="str">
        <f t="shared" si="16"/>
        <v/>
      </c>
      <c r="B106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68" spans="1:2" x14ac:dyDescent="0.35">
      <c r="A1068" s="1" t="str">
        <f t="shared" si="16"/>
        <v/>
      </c>
      <c r="B106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69" spans="1:2" x14ac:dyDescent="0.35">
      <c r="A1069" s="1" t="str">
        <f t="shared" si="16"/>
        <v/>
      </c>
      <c r="B106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70" spans="1:2" x14ac:dyDescent="0.35">
      <c r="A1070" s="1" t="str">
        <f t="shared" si="16"/>
        <v/>
      </c>
      <c r="B107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71" spans="1:2" x14ac:dyDescent="0.35">
      <c r="A1071" s="1" t="str">
        <f t="shared" si="16"/>
        <v/>
      </c>
      <c r="B107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72" spans="1:2" x14ac:dyDescent="0.35">
      <c r="A1072" s="1" t="str">
        <f t="shared" si="16"/>
        <v/>
      </c>
      <c r="B107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73" spans="1:2" x14ac:dyDescent="0.35">
      <c r="A1073" s="1" t="str">
        <f t="shared" si="16"/>
        <v/>
      </c>
      <c r="B107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74" spans="1:2" x14ac:dyDescent="0.35">
      <c r="A1074" s="1" t="str">
        <f t="shared" si="16"/>
        <v/>
      </c>
      <c r="B107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75" spans="1:2" x14ac:dyDescent="0.35">
      <c r="A1075" s="1" t="str">
        <f t="shared" si="16"/>
        <v/>
      </c>
      <c r="B107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76" spans="1:2" x14ac:dyDescent="0.35">
      <c r="A1076" s="1" t="str">
        <f t="shared" si="16"/>
        <v/>
      </c>
      <c r="B107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77" spans="1:2" x14ac:dyDescent="0.35">
      <c r="A1077" s="1" t="str">
        <f t="shared" si="16"/>
        <v/>
      </c>
      <c r="B107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78" spans="1:2" x14ac:dyDescent="0.35">
      <c r="A1078" s="1" t="str">
        <f t="shared" si="16"/>
        <v/>
      </c>
      <c r="B107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79" spans="1:2" x14ac:dyDescent="0.35">
      <c r="A1079" s="1" t="str">
        <f t="shared" si="16"/>
        <v/>
      </c>
      <c r="B107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80" spans="1:2" x14ac:dyDescent="0.35">
      <c r="A1080" s="1" t="str">
        <f t="shared" si="16"/>
        <v/>
      </c>
      <c r="B108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81" spans="1:2" x14ac:dyDescent="0.35">
      <c r="A1081" s="1" t="str">
        <f t="shared" si="16"/>
        <v/>
      </c>
      <c r="B108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82" spans="1:2" x14ac:dyDescent="0.35">
      <c r="A1082" s="1" t="str">
        <f t="shared" si="16"/>
        <v/>
      </c>
      <c r="B108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83" spans="1:2" x14ac:dyDescent="0.35">
      <c r="A1083" s="1" t="str">
        <f t="shared" si="16"/>
        <v/>
      </c>
      <c r="B108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84" spans="1:2" x14ac:dyDescent="0.35">
      <c r="A1084" s="1" t="str">
        <f t="shared" si="16"/>
        <v/>
      </c>
      <c r="B108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85" spans="1:2" x14ac:dyDescent="0.35">
      <c r="A1085" s="1" t="str">
        <f t="shared" si="16"/>
        <v/>
      </c>
      <c r="B108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86" spans="1:2" x14ac:dyDescent="0.35">
      <c r="A1086" s="1" t="str">
        <f t="shared" si="16"/>
        <v/>
      </c>
      <c r="B108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87" spans="1:2" x14ac:dyDescent="0.35">
      <c r="A1087" s="1" t="str">
        <f t="shared" si="16"/>
        <v/>
      </c>
      <c r="B108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88" spans="1:2" x14ac:dyDescent="0.35">
      <c r="A1088" s="1" t="str">
        <f t="shared" si="16"/>
        <v/>
      </c>
      <c r="B108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89" spans="1:2" x14ac:dyDescent="0.35">
      <c r="A1089" s="1" t="str">
        <f t="shared" si="16"/>
        <v/>
      </c>
      <c r="B108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90" spans="1:2" x14ac:dyDescent="0.35">
      <c r="A1090" s="1" t="str">
        <f t="shared" ref="A1090:A1153" si="17">IFERROR(LEFT(RIGHT(C1090,LEN(C1090)-SEARCH("@",C1090)),SEARCH("/",RIGHT(C1090,LEN(C1090)-SEARCH("@",C1090)-1))),"")</f>
        <v/>
      </c>
      <c r="B109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91" spans="1:2" x14ac:dyDescent="0.35">
      <c r="A1091" s="1" t="str">
        <f t="shared" si="17"/>
        <v/>
      </c>
      <c r="B109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92" spans="1:2" x14ac:dyDescent="0.35">
      <c r="A1092" s="1" t="str">
        <f t="shared" si="17"/>
        <v/>
      </c>
      <c r="B109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93" spans="1:2" x14ac:dyDescent="0.35">
      <c r="A1093" s="1" t="str">
        <f t="shared" si="17"/>
        <v/>
      </c>
      <c r="B109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94" spans="1:2" x14ac:dyDescent="0.35">
      <c r="A1094" s="1" t="str">
        <f t="shared" si="17"/>
        <v/>
      </c>
      <c r="B109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95" spans="1:2" x14ac:dyDescent="0.35">
      <c r="A1095" s="1" t="str">
        <f t="shared" si="17"/>
        <v/>
      </c>
      <c r="B109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96" spans="1:2" x14ac:dyDescent="0.35">
      <c r="A1096" s="1" t="str">
        <f t="shared" si="17"/>
        <v/>
      </c>
      <c r="B109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97" spans="1:2" x14ac:dyDescent="0.35">
      <c r="A1097" s="1" t="str">
        <f t="shared" si="17"/>
        <v/>
      </c>
      <c r="B109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98" spans="1:2" x14ac:dyDescent="0.35">
      <c r="A1098" s="1" t="str">
        <f t="shared" si="17"/>
        <v/>
      </c>
      <c r="B109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99" spans="1:2" x14ac:dyDescent="0.35">
      <c r="A1099" s="1" t="str">
        <f t="shared" si="17"/>
        <v/>
      </c>
      <c r="B109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00" spans="1:2" x14ac:dyDescent="0.35">
      <c r="A1100" s="1" t="str">
        <f t="shared" si="17"/>
        <v/>
      </c>
      <c r="B110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01" spans="1:2" x14ac:dyDescent="0.35">
      <c r="A1101" s="1" t="str">
        <f t="shared" si="17"/>
        <v/>
      </c>
      <c r="B110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02" spans="1:2" x14ac:dyDescent="0.35">
      <c r="A1102" s="1" t="str">
        <f t="shared" si="17"/>
        <v/>
      </c>
      <c r="B110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03" spans="1:2" x14ac:dyDescent="0.35">
      <c r="A1103" s="1" t="str">
        <f t="shared" si="17"/>
        <v/>
      </c>
      <c r="B110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04" spans="1:2" x14ac:dyDescent="0.35">
      <c r="A1104" s="1" t="str">
        <f t="shared" si="17"/>
        <v/>
      </c>
      <c r="B110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05" spans="1:2" x14ac:dyDescent="0.35">
      <c r="A1105" s="1" t="str">
        <f t="shared" si="17"/>
        <v/>
      </c>
      <c r="B110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06" spans="1:2" x14ac:dyDescent="0.35">
      <c r="A1106" s="1" t="str">
        <f t="shared" si="17"/>
        <v/>
      </c>
      <c r="B110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07" spans="1:2" x14ac:dyDescent="0.35">
      <c r="A1107" s="1" t="str">
        <f t="shared" si="17"/>
        <v/>
      </c>
      <c r="B110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08" spans="1:2" x14ac:dyDescent="0.35">
      <c r="A1108" s="1" t="str">
        <f t="shared" si="17"/>
        <v/>
      </c>
      <c r="B110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09" spans="1:2" x14ac:dyDescent="0.35">
      <c r="A1109" s="1" t="str">
        <f t="shared" si="17"/>
        <v/>
      </c>
      <c r="B110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10" spans="1:2" x14ac:dyDescent="0.35">
      <c r="A1110" s="1" t="str">
        <f t="shared" si="17"/>
        <v/>
      </c>
      <c r="B111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11" spans="1:2" x14ac:dyDescent="0.35">
      <c r="A1111" s="1" t="str">
        <f t="shared" si="17"/>
        <v/>
      </c>
      <c r="B111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12" spans="1:2" x14ac:dyDescent="0.35">
      <c r="A1112" s="1" t="str">
        <f t="shared" si="17"/>
        <v/>
      </c>
      <c r="B111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13" spans="1:2" x14ac:dyDescent="0.35">
      <c r="A1113" s="1" t="str">
        <f t="shared" si="17"/>
        <v/>
      </c>
      <c r="B111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14" spans="1:2" x14ac:dyDescent="0.35">
      <c r="A1114" s="1" t="str">
        <f t="shared" si="17"/>
        <v/>
      </c>
      <c r="B111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15" spans="1:2" x14ac:dyDescent="0.35">
      <c r="A1115" s="1" t="str">
        <f t="shared" si="17"/>
        <v/>
      </c>
      <c r="B111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16" spans="1:2" x14ac:dyDescent="0.35">
      <c r="A1116" s="1" t="str">
        <f t="shared" si="17"/>
        <v/>
      </c>
      <c r="B111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17" spans="1:2" x14ac:dyDescent="0.35">
      <c r="A1117" s="1" t="str">
        <f t="shared" si="17"/>
        <v/>
      </c>
      <c r="B111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18" spans="1:2" x14ac:dyDescent="0.35">
      <c r="A1118" s="1" t="str">
        <f t="shared" si="17"/>
        <v/>
      </c>
      <c r="B111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19" spans="1:2" x14ac:dyDescent="0.35">
      <c r="A1119" s="1" t="str">
        <f t="shared" si="17"/>
        <v/>
      </c>
      <c r="B111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20" spans="1:2" x14ac:dyDescent="0.35">
      <c r="A1120" s="1" t="str">
        <f t="shared" si="17"/>
        <v/>
      </c>
      <c r="B112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21" spans="1:2" x14ac:dyDescent="0.35">
      <c r="A1121" s="1" t="str">
        <f t="shared" si="17"/>
        <v/>
      </c>
      <c r="B112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22" spans="1:2" x14ac:dyDescent="0.35">
      <c r="A1122" s="1" t="str">
        <f t="shared" si="17"/>
        <v/>
      </c>
      <c r="B112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23" spans="1:2" x14ac:dyDescent="0.35">
      <c r="A1123" s="1" t="str">
        <f t="shared" si="17"/>
        <v/>
      </c>
      <c r="B112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24" spans="1:2" x14ac:dyDescent="0.35">
      <c r="A1124" s="1" t="str">
        <f t="shared" si="17"/>
        <v/>
      </c>
      <c r="B112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25" spans="1:2" x14ac:dyDescent="0.35">
      <c r="A1125" s="1" t="str">
        <f t="shared" si="17"/>
        <v/>
      </c>
      <c r="B112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26" spans="1:2" x14ac:dyDescent="0.35">
      <c r="A1126" s="1" t="str">
        <f t="shared" si="17"/>
        <v/>
      </c>
      <c r="B112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27" spans="1:2" x14ac:dyDescent="0.35">
      <c r="A1127" s="1" t="str">
        <f t="shared" si="17"/>
        <v/>
      </c>
      <c r="B112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28" spans="1:2" x14ac:dyDescent="0.35">
      <c r="A1128" s="1" t="str">
        <f t="shared" si="17"/>
        <v/>
      </c>
      <c r="B112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29" spans="1:2" x14ac:dyDescent="0.35">
      <c r="A1129" s="1" t="str">
        <f t="shared" si="17"/>
        <v/>
      </c>
      <c r="B112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30" spans="1:2" x14ac:dyDescent="0.35">
      <c r="A1130" s="1" t="str">
        <f t="shared" si="17"/>
        <v/>
      </c>
      <c r="B113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31" spans="1:2" x14ac:dyDescent="0.35">
      <c r="A1131" s="1" t="str">
        <f t="shared" si="17"/>
        <v/>
      </c>
      <c r="B113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32" spans="1:2" x14ac:dyDescent="0.35">
      <c r="A1132" s="1" t="str">
        <f t="shared" si="17"/>
        <v/>
      </c>
      <c r="B113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33" spans="1:2" x14ac:dyDescent="0.35">
      <c r="A1133" s="1" t="str">
        <f t="shared" si="17"/>
        <v/>
      </c>
      <c r="B113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34" spans="1:2" x14ac:dyDescent="0.35">
      <c r="A1134" s="1" t="str">
        <f t="shared" si="17"/>
        <v/>
      </c>
      <c r="B113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35" spans="1:2" x14ac:dyDescent="0.35">
      <c r="A1135" s="1" t="str">
        <f t="shared" si="17"/>
        <v/>
      </c>
      <c r="B113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36" spans="1:2" x14ac:dyDescent="0.35">
      <c r="A1136" s="1" t="str">
        <f t="shared" si="17"/>
        <v/>
      </c>
      <c r="B113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37" spans="1:2" x14ac:dyDescent="0.35">
      <c r="A1137" s="1" t="str">
        <f t="shared" si="17"/>
        <v/>
      </c>
      <c r="B113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38" spans="1:2" x14ac:dyDescent="0.35">
      <c r="A1138" s="1" t="str">
        <f t="shared" si="17"/>
        <v/>
      </c>
      <c r="B113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39" spans="1:2" x14ac:dyDescent="0.35">
      <c r="A1139" s="1" t="str">
        <f t="shared" si="17"/>
        <v/>
      </c>
      <c r="B113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40" spans="1:2" x14ac:dyDescent="0.35">
      <c r="A1140" s="1" t="str">
        <f t="shared" si="17"/>
        <v/>
      </c>
      <c r="B114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41" spans="1:2" x14ac:dyDescent="0.35">
      <c r="A1141" s="1" t="str">
        <f t="shared" si="17"/>
        <v/>
      </c>
      <c r="B114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42" spans="1:2" x14ac:dyDescent="0.35">
      <c r="A1142" s="1" t="str">
        <f t="shared" si="17"/>
        <v/>
      </c>
      <c r="B114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43" spans="1:2" x14ac:dyDescent="0.35">
      <c r="A1143" s="1" t="str">
        <f t="shared" si="17"/>
        <v/>
      </c>
      <c r="B114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44" spans="1:2" x14ac:dyDescent="0.35">
      <c r="A1144" s="1" t="str">
        <f t="shared" si="17"/>
        <v/>
      </c>
      <c r="B114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45" spans="1:2" x14ac:dyDescent="0.35">
      <c r="A1145" s="1" t="str">
        <f t="shared" si="17"/>
        <v/>
      </c>
      <c r="B114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46" spans="1:2" x14ac:dyDescent="0.35">
      <c r="A1146" s="1" t="str">
        <f t="shared" si="17"/>
        <v/>
      </c>
      <c r="B114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47" spans="1:2" x14ac:dyDescent="0.35">
      <c r="A1147" s="1" t="str">
        <f t="shared" si="17"/>
        <v/>
      </c>
      <c r="B114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48" spans="1:2" x14ac:dyDescent="0.35">
      <c r="A1148" s="1" t="str">
        <f t="shared" si="17"/>
        <v/>
      </c>
      <c r="B114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49" spans="1:2" x14ac:dyDescent="0.35">
      <c r="A1149" s="1" t="str">
        <f t="shared" si="17"/>
        <v/>
      </c>
      <c r="B114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50" spans="1:2" x14ac:dyDescent="0.35">
      <c r="A1150" s="1" t="str">
        <f t="shared" si="17"/>
        <v/>
      </c>
      <c r="B115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51" spans="1:2" x14ac:dyDescent="0.35">
      <c r="A1151" s="1" t="str">
        <f t="shared" si="17"/>
        <v/>
      </c>
      <c r="B115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52" spans="1:2" x14ac:dyDescent="0.35">
      <c r="A1152" s="1" t="str">
        <f t="shared" si="17"/>
        <v/>
      </c>
      <c r="B115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53" spans="1:2" x14ac:dyDescent="0.35">
      <c r="A1153" s="1" t="str">
        <f t="shared" si="17"/>
        <v/>
      </c>
      <c r="B115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54" spans="1:2" x14ac:dyDescent="0.35">
      <c r="A1154" s="1" t="str">
        <f t="shared" ref="A1154:A1217" si="18">IFERROR(LEFT(RIGHT(C1154,LEN(C1154)-SEARCH("@",C1154)),SEARCH("/",RIGHT(C1154,LEN(C1154)-SEARCH("@",C1154)-1))),"")</f>
        <v/>
      </c>
      <c r="B115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55" spans="1:2" x14ac:dyDescent="0.35">
      <c r="A1155" s="1" t="str">
        <f t="shared" si="18"/>
        <v/>
      </c>
      <c r="B115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56" spans="1:2" x14ac:dyDescent="0.35">
      <c r="A1156" s="1" t="str">
        <f t="shared" si="18"/>
        <v/>
      </c>
      <c r="B115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57" spans="1:2" x14ac:dyDescent="0.35">
      <c r="A1157" s="1" t="str">
        <f t="shared" si="18"/>
        <v/>
      </c>
      <c r="B115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58" spans="1:2" x14ac:dyDescent="0.35">
      <c r="A1158" s="1" t="str">
        <f t="shared" si="18"/>
        <v/>
      </c>
      <c r="B115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59" spans="1:2" x14ac:dyDescent="0.35">
      <c r="A1159" s="1" t="str">
        <f t="shared" si="18"/>
        <v/>
      </c>
      <c r="B115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60" spans="1:2" x14ac:dyDescent="0.35">
      <c r="A1160" s="1" t="str">
        <f t="shared" si="18"/>
        <v/>
      </c>
      <c r="B116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61" spans="1:2" x14ac:dyDescent="0.35">
      <c r="A1161" s="1" t="str">
        <f t="shared" si="18"/>
        <v/>
      </c>
      <c r="B116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62" spans="1:2" x14ac:dyDescent="0.35">
      <c r="A1162" s="1" t="str">
        <f t="shared" si="18"/>
        <v/>
      </c>
      <c r="B116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63" spans="1:2" x14ac:dyDescent="0.35">
      <c r="A1163" s="1" t="str">
        <f t="shared" si="18"/>
        <v/>
      </c>
      <c r="B116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64" spans="1:2" x14ac:dyDescent="0.35">
      <c r="A1164" s="1" t="str">
        <f t="shared" si="18"/>
        <v/>
      </c>
      <c r="B116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65" spans="1:2" x14ac:dyDescent="0.35">
      <c r="A1165" s="1" t="str">
        <f t="shared" si="18"/>
        <v/>
      </c>
      <c r="B116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66" spans="1:2" x14ac:dyDescent="0.35">
      <c r="A1166" s="1" t="str">
        <f t="shared" si="18"/>
        <v/>
      </c>
      <c r="B116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67" spans="1:2" x14ac:dyDescent="0.35">
      <c r="A1167" s="1" t="str">
        <f t="shared" si="18"/>
        <v/>
      </c>
      <c r="B116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68" spans="1:2" x14ac:dyDescent="0.35">
      <c r="A1168" s="1" t="str">
        <f t="shared" si="18"/>
        <v/>
      </c>
      <c r="B116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69" spans="1:2" x14ac:dyDescent="0.35">
      <c r="A1169" s="1" t="str">
        <f t="shared" si="18"/>
        <v/>
      </c>
      <c r="B116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70" spans="1:2" x14ac:dyDescent="0.35">
      <c r="A1170" s="1" t="str">
        <f t="shared" si="18"/>
        <v/>
      </c>
      <c r="B117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71" spans="1:2" x14ac:dyDescent="0.35">
      <c r="A1171" s="1" t="str">
        <f t="shared" si="18"/>
        <v/>
      </c>
      <c r="B117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72" spans="1:2" x14ac:dyDescent="0.35">
      <c r="A1172" s="1" t="str">
        <f t="shared" si="18"/>
        <v/>
      </c>
      <c r="B117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73" spans="1:2" x14ac:dyDescent="0.35">
      <c r="A1173" s="1" t="str">
        <f t="shared" si="18"/>
        <v/>
      </c>
      <c r="B117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74" spans="1:2" x14ac:dyDescent="0.35">
      <c r="A1174" s="1" t="str">
        <f t="shared" si="18"/>
        <v/>
      </c>
      <c r="B117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75" spans="1:2" x14ac:dyDescent="0.35">
      <c r="A1175" s="1" t="str">
        <f t="shared" si="18"/>
        <v/>
      </c>
      <c r="B117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76" spans="1:2" x14ac:dyDescent="0.35">
      <c r="A1176" s="1" t="str">
        <f t="shared" si="18"/>
        <v/>
      </c>
      <c r="B117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77" spans="1:2" x14ac:dyDescent="0.35">
      <c r="A1177" s="1" t="str">
        <f t="shared" si="18"/>
        <v/>
      </c>
      <c r="B117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78" spans="1:2" x14ac:dyDescent="0.35">
      <c r="A1178" s="1" t="str">
        <f t="shared" si="18"/>
        <v/>
      </c>
      <c r="B117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79" spans="1:2" x14ac:dyDescent="0.35">
      <c r="A1179" s="1" t="str">
        <f t="shared" si="18"/>
        <v/>
      </c>
      <c r="B117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80" spans="1:2" x14ac:dyDescent="0.35">
      <c r="A1180" s="1" t="str">
        <f t="shared" si="18"/>
        <v/>
      </c>
      <c r="B118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81" spans="1:2" x14ac:dyDescent="0.35">
      <c r="A1181" s="1" t="str">
        <f t="shared" si="18"/>
        <v/>
      </c>
      <c r="B118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82" spans="1:2" x14ac:dyDescent="0.35">
      <c r="A1182" s="1" t="str">
        <f t="shared" si="18"/>
        <v/>
      </c>
      <c r="B118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83" spans="1:2" x14ac:dyDescent="0.35">
      <c r="A1183" s="1" t="str">
        <f t="shared" si="18"/>
        <v/>
      </c>
      <c r="B118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84" spans="1:2" x14ac:dyDescent="0.35">
      <c r="A1184" s="1" t="str">
        <f t="shared" si="18"/>
        <v/>
      </c>
      <c r="B118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85" spans="1:2" x14ac:dyDescent="0.35">
      <c r="A1185" s="1" t="str">
        <f t="shared" si="18"/>
        <v/>
      </c>
      <c r="B118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86" spans="1:2" x14ac:dyDescent="0.35">
      <c r="A1186" s="1" t="str">
        <f t="shared" si="18"/>
        <v/>
      </c>
      <c r="B118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87" spans="1:2" x14ac:dyDescent="0.35">
      <c r="A1187" s="1" t="str">
        <f t="shared" si="18"/>
        <v/>
      </c>
      <c r="B118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88" spans="1:2" x14ac:dyDescent="0.35">
      <c r="A1188" s="1" t="str">
        <f t="shared" si="18"/>
        <v/>
      </c>
      <c r="B118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89" spans="1:2" x14ac:dyDescent="0.35">
      <c r="A1189" s="1" t="str">
        <f t="shared" si="18"/>
        <v/>
      </c>
      <c r="B118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90" spans="1:2" x14ac:dyDescent="0.35">
      <c r="A1190" s="1" t="str">
        <f t="shared" si="18"/>
        <v/>
      </c>
      <c r="B119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91" spans="1:2" x14ac:dyDescent="0.35">
      <c r="A1191" s="1" t="str">
        <f t="shared" si="18"/>
        <v/>
      </c>
      <c r="B119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92" spans="1:2" x14ac:dyDescent="0.35">
      <c r="A1192" s="1" t="str">
        <f t="shared" si="18"/>
        <v/>
      </c>
      <c r="B119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93" spans="1:2" x14ac:dyDescent="0.35">
      <c r="A1193" s="1" t="str">
        <f t="shared" si="18"/>
        <v/>
      </c>
      <c r="B119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94" spans="1:2" x14ac:dyDescent="0.35">
      <c r="A1194" s="1" t="str">
        <f t="shared" si="18"/>
        <v/>
      </c>
      <c r="B119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95" spans="1:2" x14ac:dyDescent="0.35">
      <c r="A1195" s="1" t="str">
        <f t="shared" si="18"/>
        <v/>
      </c>
      <c r="B119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96" spans="1:2" x14ac:dyDescent="0.35">
      <c r="A1196" s="1" t="str">
        <f t="shared" si="18"/>
        <v/>
      </c>
      <c r="B119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97" spans="1:2" x14ac:dyDescent="0.35">
      <c r="A1197" s="1" t="str">
        <f t="shared" si="18"/>
        <v/>
      </c>
      <c r="B119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98" spans="1:2" x14ac:dyDescent="0.35">
      <c r="A1198" s="1" t="str">
        <f t="shared" si="18"/>
        <v/>
      </c>
      <c r="B119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99" spans="1:2" x14ac:dyDescent="0.35">
      <c r="A1199" s="1" t="str">
        <f t="shared" si="18"/>
        <v/>
      </c>
      <c r="B119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00" spans="1:2" x14ac:dyDescent="0.35">
      <c r="A1200" s="1" t="str">
        <f t="shared" si="18"/>
        <v/>
      </c>
      <c r="B120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01" spans="1:2" x14ac:dyDescent="0.35">
      <c r="A1201" s="1" t="str">
        <f t="shared" si="18"/>
        <v/>
      </c>
      <c r="B120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02" spans="1:2" x14ac:dyDescent="0.35">
      <c r="A1202" s="1" t="str">
        <f t="shared" si="18"/>
        <v/>
      </c>
      <c r="B120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03" spans="1:2" x14ac:dyDescent="0.35">
      <c r="A1203" s="1" t="str">
        <f t="shared" si="18"/>
        <v/>
      </c>
      <c r="B120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04" spans="1:2" x14ac:dyDescent="0.35">
      <c r="A1204" s="1" t="str">
        <f t="shared" si="18"/>
        <v/>
      </c>
      <c r="B120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05" spans="1:2" x14ac:dyDescent="0.35">
      <c r="A1205" s="1" t="str">
        <f t="shared" si="18"/>
        <v/>
      </c>
      <c r="B120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06" spans="1:2" x14ac:dyDescent="0.35">
      <c r="A1206" s="1" t="str">
        <f t="shared" si="18"/>
        <v/>
      </c>
      <c r="B120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07" spans="1:2" x14ac:dyDescent="0.35">
      <c r="A1207" s="1" t="str">
        <f t="shared" si="18"/>
        <v/>
      </c>
      <c r="B120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08" spans="1:2" x14ac:dyDescent="0.35">
      <c r="A1208" s="1" t="str">
        <f t="shared" si="18"/>
        <v/>
      </c>
      <c r="B120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09" spans="1:2" x14ac:dyDescent="0.35">
      <c r="A1209" s="1" t="str">
        <f t="shared" si="18"/>
        <v/>
      </c>
      <c r="B120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10" spans="1:2" x14ac:dyDescent="0.35">
      <c r="A1210" s="1" t="str">
        <f t="shared" si="18"/>
        <v/>
      </c>
      <c r="B121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11" spans="1:2" x14ac:dyDescent="0.35">
      <c r="A1211" s="1" t="str">
        <f t="shared" si="18"/>
        <v/>
      </c>
      <c r="B121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12" spans="1:2" x14ac:dyDescent="0.35">
      <c r="A1212" s="1" t="str">
        <f t="shared" si="18"/>
        <v/>
      </c>
      <c r="B121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13" spans="1:2" x14ac:dyDescent="0.35">
      <c r="A1213" s="1" t="str">
        <f t="shared" si="18"/>
        <v/>
      </c>
      <c r="B121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14" spans="1:2" x14ac:dyDescent="0.35">
      <c r="A1214" s="1" t="str">
        <f t="shared" si="18"/>
        <v/>
      </c>
      <c r="B121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15" spans="1:2" x14ac:dyDescent="0.35">
      <c r="A1215" s="1" t="str">
        <f t="shared" si="18"/>
        <v/>
      </c>
      <c r="B121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16" spans="1:2" x14ac:dyDescent="0.35">
      <c r="A1216" s="1" t="str">
        <f t="shared" si="18"/>
        <v/>
      </c>
      <c r="B121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17" spans="1:2" x14ac:dyDescent="0.35">
      <c r="A1217" s="1" t="str">
        <f t="shared" si="18"/>
        <v/>
      </c>
      <c r="B121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18" spans="1:2" x14ac:dyDescent="0.35">
      <c r="A1218" s="1" t="str">
        <f t="shared" ref="A1218:A1281" si="19">IFERROR(LEFT(RIGHT(C1218,LEN(C1218)-SEARCH("@",C1218)),SEARCH("/",RIGHT(C1218,LEN(C1218)-SEARCH("@",C1218)-1))),"")</f>
        <v/>
      </c>
      <c r="B121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19" spans="1:2" x14ac:dyDescent="0.35">
      <c r="A1219" s="1" t="str">
        <f t="shared" si="19"/>
        <v/>
      </c>
      <c r="B121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20" spans="1:2" x14ac:dyDescent="0.35">
      <c r="A1220" s="1" t="str">
        <f t="shared" si="19"/>
        <v/>
      </c>
      <c r="B122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21" spans="1:2" x14ac:dyDescent="0.35">
      <c r="A1221" s="1" t="str">
        <f t="shared" si="19"/>
        <v/>
      </c>
      <c r="B122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22" spans="1:2" x14ac:dyDescent="0.35">
      <c r="A1222" s="1" t="str">
        <f t="shared" si="19"/>
        <v/>
      </c>
      <c r="B122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23" spans="1:2" x14ac:dyDescent="0.35">
      <c r="A1223" s="1" t="str">
        <f t="shared" si="19"/>
        <v/>
      </c>
      <c r="B122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24" spans="1:2" x14ac:dyDescent="0.35">
      <c r="A1224" s="1" t="str">
        <f t="shared" si="19"/>
        <v/>
      </c>
      <c r="B122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25" spans="1:2" x14ac:dyDescent="0.35">
      <c r="A1225" s="1" t="str">
        <f t="shared" si="19"/>
        <v/>
      </c>
      <c r="B122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26" spans="1:2" x14ac:dyDescent="0.35">
      <c r="A1226" s="1" t="str">
        <f t="shared" si="19"/>
        <v/>
      </c>
      <c r="B122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27" spans="1:2" x14ac:dyDescent="0.35">
      <c r="A1227" s="1" t="str">
        <f t="shared" si="19"/>
        <v/>
      </c>
      <c r="B122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28" spans="1:2" x14ac:dyDescent="0.35">
      <c r="A1228" s="1" t="str">
        <f t="shared" si="19"/>
        <v/>
      </c>
      <c r="B122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29" spans="1:2" x14ac:dyDescent="0.35">
      <c r="A1229" s="1" t="str">
        <f t="shared" si="19"/>
        <v/>
      </c>
      <c r="B122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30" spans="1:2" x14ac:dyDescent="0.35">
      <c r="A1230" s="1" t="str">
        <f t="shared" si="19"/>
        <v/>
      </c>
      <c r="B123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31" spans="1:2" x14ac:dyDescent="0.35">
      <c r="A1231" s="1" t="str">
        <f t="shared" si="19"/>
        <v/>
      </c>
      <c r="B123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32" spans="1:2" x14ac:dyDescent="0.35">
      <c r="A1232" s="1" t="str">
        <f t="shared" si="19"/>
        <v/>
      </c>
      <c r="B123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33" spans="1:2" x14ac:dyDescent="0.35">
      <c r="A1233" s="1" t="str">
        <f t="shared" si="19"/>
        <v/>
      </c>
      <c r="B123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34" spans="1:2" x14ac:dyDescent="0.35">
      <c r="A1234" s="1" t="str">
        <f t="shared" si="19"/>
        <v/>
      </c>
      <c r="B123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35" spans="1:2" x14ac:dyDescent="0.35">
      <c r="A1235" s="1" t="str">
        <f t="shared" si="19"/>
        <v/>
      </c>
      <c r="B123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36" spans="1:2" x14ac:dyDescent="0.35">
      <c r="A1236" s="1" t="str">
        <f t="shared" si="19"/>
        <v/>
      </c>
      <c r="B123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37" spans="1:2" x14ac:dyDescent="0.35">
      <c r="A1237" s="1" t="str">
        <f t="shared" si="19"/>
        <v/>
      </c>
      <c r="B123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38" spans="1:2" x14ac:dyDescent="0.35">
      <c r="A1238" s="1" t="str">
        <f t="shared" si="19"/>
        <v/>
      </c>
      <c r="B123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39" spans="1:2" x14ac:dyDescent="0.35">
      <c r="A1239" s="1" t="str">
        <f t="shared" si="19"/>
        <v/>
      </c>
      <c r="B123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40" spans="1:2" x14ac:dyDescent="0.35">
      <c r="A1240" s="1" t="str">
        <f t="shared" si="19"/>
        <v/>
      </c>
      <c r="B124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41" spans="1:2" x14ac:dyDescent="0.35">
      <c r="A1241" s="1" t="str">
        <f t="shared" si="19"/>
        <v/>
      </c>
      <c r="B124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42" spans="1:2" x14ac:dyDescent="0.35">
      <c r="A1242" s="1" t="str">
        <f t="shared" si="19"/>
        <v/>
      </c>
      <c r="B124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43" spans="1:2" x14ac:dyDescent="0.35">
      <c r="A1243" s="1" t="str">
        <f t="shared" si="19"/>
        <v/>
      </c>
      <c r="B124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44" spans="1:2" x14ac:dyDescent="0.35">
      <c r="A1244" s="1" t="str">
        <f t="shared" si="19"/>
        <v/>
      </c>
      <c r="B124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45" spans="1:2" x14ac:dyDescent="0.35">
      <c r="A1245" s="1" t="str">
        <f t="shared" si="19"/>
        <v/>
      </c>
      <c r="B124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46" spans="1:2" x14ac:dyDescent="0.35">
      <c r="A1246" s="1" t="str">
        <f t="shared" si="19"/>
        <v/>
      </c>
      <c r="B124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47" spans="1:2" x14ac:dyDescent="0.35">
      <c r="A1247" s="1" t="str">
        <f t="shared" si="19"/>
        <v/>
      </c>
      <c r="B124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48" spans="1:2" x14ac:dyDescent="0.35">
      <c r="A1248" s="1" t="str">
        <f t="shared" si="19"/>
        <v/>
      </c>
      <c r="B124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49" spans="1:2" x14ac:dyDescent="0.35">
      <c r="A1249" s="1" t="str">
        <f t="shared" si="19"/>
        <v/>
      </c>
      <c r="B124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50" spans="1:2" x14ac:dyDescent="0.35">
      <c r="A1250" s="1" t="str">
        <f t="shared" si="19"/>
        <v/>
      </c>
      <c r="B125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51" spans="1:2" x14ac:dyDescent="0.35">
      <c r="A1251" s="1" t="str">
        <f t="shared" si="19"/>
        <v/>
      </c>
      <c r="B125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52" spans="1:2" x14ac:dyDescent="0.35">
      <c r="A1252" s="1" t="str">
        <f t="shared" si="19"/>
        <v/>
      </c>
      <c r="B125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53" spans="1:2" x14ac:dyDescent="0.35">
      <c r="A1253" s="1" t="str">
        <f t="shared" si="19"/>
        <v/>
      </c>
      <c r="B125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54" spans="1:2" x14ac:dyDescent="0.35">
      <c r="A1254" s="1" t="str">
        <f t="shared" si="19"/>
        <v/>
      </c>
      <c r="B125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55" spans="1:2" x14ac:dyDescent="0.35">
      <c r="A1255" s="1" t="str">
        <f t="shared" si="19"/>
        <v/>
      </c>
      <c r="B125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56" spans="1:2" x14ac:dyDescent="0.35">
      <c r="A1256" s="1" t="str">
        <f t="shared" si="19"/>
        <v/>
      </c>
      <c r="B125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57" spans="1:2" x14ac:dyDescent="0.35">
      <c r="A1257" s="1" t="str">
        <f t="shared" si="19"/>
        <v/>
      </c>
      <c r="B125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58" spans="1:2" x14ac:dyDescent="0.35">
      <c r="A1258" s="1" t="str">
        <f t="shared" si="19"/>
        <v/>
      </c>
      <c r="B125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59" spans="1:2" x14ac:dyDescent="0.35">
      <c r="A1259" s="1" t="str">
        <f t="shared" si="19"/>
        <v/>
      </c>
      <c r="B125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60" spans="1:2" x14ac:dyDescent="0.35">
      <c r="A1260" s="1" t="str">
        <f t="shared" si="19"/>
        <v/>
      </c>
      <c r="B126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61" spans="1:2" x14ac:dyDescent="0.35">
      <c r="A1261" s="1" t="str">
        <f t="shared" si="19"/>
        <v/>
      </c>
      <c r="B126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62" spans="1:2" x14ac:dyDescent="0.35">
      <c r="A1262" s="1" t="str">
        <f t="shared" si="19"/>
        <v/>
      </c>
      <c r="B126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63" spans="1:2" x14ac:dyDescent="0.35">
      <c r="A1263" s="1" t="str">
        <f t="shared" si="19"/>
        <v/>
      </c>
      <c r="B126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64" spans="1:2" x14ac:dyDescent="0.35">
      <c r="A1264" s="1" t="str">
        <f t="shared" si="19"/>
        <v/>
      </c>
      <c r="B126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65" spans="1:2" x14ac:dyDescent="0.35">
      <c r="A1265" s="1" t="str">
        <f t="shared" si="19"/>
        <v/>
      </c>
      <c r="B126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66" spans="1:2" x14ac:dyDescent="0.35">
      <c r="A1266" s="1" t="str">
        <f t="shared" si="19"/>
        <v/>
      </c>
      <c r="B126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67" spans="1:2" x14ac:dyDescent="0.35">
      <c r="A1267" s="1" t="str">
        <f t="shared" si="19"/>
        <v/>
      </c>
      <c r="B126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68" spans="1:2" x14ac:dyDescent="0.35">
      <c r="A1268" s="1" t="str">
        <f t="shared" si="19"/>
        <v/>
      </c>
      <c r="B126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69" spans="1:2" x14ac:dyDescent="0.35">
      <c r="A1269" s="1" t="str">
        <f t="shared" si="19"/>
        <v/>
      </c>
      <c r="B126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70" spans="1:2" x14ac:dyDescent="0.35">
      <c r="A1270" s="1" t="str">
        <f t="shared" si="19"/>
        <v/>
      </c>
      <c r="B127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71" spans="1:2" x14ac:dyDescent="0.35">
      <c r="A1271" s="1" t="str">
        <f t="shared" si="19"/>
        <v/>
      </c>
      <c r="B127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72" spans="1:2" x14ac:dyDescent="0.35">
      <c r="A1272" s="1" t="str">
        <f t="shared" si="19"/>
        <v/>
      </c>
      <c r="B127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73" spans="1:2" x14ac:dyDescent="0.35">
      <c r="A1273" s="1" t="str">
        <f t="shared" si="19"/>
        <v/>
      </c>
      <c r="B127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74" spans="1:2" x14ac:dyDescent="0.35">
      <c r="A1274" s="1" t="str">
        <f t="shared" si="19"/>
        <v/>
      </c>
      <c r="B127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75" spans="1:2" x14ac:dyDescent="0.35">
      <c r="A1275" s="1" t="str">
        <f t="shared" si="19"/>
        <v/>
      </c>
      <c r="B127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76" spans="1:2" x14ac:dyDescent="0.35">
      <c r="A1276" s="1" t="str">
        <f t="shared" si="19"/>
        <v/>
      </c>
      <c r="B127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77" spans="1:2" x14ac:dyDescent="0.35">
      <c r="A1277" s="1" t="str">
        <f t="shared" si="19"/>
        <v/>
      </c>
      <c r="B127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78" spans="1:2" x14ac:dyDescent="0.35">
      <c r="A1278" s="1" t="str">
        <f t="shared" si="19"/>
        <v/>
      </c>
      <c r="B127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79" spans="1:2" x14ac:dyDescent="0.35">
      <c r="A1279" s="1" t="str">
        <f t="shared" si="19"/>
        <v/>
      </c>
      <c r="B127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80" spans="1:2" x14ac:dyDescent="0.35">
      <c r="A1280" s="1" t="str">
        <f t="shared" si="19"/>
        <v/>
      </c>
      <c r="B128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81" spans="1:2" x14ac:dyDescent="0.35">
      <c r="A1281" s="1" t="str">
        <f t="shared" si="19"/>
        <v/>
      </c>
      <c r="B128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82" spans="1:2" x14ac:dyDescent="0.35">
      <c r="A1282" s="1" t="str">
        <f t="shared" ref="A1282:A1345" si="20">IFERROR(LEFT(RIGHT(C1282,LEN(C1282)-SEARCH("@",C1282)),SEARCH("/",RIGHT(C1282,LEN(C1282)-SEARCH("@",C1282)-1))),"")</f>
        <v/>
      </c>
      <c r="B128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83" spans="1:2" x14ac:dyDescent="0.35">
      <c r="A1283" s="1" t="str">
        <f t="shared" si="20"/>
        <v/>
      </c>
      <c r="B128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84" spans="1:2" x14ac:dyDescent="0.35">
      <c r="A1284" s="1" t="str">
        <f t="shared" si="20"/>
        <v/>
      </c>
      <c r="B128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85" spans="1:2" x14ac:dyDescent="0.35">
      <c r="A1285" s="1" t="str">
        <f t="shared" si="20"/>
        <v/>
      </c>
      <c r="B128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86" spans="1:2" x14ac:dyDescent="0.35">
      <c r="A1286" s="1" t="str">
        <f t="shared" si="20"/>
        <v/>
      </c>
      <c r="B128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87" spans="1:2" x14ac:dyDescent="0.35">
      <c r="A1287" s="1" t="str">
        <f t="shared" si="20"/>
        <v/>
      </c>
      <c r="B128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88" spans="1:2" x14ac:dyDescent="0.35">
      <c r="A1288" s="1" t="str">
        <f t="shared" si="20"/>
        <v/>
      </c>
      <c r="B128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89" spans="1:2" x14ac:dyDescent="0.35">
      <c r="A1289" s="1" t="str">
        <f t="shared" si="20"/>
        <v/>
      </c>
      <c r="B128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90" spans="1:2" x14ac:dyDescent="0.35">
      <c r="A1290" s="1" t="str">
        <f t="shared" si="20"/>
        <v/>
      </c>
      <c r="B129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91" spans="1:2" x14ac:dyDescent="0.35">
      <c r="A1291" s="1" t="str">
        <f t="shared" si="20"/>
        <v/>
      </c>
      <c r="B129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92" spans="1:2" x14ac:dyDescent="0.35">
      <c r="A1292" s="1" t="str">
        <f t="shared" si="20"/>
        <v/>
      </c>
      <c r="B129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93" spans="1:2" x14ac:dyDescent="0.35">
      <c r="A1293" s="1" t="str">
        <f t="shared" si="20"/>
        <v/>
      </c>
      <c r="B129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94" spans="1:2" x14ac:dyDescent="0.35">
      <c r="A1294" s="1" t="str">
        <f t="shared" si="20"/>
        <v/>
      </c>
      <c r="B129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95" spans="1:2" x14ac:dyDescent="0.35">
      <c r="A1295" s="1" t="str">
        <f t="shared" si="20"/>
        <v/>
      </c>
      <c r="B129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96" spans="1:2" x14ac:dyDescent="0.35">
      <c r="A1296" s="1" t="str">
        <f t="shared" si="20"/>
        <v/>
      </c>
      <c r="B129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97" spans="1:2" x14ac:dyDescent="0.35">
      <c r="A1297" s="1" t="str">
        <f t="shared" si="20"/>
        <v/>
      </c>
      <c r="B129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98" spans="1:2" x14ac:dyDescent="0.35">
      <c r="A1298" s="1" t="str">
        <f t="shared" si="20"/>
        <v/>
      </c>
      <c r="B129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99" spans="1:2" x14ac:dyDescent="0.35">
      <c r="A1299" s="1" t="str">
        <f t="shared" si="20"/>
        <v/>
      </c>
      <c r="B129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00" spans="1:2" x14ac:dyDescent="0.35">
      <c r="A1300" s="1" t="str">
        <f t="shared" si="20"/>
        <v/>
      </c>
      <c r="B130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01" spans="1:2" x14ac:dyDescent="0.35">
      <c r="A1301" s="1" t="str">
        <f t="shared" si="20"/>
        <v/>
      </c>
      <c r="B130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02" spans="1:2" x14ac:dyDescent="0.35">
      <c r="A1302" s="1" t="str">
        <f t="shared" si="20"/>
        <v/>
      </c>
      <c r="B130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03" spans="1:2" x14ac:dyDescent="0.35">
      <c r="A1303" s="1" t="str">
        <f t="shared" si="20"/>
        <v/>
      </c>
      <c r="B130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04" spans="1:2" x14ac:dyDescent="0.35">
      <c r="A1304" s="1" t="str">
        <f t="shared" si="20"/>
        <v/>
      </c>
      <c r="B130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05" spans="1:2" x14ac:dyDescent="0.35">
      <c r="A1305" s="1" t="str">
        <f t="shared" si="20"/>
        <v/>
      </c>
      <c r="B130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06" spans="1:2" x14ac:dyDescent="0.35">
      <c r="A1306" s="1" t="str">
        <f t="shared" si="20"/>
        <v/>
      </c>
      <c r="B130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07" spans="1:2" x14ac:dyDescent="0.35">
      <c r="A1307" s="1" t="str">
        <f t="shared" si="20"/>
        <v/>
      </c>
      <c r="B130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08" spans="1:2" x14ac:dyDescent="0.35">
      <c r="A1308" s="1" t="str">
        <f t="shared" si="20"/>
        <v/>
      </c>
      <c r="B130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09" spans="1:2" x14ac:dyDescent="0.35">
      <c r="A1309" s="1" t="str">
        <f t="shared" si="20"/>
        <v/>
      </c>
      <c r="B130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10" spans="1:2" x14ac:dyDescent="0.35">
      <c r="A1310" s="1" t="str">
        <f t="shared" si="20"/>
        <v/>
      </c>
      <c r="B131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11" spans="1:2" x14ac:dyDescent="0.35">
      <c r="A1311" s="1" t="str">
        <f t="shared" si="20"/>
        <v/>
      </c>
      <c r="B131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12" spans="1:2" x14ac:dyDescent="0.35">
      <c r="A1312" s="1" t="str">
        <f t="shared" si="20"/>
        <v/>
      </c>
      <c r="B131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13" spans="1:2" x14ac:dyDescent="0.35">
      <c r="A1313" s="1" t="str">
        <f t="shared" si="20"/>
        <v/>
      </c>
      <c r="B131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14" spans="1:2" x14ac:dyDescent="0.35">
      <c r="A1314" s="1" t="str">
        <f t="shared" si="20"/>
        <v/>
      </c>
      <c r="B131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15" spans="1:2" x14ac:dyDescent="0.35">
      <c r="A1315" s="1" t="str">
        <f t="shared" si="20"/>
        <v/>
      </c>
      <c r="B131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16" spans="1:2" x14ac:dyDescent="0.35">
      <c r="A1316" s="1" t="str">
        <f t="shared" si="20"/>
        <v/>
      </c>
      <c r="B131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17" spans="1:2" x14ac:dyDescent="0.35">
      <c r="A1317" s="1" t="str">
        <f t="shared" si="20"/>
        <v/>
      </c>
      <c r="B131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18" spans="1:2" x14ac:dyDescent="0.35">
      <c r="A1318" s="1" t="str">
        <f t="shared" si="20"/>
        <v/>
      </c>
      <c r="B131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19" spans="1:2" x14ac:dyDescent="0.35">
      <c r="A1319" s="1" t="str">
        <f t="shared" si="20"/>
        <v/>
      </c>
      <c r="B131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20" spans="1:2" x14ac:dyDescent="0.35">
      <c r="A1320" s="1" t="str">
        <f t="shared" si="20"/>
        <v/>
      </c>
      <c r="B132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21" spans="1:2" x14ac:dyDescent="0.35">
      <c r="A1321" s="1" t="str">
        <f t="shared" si="20"/>
        <v/>
      </c>
      <c r="B132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22" spans="1:2" x14ac:dyDescent="0.35">
      <c r="A1322" s="1" t="str">
        <f t="shared" si="20"/>
        <v/>
      </c>
      <c r="B132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23" spans="1:2" x14ac:dyDescent="0.35">
      <c r="A1323" s="1" t="str">
        <f t="shared" si="20"/>
        <v/>
      </c>
      <c r="B132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24" spans="1:2" x14ac:dyDescent="0.35">
      <c r="A1324" s="1" t="str">
        <f t="shared" si="20"/>
        <v/>
      </c>
      <c r="B132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25" spans="1:2" x14ac:dyDescent="0.35">
      <c r="A1325" s="1" t="str">
        <f t="shared" si="20"/>
        <v/>
      </c>
      <c r="B132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26" spans="1:2" x14ac:dyDescent="0.35">
      <c r="A1326" s="1" t="str">
        <f t="shared" si="20"/>
        <v/>
      </c>
      <c r="B132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27" spans="1:2" x14ac:dyDescent="0.35">
      <c r="A1327" s="1" t="str">
        <f t="shared" si="20"/>
        <v/>
      </c>
      <c r="B132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28" spans="1:2" x14ac:dyDescent="0.35">
      <c r="A1328" s="1" t="str">
        <f t="shared" si="20"/>
        <v/>
      </c>
      <c r="B132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29" spans="1:2" x14ac:dyDescent="0.35">
      <c r="A1329" s="1" t="str">
        <f t="shared" si="20"/>
        <v/>
      </c>
      <c r="B132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30" spans="1:2" x14ac:dyDescent="0.35">
      <c r="A1330" s="1" t="str">
        <f t="shared" si="20"/>
        <v/>
      </c>
      <c r="B133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31" spans="1:2" x14ac:dyDescent="0.35">
      <c r="A1331" s="1" t="str">
        <f t="shared" si="20"/>
        <v/>
      </c>
      <c r="B133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32" spans="1:2" x14ac:dyDescent="0.35">
      <c r="A1332" s="1" t="str">
        <f t="shared" si="20"/>
        <v/>
      </c>
      <c r="B133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33" spans="1:2" x14ac:dyDescent="0.35">
      <c r="A1333" s="1" t="str">
        <f t="shared" si="20"/>
        <v/>
      </c>
      <c r="B133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34" spans="1:2" x14ac:dyDescent="0.35">
      <c r="A1334" s="1" t="str">
        <f t="shared" si="20"/>
        <v/>
      </c>
      <c r="B133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35" spans="1:2" x14ac:dyDescent="0.35">
      <c r="A1335" s="1" t="str">
        <f t="shared" si="20"/>
        <v/>
      </c>
      <c r="B133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36" spans="1:2" x14ac:dyDescent="0.35">
      <c r="A1336" s="1" t="str">
        <f t="shared" si="20"/>
        <v/>
      </c>
      <c r="B133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37" spans="1:2" x14ac:dyDescent="0.35">
      <c r="A1337" s="1" t="str">
        <f t="shared" si="20"/>
        <v/>
      </c>
      <c r="B133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38" spans="1:2" x14ac:dyDescent="0.35">
      <c r="A1338" s="1" t="str">
        <f t="shared" si="20"/>
        <v/>
      </c>
      <c r="B133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39" spans="1:2" x14ac:dyDescent="0.35">
      <c r="A1339" s="1" t="str">
        <f t="shared" si="20"/>
        <v/>
      </c>
      <c r="B133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40" spans="1:2" x14ac:dyDescent="0.35">
      <c r="A1340" s="1" t="str">
        <f t="shared" si="20"/>
        <v/>
      </c>
      <c r="B134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41" spans="1:2" x14ac:dyDescent="0.35">
      <c r="A1341" s="1" t="str">
        <f t="shared" si="20"/>
        <v/>
      </c>
      <c r="B134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42" spans="1:2" x14ac:dyDescent="0.35">
      <c r="A1342" s="1" t="str">
        <f t="shared" si="20"/>
        <v/>
      </c>
      <c r="B134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43" spans="1:2" x14ac:dyDescent="0.35">
      <c r="A1343" s="1" t="str">
        <f t="shared" si="20"/>
        <v/>
      </c>
      <c r="B134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44" spans="1:2" x14ac:dyDescent="0.35">
      <c r="A1344" s="1" t="str">
        <f t="shared" si="20"/>
        <v/>
      </c>
      <c r="B134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45" spans="1:2" x14ac:dyDescent="0.35">
      <c r="A1345" s="1" t="str">
        <f t="shared" si="20"/>
        <v/>
      </c>
      <c r="B134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46" spans="1:2" x14ac:dyDescent="0.35">
      <c r="A1346" s="1" t="str">
        <f t="shared" ref="A1346:A1409" si="21">IFERROR(LEFT(RIGHT(C1346,LEN(C1346)-SEARCH("@",C1346)),SEARCH("/",RIGHT(C1346,LEN(C1346)-SEARCH("@",C1346)-1))),"")</f>
        <v/>
      </c>
      <c r="B134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47" spans="1:2" x14ac:dyDescent="0.35">
      <c r="A1347" s="1" t="str">
        <f t="shared" si="21"/>
        <v/>
      </c>
      <c r="B134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48" spans="1:2" x14ac:dyDescent="0.35">
      <c r="A1348" s="1" t="str">
        <f t="shared" si="21"/>
        <v/>
      </c>
      <c r="B134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49" spans="1:2" x14ac:dyDescent="0.35">
      <c r="A1349" s="1" t="str">
        <f t="shared" si="21"/>
        <v/>
      </c>
      <c r="B134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50" spans="1:2" x14ac:dyDescent="0.35">
      <c r="A1350" s="1" t="str">
        <f t="shared" si="21"/>
        <v/>
      </c>
      <c r="B135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51" spans="1:2" x14ac:dyDescent="0.35">
      <c r="A1351" s="1" t="str">
        <f t="shared" si="21"/>
        <v/>
      </c>
      <c r="B135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52" spans="1:2" x14ac:dyDescent="0.35">
      <c r="A1352" s="1" t="str">
        <f t="shared" si="21"/>
        <v/>
      </c>
      <c r="B135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53" spans="1:2" x14ac:dyDescent="0.35">
      <c r="A1353" s="1" t="str">
        <f t="shared" si="21"/>
        <v/>
      </c>
      <c r="B135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54" spans="1:2" x14ac:dyDescent="0.35">
      <c r="A1354" s="1" t="str">
        <f t="shared" si="21"/>
        <v/>
      </c>
      <c r="B135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55" spans="1:2" x14ac:dyDescent="0.35">
      <c r="A1355" s="1" t="str">
        <f t="shared" si="21"/>
        <v/>
      </c>
      <c r="B135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56" spans="1:2" x14ac:dyDescent="0.35">
      <c r="A1356" s="1" t="str">
        <f t="shared" si="21"/>
        <v/>
      </c>
      <c r="B135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57" spans="1:2" x14ac:dyDescent="0.35">
      <c r="A1357" s="1" t="str">
        <f t="shared" si="21"/>
        <v/>
      </c>
      <c r="B135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58" spans="1:2" x14ac:dyDescent="0.35">
      <c r="A1358" s="1" t="str">
        <f t="shared" si="21"/>
        <v/>
      </c>
      <c r="B135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59" spans="1:2" x14ac:dyDescent="0.35">
      <c r="A1359" s="1" t="str">
        <f t="shared" si="21"/>
        <v/>
      </c>
      <c r="B135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60" spans="1:2" x14ac:dyDescent="0.35">
      <c r="A1360" s="1" t="str">
        <f t="shared" si="21"/>
        <v/>
      </c>
      <c r="B136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61" spans="1:2" x14ac:dyDescent="0.35">
      <c r="A1361" s="1" t="str">
        <f t="shared" si="21"/>
        <v/>
      </c>
      <c r="B136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62" spans="1:2" x14ac:dyDescent="0.35">
      <c r="A1362" s="1" t="str">
        <f t="shared" si="21"/>
        <v/>
      </c>
      <c r="B136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63" spans="1:2" x14ac:dyDescent="0.35">
      <c r="A1363" s="1" t="str">
        <f t="shared" si="21"/>
        <v/>
      </c>
      <c r="B136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64" spans="1:2" x14ac:dyDescent="0.35">
      <c r="A1364" s="1" t="str">
        <f t="shared" si="21"/>
        <v/>
      </c>
      <c r="B136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65" spans="1:2" x14ac:dyDescent="0.35">
      <c r="A1365" s="1" t="str">
        <f t="shared" si="21"/>
        <v/>
      </c>
      <c r="B136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66" spans="1:2" x14ac:dyDescent="0.35">
      <c r="A1366" s="1" t="str">
        <f t="shared" si="21"/>
        <v/>
      </c>
      <c r="B136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67" spans="1:2" x14ac:dyDescent="0.35">
      <c r="A1367" s="1" t="str">
        <f t="shared" si="21"/>
        <v/>
      </c>
      <c r="B136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68" spans="1:2" x14ac:dyDescent="0.35">
      <c r="A1368" s="1" t="str">
        <f t="shared" si="21"/>
        <v/>
      </c>
      <c r="B136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69" spans="1:2" x14ac:dyDescent="0.35">
      <c r="A1369" s="1" t="str">
        <f t="shared" si="21"/>
        <v/>
      </c>
      <c r="B136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70" spans="1:2" x14ac:dyDescent="0.35">
      <c r="A1370" s="1" t="str">
        <f t="shared" si="21"/>
        <v/>
      </c>
      <c r="B137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71" spans="1:2" x14ac:dyDescent="0.35">
      <c r="A1371" s="1" t="str">
        <f t="shared" si="21"/>
        <v/>
      </c>
      <c r="B137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72" spans="1:2" x14ac:dyDescent="0.35">
      <c r="A1372" s="1" t="str">
        <f t="shared" si="21"/>
        <v/>
      </c>
      <c r="B137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73" spans="1:2" x14ac:dyDescent="0.35">
      <c r="A1373" s="1" t="str">
        <f t="shared" si="21"/>
        <v/>
      </c>
      <c r="B137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74" spans="1:2" x14ac:dyDescent="0.35">
      <c r="A1374" s="1" t="str">
        <f t="shared" si="21"/>
        <v/>
      </c>
      <c r="B137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75" spans="1:2" x14ac:dyDescent="0.35">
      <c r="A1375" s="1" t="str">
        <f t="shared" si="21"/>
        <v/>
      </c>
      <c r="B137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76" spans="1:2" x14ac:dyDescent="0.35">
      <c r="A1376" s="1" t="str">
        <f t="shared" si="21"/>
        <v/>
      </c>
      <c r="B137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77" spans="1:2" x14ac:dyDescent="0.35">
      <c r="A1377" s="1" t="str">
        <f t="shared" si="21"/>
        <v/>
      </c>
      <c r="B137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78" spans="1:2" x14ac:dyDescent="0.35">
      <c r="A1378" s="1" t="str">
        <f t="shared" si="21"/>
        <v/>
      </c>
      <c r="B137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79" spans="1:2" x14ac:dyDescent="0.35">
      <c r="A1379" s="1" t="str">
        <f t="shared" si="21"/>
        <v/>
      </c>
      <c r="B137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80" spans="1:2" x14ac:dyDescent="0.35">
      <c r="A1380" s="1" t="str">
        <f t="shared" si="21"/>
        <v/>
      </c>
      <c r="B138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81" spans="1:2" x14ac:dyDescent="0.35">
      <c r="A1381" s="1" t="str">
        <f t="shared" si="21"/>
        <v/>
      </c>
      <c r="B138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82" spans="1:2" x14ac:dyDescent="0.35">
      <c r="A1382" s="1" t="str">
        <f t="shared" si="21"/>
        <v/>
      </c>
      <c r="B138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83" spans="1:2" x14ac:dyDescent="0.35">
      <c r="A1383" s="1" t="str">
        <f t="shared" si="21"/>
        <v/>
      </c>
      <c r="B138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84" spans="1:2" x14ac:dyDescent="0.35">
      <c r="A1384" s="1" t="str">
        <f t="shared" si="21"/>
        <v/>
      </c>
      <c r="B138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85" spans="1:2" x14ac:dyDescent="0.35">
      <c r="A1385" s="1" t="str">
        <f t="shared" si="21"/>
        <v/>
      </c>
      <c r="B138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86" spans="1:2" x14ac:dyDescent="0.35">
      <c r="A1386" s="1" t="str">
        <f t="shared" si="21"/>
        <v/>
      </c>
      <c r="B138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87" spans="1:2" x14ac:dyDescent="0.35">
      <c r="A1387" s="1" t="str">
        <f t="shared" si="21"/>
        <v/>
      </c>
      <c r="B138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88" spans="1:2" x14ac:dyDescent="0.35">
      <c r="A1388" s="1" t="str">
        <f t="shared" si="21"/>
        <v/>
      </c>
      <c r="B138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89" spans="1:2" x14ac:dyDescent="0.35">
      <c r="A1389" s="1" t="str">
        <f t="shared" si="21"/>
        <v/>
      </c>
      <c r="B138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90" spans="1:2" x14ac:dyDescent="0.35">
      <c r="A1390" s="1" t="str">
        <f t="shared" si="21"/>
        <v/>
      </c>
      <c r="B139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91" spans="1:2" x14ac:dyDescent="0.35">
      <c r="A1391" s="1" t="str">
        <f t="shared" si="21"/>
        <v/>
      </c>
      <c r="B139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92" spans="1:2" x14ac:dyDescent="0.35">
      <c r="A1392" s="1" t="str">
        <f t="shared" si="21"/>
        <v/>
      </c>
      <c r="B139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93" spans="1:2" x14ac:dyDescent="0.35">
      <c r="A1393" s="1" t="str">
        <f t="shared" si="21"/>
        <v/>
      </c>
      <c r="B139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94" spans="1:2" x14ac:dyDescent="0.35">
      <c r="A1394" s="1" t="str">
        <f t="shared" si="21"/>
        <v/>
      </c>
      <c r="B139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95" spans="1:2" x14ac:dyDescent="0.35">
      <c r="A1395" s="1" t="str">
        <f t="shared" si="21"/>
        <v/>
      </c>
      <c r="B139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96" spans="1:2" x14ac:dyDescent="0.35">
      <c r="A1396" s="1" t="str">
        <f t="shared" si="21"/>
        <v/>
      </c>
      <c r="B139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97" spans="1:2" x14ac:dyDescent="0.35">
      <c r="A1397" s="1" t="str">
        <f t="shared" si="21"/>
        <v/>
      </c>
      <c r="B139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98" spans="1:2" x14ac:dyDescent="0.35">
      <c r="A1398" s="1" t="str">
        <f t="shared" si="21"/>
        <v/>
      </c>
      <c r="B139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99" spans="1:2" x14ac:dyDescent="0.35">
      <c r="A1399" s="1" t="str">
        <f t="shared" si="21"/>
        <v/>
      </c>
      <c r="B139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00" spans="1:2" x14ac:dyDescent="0.35">
      <c r="A1400" s="1" t="str">
        <f t="shared" si="21"/>
        <v/>
      </c>
      <c r="B140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01" spans="1:2" x14ac:dyDescent="0.35">
      <c r="A1401" s="1" t="str">
        <f t="shared" si="21"/>
        <v/>
      </c>
      <c r="B140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02" spans="1:2" x14ac:dyDescent="0.35">
      <c r="A1402" s="1" t="str">
        <f t="shared" si="21"/>
        <v/>
      </c>
      <c r="B140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03" spans="1:2" x14ac:dyDescent="0.35">
      <c r="A1403" s="1" t="str">
        <f t="shared" si="21"/>
        <v/>
      </c>
      <c r="B140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04" spans="1:2" x14ac:dyDescent="0.35">
      <c r="A1404" s="1" t="str">
        <f t="shared" si="21"/>
        <v/>
      </c>
      <c r="B140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05" spans="1:2" x14ac:dyDescent="0.35">
      <c r="A1405" s="1" t="str">
        <f t="shared" si="21"/>
        <v/>
      </c>
      <c r="B140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06" spans="1:2" x14ac:dyDescent="0.35">
      <c r="A1406" s="1" t="str">
        <f t="shared" si="21"/>
        <v/>
      </c>
      <c r="B140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07" spans="1:2" x14ac:dyDescent="0.35">
      <c r="A1407" s="1" t="str">
        <f t="shared" si="21"/>
        <v/>
      </c>
      <c r="B140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08" spans="1:2" x14ac:dyDescent="0.35">
      <c r="A1408" s="1" t="str">
        <f t="shared" si="21"/>
        <v/>
      </c>
      <c r="B140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09" spans="1:2" x14ac:dyDescent="0.35">
      <c r="A1409" s="1" t="str">
        <f t="shared" si="21"/>
        <v/>
      </c>
      <c r="B140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10" spans="1:2" x14ac:dyDescent="0.35">
      <c r="A1410" s="1" t="str">
        <f t="shared" ref="A1410:A1473" si="22">IFERROR(LEFT(RIGHT(C1410,LEN(C1410)-SEARCH("@",C1410)),SEARCH("/",RIGHT(C1410,LEN(C1410)-SEARCH("@",C1410)-1))),"")</f>
        <v/>
      </c>
      <c r="B141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11" spans="1:2" x14ac:dyDescent="0.35">
      <c r="A1411" s="1" t="str">
        <f t="shared" si="22"/>
        <v/>
      </c>
      <c r="B141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12" spans="1:2" x14ac:dyDescent="0.35">
      <c r="A1412" s="1" t="str">
        <f t="shared" si="22"/>
        <v/>
      </c>
      <c r="B141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13" spans="1:2" x14ac:dyDescent="0.35">
      <c r="A1413" s="1" t="str">
        <f t="shared" si="22"/>
        <v/>
      </c>
      <c r="B141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14" spans="1:2" x14ac:dyDescent="0.35">
      <c r="A1414" s="1" t="str">
        <f t="shared" si="22"/>
        <v/>
      </c>
      <c r="B141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15" spans="1:2" x14ac:dyDescent="0.35">
      <c r="A1415" s="1" t="str">
        <f t="shared" si="22"/>
        <v/>
      </c>
      <c r="B141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16" spans="1:2" x14ac:dyDescent="0.35">
      <c r="A1416" s="1" t="str">
        <f t="shared" si="22"/>
        <v/>
      </c>
      <c r="B141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17" spans="1:2" x14ac:dyDescent="0.35">
      <c r="A1417" s="1" t="str">
        <f t="shared" si="22"/>
        <v/>
      </c>
      <c r="B141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18" spans="1:2" x14ac:dyDescent="0.35">
      <c r="A1418" s="1" t="str">
        <f t="shared" si="22"/>
        <v/>
      </c>
      <c r="B141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19" spans="1:2" x14ac:dyDescent="0.35">
      <c r="A1419" s="1" t="str">
        <f t="shared" si="22"/>
        <v/>
      </c>
      <c r="B141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20" spans="1:2" x14ac:dyDescent="0.35">
      <c r="A1420" s="1" t="str">
        <f t="shared" si="22"/>
        <v/>
      </c>
      <c r="B142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21" spans="1:2" x14ac:dyDescent="0.35">
      <c r="A1421" s="1" t="str">
        <f t="shared" si="22"/>
        <v/>
      </c>
      <c r="B142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22" spans="1:2" x14ac:dyDescent="0.35">
      <c r="A1422" s="1" t="str">
        <f t="shared" si="22"/>
        <v/>
      </c>
      <c r="B142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23" spans="1:2" x14ac:dyDescent="0.35">
      <c r="A1423" s="1" t="str">
        <f t="shared" si="22"/>
        <v/>
      </c>
      <c r="B142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24" spans="1:2" x14ac:dyDescent="0.35">
      <c r="A1424" s="1" t="str">
        <f t="shared" si="22"/>
        <v/>
      </c>
      <c r="B142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25" spans="1:2" x14ac:dyDescent="0.35">
      <c r="A1425" s="1" t="str">
        <f t="shared" si="22"/>
        <v/>
      </c>
      <c r="B142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26" spans="1:2" x14ac:dyDescent="0.35">
      <c r="A1426" s="1" t="str">
        <f t="shared" si="22"/>
        <v/>
      </c>
      <c r="B142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27" spans="1:2" x14ac:dyDescent="0.35">
      <c r="A1427" s="1" t="str">
        <f t="shared" si="22"/>
        <v/>
      </c>
      <c r="B142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28" spans="1:2" x14ac:dyDescent="0.35">
      <c r="A1428" s="1" t="str">
        <f t="shared" si="22"/>
        <v/>
      </c>
      <c r="B142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29" spans="1:2" x14ac:dyDescent="0.35">
      <c r="A1429" s="1" t="str">
        <f t="shared" si="22"/>
        <v/>
      </c>
      <c r="B142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30" spans="1:2" x14ac:dyDescent="0.35">
      <c r="A1430" s="1" t="str">
        <f t="shared" si="22"/>
        <v/>
      </c>
      <c r="B143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31" spans="1:2" x14ac:dyDescent="0.35">
      <c r="A1431" s="1" t="str">
        <f t="shared" si="22"/>
        <v/>
      </c>
      <c r="B143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32" spans="1:2" x14ac:dyDescent="0.35">
      <c r="A1432" s="1" t="str">
        <f t="shared" si="22"/>
        <v/>
      </c>
      <c r="B143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33" spans="1:2" x14ac:dyDescent="0.35">
      <c r="A1433" s="1" t="str">
        <f t="shared" si="22"/>
        <v/>
      </c>
      <c r="B143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34" spans="1:2" x14ac:dyDescent="0.35">
      <c r="A1434" s="1" t="str">
        <f t="shared" si="22"/>
        <v/>
      </c>
      <c r="B143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35" spans="1:2" x14ac:dyDescent="0.35">
      <c r="A1435" s="1" t="str">
        <f t="shared" si="22"/>
        <v/>
      </c>
      <c r="B143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36" spans="1:2" x14ac:dyDescent="0.35">
      <c r="A1436" s="1" t="str">
        <f t="shared" si="22"/>
        <v/>
      </c>
      <c r="B143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37" spans="1:2" x14ac:dyDescent="0.35">
      <c r="A1437" s="1" t="str">
        <f t="shared" si="22"/>
        <v/>
      </c>
      <c r="B143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38" spans="1:2" x14ac:dyDescent="0.35">
      <c r="A1438" s="1" t="str">
        <f t="shared" si="22"/>
        <v/>
      </c>
      <c r="B143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39" spans="1:2" x14ac:dyDescent="0.35">
      <c r="A1439" s="1" t="str">
        <f t="shared" si="22"/>
        <v/>
      </c>
      <c r="B143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40" spans="1:2" x14ac:dyDescent="0.35">
      <c r="A1440" s="1" t="str">
        <f t="shared" si="22"/>
        <v/>
      </c>
      <c r="B144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41" spans="1:2" x14ac:dyDescent="0.35">
      <c r="A1441" s="1" t="str">
        <f t="shared" si="22"/>
        <v/>
      </c>
      <c r="B144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42" spans="1:2" x14ac:dyDescent="0.35">
      <c r="A1442" s="1" t="str">
        <f t="shared" si="22"/>
        <v/>
      </c>
      <c r="B144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43" spans="1:2" x14ac:dyDescent="0.35">
      <c r="A1443" s="1" t="str">
        <f t="shared" si="22"/>
        <v/>
      </c>
      <c r="B144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44" spans="1:2" x14ac:dyDescent="0.35">
      <c r="A1444" s="1" t="str">
        <f t="shared" si="22"/>
        <v/>
      </c>
      <c r="B144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45" spans="1:2" x14ac:dyDescent="0.35">
      <c r="A1445" s="1" t="str">
        <f t="shared" si="22"/>
        <v/>
      </c>
      <c r="B144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46" spans="1:2" x14ac:dyDescent="0.35">
      <c r="A1446" s="1" t="str">
        <f t="shared" si="22"/>
        <v/>
      </c>
      <c r="B144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47" spans="1:2" x14ac:dyDescent="0.35">
      <c r="A1447" s="1" t="str">
        <f t="shared" si="22"/>
        <v/>
      </c>
      <c r="B144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48" spans="1:2" x14ac:dyDescent="0.35">
      <c r="A1448" s="1" t="str">
        <f t="shared" si="22"/>
        <v/>
      </c>
      <c r="B144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49" spans="1:2" x14ac:dyDescent="0.35">
      <c r="A1449" s="1" t="str">
        <f t="shared" si="22"/>
        <v/>
      </c>
      <c r="B144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50" spans="1:2" x14ac:dyDescent="0.35">
      <c r="A1450" s="1" t="str">
        <f t="shared" si="22"/>
        <v/>
      </c>
      <c r="B145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51" spans="1:2" x14ac:dyDescent="0.35">
      <c r="A1451" s="1" t="str">
        <f t="shared" si="22"/>
        <v/>
      </c>
      <c r="B145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52" spans="1:2" x14ac:dyDescent="0.35">
      <c r="A1452" s="1" t="str">
        <f t="shared" si="22"/>
        <v/>
      </c>
      <c r="B145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53" spans="1:2" x14ac:dyDescent="0.35">
      <c r="A1453" s="1" t="str">
        <f t="shared" si="22"/>
        <v/>
      </c>
      <c r="B145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54" spans="1:2" x14ac:dyDescent="0.35">
      <c r="A1454" s="1" t="str">
        <f t="shared" si="22"/>
        <v/>
      </c>
      <c r="B145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55" spans="1:2" x14ac:dyDescent="0.35">
      <c r="A1455" s="1" t="str">
        <f t="shared" si="22"/>
        <v/>
      </c>
      <c r="B145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56" spans="1:2" x14ac:dyDescent="0.35">
      <c r="A1456" s="1" t="str">
        <f t="shared" si="22"/>
        <v/>
      </c>
      <c r="B145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57" spans="1:2" x14ac:dyDescent="0.35">
      <c r="A1457" s="1" t="str">
        <f t="shared" si="22"/>
        <v/>
      </c>
      <c r="B145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58" spans="1:2" x14ac:dyDescent="0.35">
      <c r="A1458" s="1" t="str">
        <f t="shared" si="22"/>
        <v/>
      </c>
      <c r="B145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59" spans="1:2" x14ac:dyDescent="0.35">
      <c r="A1459" s="1" t="str">
        <f t="shared" si="22"/>
        <v/>
      </c>
      <c r="B145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60" spans="1:2" x14ac:dyDescent="0.35">
      <c r="A1460" s="1" t="str">
        <f t="shared" si="22"/>
        <v/>
      </c>
      <c r="B146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61" spans="1:2" x14ac:dyDescent="0.35">
      <c r="A1461" s="1" t="str">
        <f t="shared" si="22"/>
        <v/>
      </c>
      <c r="B146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62" spans="1:2" x14ac:dyDescent="0.35">
      <c r="A1462" s="1" t="str">
        <f t="shared" si="22"/>
        <v/>
      </c>
      <c r="B146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63" spans="1:2" x14ac:dyDescent="0.35">
      <c r="A1463" s="1" t="str">
        <f t="shared" si="22"/>
        <v/>
      </c>
      <c r="B146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64" spans="1:2" x14ac:dyDescent="0.35">
      <c r="A1464" s="1" t="str">
        <f t="shared" si="22"/>
        <v/>
      </c>
      <c r="B146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65" spans="1:2" x14ac:dyDescent="0.35">
      <c r="A1465" s="1" t="str">
        <f t="shared" si="22"/>
        <v/>
      </c>
      <c r="B146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66" spans="1:2" x14ac:dyDescent="0.35">
      <c r="A1466" s="1" t="str">
        <f t="shared" si="22"/>
        <v/>
      </c>
      <c r="B146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67" spans="1:2" x14ac:dyDescent="0.35">
      <c r="A1467" s="1" t="str">
        <f t="shared" si="22"/>
        <v/>
      </c>
      <c r="B146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68" spans="1:2" x14ac:dyDescent="0.35">
      <c r="A1468" s="1" t="str">
        <f t="shared" si="22"/>
        <v/>
      </c>
      <c r="B146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69" spans="1:2" x14ac:dyDescent="0.35">
      <c r="A1469" s="1" t="str">
        <f t="shared" si="22"/>
        <v/>
      </c>
      <c r="B146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70" spans="1:2" x14ac:dyDescent="0.35">
      <c r="A1470" s="1" t="str">
        <f t="shared" si="22"/>
        <v/>
      </c>
      <c r="B147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71" spans="1:2" x14ac:dyDescent="0.35">
      <c r="A1471" s="1" t="str">
        <f t="shared" si="22"/>
        <v/>
      </c>
      <c r="B147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72" spans="1:2" x14ac:dyDescent="0.35">
      <c r="A1472" s="1" t="str">
        <f t="shared" si="22"/>
        <v/>
      </c>
      <c r="B147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73" spans="1:2" x14ac:dyDescent="0.35">
      <c r="A1473" s="1" t="str">
        <f t="shared" si="22"/>
        <v/>
      </c>
      <c r="B147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74" spans="1:2" x14ac:dyDescent="0.35">
      <c r="A1474" s="1" t="str">
        <f t="shared" ref="A1474:A1537" si="23">IFERROR(LEFT(RIGHT(C1474,LEN(C1474)-SEARCH("@",C1474)),SEARCH("/",RIGHT(C1474,LEN(C1474)-SEARCH("@",C1474)-1))),"")</f>
        <v/>
      </c>
      <c r="B147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75" spans="1:2" x14ac:dyDescent="0.35">
      <c r="A1475" s="1" t="str">
        <f t="shared" si="23"/>
        <v/>
      </c>
      <c r="B147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76" spans="1:2" x14ac:dyDescent="0.35">
      <c r="A1476" s="1" t="str">
        <f t="shared" si="23"/>
        <v/>
      </c>
      <c r="B147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77" spans="1:2" x14ac:dyDescent="0.35">
      <c r="A1477" s="1" t="str">
        <f t="shared" si="23"/>
        <v/>
      </c>
      <c r="B147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78" spans="1:2" x14ac:dyDescent="0.35">
      <c r="A1478" s="1" t="str">
        <f t="shared" si="23"/>
        <v/>
      </c>
      <c r="B147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79" spans="1:2" x14ac:dyDescent="0.35">
      <c r="A1479" s="1" t="str">
        <f t="shared" si="23"/>
        <v/>
      </c>
      <c r="B147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80" spans="1:2" x14ac:dyDescent="0.35">
      <c r="A1480" s="1" t="str">
        <f t="shared" si="23"/>
        <v/>
      </c>
      <c r="B148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81" spans="1:2" x14ac:dyDescent="0.35">
      <c r="A1481" s="1" t="str">
        <f t="shared" si="23"/>
        <v/>
      </c>
      <c r="B148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82" spans="1:2" x14ac:dyDescent="0.35">
      <c r="A1482" s="1" t="str">
        <f t="shared" si="23"/>
        <v/>
      </c>
      <c r="B148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83" spans="1:2" x14ac:dyDescent="0.35">
      <c r="A1483" s="1" t="str">
        <f t="shared" si="23"/>
        <v/>
      </c>
      <c r="B148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84" spans="1:2" x14ac:dyDescent="0.35">
      <c r="A1484" s="1" t="str">
        <f t="shared" si="23"/>
        <v/>
      </c>
      <c r="B148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85" spans="1:2" x14ac:dyDescent="0.35">
      <c r="A1485" s="1" t="str">
        <f t="shared" si="23"/>
        <v/>
      </c>
      <c r="B148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86" spans="1:2" x14ac:dyDescent="0.35">
      <c r="A1486" s="1" t="str">
        <f t="shared" si="23"/>
        <v/>
      </c>
      <c r="B148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87" spans="1:2" x14ac:dyDescent="0.35">
      <c r="A1487" s="1" t="str">
        <f t="shared" si="23"/>
        <v/>
      </c>
      <c r="B148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88" spans="1:2" x14ac:dyDescent="0.35">
      <c r="A1488" s="1" t="str">
        <f t="shared" si="23"/>
        <v/>
      </c>
      <c r="B148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89" spans="1:2" x14ac:dyDescent="0.35">
      <c r="A1489" s="1" t="str">
        <f t="shared" si="23"/>
        <v/>
      </c>
      <c r="B148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90" spans="1:2" x14ac:dyDescent="0.35">
      <c r="A1490" s="1" t="str">
        <f t="shared" si="23"/>
        <v/>
      </c>
      <c r="B149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91" spans="1:2" x14ac:dyDescent="0.35">
      <c r="A1491" s="1" t="str">
        <f t="shared" si="23"/>
        <v/>
      </c>
      <c r="B149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92" spans="1:2" x14ac:dyDescent="0.35">
      <c r="A1492" s="1" t="str">
        <f t="shared" si="23"/>
        <v/>
      </c>
      <c r="B149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93" spans="1:2" x14ac:dyDescent="0.35">
      <c r="A1493" s="1" t="str">
        <f t="shared" si="23"/>
        <v/>
      </c>
      <c r="B149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94" spans="1:2" x14ac:dyDescent="0.35">
      <c r="A1494" s="1" t="str">
        <f t="shared" si="23"/>
        <v/>
      </c>
      <c r="B149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95" spans="1:2" x14ac:dyDescent="0.35">
      <c r="A1495" s="1" t="str">
        <f t="shared" si="23"/>
        <v/>
      </c>
      <c r="B149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96" spans="1:2" x14ac:dyDescent="0.35">
      <c r="A1496" s="1" t="str">
        <f t="shared" si="23"/>
        <v/>
      </c>
      <c r="B149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97" spans="1:2" x14ac:dyDescent="0.35">
      <c r="A1497" s="1" t="str">
        <f t="shared" si="23"/>
        <v/>
      </c>
      <c r="B149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98" spans="1:2" x14ac:dyDescent="0.35">
      <c r="A1498" s="1" t="str">
        <f t="shared" si="23"/>
        <v/>
      </c>
      <c r="B149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99" spans="1:2" x14ac:dyDescent="0.35">
      <c r="A1499" s="1" t="str">
        <f t="shared" si="23"/>
        <v/>
      </c>
      <c r="B149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00" spans="1:2" x14ac:dyDescent="0.35">
      <c r="A1500" s="1" t="str">
        <f t="shared" si="23"/>
        <v/>
      </c>
      <c r="B150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01" spans="1:2" x14ac:dyDescent="0.35">
      <c r="A1501" s="1" t="str">
        <f t="shared" si="23"/>
        <v/>
      </c>
      <c r="B150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02" spans="1:2" x14ac:dyDescent="0.35">
      <c r="A1502" s="1" t="str">
        <f t="shared" si="23"/>
        <v/>
      </c>
      <c r="B150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03" spans="1:2" x14ac:dyDescent="0.35">
      <c r="A1503" s="1" t="str">
        <f t="shared" si="23"/>
        <v/>
      </c>
      <c r="B150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04" spans="1:2" x14ac:dyDescent="0.35">
      <c r="A1504" s="1" t="str">
        <f t="shared" si="23"/>
        <v/>
      </c>
      <c r="B150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05" spans="1:2" x14ac:dyDescent="0.35">
      <c r="A1505" s="1" t="str">
        <f t="shared" si="23"/>
        <v/>
      </c>
      <c r="B150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06" spans="1:2" x14ac:dyDescent="0.35">
      <c r="A1506" s="1" t="str">
        <f t="shared" si="23"/>
        <v/>
      </c>
      <c r="B150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07" spans="1:2" x14ac:dyDescent="0.35">
      <c r="A1507" s="1" t="str">
        <f t="shared" si="23"/>
        <v/>
      </c>
      <c r="B150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08" spans="1:2" x14ac:dyDescent="0.35">
      <c r="A1508" s="1" t="str">
        <f t="shared" si="23"/>
        <v/>
      </c>
      <c r="B150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09" spans="1:2" x14ac:dyDescent="0.35">
      <c r="A1509" s="1" t="str">
        <f t="shared" si="23"/>
        <v/>
      </c>
      <c r="B150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10" spans="1:2" x14ac:dyDescent="0.35">
      <c r="A1510" s="1" t="str">
        <f t="shared" si="23"/>
        <v/>
      </c>
      <c r="B151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11" spans="1:2" x14ac:dyDescent="0.35">
      <c r="A1511" s="1" t="str">
        <f t="shared" si="23"/>
        <v/>
      </c>
      <c r="B151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12" spans="1:2" x14ac:dyDescent="0.35">
      <c r="A1512" s="1" t="str">
        <f t="shared" si="23"/>
        <v/>
      </c>
      <c r="B151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13" spans="1:2" x14ac:dyDescent="0.35">
      <c r="A1513" s="1" t="str">
        <f t="shared" si="23"/>
        <v/>
      </c>
      <c r="B151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14" spans="1:2" x14ac:dyDescent="0.35">
      <c r="A1514" s="1" t="str">
        <f t="shared" si="23"/>
        <v/>
      </c>
      <c r="B151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15" spans="1:2" x14ac:dyDescent="0.35">
      <c r="A1515" s="1" t="str">
        <f t="shared" si="23"/>
        <v/>
      </c>
      <c r="B151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16" spans="1:2" x14ac:dyDescent="0.35">
      <c r="A1516" s="1" t="str">
        <f t="shared" si="23"/>
        <v/>
      </c>
      <c r="B151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17" spans="1:2" x14ac:dyDescent="0.35">
      <c r="A1517" s="1" t="str">
        <f t="shared" si="23"/>
        <v/>
      </c>
      <c r="B151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18" spans="1:2" x14ac:dyDescent="0.35">
      <c r="A1518" s="1" t="str">
        <f t="shared" si="23"/>
        <v/>
      </c>
      <c r="B151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19" spans="1:2" x14ac:dyDescent="0.35">
      <c r="A1519" s="1" t="str">
        <f t="shared" si="23"/>
        <v/>
      </c>
      <c r="B151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20" spans="1:2" x14ac:dyDescent="0.35">
      <c r="A1520" s="1" t="str">
        <f t="shared" si="23"/>
        <v/>
      </c>
      <c r="B152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21" spans="1:2" x14ac:dyDescent="0.35">
      <c r="A1521" s="1" t="str">
        <f t="shared" si="23"/>
        <v/>
      </c>
      <c r="B152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22" spans="1:2" x14ac:dyDescent="0.35">
      <c r="A1522" s="1" t="str">
        <f t="shared" si="23"/>
        <v/>
      </c>
      <c r="B152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23" spans="1:2" x14ac:dyDescent="0.35">
      <c r="A1523" s="1" t="str">
        <f t="shared" si="23"/>
        <v/>
      </c>
      <c r="B152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24" spans="1:2" x14ac:dyDescent="0.35">
      <c r="A1524" s="1" t="str">
        <f t="shared" si="23"/>
        <v/>
      </c>
      <c r="B152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25" spans="1:2" x14ac:dyDescent="0.35">
      <c r="A1525" s="1" t="str">
        <f t="shared" si="23"/>
        <v/>
      </c>
      <c r="B152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26" spans="1:2" x14ac:dyDescent="0.35">
      <c r="A1526" s="1" t="str">
        <f t="shared" si="23"/>
        <v/>
      </c>
      <c r="B152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27" spans="1:2" x14ac:dyDescent="0.35">
      <c r="A1527" s="1" t="str">
        <f t="shared" si="23"/>
        <v/>
      </c>
      <c r="B152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28" spans="1:2" x14ac:dyDescent="0.35">
      <c r="A1528" s="1" t="str">
        <f t="shared" si="23"/>
        <v/>
      </c>
      <c r="B152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29" spans="1:2" x14ac:dyDescent="0.35">
      <c r="A1529" s="1" t="str">
        <f t="shared" si="23"/>
        <v/>
      </c>
      <c r="B152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30" spans="1:2" x14ac:dyDescent="0.35">
      <c r="A1530" s="1" t="str">
        <f t="shared" si="23"/>
        <v/>
      </c>
      <c r="B153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31" spans="1:2" x14ac:dyDescent="0.35">
      <c r="A1531" s="1" t="str">
        <f t="shared" si="23"/>
        <v/>
      </c>
      <c r="B153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32" spans="1:2" x14ac:dyDescent="0.35">
      <c r="A1532" s="1" t="str">
        <f t="shared" si="23"/>
        <v/>
      </c>
      <c r="B153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33" spans="1:2" x14ac:dyDescent="0.35">
      <c r="A1533" s="1" t="str">
        <f t="shared" si="23"/>
        <v/>
      </c>
      <c r="B153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34" spans="1:2" x14ac:dyDescent="0.35">
      <c r="A1534" s="1" t="str">
        <f t="shared" si="23"/>
        <v/>
      </c>
      <c r="B153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35" spans="1:2" x14ac:dyDescent="0.35">
      <c r="A1535" s="1" t="str">
        <f t="shared" si="23"/>
        <v/>
      </c>
      <c r="B153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36" spans="1:2" x14ac:dyDescent="0.35">
      <c r="A1536" s="1" t="str">
        <f t="shared" si="23"/>
        <v/>
      </c>
      <c r="B153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37" spans="1:2" x14ac:dyDescent="0.35">
      <c r="A1537" s="1" t="str">
        <f t="shared" si="23"/>
        <v/>
      </c>
      <c r="B153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38" spans="1:2" x14ac:dyDescent="0.35">
      <c r="A1538" s="1" t="str">
        <f t="shared" ref="A1538:A1557" si="24">IFERROR(LEFT(RIGHT(C1538,LEN(C1538)-SEARCH("@",C1538)),SEARCH("/",RIGHT(C1538,LEN(C1538)-SEARCH("@",C1538)-1))),"")</f>
        <v/>
      </c>
      <c r="B153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39" spans="1:2" x14ac:dyDescent="0.35">
      <c r="A1539" s="1" t="str">
        <f t="shared" si="24"/>
        <v/>
      </c>
      <c r="B153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40" spans="1:2" x14ac:dyDescent="0.35">
      <c r="A1540" s="1" t="str">
        <f t="shared" si="24"/>
        <v/>
      </c>
      <c r="B154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41" spans="1:2" x14ac:dyDescent="0.35">
      <c r="A1541" s="1" t="str">
        <f t="shared" si="24"/>
        <v/>
      </c>
      <c r="B154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42" spans="1:2" x14ac:dyDescent="0.35">
      <c r="A1542" s="1" t="str">
        <f t="shared" si="24"/>
        <v/>
      </c>
      <c r="B154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43" spans="1:2" x14ac:dyDescent="0.35">
      <c r="A1543" s="1" t="str">
        <f t="shared" si="24"/>
        <v/>
      </c>
      <c r="B154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44" spans="1:2" x14ac:dyDescent="0.35">
      <c r="A1544" s="1" t="str">
        <f t="shared" si="24"/>
        <v/>
      </c>
      <c r="B154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45" spans="1:2" x14ac:dyDescent="0.35">
      <c r="A1545" s="1" t="str">
        <f t="shared" si="24"/>
        <v/>
      </c>
      <c r="B154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46" spans="1:2" x14ac:dyDescent="0.35">
      <c r="A1546" s="1" t="str">
        <f t="shared" si="24"/>
        <v/>
      </c>
      <c r="B154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47" spans="1:2" x14ac:dyDescent="0.35">
      <c r="A1547" s="1" t="str">
        <f t="shared" si="24"/>
        <v/>
      </c>
      <c r="B154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48" spans="1:2" x14ac:dyDescent="0.35">
      <c r="A1548" s="1" t="str">
        <f t="shared" si="24"/>
        <v/>
      </c>
      <c r="B154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49" spans="1:2" x14ac:dyDescent="0.35">
      <c r="A1549" s="1" t="str">
        <f t="shared" si="24"/>
        <v/>
      </c>
      <c r="B154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50" spans="1:2" x14ac:dyDescent="0.35">
      <c r="A1550" s="1" t="str">
        <f t="shared" si="24"/>
        <v/>
      </c>
      <c r="B155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51" spans="1:2" x14ac:dyDescent="0.35">
      <c r="A1551" s="1" t="str">
        <f t="shared" si="24"/>
        <v/>
      </c>
      <c r="B155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52" spans="1:2" x14ac:dyDescent="0.35">
      <c r="A1552" s="1" t="str">
        <f t="shared" si="24"/>
        <v/>
      </c>
      <c r="B155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53" spans="1:2" x14ac:dyDescent="0.35">
      <c r="A1553" s="1" t="str">
        <f t="shared" si="24"/>
        <v/>
      </c>
      <c r="B155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54" spans="1:2" x14ac:dyDescent="0.35">
      <c r="A1554" s="1" t="str">
        <f t="shared" si="24"/>
        <v/>
      </c>
      <c r="B155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55" spans="1:2" x14ac:dyDescent="0.35">
      <c r="A1555" s="1" t="str">
        <f t="shared" si="24"/>
        <v/>
      </c>
      <c r="B155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56" spans="1:2" x14ac:dyDescent="0.35">
      <c r="A1556" s="1" t="str">
        <f t="shared" si="24"/>
        <v/>
      </c>
      <c r="B155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57" spans="1:2" x14ac:dyDescent="0.35">
      <c r="A1557" s="1" t="str">
        <f t="shared" si="24"/>
        <v/>
      </c>
      <c r="B155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sheetData>
  <conditionalFormatting sqref="A1:J2 A1558:XFD1048576 AI18:XFD38 C39:XFD1557 C3:J10 EO1:XFD10 C19:K38 K5 C11:K13 C14:J18 M15:XFD17 K1:L4 A3:B1557 AH11:XFD14">
    <cfRule type="containsText" dxfId="34" priority="1" operator="containsText" text="ERREUR">
      <formula>NOT(ISERROR(SEARCH("ERREUR",A1)))</formula>
    </cfRule>
    <cfRule type="containsText" dxfId="33" priority="2" operator="containsText" text="OK">
      <formula>NOT(ISERROR(SEARCH("OK",A1)))</formula>
    </cfRule>
  </conditionalFormatting>
  <pageMargins left="0.7" right="0.7" top="0.75" bottom="0.75" header="0.3" footer="0.3"/>
  <tableParts count="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V74"/>
  <sheetViews>
    <sheetView showGridLines="0" zoomScale="85" zoomScaleNormal="85" zoomScaleSheetLayoutView="40" zoomScalePageLayoutView="30" workbookViewId="0">
      <pane xSplit="1" topLeftCell="N1" activePane="topRight" state="frozen"/>
      <selection pane="topRight" activeCell="R5" sqref="R5:V12"/>
    </sheetView>
  </sheetViews>
  <sheetFormatPr baseColWidth="10" defaultColWidth="9.1796875" defaultRowHeight="14.5" x14ac:dyDescent="0.35"/>
  <cols>
    <col min="1" max="1" width="29.54296875" style="1" customWidth="1"/>
    <col min="2" max="2" width="14.81640625" style="1" customWidth="1"/>
    <col min="3" max="5" width="25.81640625" style="1" bestFit="1" customWidth="1"/>
    <col min="6" max="8" width="26.453125" style="1" bestFit="1" customWidth="1"/>
    <col min="9" max="9" width="26.453125" style="1" customWidth="1"/>
    <col min="10" max="10" width="25.81640625" style="1" bestFit="1" customWidth="1"/>
    <col min="11" max="11" width="26.453125" style="1" bestFit="1" customWidth="1"/>
    <col min="12" max="13" width="26.453125" style="1" customWidth="1"/>
    <col min="14" max="14" width="18.26953125" bestFit="1" customWidth="1"/>
    <col min="15" max="15" width="14.81640625" customWidth="1"/>
    <col min="16" max="16" width="17.7265625" customWidth="1"/>
    <col min="17" max="18" width="25.81640625" bestFit="1" customWidth="1"/>
    <col min="19" max="22" width="25.81640625" style="1" customWidth="1"/>
  </cols>
  <sheetData>
    <row r="1" spans="1:22" s="1" customFormat="1" ht="26.5" thickBot="1" x14ac:dyDescent="0.65">
      <c r="A1" s="216" t="s">
        <v>40</v>
      </c>
      <c r="B1" s="217"/>
      <c r="C1" s="217"/>
      <c r="D1" s="217"/>
      <c r="E1" s="217"/>
      <c r="F1" s="217"/>
      <c r="G1" s="217"/>
      <c r="H1" s="217"/>
      <c r="I1" s="217"/>
      <c r="J1" s="217"/>
      <c r="K1" s="217"/>
      <c r="L1" s="217"/>
      <c r="M1" s="217"/>
      <c r="N1" s="217"/>
      <c r="O1" s="217"/>
      <c r="P1" s="217"/>
      <c r="Q1" s="217"/>
      <c r="R1" s="217"/>
      <c r="S1" s="217"/>
      <c r="T1" s="217"/>
      <c r="U1" s="217"/>
      <c r="V1" s="217"/>
    </row>
    <row r="2" spans="1:22" ht="15" thickBot="1" x14ac:dyDescent="0.4">
      <c r="A2"/>
      <c r="B2"/>
      <c r="C2"/>
      <c r="D2"/>
      <c r="E2"/>
      <c r="F2"/>
      <c r="G2"/>
      <c r="H2"/>
      <c r="I2"/>
      <c r="J2"/>
      <c r="K2"/>
      <c r="L2"/>
      <c r="M2"/>
      <c r="S2"/>
      <c r="T2"/>
      <c r="U2"/>
      <c r="V2"/>
    </row>
    <row r="3" spans="1:22" ht="15" thickBot="1" x14ac:dyDescent="0.4">
      <c r="A3" s="51" t="s">
        <v>17</v>
      </c>
      <c r="B3" s="224" t="s">
        <v>6</v>
      </c>
      <c r="C3" s="225"/>
      <c r="D3" s="225"/>
      <c r="E3" s="225"/>
      <c r="F3" s="225"/>
      <c r="G3" s="225"/>
      <c r="H3" s="225"/>
      <c r="I3" s="225"/>
      <c r="J3" s="225"/>
      <c r="K3" s="225"/>
      <c r="L3" s="225"/>
      <c r="M3" s="225"/>
      <c r="O3" s="224" t="s">
        <v>3</v>
      </c>
      <c r="P3" s="225"/>
      <c r="Q3" s="225"/>
      <c r="R3" s="225"/>
      <c r="S3" s="225"/>
      <c r="T3" s="225"/>
      <c r="U3" s="225"/>
      <c r="V3" s="225"/>
    </row>
    <row r="4" spans="1:22" x14ac:dyDescent="0.35">
      <c r="A4" s="34" t="s">
        <v>41</v>
      </c>
      <c r="B4" s="35" t="str">
        <f>'Page de garde'!A7</f>
        <v>Témoin solvant</v>
      </c>
      <c r="C4" s="35" t="str">
        <f>'Page de garde'!A9</f>
        <v>EE2-33,8ng/L</v>
      </c>
      <c r="D4" s="35" t="str">
        <f>'Page de garde'!A10</f>
        <v>EE2-50,6ng/L</v>
      </c>
      <c r="E4" s="35" t="str">
        <f>'Page de garde'!A11</f>
        <v>EE2-76ng/L</v>
      </c>
      <c r="F4" s="35" t="str">
        <f>'Page de garde'!A12</f>
        <v>EE2-114ng/L</v>
      </c>
      <c r="G4" s="35" t="str">
        <f>'Page de garde'!A13</f>
        <v>EE2-170,9ng/L</v>
      </c>
      <c r="H4" s="35" t="str">
        <f>'Page de garde'!A14</f>
        <v>EE2-488ng/L</v>
      </c>
      <c r="I4" s="35" t="str">
        <f>'Page de garde'!A15</f>
        <v>FAD-5.4µg/L</v>
      </c>
      <c r="J4" s="35" t="str">
        <f>'Page de garde'!A16</f>
        <v>FAD-11µg/L</v>
      </c>
      <c r="K4" s="35" t="str">
        <f>'Page de garde'!A17</f>
        <v>FAD-22µg/L</v>
      </c>
      <c r="L4" s="35" t="str">
        <f>'Page de garde'!A18</f>
        <v>FAD-44µg/L</v>
      </c>
      <c r="M4" s="35" t="str">
        <f>'Page de garde'!A19</f>
        <v>FAD-87µg/L</v>
      </c>
      <c r="N4" s="3"/>
      <c r="O4" s="36" t="str">
        <f>'Page de garde'!A36</f>
        <v>Testo -30µg/L</v>
      </c>
      <c r="P4" s="36" t="str">
        <f>'Page de garde'!A37</f>
        <v>Testo 30µg/L + EE2 -64ng/L</v>
      </c>
      <c r="Q4" s="36" t="str">
        <f>'Page de garde'!A38</f>
        <v>Testo 30µg/L + FAD-10mg/L</v>
      </c>
      <c r="R4" s="36" t="str">
        <f>'Page de garde'!A39</f>
        <v>FAD-5,4µg/L + Testostérone</v>
      </c>
      <c r="S4" s="36" t="str">
        <f>'Page de garde'!A40</f>
        <v>FAD-11µg/L + Testostérone</v>
      </c>
      <c r="T4" s="36" t="str">
        <f>'Page de garde'!A41</f>
        <v>FAD-22µg/L + Testostérone</v>
      </c>
      <c r="U4" s="36" t="str">
        <f>'Page de garde'!A42</f>
        <v>FAD-44µg/L + Testostérone</v>
      </c>
      <c r="V4" s="36" t="str">
        <f>'Page de garde'!A43</f>
        <v>FAD-87µg/L + Testostérone</v>
      </c>
    </row>
    <row r="5" spans="1:22" ht="16.5" x14ac:dyDescent="0.35">
      <c r="A5" s="220" t="s">
        <v>33</v>
      </c>
      <c r="B5" s="73"/>
      <c r="C5" s="13">
        <v>94573.333333333328</v>
      </c>
      <c r="D5" s="32">
        <v>187142</v>
      </c>
      <c r="E5" s="32">
        <v>280237</v>
      </c>
      <c r="F5" s="32">
        <v>853451</v>
      </c>
      <c r="G5" s="32">
        <v>2129117</v>
      </c>
      <c r="H5" s="32">
        <v>4171570.3333333335</v>
      </c>
      <c r="I5" s="32">
        <v>11665.666666666666</v>
      </c>
      <c r="J5" s="16">
        <v>219190</v>
      </c>
      <c r="K5" s="13"/>
      <c r="L5" s="13">
        <v>50044.333333333336</v>
      </c>
      <c r="M5" s="13">
        <v>166774</v>
      </c>
      <c r="N5" s="3"/>
      <c r="O5" s="32">
        <v>724233.66666666663</v>
      </c>
      <c r="P5" s="13">
        <v>3923338.3333333335</v>
      </c>
      <c r="Q5" s="13">
        <v>59684.333333333336</v>
      </c>
      <c r="R5" s="4">
        <v>216602</v>
      </c>
      <c r="S5" s="32">
        <v>245809</v>
      </c>
      <c r="T5" s="32">
        <v>111891.5</v>
      </c>
      <c r="U5" s="32">
        <v>221468.5</v>
      </c>
      <c r="V5" s="32">
        <v>270662</v>
      </c>
    </row>
    <row r="6" spans="1:22" ht="16.5" x14ac:dyDescent="0.35">
      <c r="A6" s="221"/>
      <c r="B6" s="73">
        <v>274743</v>
      </c>
      <c r="C6" s="13">
        <v>218368.33333333334</v>
      </c>
      <c r="D6" s="32">
        <v>1344831.6666666667</v>
      </c>
      <c r="E6" s="32">
        <v>411458</v>
      </c>
      <c r="F6" s="32">
        <v>2262696</v>
      </c>
      <c r="G6" s="32">
        <v>2429058.3333333335</v>
      </c>
      <c r="H6" s="32">
        <v>3502579.3333333335</v>
      </c>
      <c r="I6" s="32">
        <v>92597.666666666672</v>
      </c>
      <c r="J6" s="16">
        <v>179953.33333333334</v>
      </c>
      <c r="K6" s="13">
        <v>109613.33333333333</v>
      </c>
      <c r="L6" s="13">
        <v>132115.66666666666</v>
      </c>
      <c r="M6" s="13">
        <v>131257.33333333334</v>
      </c>
      <c r="N6" s="3"/>
      <c r="O6" s="32">
        <v>1986799.6666666667</v>
      </c>
      <c r="P6" s="13">
        <v>3912985</v>
      </c>
      <c r="Q6" s="13">
        <v>94493.666666666672</v>
      </c>
      <c r="R6" s="4">
        <v>270236.66666666669</v>
      </c>
      <c r="S6" s="32">
        <v>459635</v>
      </c>
      <c r="T6" s="32">
        <v>340750</v>
      </c>
      <c r="U6" s="32">
        <v>235607.33333333334</v>
      </c>
      <c r="V6" s="32">
        <v>75827.333333333328</v>
      </c>
    </row>
    <row r="7" spans="1:22" ht="16.5" x14ac:dyDescent="0.35">
      <c r="A7" s="221"/>
      <c r="B7" s="73">
        <v>249731.66666666666</v>
      </c>
      <c r="C7" s="13">
        <v>138229.66666666666</v>
      </c>
      <c r="D7" s="32">
        <v>78826.666666666672</v>
      </c>
      <c r="E7" s="32">
        <v>1014521.6666666666</v>
      </c>
      <c r="F7" s="32">
        <v>999503.33333333337</v>
      </c>
      <c r="G7" s="32">
        <v>3440083</v>
      </c>
      <c r="H7" s="32">
        <v>3891142.5</v>
      </c>
      <c r="I7" s="32">
        <v>468943.33333333331</v>
      </c>
      <c r="J7" s="16">
        <v>364074.5</v>
      </c>
      <c r="K7" s="13">
        <v>207099</v>
      </c>
      <c r="L7" s="13">
        <v>164163.66666666666</v>
      </c>
      <c r="M7" s="13">
        <v>225080.33333333334</v>
      </c>
      <c r="N7" s="3"/>
      <c r="O7" s="32">
        <v>3366073</v>
      </c>
      <c r="P7" s="13">
        <v>4483711.333333333</v>
      </c>
      <c r="Q7" s="13">
        <v>59223</v>
      </c>
      <c r="R7" s="4">
        <v>21716.333333333332</v>
      </c>
      <c r="S7" s="32">
        <v>145663</v>
      </c>
      <c r="T7" s="32">
        <v>59597.666666666664</v>
      </c>
      <c r="U7" s="32">
        <v>37304.333333333336</v>
      </c>
      <c r="V7" s="32">
        <v>428611</v>
      </c>
    </row>
    <row r="8" spans="1:22" ht="16.5" x14ac:dyDescent="0.35">
      <c r="A8" s="221"/>
      <c r="B8" s="73">
        <v>145771</v>
      </c>
      <c r="C8" s="13">
        <v>171705.33333333334</v>
      </c>
      <c r="D8" s="32">
        <v>191792.33333333334</v>
      </c>
      <c r="E8" s="32">
        <v>696836</v>
      </c>
      <c r="F8" s="32">
        <v>3496688.6666666665</v>
      </c>
      <c r="G8" s="32">
        <v>3562422</v>
      </c>
      <c r="H8" s="32">
        <v>3758107.6666666665</v>
      </c>
      <c r="I8" s="32">
        <v>7429.5</v>
      </c>
      <c r="J8" s="16">
        <v>0</v>
      </c>
      <c r="K8" s="13">
        <v>82063.666666666672</v>
      </c>
      <c r="L8" s="13">
        <v>136463</v>
      </c>
      <c r="M8" s="13">
        <v>155800</v>
      </c>
      <c r="N8" s="3"/>
      <c r="O8" s="32">
        <v>1698523.6666666667</v>
      </c>
      <c r="P8" s="13">
        <v>2204854</v>
      </c>
      <c r="Q8" s="13">
        <v>178872</v>
      </c>
      <c r="R8" s="4">
        <v>194561</v>
      </c>
      <c r="S8" s="32">
        <v>118099</v>
      </c>
      <c r="T8" s="32">
        <v>204846</v>
      </c>
      <c r="U8" s="32">
        <v>298536</v>
      </c>
      <c r="V8" s="32">
        <v>109987.66666666667</v>
      </c>
    </row>
    <row r="9" spans="1:22" ht="16.5" x14ac:dyDescent="0.35">
      <c r="A9" s="221"/>
      <c r="B9" s="73">
        <v>23857.666666666668</v>
      </c>
      <c r="C9" s="13">
        <v>260272.66666666666</v>
      </c>
      <c r="D9" s="32">
        <v>56980.333333333336</v>
      </c>
      <c r="E9" s="32">
        <v>799556.66666666663</v>
      </c>
      <c r="F9" s="32">
        <v>1513725</v>
      </c>
      <c r="G9" s="32">
        <v>2736780</v>
      </c>
      <c r="H9" s="32">
        <v>4961775</v>
      </c>
      <c r="I9" s="32">
        <v>223667.33333333334</v>
      </c>
      <c r="J9" s="16">
        <v>64486</v>
      </c>
      <c r="K9" s="13">
        <v>224727.33333333334</v>
      </c>
      <c r="L9" s="13">
        <v>24384.333333333332</v>
      </c>
      <c r="M9" s="13">
        <v>152317.5</v>
      </c>
      <c r="N9" s="3"/>
      <c r="O9" s="32">
        <v>192722.33333333334</v>
      </c>
      <c r="P9" s="13">
        <v>4702836.666666667</v>
      </c>
      <c r="Q9" s="13">
        <v>152707</v>
      </c>
      <c r="R9" s="4">
        <v>145122.33333333334</v>
      </c>
      <c r="S9" s="32">
        <v>327058.66666666669</v>
      </c>
      <c r="T9" s="32">
        <v>149657.33333333334</v>
      </c>
      <c r="U9" s="32">
        <v>212329.5</v>
      </c>
      <c r="V9" s="32"/>
    </row>
    <row r="10" spans="1:22" ht="16.5" x14ac:dyDescent="0.35">
      <c r="A10" s="221"/>
      <c r="B10" s="73">
        <v>61155</v>
      </c>
      <c r="C10" s="13">
        <v>215109.33333333334</v>
      </c>
      <c r="D10" s="32"/>
      <c r="E10" s="32">
        <v>163067.66666666666</v>
      </c>
      <c r="F10" s="32">
        <v>2032301.6666666667</v>
      </c>
      <c r="G10" s="32">
        <v>4106169</v>
      </c>
      <c r="H10" s="32">
        <v>4917830.666666667</v>
      </c>
      <c r="I10" s="32">
        <v>4996.666666666667</v>
      </c>
      <c r="J10" s="16">
        <v>324027</v>
      </c>
      <c r="K10" s="13">
        <v>41320.333333333336</v>
      </c>
      <c r="L10" s="13">
        <v>260993.33333333334</v>
      </c>
      <c r="M10" s="13">
        <v>115492.5</v>
      </c>
      <c r="N10" s="3"/>
      <c r="O10" s="32">
        <v>1376382.3333333333</v>
      </c>
      <c r="P10" s="13">
        <v>3265714</v>
      </c>
      <c r="Q10" s="13">
        <v>266372.33333333331</v>
      </c>
      <c r="R10" s="4">
        <v>139794</v>
      </c>
      <c r="S10" s="32">
        <v>155530</v>
      </c>
      <c r="T10" s="32">
        <v>0</v>
      </c>
      <c r="U10" s="32">
        <v>95074</v>
      </c>
      <c r="V10" s="32">
        <v>127887</v>
      </c>
    </row>
    <row r="11" spans="1:22" ht="16.5" x14ac:dyDescent="0.35">
      <c r="A11" s="221"/>
      <c r="B11" s="73">
        <v>440</v>
      </c>
      <c r="C11" s="13">
        <v>85568.333333333328</v>
      </c>
      <c r="D11" s="32">
        <v>144509</v>
      </c>
      <c r="E11" s="32">
        <v>994283.33333333337</v>
      </c>
      <c r="F11" s="32">
        <v>2373686.3333333335</v>
      </c>
      <c r="G11" s="32">
        <v>3742541.6666666665</v>
      </c>
      <c r="H11" s="32">
        <v>4126154.6666666665</v>
      </c>
      <c r="I11" s="32">
        <v>284379</v>
      </c>
      <c r="J11" s="16">
        <v>121113</v>
      </c>
      <c r="K11" s="13">
        <v>116498.33333333333</v>
      </c>
      <c r="L11" s="13">
        <v>113859.66666666667</v>
      </c>
      <c r="M11" s="13">
        <v>187192.33333333334</v>
      </c>
      <c r="N11" s="3"/>
      <c r="O11" s="32">
        <v>1717795.6666666667</v>
      </c>
      <c r="P11" s="13">
        <v>4801562.666666667</v>
      </c>
      <c r="Q11" s="13">
        <v>70946</v>
      </c>
      <c r="R11" s="4">
        <v>246829.5</v>
      </c>
      <c r="S11" s="32">
        <v>466679.33333333331</v>
      </c>
      <c r="T11" s="32">
        <v>251404</v>
      </c>
      <c r="U11" s="32">
        <v>326467</v>
      </c>
      <c r="V11" s="32">
        <v>317256.5</v>
      </c>
    </row>
    <row r="12" spans="1:22" ht="16.5" x14ac:dyDescent="0.35">
      <c r="A12" s="221"/>
      <c r="B12" s="73">
        <v>189593.33333333334</v>
      </c>
      <c r="C12" s="13">
        <v>202506</v>
      </c>
      <c r="D12" s="32">
        <v>61155</v>
      </c>
      <c r="E12" s="32">
        <v>74785.5</v>
      </c>
      <c r="F12" s="32">
        <v>2684284.6666666665</v>
      </c>
      <c r="G12" s="32"/>
      <c r="H12" s="32">
        <v>2066065.6666666667</v>
      </c>
      <c r="I12" s="32"/>
      <c r="J12" s="16">
        <v>78005</v>
      </c>
      <c r="K12" s="13">
        <v>216093</v>
      </c>
      <c r="L12" s="13">
        <v>49301.666666666664</v>
      </c>
      <c r="M12" s="13">
        <v>226378.33333333334</v>
      </c>
      <c r="N12" s="3"/>
      <c r="O12" s="32"/>
      <c r="P12" s="13">
        <v>2435663.3333333335</v>
      </c>
      <c r="Q12" s="13">
        <v>137674.66666666666</v>
      </c>
      <c r="R12" s="4">
        <v>77579</v>
      </c>
      <c r="S12" s="32">
        <v>415906.66666666669</v>
      </c>
      <c r="T12" s="32">
        <v>365328.5</v>
      </c>
      <c r="U12" s="32">
        <v>8536.6666666666661</v>
      </c>
      <c r="V12" s="32">
        <v>77305.333333333328</v>
      </c>
    </row>
    <row r="13" spans="1:22" ht="16.5" x14ac:dyDescent="0.35">
      <c r="A13" s="221"/>
      <c r="B13" s="14"/>
      <c r="C13" s="13"/>
      <c r="D13" s="16"/>
      <c r="E13" s="16"/>
      <c r="F13" s="16"/>
      <c r="G13" s="16"/>
      <c r="H13" s="16"/>
      <c r="I13" s="32"/>
      <c r="J13" s="16"/>
      <c r="K13" s="13"/>
      <c r="L13" s="13"/>
      <c r="M13" s="13"/>
      <c r="N13" s="3"/>
      <c r="O13" s="32">
        <v>2719721.3333333335</v>
      </c>
      <c r="P13" s="13"/>
      <c r="Q13" s="13"/>
      <c r="R13" s="4"/>
      <c r="S13" s="32"/>
      <c r="T13" s="32"/>
      <c r="U13" s="32"/>
      <c r="V13" s="32"/>
    </row>
    <row r="14" spans="1:22" ht="16.5" x14ac:dyDescent="0.35">
      <c r="A14" s="221"/>
      <c r="B14" s="14"/>
      <c r="C14" s="16"/>
      <c r="D14" s="16"/>
      <c r="E14" s="16"/>
      <c r="F14" s="16"/>
      <c r="G14" s="16"/>
      <c r="H14" s="16"/>
      <c r="I14" s="32"/>
      <c r="J14" s="16"/>
      <c r="K14" s="13"/>
      <c r="L14" s="13"/>
      <c r="M14" s="13"/>
      <c r="N14" s="3"/>
      <c r="O14" s="32">
        <v>2314600.3333333335</v>
      </c>
      <c r="P14" s="13"/>
      <c r="Q14" s="13"/>
      <c r="R14" s="4"/>
      <c r="S14" s="32"/>
      <c r="T14" s="32"/>
      <c r="U14" s="32"/>
      <c r="V14" s="32"/>
    </row>
    <row r="15" spans="1:22" ht="16.5" x14ac:dyDescent="0.35">
      <c r="A15" s="221"/>
      <c r="B15" s="14"/>
      <c r="C15" s="16"/>
      <c r="D15" s="16"/>
      <c r="E15" s="16"/>
      <c r="F15" s="16"/>
      <c r="G15" s="16"/>
      <c r="H15" s="16"/>
      <c r="I15" s="32"/>
      <c r="J15" s="16"/>
      <c r="K15" s="13"/>
      <c r="L15" s="13"/>
      <c r="M15" s="13"/>
      <c r="N15" s="3"/>
      <c r="O15" s="32">
        <v>2557252</v>
      </c>
      <c r="P15" s="13"/>
      <c r="Q15" s="13"/>
      <c r="R15" s="4"/>
      <c r="S15" s="32"/>
      <c r="T15" s="32"/>
      <c r="U15" s="32"/>
      <c r="V15" s="32"/>
    </row>
    <row r="16" spans="1:22" ht="16.5" x14ac:dyDescent="0.35">
      <c r="A16" s="221"/>
      <c r="B16" s="14"/>
      <c r="C16" s="16"/>
      <c r="D16" s="16"/>
      <c r="E16" s="16"/>
      <c r="F16" s="16"/>
      <c r="G16" s="16"/>
      <c r="H16" s="16"/>
      <c r="I16" s="32"/>
      <c r="J16" s="16"/>
      <c r="K16" s="13"/>
      <c r="L16" s="13"/>
      <c r="M16" s="13"/>
      <c r="N16" s="3"/>
      <c r="O16" s="32">
        <v>2630339.3333333335</v>
      </c>
      <c r="P16" s="13"/>
      <c r="Q16" s="13"/>
      <c r="R16" s="4"/>
      <c r="S16" s="32"/>
      <c r="T16" s="32"/>
      <c r="U16" s="32"/>
      <c r="V16" s="32"/>
    </row>
    <row r="17" spans="1:22" s="1" customFormat="1" ht="16.5" x14ac:dyDescent="0.35">
      <c r="A17" s="221"/>
      <c r="B17" s="14"/>
      <c r="C17" s="32"/>
      <c r="D17" s="32"/>
      <c r="E17" s="32"/>
      <c r="F17" s="32"/>
      <c r="G17" s="32"/>
      <c r="H17" s="32"/>
      <c r="I17" s="32"/>
      <c r="J17" s="32"/>
      <c r="K17" s="13"/>
      <c r="L17" s="13"/>
      <c r="M17" s="13"/>
      <c r="N17" s="3"/>
      <c r="O17" s="32">
        <v>2193357.5</v>
      </c>
      <c r="P17" s="13"/>
      <c r="Q17" s="13"/>
      <c r="R17" s="32"/>
      <c r="S17" s="32"/>
      <c r="T17" s="32"/>
      <c r="U17" s="32"/>
      <c r="V17" s="32"/>
    </row>
    <row r="18" spans="1:22" s="1" customFormat="1" ht="16.5" x14ac:dyDescent="0.35">
      <c r="A18" s="221"/>
      <c r="B18" s="14"/>
      <c r="C18" s="32"/>
      <c r="D18" s="32"/>
      <c r="E18" s="32"/>
      <c r="F18" s="32"/>
      <c r="G18" s="32"/>
      <c r="H18" s="32"/>
      <c r="I18" s="32"/>
      <c r="J18" s="32"/>
      <c r="K18" s="13"/>
      <c r="L18" s="13"/>
      <c r="M18" s="13"/>
      <c r="N18" s="3"/>
      <c r="O18" s="32">
        <v>1415006</v>
      </c>
      <c r="P18" s="13"/>
      <c r="Q18" s="13"/>
      <c r="R18" s="32"/>
      <c r="S18" s="32"/>
      <c r="T18" s="32"/>
      <c r="U18" s="32"/>
      <c r="V18" s="32"/>
    </row>
    <row r="19" spans="1:22" s="1" customFormat="1" ht="16.5" x14ac:dyDescent="0.35">
      <c r="A19" s="221"/>
      <c r="B19" s="14"/>
      <c r="C19" s="32"/>
      <c r="D19" s="32"/>
      <c r="E19" s="32"/>
      <c r="F19" s="32"/>
      <c r="G19" s="32"/>
      <c r="H19" s="32"/>
      <c r="I19" s="32"/>
      <c r="J19" s="32"/>
      <c r="K19" s="13"/>
      <c r="L19" s="13"/>
      <c r="M19" s="13"/>
      <c r="N19" s="3"/>
      <c r="O19" s="32">
        <v>311802.33333333331</v>
      </c>
      <c r="P19" s="13"/>
      <c r="Q19" s="13"/>
      <c r="R19" s="32"/>
      <c r="S19" s="32"/>
      <c r="T19" s="32"/>
      <c r="U19" s="32"/>
      <c r="V19" s="32"/>
    </row>
    <row r="20" spans="1:22" ht="16.5" x14ac:dyDescent="0.35">
      <c r="A20" s="221"/>
      <c r="B20" s="14"/>
      <c r="C20" s="16"/>
      <c r="D20" s="16"/>
      <c r="E20" s="16"/>
      <c r="F20" s="16"/>
      <c r="G20" s="16"/>
      <c r="H20" s="16"/>
      <c r="I20" s="32"/>
      <c r="J20" s="16"/>
      <c r="K20" s="13"/>
      <c r="L20" s="13"/>
      <c r="M20" s="13"/>
      <c r="N20" s="3"/>
      <c r="O20" s="32">
        <v>1213422.6666666667</v>
      </c>
      <c r="P20" s="13"/>
      <c r="Q20" s="13"/>
      <c r="R20" s="4"/>
      <c r="S20" s="32"/>
      <c r="T20" s="32"/>
      <c r="U20" s="32"/>
      <c r="V20" s="32"/>
    </row>
    <row r="21" spans="1:22" s="1" customFormat="1" ht="16.5" x14ac:dyDescent="0.35">
      <c r="A21" s="66"/>
      <c r="B21" s="67"/>
      <c r="C21" s="7"/>
      <c r="D21" s="7"/>
      <c r="E21" s="7"/>
      <c r="F21" s="7"/>
      <c r="G21" s="7"/>
      <c r="H21" s="7"/>
      <c r="I21" s="7"/>
      <c r="J21" s="7"/>
      <c r="K21" s="33"/>
      <c r="L21" s="33"/>
      <c r="M21" s="33"/>
      <c r="N21" s="3"/>
      <c r="O21" s="7"/>
      <c r="P21" s="33"/>
      <c r="Q21" s="33"/>
      <c r="R21" s="7"/>
      <c r="S21" s="7"/>
      <c r="T21" s="7"/>
      <c r="U21" s="7"/>
      <c r="V21" s="7"/>
    </row>
    <row r="22" spans="1:22" s="69" customFormat="1" x14ac:dyDescent="0.35">
      <c r="A22" s="68" t="str">
        <f t="shared" ref="A22:M22" si="0">A4</f>
        <v>Noms des groupes</v>
      </c>
      <c r="B22" s="68" t="str">
        <f t="shared" si="0"/>
        <v>Témoin solvant</v>
      </c>
      <c r="C22" s="68" t="str">
        <f t="shared" si="0"/>
        <v>EE2-33,8ng/L</v>
      </c>
      <c r="D22" s="68" t="str">
        <f t="shared" si="0"/>
        <v>EE2-50,6ng/L</v>
      </c>
      <c r="E22" s="68" t="str">
        <f t="shared" si="0"/>
        <v>EE2-76ng/L</v>
      </c>
      <c r="F22" s="68" t="str">
        <f t="shared" si="0"/>
        <v>EE2-114ng/L</v>
      </c>
      <c r="G22" s="68" t="str">
        <f t="shared" si="0"/>
        <v>EE2-170,9ng/L</v>
      </c>
      <c r="H22" s="68" t="str">
        <f t="shared" si="0"/>
        <v>EE2-488ng/L</v>
      </c>
      <c r="I22" s="68" t="str">
        <f t="shared" si="0"/>
        <v>FAD-5.4µg/L</v>
      </c>
      <c r="J22" s="68" t="str">
        <f t="shared" si="0"/>
        <v>FAD-11µg/L</v>
      </c>
      <c r="K22" s="68" t="str">
        <f t="shared" si="0"/>
        <v>FAD-22µg/L</v>
      </c>
      <c r="L22" s="68" t="str">
        <f t="shared" si="0"/>
        <v>FAD-44µg/L</v>
      </c>
      <c r="M22" s="68" t="str">
        <f t="shared" si="0"/>
        <v>FAD-87µg/L</v>
      </c>
      <c r="N22" s="68" t="s">
        <v>47</v>
      </c>
      <c r="O22" s="68" t="str">
        <f t="shared" ref="O22:V22" si="1">O4</f>
        <v>Testo -30µg/L</v>
      </c>
      <c r="P22" s="68" t="str">
        <f t="shared" si="1"/>
        <v>Testo 30µg/L + EE2 -64ng/L</v>
      </c>
      <c r="Q22" s="68" t="str">
        <f t="shared" si="1"/>
        <v>Testo 30µg/L + FAD-10mg/L</v>
      </c>
      <c r="R22" s="68" t="str">
        <f t="shared" si="1"/>
        <v>FAD-5,4µg/L + Testostérone</v>
      </c>
      <c r="S22" s="68" t="str">
        <f t="shared" si="1"/>
        <v>FAD-11µg/L + Testostérone</v>
      </c>
      <c r="T22" s="68" t="str">
        <f t="shared" si="1"/>
        <v>FAD-22µg/L + Testostérone</v>
      </c>
      <c r="U22" s="68" t="str">
        <f t="shared" si="1"/>
        <v>FAD-44µg/L + Testostérone</v>
      </c>
      <c r="V22" s="68" t="str">
        <f t="shared" si="1"/>
        <v>FAD-87µg/L + Testostérone</v>
      </c>
    </row>
    <row r="23" spans="1:22" x14ac:dyDescent="0.35">
      <c r="A23" s="5" t="s">
        <v>0</v>
      </c>
      <c r="B23" s="5">
        <f t="shared" ref="B23:M23" si="2">AVERAGE(B5:B20)</f>
        <v>135041.66666666666</v>
      </c>
      <c r="C23" s="5">
        <f t="shared" si="2"/>
        <v>173291.625</v>
      </c>
      <c r="D23" s="5">
        <f t="shared" si="2"/>
        <v>295033.85714285716</v>
      </c>
      <c r="E23" s="5">
        <f t="shared" si="2"/>
        <v>554343.22916666663</v>
      </c>
      <c r="F23" s="5">
        <f t="shared" si="2"/>
        <v>2027042.0833333333</v>
      </c>
      <c r="G23" s="5">
        <f t="shared" si="2"/>
        <v>3163738.714285715</v>
      </c>
      <c r="H23" s="5">
        <f t="shared" si="2"/>
        <v>3924403.2291666674</v>
      </c>
      <c r="I23" s="5">
        <f t="shared" si="2"/>
        <v>156239.88095238092</v>
      </c>
      <c r="J23" s="5">
        <f t="shared" si="2"/>
        <v>168856.10416666669</v>
      </c>
      <c r="K23" s="5">
        <f t="shared" si="2"/>
        <v>142487.85714285716</v>
      </c>
      <c r="L23" s="5">
        <f t="shared" si="2"/>
        <v>116415.70833333331</v>
      </c>
      <c r="M23" s="5">
        <f t="shared" si="2"/>
        <v>170036.54166666666</v>
      </c>
      <c r="N23" s="5" t="s">
        <v>0</v>
      </c>
      <c r="O23" s="5">
        <f t="shared" ref="O23:V23" si="3">AVERAGE(O5:O20)</f>
        <v>1761202.1222222222</v>
      </c>
      <c r="P23" s="5">
        <f t="shared" si="3"/>
        <v>3716333.166666667</v>
      </c>
      <c r="Q23" s="5">
        <f t="shared" si="3"/>
        <v>127496.62499999999</v>
      </c>
      <c r="R23" s="5">
        <f t="shared" si="3"/>
        <v>164055.10416666669</v>
      </c>
      <c r="S23" s="5">
        <f t="shared" si="3"/>
        <v>291797.58333333331</v>
      </c>
      <c r="T23" s="5">
        <f t="shared" si="3"/>
        <v>185434.375</v>
      </c>
      <c r="U23" s="5">
        <f t="shared" si="3"/>
        <v>179415.41666666669</v>
      </c>
      <c r="V23" s="5">
        <f t="shared" si="3"/>
        <v>201076.69047619047</v>
      </c>
    </row>
    <row r="24" spans="1:22" x14ac:dyDescent="0.35">
      <c r="A24" s="3" t="s">
        <v>1</v>
      </c>
      <c r="B24" s="3">
        <f t="shared" ref="B24:M24" si="4">STDEV(B5:B20)</f>
        <v>109316.04914311193</v>
      </c>
      <c r="C24" s="3">
        <f t="shared" si="4"/>
        <v>62476.983496384833</v>
      </c>
      <c r="D24" s="3">
        <f t="shared" si="4"/>
        <v>466395.21649299783</v>
      </c>
      <c r="E24" s="3">
        <f t="shared" si="4"/>
        <v>371169.56160986365</v>
      </c>
      <c r="F24" s="3">
        <f t="shared" si="4"/>
        <v>883515.53488146525</v>
      </c>
      <c r="G24" s="3">
        <f t="shared" si="4"/>
        <v>736092.53553291084</v>
      </c>
      <c r="H24" s="3">
        <f t="shared" si="4"/>
        <v>912214.56356976624</v>
      </c>
      <c r="I24" s="3">
        <f t="shared" si="4"/>
        <v>177351.16695323231</v>
      </c>
      <c r="J24" s="3">
        <f t="shared" si="4"/>
        <v>128053.39747390777</v>
      </c>
      <c r="K24" s="3">
        <f t="shared" si="4"/>
        <v>73027.150901123372</v>
      </c>
      <c r="L24" s="3">
        <f t="shared" si="4"/>
        <v>76733.957012987681</v>
      </c>
      <c r="M24" s="3">
        <f t="shared" si="4"/>
        <v>40540.464603013315</v>
      </c>
      <c r="N24" s="3" t="s">
        <v>1</v>
      </c>
      <c r="O24" s="3">
        <f t="shared" ref="O24:V24" si="5">STDEV(O5:O20)</f>
        <v>911724.10671782889</v>
      </c>
      <c r="P24" s="3">
        <f t="shared" si="5"/>
        <v>996353.83008561947</v>
      </c>
      <c r="Q24" s="3">
        <f t="shared" si="5"/>
        <v>71924.573865019775</v>
      </c>
      <c r="R24" s="3">
        <f t="shared" si="5"/>
        <v>84939.814006178858</v>
      </c>
      <c r="S24" s="3">
        <f t="shared" si="5"/>
        <v>145214.00554384317</v>
      </c>
      <c r="T24" s="3">
        <f t="shared" si="5"/>
        <v>129902.69872701455</v>
      </c>
      <c r="U24" s="3">
        <f t="shared" si="5"/>
        <v>118521.72405198113</v>
      </c>
      <c r="V24" s="3">
        <f t="shared" si="5"/>
        <v>138306.6742287142</v>
      </c>
    </row>
    <row r="25" spans="1:22" ht="15" thickBot="1" x14ac:dyDescent="0.4"/>
    <row r="26" spans="1:22" ht="15" thickBot="1" x14ac:dyDescent="0.4">
      <c r="B26" s="224" t="s">
        <v>6</v>
      </c>
      <c r="C26" s="225"/>
      <c r="D26" s="225"/>
      <c r="E26" s="225"/>
      <c r="F26" s="225"/>
      <c r="G26" s="225"/>
      <c r="H26" s="225"/>
      <c r="I26" s="225"/>
      <c r="J26" s="225"/>
      <c r="K26" s="225"/>
      <c r="L26" s="225"/>
      <c r="M26" s="225"/>
      <c r="N26" s="1"/>
      <c r="O26" s="224" t="s">
        <v>3</v>
      </c>
      <c r="P26" s="225"/>
      <c r="Q26" s="225"/>
      <c r="R26" s="225"/>
      <c r="S26" s="225"/>
      <c r="T26" s="225"/>
      <c r="U26" s="225"/>
      <c r="V26" s="225"/>
    </row>
    <row r="27" spans="1:22" s="1" customFormat="1" x14ac:dyDescent="0.35">
      <c r="A27" s="34" t="s">
        <v>41</v>
      </c>
      <c r="B27" s="35" t="str">
        <f t="shared" ref="B27:M27" si="6">B4</f>
        <v>Témoin solvant</v>
      </c>
      <c r="C27" s="35" t="str">
        <f t="shared" si="6"/>
        <v>EE2-33,8ng/L</v>
      </c>
      <c r="D27" s="35" t="str">
        <f t="shared" si="6"/>
        <v>EE2-50,6ng/L</v>
      </c>
      <c r="E27" s="35" t="str">
        <f t="shared" si="6"/>
        <v>EE2-76ng/L</v>
      </c>
      <c r="F27" s="35" t="str">
        <f t="shared" si="6"/>
        <v>EE2-114ng/L</v>
      </c>
      <c r="G27" s="35" t="str">
        <f t="shared" si="6"/>
        <v>EE2-170,9ng/L</v>
      </c>
      <c r="H27" s="35" t="str">
        <f t="shared" si="6"/>
        <v>EE2-488ng/L</v>
      </c>
      <c r="I27" s="35" t="str">
        <f t="shared" si="6"/>
        <v>FAD-5.4µg/L</v>
      </c>
      <c r="J27" s="35" t="str">
        <f t="shared" si="6"/>
        <v>FAD-11µg/L</v>
      </c>
      <c r="K27" s="35" t="str">
        <f t="shared" si="6"/>
        <v>FAD-22µg/L</v>
      </c>
      <c r="L27" s="35" t="str">
        <f t="shared" si="6"/>
        <v>FAD-44µg/L</v>
      </c>
      <c r="M27" s="35" t="str">
        <f t="shared" si="6"/>
        <v>FAD-87µg/L</v>
      </c>
      <c r="N27" s="3"/>
      <c r="O27" s="36" t="str">
        <f t="shared" ref="O27:V27" si="7">O4</f>
        <v>Testo -30µg/L</v>
      </c>
      <c r="P27" s="36" t="str">
        <f t="shared" si="7"/>
        <v>Testo 30µg/L + EE2 -64ng/L</v>
      </c>
      <c r="Q27" s="36" t="str">
        <f t="shared" si="7"/>
        <v>Testo 30µg/L + FAD-10mg/L</v>
      </c>
      <c r="R27" s="36" t="str">
        <f t="shared" si="7"/>
        <v>FAD-5,4µg/L + Testostérone</v>
      </c>
      <c r="S27" s="36" t="str">
        <f t="shared" si="7"/>
        <v>FAD-11µg/L + Testostérone</v>
      </c>
      <c r="T27" s="36" t="str">
        <f t="shared" si="7"/>
        <v>FAD-22µg/L + Testostérone</v>
      </c>
      <c r="U27" s="36" t="str">
        <f t="shared" si="7"/>
        <v>FAD-44µg/L + Testostérone</v>
      </c>
      <c r="V27" s="36" t="str">
        <f t="shared" si="7"/>
        <v>FAD-87µg/L + Testostérone</v>
      </c>
    </row>
    <row r="28" spans="1:22" x14ac:dyDescent="0.35">
      <c r="A28" s="222" t="s">
        <v>34</v>
      </c>
      <c r="B28" s="11" t="str">
        <f t="shared" ref="B28:M28" si="8">IF(B5="","",(B5/$O$23))</f>
        <v/>
      </c>
      <c r="C28" s="11">
        <f t="shared" si="8"/>
        <v>5.3698171345605727E-2</v>
      </c>
      <c r="D28" s="11">
        <f t="shared" si="8"/>
        <v>0.10625810498335699</v>
      </c>
      <c r="E28" s="11">
        <f t="shared" si="8"/>
        <v>0.15911688753043685</v>
      </c>
      <c r="F28" s="11">
        <f t="shared" si="8"/>
        <v>0.48458435816733281</v>
      </c>
      <c r="G28" s="11">
        <f t="shared" si="8"/>
        <v>1.2088998605756596</v>
      </c>
      <c r="H28" s="11">
        <f t="shared" si="8"/>
        <v>2.3685926110909943</v>
      </c>
      <c r="I28" s="11">
        <f t="shared" si="8"/>
        <v>6.6236955540045243E-3</v>
      </c>
      <c r="J28" s="11">
        <f t="shared" si="8"/>
        <v>0.12445476713566178</v>
      </c>
      <c r="K28" s="11" t="str">
        <f t="shared" si="8"/>
        <v/>
      </c>
      <c r="L28" s="11">
        <f t="shared" si="8"/>
        <v>2.8414872263604347E-2</v>
      </c>
      <c r="M28" s="11">
        <f t="shared" si="8"/>
        <v>9.4693276765741408E-2</v>
      </c>
      <c r="N28" s="6"/>
      <c r="O28" s="11">
        <f t="shared" ref="O28:V28" si="9">IF(O5="","",(O5/$O$23))</f>
        <v>0.41121553144215744</v>
      </c>
      <c r="P28" s="11">
        <f t="shared" si="9"/>
        <v>2.2276479705708079</v>
      </c>
      <c r="Q28" s="11">
        <f t="shared" si="9"/>
        <v>3.3888406435727984E-2</v>
      </c>
      <c r="R28" s="11">
        <f t="shared" si="9"/>
        <v>0.12298531626040701</v>
      </c>
      <c r="S28" s="11">
        <f t="shared" si="9"/>
        <v>0.13956887565513887</v>
      </c>
      <c r="T28" s="11">
        <f t="shared" si="9"/>
        <v>6.3531322491719056E-2</v>
      </c>
      <c r="U28" s="11">
        <f t="shared" si="9"/>
        <v>0.12574848576752731</v>
      </c>
      <c r="V28" s="11">
        <f t="shared" si="9"/>
        <v>0.15368025996839496</v>
      </c>
    </row>
    <row r="29" spans="1:22" x14ac:dyDescent="0.35">
      <c r="A29" s="223"/>
      <c r="B29" s="11">
        <f t="shared" ref="B29:M29" si="10">IF(B6="","",(B6/$O$23))</f>
        <v>0.15599742728752738</v>
      </c>
      <c r="C29" s="11">
        <f t="shared" si="10"/>
        <v>0.1239882297312951</v>
      </c>
      <c r="D29" s="11">
        <f t="shared" si="10"/>
        <v>0.76358735303464542</v>
      </c>
      <c r="E29" s="11">
        <f t="shared" si="10"/>
        <v>0.23362338416946543</v>
      </c>
      <c r="F29" s="11">
        <f t="shared" si="10"/>
        <v>1.2847452154696537</v>
      </c>
      <c r="G29" s="11">
        <f t="shared" si="10"/>
        <v>1.3792047503715441</v>
      </c>
      <c r="H29" s="11">
        <f t="shared" si="10"/>
        <v>1.9887435343956454</v>
      </c>
      <c r="I29" s="11">
        <f t="shared" si="10"/>
        <v>5.2576399663787729E-2</v>
      </c>
      <c r="J29" s="11">
        <f t="shared" si="10"/>
        <v>0.10217642317298291</v>
      </c>
      <c r="K29" s="11">
        <f t="shared" si="10"/>
        <v>6.2237793124520609E-2</v>
      </c>
      <c r="L29" s="11">
        <f t="shared" si="10"/>
        <v>7.5014483005487076E-2</v>
      </c>
      <c r="M29" s="11">
        <f t="shared" si="10"/>
        <v>7.4527126487740944E-2</v>
      </c>
      <c r="N29" s="6"/>
      <c r="O29" s="11">
        <f t="shared" ref="O29:V29" si="11">IF(O6="","",(O6/$O$23))</f>
        <v>1.1280929324340092</v>
      </c>
      <c r="P29" s="11">
        <f t="shared" si="11"/>
        <v>2.2217694100111207</v>
      </c>
      <c r="Q29" s="11">
        <f t="shared" si="11"/>
        <v>5.3652937090172208E-2</v>
      </c>
      <c r="R29" s="11">
        <f t="shared" si="11"/>
        <v>0.15343875825319339</v>
      </c>
      <c r="S29" s="11">
        <f t="shared" si="11"/>
        <v>0.26097799576805469</v>
      </c>
      <c r="T29" s="11">
        <f t="shared" si="11"/>
        <v>0.19347580592854033</v>
      </c>
      <c r="U29" s="11">
        <f t="shared" si="11"/>
        <v>0.13377643051897553</v>
      </c>
      <c r="V29" s="11">
        <f t="shared" si="11"/>
        <v>4.3054304998030035E-2</v>
      </c>
    </row>
    <row r="30" spans="1:22" x14ac:dyDescent="0.35">
      <c r="A30" s="223"/>
      <c r="B30" s="11">
        <f t="shared" ref="B30:M30" si="12">IF(B7="","",(B7/$O$23))</f>
        <v>0.1417961422574055</v>
      </c>
      <c r="C30" s="11">
        <f t="shared" si="12"/>
        <v>7.8485975529176272E-2</v>
      </c>
      <c r="D30" s="11">
        <f t="shared" si="12"/>
        <v>4.4757308472468789E-2</v>
      </c>
      <c r="E30" s="11">
        <f t="shared" si="12"/>
        <v>0.57603931647923479</v>
      </c>
      <c r="F30" s="11">
        <f t="shared" si="12"/>
        <v>0.56751199690368059</v>
      </c>
      <c r="G30" s="11">
        <f t="shared" si="12"/>
        <v>1.9532584912283808</v>
      </c>
      <c r="H30" s="11">
        <f t="shared" si="12"/>
        <v>2.2093673695386506</v>
      </c>
      <c r="I30" s="11">
        <f t="shared" si="12"/>
        <v>0.26626321159642785</v>
      </c>
      <c r="J30" s="11">
        <f t="shared" si="12"/>
        <v>0.2067193171108741</v>
      </c>
      <c r="K30" s="11">
        <f t="shared" si="12"/>
        <v>0.11758956986645568</v>
      </c>
      <c r="L30" s="11">
        <f t="shared" si="12"/>
        <v>9.3211145157791872E-2</v>
      </c>
      <c r="M30" s="11">
        <f t="shared" si="12"/>
        <v>0.12779926306773637</v>
      </c>
      <c r="N30" s="6"/>
      <c r="O30" s="11">
        <f t="shared" ref="O30:V30" si="13">IF(O7="","",(O7/$O$23))</f>
        <v>1.9112360571953031</v>
      </c>
      <c r="P30" s="11">
        <f t="shared" si="13"/>
        <v>2.5458243984375546</v>
      </c>
      <c r="Q30" s="11">
        <f t="shared" si="13"/>
        <v>3.3626464136481127E-2</v>
      </c>
      <c r="R30" s="11">
        <f t="shared" si="13"/>
        <v>1.2330403795977963E-2</v>
      </c>
      <c r="S30" s="11">
        <f t="shared" si="13"/>
        <v>8.27065776051914E-2</v>
      </c>
      <c r="T30" s="11">
        <f t="shared" si="13"/>
        <v>3.3839197622285655E-2</v>
      </c>
      <c r="U30" s="11">
        <f t="shared" si="13"/>
        <v>2.1181176687582032E-2</v>
      </c>
      <c r="V30" s="11">
        <f t="shared" si="13"/>
        <v>0.2433627546730377</v>
      </c>
    </row>
    <row r="31" spans="1:22" x14ac:dyDescent="0.35">
      <c r="A31" s="223"/>
      <c r="B31" s="11">
        <f t="shared" ref="B31:M31" si="14">IF(B8="","",(B8/$O$23))</f>
        <v>8.2767899357327215E-2</v>
      </c>
      <c r="C31" s="11">
        <f t="shared" si="14"/>
        <v>9.7493258250609907E-2</v>
      </c>
      <c r="D31" s="11">
        <f t="shared" si="14"/>
        <v>0.10889853635387209</v>
      </c>
      <c r="E31" s="11">
        <f t="shared" si="14"/>
        <v>0.39565930066036781</v>
      </c>
      <c r="F31" s="11">
        <f t="shared" si="14"/>
        <v>1.9853988491989036</v>
      </c>
      <c r="G31" s="11">
        <f t="shared" si="14"/>
        <v>2.0227218415482389</v>
      </c>
      <c r="H31" s="11">
        <f t="shared" si="14"/>
        <v>2.1338309892136742</v>
      </c>
      <c r="I31" s="11">
        <f t="shared" si="14"/>
        <v>4.2184255323436254E-3</v>
      </c>
      <c r="J31" s="11">
        <f t="shared" si="14"/>
        <v>0</v>
      </c>
      <c r="K31" s="11">
        <f t="shared" si="14"/>
        <v>4.6595257654539764E-2</v>
      </c>
      <c r="L31" s="11">
        <f t="shared" si="14"/>
        <v>7.7482872793621121E-2</v>
      </c>
      <c r="M31" s="11">
        <f t="shared" si="14"/>
        <v>8.8462305395940077E-2</v>
      </c>
      <c r="N31" s="6"/>
      <c r="O31" s="11">
        <f t="shared" ref="O31:V31" si="15">IF(O8="","",(O8/$O$23))</f>
        <v>0.96441154892746217</v>
      </c>
      <c r="P31" s="11">
        <f t="shared" si="15"/>
        <v>1.2519028748489094</v>
      </c>
      <c r="Q31" s="11">
        <f t="shared" si="15"/>
        <v>0.10156244859295631</v>
      </c>
      <c r="R31" s="11">
        <f t="shared" si="15"/>
        <v>0.1104705686786874</v>
      </c>
      <c r="S31" s="11">
        <f t="shared" si="15"/>
        <v>6.7055903754525845E-2</v>
      </c>
      <c r="T31" s="11">
        <f t="shared" si="15"/>
        <v>0.11631032998162222</v>
      </c>
      <c r="U31" s="11">
        <f t="shared" si="15"/>
        <v>0.16950694995945037</v>
      </c>
      <c r="V31" s="11">
        <f t="shared" si="15"/>
        <v>6.2450337345658059E-2</v>
      </c>
    </row>
    <row r="32" spans="1:22" x14ac:dyDescent="0.35">
      <c r="A32" s="223"/>
      <c r="B32" s="11">
        <f t="shared" ref="B32:M32" si="16">IF(B9="","",(B9/$O$23))</f>
        <v>1.3546240017337655E-2</v>
      </c>
      <c r="C32" s="11">
        <f t="shared" si="16"/>
        <v>0.14778125882466225</v>
      </c>
      <c r="D32" s="11">
        <f t="shared" si="16"/>
        <v>3.2353091456327331E-2</v>
      </c>
      <c r="E32" s="11">
        <f t="shared" si="16"/>
        <v>0.45398347899888658</v>
      </c>
      <c r="F32" s="11">
        <f t="shared" si="16"/>
        <v>0.85948397455371883</v>
      </c>
      <c r="G32" s="11">
        <f t="shared" si="16"/>
        <v>1.55392726676188</v>
      </c>
      <c r="H32" s="11">
        <f t="shared" si="16"/>
        <v>2.8172660805901191</v>
      </c>
      <c r="I32" s="11">
        <f t="shared" si="16"/>
        <v>0.12699697014395933</v>
      </c>
      <c r="J32" s="11">
        <f t="shared" si="16"/>
        <v>3.6614763965100078E-2</v>
      </c>
      <c r="K32" s="11">
        <f t="shared" si="16"/>
        <v>0.12759883178529241</v>
      </c>
      <c r="L32" s="11">
        <f t="shared" si="16"/>
        <v>1.3845278191333342E-2</v>
      </c>
      <c r="M32" s="11">
        <f t="shared" si="16"/>
        <v>8.6484962786560357E-2</v>
      </c>
      <c r="N32" s="6"/>
      <c r="O32" s="11">
        <f t="shared" ref="O32:V32" si="17">IF(O9="","",(O9/$O$23))</f>
        <v>0.1094265847750417</v>
      </c>
      <c r="P32" s="11">
        <f t="shared" si="17"/>
        <v>2.670242448227802</v>
      </c>
      <c r="Q32" s="11">
        <f t="shared" si="17"/>
        <v>8.6706118550050199E-2</v>
      </c>
      <c r="R32" s="11">
        <f t="shared" si="17"/>
        <v>8.2399590315178101E-2</v>
      </c>
      <c r="S32" s="11">
        <f t="shared" si="17"/>
        <v>0.18570194899265491</v>
      </c>
      <c r="T32" s="11">
        <f t="shared" si="17"/>
        <v>8.4974536110881502E-2</v>
      </c>
      <c r="U32" s="11">
        <f t="shared" si="17"/>
        <v>0.12055941639003376</v>
      </c>
      <c r="V32" s="11" t="str">
        <f t="shared" si="17"/>
        <v/>
      </c>
    </row>
    <row r="33" spans="1:22" x14ac:dyDescent="0.35">
      <c r="A33" s="223"/>
      <c r="B33" s="11">
        <f t="shared" ref="B33:M33" si="18">IF(B10="","",(B10/$O$23))</f>
        <v>3.4723442146910879E-2</v>
      </c>
      <c r="C33" s="11">
        <f t="shared" si="18"/>
        <v>0.12213778908119645</v>
      </c>
      <c r="D33" s="11" t="str">
        <f t="shared" si="18"/>
        <v/>
      </c>
      <c r="E33" s="11">
        <f t="shared" si="18"/>
        <v>9.2588842932413498E-2</v>
      </c>
      <c r="F33" s="11">
        <f t="shared" si="18"/>
        <v>1.1539286950792342</v>
      </c>
      <c r="G33" s="11">
        <f t="shared" si="18"/>
        <v>2.3314581263500762</v>
      </c>
      <c r="H33" s="11">
        <f t="shared" si="18"/>
        <v>2.7923147517341866</v>
      </c>
      <c r="I33" s="11">
        <f t="shared" si="18"/>
        <v>2.8370773596173337E-3</v>
      </c>
      <c r="J33" s="11">
        <f t="shared" si="18"/>
        <v>0.18398058684550883</v>
      </c>
      <c r="K33" s="11">
        <f t="shared" si="18"/>
        <v>2.3461437396632711E-2</v>
      </c>
      <c r="L33" s="11">
        <f t="shared" si="18"/>
        <v>0.14819044903490194</v>
      </c>
      <c r="M33" s="11">
        <f t="shared" si="18"/>
        <v>6.5575948690247812E-2</v>
      </c>
      <c r="N33" s="6"/>
      <c r="O33" s="11">
        <f t="shared" ref="O33:V33" si="19">IF(O10="","",(O10/$O$23))</f>
        <v>0.78150163230365799</v>
      </c>
      <c r="P33" s="11">
        <f t="shared" si="19"/>
        <v>1.8542528190230876</v>
      </c>
      <c r="Q33" s="11">
        <f t="shared" si="19"/>
        <v>0.15124461296766675</v>
      </c>
      <c r="R33" s="11">
        <f t="shared" si="19"/>
        <v>7.937419461181032E-2</v>
      </c>
      <c r="S33" s="11">
        <f t="shared" si="19"/>
        <v>8.8309001015600519E-2</v>
      </c>
      <c r="T33" s="11">
        <f t="shared" si="19"/>
        <v>0</v>
      </c>
      <c r="U33" s="11">
        <f t="shared" si="19"/>
        <v>5.3982446875568725E-2</v>
      </c>
      <c r="V33" s="11">
        <f t="shared" si="19"/>
        <v>7.2613471438835619E-2</v>
      </c>
    </row>
    <row r="34" spans="1:22" x14ac:dyDescent="0.35">
      <c r="A34" s="223"/>
      <c r="B34" s="11">
        <f t="shared" ref="B34:M34" si="20">IF(B11="","",(B11/$O$23))</f>
        <v>2.4982936055336095E-4</v>
      </c>
      <c r="C34" s="11">
        <f t="shared" si="20"/>
        <v>4.8585186364280691E-2</v>
      </c>
      <c r="D34" s="11">
        <f t="shared" si="20"/>
        <v>8.2051343327740084E-2</v>
      </c>
      <c r="E34" s="11">
        <f t="shared" si="20"/>
        <v>0.56454811221711565</v>
      </c>
      <c r="F34" s="11">
        <f t="shared" si="20"/>
        <v>1.3477648609339061</v>
      </c>
      <c r="G34" s="11">
        <f t="shared" si="20"/>
        <v>2.1249927077900979</v>
      </c>
      <c r="H34" s="11">
        <f t="shared" si="20"/>
        <v>2.342805867994544</v>
      </c>
      <c r="I34" s="11">
        <f t="shared" si="20"/>
        <v>0.16146869028364597</v>
      </c>
      <c r="J34" s="11">
        <f t="shared" si="20"/>
        <v>6.8767234874316366E-2</v>
      </c>
      <c r="K34" s="11">
        <f t="shared" si="20"/>
        <v>6.6147054823179452E-2</v>
      </c>
      <c r="L34" s="11">
        <f t="shared" si="20"/>
        <v>6.4648835718527642E-2</v>
      </c>
      <c r="M34" s="11">
        <f t="shared" si="20"/>
        <v>0.10628668394808696</v>
      </c>
      <c r="N34" s="6"/>
      <c r="O34" s="11">
        <f t="shared" ref="O34:V34" si="21">IF(O11="","",(O11/$O$23))</f>
        <v>0.97535407491969939</v>
      </c>
      <c r="P34" s="11">
        <f t="shared" si="21"/>
        <v>2.7262984787959637</v>
      </c>
      <c r="Q34" s="11">
        <f t="shared" si="21"/>
        <v>4.0282713213224422E-2</v>
      </c>
      <c r="R34" s="11">
        <f t="shared" si="21"/>
        <v>0.14014830943342227</v>
      </c>
      <c r="S34" s="11">
        <f t="shared" si="21"/>
        <v>0.26497772597758057</v>
      </c>
      <c r="T34" s="11">
        <f t="shared" si="21"/>
        <v>0.14274568309217536</v>
      </c>
      <c r="U34" s="11">
        <f t="shared" si="21"/>
        <v>0.18536600420857746</v>
      </c>
      <c r="V34" s="11">
        <f t="shared" si="21"/>
        <v>0.18013633755999398</v>
      </c>
    </row>
    <row r="35" spans="1:22" x14ac:dyDescent="0.35">
      <c r="A35" s="223"/>
      <c r="B35" s="11">
        <f t="shared" ref="B35:M35" si="22">IF(B12="","",(B12/$O$23))</f>
        <v>0.10764995734510655</v>
      </c>
      <c r="C35" s="11">
        <f t="shared" si="22"/>
        <v>0.11498169201867935</v>
      </c>
      <c r="D35" s="11">
        <f t="shared" si="22"/>
        <v>3.4723442146910879E-2</v>
      </c>
      <c r="E35" s="11">
        <f t="shared" si="22"/>
        <v>4.2462758281053122E-2</v>
      </c>
      <c r="F35" s="11">
        <f t="shared" si="22"/>
        <v>1.5241207314011931</v>
      </c>
      <c r="G35" s="11" t="str">
        <f t="shared" si="22"/>
        <v/>
      </c>
      <c r="H35" s="11">
        <f t="shared" si="22"/>
        <v>1.173099691737697</v>
      </c>
      <c r="I35" s="11" t="str">
        <f t="shared" si="22"/>
        <v/>
      </c>
      <c r="J35" s="11">
        <f t="shared" si="22"/>
        <v>4.4290771068102093E-2</v>
      </c>
      <c r="K35" s="11">
        <f t="shared" si="22"/>
        <v>0.12269630911376687</v>
      </c>
      <c r="L35" s="11">
        <f t="shared" si="22"/>
        <v>2.7993190585337006E-2</v>
      </c>
      <c r="M35" s="11">
        <f t="shared" si="22"/>
        <v>0.12853625968136878</v>
      </c>
      <c r="N35" s="6"/>
      <c r="O35" s="11" t="str">
        <f t="shared" ref="O35:V35" si="23">IF(O12="","",(O12/$O$23))</f>
        <v/>
      </c>
      <c r="P35" s="11">
        <f t="shared" si="23"/>
        <v>1.3829550297498507</v>
      </c>
      <c r="Q35" s="11">
        <f t="shared" si="23"/>
        <v>7.8170849858478289E-2</v>
      </c>
      <c r="R35" s="11">
        <f t="shared" si="23"/>
        <v>4.404889082356634E-2</v>
      </c>
      <c r="S35" s="11">
        <f t="shared" si="23"/>
        <v>0.23614931041639359</v>
      </c>
      <c r="T35" s="11">
        <f t="shared" si="23"/>
        <v>0.20743133078845119</v>
      </c>
      <c r="U35" s="11">
        <f t="shared" si="23"/>
        <v>4.8470681240693732E-3</v>
      </c>
      <c r="V35" s="11">
        <f t="shared" si="23"/>
        <v>4.3893504531888825E-2</v>
      </c>
    </row>
    <row r="36" spans="1:22" s="1" customFormat="1" x14ac:dyDescent="0.35">
      <c r="A36" s="223"/>
      <c r="B36" s="11" t="str">
        <f t="shared" ref="B36:M36" si="24">IF(B13="","",(B13/$O$23))</f>
        <v/>
      </c>
      <c r="C36" s="11" t="str">
        <f t="shared" si="24"/>
        <v/>
      </c>
      <c r="D36" s="11" t="str">
        <f t="shared" si="24"/>
        <v/>
      </c>
      <c r="E36" s="11" t="str">
        <f t="shared" si="24"/>
        <v/>
      </c>
      <c r="F36" s="11" t="str">
        <f t="shared" si="24"/>
        <v/>
      </c>
      <c r="G36" s="11" t="str">
        <f t="shared" si="24"/>
        <v/>
      </c>
      <c r="H36" s="11" t="str">
        <f t="shared" si="24"/>
        <v/>
      </c>
      <c r="I36" s="11" t="str">
        <f t="shared" si="24"/>
        <v/>
      </c>
      <c r="J36" s="11" t="str">
        <f t="shared" si="24"/>
        <v/>
      </c>
      <c r="K36" s="11" t="str">
        <f t="shared" si="24"/>
        <v/>
      </c>
      <c r="L36" s="11" t="str">
        <f t="shared" si="24"/>
        <v/>
      </c>
      <c r="M36" s="11" t="str">
        <f t="shared" si="24"/>
        <v/>
      </c>
      <c r="N36" s="6"/>
      <c r="O36" s="11">
        <f t="shared" ref="O36:V36" si="25">IF(O13="","",(O13/$O$23))</f>
        <v>1.5442414581590931</v>
      </c>
      <c r="P36" s="11" t="str">
        <f t="shared" si="25"/>
        <v/>
      </c>
      <c r="Q36" s="11" t="str">
        <f t="shared" si="25"/>
        <v/>
      </c>
      <c r="R36" s="11" t="str">
        <f t="shared" si="25"/>
        <v/>
      </c>
      <c r="S36" s="11" t="str">
        <f t="shared" si="25"/>
        <v/>
      </c>
      <c r="T36" s="11" t="str">
        <f t="shared" si="25"/>
        <v/>
      </c>
      <c r="U36" s="11" t="str">
        <f t="shared" si="25"/>
        <v/>
      </c>
      <c r="V36" s="11" t="str">
        <f t="shared" si="25"/>
        <v/>
      </c>
    </row>
    <row r="37" spans="1:22" s="1" customFormat="1" x14ac:dyDescent="0.35">
      <c r="A37" s="223"/>
      <c r="B37" s="11" t="str">
        <f t="shared" ref="B37:M37" si="26">IF(B14="","",(B14/$O$23))</f>
        <v/>
      </c>
      <c r="C37" s="11" t="str">
        <f t="shared" si="26"/>
        <v/>
      </c>
      <c r="D37" s="11" t="str">
        <f t="shared" si="26"/>
        <v/>
      </c>
      <c r="E37" s="11" t="str">
        <f t="shared" si="26"/>
        <v/>
      </c>
      <c r="F37" s="11" t="str">
        <f t="shared" si="26"/>
        <v/>
      </c>
      <c r="G37" s="11" t="str">
        <f t="shared" si="26"/>
        <v/>
      </c>
      <c r="H37" s="11" t="str">
        <f t="shared" si="26"/>
        <v/>
      </c>
      <c r="I37" s="11" t="str">
        <f t="shared" si="26"/>
        <v/>
      </c>
      <c r="J37" s="11" t="str">
        <f t="shared" si="26"/>
        <v/>
      </c>
      <c r="K37" s="11" t="str">
        <f t="shared" si="26"/>
        <v/>
      </c>
      <c r="L37" s="11" t="str">
        <f t="shared" si="26"/>
        <v/>
      </c>
      <c r="M37" s="11" t="str">
        <f t="shared" si="26"/>
        <v/>
      </c>
      <c r="N37" s="6"/>
      <c r="O37" s="11">
        <f t="shared" ref="O37:V37" si="27">IF(O14="","",(O14/$O$23))</f>
        <v>1.3142161845755973</v>
      </c>
      <c r="P37" s="11" t="str">
        <f t="shared" si="27"/>
        <v/>
      </c>
      <c r="Q37" s="11" t="str">
        <f t="shared" si="27"/>
        <v/>
      </c>
      <c r="R37" s="11" t="str">
        <f t="shared" si="27"/>
        <v/>
      </c>
      <c r="S37" s="11" t="str">
        <f t="shared" si="27"/>
        <v/>
      </c>
      <c r="T37" s="11" t="str">
        <f t="shared" si="27"/>
        <v/>
      </c>
      <c r="U37" s="11" t="str">
        <f t="shared" si="27"/>
        <v/>
      </c>
      <c r="V37" s="11" t="str">
        <f t="shared" si="27"/>
        <v/>
      </c>
    </row>
    <row r="38" spans="1:22" s="1" customFormat="1" x14ac:dyDescent="0.35">
      <c r="A38" s="223"/>
      <c r="B38" s="11" t="str">
        <f t="shared" ref="B38:M38" si="28">IF(B15="","",(B15/$O$23))</f>
        <v/>
      </c>
      <c r="C38" s="11" t="str">
        <f t="shared" si="28"/>
        <v/>
      </c>
      <c r="D38" s="11" t="str">
        <f t="shared" si="28"/>
        <v/>
      </c>
      <c r="E38" s="11" t="str">
        <f t="shared" si="28"/>
        <v/>
      </c>
      <c r="F38" s="11" t="str">
        <f t="shared" si="28"/>
        <v/>
      </c>
      <c r="G38" s="11" t="str">
        <f t="shared" si="28"/>
        <v/>
      </c>
      <c r="H38" s="11" t="str">
        <f t="shared" si="28"/>
        <v/>
      </c>
      <c r="I38" s="11" t="str">
        <f t="shared" si="28"/>
        <v/>
      </c>
      <c r="J38" s="11" t="str">
        <f t="shared" si="28"/>
        <v/>
      </c>
      <c r="K38" s="11" t="str">
        <f t="shared" si="28"/>
        <v/>
      </c>
      <c r="L38" s="11" t="str">
        <f t="shared" si="28"/>
        <v/>
      </c>
      <c r="M38" s="11" t="str">
        <f t="shared" si="28"/>
        <v/>
      </c>
      <c r="N38" s="6"/>
      <c r="O38" s="11">
        <f t="shared" ref="O38:R38" si="29">IF(O15="","",(O15/$O$23))</f>
        <v>1.4519923453040986</v>
      </c>
      <c r="P38" s="11" t="str">
        <f t="shared" si="29"/>
        <v/>
      </c>
      <c r="Q38" s="11" t="str">
        <f t="shared" si="29"/>
        <v/>
      </c>
      <c r="R38" s="11" t="str">
        <f t="shared" si="29"/>
        <v/>
      </c>
      <c r="S38" s="11" t="str">
        <f t="shared" ref="S38:V38" si="30">IF(S15="","",(S15/$O$23))</f>
        <v/>
      </c>
      <c r="T38" s="11" t="str">
        <f t="shared" si="30"/>
        <v/>
      </c>
      <c r="U38" s="11" t="str">
        <f t="shared" si="30"/>
        <v/>
      </c>
      <c r="V38" s="11" t="str">
        <f t="shared" si="30"/>
        <v/>
      </c>
    </row>
    <row r="39" spans="1:22" s="1" customFormat="1" x14ac:dyDescent="0.35">
      <c r="A39" s="223"/>
      <c r="B39" s="11" t="str">
        <f t="shared" ref="B39:M39" si="31">IF(B16="","",(B16/$O$23))</f>
        <v/>
      </c>
      <c r="C39" s="11" t="str">
        <f t="shared" si="31"/>
        <v/>
      </c>
      <c r="D39" s="11" t="str">
        <f t="shared" si="31"/>
        <v/>
      </c>
      <c r="E39" s="11" t="str">
        <f t="shared" si="31"/>
        <v/>
      </c>
      <c r="F39" s="11" t="str">
        <f t="shared" si="31"/>
        <v/>
      </c>
      <c r="G39" s="11" t="str">
        <f t="shared" si="31"/>
        <v/>
      </c>
      <c r="H39" s="11" t="str">
        <f t="shared" si="31"/>
        <v/>
      </c>
      <c r="I39" s="11" t="str">
        <f t="shared" si="31"/>
        <v/>
      </c>
      <c r="J39" s="11" t="str">
        <f t="shared" si="31"/>
        <v/>
      </c>
      <c r="K39" s="11" t="str">
        <f t="shared" si="31"/>
        <v/>
      </c>
      <c r="L39" s="11" t="str">
        <f t="shared" si="31"/>
        <v/>
      </c>
      <c r="M39" s="11" t="str">
        <f t="shared" si="31"/>
        <v/>
      </c>
      <c r="N39" s="6"/>
      <c r="O39" s="11">
        <f t="shared" ref="O39:R39" si="32">IF(O16="","",(O16/$O$23))</f>
        <v>1.4934908947386827</v>
      </c>
      <c r="P39" s="11" t="str">
        <f t="shared" si="32"/>
        <v/>
      </c>
      <c r="Q39" s="11" t="str">
        <f t="shared" si="32"/>
        <v/>
      </c>
      <c r="R39" s="11" t="str">
        <f t="shared" si="32"/>
        <v/>
      </c>
      <c r="S39" s="11" t="str">
        <f t="shared" ref="S39:V39" si="33">IF(S16="","",(S16/$O$23))</f>
        <v/>
      </c>
      <c r="T39" s="11" t="str">
        <f t="shared" si="33"/>
        <v/>
      </c>
      <c r="U39" s="11" t="str">
        <f t="shared" si="33"/>
        <v/>
      </c>
      <c r="V39" s="11" t="str">
        <f t="shared" si="33"/>
        <v/>
      </c>
    </row>
    <row r="40" spans="1:22" s="1" customFormat="1" x14ac:dyDescent="0.35">
      <c r="A40" s="223"/>
      <c r="B40" s="11" t="str">
        <f t="shared" ref="B40:M40" si="34">IF(B17="","",(B17/$O$23))</f>
        <v/>
      </c>
      <c r="C40" s="11" t="str">
        <f t="shared" si="34"/>
        <v/>
      </c>
      <c r="D40" s="11" t="str">
        <f t="shared" si="34"/>
        <v/>
      </c>
      <c r="E40" s="11" t="str">
        <f t="shared" si="34"/>
        <v/>
      </c>
      <c r="F40" s="11" t="str">
        <f t="shared" si="34"/>
        <v/>
      </c>
      <c r="G40" s="11" t="str">
        <f t="shared" si="34"/>
        <v/>
      </c>
      <c r="H40" s="11" t="str">
        <f t="shared" si="34"/>
        <v/>
      </c>
      <c r="I40" s="11" t="str">
        <f t="shared" si="34"/>
        <v/>
      </c>
      <c r="J40" s="11" t="str">
        <f t="shared" si="34"/>
        <v/>
      </c>
      <c r="K40" s="11" t="str">
        <f t="shared" si="34"/>
        <v/>
      </c>
      <c r="L40" s="11" t="str">
        <f t="shared" si="34"/>
        <v/>
      </c>
      <c r="M40" s="11" t="str">
        <f t="shared" si="34"/>
        <v/>
      </c>
      <c r="N40" s="6"/>
      <c r="O40" s="11">
        <f t="shared" ref="O40:R40" si="35">IF(O17="","",(O17/$O$23))</f>
        <v>1.2453752311134509</v>
      </c>
      <c r="P40" s="11" t="str">
        <f t="shared" si="35"/>
        <v/>
      </c>
      <c r="Q40" s="11" t="str">
        <f t="shared" si="35"/>
        <v/>
      </c>
      <c r="R40" s="11" t="str">
        <f t="shared" si="35"/>
        <v/>
      </c>
      <c r="S40" s="11" t="str">
        <f t="shared" ref="S40:V40" si="36">IF(S17="","",(S17/$O$23))</f>
        <v/>
      </c>
      <c r="T40" s="11" t="str">
        <f t="shared" si="36"/>
        <v/>
      </c>
      <c r="U40" s="11" t="str">
        <f t="shared" si="36"/>
        <v/>
      </c>
      <c r="V40" s="11" t="str">
        <f t="shared" si="36"/>
        <v/>
      </c>
    </row>
    <row r="41" spans="1:22" s="1" customFormat="1" x14ac:dyDescent="0.35">
      <c r="A41" s="223"/>
      <c r="B41" s="11" t="str">
        <f t="shared" ref="B41:M41" si="37">IF(B18="","",(B18/$O$23))</f>
        <v/>
      </c>
      <c r="C41" s="11" t="str">
        <f t="shared" si="37"/>
        <v/>
      </c>
      <c r="D41" s="11" t="str">
        <f t="shared" si="37"/>
        <v/>
      </c>
      <c r="E41" s="11" t="str">
        <f t="shared" si="37"/>
        <v/>
      </c>
      <c r="F41" s="11" t="str">
        <f t="shared" si="37"/>
        <v/>
      </c>
      <c r="G41" s="11" t="str">
        <f t="shared" si="37"/>
        <v/>
      </c>
      <c r="H41" s="11" t="str">
        <f t="shared" si="37"/>
        <v/>
      </c>
      <c r="I41" s="11" t="str">
        <f t="shared" si="37"/>
        <v/>
      </c>
      <c r="J41" s="11" t="str">
        <f t="shared" si="37"/>
        <v/>
      </c>
      <c r="K41" s="11" t="str">
        <f t="shared" si="37"/>
        <v/>
      </c>
      <c r="L41" s="11" t="str">
        <f t="shared" si="37"/>
        <v/>
      </c>
      <c r="M41" s="11" t="str">
        <f t="shared" si="37"/>
        <v/>
      </c>
      <c r="N41" s="6"/>
      <c r="O41" s="11">
        <f t="shared" ref="O41:R41" si="38">IF(O18="","",(O18/$O$23))</f>
        <v>0.80343191854356599</v>
      </c>
      <c r="P41" s="11" t="str">
        <f t="shared" si="38"/>
        <v/>
      </c>
      <c r="Q41" s="11" t="str">
        <f t="shared" si="38"/>
        <v/>
      </c>
      <c r="R41" s="11" t="str">
        <f t="shared" si="38"/>
        <v/>
      </c>
      <c r="S41" s="11" t="str">
        <f t="shared" ref="S41:V41" si="39">IF(S18="","",(S18/$O$23))</f>
        <v/>
      </c>
      <c r="T41" s="11" t="str">
        <f t="shared" si="39"/>
        <v/>
      </c>
      <c r="U41" s="11" t="str">
        <f t="shared" si="39"/>
        <v/>
      </c>
      <c r="V41" s="11" t="str">
        <f t="shared" si="39"/>
        <v/>
      </c>
    </row>
    <row r="42" spans="1:22" s="1" customFormat="1" x14ac:dyDescent="0.35">
      <c r="A42" s="223"/>
      <c r="B42" s="11" t="str">
        <f t="shared" ref="B42:M42" si="40">IF(B19="","",(B19/$O$23))</f>
        <v/>
      </c>
      <c r="C42" s="11" t="str">
        <f t="shared" si="40"/>
        <v/>
      </c>
      <c r="D42" s="11" t="str">
        <f t="shared" si="40"/>
        <v/>
      </c>
      <c r="E42" s="11" t="str">
        <f t="shared" si="40"/>
        <v/>
      </c>
      <c r="F42" s="11" t="str">
        <f t="shared" si="40"/>
        <v/>
      </c>
      <c r="G42" s="11" t="str">
        <f t="shared" si="40"/>
        <v/>
      </c>
      <c r="H42" s="11" t="str">
        <f t="shared" si="40"/>
        <v/>
      </c>
      <c r="I42" s="11" t="str">
        <f t="shared" si="40"/>
        <v/>
      </c>
      <c r="J42" s="11" t="str">
        <f t="shared" si="40"/>
        <v/>
      </c>
      <c r="K42" s="11" t="str">
        <f t="shared" si="40"/>
        <v/>
      </c>
      <c r="L42" s="11" t="str">
        <f t="shared" si="40"/>
        <v/>
      </c>
      <c r="M42" s="11" t="str">
        <f t="shared" si="40"/>
        <v/>
      </c>
      <c r="N42" s="6"/>
      <c r="O42" s="11">
        <f t="shared" ref="O42:R42" si="41">IF(O19="","",(O19/$O$23))</f>
        <v>0.17703949444480127</v>
      </c>
      <c r="P42" s="11" t="str">
        <f t="shared" si="41"/>
        <v/>
      </c>
      <c r="Q42" s="11" t="str">
        <f t="shared" si="41"/>
        <v/>
      </c>
      <c r="R42" s="11" t="str">
        <f t="shared" si="41"/>
        <v/>
      </c>
      <c r="S42" s="11" t="str">
        <f t="shared" ref="S42:V42" si="42">IF(S19="","",(S19/$O$23))</f>
        <v/>
      </c>
      <c r="T42" s="11" t="str">
        <f t="shared" si="42"/>
        <v/>
      </c>
      <c r="U42" s="11" t="str">
        <f t="shared" si="42"/>
        <v/>
      </c>
      <c r="V42" s="11" t="str">
        <f t="shared" si="42"/>
        <v/>
      </c>
    </row>
    <row r="43" spans="1:22" s="1" customFormat="1" x14ac:dyDescent="0.35">
      <c r="A43" s="223"/>
      <c r="B43" s="11" t="str">
        <f t="shared" ref="B43:M43" si="43">IF(B20="","",(B20/$O$23))</f>
        <v/>
      </c>
      <c r="C43" s="11" t="str">
        <f t="shared" si="43"/>
        <v/>
      </c>
      <c r="D43" s="11" t="str">
        <f t="shared" si="43"/>
        <v/>
      </c>
      <c r="E43" s="11" t="str">
        <f t="shared" si="43"/>
        <v/>
      </c>
      <c r="F43" s="11" t="str">
        <f t="shared" si="43"/>
        <v/>
      </c>
      <c r="G43" s="11" t="str">
        <f t="shared" si="43"/>
        <v/>
      </c>
      <c r="H43" s="11" t="str">
        <f t="shared" si="43"/>
        <v/>
      </c>
      <c r="I43" s="11" t="str">
        <f t="shared" si="43"/>
        <v/>
      </c>
      <c r="J43" s="11" t="str">
        <f t="shared" si="43"/>
        <v/>
      </c>
      <c r="K43" s="11" t="str">
        <f t="shared" si="43"/>
        <v/>
      </c>
      <c r="L43" s="11" t="str">
        <f t="shared" si="43"/>
        <v/>
      </c>
      <c r="M43" s="11" t="str">
        <f t="shared" si="43"/>
        <v/>
      </c>
      <c r="N43" s="6"/>
      <c r="O43" s="11">
        <f t="shared" ref="O43:R43" si="44">IF(O20="","",(O20/$O$23))</f>
        <v>0.68897411112338047</v>
      </c>
      <c r="P43" s="11" t="str">
        <f t="shared" si="44"/>
        <v/>
      </c>
      <c r="Q43" s="11" t="str">
        <f t="shared" si="44"/>
        <v/>
      </c>
      <c r="R43" s="11" t="str">
        <f t="shared" si="44"/>
        <v/>
      </c>
      <c r="S43" s="11" t="str">
        <f t="shared" ref="S43:V43" si="45">IF(S20="","",(S20/$O$23))</f>
        <v/>
      </c>
      <c r="T43" s="11" t="str">
        <f t="shared" si="45"/>
        <v/>
      </c>
      <c r="U43" s="11" t="str">
        <f t="shared" si="45"/>
        <v/>
      </c>
      <c r="V43" s="11" t="str">
        <f t="shared" si="45"/>
        <v/>
      </c>
    </row>
    <row r="44" spans="1:22" x14ac:dyDescent="0.35">
      <c r="A44" s="7"/>
      <c r="B44" s="3"/>
      <c r="C44" s="3"/>
      <c r="D44" s="3"/>
      <c r="E44" s="3"/>
      <c r="F44" s="3"/>
      <c r="G44" s="3"/>
      <c r="H44" s="3"/>
      <c r="I44" s="3"/>
      <c r="J44" s="3"/>
      <c r="N44" s="7"/>
      <c r="O44" s="3"/>
      <c r="P44" s="3"/>
      <c r="Q44" s="3"/>
      <c r="R44" s="3"/>
      <c r="S44" s="3"/>
      <c r="T44" s="3"/>
      <c r="U44" s="3"/>
      <c r="V44" s="3"/>
    </row>
    <row r="45" spans="1:22" s="69" customFormat="1" x14ac:dyDescent="0.35">
      <c r="A45" s="70" t="str">
        <f t="shared" ref="A45:M45" si="46">A4</f>
        <v>Noms des groupes</v>
      </c>
      <c r="B45" s="70" t="str">
        <f t="shared" si="46"/>
        <v>Témoin solvant</v>
      </c>
      <c r="C45" s="70" t="str">
        <f t="shared" si="46"/>
        <v>EE2-33,8ng/L</v>
      </c>
      <c r="D45" s="70" t="str">
        <f t="shared" si="46"/>
        <v>EE2-50,6ng/L</v>
      </c>
      <c r="E45" s="70" t="str">
        <f t="shared" si="46"/>
        <v>EE2-76ng/L</v>
      </c>
      <c r="F45" s="70" t="str">
        <f t="shared" si="46"/>
        <v>EE2-114ng/L</v>
      </c>
      <c r="G45" s="70" t="str">
        <f t="shared" si="46"/>
        <v>EE2-170,9ng/L</v>
      </c>
      <c r="H45" s="70" t="str">
        <f t="shared" si="46"/>
        <v>EE2-488ng/L</v>
      </c>
      <c r="I45" s="70" t="str">
        <f t="shared" si="46"/>
        <v>FAD-5.4µg/L</v>
      </c>
      <c r="J45" s="70" t="str">
        <f t="shared" si="46"/>
        <v>FAD-11µg/L</v>
      </c>
      <c r="K45" s="70" t="str">
        <f t="shared" si="46"/>
        <v>FAD-22µg/L</v>
      </c>
      <c r="L45" s="70" t="str">
        <f t="shared" si="46"/>
        <v>FAD-44µg/L</v>
      </c>
      <c r="M45" s="70" t="str">
        <f t="shared" si="46"/>
        <v>FAD-87µg/L</v>
      </c>
      <c r="N45" s="70" t="str">
        <f>N22</f>
        <v>Nom des groupes</v>
      </c>
      <c r="O45" s="70" t="str">
        <f t="shared" ref="O45:V45" si="47">O4</f>
        <v>Testo -30µg/L</v>
      </c>
      <c r="P45" s="70" t="str">
        <f t="shared" si="47"/>
        <v>Testo 30µg/L + EE2 -64ng/L</v>
      </c>
      <c r="Q45" s="70" t="str">
        <f t="shared" si="47"/>
        <v>Testo 30µg/L + FAD-10mg/L</v>
      </c>
      <c r="R45" s="70" t="str">
        <f t="shared" si="47"/>
        <v>FAD-5,4µg/L + Testostérone</v>
      </c>
      <c r="S45" s="70" t="str">
        <f t="shared" si="47"/>
        <v>FAD-11µg/L + Testostérone</v>
      </c>
      <c r="T45" s="70" t="str">
        <f t="shared" si="47"/>
        <v>FAD-22µg/L + Testostérone</v>
      </c>
      <c r="U45" s="70" t="str">
        <f t="shared" si="47"/>
        <v>FAD-44µg/L + Testostérone</v>
      </c>
      <c r="V45" s="70" t="str">
        <f t="shared" si="47"/>
        <v>FAD-87µg/L + Testostérone</v>
      </c>
    </row>
    <row r="46" spans="1:22" x14ac:dyDescent="0.35">
      <c r="A46" s="8" t="s">
        <v>0</v>
      </c>
      <c r="B46" s="10">
        <f t="shared" ref="B46:H46" si="48">AVERAGE(B28:B43)</f>
        <v>7.6675848253166937E-2</v>
      </c>
      <c r="C46" s="10">
        <f t="shared" si="48"/>
        <v>9.8393945143188208E-2</v>
      </c>
      <c r="D46" s="10">
        <f t="shared" si="48"/>
        <v>0.16751845425361739</v>
      </c>
      <c r="E46" s="10">
        <f t="shared" si="48"/>
        <v>0.31475276015862169</v>
      </c>
      <c r="F46" s="10">
        <f t="shared" si="48"/>
        <v>1.1509423352134527</v>
      </c>
      <c r="G46" s="10">
        <f t="shared" si="48"/>
        <v>1.7963518635179823</v>
      </c>
      <c r="H46" s="10">
        <f t="shared" si="48"/>
        <v>2.2282526120369388</v>
      </c>
      <c r="I46" s="10">
        <f>AVERAGE(I28:I43)</f>
        <v>8.8712067161969471E-2</v>
      </c>
      <c r="J46" s="9">
        <f>AVERAGE(J28:J43)</f>
        <v>9.5875483021568259E-2</v>
      </c>
      <c r="K46" s="9">
        <f>AVERAGE(K28:K43)</f>
        <v>8.0903750537769645E-2</v>
      </c>
      <c r="L46" s="9">
        <f t="shared" ref="L46:M46" si="49">AVERAGE(L28:L43)</f>
        <v>6.6100140843825539E-2</v>
      </c>
      <c r="M46" s="9">
        <f t="shared" si="49"/>
        <v>9.6545728352927851E-2</v>
      </c>
      <c r="N46" s="8" t="s">
        <v>0</v>
      </c>
      <c r="O46" s="10">
        <f>AVERAGE(O28:O43)</f>
        <v>1.0000000000000002</v>
      </c>
      <c r="P46" s="10">
        <f>AVERAGE(P28:P43)</f>
        <v>2.1101116787081371</v>
      </c>
      <c r="Q46" s="10">
        <f>AVERAGE(Q28:Q43)</f>
        <v>7.2391818855594661E-2</v>
      </c>
      <c r="R46" s="10">
        <f>AVERAGE(R28:R43)</f>
        <v>9.3149504021530341E-2</v>
      </c>
      <c r="S46" s="10">
        <f t="shared" ref="S46:V46" si="50">AVERAGE(S28:S43)</f>
        <v>0.16568091739814256</v>
      </c>
      <c r="T46" s="10">
        <f t="shared" si="50"/>
        <v>0.10528852575195942</v>
      </c>
      <c r="U46" s="10">
        <f t="shared" si="50"/>
        <v>0.10187099731647306</v>
      </c>
      <c r="V46" s="10">
        <f t="shared" si="50"/>
        <v>0.11417013864511989</v>
      </c>
    </row>
    <row r="47" spans="1:22" x14ac:dyDescent="0.35">
      <c r="A47" s="8" t="s">
        <v>1</v>
      </c>
      <c r="B47" s="8">
        <f t="shared" ref="B47:K47" si="51">STDEV(B28:B43)</f>
        <v>6.2068996944644163E-2</v>
      </c>
      <c r="C47" s="8">
        <f t="shared" si="51"/>
        <v>3.5474056445919819E-2</v>
      </c>
      <c r="D47" s="8">
        <f t="shared" si="51"/>
        <v>0.26481640613998175</v>
      </c>
      <c r="E47" s="8">
        <f t="shared" si="51"/>
        <v>0.21074785053150796</v>
      </c>
      <c r="F47" s="8">
        <f t="shared" si="51"/>
        <v>0.5016548207236301</v>
      </c>
      <c r="G47" s="8">
        <f t="shared" si="51"/>
        <v>0.41794892604611428</v>
      </c>
      <c r="H47" s="8">
        <f t="shared" si="51"/>
        <v>0.51794995705477131</v>
      </c>
      <c r="I47" s="8">
        <f>STDEV(I28:I43)</f>
        <v>0.10069892871208724</v>
      </c>
      <c r="J47" s="8">
        <f t="shared" si="51"/>
        <v>7.2707950926344911E-2</v>
      </c>
      <c r="K47" s="8">
        <f t="shared" si="51"/>
        <v>4.1464378210594219E-2</v>
      </c>
      <c r="L47" s="8">
        <f t="shared" ref="L47:M47" si="52">STDEV(L28:L43)</f>
        <v>4.3569080484735873E-2</v>
      </c>
      <c r="M47" s="8">
        <f t="shared" si="52"/>
        <v>2.3018632609788595E-2</v>
      </c>
      <c r="N47" s="8" t="s">
        <v>1</v>
      </c>
      <c r="O47" s="8">
        <f>STDEV(O28:O43)</f>
        <v>0.51767147859636187</v>
      </c>
      <c r="P47" s="8">
        <f>STDEV(P28:P43)</f>
        <v>0.5657237278526881</v>
      </c>
      <c r="Q47" s="8">
        <f>STDEV(Q28:Q43)</f>
        <v>4.0838341583570137E-2</v>
      </c>
      <c r="R47" s="8">
        <f>STDEV(R28:R43)</f>
        <v>4.8228316860647928E-2</v>
      </c>
      <c r="S47" s="8">
        <f t="shared" ref="S47:V47" si="53">STDEV(S28:S43)</f>
        <v>8.2451641246387625E-2</v>
      </c>
      <c r="T47" s="8">
        <f t="shared" si="53"/>
        <v>7.3757973084377135E-2</v>
      </c>
      <c r="U47" s="8">
        <f t="shared" si="53"/>
        <v>6.7295923935428104E-2</v>
      </c>
      <c r="V47" s="8">
        <f t="shared" si="53"/>
        <v>7.8529699960958349E-2</v>
      </c>
    </row>
    <row r="48" spans="1:22" x14ac:dyDescent="0.35">
      <c r="A48" s="8" t="s">
        <v>2</v>
      </c>
      <c r="B48" s="8">
        <f t="shared" ref="B48:K48" si="54" xml:space="preserve"> B47/SQRT(COUNT(B28:B43))</f>
        <v>2.3459875720393764E-2</v>
      </c>
      <c r="C48" s="8">
        <f t="shared" si="54"/>
        <v>1.254197293455213E-2</v>
      </c>
      <c r="D48" s="8">
        <f t="shared" si="54"/>
        <v>0.10009119339089569</v>
      </c>
      <c r="E48" s="8">
        <f t="shared" si="54"/>
        <v>7.4510617115659109E-2</v>
      </c>
      <c r="F48" s="8">
        <f t="shared" si="54"/>
        <v>0.1773617627743003</v>
      </c>
      <c r="G48" s="8">
        <f t="shared" si="54"/>
        <v>0.15796984557779206</v>
      </c>
      <c r="H48" s="8">
        <f t="shared" si="54"/>
        <v>0.18312296347435492</v>
      </c>
      <c r="I48" s="8">
        <f xml:space="preserve"> I47/SQRT(COUNT(I28:I43))</f>
        <v>3.8060617523257796E-2</v>
      </c>
      <c r="J48" s="8">
        <f t="shared" si="54"/>
        <v>2.5706142573098601E-2</v>
      </c>
      <c r="K48" s="8">
        <f t="shared" si="54"/>
        <v>1.5672061859022528E-2</v>
      </c>
      <c r="L48" s="8">
        <f t="shared" ref="L48:M48" si="55" xml:space="preserve"> L47/SQRT(COUNT(L28:L43))</f>
        <v>1.5403996130409603E-2</v>
      </c>
      <c r="M48" s="8">
        <f t="shared" si="55"/>
        <v>8.1383156060116559E-3</v>
      </c>
      <c r="N48" s="8" t="s">
        <v>2</v>
      </c>
      <c r="O48" s="8">
        <f xml:space="preserve"> O47/SQRT(COUNT(O28:O43))</f>
        <v>0.13366220102735191</v>
      </c>
      <c r="P48" s="8">
        <f xml:space="preserve"> P47/SQRT(COUNT(P28:P43))</f>
        <v>0.20001354212138434</v>
      </c>
      <c r="Q48" s="8">
        <f xml:space="preserve"> Q47/SQRT(COUNT(Q28:Q43))</f>
        <v>1.4438534133077505E-2</v>
      </c>
      <c r="R48" s="8">
        <f xml:space="preserve"> R47/SQRT(COUNT(R28:R43))</f>
        <v>1.7051284948688825E-2</v>
      </c>
      <c r="S48" s="8">
        <f t="shared" ref="S48:V48" si="56" xml:space="preserve"> S47/SQRT(COUNT(S28:S43))</f>
        <v>2.9151057322640565E-2</v>
      </c>
      <c r="T48" s="8">
        <f t="shared" si="56"/>
        <v>2.607738146726896E-2</v>
      </c>
      <c r="U48" s="8">
        <f t="shared" si="56"/>
        <v>2.3792702080477651E-2</v>
      </c>
      <c r="V48" s="8">
        <f t="shared" si="56"/>
        <v>2.9681436661316354E-2</v>
      </c>
    </row>
    <row r="49" spans="1:22" s="1" customFormat="1" ht="15" thickBot="1" x14ac:dyDescent="0.4">
      <c r="A49" s="8"/>
      <c r="B49" s="8"/>
      <c r="C49" s="8"/>
      <c r="D49" s="8"/>
      <c r="E49" s="8"/>
      <c r="F49" s="8"/>
      <c r="G49" s="8"/>
      <c r="H49" s="8"/>
      <c r="I49" s="8"/>
      <c r="J49" s="8"/>
      <c r="K49" s="8"/>
      <c r="L49" s="8"/>
      <c r="M49" s="8"/>
      <c r="N49" s="8"/>
      <c r="O49" s="8"/>
      <c r="P49" s="8"/>
      <c r="Q49" s="8"/>
      <c r="R49" s="8"/>
      <c r="S49" s="8"/>
      <c r="T49" s="8"/>
      <c r="U49" s="8"/>
      <c r="V49" s="8"/>
    </row>
    <row r="50" spans="1:22" ht="26.5" thickBot="1" x14ac:dyDescent="0.65">
      <c r="A50" s="218" t="s">
        <v>38</v>
      </c>
      <c r="B50" s="219"/>
      <c r="C50" s="219"/>
      <c r="D50" s="219"/>
      <c r="E50" s="219"/>
      <c r="F50" s="219"/>
      <c r="G50" s="219"/>
      <c r="H50" s="219"/>
      <c r="I50" s="219"/>
      <c r="J50" s="219"/>
      <c r="K50" s="219"/>
      <c r="L50" s="219"/>
      <c r="M50" s="219"/>
      <c r="N50" s="219"/>
      <c r="O50" s="219"/>
      <c r="P50" s="219"/>
      <c r="Q50" s="219"/>
      <c r="R50" s="219"/>
      <c r="S50" s="219"/>
      <c r="T50" s="219"/>
      <c r="U50" s="219"/>
      <c r="V50" s="219"/>
    </row>
    <row r="51" spans="1:22" ht="15" thickBot="1" x14ac:dyDescent="0.4">
      <c r="A51"/>
      <c r="B51"/>
      <c r="C51"/>
      <c r="D51"/>
      <c r="E51"/>
      <c r="F51"/>
      <c r="G51"/>
      <c r="H51"/>
      <c r="I51"/>
      <c r="J51"/>
      <c r="K51"/>
      <c r="L51"/>
      <c r="M51"/>
      <c r="S51"/>
      <c r="T51"/>
      <c r="U51"/>
      <c r="V51"/>
    </row>
    <row r="52" spans="1:22" x14ac:dyDescent="0.35">
      <c r="A52" s="45" t="str">
        <f t="shared" ref="A52:H52" si="57">A27</f>
        <v>Noms des groupes</v>
      </c>
      <c r="B52" s="46" t="str">
        <f t="shared" si="57"/>
        <v>Témoin solvant</v>
      </c>
      <c r="C52" s="46" t="str">
        <f t="shared" si="57"/>
        <v>EE2-33,8ng/L</v>
      </c>
      <c r="D52" s="46" t="str">
        <f t="shared" si="57"/>
        <v>EE2-50,6ng/L</v>
      </c>
      <c r="E52" s="46" t="str">
        <f t="shared" si="57"/>
        <v>EE2-76ng/L</v>
      </c>
      <c r="F52" s="46" t="str">
        <f t="shared" si="57"/>
        <v>EE2-114ng/L</v>
      </c>
      <c r="G52" s="46" t="str">
        <f t="shared" si="57"/>
        <v>EE2-170,9ng/L</v>
      </c>
      <c r="H52" s="46" t="str">
        <f t="shared" si="57"/>
        <v>EE2-488ng/L</v>
      </c>
      <c r="I52" s="46" t="str">
        <f>I4</f>
        <v>FAD-5.4µg/L</v>
      </c>
      <c r="J52" s="46" t="str">
        <f>J4</f>
        <v>FAD-11µg/L</v>
      </c>
      <c r="K52" s="46" t="str">
        <f>K27</f>
        <v>FAD-22µg/L</v>
      </c>
      <c r="L52" s="46" t="str">
        <f t="shared" ref="L52:M52" si="58">L27</f>
        <v>FAD-44µg/L</v>
      </c>
      <c r="M52" s="46" t="str">
        <f t="shared" si="58"/>
        <v>FAD-87µg/L</v>
      </c>
      <c r="N52" s="47"/>
      <c r="O52" s="46" t="str">
        <f>O27</f>
        <v>Testo -30µg/L</v>
      </c>
      <c r="P52" s="46" t="str">
        <f>P27</f>
        <v>Testo 30µg/L + EE2 -64ng/L</v>
      </c>
      <c r="Q52" s="46" t="str">
        <f>Q27</f>
        <v>Testo 30µg/L + FAD-10mg/L</v>
      </c>
      <c r="R52" s="46" t="str">
        <f>R27</f>
        <v>FAD-5,4µg/L + Testostérone</v>
      </c>
      <c r="S52" s="46" t="str">
        <f t="shared" ref="S52:V52" si="59">S27</f>
        <v>FAD-11µg/L + Testostérone</v>
      </c>
      <c r="T52" s="46" t="str">
        <f t="shared" si="59"/>
        <v>FAD-22µg/L + Testostérone</v>
      </c>
      <c r="U52" s="46" t="str">
        <f t="shared" si="59"/>
        <v>FAD-44µg/L + Testostérone</v>
      </c>
      <c r="V52" s="46" t="str">
        <f t="shared" si="59"/>
        <v>FAD-87µg/L + Testostérone</v>
      </c>
    </row>
    <row r="53" spans="1:22" s="3" customFormat="1" x14ac:dyDescent="0.35">
      <c r="A53" s="61" t="s">
        <v>32</v>
      </c>
      <c r="B53" s="142">
        <f t="shared" ref="B53:M53" si="60">B46</f>
        <v>7.6675848253166937E-2</v>
      </c>
      <c r="C53" s="142">
        <f t="shared" si="60"/>
        <v>9.8393945143188208E-2</v>
      </c>
      <c r="D53" s="142">
        <f t="shared" si="60"/>
        <v>0.16751845425361739</v>
      </c>
      <c r="E53" s="142">
        <f t="shared" si="60"/>
        <v>0.31475276015862169</v>
      </c>
      <c r="F53" s="142">
        <f t="shared" si="60"/>
        <v>1.1509423352134527</v>
      </c>
      <c r="G53" s="142">
        <f t="shared" si="60"/>
        <v>1.7963518635179823</v>
      </c>
      <c r="H53" s="142">
        <f t="shared" si="60"/>
        <v>2.2282526120369388</v>
      </c>
      <c r="I53" s="142">
        <f t="shared" si="60"/>
        <v>8.8712067161969471E-2</v>
      </c>
      <c r="J53" s="142">
        <f t="shared" si="60"/>
        <v>9.5875483021568259E-2</v>
      </c>
      <c r="K53" s="142">
        <f t="shared" si="60"/>
        <v>8.0903750537769645E-2</v>
      </c>
      <c r="L53" s="142">
        <f t="shared" si="60"/>
        <v>6.6100140843825539E-2</v>
      </c>
      <c r="M53" s="142">
        <f t="shared" si="60"/>
        <v>9.6545728352927851E-2</v>
      </c>
      <c r="N53" s="142"/>
      <c r="O53" s="142">
        <f t="shared" ref="O53:V53" si="61">O46</f>
        <v>1.0000000000000002</v>
      </c>
      <c r="P53" s="142">
        <f t="shared" si="61"/>
        <v>2.1101116787081371</v>
      </c>
      <c r="Q53" s="142">
        <f t="shared" si="61"/>
        <v>7.2391818855594661E-2</v>
      </c>
      <c r="R53" s="142">
        <f t="shared" si="61"/>
        <v>9.3149504021530341E-2</v>
      </c>
      <c r="S53" s="142">
        <f t="shared" si="61"/>
        <v>0.16568091739814256</v>
      </c>
      <c r="T53" s="142">
        <f t="shared" si="61"/>
        <v>0.10528852575195942</v>
      </c>
      <c r="U53" s="142">
        <f t="shared" si="61"/>
        <v>0.10187099731647306</v>
      </c>
      <c r="V53" s="142">
        <f t="shared" si="61"/>
        <v>0.11417013864511989</v>
      </c>
    </row>
    <row r="54" spans="1:22" s="3" customFormat="1" x14ac:dyDescent="0.35">
      <c r="A54" s="61" t="s">
        <v>2</v>
      </c>
      <c r="B54" s="142">
        <f t="shared" ref="B54:M54" si="62">B48</f>
        <v>2.3459875720393764E-2</v>
      </c>
      <c r="C54" s="142">
        <f t="shared" si="62"/>
        <v>1.254197293455213E-2</v>
      </c>
      <c r="D54" s="142">
        <f t="shared" si="62"/>
        <v>0.10009119339089569</v>
      </c>
      <c r="E54" s="142">
        <f t="shared" si="62"/>
        <v>7.4510617115659109E-2</v>
      </c>
      <c r="F54" s="142">
        <f t="shared" si="62"/>
        <v>0.1773617627743003</v>
      </c>
      <c r="G54" s="142">
        <f t="shared" si="62"/>
        <v>0.15796984557779206</v>
      </c>
      <c r="H54" s="142">
        <f t="shared" si="62"/>
        <v>0.18312296347435492</v>
      </c>
      <c r="I54" s="142">
        <f t="shared" si="62"/>
        <v>3.8060617523257796E-2</v>
      </c>
      <c r="J54" s="142">
        <f t="shared" si="62"/>
        <v>2.5706142573098601E-2</v>
      </c>
      <c r="K54" s="142">
        <f t="shared" si="62"/>
        <v>1.5672061859022528E-2</v>
      </c>
      <c r="L54" s="142">
        <f t="shared" si="62"/>
        <v>1.5403996130409603E-2</v>
      </c>
      <c r="M54" s="142">
        <f t="shared" si="62"/>
        <v>8.1383156060116559E-3</v>
      </c>
      <c r="N54" s="142"/>
      <c r="O54" s="142">
        <f t="shared" ref="O54:V54" si="63">O48</f>
        <v>0.13366220102735191</v>
      </c>
      <c r="P54" s="142">
        <f t="shared" si="63"/>
        <v>0.20001354212138434</v>
      </c>
      <c r="Q54" s="142">
        <f t="shared" si="63"/>
        <v>1.4438534133077505E-2</v>
      </c>
      <c r="R54" s="142">
        <f t="shared" si="63"/>
        <v>1.7051284948688825E-2</v>
      </c>
      <c r="S54" s="142">
        <f t="shared" si="63"/>
        <v>2.9151057322640565E-2</v>
      </c>
      <c r="T54" s="142">
        <f t="shared" si="63"/>
        <v>2.607738146726896E-2</v>
      </c>
      <c r="U54" s="142">
        <f t="shared" si="63"/>
        <v>2.3792702080477651E-2</v>
      </c>
      <c r="V54" s="142">
        <f t="shared" si="63"/>
        <v>2.9681436661316354E-2</v>
      </c>
    </row>
    <row r="55" spans="1:22" s="3" customFormat="1" x14ac:dyDescent="0.35">
      <c r="A55" s="61" t="s">
        <v>79</v>
      </c>
      <c r="B55" s="142">
        <f t="shared" ref="B55:M55" si="64">(B53*100/$B$53)-100</f>
        <v>0</v>
      </c>
      <c r="C55" s="142">
        <f t="shared" si="64"/>
        <v>28.324560320888594</v>
      </c>
      <c r="D55" s="142">
        <f t="shared" si="64"/>
        <v>118.4761669678671</v>
      </c>
      <c r="E55" s="142">
        <f t="shared" si="64"/>
        <v>310.49791730947231</v>
      </c>
      <c r="F55" s="142">
        <f t="shared" si="64"/>
        <v>1401.0493674791728</v>
      </c>
      <c r="G55" s="142">
        <f t="shared" si="64"/>
        <v>2242.787076299202</v>
      </c>
      <c r="H55" s="142">
        <f t="shared" si="64"/>
        <v>2806.068420240666</v>
      </c>
      <c r="I55" s="142">
        <f t="shared" si="64"/>
        <v>15.697536033851975</v>
      </c>
      <c r="J55" s="142">
        <f t="shared" si="64"/>
        <v>25.040003085467418</v>
      </c>
      <c r="K55" s="142">
        <f t="shared" si="64"/>
        <v>5.5139947987834432</v>
      </c>
      <c r="L55" s="142">
        <f t="shared" si="64"/>
        <v>-13.792749151496466</v>
      </c>
      <c r="M55" s="142">
        <f t="shared" si="64"/>
        <v>25.914131440913323</v>
      </c>
      <c r="N55" s="142"/>
      <c r="O55" s="142">
        <f>(O53*100/$O$53)-100</f>
        <v>0</v>
      </c>
      <c r="P55" s="142">
        <f t="shared" ref="P55:V55" si="65">(P53*100/$O$53)-100</f>
        <v>111.01116787081367</v>
      </c>
      <c r="Q55" s="142">
        <f t="shared" si="65"/>
        <v>-92.760818114440539</v>
      </c>
      <c r="R55" s="142">
        <f t="shared" si="65"/>
        <v>-90.68504959784697</v>
      </c>
      <c r="S55" s="142">
        <f t="shared" si="65"/>
        <v>-83.43190826018575</v>
      </c>
      <c r="T55" s="142">
        <f t="shared" si="65"/>
        <v>-89.471147424804059</v>
      </c>
      <c r="U55" s="142">
        <f t="shared" si="65"/>
        <v>-89.812900268352692</v>
      </c>
      <c r="V55" s="142">
        <f t="shared" si="65"/>
        <v>-88.582986135488014</v>
      </c>
    </row>
    <row r="56" spans="1:22" s="3" customFormat="1" x14ac:dyDescent="0.35">
      <c r="A56" s="61" t="s">
        <v>81</v>
      </c>
      <c r="B56" s="142">
        <f>[1]!SWTEST(B28:B43)</f>
        <v>0.50683269453713797</v>
      </c>
      <c r="C56" s="142">
        <f>[1]!SWTEST(C28:C43)</f>
        <v>0.58847398898125391</v>
      </c>
      <c r="D56" s="142">
        <f>[1]!SWTEST(D28:D43)</f>
        <v>9.9190608375709921E-5</v>
      </c>
      <c r="E56" s="142">
        <f>[1]!SWTEST(E28:E43)</f>
        <v>0.3791005784804854</v>
      </c>
      <c r="F56" s="142">
        <f>[1]!SWTEST(F28:F43)</f>
        <v>0.85265240203798687</v>
      </c>
      <c r="G56" s="142">
        <f>[1]!SWTEST(G28:G43)</f>
        <v>0.62255352304048606</v>
      </c>
      <c r="H56" s="142">
        <f>[1]!SWTEST(H28:H43)</f>
        <v>0.26959378003494838</v>
      </c>
      <c r="I56" s="142">
        <f>[1]!SWTEST(I28:I43)</f>
        <v>0.15225064210289285</v>
      </c>
      <c r="J56" s="142">
        <f>[1]!SWTEST(J28:J43)</f>
        <v>0.72331322777715334</v>
      </c>
      <c r="K56" s="142">
        <f>[1]!SWTEST(K28:K43)</f>
        <v>0.26917020833991057</v>
      </c>
      <c r="L56" s="142">
        <f>[1]!SWTEST(L28:L43)</f>
        <v>0.50520868498584348</v>
      </c>
      <c r="M56" s="142">
        <f>[1]!SWTEST(M28:M43)</f>
        <v>0.5256441627843631</v>
      </c>
      <c r="N56" s="142"/>
      <c r="O56" s="142">
        <f>[1]!SWTEST(O28:O43)</f>
        <v>0.90921439071074794</v>
      </c>
      <c r="P56" s="142">
        <f>[1]!SWTEST(P28:P43)</f>
        <v>0.29469458258713399</v>
      </c>
      <c r="Q56" s="142">
        <f>[1]!SWTEST(Q28:Q43)</f>
        <v>0.24779851310295287</v>
      </c>
      <c r="R56" s="142">
        <f>[1]!SWTEST(R28:R43)</f>
        <v>0.80656349467764421</v>
      </c>
      <c r="S56" s="142">
        <f>[1]!SWTEST(S28:S43)</f>
        <v>0.18822139619002465</v>
      </c>
      <c r="T56" s="142">
        <f>[1]!SWTEST(T28:T43)</f>
        <v>0.8510906145436441</v>
      </c>
      <c r="U56" s="142">
        <f>[1]!SWTEST(U28:U43)</f>
        <v>0.39828384351809121</v>
      </c>
      <c r="V56" s="142">
        <f>[1]!SWTEST(V28:V43)</f>
        <v>0.17006609408364537</v>
      </c>
    </row>
    <row r="57" spans="1:22" s="3" customFormat="1" x14ac:dyDescent="0.35">
      <c r="A57" s="61" t="s">
        <v>85</v>
      </c>
      <c r="B57" s="142" t="str">
        <f t="shared" ref="B57:M57" si="66">IF(B56&gt;0.05,"Oui","Non")</f>
        <v>Oui</v>
      </c>
      <c r="C57" s="142" t="str">
        <f t="shared" si="66"/>
        <v>Oui</v>
      </c>
      <c r="D57" s="142" t="str">
        <f t="shared" si="66"/>
        <v>Non</v>
      </c>
      <c r="E57" s="142" t="str">
        <f t="shared" si="66"/>
        <v>Oui</v>
      </c>
      <c r="F57" s="142" t="str">
        <f t="shared" si="66"/>
        <v>Oui</v>
      </c>
      <c r="G57" s="142" t="str">
        <f t="shared" si="66"/>
        <v>Oui</v>
      </c>
      <c r="H57" s="142" t="str">
        <f t="shared" si="66"/>
        <v>Oui</v>
      </c>
      <c r="I57" s="142" t="str">
        <f t="shared" si="66"/>
        <v>Oui</v>
      </c>
      <c r="J57" s="142" t="str">
        <f t="shared" si="66"/>
        <v>Oui</v>
      </c>
      <c r="K57" s="142" t="str">
        <f t="shared" si="66"/>
        <v>Oui</v>
      </c>
      <c r="L57" s="142" t="str">
        <f t="shared" si="66"/>
        <v>Oui</v>
      </c>
      <c r="M57" s="142" t="str">
        <f t="shared" si="66"/>
        <v>Oui</v>
      </c>
      <c r="N57" s="142"/>
      <c r="O57" s="142" t="str">
        <f t="shared" ref="O57:V57" si="67">IF(O56&gt;0.05,"Oui","Non")</f>
        <v>Oui</v>
      </c>
      <c r="P57" s="142" t="str">
        <f t="shared" si="67"/>
        <v>Oui</v>
      </c>
      <c r="Q57" s="142" t="str">
        <f t="shared" si="67"/>
        <v>Oui</v>
      </c>
      <c r="R57" s="142" t="str">
        <f t="shared" si="67"/>
        <v>Oui</v>
      </c>
      <c r="S57" s="142" t="str">
        <f t="shared" si="67"/>
        <v>Oui</v>
      </c>
      <c r="T57" s="142" t="str">
        <f t="shared" si="67"/>
        <v>Oui</v>
      </c>
      <c r="U57" s="142" t="str">
        <f t="shared" si="67"/>
        <v>Oui</v>
      </c>
      <c r="V57" s="142" t="str">
        <f t="shared" si="67"/>
        <v>Oui</v>
      </c>
    </row>
    <row r="58" spans="1:22" s="3" customFormat="1" x14ac:dyDescent="0.35">
      <c r="A58" s="61"/>
      <c r="B58" s="142"/>
      <c r="C58" s="142"/>
      <c r="D58" s="142"/>
      <c r="E58" s="142"/>
      <c r="F58" s="142"/>
      <c r="G58" s="142"/>
      <c r="H58" s="142"/>
      <c r="I58" s="142"/>
      <c r="J58" s="142"/>
      <c r="K58" s="142"/>
      <c r="L58" s="142"/>
      <c r="M58" s="142"/>
      <c r="N58" s="149"/>
      <c r="O58" s="150"/>
      <c r="P58" s="142"/>
      <c r="Q58" s="142"/>
      <c r="R58" s="142"/>
      <c r="S58" s="142"/>
      <c r="T58" s="142"/>
      <c r="U58" s="142"/>
      <c r="V58" s="142"/>
    </row>
    <row r="59" spans="1:22" s="3" customFormat="1" x14ac:dyDescent="0.35">
      <c r="A59" s="61" t="s">
        <v>82</v>
      </c>
      <c r="B59" s="151"/>
      <c r="C59" s="151" t="str">
        <f t="shared" ref="C59:M59" si="68">IF($B57="Non",IF(C$57="Non","Mann Withney",IF(C$57="Oui","Mann Withney","")),IF($B$57="Oui",IF(C$57="Oui","T-Test Welch",IF(C$57="Non","Mann Withney",""))))</f>
        <v>T-Test Welch</v>
      </c>
      <c r="D59" s="151" t="str">
        <f t="shared" si="68"/>
        <v>Mann Withney</v>
      </c>
      <c r="E59" s="151" t="str">
        <f t="shared" si="68"/>
        <v>T-Test Welch</v>
      </c>
      <c r="F59" s="151" t="str">
        <f t="shared" si="68"/>
        <v>T-Test Welch</v>
      </c>
      <c r="G59" s="151" t="str">
        <f t="shared" si="68"/>
        <v>T-Test Welch</v>
      </c>
      <c r="H59" s="151" t="str">
        <f t="shared" si="68"/>
        <v>T-Test Welch</v>
      </c>
      <c r="I59" s="151" t="str">
        <f t="shared" si="68"/>
        <v>T-Test Welch</v>
      </c>
      <c r="J59" s="151" t="str">
        <f t="shared" si="68"/>
        <v>T-Test Welch</v>
      </c>
      <c r="K59" s="151" t="str">
        <f t="shared" si="68"/>
        <v>T-Test Welch</v>
      </c>
      <c r="L59" s="151" t="str">
        <f t="shared" si="68"/>
        <v>T-Test Welch</v>
      </c>
      <c r="M59" s="151" t="str">
        <f t="shared" si="68"/>
        <v>T-Test Welch</v>
      </c>
      <c r="N59" s="151"/>
      <c r="O59" s="151" t="str">
        <f>IF($B57="Non",IF(O$57="Non","Mann Withney",IF(O$57="Oui","Mann Withney","")),IF($B$57="Oui",IF(O$57="Oui","T-Test Welch",IF(O$57="Non","Mann Withney",""))))</f>
        <v>T-Test Welch</v>
      </c>
      <c r="P59" s="151" t="str">
        <f>IF($O57="Non",IF(P$57="Non","Mann Withney",IF(P$57="Oui","Mann Withney","")),IF($O$57="Oui",IF(P$57="Oui","T-Test Welch",IF(P$57="Non","Mann Withney",""))))</f>
        <v>T-Test Welch</v>
      </c>
      <c r="Q59" s="151" t="str">
        <f t="shared" ref="Q59:V59" si="69">IF($O57="Non",IF(Q$57="Non","Mann Withney",IF(Q$57="Oui","Mann Withney","")),IF($O$57="Oui",IF(Q$57="Oui","T-Test Welch",IF(Q$57="Non","Mann Withney",""))))</f>
        <v>T-Test Welch</v>
      </c>
      <c r="R59" s="151" t="str">
        <f t="shared" si="69"/>
        <v>T-Test Welch</v>
      </c>
      <c r="S59" s="151" t="str">
        <f t="shared" si="69"/>
        <v>T-Test Welch</v>
      </c>
      <c r="T59" s="151" t="str">
        <f t="shared" si="69"/>
        <v>T-Test Welch</v>
      </c>
      <c r="U59" s="151" t="str">
        <f t="shared" si="69"/>
        <v>T-Test Welch</v>
      </c>
      <c r="V59" s="151" t="str">
        <f t="shared" si="69"/>
        <v>T-Test Welch</v>
      </c>
    </row>
    <row r="60" spans="1:22" s="3" customFormat="1" x14ac:dyDescent="0.35">
      <c r="A60" s="61" t="s">
        <v>83</v>
      </c>
      <c r="B60" s="152"/>
      <c r="C60" s="152">
        <f>IF(C59="Mann Withney",[1]!MTEST($B28:$B43,C28:C43,2), IF(C59="T-Test Welch",_xlfn.T.TEST($B28:$B43,C28:C43,2,3),""))</f>
        <v>0.43474256280255852</v>
      </c>
      <c r="D60" s="152">
        <f>IF(D59="Mann Withney",[1]!MTEST($B28:$B43,D28:D43,2), IF(D59="T-Test Welch",_xlfn.T.TEST($B28:$B43,D28:D43,2,3),""))</f>
        <v>0.79829784732852649</v>
      </c>
      <c r="E60" s="152">
        <f>IF(E59="Mann Withney",[1]!MTEST($B28:$B43,E28:E43,2), IF(E59="T-Test Welch",_xlfn.T.TEST($B28:$B43,E28:E43,2,3),""))</f>
        <v>1.5073922598934355E-2</v>
      </c>
      <c r="F60" s="152">
        <f>IF(F59="Mann Withney",[1]!MTEST($B28:$B43,F28:F43,2), IF(F59="T-Test Welch",_xlfn.T.TEST($B28:$B43,F28:F43,2,3),""))</f>
        <v>4.732489265977367E-4</v>
      </c>
      <c r="G60" s="152">
        <f>IF(G59="Mann Withney",[1]!MTEST($B28:$B43,G28:G43,2), IF(G59="T-Test Welch",_xlfn.T.TEST($B28:$B43,G28:G43,2,3),""))</f>
        <v>2.8412038101426296E-5</v>
      </c>
      <c r="H60" s="152">
        <f>IF(H59="Mann Withney",[1]!MTEST($B28:$B43,H28:H43,2), IF(H59="T-Test Welch",_xlfn.T.TEST($B28:$B43,H28:H43,2,3),""))</f>
        <v>6.0282306109481119E-6</v>
      </c>
      <c r="I60" s="152">
        <f>IF(I59="Mann Withney",[1]!MTEST($B28:$B43,I28:I43,2), IF(I59="T-Test Welch",_xlfn.T.TEST($B28:$B43,I28:I43,2,3),""))</f>
        <v>0.79325197771219891</v>
      </c>
      <c r="J60" s="152">
        <f>IF(J59="Mann Withney",[1]!MTEST($B28:$B43,J28:J43,2), IF(J59="T-Test Welch",_xlfn.T.TEST($B28:$B43,J28:J43,2,3),""))</f>
        <v>0.59052466698938277</v>
      </c>
      <c r="K60" s="152">
        <f>IF(K59="Mann Withney",[1]!MTEST($B28:$B43,K28:K43,2), IF(K59="T-Test Welch",_xlfn.T.TEST($B28:$B43,K28:K43,2,3),""))</f>
        <v>0.88372698701750774</v>
      </c>
      <c r="L60" s="152">
        <f>IF(L59="Mann Withney",[1]!MTEST($B28:$B43,L28:L43,2), IF(L59="T-Test Welch",_xlfn.T.TEST($B28:$B43,L28:L43,2,3),""))</f>
        <v>0.71373574283899455</v>
      </c>
      <c r="M60" s="152">
        <f>IF(M59="Mann Withney",[1]!MTEST($B28:$B43,M28:M43,2), IF(M59="T-Test Welch",_xlfn.T.TEST($B28:$B43,M28:M43,2,3),""))</f>
        <v>0.44839707178224275</v>
      </c>
      <c r="N60" s="152"/>
      <c r="O60" s="152">
        <f>IF(O59="Mann Withney",[1]!MTEST($B28:$B43,O28:O43,2), IF(O59="T-Test Welch",_xlfn.T.TEST($B28:$B43,O28:O43,2,3),""))</f>
        <v>6.2916824520093941E-6</v>
      </c>
      <c r="P60" s="152">
        <f>IF(P59="Mann Withney",[1]!MTEST($O28:$O43,P28:P43,2), IF(P59="T-Test Welch",_xlfn.T.TEST($O28:$O43,P28:P43,2,3),""))</f>
        <v>4.5539636038486285E-4</v>
      </c>
      <c r="Q60" s="152">
        <f>IF(Q59="Mann Withney",[1]!MTEST($O28:$O43,Q28:Q43,2), IF(Q59="T-Test Welch",_xlfn.T.TEST($O28:$O43,Q28:Q43,2,3),""))</f>
        <v>6.4818692694047131E-6</v>
      </c>
      <c r="R60" s="152">
        <f>IF(R59="Mann Withney",[1]!MTEST($O28:$O43,R28:R43,2), IF(R59="T-Test Welch",_xlfn.T.TEST($O28:$O43,R28:R43,2,3),""))</f>
        <v>8.1765624215171574E-6</v>
      </c>
      <c r="S60" s="152">
        <f>IF(S59="Mann Withney",[1]!MTEST($O28:$O43,S28:S43,2), IF(S59="T-Test Welch",_xlfn.T.TEST($O28:$O43,S28:S43,2,3),""))</f>
        <v>1.8718913143454435E-5</v>
      </c>
      <c r="T60" s="152">
        <f>IF(T59="Mann Withney",[1]!MTEST($O28:$O43,T28:T43,2), IF(T59="T-Test Welch",_xlfn.T.TEST($O28:$O43,T28:T43,2,3),""))</f>
        <v>8.7617650076232972E-6</v>
      </c>
      <c r="U60" s="152">
        <f>IF(U59="Mann Withney",[1]!MTEST($O28:$O43,U28:U43,2), IF(U59="T-Test Welch",_xlfn.T.TEST($O28:$O43,U28:U43,2,3),""))</f>
        <v>8.5777643817935324E-6</v>
      </c>
      <c r="V60" s="152">
        <f>IF(V59="Mann Withney",[1]!MTEST($O28:$O43,V28:V43,2), IF(V59="T-Test Welch",_xlfn.T.TEST($O28:$O43,V28:V43,2,3),""))</f>
        <v>9.5237115428028209E-6</v>
      </c>
    </row>
    <row r="61" spans="1:22" s="3" customFormat="1" ht="15" thickBot="1" x14ac:dyDescent="0.4">
      <c r="A61" s="62" t="s">
        <v>84</v>
      </c>
      <c r="B61" s="143"/>
      <c r="C61" s="143" t="str">
        <f t="shared" ref="C61:M61" si="70">IF(C60&gt;0.05,"NS",IF(C60&gt;0.01,"*",IF(C60&gt;0.001,"**","***")))</f>
        <v>NS</v>
      </c>
      <c r="D61" s="143" t="str">
        <f t="shared" si="70"/>
        <v>NS</v>
      </c>
      <c r="E61" s="143" t="str">
        <f t="shared" si="70"/>
        <v>*</v>
      </c>
      <c r="F61" s="143" t="str">
        <f t="shared" si="70"/>
        <v>***</v>
      </c>
      <c r="G61" s="143" t="str">
        <f t="shared" si="70"/>
        <v>***</v>
      </c>
      <c r="H61" s="143" t="str">
        <f t="shared" si="70"/>
        <v>***</v>
      </c>
      <c r="I61" s="143" t="str">
        <f t="shared" si="70"/>
        <v>NS</v>
      </c>
      <c r="J61" s="143" t="str">
        <f t="shared" si="70"/>
        <v>NS</v>
      </c>
      <c r="K61" s="143" t="str">
        <f t="shared" si="70"/>
        <v>NS</v>
      </c>
      <c r="L61" s="143" t="str">
        <f t="shared" si="70"/>
        <v>NS</v>
      </c>
      <c r="M61" s="143" t="str">
        <f t="shared" si="70"/>
        <v>NS</v>
      </c>
      <c r="N61" s="143"/>
      <c r="O61" s="143" t="str">
        <f>IF(O60&gt;0.05,"NS",IF(O60&gt;0.01,"*",IF(O60&gt;0.001,"**","***")))</f>
        <v>***</v>
      </c>
      <c r="P61" s="143" t="str">
        <f>IF(P60&gt;0.05,"NS",IF(P60&gt;0.01,"*",IF(P60&gt;0.001,"**","***")))</f>
        <v>***</v>
      </c>
      <c r="Q61" s="143" t="str">
        <f t="shared" ref="Q61" si="71">IF(Q60&gt;0.05,"NS",IF(Q60&gt;0.01,"*",IF(Q60&gt;0.001,"**","***")))</f>
        <v>***</v>
      </c>
      <c r="R61" s="143" t="str">
        <f t="shared" ref="R61" si="72">IF(R60&gt;0.05,"NS",IF(R60&gt;0.01,"*",IF(R60&gt;0.001,"**","***")))</f>
        <v>***</v>
      </c>
      <c r="S61" s="143" t="str">
        <f t="shared" ref="S61" si="73">IF(S60&gt;0.05,"NS",IF(S60&gt;0.01,"*",IF(S60&gt;0.001,"**","***")))</f>
        <v>***</v>
      </c>
      <c r="T61" s="143" t="str">
        <f t="shared" ref="T61" si="74">IF(T60&gt;0.05,"NS",IF(T60&gt;0.01,"*",IF(T60&gt;0.001,"**","***")))</f>
        <v>***</v>
      </c>
      <c r="U61" s="143" t="str">
        <f t="shared" ref="U61" si="75">IF(U60&gt;0.05,"NS",IF(U60&gt;0.01,"*",IF(U60&gt;0.001,"**","***")))</f>
        <v>***</v>
      </c>
      <c r="V61" s="143" t="str">
        <f t="shared" ref="V61" si="76">IF(V60&gt;0.05,"NS",IF(V60&gt;0.01,"*",IF(V60&gt;0.001,"**","***")))</f>
        <v>***</v>
      </c>
    </row>
    <row r="63" spans="1:22" x14ac:dyDescent="0.35">
      <c r="A63" s="2" t="s">
        <v>39</v>
      </c>
    </row>
    <row r="64" spans="1:22" x14ac:dyDescent="0.35">
      <c r="A64" s="1" t="s">
        <v>23</v>
      </c>
      <c r="B64" s="1">
        <f>B46+(3*B47)</f>
        <v>0.26288283908709942</v>
      </c>
    </row>
    <row r="65" spans="1:22" x14ac:dyDescent="0.35">
      <c r="A65" s="1" t="s">
        <v>24</v>
      </c>
      <c r="B65" s="1">
        <f>B46+(10*B47)</f>
        <v>0.69736581769960859</v>
      </c>
    </row>
    <row r="66" spans="1:22" ht="15" thickBot="1" x14ac:dyDescent="0.4"/>
    <row r="67" spans="1:22" s="1" customFormat="1" ht="26.5" thickBot="1" x14ac:dyDescent="0.65">
      <c r="A67" s="218" t="s">
        <v>52</v>
      </c>
      <c r="B67" s="219"/>
      <c r="C67" s="219"/>
      <c r="D67" s="219"/>
      <c r="E67" s="219"/>
      <c r="F67" s="219"/>
      <c r="G67" s="219"/>
      <c r="H67" s="219"/>
      <c r="I67" s="219"/>
      <c r="J67" s="219"/>
      <c r="K67" s="219"/>
      <c r="L67" s="219"/>
      <c r="M67" s="219"/>
      <c r="N67" s="219"/>
      <c r="O67" s="219"/>
      <c r="P67" s="219"/>
      <c r="Q67" s="219"/>
      <c r="R67" s="219"/>
      <c r="S67" s="219"/>
      <c r="T67" s="219"/>
      <c r="U67" s="219"/>
      <c r="V67" s="219"/>
    </row>
    <row r="68" spans="1:22" ht="16.5" x14ac:dyDescent="0.35">
      <c r="A68" s="12"/>
      <c r="B68" s="12"/>
      <c r="C68" s="12"/>
      <c r="D68" s="12"/>
      <c r="E68" s="12"/>
      <c r="F68" s="12"/>
      <c r="N68" s="12"/>
      <c r="O68" s="12"/>
      <c r="P68" s="12"/>
      <c r="Q68" s="12"/>
      <c r="R68" s="12"/>
      <c r="S68" s="12"/>
      <c r="T68" s="12"/>
      <c r="U68" s="12"/>
      <c r="V68" s="12"/>
    </row>
    <row r="69" spans="1:22" ht="16.5" x14ac:dyDescent="0.35">
      <c r="A69" s="12"/>
      <c r="B69" s="12"/>
      <c r="C69" s="12"/>
      <c r="D69" s="12"/>
      <c r="E69" s="12"/>
      <c r="F69" s="12"/>
      <c r="N69" s="12"/>
      <c r="O69" s="12"/>
      <c r="P69" s="12"/>
      <c r="Q69" s="12"/>
      <c r="R69" s="12"/>
      <c r="S69" s="12"/>
      <c r="T69" s="12"/>
      <c r="U69" s="12"/>
      <c r="V69" s="12"/>
    </row>
    <row r="70" spans="1:22" ht="16.5" x14ac:dyDescent="0.35">
      <c r="A70" s="12"/>
      <c r="B70" s="12"/>
      <c r="C70" s="12"/>
      <c r="D70" s="12"/>
      <c r="E70" s="12"/>
      <c r="F70" s="12"/>
      <c r="N70" s="12"/>
      <c r="O70" s="12"/>
      <c r="P70" s="12"/>
      <c r="Q70" s="12"/>
      <c r="R70" s="12"/>
      <c r="S70" s="12"/>
      <c r="T70" s="12"/>
      <c r="U70" s="12"/>
      <c r="V70" s="12"/>
    </row>
    <row r="71" spans="1:22" ht="16.5" x14ac:dyDescent="0.35">
      <c r="A71" s="12"/>
      <c r="B71" s="12"/>
      <c r="C71" s="12"/>
      <c r="D71" s="12"/>
      <c r="E71" s="12"/>
      <c r="F71" s="12"/>
      <c r="N71" s="12"/>
      <c r="O71" s="12"/>
      <c r="P71" s="12"/>
      <c r="Q71" s="12"/>
      <c r="R71" s="12"/>
      <c r="S71" s="12"/>
      <c r="T71" s="12"/>
      <c r="U71" s="12"/>
      <c r="V71" s="12"/>
    </row>
    <row r="72" spans="1:22" ht="16.5" x14ac:dyDescent="0.35">
      <c r="A72" s="12"/>
      <c r="B72" s="12"/>
      <c r="C72" s="12"/>
      <c r="D72" s="12"/>
      <c r="E72" s="12"/>
      <c r="F72" s="12"/>
      <c r="N72" s="12"/>
      <c r="O72" s="12"/>
      <c r="P72" s="12"/>
      <c r="Q72" s="12"/>
      <c r="R72" s="12"/>
      <c r="S72" s="12"/>
      <c r="T72" s="12"/>
      <c r="U72" s="12"/>
      <c r="V72" s="12"/>
    </row>
    <row r="73" spans="1:22" ht="16.5" x14ac:dyDescent="0.35">
      <c r="A73" s="12"/>
      <c r="B73" s="12"/>
      <c r="C73" s="12"/>
      <c r="D73" s="12"/>
      <c r="E73" s="12"/>
      <c r="F73" s="12"/>
      <c r="N73" s="12"/>
      <c r="O73" s="12"/>
      <c r="P73" s="12"/>
      <c r="Q73" s="12"/>
      <c r="R73" s="12"/>
      <c r="S73" s="12"/>
      <c r="T73" s="12"/>
      <c r="U73" s="12"/>
      <c r="V73" s="12"/>
    </row>
    <row r="74" spans="1:22" ht="16.5" x14ac:dyDescent="0.35">
      <c r="A74" s="12"/>
      <c r="B74" s="12"/>
      <c r="C74" s="12"/>
      <c r="D74" s="12"/>
      <c r="E74" s="12"/>
      <c r="F74" s="12"/>
      <c r="N74" s="12"/>
      <c r="O74" s="12"/>
      <c r="P74" s="12"/>
      <c r="Q74" s="12"/>
      <c r="R74" s="12"/>
      <c r="S74" s="12"/>
      <c r="T74" s="12"/>
      <c r="U74" s="12"/>
      <c r="V74" s="12"/>
    </row>
  </sheetData>
  <protectedRanges>
    <protectedRange sqref="O51:V51" name="Plage2"/>
    <protectedRange sqref="R5:V21" name="Plage1"/>
    <protectedRange sqref="B51:J51" name="Plage2_1"/>
    <protectedRange sqref="O5:O21 J5:J12 B13:J21" name="Plage1_1"/>
    <protectedRange sqref="B5:I12" name="Plage1_1_1"/>
  </protectedRanges>
  <mergeCells count="9">
    <mergeCell ref="A1:V1"/>
    <mergeCell ref="A67:V67"/>
    <mergeCell ref="A50:V50"/>
    <mergeCell ref="A5:A20"/>
    <mergeCell ref="A28:A43"/>
    <mergeCell ref="B3:M3"/>
    <mergeCell ref="B26:M26"/>
    <mergeCell ref="O26:V26"/>
    <mergeCell ref="O3:V3"/>
  </mergeCells>
  <pageMargins left="0.7" right="0.7" top="0.75" bottom="0.75" header="0.3" footer="0.3"/>
  <pageSetup paperSize="9" scale="21" orientation="landscape" r:id="rId1"/>
  <headerFooter>
    <oddHeader>&amp;C&amp;"-,Gras"&amp;14Données brutes et normalisées R1&amp;R&amp;"-,Gras"&amp;14Page : &amp;P/&amp;P</oddHeader>
  </headerFooter>
  <colBreaks count="1" manualBreakCount="1">
    <brk id="14" max="1048575" man="1"/>
  </colBreak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EN1531"/>
  <sheetViews>
    <sheetView showGridLines="0" topLeftCell="Q1" zoomScale="80" zoomScaleNormal="80" workbookViewId="0">
      <selection activeCell="Z5" sqref="Z5:AD12"/>
    </sheetView>
  </sheetViews>
  <sheetFormatPr baseColWidth="10" defaultColWidth="11.453125" defaultRowHeight="14.5" x14ac:dyDescent="0.35"/>
  <cols>
    <col min="1" max="2" width="15" style="1" customWidth="1"/>
    <col min="3" max="3" width="25.453125" style="1" customWidth="1"/>
    <col min="4" max="4" width="14" style="1" customWidth="1"/>
    <col min="5" max="5" width="21.1796875" style="1" customWidth="1"/>
    <col min="6" max="6" width="11.453125" style="1"/>
    <col min="7" max="7" width="21.453125" style="1" customWidth="1"/>
    <col min="8" max="8" width="12.26953125" style="1" customWidth="1"/>
    <col min="9" max="9" width="17.1796875" style="1" customWidth="1"/>
    <col min="10" max="10" width="11.453125" style="1"/>
    <col min="11" max="11" width="37.453125" style="1" bestFit="1" customWidth="1"/>
    <col min="12" max="12" width="38.453125" style="1" bestFit="1" customWidth="1"/>
    <col min="13" max="14" width="12.81640625" style="1" customWidth="1"/>
    <col min="15" max="25" width="12.26953125" style="1" customWidth="1"/>
    <col min="26" max="16384" width="11.453125" style="1"/>
  </cols>
  <sheetData>
    <row r="1" spans="1:144" x14ac:dyDescent="0.35">
      <c r="A1" s="1" t="s">
        <v>107</v>
      </c>
      <c r="B1" s="1" t="s">
        <v>108</v>
      </c>
      <c r="C1" s="1" t="s">
        <v>109</v>
      </c>
      <c r="D1" s="1" t="s">
        <v>110</v>
      </c>
      <c r="E1" s="1" t="s">
        <v>111</v>
      </c>
      <c r="F1" s="1" t="s">
        <v>112</v>
      </c>
      <c r="G1" s="1" t="s">
        <v>113</v>
      </c>
      <c r="H1" s="1" t="s">
        <v>117</v>
      </c>
      <c r="I1" s="1" t="s">
        <v>118</v>
      </c>
      <c r="K1" s="119" t="s">
        <v>112</v>
      </c>
      <c r="L1" s="1" t="s">
        <v>119</v>
      </c>
      <c r="M1"/>
      <c r="N1"/>
      <c r="O1"/>
      <c r="P1"/>
      <c r="Q1"/>
      <c r="R1"/>
      <c r="S1"/>
      <c r="T1"/>
      <c r="U1"/>
      <c r="V1"/>
      <c r="W1"/>
      <c r="X1"/>
      <c r="Y1"/>
      <c r="Z1"/>
      <c r="AA1"/>
      <c r="AB1"/>
      <c r="AC1"/>
      <c r="AD1"/>
      <c r="AE1"/>
      <c r="AF1"/>
      <c r="AG1"/>
      <c r="AH1"/>
      <c r="AI1"/>
      <c r="AJ1"/>
      <c r="AK1"/>
      <c r="AL1"/>
      <c r="AM1"/>
      <c r="AN1"/>
      <c r="AO1"/>
      <c r="AP1"/>
      <c r="AQ1"/>
      <c r="AR1"/>
      <c r="AS1"/>
      <c r="AT1"/>
      <c r="AU1"/>
      <c r="AV1"/>
      <c r="AW1"/>
      <c r="AX1"/>
      <c r="AY1"/>
      <c r="AZ1"/>
      <c r="BA1"/>
      <c r="BB1"/>
      <c r="BC1"/>
      <c r="BD1"/>
      <c r="BE1"/>
      <c r="BF1"/>
      <c r="BG1"/>
      <c r="BH1"/>
      <c r="BI1"/>
      <c r="BJ1"/>
      <c r="BK1"/>
      <c r="BL1"/>
      <c r="BM1"/>
      <c r="BN1"/>
      <c r="BO1"/>
      <c r="BP1"/>
      <c r="BQ1"/>
      <c r="BR1"/>
      <c r="BS1"/>
      <c r="BT1"/>
      <c r="BU1"/>
      <c r="BV1"/>
      <c r="BW1"/>
      <c r="BX1"/>
      <c r="BY1"/>
      <c r="BZ1"/>
      <c r="CA1"/>
      <c r="CB1"/>
      <c r="CC1"/>
      <c r="CD1"/>
      <c r="CE1"/>
      <c r="CF1"/>
      <c r="CG1"/>
      <c r="CH1"/>
      <c r="CI1"/>
      <c r="CJ1"/>
      <c r="CK1"/>
      <c r="CL1"/>
      <c r="CM1"/>
      <c r="CN1"/>
      <c r="CO1"/>
      <c r="CP1"/>
      <c r="CQ1"/>
      <c r="CR1"/>
      <c r="CS1"/>
      <c r="CT1"/>
      <c r="CU1"/>
      <c r="CV1"/>
      <c r="CW1"/>
      <c r="CX1"/>
      <c r="CY1"/>
      <c r="CZ1"/>
      <c r="DA1"/>
      <c r="DB1"/>
      <c r="DC1"/>
      <c r="DD1"/>
      <c r="DE1"/>
      <c r="DF1"/>
      <c r="DG1"/>
      <c r="DH1"/>
      <c r="DI1"/>
      <c r="DJ1"/>
      <c r="DK1"/>
      <c r="DL1"/>
      <c r="DM1"/>
      <c r="DN1"/>
      <c r="DO1"/>
      <c r="DP1"/>
      <c r="DQ1"/>
      <c r="DR1"/>
      <c r="DS1"/>
      <c r="DT1"/>
      <c r="DU1"/>
      <c r="DV1"/>
      <c r="DW1"/>
      <c r="DX1"/>
      <c r="DY1"/>
      <c r="DZ1"/>
      <c r="EA1"/>
      <c r="EB1"/>
      <c r="EC1"/>
      <c r="ED1"/>
      <c r="EE1"/>
      <c r="EF1"/>
      <c r="EG1"/>
      <c r="EH1"/>
      <c r="EI1"/>
      <c r="EJ1"/>
      <c r="EK1"/>
      <c r="EL1"/>
      <c r="EM1"/>
      <c r="EN1"/>
    </row>
    <row r="2" spans="1:144" x14ac:dyDescent="0.35">
      <c r="A2" s="1" t="str">
        <f t="shared" ref="A2:A65" si="0">IFERROR(LEFT(RIGHT(C2,LEN(C2)-SEARCH("@",C2)),SEARCH("/",RIGHT(C2,LEN(C2)-SEARCH("@",C2)-1))),"")</f>
        <v/>
      </c>
      <c r="B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2" s="153" t="s">
        <v>172</v>
      </c>
      <c r="D2" s="1" t="s">
        <v>110</v>
      </c>
      <c r="E2" s="1" t="s">
        <v>111</v>
      </c>
      <c r="F2" s="1" t="s">
        <v>112</v>
      </c>
      <c r="G2" s="1" t="s">
        <v>113</v>
      </c>
      <c r="K2" s="157" t="s">
        <v>120</v>
      </c>
      <c r="L2" s="157" t="s">
        <v>121</v>
      </c>
      <c r="M2"/>
      <c r="N2"/>
      <c r="O2"/>
      <c r="P2"/>
      <c r="Q2"/>
      <c r="R2"/>
      <c r="S2"/>
      <c r="T2"/>
      <c r="U2"/>
      <c r="V2"/>
      <c r="W2"/>
      <c r="X2"/>
      <c r="Y2"/>
      <c r="Z2"/>
      <c r="AA2"/>
      <c r="AB2"/>
      <c r="AC2"/>
      <c r="AD2"/>
      <c r="AE2"/>
      <c r="AF2"/>
      <c r="AG2"/>
      <c r="AH2"/>
      <c r="AI2"/>
      <c r="AJ2"/>
      <c r="AK2"/>
      <c r="AL2"/>
      <c r="AM2"/>
      <c r="AN2"/>
      <c r="AO2"/>
      <c r="AP2"/>
      <c r="AQ2"/>
      <c r="AR2"/>
      <c r="AS2"/>
      <c r="AT2"/>
      <c r="AU2"/>
      <c r="AV2"/>
      <c r="AW2"/>
      <c r="AX2"/>
      <c r="AY2"/>
      <c r="AZ2"/>
      <c r="BA2"/>
      <c r="BB2"/>
      <c r="BC2"/>
      <c r="BD2"/>
      <c r="BE2"/>
      <c r="BF2"/>
      <c r="BG2"/>
      <c r="BH2"/>
      <c r="BI2"/>
      <c r="BJ2"/>
      <c r="BK2"/>
      <c r="BL2"/>
      <c r="BM2"/>
      <c r="BN2"/>
      <c r="BO2"/>
      <c r="BP2"/>
      <c r="BQ2"/>
      <c r="BR2"/>
      <c r="BS2"/>
      <c r="BT2"/>
      <c r="BU2"/>
      <c r="BV2"/>
      <c r="BW2"/>
      <c r="BX2"/>
      <c r="BY2"/>
      <c r="BZ2"/>
      <c r="CA2"/>
      <c r="CB2"/>
      <c r="CC2"/>
      <c r="CD2"/>
      <c r="CE2"/>
      <c r="CF2"/>
      <c r="CG2"/>
      <c r="CH2"/>
      <c r="CI2"/>
      <c r="CJ2"/>
      <c r="CK2"/>
      <c r="CL2"/>
      <c r="CM2"/>
      <c r="CN2"/>
      <c r="CO2"/>
      <c r="CP2"/>
      <c r="CQ2"/>
      <c r="CR2"/>
      <c r="CS2"/>
      <c r="CT2"/>
      <c r="CU2"/>
      <c r="CV2"/>
      <c r="CW2"/>
      <c r="CX2"/>
      <c r="CY2"/>
      <c r="CZ2"/>
      <c r="DA2"/>
      <c r="DB2"/>
      <c r="DC2"/>
      <c r="DD2"/>
      <c r="DE2"/>
      <c r="DF2"/>
      <c r="DG2"/>
      <c r="DH2"/>
      <c r="DI2"/>
      <c r="DJ2"/>
      <c r="DK2"/>
      <c r="DL2"/>
      <c r="DM2"/>
      <c r="DN2"/>
      <c r="DO2"/>
      <c r="DP2"/>
      <c r="DQ2"/>
      <c r="DR2"/>
      <c r="DS2"/>
      <c r="DT2"/>
      <c r="DU2"/>
      <c r="DV2"/>
      <c r="DW2"/>
      <c r="DX2"/>
      <c r="DY2"/>
      <c r="DZ2"/>
      <c r="EA2"/>
      <c r="EB2"/>
      <c r="EC2"/>
      <c r="ED2"/>
      <c r="EE2"/>
      <c r="EF2"/>
      <c r="EG2"/>
      <c r="EH2"/>
      <c r="EI2"/>
      <c r="EJ2"/>
      <c r="EK2"/>
      <c r="EL2"/>
      <c r="EM2"/>
      <c r="EN2"/>
    </row>
    <row r="3" spans="1:144" x14ac:dyDescent="0.35">
      <c r="A3" s="1" t="str">
        <f t="shared" si="0"/>
        <v>1</v>
      </c>
      <c r="B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3" s="1" t="s">
        <v>1584</v>
      </c>
      <c r="D3" s="1" t="s">
        <v>1585</v>
      </c>
      <c r="E3" s="1" t="s">
        <v>1586</v>
      </c>
      <c r="F3" s="1" t="s">
        <v>112</v>
      </c>
      <c r="G3" s="1">
        <v>56108</v>
      </c>
      <c r="K3" s="119" t="s">
        <v>154</v>
      </c>
      <c r="L3" s="119" t="s">
        <v>114</v>
      </c>
      <c r="M3"/>
      <c r="N3"/>
      <c r="O3"/>
      <c r="P3"/>
      <c r="Q3"/>
      <c r="R3"/>
      <c r="S3"/>
      <c r="T3"/>
      <c r="U3"/>
      <c r="V3"/>
      <c r="W3"/>
      <c r="X3"/>
      <c r="Y3"/>
      <c r="Z3"/>
      <c r="AA3"/>
      <c r="AB3"/>
      <c r="AC3"/>
      <c r="AD3"/>
      <c r="AE3"/>
      <c r="AF3"/>
      <c r="AG3"/>
      <c r="AH3"/>
      <c r="AI3"/>
      <c r="AJ3"/>
      <c r="AK3"/>
      <c r="AL3"/>
      <c r="AM3"/>
      <c r="AN3"/>
      <c r="AO3"/>
      <c r="AP3"/>
      <c r="AQ3"/>
      <c r="AR3"/>
      <c r="AS3"/>
      <c r="AT3"/>
      <c r="AU3"/>
      <c r="AV3"/>
      <c r="AW3"/>
      <c r="AX3"/>
      <c r="AY3"/>
      <c r="AZ3"/>
      <c r="BA3"/>
      <c r="BB3"/>
      <c r="BC3"/>
      <c r="BD3"/>
      <c r="BE3"/>
      <c r="BF3"/>
      <c r="BG3"/>
      <c r="BH3"/>
      <c r="BI3"/>
      <c r="BJ3"/>
      <c r="BK3"/>
      <c r="BL3"/>
      <c r="BM3"/>
      <c r="BN3"/>
      <c r="BO3"/>
      <c r="BP3"/>
      <c r="BQ3"/>
      <c r="BR3"/>
      <c r="BS3"/>
      <c r="BT3"/>
      <c r="BU3"/>
      <c r="BV3"/>
      <c r="BW3"/>
      <c r="BX3"/>
      <c r="BY3"/>
      <c r="BZ3"/>
      <c r="CA3"/>
      <c r="CB3"/>
      <c r="CC3"/>
      <c r="CD3"/>
      <c r="CE3"/>
      <c r="CF3"/>
      <c r="CG3"/>
      <c r="CH3"/>
      <c r="CI3"/>
      <c r="CJ3"/>
      <c r="CK3"/>
      <c r="CL3"/>
      <c r="CM3"/>
      <c r="CN3"/>
      <c r="CO3"/>
      <c r="CP3"/>
      <c r="CQ3"/>
      <c r="CR3"/>
      <c r="CS3"/>
      <c r="CT3"/>
      <c r="CU3"/>
      <c r="CV3"/>
      <c r="CW3"/>
      <c r="CX3"/>
      <c r="CY3"/>
      <c r="CZ3"/>
      <c r="DA3"/>
      <c r="DB3"/>
      <c r="DC3"/>
      <c r="DD3"/>
      <c r="DE3"/>
      <c r="DF3"/>
      <c r="DG3"/>
      <c r="DH3"/>
      <c r="DI3"/>
      <c r="DJ3"/>
      <c r="DK3"/>
      <c r="DL3"/>
      <c r="DM3"/>
      <c r="DN3"/>
      <c r="DO3"/>
      <c r="DP3"/>
      <c r="DQ3"/>
      <c r="DR3"/>
      <c r="DS3"/>
      <c r="DT3"/>
      <c r="DU3"/>
      <c r="DV3"/>
      <c r="DW3"/>
      <c r="DX3"/>
      <c r="DY3"/>
      <c r="DZ3"/>
      <c r="EA3"/>
      <c r="EB3"/>
      <c r="EC3"/>
      <c r="ED3"/>
      <c r="EE3"/>
      <c r="EF3"/>
      <c r="EG3"/>
      <c r="EH3"/>
      <c r="EI3"/>
      <c r="EJ3"/>
      <c r="EK3"/>
      <c r="EL3"/>
      <c r="EM3"/>
      <c r="EN3"/>
    </row>
    <row r="4" spans="1:144" x14ac:dyDescent="0.35">
      <c r="A4" s="1" t="str">
        <f t="shared" si="0"/>
        <v>1</v>
      </c>
      <c r="B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4" s="1" t="s">
        <v>1587</v>
      </c>
      <c r="D4" s="1" t="s">
        <v>1588</v>
      </c>
      <c r="E4" s="1" t="s">
        <v>1589</v>
      </c>
      <c r="F4" s="1" t="s">
        <v>112</v>
      </c>
      <c r="G4" s="1">
        <v>241930</v>
      </c>
      <c r="K4" s="119" t="s">
        <v>100</v>
      </c>
      <c r="L4" s="1" t="s">
        <v>1556</v>
      </c>
      <c r="M4" s="1" t="s">
        <v>1557</v>
      </c>
      <c r="N4" s="1" t="s">
        <v>1558</v>
      </c>
      <c r="O4" s="1" t="s">
        <v>1559</v>
      </c>
      <c r="P4" s="1" t="s">
        <v>1560</v>
      </c>
      <c r="Q4" s="1" t="s">
        <v>1561</v>
      </c>
      <c r="R4" s="1" t="s">
        <v>1562</v>
      </c>
      <c r="S4" s="1" t="s">
        <v>1563</v>
      </c>
      <c r="T4" s="1" t="s">
        <v>1564</v>
      </c>
      <c r="U4" s="1" t="s">
        <v>1565</v>
      </c>
      <c r="V4" s="1" t="s">
        <v>1566</v>
      </c>
      <c r="W4" s="1" t="s">
        <v>1567</v>
      </c>
      <c r="X4" s="1" t="s">
        <v>1568</v>
      </c>
      <c r="Y4" s="1" t="s">
        <v>1569</v>
      </c>
      <c r="Z4" s="1" t="s">
        <v>1570</v>
      </c>
      <c r="AA4" s="1" t="s">
        <v>1571</v>
      </c>
      <c r="AB4" s="1" t="s">
        <v>1572</v>
      </c>
      <c r="AC4" s="1" t="s">
        <v>1573</v>
      </c>
      <c r="AD4" s="1" t="s">
        <v>1574</v>
      </c>
      <c r="AE4" s="1" t="s">
        <v>1575</v>
      </c>
      <c r="AF4" s="1" t="s">
        <v>1576</v>
      </c>
      <c r="AG4"/>
      <c r="AH4"/>
      <c r="AI4"/>
      <c r="AJ4"/>
      <c r="AK4"/>
      <c r="AL4"/>
      <c r="AM4"/>
      <c r="AN4"/>
      <c r="AO4"/>
      <c r="AP4"/>
      <c r="AQ4"/>
      <c r="AR4"/>
      <c r="AS4"/>
      <c r="AT4"/>
      <c r="AU4"/>
      <c r="AV4"/>
      <c r="AW4"/>
      <c r="AX4"/>
      <c r="AY4"/>
      <c r="AZ4"/>
      <c r="BA4"/>
      <c r="BB4"/>
      <c r="BC4"/>
      <c r="BD4"/>
      <c r="BE4"/>
      <c r="BF4"/>
      <c r="BG4"/>
      <c r="BH4"/>
      <c r="BI4"/>
      <c r="BJ4"/>
      <c r="BK4"/>
      <c r="BL4"/>
      <c r="BM4"/>
      <c r="BN4"/>
      <c r="BO4"/>
      <c r="BP4"/>
      <c r="BQ4"/>
      <c r="BR4"/>
      <c r="BS4"/>
      <c r="BT4"/>
      <c r="BU4"/>
      <c r="BV4"/>
      <c r="BW4"/>
      <c r="BX4"/>
      <c r="BY4"/>
      <c r="BZ4"/>
      <c r="CA4"/>
      <c r="CB4"/>
      <c r="CC4"/>
      <c r="CD4"/>
      <c r="CE4"/>
      <c r="CF4"/>
      <c r="CG4"/>
      <c r="CH4"/>
      <c r="CI4"/>
      <c r="CJ4"/>
      <c r="CK4"/>
      <c r="CL4"/>
      <c r="CM4"/>
      <c r="CN4"/>
      <c r="CO4"/>
      <c r="CP4"/>
      <c r="CQ4"/>
      <c r="CR4"/>
      <c r="CS4"/>
      <c r="CT4"/>
      <c r="CU4"/>
      <c r="CV4"/>
      <c r="CW4"/>
      <c r="CX4"/>
      <c r="CY4"/>
      <c r="CZ4"/>
      <c r="DA4"/>
      <c r="DB4"/>
      <c r="DC4"/>
      <c r="DD4"/>
      <c r="DE4"/>
      <c r="DF4"/>
      <c r="DG4"/>
      <c r="DH4"/>
      <c r="DI4"/>
      <c r="DJ4"/>
      <c r="DK4"/>
      <c r="DL4"/>
      <c r="DM4"/>
      <c r="DN4"/>
      <c r="DO4"/>
      <c r="DP4"/>
      <c r="DQ4"/>
      <c r="DR4"/>
      <c r="DS4"/>
      <c r="DT4"/>
      <c r="DU4"/>
      <c r="DV4"/>
      <c r="DW4"/>
      <c r="DX4"/>
      <c r="DY4"/>
      <c r="DZ4"/>
      <c r="EA4"/>
      <c r="EB4"/>
      <c r="EC4"/>
      <c r="ED4"/>
      <c r="EE4"/>
      <c r="EF4"/>
      <c r="EG4"/>
      <c r="EH4"/>
      <c r="EI4"/>
      <c r="EJ4"/>
      <c r="EK4"/>
      <c r="EL4"/>
      <c r="EM4"/>
      <c r="EN4"/>
    </row>
    <row r="5" spans="1:144" x14ac:dyDescent="0.35">
      <c r="A5" s="1" t="str">
        <f t="shared" si="0"/>
        <v>1</v>
      </c>
      <c r="B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5" s="1" t="s">
        <v>1590</v>
      </c>
      <c r="D5" s="1" t="s">
        <v>1591</v>
      </c>
      <c r="E5" s="1" t="s">
        <v>1592</v>
      </c>
      <c r="F5" s="1" t="s">
        <v>112</v>
      </c>
      <c r="G5" s="1">
        <v>308313</v>
      </c>
      <c r="K5" s="146" t="s">
        <v>164</v>
      </c>
      <c r="L5" s="44">
        <v>202117</v>
      </c>
      <c r="M5" s="44">
        <v>524525</v>
      </c>
      <c r="N5" s="44">
        <v>1774401.3333333333</v>
      </c>
      <c r="O5" s="44">
        <v>3242126.6666666665</v>
      </c>
      <c r="P5" s="44">
        <v>15789.666666666666</v>
      </c>
      <c r="Q5" s="44">
        <v>465994.5</v>
      </c>
      <c r="R5" s="44">
        <v>3439</v>
      </c>
      <c r="S5" s="44">
        <v>514784</v>
      </c>
      <c r="T5" s="44">
        <v>2150602.6666666665</v>
      </c>
      <c r="U5" s="44"/>
      <c r="V5" s="44">
        <v>3438504.3333333335</v>
      </c>
      <c r="W5" s="44"/>
      <c r="X5" s="44">
        <v>108221.33333333333</v>
      </c>
      <c r="Y5" s="44">
        <v>4909.5</v>
      </c>
      <c r="Z5" s="44"/>
      <c r="AA5" s="44">
        <v>6279.666666666667</v>
      </c>
      <c r="AB5" s="44">
        <v>677946</v>
      </c>
      <c r="AC5" s="44">
        <v>191547.33333333334</v>
      </c>
      <c r="AD5" s="44">
        <v>20375.333333333332</v>
      </c>
      <c r="AE5" s="44">
        <v>544547</v>
      </c>
      <c r="AF5" s="44"/>
      <c r="AG5"/>
      <c r="AH5"/>
      <c r="AI5"/>
      <c r="AJ5"/>
      <c r="AK5"/>
      <c r="AL5"/>
      <c r="AM5"/>
      <c r="AN5"/>
      <c r="AO5"/>
      <c r="AP5"/>
      <c r="AQ5"/>
      <c r="AR5"/>
      <c r="AS5"/>
      <c r="AT5"/>
      <c r="AU5"/>
      <c r="AV5"/>
      <c r="AW5"/>
      <c r="AX5"/>
      <c r="AY5"/>
      <c r="AZ5"/>
      <c r="BA5"/>
      <c r="BB5"/>
      <c r="BC5"/>
      <c r="BD5"/>
      <c r="BE5"/>
      <c r="BF5"/>
      <c r="BG5"/>
      <c r="BH5"/>
      <c r="BI5"/>
      <c r="BJ5"/>
      <c r="BK5"/>
      <c r="BL5"/>
      <c r="BM5"/>
      <c r="BN5"/>
      <c r="BO5"/>
      <c r="BP5"/>
      <c r="BQ5"/>
      <c r="BR5"/>
      <c r="BS5"/>
      <c r="BT5"/>
      <c r="BU5"/>
      <c r="BV5"/>
      <c r="BW5"/>
      <c r="BX5"/>
      <c r="BY5"/>
      <c r="BZ5"/>
      <c r="CA5"/>
      <c r="CB5"/>
      <c r="CC5"/>
      <c r="CD5"/>
      <c r="CE5"/>
      <c r="CF5"/>
      <c r="CG5"/>
      <c r="CH5"/>
      <c r="CI5"/>
      <c r="CJ5"/>
      <c r="CK5"/>
      <c r="CL5"/>
      <c r="CM5"/>
      <c r="CN5"/>
      <c r="CO5"/>
      <c r="CP5"/>
      <c r="CQ5"/>
      <c r="CR5"/>
      <c r="CS5"/>
      <c r="CT5"/>
      <c r="CU5"/>
      <c r="CV5"/>
      <c r="CW5"/>
      <c r="CX5"/>
      <c r="CY5"/>
      <c r="CZ5"/>
      <c r="DA5"/>
      <c r="DB5"/>
      <c r="DC5"/>
      <c r="DD5"/>
      <c r="DE5"/>
      <c r="DF5"/>
      <c r="DG5"/>
      <c r="DH5"/>
      <c r="DI5"/>
      <c r="DJ5"/>
      <c r="DK5"/>
      <c r="DL5"/>
      <c r="DM5"/>
      <c r="DN5"/>
      <c r="DO5"/>
      <c r="DP5"/>
      <c r="DQ5"/>
      <c r="DR5"/>
      <c r="DS5"/>
      <c r="DT5"/>
      <c r="DU5"/>
      <c r="DV5"/>
      <c r="DW5"/>
      <c r="DX5"/>
      <c r="DY5"/>
      <c r="DZ5"/>
      <c r="EA5"/>
      <c r="EB5"/>
      <c r="EC5"/>
      <c r="ED5"/>
      <c r="EE5"/>
      <c r="EF5"/>
      <c r="EG5"/>
      <c r="EH5"/>
      <c r="EI5"/>
      <c r="EJ5"/>
      <c r="EK5"/>
      <c r="EL5"/>
      <c r="EM5"/>
      <c r="EN5"/>
    </row>
    <row r="6" spans="1:144" x14ac:dyDescent="0.35">
      <c r="A6" s="1" t="str">
        <f t="shared" si="0"/>
        <v>1</v>
      </c>
      <c r="B6"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6" s="1" t="s">
        <v>1593</v>
      </c>
      <c r="D6" s="1" t="s">
        <v>215</v>
      </c>
      <c r="E6" s="1">
        <v>30</v>
      </c>
      <c r="F6" s="1" t="s">
        <v>112</v>
      </c>
      <c r="G6" s="1">
        <v>649</v>
      </c>
      <c r="K6" s="146" t="s">
        <v>1577</v>
      </c>
      <c r="L6" s="44">
        <v>25512.5</v>
      </c>
      <c r="M6" s="44">
        <v>3299395.3333333335</v>
      </c>
      <c r="N6" s="44">
        <v>3298984.3333333335</v>
      </c>
      <c r="O6" s="44">
        <v>3166840</v>
      </c>
      <c r="P6" s="44">
        <v>92568.666666666672</v>
      </c>
      <c r="Q6" s="44">
        <v>229623</v>
      </c>
      <c r="R6" s="44">
        <v>36933</v>
      </c>
      <c r="S6" s="44">
        <v>202917.66666666666</v>
      </c>
      <c r="T6" s="44">
        <v>423131.33333333331</v>
      </c>
      <c r="U6" s="44">
        <v>2129787.3333333335</v>
      </c>
      <c r="V6" s="44">
        <v>3492795.3333333335</v>
      </c>
      <c r="W6" s="44">
        <v>65524.333333333336</v>
      </c>
      <c r="X6" s="44">
        <v>39669.333333333336</v>
      </c>
      <c r="Y6" s="44">
        <v>309278.66666666669</v>
      </c>
      <c r="Z6" s="44">
        <v>202045</v>
      </c>
      <c r="AA6" s="44">
        <v>542802</v>
      </c>
      <c r="AB6" s="44">
        <v>0</v>
      </c>
      <c r="AC6" s="44">
        <v>478446</v>
      </c>
      <c r="AD6" s="44">
        <v>222838.33333333334</v>
      </c>
      <c r="AE6" s="44">
        <v>11579.333333333334</v>
      </c>
      <c r="AF6" s="44">
        <v>281037.33333333331</v>
      </c>
      <c r="AG6"/>
      <c r="AH6"/>
      <c r="AI6"/>
      <c r="AJ6"/>
      <c r="AK6"/>
      <c r="AL6"/>
      <c r="AM6"/>
      <c r="AN6"/>
      <c r="AO6"/>
      <c r="AP6"/>
      <c r="AQ6"/>
      <c r="AR6"/>
      <c r="AS6"/>
      <c r="AT6"/>
      <c r="AU6"/>
      <c r="AV6"/>
      <c r="AW6"/>
      <c r="AX6"/>
      <c r="AY6"/>
      <c r="AZ6"/>
      <c r="BA6"/>
      <c r="BB6"/>
      <c r="BC6"/>
      <c r="BD6"/>
      <c r="BE6"/>
      <c r="BF6"/>
      <c r="BG6"/>
      <c r="BH6"/>
      <c r="BI6"/>
      <c r="BJ6"/>
      <c r="BK6"/>
      <c r="BL6"/>
      <c r="BM6"/>
      <c r="BN6"/>
      <c r="BO6"/>
      <c r="BP6"/>
      <c r="BQ6"/>
      <c r="BR6"/>
      <c r="BS6"/>
      <c r="BT6"/>
      <c r="BU6"/>
      <c r="BV6"/>
      <c r="BW6"/>
      <c r="BX6"/>
      <c r="BY6"/>
      <c r="BZ6"/>
      <c r="CA6"/>
      <c r="CB6"/>
      <c r="CC6"/>
      <c r="CD6"/>
      <c r="CE6"/>
      <c r="CF6"/>
      <c r="CG6"/>
      <c r="CH6"/>
      <c r="CI6"/>
      <c r="CJ6"/>
      <c r="CK6"/>
      <c r="CL6"/>
      <c r="CM6"/>
      <c r="CN6"/>
      <c r="CO6"/>
      <c r="CP6"/>
      <c r="CQ6"/>
      <c r="CR6"/>
      <c r="CS6"/>
      <c r="CT6"/>
      <c r="CU6"/>
      <c r="CV6"/>
      <c r="CW6"/>
      <c r="CX6"/>
      <c r="CY6"/>
      <c r="CZ6"/>
      <c r="DA6"/>
      <c r="DB6"/>
      <c r="DC6"/>
      <c r="DD6"/>
      <c r="DE6"/>
      <c r="DF6"/>
      <c r="DG6"/>
      <c r="DH6"/>
      <c r="DI6"/>
      <c r="DJ6"/>
      <c r="DK6"/>
      <c r="DL6"/>
      <c r="DM6"/>
      <c r="DN6"/>
      <c r="DO6"/>
      <c r="DP6"/>
      <c r="DQ6"/>
      <c r="DR6"/>
      <c r="DS6"/>
      <c r="DT6"/>
      <c r="DU6"/>
      <c r="DV6"/>
      <c r="DW6"/>
      <c r="DX6"/>
      <c r="DY6"/>
      <c r="DZ6"/>
      <c r="EA6"/>
      <c r="EB6"/>
      <c r="EC6"/>
      <c r="ED6"/>
      <c r="EE6"/>
      <c r="EF6"/>
      <c r="EG6"/>
      <c r="EH6"/>
      <c r="EI6"/>
      <c r="EJ6"/>
      <c r="EK6"/>
      <c r="EL6"/>
      <c r="EM6"/>
      <c r="EN6"/>
    </row>
    <row r="7" spans="1:144" x14ac:dyDescent="0.35">
      <c r="A7" s="1" t="str">
        <f t="shared" si="0"/>
        <v>1</v>
      </c>
      <c r="B7"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7" s="1" t="s">
        <v>1594</v>
      </c>
      <c r="K7" s="146" t="s">
        <v>1578</v>
      </c>
      <c r="L7" s="44">
        <v>325443.33333333331</v>
      </c>
      <c r="M7" s="44">
        <v>2875939.6666666665</v>
      </c>
      <c r="N7" s="44"/>
      <c r="O7" s="44">
        <v>3025459.6666666665</v>
      </c>
      <c r="P7" s="44">
        <v>145688</v>
      </c>
      <c r="Q7" s="44">
        <v>45596</v>
      </c>
      <c r="R7" s="44">
        <v>75452.333333333328</v>
      </c>
      <c r="S7" s="44">
        <v>258592.66666666666</v>
      </c>
      <c r="T7" s="44">
        <v>1446549.3333333333</v>
      </c>
      <c r="U7" s="44">
        <v>2603583</v>
      </c>
      <c r="V7" s="44"/>
      <c r="W7" s="44">
        <v>200948.66666666666</v>
      </c>
      <c r="X7" s="44">
        <v>488770.66666666669</v>
      </c>
      <c r="Y7" s="44">
        <v>298391.33333333331</v>
      </c>
      <c r="Z7" s="44">
        <v>314044.66666666669</v>
      </c>
      <c r="AA7" s="44">
        <v>29301.333333333332</v>
      </c>
      <c r="AB7" s="44">
        <v>31896.666666666668</v>
      </c>
      <c r="AC7" s="44">
        <v>32978.333333333336</v>
      </c>
      <c r="AD7" s="44">
        <v>288196.5</v>
      </c>
      <c r="AE7" s="44">
        <v>233841</v>
      </c>
      <c r="AF7" s="44">
        <v>526147.33333333337</v>
      </c>
      <c r="AG7"/>
      <c r="AH7"/>
      <c r="AI7"/>
      <c r="AJ7"/>
      <c r="AK7"/>
      <c r="AL7"/>
      <c r="AM7"/>
      <c r="AN7"/>
      <c r="AO7"/>
      <c r="AP7"/>
      <c r="AQ7"/>
      <c r="AR7"/>
      <c r="AS7"/>
      <c r="AT7"/>
      <c r="AU7"/>
      <c r="AV7"/>
      <c r="AW7"/>
      <c r="AX7"/>
      <c r="AY7"/>
      <c r="AZ7"/>
      <c r="BA7"/>
      <c r="BB7"/>
      <c r="BC7"/>
      <c r="BD7"/>
      <c r="BE7"/>
      <c r="BF7"/>
      <c r="BG7"/>
      <c r="BH7"/>
      <c r="BI7"/>
      <c r="BJ7"/>
      <c r="BK7"/>
      <c r="BL7"/>
      <c r="BM7"/>
      <c r="BN7"/>
      <c r="BO7"/>
      <c r="BP7"/>
      <c r="BQ7"/>
      <c r="BR7"/>
      <c r="BS7"/>
      <c r="BT7"/>
      <c r="BU7"/>
      <c r="BV7"/>
      <c r="BW7"/>
      <c r="BX7"/>
      <c r="BY7"/>
      <c r="BZ7"/>
      <c r="CA7"/>
      <c r="CB7"/>
      <c r="CC7"/>
      <c r="CD7"/>
      <c r="CE7"/>
      <c r="CF7"/>
      <c r="CG7"/>
      <c r="CH7"/>
      <c r="CI7"/>
      <c r="CJ7"/>
      <c r="CK7"/>
      <c r="CL7"/>
      <c r="CM7"/>
      <c r="CN7"/>
      <c r="CO7"/>
      <c r="CP7"/>
      <c r="CQ7"/>
      <c r="CR7"/>
      <c r="CS7"/>
      <c r="CT7"/>
      <c r="CU7"/>
      <c r="CV7"/>
      <c r="CW7"/>
      <c r="CX7"/>
      <c r="CY7"/>
      <c r="CZ7"/>
      <c r="DA7"/>
      <c r="DB7"/>
      <c r="DC7"/>
      <c r="DD7"/>
      <c r="DE7"/>
      <c r="DF7"/>
      <c r="DG7"/>
      <c r="DH7"/>
      <c r="DI7"/>
      <c r="DJ7"/>
      <c r="DK7"/>
      <c r="DL7"/>
      <c r="DM7"/>
      <c r="DN7"/>
      <c r="DO7"/>
      <c r="DP7"/>
      <c r="DQ7"/>
      <c r="DR7"/>
      <c r="DS7"/>
      <c r="DT7"/>
      <c r="DU7"/>
      <c r="DV7"/>
      <c r="DW7"/>
      <c r="DX7"/>
      <c r="DY7"/>
      <c r="DZ7"/>
      <c r="EA7"/>
      <c r="EB7"/>
      <c r="EC7"/>
      <c r="ED7"/>
      <c r="EE7"/>
      <c r="EF7"/>
      <c r="EG7"/>
      <c r="EH7"/>
      <c r="EI7"/>
      <c r="EJ7"/>
      <c r="EK7"/>
      <c r="EL7"/>
      <c r="EM7"/>
      <c r="EN7"/>
    </row>
    <row r="8" spans="1:144" x14ac:dyDescent="0.35">
      <c r="A8" s="1" t="str">
        <f t="shared" si="0"/>
        <v>1</v>
      </c>
      <c r="B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8" s="1" t="s">
        <v>1595</v>
      </c>
      <c r="D8" s="1" t="s">
        <v>1009</v>
      </c>
      <c r="E8" s="1" t="s">
        <v>1596</v>
      </c>
      <c r="F8" s="1" t="s">
        <v>112</v>
      </c>
      <c r="G8" s="1">
        <v>50376</v>
      </c>
      <c r="K8" s="146" t="s">
        <v>1579</v>
      </c>
      <c r="L8" s="44">
        <v>247457</v>
      </c>
      <c r="M8" s="44">
        <v>1160458.3333333333</v>
      </c>
      <c r="N8" s="44">
        <v>2138043</v>
      </c>
      <c r="O8" s="44">
        <v>2778958.3333333335</v>
      </c>
      <c r="P8" s="44">
        <v>59237</v>
      </c>
      <c r="Q8" s="44">
        <v>348025</v>
      </c>
      <c r="R8" s="44">
        <v>394010</v>
      </c>
      <c r="S8" s="44">
        <v>203306.66666666666</v>
      </c>
      <c r="T8" s="44">
        <v>3231455.6666666665</v>
      </c>
      <c r="U8" s="44">
        <v>1676014</v>
      </c>
      <c r="V8" s="44">
        <v>5294731.333333333</v>
      </c>
      <c r="W8" s="44">
        <v>232788</v>
      </c>
      <c r="X8" s="44">
        <v>33519.333333333336</v>
      </c>
      <c r="Y8" s="44">
        <v>278715.66666666669</v>
      </c>
      <c r="Z8" s="44">
        <v>1096</v>
      </c>
      <c r="AA8" s="44">
        <v>149210.33333333334</v>
      </c>
      <c r="AB8" s="44">
        <v>132677.66666666666</v>
      </c>
      <c r="AC8" s="44"/>
      <c r="AD8" s="44">
        <v>362747.66666666669</v>
      </c>
      <c r="AE8" s="44">
        <v>78213.666666666672</v>
      </c>
      <c r="AF8" s="44">
        <v>113629.33333333333</v>
      </c>
      <c r="AG8"/>
      <c r="AH8"/>
      <c r="AI8"/>
      <c r="AJ8"/>
      <c r="AK8"/>
      <c r="AL8"/>
      <c r="AM8"/>
      <c r="AN8"/>
      <c r="AO8"/>
      <c r="AP8"/>
      <c r="AQ8"/>
      <c r="AR8"/>
      <c r="AS8"/>
      <c r="AT8"/>
      <c r="AU8"/>
      <c r="AV8"/>
      <c r="AW8"/>
      <c r="AX8"/>
      <c r="AY8"/>
      <c r="AZ8"/>
      <c r="BA8"/>
      <c r="BB8"/>
      <c r="BC8"/>
      <c r="BD8"/>
      <c r="BE8"/>
      <c r="BF8"/>
      <c r="BG8"/>
      <c r="BH8"/>
      <c r="BI8"/>
      <c r="BJ8"/>
      <c r="BK8"/>
      <c r="BL8"/>
      <c r="BM8"/>
      <c r="BN8"/>
      <c r="BO8"/>
      <c r="BP8"/>
      <c r="BQ8"/>
      <c r="BR8"/>
      <c r="BS8"/>
      <c r="BT8"/>
      <c r="BU8"/>
      <c r="BV8"/>
      <c r="BW8"/>
      <c r="BX8"/>
      <c r="BY8"/>
      <c r="BZ8"/>
      <c r="CA8"/>
      <c r="CB8"/>
      <c r="CC8"/>
      <c r="CD8"/>
      <c r="CE8"/>
      <c r="CF8"/>
      <c r="CG8"/>
      <c r="CH8"/>
      <c r="CI8"/>
      <c r="CJ8"/>
      <c r="CK8"/>
      <c r="CL8"/>
      <c r="CM8"/>
      <c r="CN8"/>
      <c r="CO8"/>
      <c r="CP8"/>
      <c r="CQ8"/>
      <c r="CR8"/>
      <c r="CS8"/>
      <c r="CT8"/>
      <c r="CU8"/>
      <c r="CV8"/>
      <c r="CW8"/>
      <c r="CX8"/>
      <c r="CY8"/>
      <c r="CZ8"/>
      <c r="DA8"/>
      <c r="DB8"/>
      <c r="DC8"/>
      <c r="DD8"/>
      <c r="DE8"/>
      <c r="DF8"/>
      <c r="DG8"/>
      <c r="DH8"/>
      <c r="DI8"/>
      <c r="DJ8"/>
      <c r="DK8"/>
      <c r="DL8"/>
      <c r="DM8"/>
      <c r="DN8"/>
      <c r="DO8"/>
      <c r="DP8"/>
      <c r="DQ8"/>
      <c r="DR8"/>
      <c r="DS8"/>
      <c r="DT8"/>
      <c r="DU8"/>
      <c r="DV8"/>
      <c r="DW8"/>
      <c r="DX8"/>
      <c r="DY8"/>
      <c r="DZ8"/>
      <c r="EA8"/>
      <c r="EB8"/>
      <c r="EC8"/>
      <c r="ED8"/>
      <c r="EE8"/>
      <c r="EF8"/>
      <c r="EG8"/>
      <c r="EH8"/>
      <c r="EI8"/>
      <c r="EJ8"/>
      <c r="EK8"/>
      <c r="EL8"/>
      <c r="EM8"/>
      <c r="EN8"/>
    </row>
    <row r="9" spans="1:144" x14ac:dyDescent="0.35">
      <c r="A9" s="1" t="str">
        <f t="shared" si="0"/>
        <v>1</v>
      </c>
      <c r="B9"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9" s="1" t="s">
        <v>1597</v>
      </c>
      <c r="D9" s="1" t="s">
        <v>1598</v>
      </c>
      <c r="E9" s="1" t="s">
        <v>1599</v>
      </c>
      <c r="F9" s="1" t="s">
        <v>112</v>
      </c>
      <c r="G9" s="1">
        <v>338183</v>
      </c>
      <c r="K9" s="146" t="s">
        <v>1580</v>
      </c>
      <c r="L9" s="44">
        <v>212326.33333333334</v>
      </c>
      <c r="M9" s="44">
        <v>2282913</v>
      </c>
      <c r="N9" s="44">
        <v>2464546.3333333335</v>
      </c>
      <c r="O9" s="44">
        <v>3404422.6666666665</v>
      </c>
      <c r="P9" s="44">
        <v>71876</v>
      </c>
      <c r="Q9" s="44"/>
      <c r="R9" s="44">
        <v>146009</v>
      </c>
      <c r="S9" s="44">
        <v>172556</v>
      </c>
      <c r="T9" s="44">
        <v>1304152.6666666667</v>
      </c>
      <c r="U9" s="44">
        <v>2607534.6666666665</v>
      </c>
      <c r="V9" s="44">
        <v>3681322</v>
      </c>
      <c r="W9" s="44">
        <v>76938</v>
      </c>
      <c r="X9" s="44">
        <v>424421.66666666669</v>
      </c>
      <c r="Y9" s="44">
        <v>146571.33333333334</v>
      </c>
      <c r="Z9" s="44">
        <v>127977</v>
      </c>
      <c r="AA9" s="44">
        <v>129332.33333333333</v>
      </c>
      <c r="AB9" s="44">
        <v>93127.5</v>
      </c>
      <c r="AC9" s="44">
        <v>158691.33333333334</v>
      </c>
      <c r="AD9" s="44"/>
      <c r="AE9" s="44"/>
      <c r="AF9" s="44">
        <v>336200.66666666669</v>
      </c>
      <c r="AG9"/>
      <c r="AH9"/>
      <c r="AI9"/>
      <c r="AJ9"/>
      <c r="AK9"/>
      <c r="AL9"/>
      <c r="AM9"/>
      <c r="AN9"/>
      <c r="AO9"/>
      <c r="AP9"/>
      <c r="AQ9"/>
      <c r="AR9"/>
      <c r="AS9"/>
      <c r="AT9"/>
      <c r="AU9"/>
      <c r="AV9"/>
      <c r="AW9"/>
      <c r="AX9"/>
      <c r="AY9"/>
      <c r="AZ9"/>
      <c r="BA9"/>
      <c r="BB9"/>
      <c r="BC9"/>
      <c r="BD9"/>
      <c r="BE9"/>
      <c r="BF9"/>
      <c r="BG9"/>
      <c r="BH9"/>
      <c r="BI9"/>
      <c r="BJ9"/>
      <c r="BK9"/>
      <c r="BL9"/>
      <c r="BM9"/>
      <c r="BN9"/>
      <c r="BO9"/>
      <c r="BP9"/>
      <c r="BQ9"/>
      <c r="BR9"/>
      <c r="BS9"/>
      <c r="BT9"/>
      <c r="BU9"/>
      <c r="BV9"/>
      <c r="BW9"/>
      <c r="BX9"/>
      <c r="BY9"/>
      <c r="BZ9"/>
      <c r="CA9"/>
      <c r="CB9"/>
      <c r="CC9"/>
      <c r="CD9"/>
      <c r="CE9"/>
      <c r="CF9"/>
      <c r="CG9"/>
      <c r="CH9"/>
      <c r="CI9"/>
      <c r="CJ9"/>
      <c r="CK9"/>
      <c r="CL9"/>
      <c r="CM9"/>
      <c r="CN9"/>
      <c r="CO9"/>
      <c r="CP9"/>
      <c r="CQ9"/>
      <c r="CR9"/>
      <c r="CS9"/>
      <c r="CT9"/>
      <c r="CU9"/>
      <c r="CV9"/>
      <c r="CW9"/>
      <c r="CX9"/>
      <c r="CY9"/>
      <c r="CZ9"/>
      <c r="DA9"/>
      <c r="DB9"/>
      <c r="DC9"/>
      <c r="DD9"/>
      <c r="DE9"/>
      <c r="DF9"/>
      <c r="DG9"/>
      <c r="DH9"/>
      <c r="DI9"/>
      <c r="DJ9"/>
      <c r="DK9"/>
      <c r="DL9"/>
      <c r="DM9"/>
      <c r="DN9"/>
      <c r="DO9"/>
      <c r="DP9"/>
      <c r="DQ9"/>
      <c r="DR9"/>
      <c r="DS9"/>
      <c r="DT9"/>
      <c r="DU9"/>
      <c r="DV9"/>
      <c r="DW9"/>
      <c r="DX9"/>
      <c r="DY9"/>
      <c r="DZ9"/>
      <c r="EA9"/>
      <c r="EB9"/>
      <c r="EC9"/>
      <c r="ED9"/>
      <c r="EE9"/>
      <c r="EF9"/>
      <c r="EG9"/>
      <c r="EH9"/>
      <c r="EI9"/>
      <c r="EJ9"/>
      <c r="EK9"/>
      <c r="EL9"/>
      <c r="EM9"/>
      <c r="EN9"/>
    </row>
    <row r="10" spans="1:144" x14ac:dyDescent="0.35">
      <c r="A10" s="1" t="str">
        <f t="shared" si="0"/>
        <v>1</v>
      </c>
      <c r="B10"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10" s="1" t="s">
        <v>1600</v>
      </c>
      <c r="D10" s="1" t="s">
        <v>1601</v>
      </c>
      <c r="E10" s="1" t="s">
        <v>1602</v>
      </c>
      <c r="F10" s="1" t="s">
        <v>112</v>
      </c>
      <c r="G10" s="1">
        <v>113665</v>
      </c>
      <c r="K10" s="146" t="s">
        <v>1581</v>
      </c>
      <c r="L10" s="44">
        <v>50664.666666666664</v>
      </c>
      <c r="M10" s="44">
        <v>33879.666666666664</v>
      </c>
      <c r="N10" s="44">
        <v>2365265</v>
      </c>
      <c r="O10" s="44">
        <v>4690514.666666667</v>
      </c>
      <c r="P10" s="44">
        <v>85481.333333333328</v>
      </c>
      <c r="Q10" s="44">
        <v>145547.33333333334</v>
      </c>
      <c r="R10" s="44">
        <v>109223.66666666667</v>
      </c>
      <c r="S10" s="44">
        <v>1756044.6666666667</v>
      </c>
      <c r="T10" s="44">
        <v>1905492.6666666667</v>
      </c>
      <c r="U10" s="44">
        <v>1963324</v>
      </c>
      <c r="V10" s="44">
        <v>5186661.333333333</v>
      </c>
      <c r="W10" s="44">
        <v>332610.33333333331</v>
      </c>
      <c r="X10" s="44">
        <v>369590</v>
      </c>
      <c r="Y10" s="44">
        <v>3449.5</v>
      </c>
      <c r="Z10" s="44">
        <v>376500.5</v>
      </c>
      <c r="AA10" s="44">
        <v>99995</v>
      </c>
      <c r="AB10" s="44"/>
      <c r="AC10" s="44">
        <v>166925</v>
      </c>
      <c r="AD10" s="44">
        <v>406707</v>
      </c>
      <c r="AE10" s="44">
        <v>428704.66666666669</v>
      </c>
      <c r="AF10" s="44">
        <v>160198.33333333334</v>
      </c>
      <c r="AG10"/>
      <c r="AH10"/>
      <c r="AI10"/>
      <c r="AJ10"/>
      <c r="AK10"/>
      <c r="AL10"/>
      <c r="AM10"/>
      <c r="AN10"/>
      <c r="AO10"/>
      <c r="AP10"/>
      <c r="AQ10"/>
      <c r="AR10"/>
      <c r="AS10"/>
      <c r="AT10"/>
      <c r="AU10"/>
      <c r="AV10"/>
      <c r="AW10"/>
      <c r="AX10"/>
      <c r="AY10"/>
      <c r="AZ10"/>
      <c r="BA10"/>
      <c r="BB10"/>
      <c r="BC10"/>
      <c r="BD10"/>
      <c r="BE10"/>
      <c r="BF10"/>
      <c r="BG10"/>
      <c r="BH10"/>
      <c r="BI10"/>
      <c r="BJ10"/>
      <c r="BK10"/>
      <c r="BL10"/>
      <c r="BM10"/>
      <c r="BN10"/>
      <c r="BO10"/>
      <c r="BP10"/>
      <c r="BQ10"/>
      <c r="BR10"/>
      <c r="BS10"/>
      <c r="BT10"/>
      <c r="BU10"/>
      <c r="BV10"/>
      <c r="BW10"/>
      <c r="BX10"/>
      <c r="BY10"/>
      <c r="BZ10"/>
      <c r="CA10"/>
      <c r="CB10"/>
      <c r="CC10"/>
      <c r="CD10"/>
      <c r="CE10"/>
      <c r="CF10"/>
      <c r="CG10"/>
      <c r="CH10"/>
      <c r="CI10"/>
      <c r="CJ10"/>
      <c r="CK10"/>
      <c r="CL10"/>
      <c r="CM10"/>
      <c r="CN10"/>
      <c r="CO10"/>
      <c r="CP10"/>
      <c r="CQ10"/>
      <c r="CR10"/>
      <c r="CS10"/>
      <c r="CT10"/>
      <c r="CU10"/>
      <c r="CV10"/>
      <c r="CW10"/>
      <c r="CX10"/>
      <c r="CY10"/>
      <c r="CZ10"/>
      <c r="DA10"/>
      <c r="DB10"/>
      <c r="DC10"/>
      <c r="DD10"/>
      <c r="DE10"/>
      <c r="DF10"/>
      <c r="DG10"/>
      <c r="DH10"/>
      <c r="DI10"/>
      <c r="DJ10"/>
      <c r="DK10"/>
      <c r="DL10"/>
      <c r="DM10"/>
      <c r="DN10"/>
      <c r="DO10"/>
      <c r="DP10"/>
      <c r="DQ10"/>
      <c r="DR10"/>
      <c r="DS10"/>
      <c r="DT10"/>
      <c r="DU10"/>
      <c r="DV10"/>
      <c r="DW10"/>
      <c r="DX10"/>
      <c r="DY10"/>
      <c r="DZ10"/>
      <c r="EA10"/>
      <c r="EB10"/>
      <c r="EC10"/>
      <c r="ED10"/>
      <c r="EE10"/>
      <c r="EF10"/>
      <c r="EG10"/>
      <c r="EH10"/>
      <c r="EI10"/>
      <c r="EJ10"/>
      <c r="EK10"/>
      <c r="EL10"/>
      <c r="EM10"/>
      <c r="EN10"/>
    </row>
    <row r="11" spans="1:144" x14ac:dyDescent="0.35">
      <c r="A11" s="1" t="str">
        <f t="shared" si="0"/>
        <v>1</v>
      </c>
      <c r="B11"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11" s="1" t="s">
        <v>1603</v>
      </c>
      <c r="D11" s="1" t="s">
        <v>1604</v>
      </c>
      <c r="E11" s="1" t="s">
        <v>1605</v>
      </c>
      <c r="F11" s="1" t="s">
        <v>112</v>
      </c>
      <c r="G11" s="1">
        <v>524482</v>
      </c>
      <c r="K11" s="146" t="s">
        <v>1582</v>
      </c>
      <c r="L11" s="44">
        <v>189067</v>
      </c>
      <c r="M11" s="44">
        <v>3531419.3333333335</v>
      </c>
      <c r="N11" s="44">
        <v>548181</v>
      </c>
      <c r="O11" s="44"/>
      <c r="P11" s="44">
        <v>333107.33333333331</v>
      </c>
      <c r="Q11" s="44">
        <v>118467</v>
      </c>
      <c r="R11" s="44">
        <v>501518</v>
      </c>
      <c r="S11" s="44">
        <v>149203</v>
      </c>
      <c r="T11" s="44">
        <v>242737.66666666666</v>
      </c>
      <c r="U11" s="44">
        <v>2628457.6666666665</v>
      </c>
      <c r="V11" s="44">
        <v>4722772.333333333</v>
      </c>
      <c r="W11" s="44">
        <v>234216</v>
      </c>
      <c r="X11" s="44">
        <v>214907.33333333334</v>
      </c>
      <c r="Y11" s="44">
        <v>55473.666666666664</v>
      </c>
      <c r="Z11" s="44">
        <v>166572</v>
      </c>
      <c r="AA11" s="44">
        <v>172426.33333333334</v>
      </c>
      <c r="AB11" s="44">
        <v>104991.66666666667</v>
      </c>
      <c r="AC11" s="44">
        <v>414890.33333333331</v>
      </c>
      <c r="AD11" s="44">
        <v>346338</v>
      </c>
      <c r="AE11" s="44">
        <v>281498.66666666669</v>
      </c>
      <c r="AF11" s="44">
        <v>130378</v>
      </c>
      <c r="AG11"/>
    </row>
    <row r="12" spans="1:144" x14ac:dyDescent="0.35">
      <c r="A12" s="1" t="str">
        <f t="shared" si="0"/>
        <v>1</v>
      </c>
      <c r="B1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12" s="1" t="s">
        <v>1606</v>
      </c>
      <c r="K12" s="146" t="s">
        <v>1583</v>
      </c>
      <c r="L12" s="44">
        <v>282313.33333333331</v>
      </c>
      <c r="M12" s="44">
        <v>2310484</v>
      </c>
      <c r="N12" s="44">
        <v>1722691.5</v>
      </c>
      <c r="O12" s="44">
        <v>1241433.3333333333</v>
      </c>
      <c r="P12" s="44"/>
      <c r="Q12" s="44">
        <v>257900.33333333334</v>
      </c>
      <c r="R12" s="44">
        <v>415135.33333333331</v>
      </c>
      <c r="S12" s="44">
        <v>439887</v>
      </c>
      <c r="T12" s="44">
        <v>1141654.6666666667</v>
      </c>
      <c r="U12" s="44">
        <v>3498765.3333333335</v>
      </c>
      <c r="V12" s="44">
        <v>4839357.333333333</v>
      </c>
      <c r="W12" s="44">
        <v>228325</v>
      </c>
      <c r="X12" s="44">
        <v>185098</v>
      </c>
      <c r="Y12" s="44">
        <v>196745.66666666666</v>
      </c>
      <c r="Z12" s="44">
        <v>116873.66666666667</v>
      </c>
      <c r="AA12" s="44">
        <v>244915.33333333334</v>
      </c>
      <c r="AB12" s="44">
        <v>32725.666666666668</v>
      </c>
      <c r="AC12" s="44">
        <v>64132.666666666664</v>
      </c>
      <c r="AD12" s="44">
        <v>411898</v>
      </c>
      <c r="AE12" s="44">
        <v>221822</v>
      </c>
      <c r="AF12" s="44">
        <v>448020</v>
      </c>
      <c r="AG12"/>
    </row>
    <row r="13" spans="1:144" x14ac:dyDescent="0.35">
      <c r="A13" s="1" t="str">
        <f t="shared" si="0"/>
        <v>1</v>
      </c>
      <c r="B1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13" s="1" t="s">
        <v>1607</v>
      </c>
      <c r="D13" s="1" t="s">
        <v>1300</v>
      </c>
      <c r="E13" s="1" t="s">
        <v>1608</v>
      </c>
      <c r="F13" s="1" t="s">
        <v>112</v>
      </c>
      <c r="G13" s="1">
        <v>98849</v>
      </c>
      <c r="K13"/>
      <c r="L13"/>
      <c r="M13"/>
      <c r="N13"/>
      <c r="O13"/>
      <c r="P13"/>
      <c r="Q13"/>
      <c r="R13"/>
      <c r="S13"/>
      <c r="T13"/>
      <c r="U13"/>
      <c r="V13"/>
      <c r="W13"/>
      <c r="X13"/>
      <c r="Y13"/>
      <c r="Z13"/>
      <c r="AA13"/>
      <c r="AB13"/>
      <c r="AC13"/>
      <c r="AD13"/>
      <c r="AE13"/>
      <c r="AF13"/>
      <c r="AG13"/>
    </row>
    <row r="14" spans="1:144" x14ac:dyDescent="0.35">
      <c r="A14" s="1" t="str">
        <f t="shared" si="0"/>
        <v>1</v>
      </c>
      <c r="B1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14" s="1" t="s">
        <v>1609</v>
      </c>
      <c r="D14" s="1" t="s">
        <v>1610</v>
      </c>
      <c r="E14" s="1" t="s">
        <v>1611</v>
      </c>
      <c r="F14" s="1" t="s">
        <v>112</v>
      </c>
      <c r="G14" s="1">
        <v>396065</v>
      </c>
      <c r="K14"/>
      <c r="L14"/>
      <c r="M14"/>
      <c r="N14"/>
      <c r="O14"/>
      <c r="P14"/>
      <c r="Q14"/>
      <c r="R14"/>
      <c r="S14"/>
      <c r="T14"/>
      <c r="U14"/>
      <c r="V14"/>
      <c r="W14"/>
      <c r="X14"/>
      <c r="Y14"/>
      <c r="Z14"/>
      <c r="AA14"/>
      <c r="AB14"/>
      <c r="AC14"/>
      <c r="AD14"/>
      <c r="AE14"/>
      <c r="AF14"/>
      <c r="AG14"/>
    </row>
    <row r="15" spans="1:144" x14ac:dyDescent="0.35">
      <c r="A15" s="1" t="str">
        <f t="shared" si="0"/>
        <v>1</v>
      </c>
      <c r="B1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15" s="1" t="s">
        <v>1612</v>
      </c>
      <c r="D15" s="1" t="s">
        <v>1252</v>
      </c>
      <c r="E15" s="1" t="s">
        <v>1613</v>
      </c>
      <c r="F15" s="1" t="s">
        <v>112</v>
      </c>
      <c r="G15" s="1">
        <v>183443</v>
      </c>
    </row>
    <row r="16" spans="1:144" x14ac:dyDescent="0.35">
      <c r="A16" s="1" t="str">
        <f t="shared" si="0"/>
        <v>1</v>
      </c>
      <c r="B16"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16" s="1" t="s">
        <v>1614</v>
      </c>
      <c r="D16" s="1" t="s">
        <v>1363</v>
      </c>
      <c r="E16" s="1" t="s">
        <v>1615</v>
      </c>
      <c r="F16" s="1" t="s">
        <v>112</v>
      </c>
      <c r="G16" s="1">
        <v>207150</v>
      </c>
    </row>
    <row r="17" spans="1:8" x14ac:dyDescent="0.35">
      <c r="A17" s="1" t="str">
        <f t="shared" si="0"/>
        <v>1</v>
      </c>
      <c r="B17"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17" s="1" t="s">
        <v>1616</v>
      </c>
      <c r="D17" s="1" t="s">
        <v>1617</v>
      </c>
      <c r="E17" s="1" t="s">
        <v>1618</v>
      </c>
      <c r="F17" s="1" t="s">
        <v>112</v>
      </c>
      <c r="G17" s="1">
        <v>246386</v>
      </c>
    </row>
    <row r="18" spans="1:8" x14ac:dyDescent="0.35">
      <c r="A18" s="1" t="str">
        <f t="shared" si="0"/>
        <v>1</v>
      </c>
      <c r="B1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18" s="1" t="s">
        <v>1619</v>
      </c>
      <c r="D18" s="1" t="s">
        <v>1620</v>
      </c>
      <c r="E18" s="1" t="s">
        <v>1621</v>
      </c>
      <c r="F18" s="1" t="s">
        <v>112</v>
      </c>
      <c r="G18" s="1">
        <v>72439</v>
      </c>
    </row>
    <row r="19" spans="1:8" x14ac:dyDescent="0.35">
      <c r="A19" s="1" t="str">
        <f t="shared" si="0"/>
        <v>1</v>
      </c>
      <c r="B19"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19" s="1" t="s">
        <v>1622</v>
      </c>
      <c r="D19" s="1" t="s">
        <v>1623</v>
      </c>
      <c r="E19" s="1" t="s">
        <v>1624</v>
      </c>
      <c r="F19" s="1" t="s">
        <v>112</v>
      </c>
      <c r="G19" s="1">
        <v>66880</v>
      </c>
    </row>
    <row r="20" spans="1:8" x14ac:dyDescent="0.35">
      <c r="A20" s="1" t="str">
        <f t="shared" si="0"/>
        <v>1</v>
      </c>
      <c r="B20"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20" s="1" t="s">
        <v>1625</v>
      </c>
      <c r="D20" s="1" t="s">
        <v>1036</v>
      </c>
      <c r="E20" s="1" t="s">
        <v>1626</v>
      </c>
      <c r="F20" s="1" t="s">
        <v>112</v>
      </c>
      <c r="G20" s="1">
        <v>12675</v>
      </c>
    </row>
    <row r="21" spans="1:8" x14ac:dyDescent="0.35">
      <c r="A21" s="1" t="str">
        <f t="shared" si="0"/>
        <v>1</v>
      </c>
      <c r="B21"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21" s="1" t="s">
        <v>1627</v>
      </c>
      <c r="D21" s="1">
        <v>0</v>
      </c>
      <c r="E21" s="1">
        <v>0</v>
      </c>
      <c r="F21" s="1" t="s">
        <v>112</v>
      </c>
      <c r="G21" s="1">
        <v>0</v>
      </c>
    </row>
    <row r="22" spans="1:8" x14ac:dyDescent="0.35">
      <c r="A22" s="1" t="str">
        <f t="shared" si="0"/>
        <v>1</v>
      </c>
      <c r="B2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22" s="1" t="s">
        <v>1628</v>
      </c>
      <c r="D22" s="1" t="s">
        <v>1380</v>
      </c>
      <c r="E22" s="1" t="s">
        <v>1629</v>
      </c>
      <c r="F22" s="1" t="s">
        <v>112</v>
      </c>
      <c r="G22" s="1">
        <v>274462</v>
      </c>
    </row>
    <row r="23" spans="1:8" x14ac:dyDescent="0.35">
      <c r="A23" s="1" t="str">
        <f t="shared" si="0"/>
        <v>1</v>
      </c>
      <c r="B2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23" s="1" t="s">
        <v>1630</v>
      </c>
      <c r="D23" s="1" t="s">
        <v>1631</v>
      </c>
      <c r="E23" s="1" t="s">
        <v>1632</v>
      </c>
      <c r="F23" s="1" t="s">
        <v>112</v>
      </c>
      <c r="G23" s="1">
        <v>292739</v>
      </c>
    </row>
    <row r="24" spans="1:8" x14ac:dyDescent="0.35">
      <c r="A24" s="1" t="str">
        <f t="shared" si="0"/>
        <v>1</v>
      </c>
      <c r="B2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24" s="1" t="s">
        <v>1633</v>
      </c>
      <c r="D24" s="1">
        <v>0</v>
      </c>
      <c r="E24" s="1">
        <v>0</v>
      </c>
      <c r="F24" s="1" t="s">
        <v>112</v>
      </c>
      <c r="G24" s="1">
        <v>0</v>
      </c>
    </row>
    <row r="25" spans="1:8" x14ac:dyDescent="0.35">
      <c r="A25" s="1" t="str">
        <f t="shared" si="0"/>
        <v>1</v>
      </c>
      <c r="B2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25" s="1" t="s">
        <v>1634</v>
      </c>
      <c r="D25" s="1" t="s">
        <v>363</v>
      </c>
      <c r="E25" s="1" t="s">
        <v>1635</v>
      </c>
      <c r="F25" s="1" t="s">
        <v>112</v>
      </c>
      <c r="G25" s="1">
        <v>472829</v>
      </c>
    </row>
    <row r="26" spans="1:8" x14ac:dyDescent="0.35">
      <c r="A26" s="1" t="str">
        <f t="shared" si="0"/>
        <v>1</v>
      </c>
      <c r="B26"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26" s="1" t="s">
        <v>1636</v>
      </c>
      <c r="D26" s="1" t="s">
        <v>1377</v>
      </c>
      <c r="E26" s="1" t="s">
        <v>1637</v>
      </c>
      <c r="F26" s="1" t="s">
        <v>112</v>
      </c>
      <c r="G26" s="1">
        <v>374111</v>
      </c>
    </row>
    <row r="27" spans="1:8" x14ac:dyDescent="0.35">
      <c r="A27" s="1" t="str">
        <f t="shared" si="0"/>
        <v/>
      </c>
      <c r="B2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27" s="1" t="s">
        <v>112</v>
      </c>
    </row>
    <row r="28" spans="1:8" x14ac:dyDescent="0.35">
      <c r="A28" s="1" t="str">
        <f t="shared" si="0"/>
        <v/>
      </c>
      <c r="B2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28" s="1" t="s">
        <v>226</v>
      </c>
      <c r="D28" s="1" t="s">
        <v>112</v>
      </c>
      <c r="E28" s="1" t="s">
        <v>227</v>
      </c>
      <c r="F28" s="1" t="s">
        <v>228</v>
      </c>
      <c r="G28" s="1" t="s">
        <v>229</v>
      </c>
      <c r="H28" s="1" t="s">
        <v>230</v>
      </c>
    </row>
    <row r="29" spans="1:8" x14ac:dyDescent="0.35">
      <c r="A29" s="1" t="str">
        <f t="shared" si="0"/>
        <v>1</v>
      </c>
      <c r="B29"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 xml:space="preserve"> </v>
      </c>
      <c r="C29" s="1" t="s">
        <v>1638</v>
      </c>
      <c r="D29" s="1" t="s">
        <v>112</v>
      </c>
      <c r="E29" s="1" t="s">
        <v>1639</v>
      </c>
      <c r="F29" s="1" t="s">
        <v>1640</v>
      </c>
      <c r="G29" s="1" t="s">
        <v>1641</v>
      </c>
      <c r="H29" s="1" t="s">
        <v>1642</v>
      </c>
    </row>
    <row r="30" spans="1:8" x14ac:dyDescent="0.35">
      <c r="A30" s="1" t="str">
        <f t="shared" si="0"/>
        <v/>
      </c>
      <c r="B3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30" s="1" t="s">
        <v>112</v>
      </c>
    </row>
    <row r="31" spans="1:8" x14ac:dyDescent="0.35">
      <c r="A31" s="1" t="str">
        <f t="shared" si="0"/>
        <v/>
      </c>
      <c r="B3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31" s="1" t="s">
        <v>112</v>
      </c>
    </row>
    <row r="32" spans="1:8" x14ac:dyDescent="0.35">
      <c r="A32" s="1" t="str">
        <f t="shared" si="0"/>
        <v/>
      </c>
      <c r="B3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32" s="1" t="s">
        <v>112</v>
      </c>
    </row>
    <row r="33" spans="1:7" x14ac:dyDescent="0.35">
      <c r="A33" s="1" t="str">
        <f t="shared" si="0"/>
        <v/>
      </c>
      <c r="B3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33" s="1" t="s">
        <v>112</v>
      </c>
    </row>
    <row r="34" spans="1:7" x14ac:dyDescent="0.35">
      <c r="A34" s="1" t="str">
        <f t="shared" si="0"/>
        <v/>
      </c>
      <c r="B3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34" s="1" t="s">
        <v>112</v>
      </c>
    </row>
    <row r="35" spans="1:7" x14ac:dyDescent="0.35">
      <c r="A35" s="1" t="str">
        <f t="shared" si="0"/>
        <v/>
      </c>
      <c r="B3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35" s="1" t="s">
        <v>172</v>
      </c>
      <c r="D35" s="1" t="s">
        <v>110</v>
      </c>
      <c r="E35" s="1" t="s">
        <v>111</v>
      </c>
      <c r="F35" s="1" t="s">
        <v>112</v>
      </c>
      <c r="G35" s="1" t="s">
        <v>113</v>
      </c>
    </row>
    <row r="36" spans="1:7" x14ac:dyDescent="0.35">
      <c r="A36" s="1" t="str">
        <f t="shared" si="0"/>
        <v>13</v>
      </c>
      <c r="B36"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36" s="1" t="s">
        <v>1643</v>
      </c>
    </row>
    <row r="37" spans="1:7" x14ac:dyDescent="0.35">
      <c r="A37" s="1" t="str">
        <f t="shared" si="0"/>
        <v>13</v>
      </c>
      <c r="B37"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37" s="1" t="s">
        <v>1644</v>
      </c>
    </row>
    <row r="38" spans="1:7" x14ac:dyDescent="0.35">
      <c r="A38" s="1" t="str">
        <f t="shared" si="0"/>
        <v>13</v>
      </c>
      <c r="B3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38" s="1" t="s">
        <v>1645</v>
      </c>
      <c r="D38" s="1" t="s">
        <v>1646</v>
      </c>
      <c r="E38" s="1" t="s">
        <v>1647</v>
      </c>
      <c r="F38" s="1" t="s">
        <v>112</v>
      </c>
      <c r="G38" s="1">
        <v>524525</v>
      </c>
    </row>
    <row r="39" spans="1:7" x14ac:dyDescent="0.35">
      <c r="A39" s="1" t="str">
        <f t="shared" si="0"/>
        <v>13</v>
      </c>
      <c r="B39"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39" s="1" t="s">
        <v>1648</v>
      </c>
      <c r="D39" s="1" t="s">
        <v>1649</v>
      </c>
      <c r="E39" s="1" t="s">
        <v>1650</v>
      </c>
      <c r="F39" s="1" t="s">
        <v>112</v>
      </c>
      <c r="G39" s="1">
        <v>3679440</v>
      </c>
    </row>
    <row r="40" spans="1:7" x14ac:dyDescent="0.35">
      <c r="A40" s="1" t="str">
        <f t="shared" si="0"/>
        <v>13</v>
      </c>
      <c r="B40"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40" s="1" t="s">
        <v>1651</v>
      </c>
      <c r="D40" s="1" t="s">
        <v>1652</v>
      </c>
      <c r="E40" s="1" t="s">
        <v>1653</v>
      </c>
      <c r="F40" s="1" t="s">
        <v>112</v>
      </c>
      <c r="G40" s="1">
        <v>3119809</v>
      </c>
    </row>
    <row r="41" spans="1:7" x14ac:dyDescent="0.35">
      <c r="A41" s="1" t="str">
        <f t="shared" si="0"/>
        <v>13</v>
      </c>
      <c r="B41"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41" s="1" t="s">
        <v>1654</v>
      </c>
      <c r="D41" s="1" t="s">
        <v>1655</v>
      </c>
      <c r="E41" s="1" t="s">
        <v>1656</v>
      </c>
      <c r="F41" s="1" t="s">
        <v>112</v>
      </c>
      <c r="G41" s="1">
        <v>3098937</v>
      </c>
    </row>
    <row r="42" spans="1:7" x14ac:dyDescent="0.35">
      <c r="A42" s="1" t="str">
        <f t="shared" si="0"/>
        <v>13</v>
      </c>
      <c r="B4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42" s="1" t="s">
        <v>1657</v>
      </c>
      <c r="D42" s="1" t="s">
        <v>252</v>
      </c>
      <c r="E42" s="1" t="s">
        <v>1658</v>
      </c>
      <c r="F42" s="1" t="s">
        <v>112</v>
      </c>
      <c r="G42" s="1">
        <v>2437300</v>
      </c>
    </row>
    <row r="43" spans="1:7" x14ac:dyDescent="0.35">
      <c r="A43" s="1" t="str">
        <f t="shared" si="0"/>
        <v>13</v>
      </c>
      <c r="B4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43" s="1" t="s">
        <v>1659</v>
      </c>
      <c r="D43" s="1" t="s">
        <v>1660</v>
      </c>
      <c r="E43" s="1" t="s">
        <v>1661</v>
      </c>
      <c r="F43" s="1" t="s">
        <v>112</v>
      </c>
      <c r="G43" s="1">
        <v>3014472</v>
      </c>
    </row>
    <row r="44" spans="1:7" x14ac:dyDescent="0.35">
      <c r="A44" s="1" t="str">
        <f t="shared" si="0"/>
        <v>13</v>
      </c>
      <c r="B4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44" s="1" t="s">
        <v>1662</v>
      </c>
      <c r="D44" s="1" t="s">
        <v>1663</v>
      </c>
      <c r="E44" s="1" t="s">
        <v>1664</v>
      </c>
      <c r="F44" s="1" t="s">
        <v>112</v>
      </c>
      <c r="G44" s="1">
        <v>3176047</v>
      </c>
    </row>
    <row r="45" spans="1:7" x14ac:dyDescent="0.35">
      <c r="A45" s="1" t="str">
        <f t="shared" si="0"/>
        <v>13</v>
      </c>
      <c r="B4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45" s="1" t="s">
        <v>1665</v>
      </c>
      <c r="D45" s="1" t="s">
        <v>1666</v>
      </c>
      <c r="E45" s="1" t="s">
        <v>1667</v>
      </c>
      <c r="F45" s="1" t="s">
        <v>112</v>
      </c>
      <c r="G45" s="1">
        <v>1257108</v>
      </c>
    </row>
    <row r="46" spans="1:7" x14ac:dyDescent="0.35">
      <c r="A46" s="1" t="str">
        <f t="shared" si="0"/>
        <v>13</v>
      </c>
      <c r="B46"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46" s="1" t="s">
        <v>1668</v>
      </c>
      <c r="D46" s="1" t="s">
        <v>1669</v>
      </c>
      <c r="E46" s="1" t="s">
        <v>1670</v>
      </c>
      <c r="F46" s="1" t="s">
        <v>112</v>
      </c>
      <c r="G46" s="1">
        <v>1081646</v>
      </c>
    </row>
    <row r="47" spans="1:7" x14ac:dyDescent="0.35">
      <c r="A47" s="1" t="str">
        <f t="shared" si="0"/>
        <v>13</v>
      </c>
      <c r="B47"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47" s="1" t="s">
        <v>1671</v>
      </c>
      <c r="D47" s="1" t="s">
        <v>1672</v>
      </c>
      <c r="E47" s="1" t="s">
        <v>1673</v>
      </c>
      <c r="F47" s="1" t="s">
        <v>112</v>
      </c>
      <c r="G47" s="1">
        <v>1142621</v>
      </c>
    </row>
    <row r="48" spans="1:7" x14ac:dyDescent="0.35">
      <c r="A48" s="1" t="str">
        <f t="shared" si="0"/>
        <v>13</v>
      </c>
      <c r="B4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48" s="1" t="s">
        <v>1674</v>
      </c>
      <c r="D48" s="1" t="s">
        <v>1675</v>
      </c>
      <c r="E48" s="1" t="s">
        <v>1676</v>
      </c>
      <c r="F48" s="1" t="s">
        <v>112</v>
      </c>
      <c r="G48" s="1">
        <v>2200301</v>
      </c>
    </row>
    <row r="49" spans="1:8" x14ac:dyDescent="0.35">
      <c r="A49" s="1" t="str">
        <f t="shared" si="0"/>
        <v>13</v>
      </c>
      <c r="B49"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49" s="1" t="s">
        <v>1677</v>
      </c>
      <c r="D49" s="1" t="s">
        <v>1678</v>
      </c>
      <c r="E49" s="1" t="s">
        <v>1679</v>
      </c>
      <c r="F49" s="1" t="s">
        <v>112</v>
      </c>
      <c r="G49" s="1">
        <v>2464835</v>
      </c>
    </row>
    <row r="50" spans="1:8" x14ac:dyDescent="0.35">
      <c r="A50" s="1" t="str">
        <f t="shared" si="0"/>
        <v>13</v>
      </c>
      <c r="B50"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50" s="1" t="s">
        <v>1680</v>
      </c>
      <c r="D50" s="1" t="s">
        <v>1681</v>
      </c>
      <c r="E50" s="1" t="s">
        <v>1682</v>
      </c>
      <c r="F50" s="1" t="s">
        <v>112</v>
      </c>
      <c r="G50" s="1">
        <v>2183603</v>
      </c>
    </row>
    <row r="51" spans="1:8" x14ac:dyDescent="0.35">
      <c r="A51" s="1" t="str">
        <f t="shared" si="0"/>
        <v>13</v>
      </c>
      <c r="B51"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51" s="1" t="s">
        <v>1683</v>
      </c>
      <c r="D51" s="1" t="s">
        <v>1684</v>
      </c>
      <c r="E51" s="1" t="s">
        <v>1685</v>
      </c>
      <c r="F51" s="1" t="s">
        <v>112</v>
      </c>
      <c r="G51" s="1">
        <v>44839</v>
      </c>
    </row>
    <row r="52" spans="1:8" x14ac:dyDescent="0.35">
      <c r="A52" s="1" t="str">
        <f t="shared" si="0"/>
        <v>13</v>
      </c>
      <c r="B5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52" s="1" t="s">
        <v>1686</v>
      </c>
      <c r="D52" s="1" t="s">
        <v>1687</v>
      </c>
      <c r="E52" s="1" t="s">
        <v>1688</v>
      </c>
      <c r="F52" s="1" t="s">
        <v>112</v>
      </c>
      <c r="G52" s="1">
        <v>50744</v>
      </c>
    </row>
    <row r="53" spans="1:8" x14ac:dyDescent="0.35">
      <c r="A53" s="1" t="str">
        <f t="shared" si="0"/>
        <v>13</v>
      </c>
      <c r="B5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53" s="1" t="s">
        <v>1689</v>
      </c>
      <c r="D53" s="1" t="s">
        <v>203</v>
      </c>
      <c r="E53" s="1" t="s">
        <v>1690</v>
      </c>
      <c r="F53" s="1" t="s">
        <v>112</v>
      </c>
      <c r="G53" s="1">
        <v>6056</v>
      </c>
    </row>
    <row r="54" spans="1:8" x14ac:dyDescent="0.35">
      <c r="A54" s="1" t="str">
        <f t="shared" si="0"/>
        <v>13</v>
      </c>
      <c r="B5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54" s="1" t="s">
        <v>1691</v>
      </c>
      <c r="D54" s="1" t="s">
        <v>1692</v>
      </c>
      <c r="E54" s="1" t="s">
        <v>1693</v>
      </c>
      <c r="F54" s="1" t="s">
        <v>112</v>
      </c>
      <c r="G54" s="1">
        <v>3094027</v>
      </c>
    </row>
    <row r="55" spans="1:8" x14ac:dyDescent="0.35">
      <c r="A55" s="1" t="str">
        <f t="shared" si="0"/>
        <v>13</v>
      </c>
      <c r="B5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55" s="1" t="s">
        <v>1694</v>
      </c>
      <c r="D55" s="1" t="s">
        <v>389</v>
      </c>
      <c r="E55" s="1" t="s">
        <v>1695</v>
      </c>
      <c r="F55" s="1" t="s">
        <v>112</v>
      </c>
      <c r="G55" s="1">
        <v>3309244</v>
      </c>
    </row>
    <row r="56" spans="1:8" x14ac:dyDescent="0.35">
      <c r="A56" s="1" t="str">
        <f t="shared" si="0"/>
        <v>13</v>
      </c>
      <c r="B56"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56" s="1" t="s">
        <v>1696</v>
      </c>
      <c r="D56" s="1" t="s">
        <v>1697</v>
      </c>
      <c r="E56" s="1" t="s">
        <v>1698</v>
      </c>
      <c r="F56" s="1" t="s">
        <v>112</v>
      </c>
      <c r="G56" s="1">
        <v>4190987</v>
      </c>
    </row>
    <row r="57" spans="1:8" x14ac:dyDescent="0.35">
      <c r="A57" s="1" t="str">
        <f t="shared" si="0"/>
        <v>13</v>
      </c>
      <c r="B57"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57" s="1" t="s">
        <v>1699</v>
      </c>
      <c r="D57" s="1" t="s">
        <v>1700</v>
      </c>
      <c r="E57" s="1" t="s">
        <v>1701</v>
      </c>
      <c r="F57" s="1" t="s">
        <v>112</v>
      </c>
      <c r="G57" s="1">
        <v>2567815</v>
      </c>
    </row>
    <row r="58" spans="1:8" x14ac:dyDescent="0.35">
      <c r="A58" s="1" t="str">
        <f t="shared" si="0"/>
        <v>13</v>
      </c>
      <c r="B5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58" s="1" t="s">
        <v>1702</v>
      </c>
      <c r="D58" s="1" t="s">
        <v>1703</v>
      </c>
      <c r="E58" s="1" t="s">
        <v>1704</v>
      </c>
      <c r="F58" s="1" t="s">
        <v>112</v>
      </c>
      <c r="G58" s="1">
        <v>1842067</v>
      </c>
    </row>
    <row r="59" spans="1:8" x14ac:dyDescent="0.35">
      <c r="A59" s="1" t="str">
        <f t="shared" si="0"/>
        <v>13</v>
      </c>
      <c r="B59"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59" s="1" t="s">
        <v>1705</v>
      </c>
      <c r="D59" s="1" t="s">
        <v>1706</v>
      </c>
      <c r="E59" s="1" t="s">
        <v>1707</v>
      </c>
      <c r="F59" s="1" t="s">
        <v>112</v>
      </c>
      <c r="G59" s="1">
        <v>2521570</v>
      </c>
    </row>
    <row r="60" spans="1:8" x14ac:dyDescent="0.35">
      <c r="A60" s="1" t="str">
        <f t="shared" si="0"/>
        <v/>
      </c>
      <c r="B6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60" s="1" t="s">
        <v>112</v>
      </c>
    </row>
    <row r="61" spans="1:8" x14ac:dyDescent="0.35">
      <c r="A61" s="1" t="str">
        <f t="shared" si="0"/>
        <v/>
      </c>
      <c r="B6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61" s="1" t="s">
        <v>226</v>
      </c>
      <c r="D61" s="1" t="s">
        <v>112</v>
      </c>
      <c r="E61" s="1" t="s">
        <v>227</v>
      </c>
      <c r="F61" s="1" t="s">
        <v>228</v>
      </c>
      <c r="G61" s="1" t="s">
        <v>229</v>
      </c>
      <c r="H61" s="1" t="s">
        <v>230</v>
      </c>
    </row>
    <row r="62" spans="1:8" x14ac:dyDescent="0.35">
      <c r="A62" s="1" t="str">
        <f t="shared" si="0"/>
        <v>13</v>
      </c>
      <c r="B6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 xml:space="preserve"> </v>
      </c>
      <c r="C62" s="1" t="s">
        <v>1708</v>
      </c>
      <c r="D62" s="1" t="s">
        <v>112</v>
      </c>
      <c r="E62" s="1" t="s">
        <v>1709</v>
      </c>
      <c r="F62" s="1" t="s">
        <v>1710</v>
      </c>
      <c r="G62" s="1" t="s">
        <v>1711</v>
      </c>
      <c r="H62" s="1" t="s">
        <v>1712</v>
      </c>
    </row>
    <row r="63" spans="1:8" x14ac:dyDescent="0.35">
      <c r="A63" s="1" t="str">
        <f t="shared" si="0"/>
        <v/>
      </c>
      <c r="B6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63" s="1" t="s">
        <v>112</v>
      </c>
    </row>
    <row r="64" spans="1:8" x14ac:dyDescent="0.35">
      <c r="A64" s="1" t="str">
        <f t="shared" si="0"/>
        <v/>
      </c>
      <c r="B6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64" s="1" t="s">
        <v>112</v>
      </c>
    </row>
    <row r="65" spans="1:7" x14ac:dyDescent="0.35">
      <c r="A65" s="1" t="str">
        <f t="shared" si="0"/>
        <v/>
      </c>
      <c r="B6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65" s="1" t="s">
        <v>112</v>
      </c>
    </row>
    <row r="66" spans="1:7" x14ac:dyDescent="0.35">
      <c r="A66" s="1" t="str">
        <f t="shared" ref="A66:A129" si="1">IFERROR(LEFT(RIGHT(C66,LEN(C66)-SEARCH("@",C66)),SEARCH("/",RIGHT(C66,LEN(C66)-SEARCH("@",C66)-1))),"")</f>
        <v/>
      </c>
      <c r="B6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66" s="1" t="s">
        <v>112</v>
      </c>
    </row>
    <row r="67" spans="1:7" x14ac:dyDescent="0.35">
      <c r="A67" s="1" t="str">
        <f t="shared" si="1"/>
        <v/>
      </c>
      <c r="B6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67" s="1" t="s">
        <v>112</v>
      </c>
    </row>
    <row r="68" spans="1:7" x14ac:dyDescent="0.35">
      <c r="A68" s="1" t="str">
        <f t="shared" si="1"/>
        <v/>
      </c>
      <c r="B6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68" s="1" t="s">
        <v>172</v>
      </c>
      <c r="D68" s="1" t="s">
        <v>110</v>
      </c>
      <c r="E68" s="1" t="s">
        <v>111</v>
      </c>
      <c r="F68" s="1" t="s">
        <v>112</v>
      </c>
      <c r="G68" s="1" t="s">
        <v>113</v>
      </c>
    </row>
    <row r="69" spans="1:7" x14ac:dyDescent="0.35">
      <c r="A69" s="1" t="str">
        <f t="shared" si="1"/>
        <v>14</v>
      </c>
      <c r="B69"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69" s="1" t="s">
        <v>1713</v>
      </c>
      <c r="D69" s="1" t="s">
        <v>1714</v>
      </c>
      <c r="E69" s="1" t="s">
        <v>1715</v>
      </c>
      <c r="F69" s="1" t="s">
        <v>112</v>
      </c>
      <c r="G69" s="1">
        <v>2061783</v>
      </c>
    </row>
    <row r="70" spans="1:7" x14ac:dyDescent="0.35">
      <c r="A70" s="1" t="str">
        <f t="shared" si="1"/>
        <v>14</v>
      </c>
      <c r="B70"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70" s="1" t="s">
        <v>1716</v>
      </c>
      <c r="D70" s="1" t="s">
        <v>1717</v>
      </c>
      <c r="E70" s="1" t="s">
        <v>1718</v>
      </c>
      <c r="F70" s="1" t="s">
        <v>112</v>
      </c>
      <c r="G70" s="1">
        <v>1636064</v>
      </c>
    </row>
    <row r="71" spans="1:7" x14ac:dyDescent="0.35">
      <c r="A71" s="1" t="str">
        <f t="shared" si="1"/>
        <v>14</v>
      </c>
      <c r="B71"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71" s="1" t="s">
        <v>1719</v>
      </c>
      <c r="D71" s="1" t="s">
        <v>1720</v>
      </c>
      <c r="E71" s="1" t="s">
        <v>1721</v>
      </c>
      <c r="F71" s="1" t="s">
        <v>112</v>
      </c>
      <c r="G71" s="1">
        <v>1625357</v>
      </c>
    </row>
    <row r="72" spans="1:7" x14ac:dyDescent="0.35">
      <c r="A72" s="1" t="str">
        <f t="shared" si="1"/>
        <v>14</v>
      </c>
      <c r="B7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72" s="1" t="s">
        <v>1722</v>
      </c>
      <c r="D72" s="1" t="s">
        <v>904</v>
      </c>
      <c r="E72" s="1" t="s">
        <v>1723</v>
      </c>
      <c r="F72" s="1" t="s">
        <v>112</v>
      </c>
      <c r="G72" s="1">
        <v>3150394</v>
      </c>
    </row>
    <row r="73" spans="1:7" x14ac:dyDescent="0.35">
      <c r="A73" s="1" t="str">
        <f t="shared" si="1"/>
        <v>14</v>
      </c>
      <c r="B7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73" s="1" t="s">
        <v>1724</v>
      </c>
      <c r="D73" s="1" t="s">
        <v>1725</v>
      </c>
      <c r="E73" s="1" t="s">
        <v>1726</v>
      </c>
      <c r="F73" s="1" t="s">
        <v>112</v>
      </c>
      <c r="G73" s="1">
        <v>3171267</v>
      </c>
    </row>
    <row r="74" spans="1:7" x14ac:dyDescent="0.35">
      <c r="A74" s="1" t="str">
        <f t="shared" si="1"/>
        <v>14</v>
      </c>
      <c r="B7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74" s="1" t="s">
        <v>1727</v>
      </c>
      <c r="D74" s="1" t="s">
        <v>1728</v>
      </c>
      <c r="E74" s="1" t="s">
        <v>1729</v>
      </c>
      <c r="F74" s="1" t="s">
        <v>112</v>
      </c>
      <c r="G74" s="1">
        <v>3575292</v>
      </c>
    </row>
    <row r="75" spans="1:7" x14ac:dyDescent="0.35">
      <c r="A75" s="1" t="str">
        <f t="shared" si="1"/>
        <v>14</v>
      </c>
      <c r="B7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75" s="1" t="s">
        <v>1730</v>
      </c>
    </row>
    <row r="76" spans="1:7" x14ac:dyDescent="0.35">
      <c r="A76" s="1" t="str">
        <f t="shared" si="1"/>
        <v>14</v>
      </c>
      <c r="B76"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76" s="1" t="s">
        <v>1731</v>
      </c>
    </row>
    <row r="77" spans="1:7" x14ac:dyDescent="0.35">
      <c r="A77" s="1" t="str">
        <f t="shared" si="1"/>
        <v>14</v>
      </c>
      <c r="B77"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77" s="1" t="s">
        <v>1732</v>
      </c>
    </row>
    <row r="78" spans="1:7" x14ac:dyDescent="0.35">
      <c r="A78" s="1" t="str">
        <f t="shared" si="1"/>
        <v>14</v>
      </c>
      <c r="B7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78" s="1" t="s">
        <v>1733</v>
      </c>
      <c r="D78" s="1" t="s">
        <v>1734</v>
      </c>
      <c r="E78" s="1" t="s">
        <v>1735</v>
      </c>
      <c r="F78" s="1" t="s">
        <v>112</v>
      </c>
      <c r="G78" s="1">
        <v>2341674</v>
      </c>
    </row>
    <row r="79" spans="1:7" x14ac:dyDescent="0.35">
      <c r="A79" s="1" t="str">
        <f t="shared" si="1"/>
        <v>14</v>
      </c>
      <c r="B79"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79" s="1" t="s">
        <v>1736</v>
      </c>
      <c r="D79" s="1" t="s">
        <v>1737</v>
      </c>
      <c r="E79" s="1" t="s">
        <v>1738</v>
      </c>
      <c r="F79" s="1" t="s">
        <v>112</v>
      </c>
      <c r="G79" s="1">
        <v>1965054</v>
      </c>
    </row>
    <row r="80" spans="1:7" x14ac:dyDescent="0.35">
      <c r="A80" s="1" t="str">
        <f t="shared" si="1"/>
        <v>14</v>
      </c>
      <c r="B80"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80" s="1" t="s">
        <v>1739</v>
      </c>
      <c r="D80" s="1" t="s">
        <v>1740</v>
      </c>
      <c r="E80" s="1" t="s">
        <v>1741</v>
      </c>
      <c r="F80" s="1" t="s">
        <v>112</v>
      </c>
      <c r="G80" s="1">
        <v>2107401</v>
      </c>
    </row>
    <row r="81" spans="1:8" x14ac:dyDescent="0.35">
      <c r="A81" s="1" t="str">
        <f t="shared" si="1"/>
        <v>14</v>
      </c>
      <c r="B81"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81" s="1" t="s">
        <v>1742</v>
      </c>
      <c r="D81" s="1" t="s">
        <v>1743</v>
      </c>
      <c r="E81" s="1" t="s">
        <v>1744</v>
      </c>
      <c r="F81" s="1" t="s">
        <v>112</v>
      </c>
      <c r="G81" s="1">
        <v>2313231</v>
      </c>
    </row>
    <row r="82" spans="1:8" x14ac:dyDescent="0.35">
      <c r="A82" s="1" t="str">
        <f t="shared" si="1"/>
        <v>14</v>
      </c>
      <c r="B8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82" s="1" t="s">
        <v>1745</v>
      </c>
      <c r="D82" s="1" t="s">
        <v>1746</v>
      </c>
      <c r="E82" s="1" t="s">
        <v>1747</v>
      </c>
      <c r="F82" s="1" t="s">
        <v>112</v>
      </c>
      <c r="G82" s="1">
        <v>2900893</v>
      </c>
    </row>
    <row r="83" spans="1:8" x14ac:dyDescent="0.35">
      <c r="A83" s="1" t="str">
        <f t="shared" si="1"/>
        <v>14</v>
      </c>
      <c r="B8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83" s="1" t="s">
        <v>1748</v>
      </c>
      <c r="D83" s="1" t="s">
        <v>1749</v>
      </c>
      <c r="E83" s="1" t="s">
        <v>1750</v>
      </c>
      <c r="F83" s="1" t="s">
        <v>112</v>
      </c>
      <c r="G83" s="1">
        <v>2179515</v>
      </c>
    </row>
    <row r="84" spans="1:8" x14ac:dyDescent="0.35">
      <c r="A84" s="1" t="str">
        <f t="shared" si="1"/>
        <v>14</v>
      </c>
      <c r="B8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84" s="1" t="s">
        <v>1751</v>
      </c>
      <c r="D84" s="1" t="s">
        <v>1752</v>
      </c>
      <c r="E84" s="1" t="s">
        <v>1753</v>
      </c>
      <c r="F84" s="1" t="s">
        <v>112</v>
      </c>
      <c r="G84" s="1">
        <v>2387832</v>
      </c>
    </row>
    <row r="85" spans="1:8" x14ac:dyDescent="0.35">
      <c r="A85" s="1" t="str">
        <f t="shared" si="1"/>
        <v>14</v>
      </c>
      <c r="B8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85" s="1" t="s">
        <v>1754</v>
      </c>
      <c r="D85" s="1" t="s">
        <v>1755</v>
      </c>
      <c r="E85" s="1" t="s">
        <v>1756</v>
      </c>
      <c r="F85" s="1" t="s">
        <v>112</v>
      </c>
      <c r="G85" s="1">
        <v>2252126</v>
      </c>
    </row>
    <row r="86" spans="1:8" x14ac:dyDescent="0.35">
      <c r="A86" s="1" t="str">
        <f t="shared" si="1"/>
        <v>14</v>
      </c>
      <c r="B86"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86" s="1" t="s">
        <v>1757</v>
      </c>
      <c r="D86" s="1" t="s">
        <v>1758</v>
      </c>
      <c r="E86" s="1" t="s">
        <v>1759</v>
      </c>
      <c r="F86" s="1" t="s">
        <v>112</v>
      </c>
      <c r="G86" s="1">
        <v>2455837</v>
      </c>
    </row>
    <row r="87" spans="1:8" x14ac:dyDescent="0.35">
      <c r="A87" s="1" t="str">
        <f t="shared" si="1"/>
        <v>14</v>
      </c>
      <c r="B87"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87" s="1" t="s">
        <v>1760</v>
      </c>
      <c r="D87" s="1" t="s">
        <v>1761</v>
      </c>
      <c r="E87" s="1" t="s">
        <v>1762</v>
      </c>
      <c r="F87" s="1" t="s">
        <v>112</v>
      </c>
      <c r="G87" s="1">
        <v>586451</v>
      </c>
    </row>
    <row r="88" spans="1:8" x14ac:dyDescent="0.35">
      <c r="A88" s="1" t="str">
        <f t="shared" si="1"/>
        <v>14</v>
      </c>
      <c r="B8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88" s="1" t="s">
        <v>1763</v>
      </c>
      <c r="D88" s="1" t="s">
        <v>1264</v>
      </c>
      <c r="E88" s="1" t="s">
        <v>1764</v>
      </c>
      <c r="F88" s="1" t="s">
        <v>112</v>
      </c>
      <c r="G88" s="1">
        <v>431452</v>
      </c>
    </row>
    <row r="89" spans="1:8" x14ac:dyDescent="0.35">
      <c r="A89" s="1" t="str">
        <f t="shared" si="1"/>
        <v>14</v>
      </c>
      <c r="B89"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89" s="1" t="s">
        <v>1765</v>
      </c>
      <c r="D89" s="1" t="s">
        <v>1766</v>
      </c>
      <c r="E89" s="1" t="s">
        <v>1767</v>
      </c>
      <c r="F89" s="1" t="s">
        <v>112</v>
      </c>
      <c r="G89" s="1">
        <v>626640</v>
      </c>
    </row>
    <row r="90" spans="1:8" x14ac:dyDescent="0.35">
      <c r="A90" s="1" t="str">
        <f t="shared" si="1"/>
        <v>14</v>
      </c>
      <c r="B90"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90" s="1" t="s">
        <v>1768</v>
      </c>
      <c r="D90" s="1" t="s">
        <v>1769</v>
      </c>
      <c r="E90" s="1" t="s">
        <v>1770</v>
      </c>
      <c r="F90" s="1" t="s">
        <v>112</v>
      </c>
      <c r="G90" s="1">
        <v>1777242</v>
      </c>
    </row>
    <row r="91" spans="1:8" x14ac:dyDescent="0.35">
      <c r="A91" s="1" t="str">
        <f t="shared" si="1"/>
        <v>14</v>
      </c>
      <c r="B91"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91" s="1" t="s">
        <v>1771</v>
      </c>
      <c r="D91" s="1" t="s">
        <v>1772</v>
      </c>
      <c r="E91" s="1" t="s">
        <v>1773</v>
      </c>
      <c r="F91" s="1" t="s">
        <v>112</v>
      </c>
      <c r="G91" s="1">
        <v>1668141</v>
      </c>
    </row>
    <row r="92" spans="1:8" x14ac:dyDescent="0.35">
      <c r="A92" s="1" t="str">
        <f t="shared" si="1"/>
        <v>14</v>
      </c>
      <c r="B9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92" s="1" t="s">
        <v>1774</v>
      </c>
    </row>
    <row r="93" spans="1:8" x14ac:dyDescent="0.35">
      <c r="A93" s="1" t="str">
        <f t="shared" si="1"/>
        <v/>
      </c>
      <c r="B9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93" s="1" t="s">
        <v>112</v>
      </c>
    </row>
    <row r="94" spans="1:8" x14ac:dyDescent="0.35">
      <c r="A94" s="1" t="str">
        <f t="shared" si="1"/>
        <v/>
      </c>
      <c r="B9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94" s="1" t="s">
        <v>226</v>
      </c>
      <c r="D94" s="1" t="s">
        <v>112</v>
      </c>
      <c r="E94" s="1" t="s">
        <v>227</v>
      </c>
      <c r="F94" s="1" t="s">
        <v>228</v>
      </c>
      <c r="G94" s="1" t="s">
        <v>229</v>
      </c>
      <c r="H94" s="1" t="s">
        <v>230</v>
      </c>
    </row>
    <row r="95" spans="1:8" x14ac:dyDescent="0.35">
      <c r="A95" s="1" t="str">
        <f t="shared" si="1"/>
        <v>14</v>
      </c>
      <c r="B9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 xml:space="preserve"> </v>
      </c>
      <c r="C95" s="1" t="s">
        <v>1775</v>
      </c>
      <c r="D95" s="1" t="s">
        <v>112</v>
      </c>
      <c r="E95" s="1" t="s">
        <v>1776</v>
      </c>
      <c r="F95" s="1" t="s">
        <v>1777</v>
      </c>
      <c r="G95" s="1">
        <v>1809475</v>
      </c>
      <c r="H95" s="1" t="s">
        <v>1778</v>
      </c>
    </row>
    <row r="96" spans="1:8" x14ac:dyDescent="0.35">
      <c r="A96" s="1" t="str">
        <f t="shared" si="1"/>
        <v/>
      </c>
      <c r="B9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96" s="1" t="s">
        <v>112</v>
      </c>
    </row>
    <row r="97" spans="1:7" x14ac:dyDescent="0.35">
      <c r="A97" s="1" t="str">
        <f t="shared" si="1"/>
        <v/>
      </c>
      <c r="B9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97" s="1" t="s">
        <v>112</v>
      </c>
    </row>
    <row r="98" spans="1:7" x14ac:dyDescent="0.35">
      <c r="A98" s="1" t="str">
        <f t="shared" si="1"/>
        <v/>
      </c>
      <c r="B9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98" s="1" t="s">
        <v>112</v>
      </c>
    </row>
    <row r="99" spans="1:7" x14ac:dyDescent="0.35">
      <c r="A99" s="1" t="str">
        <f t="shared" si="1"/>
        <v/>
      </c>
      <c r="B9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99" s="1" t="s">
        <v>112</v>
      </c>
    </row>
    <row r="100" spans="1:7" x14ac:dyDescent="0.35">
      <c r="A100" s="1" t="str">
        <f t="shared" si="1"/>
        <v/>
      </c>
      <c r="B10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100" s="1" t="s">
        <v>112</v>
      </c>
    </row>
    <row r="101" spans="1:7" x14ac:dyDescent="0.35">
      <c r="A101" s="1" t="str">
        <f t="shared" si="1"/>
        <v/>
      </c>
      <c r="B10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101" s="1" t="s">
        <v>172</v>
      </c>
      <c r="D101" s="1" t="s">
        <v>110</v>
      </c>
      <c r="E101" s="1" t="s">
        <v>111</v>
      </c>
      <c r="F101" s="1" t="s">
        <v>112</v>
      </c>
      <c r="G101" s="1" t="s">
        <v>113</v>
      </c>
    </row>
    <row r="102" spans="1:7" x14ac:dyDescent="0.35">
      <c r="A102" s="1" t="str">
        <f t="shared" si="1"/>
        <v>15</v>
      </c>
      <c r="B10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102" s="1" t="s">
        <v>1779</v>
      </c>
      <c r="D102" s="1" t="s">
        <v>1780</v>
      </c>
      <c r="E102" s="1" t="s">
        <v>1781</v>
      </c>
      <c r="F102" s="1" t="s">
        <v>112</v>
      </c>
      <c r="G102" s="1">
        <v>3454446</v>
      </c>
    </row>
    <row r="103" spans="1:7" x14ac:dyDescent="0.35">
      <c r="A103" s="1" t="str">
        <f t="shared" si="1"/>
        <v>15</v>
      </c>
      <c r="B10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103" s="1" t="s">
        <v>1782</v>
      </c>
      <c r="D103" s="1" t="s">
        <v>1783</v>
      </c>
      <c r="E103" s="1" t="s">
        <v>1784</v>
      </c>
      <c r="F103" s="1" t="s">
        <v>112</v>
      </c>
      <c r="G103" s="1">
        <v>3069217</v>
      </c>
    </row>
    <row r="104" spans="1:7" x14ac:dyDescent="0.35">
      <c r="A104" s="1" t="str">
        <f t="shared" si="1"/>
        <v>15</v>
      </c>
      <c r="B10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104" s="1" t="s">
        <v>1785</v>
      </c>
      <c r="D104" s="1" t="s">
        <v>1786</v>
      </c>
      <c r="E104" s="1" t="s">
        <v>1787</v>
      </c>
      <c r="F104" s="1" t="s">
        <v>112</v>
      </c>
      <c r="G104" s="1">
        <v>3202717</v>
      </c>
    </row>
    <row r="105" spans="1:7" x14ac:dyDescent="0.35">
      <c r="A105" s="1" t="str">
        <f t="shared" si="1"/>
        <v>15</v>
      </c>
      <c r="B10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105" s="1" t="s">
        <v>1788</v>
      </c>
      <c r="D105" s="1" t="s">
        <v>1789</v>
      </c>
      <c r="E105" s="1" t="s">
        <v>1790</v>
      </c>
      <c r="F105" s="1" t="s">
        <v>112</v>
      </c>
      <c r="G105" s="1">
        <v>2975127</v>
      </c>
    </row>
    <row r="106" spans="1:7" x14ac:dyDescent="0.35">
      <c r="A106" s="1" t="str">
        <f t="shared" si="1"/>
        <v>15</v>
      </c>
      <c r="B106"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106" s="1" t="s">
        <v>1791</v>
      </c>
      <c r="D106" s="1" t="s">
        <v>1792</v>
      </c>
      <c r="E106" s="1" t="s">
        <v>1793</v>
      </c>
      <c r="F106" s="1" t="s">
        <v>112</v>
      </c>
      <c r="G106" s="1">
        <v>2994334</v>
      </c>
    </row>
    <row r="107" spans="1:7" x14ac:dyDescent="0.35">
      <c r="A107" s="1" t="str">
        <f t="shared" si="1"/>
        <v>15</v>
      </c>
      <c r="B107"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107" s="1" t="s">
        <v>1794</v>
      </c>
      <c r="D107" s="1" t="s">
        <v>1795</v>
      </c>
      <c r="E107" s="1" t="s">
        <v>1796</v>
      </c>
      <c r="F107" s="1" t="s">
        <v>112</v>
      </c>
      <c r="G107" s="1">
        <v>3531059</v>
      </c>
    </row>
    <row r="108" spans="1:7" x14ac:dyDescent="0.35">
      <c r="A108" s="1" t="str">
        <f t="shared" si="1"/>
        <v>15</v>
      </c>
      <c r="B10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108" s="1" t="s">
        <v>1797</v>
      </c>
      <c r="D108" s="1" t="s">
        <v>1798</v>
      </c>
      <c r="E108" s="1" t="s">
        <v>1799</v>
      </c>
      <c r="F108" s="1" t="s">
        <v>112</v>
      </c>
      <c r="G108" s="1">
        <v>3106875</v>
      </c>
    </row>
    <row r="109" spans="1:7" x14ac:dyDescent="0.35">
      <c r="A109" s="1" t="str">
        <f t="shared" si="1"/>
        <v>15</v>
      </c>
      <c r="B109"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109" s="1" t="s">
        <v>1800</v>
      </c>
      <c r="D109" s="1" t="s">
        <v>1801</v>
      </c>
      <c r="E109" s="1" t="s">
        <v>1802</v>
      </c>
      <c r="F109" s="1" t="s">
        <v>112</v>
      </c>
      <c r="G109" s="1">
        <v>2828887</v>
      </c>
    </row>
    <row r="110" spans="1:7" x14ac:dyDescent="0.35">
      <c r="A110" s="1" t="str">
        <f t="shared" si="1"/>
        <v>15</v>
      </c>
      <c r="B110"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110" s="1" t="s">
        <v>1803</v>
      </c>
      <c r="D110" s="1" t="s">
        <v>1804</v>
      </c>
      <c r="E110" s="1" t="s">
        <v>1805</v>
      </c>
      <c r="F110" s="1" t="s">
        <v>112</v>
      </c>
      <c r="G110" s="1">
        <v>3140617</v>
      </c>
    </row>
    <row r="111" spans="1:7" x14ac:dyDescent="0.35">
      <c r="A111" s="1" t="str">
        <f t="shared" si="1"/>
        <v>15</v>
      </c>
      <c r="B111"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111" s="1" t="s">
        <v>1806</v>
      </c>
      <c r="D111" s="1" t="s">
        <v>1807</v>
      </c>
      <c r="E111" s="1" t="s">
        <v>1808</v>
      </c>
      <c r="F111" s="1" t="s">
        <v>112</v>
      </c>
      <c r="G111" s="1">
        <v>2645725</v>
      </c>
    </row>
    <row r="112" spans="1:7" x14ac:dyDescent="0.35">
      <c r="A112" s="1" t="str">
        <f t="shared" si="1"/>
        <v>15</v>
      </c>
      <c r="B11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112" s="1" t="s">
        <v>1809</v>
      </c>
      <c r="D112" s="1" t="s">
        <v>1810</v>
      </c>
      <c r="E112" s="1" t="s">
        <v>1811</v>
      </c>
      <c r="F112" s="1" t="s">
        <v>112</v>
      </c>
      <c r="G112" s="1">
        <v>2668675</v>
      </c>
    </row>
    <row r="113" spans="1:8" x14ac:dyDescent="0.35">
      <c r="A113" s="1" t="str">
        <f t="shared" si="1"/>
        <v>15</v>
      </c>
      <c r="B11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113" s="1" t="s">
        <v>1812</v>
      </c>
      <c r="D113" s="1" t="s">
        <v>1813</v>
      </c>
      <c r="E113" s="1" t="s">
        <v>1814</v>
      </c>
      <c r="F113" s="1" t="s">
        <v>112</v>
      </c>
      <c r="G113" s="1">
        <v>3022475</v>
      </c>
    </row>
    <row r="114" spans="1:8" x14ac:dyDescent="0.35">
      <c r="A114" s="1" t="str">
        <f t="shared" si="1"/>
        <v>15</v>
      </c>
      <c r="B11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114" s="1" t="s">
        <v>1815</v>
      </c>
      <c r="D114" s="1" t="s">
        <v>1816</v>
      </c>
      <c r="E114" s="1" t="s">
        <v>1817</v>
      </c>
      <c r="F114" s="1" t="s">
        <v>112</v>
      </c>
      <c r="G114" s="1">
        <v>3213791</v>
      </c>
    </row>
    <row r="115" spans="1:8" x14ac:dyDescent="0.35">
      <c r="A115" s="1" t="str">
        <f t="shared" si="1"/>
        <v>15</v>
      </c>
      <c r="B11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115" s="1" t="s">
        <v>1818</v>
      </c>
      <c r="D115" s="1" t="s">
        <v>1819</v>
      </c>
      <c r="E115" s="1" t="s">
        <v>1820</v>
      </c>
      <c r="F115" s="1" t="s">
        <v>112</v>
      </c>
      <c r="G115" s="1">
        <v>3783133</v>
      </c>
    </row>
    <row r="116" spans="1:8" x14ac:dyDescent="0.35">
      <c r="A116" s="1" t="str">
        <f t="shared" si="1"/>
        <v>15</v>
      </c>
      <c r="B116"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116" s="1" t="s">
        <v>1821</v>
      </c>
      <c r="D116" s="1" t="s">
        <v>1822</v>
      </c>
      <c r="E116" s="1" t="s">
        <v>1823</v>
      </c>
      <c r="F116" s="1" t="s">
        <v>112</v>
      </c>
      <c r="G116" s="1">
        <v>3216344</v>
      </c>
    </row>
    <row r="117" spans="1:8" x14ac:dyDescent="0.35">
      <c r="A117" s="1" t="str">
        <f t="shared" si="1"/>
        <v>15</v>
      </c>
      <c r="B117"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117" s="1" t="s">
        <v>1824</v>
      </c>
      <c r="D117" s="1" t="s">
        <v>1825</v>
      </c>
      <c r="E117" s="1" t="s">
        <v>1826</v>
      </c>
      <c r="F117" s="1" t="s">
        <v>112</v>
      </c>
      <c r="G117" s="1">
        <v>4712094</v>
      </c>
    </row>
    <row r="118" spans="1:8" x14ac:dyDescent="0.35">
      <c r="A118" s="1" t="str">
        <f t="shared" si="1"/>
        <v>15</v>
      </c>
      <c r="B11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118" s="1" t="s">
        <v>1827</v>
      </c>
      <c r="D118" s="1" t="s">
        <v>1828</v>
      </c>
      <c r="E118" s="1" t="s">
        <v>1829</v>
      </c>
      <c r="F118" s="1" t="s">
        <v>112</v>
      </c>
      <c r="G118" s="1">
        <v>4764460</v>
      </c>
    </row>
    <row r="119" spans="1:8" x14ac:dyDescent="0.35">
      <c r="A119" s="1" t="str">
        <f t="shared" si="1"/>
        <v>15</v>
      </c>
      <c r="B119"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119" s="1" t="s">
        <v>1830</v>
      </c>
      <c r="D119" s="1" t="s">
        <v>1831</v>
      </c>
      <c r="E119" s="1" t="s">
        <v>1832</v>
      </c>
      <c r="F119" s="1" t="s">
        <v>112</v>
      </c>
      <c r="G119" s="1">
        <v>4594990</v>
      </c>
    </row>
    <row r="120" spans="1:8" x14ac:dyDescent="0.35">
      <c r="A120" s="1" t="str">
        <f t="shared" si="1"/>
        <v>15</v>
      </c>
      <c r="B120"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120" s="1" t="s">
        <v>1833</v>
      </c>
    </row>
    <row r="121" spans="1:8" x14ac:dyDescent="0.35">
      <c r="A121" s="1" t="str">
        <f t="shared" si="1"/>
        <v>15</v>
      </c>
      <c r="B121"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121" s="1" t="s">
        <v>1834</v>
      </c>
    </row>
    <row r="122" spans="1:8" x14ac:dyDescent="0.35">
      <c r="A122" s="1" t="str">
        <f t="shared" si="1"/>
        <v>15</v>
      </c>
      <c r="B12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122" s="1" t="s">
        <v>1835</v>
      </c>
    </row>
    <row r="123" spans="1:8" x14ac:dyDescent="0.35">
      <c r="A123" s="1" t="str">
        <f t="shared" si="1"/>
        <v>15</v>
      </c>
      <c r="B12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123" s="1" t="s">
        <v>1836</v>
      </c>
      <c r="D123" s="1" t="s">
        <v>1837</v>
      </c>
      <c r="E123" s="1" t="s">
        <v>1838</v>
      </c>
      <c r="F123" s="1" t="s">
        <v>112</v>
      </c>
      <c r="G123" s="1">
        <v>1294030</v>
      </c>
    </row>
    <row r="124" spans="1:8" x14ac:dyDescent="0.35">
      <c r="A124" s="1" t="str">
        <f t="shared" si="1"/>
        <v>15</v>
      </c>
      <c r="B12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124" s="1" t="s">
        <v>1839</v>
      </c>
      <c r="D124" s="1" t="s">
        <v>1840</v>
      </c>
      <c r="E124" s="1" t="s">
        <v>1841</v>
      </c>
      <c r="F124" s="1" t="s">
        <v>112</v>
      </c>
      <c r="G124" s="1">
        <v>1507971</v>
      </c>
    </row>
    <row r="125" spans="1:8" x14ac:dyDescent="0.35">
      <c r="A125" s="1" t="str">
        <f t="shared" si="1"/>
        <v>15</v>
      </c>
      <c r="B12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125" s="1" t="s">
        <v>1842</v>
      </c>
      <c r="D125" s="1" t="s">
        <v>1843</v>
      </c>
      <c r="E125" s="1" t="s">
        <v>1844</v>
      </c>
      <c r="F125" s="1" t="s">
        <v>112</v>
      </c>
      <c r="G125" s="1">
        <v>922299</v>
      </c>
    </row>
    <row r="126" spans="1:8" x14ac:dyDescent="0.35">
      <c r="A126" s="1" t="str">
        <f t="shared" si="1"/>
        <v/>
      </c>
      <c r="B12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126" s="1" t="s">
        <v>112</v>
      </c>
    </row>
    <row r="127" spans="1:8" x14ac:dyDescent="0.35">
      <c r="A127" s="1" t="str">
        <f t="shared" si="1"/>
        <v/>
      </c>
      <c r="B12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127" s="1" t="s">
        <v>226</v>
      </c>
      <c r="D127" s="1" t="s">
        <v>112</v>
      </c>
      <c r="E127" s="1" t="s">
        <v>227</v>
      </c>
      <c r="F127" s="1" t="s">
        <v>228</v>
      </c>
      <c r="G127" s="1" t="s">
        <v>229</v>
      </c>
      <c r="H127" s="1" t="s">
        <v>230</v>
      </c>
    </row>
    <row r="128" spans="1:8" x14ac:dyDescent="0.35">
      <c r="A128" s="1" t="str">
        <f t="shared" si="1"/>
        <v>15</v>
      </c>
      <c r="B12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 xml:space="preserve"> </v>
      </c>
      <c r="C128" s="1" t="s">
        <v>1845</v>
      </c>
      <c r="D128" s="1" t="s">
        <v>112</v>
      </c>
      <c r="E128" s="1" t="s">
        <v>1846</v>
      </c>
      <c r="F128" s="1" t="s">
        <v>1847</v>
      </c>
      <c r="G128" s="1" t="s">
        <v>1848</v>
      </c>
      <c r="H128" s="1" t="s">
        <v>1849</v>
      </c>
    </row>
    <row r="129" spans="1:7" x14ac:dyDescent="0.35">
      <c r="A129" s="1" t="str">
        <f t="shared" si="1"/>
        <v/>
      </c>
      <c r="B12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129" s="1" t="s">
        <v>112</v>
      </c>
    </row>
    <row r="130" spans="1:7" x14ac:dyDescent="0.35">
      <c r="A130" s="1" t="str">
        <f t="shared" ref="A130:A193" si="2">IFERROR(LEFT(RIGHT(C130,LEN(C130)-SEARCH("@",C130)),SEARCH("/",RIGHT(C130,LEN(C130)-SEARCH("@",C130)-1))),"")</f>
        <v/>
      </c>
      <c r="B13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130" s="1" t="s">
        <v>112</v>
      </c>
    </row>
    <row r="131" spans="1:7" x14ac:dyDescent="0.35">
      <c r="A131" s="1" t="str">
        <f t="shared" si="2"/>
        <v/>
      </c>
      <c r="B13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131" s="1" t="s">
        <v>112</v>
      </c>
    </row>
    <row r="132" spans="1:7" x14ac:dyDescent="0.35">
      <c r="A132" s="1" t="str">
        <f t="shared" si="2"/>
        <v/>
      </c>
      <c r="B13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132" s="1" t="s">
        <v>112</v>
      </c>
    </row>
    <row r="133" spans="1:7" x14ac:dyDescent="0.35">
      <c r="A133" s="1" t="str">
        <f t="shared" si="2"/>
        <v/>
      </c>
      <c r="B13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133" s="1" t="s">
        <v>112</v>
      </c>
    </row>
    <row r="134" spans="1:7" x14ac:dyDescent="0.35">
      <c r="A134" s="1" t="str">
        <f t="shared" si="2"/>
        <v/>
      </c>
      <c r="B13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134" s="1" t="s">
        <v>172</v>
      </c>
      <c r="D134" s="1" t="s">
        <v>110</v>
      </c>
      <c r="E134" s="1" t="s">
        <v>111</v>
      </c>
      <c r="F134" s="1" t="s">
        <v>112</v>
      </c>
      <c r="G134" s="1" t="s">
        <v>113</v>
      </c>
    </row>
    <row r="135" spans="1:7" x14ac:dyDescent="0.35">
      <c r="A135" s="1" t="str">
        <f t="shared" si="2"/>
        <v>16</v>
      </c>
      <c r="B13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135" s="1" t="s">
        <v>1850</v>
      </c>
      <c r="D135" s="1">
        <v>0</v>
      </c>
      <c r="E135" s="1">
        <v>0</v>
      </c>
      <c r="F135" s="1" t="s">
        <v>112</v>
      </c>
      <c r="G135" s="1">
        <v>0</v>
      </c>
    </row>
    <row r="136" spans="1:7" x14ac:dyDescent="0.35">
      <c r="A136" s="1" t="str">
        <f t="shared" si="2"/>
        <v>16</v>
      </c>
      <c r="B136"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136" s="1" t="s">
        <v>1851</v>
      </c>
      <c r="D136" s="1" t="s">
        <v>981</v>
      </c>
      <c r="E136" s="1" t="s">
        <v>1852</v>
      </c>
      <c r="F136" s="1" t="s">
        <v>112</v>
      </c>
      <c r="G136" s="1">
        <v>7527</v>
      </c>
    </row>
    <row r="137" spans="1:7" x14ac:dyDescent="0.35">
      <c r="A137" s="1" t="str">
        <f t="shared" si="2"/>
        <v>16</v>
      </c>
      <c r="B137"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137" s="1" t="s">
        <v>1853</v>
      </c>
      <c r="D137" s="1" t="s">
        <v>1854</v>
      </c>
      <c r="E137" s="1" t="s">
        <v>1855</v>
      </c>
      <c r="F137" s="1" t="s">
        <v>112</v>
      </c>
      <c r="G137" s="1">
        <v>39842</v>
      </c>
    </row>
    <row r="138" spans="1:7" x14ac:dyDescent="0.35">
      <c r="A138" s="1" t="str">
        <f t="shared" si="2"/>
        <v>16</v>
      </c>
      <c r="B13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138" s="1" t="s">
        <v>1856</v>
      </c>
      <c r="D138" s="1" t="s">
        <v>1857</v>
      </c>
      <c r="E138" s="1" t="s">
        <v>1858</v>
      </c>
      <c r="F138" s="1" t="s">
        <v>112</v>
      </c>
      <c r="G138" s="1">
        <v>153226</v>
      </c>
    </row>
    <row r="139" spans="1:7" x14ac:dyDescent="0.35">
      <c r="A139" s="1" t="str">
        <f t="shared" si="2"/>
        <v>16</v>
      </c>
      <c r="B139"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139" s="1" t="s">
        <v>1859</v>
      </c>
      <c r="D139" s="1" t="s">
        <v>1542</v>
      </c>
      <c r="E139" s="1" t="s">
        <v>1860</v>
      </c>
      <c r="F139" s="1" t="s">
        <v>112</v>
      </c>
      <c r="G139" s="1">
        <v>48732</v>
      </c>
    </row>
    <row r="140" spans="1:7" x14ac:dyDescent="0.35">
      <c r="A140" s="1" t="str">
        <f t="shared" si="2"/>
        <v>16</v>
      </c>
      <c r="B140"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140" s="1" t="s">
        <v>1861</v>
      </c>
      <c r="D140" s="1" t="s">
        <v>1862</v>
      </c>
      <c r="E140" s="1" t="s">
        <v>1863</v>
      </c>
      <c r="F140" s="1" t="s">
        <v>112</v>
      </c>
      <c r="G140" s="1">
        <v>75748</v>
      </c>
    </row>
    <row r="141" spans="1:7" x14ac:dyDescent="0.35">
      <c r="A141" s="1" t="str">
        <f t="shared" si="2"/>
        <v>16</v>
      </c>
      <c r="B141"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141" s="1" t="s">
        <v>1864</v>
      </c>
      <c r="D141" s="1" t="s">
        <v>182</v>
      </c>
      <c r="E141" s="1" t="s">
        <v>1865</v>
      </c>
      <c r="F141" s="1" t="s">
        <v>112</v>
      </c>
      <c r="G141" s="1">
        <v>291376</v>
      </c>
    </row>
    <row r="142" spans="1:7" x14ac:dyDescent="0.35">
      <c r="A142" s="1" t="str">
        <f t="shared" si="2"/>
        <v>16</v>
      </c>
      <c r="B14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142" s="1" t="s">
        <v>1866</v>
      </c>
    </row>
    <row r="143" spans="1:7" x14ac:dyDescent="0.35">
      <c r="A143" s="1" t="str">
        <f t="shared" si="2"/>
        <v>16</v>
      </c>
      <c r="B14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143" s="1" t="s">
        <v>1867</v>
      </c>
      <c r="D143" s="1">
        <v>0</v>
      </c>
      <c r="E143" s="1">
        <v>0</v>
      </c>
      <c r="F143" s="1" t="s">
        <v>112</v>
      </c>
      <c r="G143" s="1">
        <v>0</v>
      </c>
    </row>
    <row r="144" spans="1:7" x14ac:dyDescent="0.35">
      <c r="A144" s="1" t="str">
        <f t="shared" si="2"/>
        <v>16</v>
      </c>
      <c r="B14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144" s="1" t="s">
        <v>1868</v>
      </c>
      <c r="D144" s="1">
        <v>0</v>
      </c>
      <c r="E144" s="1">
        <v>0</v>
      </c>
      <c r="F144" s="1" t="s">
        <v>112</v>
      </c>
      <c r="G144" s="1">
        <v>0</v>
      </c>
    </row>
    <row r="145" spans="1:8" x14ac:dyDescent="0.35">
      <c r="A145" s="1" t="str">
        <f t="shared" si="2"/>
        <v>16</v>
      </c>
      <c r="B14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145" s="1" t="s">
        <v>1869</v>
      </c>
      <c r="D145" s="1" t="s">
        <v>1504</v>
      </c>
      <c r="E145" s="1" t="s">
        <v>1870</v>
      </c>
      <c r="F145" s="1" t="s">
        <v>112</v>
      </c>
      <c r="G145" s="1">
        <v>138258</v>
      </c>
    </row>
    <row r="146" spans="1:8" x14ac:dyDescent="0.35">
      <c r="A146" s="1" t="str">
        <f t="shared" si="2"/>
        <v>16</v>
      </c>
      <c r="B146"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146" s="1" t="s">
        <v>1871</v>
      </c>
      <c r="D146" s="1" t="s">
        <v>1872</v>
      </c>
      <c r="E146" s="1" t="s">
        <v>1873</v>
      </c>
      <c r="F146" s="1" t="s">
        <v>112</v>
      </c>
      <c r="G146" s="1">
        <v>39453</v>
      </c>
    </row>
    <row r="147" spans="1:8" x14ac:dyDescent="0.35">
      <c r="A147" s="1" t="str">
        <f t="shared" si="2"/>
        <v>16</v>
      </c>
      <c r="B147"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147" s="1" t="s">
        <v>1874</v>
      </c>
      <c r="D147" s="1" t="s">
        <v>706</v>
      </c>
      <c r="E147" s="1" t="s">
        <v>1875</v>
      </c>
      <c r="F147" s="1" t="s">
        <v>112</v>
      </c>
      <c r="G147" s="1">
        <v>101379</v>
      </c>
    </row>
    <row r="148" spans="1:8" x14ac:dyDescent="0.35">
      <c r="A148" s="1" t="str">
        <f t="shared" si="2"/>
        <v>16</v>
      </c>
      <c r="B14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148" s="1" t="s">
        <v>1876</v>
      </c>
      <c r="D148" s="1" t="s">
        <v>1585</v>
      </c>
      <c r="E148" s="1" t="s">
        <v>1877</v>
      </c>
      <c r="F148" s="1" t="s">
        <v>112</v>
      </c>
      <c r="G148" s="1">
        <v>54810</v>
      </c>
    </row>
    <row r="149" spans="1:8" x14ac:dyDescent="0.35">
      <c r="A149" s="1" t="str">
        <f t="shared" si="2"/>
        <v>16</v>
      </c>
      <c r="B149"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149" s="1" t="s">
        <v>1878</v>
      </c>
      <c r="D149" s="1" t="s">
        <v>1879</v>
      </c>
      <c r="E149" s="1" t="s">
        <v>1880</v>
      </c>
      <c r="F149" s="1" t="s">
        <v>112</v>
      </c>
      <c r="G149" s="1">
        <v>59439</v>
      </c>
    </row>
    <row r="150" spans="1:8" x14ac:dyDescent="0.35">
      <c r="A150" s="1" t="str">
        <f t="shared" si="2"/>
        <v>16</v>
      </c>
      <c r="B150"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150" s="1" t="s">
        <v>1881</v>
      </c>
      <c r="D150" s="1" t="s">
        <v>1152</v>
      </c>
      <c r="E150" s="1" t="s">
        <v>1882</v>
      </c>
      <c r="F150" s="1" t="s">
        <v>112</v>
      </c>
      <c r="G150" s="1">
        <v>91040</v>
      </c>
    </row>
    <row r="151" spans="1:8" x14ac:dyDescent="0.35">
      <c r="A151" s="1" t="str">
        <f t="shared" si="2"/>
        <v>16</v>
      </c>
      <c r="B151"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151" s="1" t="s">
        <v>1883</v>
      </c>
      <c r="D151" s="1" t="s">
        <v>988</v>
      </c>
      <c r="E151" s="1" t="s">
        <v>1884</v>
      </c>
      <c r="F151" s="1" t="s">
        <v>112</v>
      </c>
      <c r="G151" s="1">
        <v>14103</v>
      </c>
    </row>
    <row r="152" spans="1:8" x14ac:dyDescent="0.35">
      <c r="A152" s="1" t="str">
        <f t="shared" si="2"/>
        <v>16</v>
      </c>
      <c r="B15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152" s="1" t="s">
        <v>1885</v>
      </c>
      <c r="D152" s="1" t="s">
        <v>1886</v>
      </c>
      <c r="E152" s="1" t="s">
        <v>1887</v>
      </c>
      <c r="F152" s="1" t="s">
        <v>112</v>
      </c>
      <c r="G152" s="1">
        <v>151301</v>
      </c>
    </row>
    <row r="153" spans="1:8" x14ac:dyDescent="0.35">
      <c r="A153" s="1" t="str">
        <f t="shared" si="2"/>
        <v>16</v>
      </c>
      <c r="B15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153" s="1" t="s">
        <v>1888</v>
      </c>
      <c r="D153" s="1" t="s">
        <v>1889</v>
      </c>
      <c r="E153" s="1" t="s">
        <v>1890</v>
      </c>
      <c r="F153" s="1" t="s">
        <v>112</v>
      </c>
      <c r="G153" s="1">
        <v>390268</v>
      </c>
    </row>
    <row r="154" spans="1:8" x14ac:dyDescent="0.35">
      <c r="A154" s="1" t="str">
        <f t="shared" si="2"/>
        <v>16</v>
      </c>
      <c r="B15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154" s="1" t="s">
        <v>1891</v>
      </c>
      <c r="D154" s="1" t="s">
        <v>1892</v>
      </c>
      <c r="E154" s="1" t="s">
        <v>1893</v>
      </c>
      <c r="F154" s="1" t="s">
        <v>112</v>
      </c>
      <c r="G154" s="1">
        <v>380794</v>
      </c>
    </row>
    <row r="155" spans="1:8" x14ac:dyDescent="0.35">
      <c r="A155" s="1" t="str">
        <f t="shared" si="2"/>
        <v>16</v>
      </c>
      <c r="B15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155" s="1" t="s">
        <v>1894</v>
      </c>
      <c r="D155" s="1" t="s">
        <v>1895</v>
      </c>
      <c r="E155" s="1" t="s">
        <v>1896</v>
      </c>
      <c r="F155" s="1" t="s">
        <v>112</v>
      </c>
      <c r="G155" s="1">
        <v>228260</v>
      </c>
    </row>
    <row r="156" spans="1:8" x14ac:dyDescent="0.35">
      <c r="A156" s="1" t="str">
        <f t="shared" si="2"/>
        <v>16</v>
      </c>
      <c r="B156"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156" s="1" t="s">
        <v>1897</v>
      </c>
    </row>
    <row r="157" spans="1:8" x14ac:dyDescent="0.35">
      <c r="A157" s="1" t="str">
        <f t="shared" si="2"/>
        <v>16</v>
      </c>
      <c r="B157"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157" s="1" t="s">
        <v>1898</v>
      </c>
    </row>
    <row r="158" spans="1:8" x14ac:dyDescent="0.35">
      <c r="A158" s="1" t="str">
        <f t="shared" si="2"/>
        <v>16</v>
      </c>
      <c r="B15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158" s="1" t="s">
        <v>1899</v>
      </c>
    </row>
    <row r="159" spans="1:8" x14ac:dyDescent="0.35">
      <c r="A159" s="1" t="str">
        <f t="shared" si="2"/>
        <v/>
      </c>
      <c r="B15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159" s="1" t="s">
        <v>112</v>
      </c>
    </row>
    <row r="160" spans="1:8" x14ac:dyDescent="0.35">
      <c r="A160" s="1" t="str">
        <f t="shared" si="2"/>
        <v/>
      </c>
      <c r="B16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160" s="1" t="s">
        <v>226</v>
      </c>
      <c r="D160" s="1" t="s">
        <v>112</v>
      </c>
      <c r="E160" s="1" t="s">
        <v>227</v>
      </c>
      <c r="F160" s="1" t="s">
        <v>228</v>
      </c>
      <c r="G160" s="1" t="s">
        <v>229</v>
      </c>
      <c r="H160" s="1" t="s">
        <v>230</v>
      </c>
    </row>
    <row r="161" spans="1:8" x14ac:dyDescent="0.35">
      <c r="A161" s="1" t="str">
        <f t="shared" si="2"/>
        <v>16</v>
      </c>
      <c r="B161"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 xml:space="preserve"> </v>
      </c>
      <c r="C161" s="1" t="s">
        <v>1900</v>
      </c>
      <c r="D161" s="1" t="s">
        <v>112</v>
      </c>
      <c r="E161" s="1" t="s">
        <v>1901</v>
      </c>
      <c r="F161" s="1" t="s">
        <v>1902</v>
      </c>
      <c r="G161" s="1" t="s">
        <v>1903</v>
      </c>
      <c r="H161" s="1" t="s">
        <v>1904</v>
      </c>
    </row>
    <row r="162" spans="1:8" x14ac:dyDescent="0.35">
      <c r="A162" s="1" t="str">
        <f t="shared" si="2"/>
        <v/>
      </c>
      <c r="B16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162" s="1" t="s">
        <v>112</v>
      </c>
    </row>
    <row r="163" spans="1:8" x14ac:dyDescent="0.35">
      <c r="A163" s="1" t="str">
        <f t="shared" si="2"/>
        <v/>
      </c>
      <c r="B16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163" s="1" t="s">
        <v>112</v>
      </c>
    </row>
    <row r="164" spans="1:8" x14ac:dyDescent="0.35">
      <c r="A164" s="1" t="str">
        <f t="shared" si="2"/>
        <v/>
      </c>
      <c r="B16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164" s="1" t="s">
        <v>112</v>
      </c>
    </row>
    <row r="165" spans="1:8" x14ac:dyDescent="0.35">
      <c r="A165" s="1" t="str">
        <f t="shared" si="2"/>
        <v/>
      </c>
      <c r="B16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165" s="1" t="s">
        <v>112</v>
      </c>
    </row>
    <row r="166" spans="1:8" x14ac:dyDescent="0.35">
      <c r="A166" s="1" t="str">
        <f t="shared" si="2"/>
        <v/>
      </c>
      <c r="B16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166" s="1" t="s">
        <v>112</v>
      </c>
    </row>
    <row r="167" spans="1:8" x14ac:dyDescent="0.35">
      <c r="A167" s="1" t="str">
        <f t="shared" si="2"/>
        <v/>
      </c>
      <c r="B16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167" s="1" t="s">
        <v>172</v>
      </c>
      <c r="D167" s="1" t="s">
        <v>110</v>
      </c>
      <c r="E167" s="1" t="s">
        <v>111</v>
      </c>
      <c r="F167" s="1" t="s">
        <v>112</v>
      </c>
      <c r="G167" s="1" t="s">
        <v>113</v>
      </c>
    </row>
    <row r="168" spans="1:8" x14ac:dyDescent="0.35">
      <c r="A168" s="1" t="str">
        <f t="shared" si="2"/>
        <v>2</v>
      </c>
      <c r="B16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168" s="1" t="s">
        <v>1905</v>
      </c>
      <c r="D168" s="1" t="s">
        <v>1906</v>
      </c>
      <c r="E168" s="1" t="s">
        <v>1907</v>
      </c>
      <c r="F168" s="1" t="s">
        <v>112</v>
      </c>
      <c r="G168" s="1">
        <v>386159</v>
      </c>
    </row>
    <row r="169" spans="1:8" x14ac:dyDescent="0.35">
      <c r="A169" s="1" t="str">
        <f t="shared" si="2"/>
        <v>2</v>
      </c>
      <c r="B169"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169" s="1" t="s">
        <v>1908</v>
      </c>
      <c r="D169" s="1" t="s">
        <v>1909</v>
      </c>
      <c r="E169" s="1" t="s">
        <v>1910</v>
      </c>
      <c r="F169" s="1" t="s">
        <v>112</v>
      </c>
      <c r="G169" s="1">
        <v>545830</v>
      </c>
    </row>
    <row r="170" spans="1:8" x14ac:dyDescent="0.35">
      <c r="A170" s="1" t="str">
        <f t="shared" si="2"/>
        <v>2</v>
      </c>
      <c r="B170"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170" s="1" t="s">
        <v>1911</v>
      </c>
    </row>
    <row r="171" spans="1:8" x14ac:dyDescent="0.35">
      <c r="A171" s="1" t="str">
        <f t="shared" si="2"/>
        <v>2</v>
      </c>
      <c r="B171"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171" s="1" t="s">
        <v>1912</v>
      </c>
      <c r="D171" s="1" t="s">
        <v>959</v>
      </c>
      <c r="E171" s="1" t="s">
        <v>1913</v>
      </c>
      <c r="F171" s="1" t="s">
        <v>112</v>
      </c>
      <c r="G171" s="1">
        <v>229623</v>
      </c>
    </row>
    <row r="172" spans="1:8" x14ac:dyDescent="0.35">
      <c r="A172" s="1" t="str">
        <f t="shared" si="2"/>
        <v>2</v>
      </c>
      <c r="B17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172" s="1" t="s">
        <v>1914</v>
      </c>
    </row>
    <row r="173" spans="1:8" x14ac:dyDescent="0.35">
      <c r="A173" s="1" t="str">
        <f t="shared" si="2"/>
        <v>2</v>
      </c>
      <c r="B17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173" s="1" t="s">
        <v>1915</v>
      </c>
    </row>
    <row r="174" spans="1:8" x14ac:dyDescent="0.35">
      <c r="A174" s="1" t="str">
        <f t="shared" si="2"/>
        <v>2</v>
      </c>
      <c r="B17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174" s="1" t="s">
        <v>1916</v>
      </c>
      <c r="D174" s="1">
        <v>0</v>
      </c>
      <c r="E174" s="1">
        <v>0</v>
      </c>
      <c r="F174" s="1" t="s">
        <v>112</v>
      </c>
      <c r="G174" s="1">
        <v>0</v>
      </c>
    </row>
    <row r="175" spans="1:8" x14ac:dyDescent="0.35">
      <c r="A175" s="1" t="str">
        <f t="shared" si="2"/>
        <v>2</v>
      </c>
      <c r="B17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175" s="1" t="s">
        <v>1917</v>
      </c>
      <c r="D175" s="1" t="s">
        <v>1918</v>
      </c>
      <c r="E175" s="1" t="s">
        <v>1919</v>
      </c>
      <c r="F175" s="1" t="s">
        <v>112</v>
      </c>
      <c r="G175" s="1">
        <v>118835</v>
      </c>
    </row>
    <row r="176" spans="1:8" x14ac:dyDescent="0.35">
      <c r="A176" s="1" t="str">
        <f t="shared" si="2"/>
        <v>2</v>
      </c>
      <c r="B176"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176" s="1" t="s">
        <v>1920</v>
      </c>
      <c r="D176" s="1" t="s">
        <v>1447</v>
      </c>
      <c r="E176" s="1" t="s">
        <v>1921</v>
      </c>
      <c r="F176" s="1" t="s">
        <v>112</v>
      </c>
      <c r="G176" s="1">
        <v>17953</v>
      </c>
    </row>
    <row r="177" spans="1:7" x14ac:dyDescent="0.35">
      <c r="A177" s="1" t="str">
        <f t="shared" si="2"/>
        <v>2</v>
      </c>
      <c r="B177"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177" s="1" t="s">
        <v>1922</v>
      </c>
      <c r="D177" s="1" t="s">
        <v>1923</v>
      </c>
      <c r="E177" s="1" t="s">
        <v>1924</v>
      </c>
      <c r="F177" s="1" t="s">
        <v>112</v>
      </c>
      <c r="G177" s="1">
        <v>426823</v>
      </c>
    </row>
    <row r="178" spans="1:7" x14ac:dyDescent="0.35">
      <c r="A178" s="1" t="str">
        <f t="shared" si="2"/>
        <v>2</v>
      </c>
      <c r="B17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178" s="1" t="s">
        <v>1925</v>
      </c>
      <c r="D178" s="1" t="s">
        <v>1926</v>
      </c>
      <c r="E178" s="1" t="s">
        <v>1927</v>
      </c>
      <c r="F178" s="1" t="s">
        <v>112</v>
      </c>
      <c r="G178" s="1">
        <v>311146</v>
      </c>
    </row>
    <row r="179" spans="1:7" x14ac:dyDescent="0.35">
      <c r="A179" s="1" t="str">
        <f t="shared" si="2"/>
        <v>2</v>
      </c>
      <c r="B179"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179" s="1" t="s">
        <v>1928</v>
      </c>
      <c r="D179" s="1" t="s">
        <v>1929</v>
      </c>
      <c r="E179" s="1" t="s">
        <v>1930</v>
      </c>
      <c r="F179" s="1" t="s">
        <v>112</v>
      </c>
      <c r="G179" s="1">
        <v>306106</v>
      </c>
    </row>
    <row r="180" spans="1:7" x14ac:dyDescent="0.35">
      <c r="A180" s="1" t="str">
        <f t="shared" si="2"/>
        <v>2</v>
      </c>
      <c r="B180"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180" s="1" t="s">
        <v>1931</v>
      </c>
    </row>
    <row r="181" spans="1:7" x14ac:dyDescent="0.35">
      <c r="A181" s="1" t="str">
        <f t="shared" si="2"/>
        <v>2</v>
      </c>
      <c r="B181"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181" s="1" t="s">
        <v>1932</v>
      </c>
    </row>
    <row r="182" spans="1:7" x14ac:dyDescent="0.35">
      <c r="A182" s="1" t="str">
        <f t="shared" si="2"/>
        <v>2</v>
      </c>
      <c r="B18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182" s="1" t="s">
        <v>1933</v>
      </c>
    </row>
    <row r="183" spans="1:7" x14ac:dyDescent="0.35">
      <c r="A183" s="1" t="str">
        <f t="shared" si="2"/>
        <v>2</v>
      </c>
      <c r="B18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183" s="1" t="s">
        <v>1934</v>
      </c>
      <c r="D183" s="1" t="s">
        <v>1935</v>
      </c>
      <c r="E183" s="1" t="s">
        <v>1936</v>
      </c>
      <c r="F183" s="1" t="s">
        <v>112</v>
      </c>
      <c r="G183" s="1">
        <v>146607</v>
      </c>
    </row>
    <row r="184" spans="1:7" x14ac:dyDescent="0.35">
      <c r="A184" s="1" t="str">
        <f t="shared" si="2"/>
        <v>2</v>
      </c>
      <c r="B18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184" s="1" t="s">
        <v>1937</v>
      </c>
      <c r="D184" s="1" t="s">
        <v>1107</v>
      </c>
      <c r="E184" s="1" t="s">
        <v>1938</v>
      </c>
      <c r="F184" s="1" t="s">
        <v>112</v>
      </c>
      <c r="G184" s="1">
        <v>222874</v>
      </c>
    </row>
    <row r="185" spans="1:7" x14ac:dyDescent="0.35">
      <c r="A185" s="1" t="str">
        <f t="shared" si="2"/>
        <v>2</v>
      </c>
      <c r="B18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185" s="1" t="s">
        <v>1939</v>
      </c>
      <c r="D185" s="1" t="s">
        <v>197</v>
      </c>
      <c r="E185" s="1" t="s">
        <v>1940</v>
      </c>
      <c r="F185" s="1" t="s">
        <v>112</v>
      </c>
      <c r="G185" s="1">
        <v>67161</v>
      </c>
    </row>
    <row r="186" spans="1:7" x14ac:dyDescent="0.35">
      <c r="A186" s="1" t="str">
        <f t="shared" si="2"/>
        <v>2</v>
      </c>
      <c r="B186"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186" s="1" t="s">
        <v>1941</v>
      </c>
      <c r="D186" s="1" t="s">
        <v>1045</v>
      </c>
      <c r="E186" s="1" t="s">
        <v>1140</v>
      </c>
      <c r="F186" s="1" t="s">
        <v>112</v>
      </c>
      <c r="G186" s="1">
        <v>16439</v>
      </c>
    </row>
    <row r="187" spans="1:7" x14ac:dyDescent="0.35">
      <c r="A187" s="1" t="str">
        <f t="shared" si="2"/>
        <v>2</v>
      </c>
      <c r="B187"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187" s="1" t="s">
        <v>1942</v>
      </c>
      <c r="D187" s="1" t="s">
        <v>1139</v>
      </c>
      <c r="E187" s="1" t="s">
        <v>1943</v>
      </c>
      <c r="F187" s="1" t="s">
        <v>112</v>
      </c>
      <c r="G187" s="1">
        <v>2098</v>
      </c>
    </row>
    <row r="188" spans="1:7" x14ac:dyDescent="0.35">
      <c r="A188" s="1" t="str">
        <f t="shared" si="2"/>
        <v>2</v>
      </c>
      <c r="B18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188" s="1" t="s">
        <v>1944</v>
      </c>
      <c r="D188" s="1" t="s">
        <v>1945</v>
      </c>
      <c r="E188" s="1" t="s">
        <v>1946</v>
      </c>
      <c r="F188" s="1" t="s">
        <v>112</v>
      </c>
      <c r="G188" s="1">
        <v>336864</v>
      </c>
    </row>
    <row r="189" spans="1:7" x14ac:dyDescent="0.35">
      <c r="A189" s="1" t="str">
        <f t="shared" si="2"/>
        <v>2</v>
      </c>
      <c r="B189"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189" s="1" t="s">
        <v>1947</v>
      </c>
      <c r="D189" s="1" t="s">
        <v>1948</v>
      </c>
      <c r="E189" s="1" t="s">
        <v>1949</v>
      </c>
      <c r="F189" s="1" t="s">
        <v>112</v>
      </c>
      <c r="G189" s="1">
        <v>328666</v>
      </c>
    </row>
    <row r="190" spans="1:7" x14ac:dyDescent="0.35">
      <c r="A190" s="1" t="str">
        <f t="shared" si="2"/>
        <v>2</v>
      </c>
      <c r="B190"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190" s="1" t="s">
        <v>1950</v>
      </c>
      <c r="D190" s="1" t="s">
        <v>1951</v>
      </c>
      <c r="E190" s="1" t="s">
        <v>1952</v>
      </c>
      <c r="F190" s="1" t="s">
        <v>112</v>
      </c>
      <c r="G190" s="1">
        <v>145418</v>
      </c>
    </row>
    <row r="191" spans="1:7" x14ac:dyDescent="0.35">
      <c r="A191" s="1" t="str">
        <f t="shared" si="2"/>
        <v>2</v>
      </c>
      <c r="B191"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191" s="1" t="s">
        <v>1953</v>
      </c>
      <c r="D191" s="1" t="s">
        <v>1954</v>
      </c>
      <c r="E191" s="1" t="s">
        <v>1955</v>
      </c>
      <c r="F191" s="1" t="s">
        <v>112</v>
      </c>
      <c r="G191" s="1">
        <v>299617</v>
      </c>
    </row>
    <row r="192" spans="1:7" x14ac:dyDescent="0.35">
      <c r="A192" s="1" t="str">
        <f t="shared" si="2"/>
        <v/>
      </c>
      <c r="B19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192" s="1" t="s">
        <v>112</v>
      </c>
    </row>
    <row r="193" spans="1:8" x14ac:dyDescent="0.35">
      <c r="A193" s="1" t="str">
        <f t="shared" si="2"/>
        <v/>
      </c>
      <c r="B19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193" s="1" t="s">
        <v>226</v>
      </c>
      <c r="D193" s="1" t="s">
        <v>112</v>
      </c>
      <c r="E193" s="1" t="s">
        <v>227</v>
      </c>
      <c r="F193" s="1" t="s">
        <v>228</v>
      </c>
      <c r="G193" s="1" t="s">
        <v>229</v>
      </c>
      <c r="H193" s="1" t="s">
        <v>230</v>
      </c>
    </row>
    <row r="194" spans="1:8" x14ac:dyDescent="0.35">
      <c r="A194" s="1" t="str">
        <f t="shared" ref="A194:A257" si="3">IFERROR(LEFT(RIGHT(C194,LEN(C194)-SEARCH("@",C194)),SEARCH("/",RIGHT(C194,LEN(C194)-SEARCH("@",C194)-1))),"")</f>
        <v>2</v>
      </c>
      <c r="B19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 xml:space="preserve"> </v>
      </c>
      <c r="C194" s="1" t="s">
        <v>1956</v>
      </c>
      <c r="D194" s="1" t="s">
        <v>112</v>
      </c>
      <c r="E194" s="1" t="s">
        <v>1957</v>
      </c>
      <c r="F194" s="1" t="s">
        <v>1958</v>
      </c>
      <c r="G194" s="1" t="s">
        <v>1959</v>
      </c>
      <c r="H194" s="1" t="s">
        <v>1960</v>
      </c>
    </row>
    <row r="195" spans="1:8" x14ac:dyDescent="0.35">
      <c r="A195" s="1" t="str">
        <f t="shared" si="3"/>
        <v/>
      </c>
      <c r="B19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195" s="1" t="s">
        <v>112</v>
      </c>
    </row>
    <row r="196" spans="1:8" x14ac:dyDescent="0.35">
      <c r="A196" s="1" t="str">
        <f t="shared" si="3"/>
        <v/>
      </c>
      <c r="B19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196" s="1" t="s">
        <v>112</v>
      </c>
    </row>
    <row r="197" spans="1:8" x14ac:dyDescent="0.35">
      <c r="A197" s="1" t="str">
        <f t="shared" si="3"/>
        <v/>
      </c>
      <c r="B19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197" s="1" t="s">
        <v>112</v>
      </c>
    </row>
    <row r="198" spans="1:8" x14ac:dyDescent="0.35">
      <c r="A198" s="1" t="str">
        <f t="shared" si="3"/>
        <v/>
      </c>
      <c r="B19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198" s="1" t="s">
        <v>112</v>
      </c>
    </row>
    <row r="199" spans="1:8" x14ac:dyDescent="0.35">
      <c r="A199" s="1" t="str">
        <f t="shared" si="3"/>
        <v/>
      </c>
      <c r="B19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199" s="1" t="s">
        <v>112</v>
      </c>
    </row>
    <row r="200" spans="1:8" x14ac:dyDescent="0.35">
      <c r="A200" s="1" t="str">
        <f t="shared" si="3"/>
        <v/>
      </c>
      <c r="B20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200" s="1" t="s">
        <v>172</v>
      </c>
      <c r="D200" s="1" t="s">
        <v>110</v>
      </c>
      <c r="E200" s="1" t="s">
        <v>111</v>
      </c>
      <c r="F200" s="1" t="s">
        <v>112</v>
      </c>
      <c r="G200" s="1" t="s">
        <v>113</v>
      </c>
    </row>
    <row r="201" spans="1:8" x14ac:dyDescent="0.35">
      <c r="A201" s="1" t="str">
        <f t="shared" si="3"/>
        <v>3</v>
      </c>
      <c r="B201"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201" s="1" t="s">
        <v>1961</v>
      </c>
      <c r="D201" s="1" t="s">
        <v>1451</v>
      </c>
      <c r="E201" s="1" t="s">
        <v>1962</v>
      </c>
      <c r="F201" s="1" t="s">
        <v>112</v>
      </c>
      <c r="G201" s="1">
        <v>3439</v>
      </c>
    </row>
    <row r="202" spans="1:8" x14ac:dyDescent="0.35">
      <c r="A202" s="1" t="str">
        <f t="shared" si="3"/>
        <v>3</v>
      </c>
      <c r="B20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202" s="1" t="s">
        <v>1963</v>
      </c>
    </row>
    <row r="203" spans="1:8" x14ac:dyDescent="0.35">
      <c r="A203" s="1" t="str">
        <f t="shared" si="3"/>
        <v>3</v>
      </c>
      <c r="B20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203" s="1" t="s">
        <v>1964</v>
      </c>
    </row>
    <row r="204" spans="1:8" x14ac:dyDescent="0.35">
      <c r="A204" s="1" t="str">
        <f t="shared" si="3"/>
        <v>3</v>
      </c>
      <c r="B20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204" s="1" t="s">
        <v>1965</v>
      </c>
    </row>
    <row r="205" spans="1:8" x14ac:dyDescent="0.35">
      <c r="A205" s="1" t="str">
        <f t="shared" si="3"/>
        <v>3</v>
      </c>
      <c r="B20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205" s="1" t="s">
        <v>1966</v>
      </c>
      <c r="D205" s="1" t="s">
        <v>649</v>
      </c>
      <c r="E205" s="1" t="s">
        <v>1967</v>
      </c>
      <c r="F205" s="1" t="s">
        <v>112</v>
      </c>
      <c r="G205" s="1">
        <v>73866</v>
      </c>
    </row>
    <row r="206" spans="1:8" x14ac:dyDescent="0.35">
      <c r="A206" s="1" t="str">
        <f t="shared" si="3"/>
        <v>3</v>
      </c>
      <c r="B206"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206" s="1" t="s">
        <v>1968</v>
      </c>
      <c r="D206" s="1">
        <v>0</v>
      </c>
      <c r="E206" s="1">
        <v>0</v>
      </c>
      <c r="F206" s="1" t="s">
        <v>112</v>
      </c>
      <c r="G206" s="1">
        <v>0</v>
      </c>
    </row>
    <row r="207" spans="1:8" x14ac:dyDescent="0.35">
      <c r="A207" s="1" t="str">
        <f t="shared" si="3"/>
        <v>3</v>
      </c>
      <c r="B207"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207" s="1" t="s">
        <v>1969</v>
      </c>
      <c r="D207" s="1" t="s">
        <v>1970</v>
      </c>
      <c r="E207" s="1" t="s">
        <v>1971</v>
      </c>
      <c r="F207" s="1" t="s">
        <v>112</v>
      </c>
      <c r="G207" s="1">
        <v>124631</v>
      </c>
    </row>
    <row r="208" spans="1:8" x14ac:dyDescent="0.35">
      <c r="A208" s="1" t="str">
        <f t="shared" si="3"/>
        <v>3</v>
      </c>
      <c r="B20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208" s="1" t="s">
        <v>1972</v>
      </c>
      <c r="D208" s="1" t="s">
        <v>1973</v>
      </c>
      <c r="E208" s="1" t="s">
        <v>1974</v>
      </c>
      <c r="F208" s="1" t="s">
        <v>112</v>
      </c>
      <c r="G208" s="1">
        <v>52258</v>
      </c>
    </row>
    <row r="209" spans="1:7" x14ac:dyDescent="0.35">
      <c r="A209" s="1" t="str">
        <f t="shared" si="3"/>
        <v>3</v>
      </c>
      <c r="B209"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209" s="1" t="s">
        <v>1975</v>
      </c>
      <c r="D209" s="1" t="s">
        <v>1976</v>
      </c>
      <c r="E209" s="1" t="s">
        <v>1977</v>
      </c>
      <c r="F209" s="1" t="s">
        <v>112</v>
      </c>
      <c r="G209" s="1">
        <v>49468</v>
      </c>
    </row>
    <row r="210" spans="1:7" x14ac:dyDescent="0.35">
      <c r="A210" s="1" t="str">
        <f t="shared" si="3"/>
        <v>3</v>
      </c>
      <c r="B210"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210" s="1" t="s">
        <v>1978</v>
      </c>
      <c r="D210" s="1" t="s">
        <v>1979</v>
      </c>
      <c r="E210" s="1" t="s">
        <v>1980</v>
      </c>
      <c r="F210" s="1" t="s">
        <v>112</v>
      </c>
      <c r="G210" s="1">
        <v>261657</v>
      </c>
    </row>
    <row r="211" spans="1:7" x14ac:dyDescent="0.35">
      <c r="A211" s="1" t="str">
        <f t="shared" si="3"/>
        <v>3</v>
      </c>
      <c r="B211"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211" s="1" t="s">
        <v>1981</v>
      </c>
      <c r="D211" s="1" t="s">
        <v>1982</v>
      </c>
      <c r="E211" s="1" t="s">
        <v>1983</v>
      </c>
      <c r="F211" s="1" t="s">
        <v>112</v>
      </c>
      <c r="G211" s="1">
        <v>449296</v>
      </c>
    </row>
    <row r="212" spans="1:7" x14ac:dyDescent="0.35">
      <c r="A212" s="1" t="str">
        <f t="shared" si="3"/>
        <v>3</v>
      </c>
      <c r="B21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212" s="1" t="s">
        <v>1984</v>
      </c>
      <c r="D212" s="1" t="s">
        <v>1985</v>
      </c>
      <c r="E212" s="1" t="s">
        <v>1986</v>
      </c>
      <c r="F212" s="1" t="s">
        <v>112</v>
      </c>
      <c r="G212" s="1">
        <v>471077</v>
      </c>
    </row>
    <row r="213" spans="1:7" x14ac:dyDescent="0.35">
      <c r="A213" s="1" t="str">
        <f t="shared" si="3"/>
        <v>3</v>
      </c>
      <c r="B21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213" s="1" t="s">
        <v>1987</v>
      </c>
      <c r="D213" s="1" t="s">
        <v>1988</v>
      </c>
      <c r="E213" s="1" t="s">
        <v>1989</v>
      </c>
      <c r="F213" s="1" t="s">
        <v>112</v>
      </c>
      <c r="G213" s="1">
        <v>222593</v>
      </c>
    </row>
    <row r="214" spans="1:7" x14ac:dyDescent="0.35">
      <c r="A214" s="1" t="str">
        <f t="shared" si="3"/>
        <v>3</v>
      </c>
      <c r="B21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214" s="1" t="s">
        <v>1990</v>
      </c>
      <c r="D214" s="1" t="s">
        <v>1991</v>
      </c>
      <c r="E214" s="1" t="s">
        <v>1992</v>
      </c>
      <c r="F214" s="1" t="s">
        <v>112</v>
      </c>
      <c r="G214" s="1">
        <v>215434</v>
      </c>
    </row>
    <row r="215" spans="1:7" x14ac:dyDescent="0.35">
      <c r="A215" s="1" t="str">
        <f t="shared" si="3"/>
        <v>3</v>
      </c>
      <c r="B21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215" s="1" t="s">
        <v>1993</v>
      </c>
      <c r="D215" s="1">
        <v>0</v>
      </c>
      <c r="E215" s="1">
        <v>0</v>
      </c>
      <c r="F215" s="1" t="s">
        <v>112</v>
      </c>
      <c r="G215" s="1">
        <v>0</v>
      </c>
    </row>
    <row r="216" spans="1:7" x14ac:dyDescent="0.35">
      <c r="A216" s="1" t="str">
        <f t="shared" si="3"/>
        <v>3</v>
      </c>
      <c r="B216"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216" s="1" t="s">
        <v>1994</v>
      </c>
      <c r="D216" s="1" t="s">
        <v>1995</v>
      </c>
      <c r="E216" s="1" t="s">
        <v>1996</v>
      </c>
      <c r="F216" s="1" t="s">
        <v>112</v>
      </c>
      <c r="G216" s="1">
        <v>124934</v>
      </c>
    </row>
    <row r="217" spans="1:7" x14ac:dyDescent="0.35">
      <c r="A217" s="1" t="str">
        <f t="shared" si="3"/>
        <v>3</v>
      </c>
      <c r="B217"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217" s="1" t="s">
        <v>1997</v>
      </c>
      <c r="D217" s="1" t="s">
        <v>649</v>
      </c>
      <c r="E217" s="1" t="s">
        <v>1998</v>
      </c>
      <c r="F217" s="1" t="s">
        <v>112</v>
      </c>
      <c r="G217" s="1">
        <v>73931</v>
      </c>
    </row>
    <row r="218" spans="1:7" x14ac:dyDescent="0.35">
      <c r="A218" s="1" t="str">
        <f t="shared" si="3"/>
        <v>3</v>
      </c>
      <c r="B21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218" s="1" t="s">
        <v>1999</v>
      </c>
      <c r="D218" s="1" t="s">
        <v>2000</v>
      </c>
      <c r="E218" s="1" t="s">
        <v>2001</v>
      </c>
      <c r="F218" s="1" t="s">
        <v>112</v>
      </c>
      <c r="G218" s="1">
        <v>128806</v>
      </c>
    </row>
    <row r="219" spans="1:7" x14ac:dyDescent="0.35">
      <c r="A219" s="1" t="str">
        <f t="shared" si="3"/>
        <v>3</v>
      </c>
      <c r="B219"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219" s="1" t="s">
        <v>2002</v>
      </c>
      <c r="D219" s="1" t="s">
        <v>1264</v>
      </c>
      <c r="E219" s="1" t="s">
        <v>2003</v>
      </c>
      <c r="F219" s="1" t="s">
        <v>112</v>
      </c>
      <c r="G219" s="1">
        <v>444494</v>
      </c>
    </row>
    <row r="220" spans="1:7" x14ac:dyDescent="0.35">
      <c r="A220" s="1" t="str">
        <f t="shared" si="3"/>
        <v>3</v>
      </c>
      <c r="B220"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220" s="1" t="s">
        <v>2004</v>
      </c>
      <c r="D220" s="1" t="s">
        <v>2005</v>
      </c>
      <c r="E220" s="1" t="s">
        <v>2006</v>
      </c>
      <c r="F220" s="1" t="s">
        <v>112</v>
      </c>
      <c r="G220" s="1">
        <v>765504</v>
      </c>
    </row>
    <row r="221" spans="1:7" x14ac:dyDescent="0.35">
      <c r="A221" s="1" t="str">
        <f t="shared" si="3"/>
        <v>3</v>
      </c>
      <c r="B221"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221" s="1" t="s">
        <v>2007</v>
      </c>
      <c r="D221" s="1" t="s">
        <v>1610</v>
      </c>
      <c r="E221" s="1" t="s">
        <v>2008</v>
      </c>
      <c r="F221" s="1" t="s">
        <v>112</v>
      </c>
      <c r="G221" s="1">
        <v>294556</v>
      </c>
    </row>
    <row r="222" spans="1:7" x14ac:dyDescent="0.35">
      <c r="A222" s="1" t="str">
        <f t="shared" si="3"/>
        <v>3</v>
      </c>
      <c r="B22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222" s="1" t="s">
        <v>2009</v>
      </c>
      <c r="D222" s="1" t="s">
        <v>2010</v>
      </c>
      <c r="E222" s="1" t="s">
        <v>2011</v>
      </c>
      <c r="F222" s="1" t="s">
        <v>112</v>
      </c>
      <c r="G222" s="1">
        <v>281210</v>
      </c>
    </row>
    <row r="223" spans="1:7" x14ac:dyDescent="0.35">
      <c r="A223" s="1" t="str">
        <f t="shared" si="3"/>
        <v>3</v>
      </c>
      <c r="B22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223" s="1" t="s">
        <v>2012</v>
      </c>
      <c r="D223" s="1" t="s">
        <v>2013</v>
      </c>
      <c r="E223" s="1" t="s">
        <v>2014</v>
      </c>
      <c r="F223" s="1" t="s">
        <v>112</v>
      </c>
      <c r="G223" s="1">
        <v>630944</v>
      </c>
    </row>
    <row r="224" spans="1:7" x14ac:dyDescent="0.35">
      <c r="A224" s="1" t="str">
        <f t="shared" si="3"/>
        <v>3</v>
      </c>
      <c r="B22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224" s="1" t="s">
        <v>2015</v>
      </c>
      <c r="D224" s="1" t="s">
        <v>2016</v>
      </c>
      <c r="E224" s="1" t="s">
        <v>2017</v>
      </c>
      <c r="F224" s="1" t="s">
        <v>112</v>
      </c>
      <c r="G224" s="1">
        <v>333252</v>
      </c>
    </row>
    <row r="225" spans="1:8" x14ac:dyDescent="0.35">
      <c r="A225" s="1" t="str">
        <f t="shared" si="3"/>
        <v/>
      </c>
      <c r="B22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225" s="1" t="s">
        <v>112</v>
      </c>
    </row>
    <row r="226" spans="1:8" x14ac:dyDescent="0.35">
      <c r="A226" s="1" t="str">
        <f t="shared" si="3"/>
        <v/>
      </c>
      <c r="B22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226" s="1" t="s">
        <v>226</v>
      </c>
      <c r="D226" s="1" t="s">
        <v>112</v>
      </c>
      <c r="E226" s="1" t="s">
        <v>227</v>
      </c>
      <c r="F226" s="1" t="s">
        <v>228</v>
      </c>
      <c r="G226" s="1" t="s">
        <v>229</v>
      </c>
      <c r="H226" s="1" t="s">
        <v>230</v>
      </c>
    </row>
    <row r="227" spans="1:8" x14ac:dyDescent="0.35">
      <c r="A227" s="1" t="str">
        <f t="shared" si="3"/>
        <v>3</v>
      </c>
      <c r="B227"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 xml:space="preserve"> </v>
      </c>
      <c r="C227" s="1" t="s">
        <v>2018</v>
      </c>
      <c r="D227" s="1" t="s">
        <v>112</v>
      </c>
      <c r="E227" s="1" t="s">
        <v>2019</v>
      </c>
      <c r="F227" s="1" t="s">
        <v>2020</v>
      </c>
      <c r="G227" s="1" t="s">
        <v>2021</v>
      </c>
      <c r="H227" s="1" t="s">
        <v>2022</v>
      </c>
    </row>
    <row r="228" spans="1:8" x14ac:dyDescent="0.35">
      <c r="A228" s="1" t="str">
        <f t="shared" si="3"/>
        <v/>
      </c>
      <c r="B22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228" s="1" t="s">
        <v>112</v>
      </c>
    </row>
    <row r="229" spans="1:8" x14ac:dyDescent="0.35">
      <c r="A229" s="1" t="str">
        <f t="shared" si="3"/>
        <v/>
      </c>
      <c r="B22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229" s="1" t="s">
        <v>112</v>
      </c>
    </row>
    <row r="230" spans="1:8" x14ac:dyDescent="0.35">
      <c r="A230" s="1" t="str">
        <f t="shared" si="3"/>
        <v/>
      </c>
      <c r="B23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230" s="1" t="s">
        <v>112</v>
      </c>
    </row>
    <row r="231" spans="1:8" x14ac:dyDescent="0.35">
      <c r="A231" s="1" t="str">
        <f t="shared" si="3"/>
        <v/>
      </c>
      <c r="B23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231" s="1" t="s">
        <v>112</v>
      </c>
    </row>
    <row r="232" spans="1:8" x14ac:dyDescent="0.35">
      <c r="A232" s="1" t="str">
        <f t="shared" si="3"/>
        <v/>
      </c>
      <c r="B23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232" s="1" t="s">
        <v>112</v>
      </c>
    </row>
    <row r="233" spans="1:8" x14ac:dyDescent="0.35">
      <c r="A233" s="1" t="str">
        <f t="shared" si="3"/>
        <v/>
      </c>
      <c r="B23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233" s="1" t="s">
        <v>172</v>
      </c>
      <c r="D233" s="1" t="s">
        <v>110</v>
      </c>
      <c r="E233" s="1" t="s">
        <v>111</v>
      </c>
      <c r="F233" s="1" t="s">
        <v>112</v>
      </c>
      <c r="G233" s="1" t="s">
        <v>113</v>
      </c>
    </row>
    <row r="234" spans="1:8" x14ac:dyDescent="0.35">
      <c r="A234" s="1" t="str">
        <f t="shared" si="3"/>
        <v>4</v>
      </c>
      <c r="B23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234" s="1" t="s">
        <v>2023</v>
      </c>
      <c r="D234" s="1" t="s">
        <v>2024</v>
      </c>
      <c r="E234" s="1" t="s">
        <v>2025</v>
      </c>
      <c r="F234" s="1" t="s">
        <v>112</v>
      </c>
      <c r="G234" s="1">
        <v>437356</v>
      </c>
    </row>
    <row r="235" spans="1:8" x14ac:dyDescent="0.35">
      <c r="A235" s="1" t="str">
        <f t="shared" si="3"/>
        <v>4</v>
      </c>
      <c r="B23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235" s="1" t="s">
        <v>2026</v>
      </c>
      <c r="D235" s="1" t="s">
        <v>2027</v>
      </c>
      <c r="E235" s="1" t="s">
        <v>2028</v>
      </c>
      <c r="F235" s="1" t="s">
        <v>112</v>
      </c>
      <c r="G235" s="1">
        <v>430067</v>
      </c>
    </row>
    <row r="236" spans="1:8" x14ac:dyDescent="0.35">
      <c r="A236" s="1" t="str">
        <f t="shared" si="3"/>
        <v>4</v>
      </c>
      <c r="B236"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236" s="1" t="s">
        <v>2029</v>
      </c>
      <c r="D236" s="1" t="s">
        <v>2030</v>
      </c>
      <c r="E236" s="1" t="s">
        <v>2031</v>
      </c>
      <c r="F236" s="1" t="s">
        <v>112</v>
      </c>
      <c r="G236" s="1">
        <v>676929</v>
      </c>
    </row>
    <row r="237" spans="1:8" x14ac:dyDescent="0.35">
      <c r="A237" s="1" t="str">
        <f t="shared" si="3"/>
        <v>4</v>
      </c>
      <c r="B237"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237" s="1" t="s">
        <v>2032</v>
      </c>
      <c r="D237" s="1" t="s">
        <v>2033</v>
      </c>
      <c r="E237" s="1" t="s">
        <v>2034</v>
      </c>
      <c r="F237" s="1" t="s">
        <v>112</v>
      </c>
      <c r="G237" s="1">
        <v>127141</v>
      </c>
    </row>
    <row r="238" spans="1:8" x14ac:dyDescent="0.35">
      <c r="A238" s="1" t="str">
        <f t="shared" si="3"/>
        <v>4</v>
      </c>
      <c r="B23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238" s="1" t="s">
        <v>2035</v>
      </c>
      <c r="D238" s="1" t="s">
        <v>2036</v>
      </c>
      <c r="E238" s="1" t="s">
        <v>2037</v>
      </c>
      <c r="F238" s="1" t="s">
        <v>112</v>
      </c>
      <c r="G238" s="1">
        <v>111416</v>
      </c>
    </row>
    <row r="239" spans="1:8" x14ac:dyDescent="0.35">
      <c r="A239" s="1" t="str">
        <f t="shared" si="3"/>
        <v>4</v>
      </c>
      <c r="B239"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239" s="1" t="s">
        <v>2038</v>
      </c>
      <c r="D239" s="1" t="s">
        <v>2039</v>
      </c>
      <c r="E239" s="1" t="s">
        <v>2040</v>
      </c>
      <c r="F239" s="1" t="s">
        <v>112</v>
      </c>
      <c r="G239" s="1">
        <v>370196</v>
      </c>
    </row>
    <row r="240" spans="1:8" x14ac:dyDescent="0.35">
      <c r="A240" s="1" t="str">
        <f t="shared" si="3"/>
        <v>4</v>
      </c>
      <c r="B240"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240" s="1" t="s">
        <v>2041</v>
      </c>
      <c r="D240" s="1" t="s">
        <v>2042</v>
      </c>
      <c r="E240" s="1" t="s">
        <v>2043</v>
      </c>
      <c r="F240" s="1" t="s">
        <v>112</v>
      </c>
      <c r="G240" s="1">
        <v>388084</v>
      </c>
    </row>
    <row r="241" spans="1:7" x14ac:dyDescent="0.35">
      <c r="A241" s="1" t="str">
        <f t="shared" si="3"/>
        <v>4</v>
      </c>
      <c r="B241"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241" s="1" t="s">
        <v>2044</v>
      </c>
      <c r="D241" s="1" t="s">
        <v>2045</v>
      </c>
      <c r="E241" s="1" t="s">
        <v>1163</v>
      </c>
      <c r="F241" s="1" t="s">
        <v>112</v>
      </c>
      <c r="G241" s="1">
        <v>2639</v>
      </c>
    </row>
    <row r="242" spans="1:7" x14ac:dyDescent="0.35">
      <c r="A242" s="1" t="str">
        <f t="shared" si="3"/>
        <v>4</v>
      </c>
      <c r="B24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242" s="1" t="s">
        <v>2046</v>
      </c>
      <c r="D242" s="1" t="s">
        <v>2042</v>
      </c>
      <c r="E242" s="1" t="s">
        <v>2047</v>
      </c>
      <c r="F242" s="1" t="s">
        <v>112</v>
      </c>
      <c r="G242" s="1">
        <v>385055</v>
      </c>
    </row>
    <row r="243" spans="1:7" x14ac:dyDescent="0.35">
      <c r="A243" s="1" t="str">
        <f t="shared" si="3"/>
        <v>4</v>
      </c>
      <c r="B24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243" s="1" t="s">
        <v>2048</v>
      </c>
      <c r="D243" s="1" t="s">
        <v>2049</v>
      </c>
      <c r="E243" s="1" t="s">
        <v>2050</v>
      </c>
      <c r="F243" s="1" t="s">
        <v>112</v>
      </c>
      <c r="G243" s="1">
        <v>185974</v>
      </c>
    </row>
    <row r="244" spans="1:7" x14ac:dyDescent="0.35">
      <c r="A244" s="1" t="str">
        <f t="shared" si="3"/>
        <v>4</v>
      </c>
      <c r="B24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244" s="1" t="s">
        <v>2051</v>
      </c>
      <c r="D244" s="1" t="s">
        <v>1083</v>
      </c>
      <c r="E244" s="1" t="s">
        <v>2052</v>
      </c>
      <c r="F244" s="1" t="s">
        <v>112</v>
      </c>
      <c r="G244" s="1">
        <v>187034</v>
      </c>
    </row>
    <row r="245" spans="1:7" x14ac:dyDescent="0.35">
      <c r="A245" s="1" t="str">
        <f t="shared" si="3"/>
        <v>4</v>
      </c>
      <c r="B24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245" s="1" t="s">
        <v>2053</v>
      </c>
      <c r="D245" s="1" t="s">
        <v>2054</v>
      </c>
      <c r="E245" s="1" t="s">
        <v>2055</v>
      </c>
      <c r="F245" s="1" t="s">
        <v>112</v>
      </c>
      <c r="G245" s="1">
        <v>236912</v>
      </c>
    </row>
    <row r="246" spans="1:7" x14ac:dyDescent="0.35">
      <c r="A246" s="1" t="str">
        <f t="shared" si="3"/>
        <v>4</v>
      </c>
      <c r="B246"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246" s="1" t="s">
        <v>2056</v>
      </c>
      <c r="D246" s="1" t="s">
        <v>2057</v>
      </c>
      <c r="E246" s="1" t="s">
        <v>2058</v>
      </c>
      <c r="F246" s="1" t="s">
        <v>112</v>
      </c>
      <c r="G246" s="1">
        <v>305868</v>
      </c>
    </row>
    <row r="247" spans="1:7" x14ac:dyDescent="0.35">
      <c r="A247" s="1" t="str">
        <f t="shared" si="3"/>
        <v>4</v>
      </c>
      <c r="B247"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247" s="1" t="s">
        <v>2059</v>
      </c>
      <c r="D247" s="1" t="s">
        <v>2060</v>
      </c>
      <c r="E247" s="1" t="s">
        <v>2061</v>
      </c>
      <c r="F247" s="1" t="s">
        <v>112</v>
      </c>
      <c r="G247" s="1">
        <v>86541</v>
      </c>
    </row>
    <row r="248" spans="1:7" x14ac:dyDescent="0.35">
      <c r="A248" s="1" t="str">
        <f t="shared" si="3"/>
        <v>4</v>
      </c>
      <c r="B24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248" s="1" t="s">
        <v>2062</v>
      </c>
      <c r="D248" s="1" t="s">
        <v>2063</v>
      </c>
      <c r="E248" s="1" t="s">
        <v>2064</v>
      </c>
      <c r="F248" s="1" t="s">
        <v>112</v>
      </c>
      <c r="G248" s="1">
        <v>125259</v>
      </c>
    </row>
    <row r="249" spans="1:7" x14ac:dyDescent="0.35">
      <c r="A249" s="1" t="str">
        <f t="shared" si="3"/>
        <v>4</v>
      </c>
      <c r="B249"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249" s="1" t="s">
        <v>2065</v>
      </c>
      <c r="D249" s="1" t="s">
        <v>2066</v>
      </c>
      <c r="E249" s="1" t="s">
        <v>2067</v>
      </c>
      <c r="F249" s="1" t="s">
        <v>112</v>
      </c>
      <c r="G249" s="1">
        <v>1815332</v>
      </c>
    </row>
    <row r="250" spans="1:7" x14ac:dyDescent="0.35">
      <c r="A250" s="1" t="str">
        <f t="shared" si="3"/>
        <v>4</v>
      </c>
      <c r="B250"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250" s="1" t="s">
        <v>2068</v>
      </c>
      <c r="D250" s="1" t="s">
        <v>2069</v>
      </c>
      <c r="E250" s="1" t="s">
        <v>2070</v>
      </c>
      <c r="F250" s="1" t="s">
        <v>112</v>
      </c>
      <c r="G250" s="1">
        <v>1638075</v>
      </c>
    </row>
    <row r="251" spans="1:7" x14ac:dyDescent="0.35">
      <c r="A251" s="1" t="str">
        <f t="shared" si="3"/>
        <v>4</v>
      </c>
      <c r="B251"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251" s="1" t="s">
        <v>2071</v>
      </c>
      <c r="D251" s="1" t="s">
        <v>1714</v>
      </c>
      <c r="E251" s="1" t="s">
        <v>2072</v>
      </c>
      <c r="F251" s="1" t="s">
        <v>112</v>
      </c>
      <c r="G251" s="1">
        <v>1814727</v>
      </c>
    </row>
    <row r="252" spans="1:7" x14ac:dyDescent="0.35">
      <c r="A252" s="1" t="str">
        <f t="shared" si="3"/>
        <v>4</v>
      </c>
      <c r="B25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252" s="1" t="s">
        <v>2073</v>
      </c>
      <c r="D252" s="1" t="s">
        <v>1402</v>
      </c>
      <c r="E252" s="1" t="s">
        <v>2074</v>
      </c>
      <c r="F252" s="1" t="s">
        <v>112</v>
      </c>
      <c r="G252" s="1">
        <v>203343</v>
      </c>
    </row>
    <row r="253" spans="1:7" x14ac:dyDescent="0.35">
      <c r="A253" s="1" t="str">
        <f t="shared" si="3"/>
        <v>4</v>
      </c>
      <c r="B25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253" s="1" t="s">
        <v>2075</v>
      </c>
      <c r="D253" s="1" t="s">
        <v>1370</v>
      </c>
      <c r="E253" s="1" t="s">
        <v>2076</v>
      </c>
      <c r="F253" s="1" t="s">
        <v>112</v>
      </c>
      <c r="G253" s="1">
        <v>46223</v>
      </c>
    </row>
    <row r="254" spans="1:7" x14ac:dyDescent="0.35">
      <c r="A254" s="1" t="str">
        <f t="shared" si="3"/>
        <v>4</v>
      </c>
      <c r="B25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254" s="1" t="s">
        <v>2077</v>
      </c>
      <c r="D254" s="1" t="s">
        <v>1367</v>
      </c>
      <c r="E254" s="1" t="s">
        <v>2078</v>
      </c>
      <c r="F254" s="1" t="s">
        <v>112</v>
      </c>
      <c r="G254" s="1">
        <v>198043</v>
      </c>
    </row>
    <row r="255" spans="1:7" x14ac:dyDescent="0.35">
      <c r="A255" s="1" t="str">
        <f t="shared" si="3"/>
        <v>4</v>
      </c>
      <c r="B25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255" s="1" t="s">
        <v>2079</v>
      </c>
      <c r="D255" s="1" t="s">
        <v>2080</v>
      </c>
      <c r="E255" s="1" t="s">
        <v>2081</v>
      </c>
      <c r="F255" s="1" t="s">
        <v>112</v>
      </c>
      <c r="G255" s="1">
        <v>352935</v>
      </c>
    </row>
    <row r="256" spans="1:7" x14ac:dyDescent="0.35">
      <c r="A256" s="1" t="str">
        <f t="shared" si="3"/>
        <v>4</v>
      </c>
      <c r="B256"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256" s="1" t="s">
        <v>2082</v>
      </c>
      <c r="D256" s="1" t="s">
        <v>2083</v>
      </c>
      <c r="E256" s="1" t="s">
        <v>2084</v>
      </c>
      <c r="F256" s="1" t="s">
        <v>112</v>
      </c>
      <c r="G256" s="1">
        <v>598780</v>
      </c>
    </row>
    <row r="257" spans="1:8" x14ac:dyDescent="0.35">
      <c r="A257" s="1" t="str">
        <f t="shared" si="3"/>
        <v>4</v>
      </c>
      <c r="B257"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257" s="1" t="s">
        <v>2085</v>
      </c>
      <c r="D257" s="1" t="s">
        <v>2086</v>
      </c>
      <c r="E257" s="1" t="s">
        <v>2087</v>
      </c>
      <c r="F257" s="1" t="s">
        <v>112</v>
      </c>
      <c r="G257" s="1">
        <v>367946</v>
      </c>
    </row>
    <row r="258" spans="1:8" x14ac:dyDescent="0.35">
      <c r="A258" s="1" t="str">
        <f t="shared" ref="A258:A321" si="4">IFERROR(LEFT(RIGHT(C258,LEN(C258)-SEARCH("@",C258)),SEARCH("/",RIGHT(C258,LEN(C258)-SEARCH("@",C258)-1))),"")</f>
        <v/>
      </c>
      <c r="B25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258" s="1" t="s">
        <v>112</v>
      </c>
    </row>
    <row r="259" spans="1:8" x14ac:dyDescent="0.35">
      <c r="A259" s="1" t="str">
        <f t="shared" si="4"/>
        <v/>
      </c>
      <c r="B25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259" s="1" t="s">
        <v>226</v>
      </c>
      <c r="D259" s="1" t="s">
        <v>112</v>
      </c>
      <c r="E259" s="1" t="s">
        <v>227</v>
      </c>
      <c r="F259" s="1" t="s">
        <v>228</v>
      </c>
      <c r="G259" s="1" t="s">
        <v>229</v>
      </c>
      <c r="H259" s="1" t="s">
        <v>230</v>
      </c>
    </row>
    <row r="260" spans="1:8" x14ac:dyDescent="0.35">
      <c r="A260" s="1" t="str">
        <f t="shared" si="4"/>
        <v>4</v>
      </c>
      <c r="B260"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 xml:space="preserve"> </v>
      </c>
      <c r="C260" s="1" t="s">
        <v>2088</v>
      </c>
      <c r="D260" s="1" t="s">
        <v>112</v>
      </c>
      <c r="E260" s="1" t="s">
        <v>2089</v>
      </c>
      <c r="F260" s="1" t="s">
        <v>2090</v>
      </c>
      <c r="G260" s="1" t="s">
        <v>2091</v>
      </c>
      <c r="H260" s="1" t="s">
        <v>2092</v>
      </c>
    </row>
    <row r="261" spans="1:8" x14ac:dyDescent="0.35">
      <c r="A261" s="1" t="str">
        <f t="shared" si="4"/>
        <v/>
      </c>
      <c r="B26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261" s="1" t="s">
        <v>112</v>
      </c>
    </row>
    <row r="262" spans="1:8" x14ac:dyDescent="0.35">
      <c r="A262" s="1" t="str">
        <f t="shared" si="4"/>
        <v/>
      </c>
      <c r="B26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262" s="1" t="s">
        <v>112</v>
      </c>
    </row>
    <row r="263" spans="1:8" x14ac:dyDescent="0.35">
      <c r="A263" s="1" t="str">
        <f t="shared" si="4"/>
        <v/>
      </c>
      <c r="B26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263" s="1" t="s">
        <v>112</v>
      </c>
    </row>
    <row r="264" spans="1:8" x14ac:dyDescent="0.35">
      <c r="A264" s="1" t="str">
        <f t="shared" si="4"/>
        <v/>
      </c>
      <c r="B26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264" s="1" t="s">
        <v>112</v>
      </c>
    </row>
    <row r="265" spans="1:8" x14ac:dyDescent="0.35">
      <c r="A265" s="1" t="str">
        <f t="shared" si="4"/>
        <v/>
      </c>
      <c r="B26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265" s="1" t="s">
        <v>112</v>
      </c>
    </row>
    <row r="266" spans="1:8" x14ac:dyDescent="0.35">
      <c r="A266" s="1" t="str">
        <f t="shared" si="4"/>
        <v/>
      </c>
      <c r="B26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266" s="1" t="s">
        <v>172</v>
      </c>
      <c r="D266" s="1" t="s">
        <v>110</v>
      </c>
      <c r="E266" s="1" t="s">
        <v>111</v>
      </c>
      <c r="F266" s="1" t="s">
        <v>112</v>
      </c>
      <c r="G266" s="1" t="s">
        <v>113</v>
      </c>
    </row>
    <row r="267" spans="1:8" x14ac:dyDescent="0.35">
      <c r="A267" s="1" t="str">
        <f t="shared" si="4"/>
        <v>5</v>
      </c>
      <c r="B267"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267" s="1" t="s">
        <v>2093</v>
      </c>
      <c r="D267" s="1" t="s">
        <v>2094</v>
      </c>
      <c r="E267" s="1" t="s">
        <v>2095</v>
      </c>
      <c r="F267" s="1" t="s">
        <v>112</v>
      </c>
      <c r="G267" s="1">
        <v>2011753</v>
      </c>
    </row>
    <row r="268" spans="1:8" x14ac:dyDescent="0.35">
      <c r="A268" s="1" t="str">
        <f t="shared" si="4"/>
        <v>5</v>
      </c>
      <c r="B26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268" s="1" t="s">
        <v>2096</v>
      </c>
      <c r="D268" s="1" t="s">
        <v>291</v>
      </c>
      <c r="E268" s="1" t="s">
        <v>2097</v>
      </c>
      <c r="F268" s="1" t="s">
        <v>112</v>
      </c>
      <c r="G268" s="1">
        <v>2102642</v>
      </c>
    </row>
    <row r="269" spans="1:8" x14ac:dyDescent="0.35">
      <c r="A269" s="1" t="str">
        <f t="shared" si="4"/>
        <v>5</v>
      </c>
      <c r="B269"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269" s="1" t="s">
        <v>2098</v>
      </c>
      <c r="D269" s="1" t="s">
        <v>2099</v>
      </c>
      <c r="E269" s="1" t="s">
        <v>2100</v>
      </c>
      <c r="F269" s="1" t="s">
        <v>112</v>
      </c>
      <c r="G269" s="1">
        <v>2337413</v>
      </c>
    </row>
    <row r="270" spans="1:8" x14ac:dyDescent="0.35">
      <c r="A270" s="1" t="str">
        <f t="shared" si="4"/>
        <v>5</v>
      </c>
      <c r="B270"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270" s="1" t="s">
        <v>2101</v>
      </c>
      <c r="D270" s="1" t="s">
        <v>2102</v>
      </c>
      <c r="E270" s="1" t="s">
        <v>2103</v>
      </c>
      <c r="F270" s="1" t="s">
        <v>112</v>
      </c>
      <c r="G270" s="1">
        <v>449729</v>
      </c>
    </row>
    <row r="271" spans="1:8" x14ac:dyDescent="0.35">
      <c r="A271" s="1" t="str">
        <f t="shared" si="4"/>
        <v>5</v>
      </c>
      <c r="B271"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271" s="1" t="s">
        <v>2104</v>
      </c>
      <c r="D271" s="1" t="s">
        <v>2105</v>
      </c>
      <c r="E271" s="1" t="s">
        <v>2106</v>
      </c>
      <c r="F271" s="1" t="s">
        <v>112</v>
      </c>
      <c r="G271" s="1">
        <v>375257</v>
      </c>
    </row>
    <row r="272" spans="1:8" x14ac:dyDescent="0.35">
      <c r="A272" s="1" t="str">
        <f t="shared" si="4"/>
        <v>5</v>
      </c>
      <c r="B27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272" s="1" t="s">
        <v>2107</v>
      </c>
      <c r="D272" s="1" t="s">
        <v>2108</v>
      </c>
      <c r="E272" s="1" t="s">
        <v>2109</v>
      </c>
      <c r="F272" s="1" t="s">
        <v>112</v>
      </c>
      <c r="G272" s="1">
        <v>444408</v>
      </c>
    </row>
    <row r="273" spans="1:7" x14ac:dyDescent="0.35">
      <c r="A273" s="1" t="str">
        <f t="shared" si="4"/>
        <v>5</v>
      </c>
      <c r="B27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273" s="1" t="s">
        <v>2110</v>
      </c>
      <c r="D273" s="1" t="s">
        <v>2111</v>
      </c>
      <c r="E273" s="1" t="s">
        <v>2112</v>
      </c>
      <c r="F273" s="1" t="s">
        <v>112</v>
      </c>
      <c r="G273" s="1">
        <v>1410896</v>
      </c>
    </row>
    <row r="274" spans="1:7" x14ac:dyDescent="0.35">
      <c r="A274" s="1" t="str">
        <f t="shared" si="4"/>
        <v>5</v>
      </c>
      <c r="B27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274" s="1" t="s">
        <v>2113</v>
      </c>
      <c r="D274" s="1" t="s">
        <v>2114</v>
      </c>
      <c r="E274" s="1" t="s">
        <v>2115</v>
      </c>
      <c r="F274" s="1" t="s">
        <v>112</v>
      </c>
      <c r="G274" s="1">
        <v>1261412</v>
      </c>
    </row>
    <row r="275" spans="1:7" x14ac:dyDescent="0.35">
      <c r="A275" s="1" t="str">
        <f t="shared" si="4"/>
        <v>5</v>
      </c>
      <c r="B27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275" s="1" t="s">
        <v>2116</v>
      </c>
      <c r="D275" s="1" t="s">
        <v>2117</v>
      </c>
      <c r="E275" s="1" t="s">
        <v>2118</v>
      </c>
      <c r="F275" s="1" t="s">
        <v>112</v>
      </c>
      <c r="G275" s="1">
        <v>1667340</v>
      </c>
    </row>
    <row r="276" spans="1:7" x14ac:dyDescent="0.35">
      <c r="A276" s="1" t="str">
        <f t="shared" si="4"/>
        <v>5</v>
      </c>
      <c r="B276"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276" s="1" t="s">
        <v>2119</v>
      </c>
      <c r="D276" s="1" t="s">
        <v>2120</v>
      </c>
      <c r="E276" s="1" t="s">
        <v>2121</v>
      </c>
      <c r="F276" s="1" t="s">
        <v>112</v>
      </c>
      <c r="G276" s="1">
        <v>3031235</v>
      </c>
    </row>
    <row r="277" spans="1:7" x14ac:dyDescent="0.35">
      <c r="A277" s="1" t="str">
        <f t="shared" si="4"/>
        <v>5</v>
      </c>
      <c r="B277"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277" s="1" t="s">
        <v>2122</v>
      </c>
      <c r="D277" s="1" t="s">
        <v>2123</v>
      </c>
      <c r="E277" s="1" t="s">
        <v>2124</v>
      </c>
      <c r="F277" s="1" t="s">
        <v>112</v>
      </c>
      <c r="G277" s="1">
        <v>3290188</v>
      </c>
    </row>
    <row r="278" spans="1:7" x14ac:dyDescent="0.35">
      <c r="A278" s="1" t="str">
        <f t="shared" si="4"/>
        <v>5</v>
      </c>
      <c r="B27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278" s="1" t="s">
        <v>2125</v>
      </c>
      <c r="D278" s="1" t="s">
        <v>2126</v>
      </c>
      <c r="E278" s="1" t="s">
        <v>2127</v>
      </c>
      <c r="F278" s="1" t="s">
        <v>112</v>
      </c>
      <c r="G278" s="1">
        <v>3372944</v>
      </c>
    </row>
    <row r="279" spans="1:7" x14ac:dyDescent="0.35">
      <c r="A279" s="1" t="str">
        <f t="shared" si="4"/>
        <v>5</v>
      </c>
      <c r="B279"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279" s="1" t="s">
        <v>2128</v>
      </c>
      <c r="D279" s="1" t="s">
        <v>2129</v>
      </c>
      <c r="E279" s="1" t="s">
        <v>2130</v>
      </c>
      <c r="F279" s="1" t="s">
        <v>112</v>
      </c>
      <c r="G279" s="1">
        <v>1061487</v>
      </c>
    </row>
    <row r="280" spans="1:7" x14ac:dyDescent="0.35">
      <c r="A280" s="1" t="str">
        <f t="shared" si="4"/>
        <v>5</v>
      </c>
      <c r="B280"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280" s="1" t="s">
        <v>2131</v>
      </c>
      <c r="D280" s="1" t="s">
        <v>2132</v>
      </c>
      <c r="E280" s="1" t="s">
        <v>2133</v>
      </c>
      <c r="F280" s="1" t="s">
        <v>112</v>
      </c>
      <c r="G280" s="1">
        <v>1279300</v>
      </c>
    </row>
    <row r="281" spans="1:7" x14ac:dyDescent="0.35">
      <c r="A281" s="1" t="str">
        <f t="shared" si="4"/>
        <v>5</v>
      </c>
      <c r="B281"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281" s="1" t="s">
        <v>2134</v>
      </c>
      <c r="D281" s="1" t="s">
        <v>2135</v>
      </c>
      <c r="E281" s="1" t="s">
        <v>2136</v>
      </c>
      <c r="F281" s="1" t="s">
        <v>112</v>
      </c>
      <c r="G281" s="1">
        <v>1571671</v>
      </c>
    </row>
    <row r="282" spans="1:7" x14ac:dyDescent="0.35">
      <c r="A282" s="1" t="str">
        <f t="shared" si="4"/>
        <v>5</v>
      </c>
      <c r="B28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282" s="1" t="s">
        <v>2137</v>
      </c>
      <c r="D282" s="1" t="s">
        <v>414</v>
      </c>
      <c r="E282" s="1" t="s">
        <v>2138</v>
      </c>
      <c r="F282" s="1" t="s">
        <v>112</v>
      </c>
      <c r="G282" s="1">
        <v>2122650</v>
      </c>
    </row>
    <row r="283" spans="1:7" x14ac:dyDescent="0.35">
      <c r="A283" s="1" t="str">
        <f t="shared" si="4"/>
        <v>5</v>
      </c>
      <c r="B28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283" s="1" t="s">
        <v>2139</v>
      </c>
      <c r="D283" s="1" t="s">
        <v>2140</v>
      </c>
      <c r="E283" s="1" t="s">
        <v>2141</v>
      </c>
      <c r="F283" s="1" t="s">
        <v>112</v>
      </c>
      <c r="G283" s="1">
        <v>1811698</v>
      </c>
    </row>
    <row r="284" spans="1:7" x14ac:dyDescent="0.35">
      <c r="A284" s="1" t="str">
        <f t="shared" si="4"/>
        <v>5</v>
      </c>
      <c r="B28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284" s="1" t="s">
        <v>2142</v>
      </c>
      <c r="D284" s="1" t="s">
        <v>2143</v>
      </c>
      <c r="E284" s="1" t="s">
        <v>2144</v>
      </c>
      <c r="F284" s="1" t="s">
        <v>112</v>
      </c>
      <c r="G284" s="1">
        <v>1782130</v>
      </c>
    </row>
    <row r="285" spans="1:7" x14ac:dyDescent="0.35">
      <c r="A285" s="1" t="str">
        <f t="shared" si="4"/>
        <v>5</v>
      </c>
      <c r="B28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285" s="1" t="s">
        <v>2145</v>
      </c>
      <c r="D285" s="1" t="s">
        <v>147</v>
      </c>
      <c r="E285" s="1" t="s">
        <v>2146</v>
      </c>
      <c r="F285" s="1" t="s">
        <v>112</v>
      </c>
      <c r="G285" s="1">
        <v>162094</v>
      </c>
    </row>
    <row r="286" spans="1:7" x14ac:dyDescent="0.35">
      <c r="A286" s="1" t="str">
        <f t="shared" si="4"/>
        <v>5</v>
      </c>
      <c r="B286"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286" s="1" t="s">
        <v>2147</v>
      </c>
      <c r="D286" s="1" t="s">
        <v>2148</v>
      </c>
      <c r="E286" s="1" t="s">
        <v>2149</v>
      </c>
      <c r="F286" s="1" t="s">
        <v>112</v>
      </c>
      <c r="G286" s="1">
        <v>392474</v>
      </c>
    </row>
    <row r="287" spans="1:7" x14ac:dyDescent="0.35">
      <c r="A287" s="1" t="str">
        <f t="shared" si="4"/>
        <v>5</v>
      </c>
      <c r="B287"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287" s="1" t="s">
        <v>2150</v>
      </c>
      <c r="D287" s="1" t="s">
        <v>2151</v>
      </c>
      <c r="E287" s="1" t="s">
        <v>2152</v>
      </c>
      <c r="F287" s="1" t="s">
        <v>112</v>
      </c>
      <c r="G287" s="1">
        <v>173645</v>
      </c>
    </row>
    <row r="288" spans="1:7" x14ac:dyDescent="0.35">
      <c r="A288" s="1" t="str">
        <f t="shared" si="4"/>
        <v>5</v>
      </c>
      <c r="B28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288" s="1" t="s">
        <v>2153</v>
      </c>
      <c r="D288" s="1" t="s">
        <v>2154</v>
      </c>
      <c r="E288" s="1" t="s">
        <v>2155</v>
      </c>
      <c r="F288" s="1" t="s">
        <v>112</v>
      </c>
      <c r="G288" s="1">
        <v>1272811</v>
      </c>
    </row>
    <row r="289" spans="1:8" x14ac:dyDescent="0.35">
      <c r="A289" s="1" t="str">
        <f t="shared" si="4"/>
        <v>5</v>
      </c>
      <c r="B289"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289" s="1" t="s">
        <v>2156</v>
      </c>
      <c r="D289" s="1" t="s">
        <v>2157</v>
      </c>
      <c r="E289" s="1" t="s">
        <v>2158</v>
      </c>
      <c r="F289" s="1" t="s">
        <v>112</v>
      </c>
      <c r="G289" s="1">
        <v>1047947</v>
      </c>
    </row>
    <row r="290" spans="1:8" x14ac:dyDescent="0.35">
      <c r="A290" s="1" t="str">
        <f t="shared" si="4"/>
        <v>5</v>
      </c>
      <c r="B290"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290" s="1" t="s">
        <v>2159</v>
      </c>
      <c r="D290" s="1" t="s">
        <v>2160</v>
      </c>
      <c r="E290" s="1" t="s">
        <v>2161</v>
      </c>
      <c r="F290" s="1" t="s">
        <v>112</v>
      </c>
      <c r="G290" s="1">
        <v>1104206</v>
      </c>
    </row>
    <row r="291" spans="1:8" x14ac:dyDescent="0.35">
      <c r="A291" s="1" t="str">
        <f t="shared" si="4"/>
        <v/>
      </c>
      <c r="B29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291" s="1" t="s">
        <v>112</v>
      </c>
    </row>
    <row r="292" spans="1:8" x14ac:dyDescent="0.35">
      <c r="A292" s="1" t="str">
        <f t="shared" si="4"/>
        <v/>
      </c>
      <c r="B29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292" s="1" t="s">
        <v>226</v>
      </c>
      <c r="D292" s="1" t="s">
        <v>112</v>
      </c>
      <c r="E292" s="1" t="s">
        <v>227</v>
      </c>
      <c r="F292" s="1" t="s">
        <v>228</v>
      </c>
      <c r="G292" s="1" t="s">
        <v>229</v>
      </c>
      <c r="H292" s="1" t="s">
        <v>230</v>
      </c>
    </row>
    <row r="293" spans="1:8" x14ac:dyDescent="0.35">
      <c r="A293" s="1" t="str">
        <f t="shared" si="4"/>
        <v>5</v>
      </c>
      <c r="B29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 xml:space="preserve"> </v>
      </c>
      <c r="C293" s="1" t="s">
        <v>2162</v>
      </c>
      <c r="D293" s="1" t="s">
        <v>112</v>
      </c>
      <c r="E293" s="1" t="s">
        <v>2163</v>
      </c>
      <c r="F293" s="1" t="s">
        <v>2164</v>
      </c>
      <c r="G293" s="1" t="s">
        <v>2165</v>
      </c>
      <c r="H293" s="1" t="s">
        <v>2166</v>
      </c>
    </row>
    <row r="294" spans="1:8" x14ac:dyDescent="0.35">
      <c r="A294" s="1" t="str">
        <f t="shared" si="4"/>
        <v/>
      </c>
      <c r="B29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294" s="1" t="s">
        <v>112</v>
      </c>
    </row>
    <row r="295" spans="1:8" x14ac:dyDescent="0.35">
      <c r="A295" s="1" t="str">
        <f t="shared" si="4"/>
        <v/>
      </c>
      <c r="B29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295" s="1" t="s">
        <v>112</v>
      </c>
    </row>
    <row r="296" spans="1:8" x14ac:dyDescent="0.35">
      <c r="A296" s="1" t="str">
        <f t="shared" si="4"/>
        <v/>
      </c>
      <c r="B29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296" s="1" t="s">
        <v>112</v>
      </c>
    </row>
    <row r="297" spans="1:8" x14ac:dyDescent="0.35">
      <c r="A297" s="1" t="str">
        <f t="shared" si="4"/>
        <v/>
      </c>
      <c r="B29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297" s="1" t="s">
        <v>112</v>
      </c>
    </row>
    <row r="298" spans="1:8" x14ac:dyDescent="0.35">
      <c r="A298" s="1" t="str">
        <f t="shared" si="4"/>
        <v/>
      </c>
      <c r="B29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298" s="1" t="s">
        <v>112</v>
      </c>
    </row>
    <row r="299" spans="1:8" x14ac:dyDescent="0.35">
      <c r="A299" s="1" t="str">
        <f t="shared" si="4"/>
        <v/>
      </c>
      <c r="B29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299" s="1" t="s">
        <v>172</v>
      </c>
      <c r="D299" s="1" t="s">
        <v>110</v>
      </c>
      <c r="E299" s="1" t="s">
        <v>111</v>
      </c>
      <c r="F299" s="1" t="s">
        <v>112</v>
      </c>
      <c r="G299" s="1" t="s">
        <v>113</v>
      </c>
    </row>
    <row r="300" spans="1:8" x14ac:dyDescent="0.35">
      <c r="A300" s="1" t="str">
        <f t="shared" si="4"/>
        <v>6</v>
      </c>
      <c r="B300"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300" s="1" t="s">
        <v>2167</v>
      </c>
    </row>
    <row r="301" spans="1:8" x14ac:dyDescent="0.35">
      <c r="A301" s="1" t="str">
        <f t="shared" si="4"/>
        <v>6</v>
      </c>
      <c r="B301"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301" s="1" t="s">
        <v>2168</v>
      </c>
    </row>
    <row r="302" spans="1:8" x14ac:dyDescent="0.35">
      <c r="A302" s="1" t="str">
        <f t="shared" si="4"/>
        <v>6</v>
      </c>
      <c r="B30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302" s="1" t="s">
        <v>2169</v>
      </c>
    </row>
    <row r="303" spans="1:8" x14ac:dyDescent="0.35">
      <c r="A303" s="1" t="str">
        <f t="shared" si="4"/>
        <v>6</v>
      </c>
      <c r="B30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303" s="1" t="s">
        <v>2170</v>
      </c>
      <c r="D303" s="1" t="s">
        <v>2171</v>
      </c>
      <c r="E303" s="1" t="s">
        <v>2172</v>
      </c>
      <c r="F303" s="1" t="s">
        <v>112</v>
      </c>
      <c r="G303" s="1">
        <v>2189291</v>
      </c>
    </row>
    <row r="304" spans="1:8" x14ac:dyDescent="0.35">
      <c r="A304" s="1" t="str">
        <f t="shared" si="4"/>
        <v>6</v>
      </c>
      <c r="B30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304" s="1" t="s">
        <v>2173</v>
      </c>
      <c r="D304" s="1" t="s">
        <v>2174</v>
      </c>
      <c r="E304" s="1" t="s">
        <v>2175</v>
      </c>
      <c r="F304" s="1" t="s">
        <v>112</v>
      </c>
      <c r="G304" s="1">
        <v>2178065</v>
      </c>
    </row>
    <row r="305" spans="1:7" x14ac:dyDescent="0.35">
      <c r="A305" s="1" t="str">
        <f t="shared" si="4"/>
        <v>6</v>
      </c>
      <c r="B30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305" s="1" t="s">
        <v>2176</v>
      </c>
      <c r="D305" s="1" t="s">
        <v>2177</v>
      </c>
      <c r="E305" s="1" t="s">
        <v>2178</v>
      </c>
      <c r="F305" s="1" t="s">
        <v>112</v>
      </c>
      <c r="G305" s="1">
        <v>2022006</v>
      </c>
    </row>
    <row r="306" spans="1:7" x14ac:dyDescent="0.35">
      <c r="A306" s="1" t="str">
        <f t="shared" si="4"/>
        <v>6</v>
      </c>
      <c r="B306"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306" s="1" t="s">
        <v>2179</v>
      </c>
      <c r="D306" s="1" t="s">
        <v>2180</v>
      </c>
      <c r="E306" s="1" t="s">
        <v>2181</v>
      </c>
      <c r="F306" s="1" t="s">
        <v>112</v>
      </c>
      <c r="G306" s="1">
        <v>2942466</v>
      </c>
    </row>
    <row r="307" spans="1:7" x14ac:dyDescent="0.35">
      <c r="A307" s="1" t="str">
        <f t="shared" si="4"/>
        <v>6</v>
      </c>
      <c r="B307"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307" s="1" t="s">
        <v>2182</v>
      </c>
      <c r="D307" s="1" t="s">
        <v>2183</v>
      </c>
      <c r="E307" s="1" t="s">
        <v>2184</v>
      </c>
      <c r="F307" s="1" t="s">
        <v>112</v>
      </c>
      <c r="G307" s="1">
        <v>2095547</v>
      </c>
    </row>
    <row r="308" spans="1:7" x14ac:dyDescent="0.35">
      <c r="A308" s="1" t="str">
        <f t="shared" si="4"/>
        <v>6</v>
      </c>
      <c r="B30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308" s="1" t="s">
        <v>2185</v>
      </c>
      <c r="D308" s="1" t="s">
        <v>2186</v>
      </c>
      <c r="E308" s="1" t="s">
        <v>2187</v>
      </c>
      <c r="F308" s="1" t="s">
        <v>112</v>
      </c>
      <c r="G308" s="1">
        <v>2772736</v>
      </c>
    </row>
    <row r="309" spans="1:7" x14ac:dyDescent="0.35">
      <c r="A309" s="1" t="str">
        <f t="shared" si="4"/>
        <v>6</v>
      </c>
      <c r="B309"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309" s="1" t="s">
        <v>2188</v>
      </c>
      <c r="D309" s="1" t="s">
        <v>2189</v>
      </c>
      <c r="E309" s="1" t="s">
        <v>2190</v>
      </c>
      <c r="F309" s="1" t="s">
        <v>112</v>
      </c>
      <c r="G309" s="1">
        <v>1920021</v>
      </c>
    </row>
    <row r="310" spans="1:7" x14ac:dyDescent="0.35">
      <c r="A310" s="1" t="str">
        <f t="shared" si="4"/>
        <v>6</v>
      </c>
      <c r="B310"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310" s="1" t="s">
        <v>2191</v>
      </c>
      <c r="D310" s="1" t="s">
        <v>2192</v>
      </c>
      <c r="E310" s="1" t="s">
        <v>2193</v>
      </c>
      <c r="F310" s="1" t="s">
        <v>112</v>
      </c>
      <c r="G310" s="1">
        <v>1574678</v>
      </c>
    </row>
    <row r="311" spans="1:7" x14ac:dyDescent="0.35">
      <c r="A311" s="1" t="str">
        <f t="shared" si="4"/>
        <v>6</v>
      </c>
      <c r="B311"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311" s="1" t="s">
        <v>2194</v>
      </c>
      <c r="D311" s="1" t="s">
        <v>2195</v>
      </c>
      <c r="E311" s="1" t="s">
        <v>2196</v>
      </c>
      <c r="F311" s="1" t="s">
        <v>112</v>
      </c>
      <c r="G311" s="1">
        <v>1533343</v>
      </c>
    </row>
    <row r="312" spans="1:7" x14ac:dyDescent="0.35">
      <c r="A312" s="1" t="str">
        <f t="shared" si="4"/>
        <v>6</v>
      </c>
      <c r="B31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312" s="1" t="s">
        <v>2197</v>
      </c>
      <c r="D312" s="1" t="s">
        <v>2198</v>
      </c>
      <c r="E312" s="1" t="s">
        <v>2199</v>
      </c>
      <c r="F312" s="1" t="s">
        <v>112</v>
      </c>
      <c r="G312" s="1">
        <v>2220374</v>
      </c>
    </row>
    <row r="313" spans="1:7" x14ac:dyDescent="0.35">
      <c r="A313" s="1" t="str">
        <f t="shared" si="4"/>
        <v>6</v>
      </c>
      <c r="B31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313" s="1" t="s">
        <v>2200</v>
      </c>
      <c r="D313" s="1" t="s">
        <v>2201</v>
      </c>
      <c r="E313" s="1" t="s">
        <v>2202</v>
      </c>
      <c r="F313" s="1" t="s">
        <v>112</v>
      </c>
      <c r="G313" s="1">
        <v>2797135</v>
      </c>
    </row>
    <row r="314" spans="1:7" x14ac:dyDescent="0.35">
      <c r="A314" s="1" t="str">
        <f t="shared" si="4"/>
        <v>6</v>
      </c>
      <c r="B31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314" s="1" t="s">
        <v>2203</v>
      </c>
      <c r="D314" s="1" t="s">
        <v>2204</v>
      </c>
      <c r="E314" s="1" t="s">
        <v>2205</v>
      </c>
      <c r="F314" s="1" t="s">
        <v>112</v>
      </c>
      <c r="G314" s="1">
        <v>2805095</v>
      </c>
    </row>
    <row r="315" spans="1:7" x14ac:dyDescent="0.35">
      <c r="A315" s="1" t="str">
        <f t="shared" si="4"/>
        <v>6</v>
      </c>
      <c r="B31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315" s="1" t="s">
        <v>2206</v>
      </c>
      <c r="D315" s="1" t="s">
        <v>2207</v>
      </c>
      <c r="E315" s="1" t="s">
        <v>2208</v>
      </c>
      <c r="F315" s="1" t="s">
        <v>112</v>
      </c>
      <c r="G315" s="1">
        <v>1963324</v>
      </c>
    </row>
    <row r="316" spans="1:7" x14ac:dyDescent="0.35">
      <c r="A316" s="1" t="str">
        <f t="shared" si="4"/>
        <v>6</v>
      </c>
      <c r="B316"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316" s="1" t="s">
        <v>2209</v>
      </c>
    </row>
    <row r="317" spans="1:7" x14ac:dyDescent="0.35">
      <c r="A317" s="1" t="str">
        <f t="shared" si="4"/>
        <v>6</v>
      </c>
      <c r="B317"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317" s="1" t="s">
        <v>2210</v>
      </c>
    </row>
    <row r="318" spans="1:7" x14ac:dyDescent="0.35">
      <c r="A318" s="1" t="str">
        <f t="shared" si="4"/>
        <v>6</v>
      </c>
      <c r="B31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318" s="1" t="s">
        <v>2211</v>
      </c>
      <c r="D318" s="1" t="s">
        <v>308</v>
      </c>
      <c r="E318" s="1" t="s">
        <v>2212</v>
      </c>
      <c r="F318" s="1" t="s">
        <v>112</v>
      </c>
      <c r="G318" s="1">
        <v>2353203</v>
      </c>
    </row>
    <row r="319" spans="1:7" x14ac:dyDescent="0.35">
      <c r="A319" s="1" t="str">
        <f t="shared" si="4"/>
        <v>6</v>
      </c>
      <c r="B319"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319" s="1" t="s">
        <v>2213</v>
      </c>
      <c r="D319" s="1" t="s">
        <v>2214</v>
      </c>
      <c r="E319" s="1" t="s">
        <v>2215</v>
      </c>
      <c r="F319" s="1" t="s">
        <v>112</v>
      </c>
      <c r="G319" s="1">
        <v>2603590</v>
      </c>
    </row>
    <row r="320" spans="1:7" x14ac:dyDescent="0.35">
      <c r="A320" s="1" t="str">
        <f t="shared" si="4"/>
        <v>6</v>
      </c>
      <c r="B320"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320" s="1" t="s">
        <v>2216</v>
      </c>
      <c r="D320" s="1" t="s">
        <v>2217</v>
      </c>
      <c r="E320" s="1" t="s">
        <v>2218</v>
      </c>
      <c r="F320" s="1" t="s">
        <v>112</v>
      </c>
      <c r="G320" s="1">
        <v>2928580</v>
      </c>
    </row>
    <row r="321" spans="1:8" x14ac:dyDescent="0.35">
      <c r="A321" s="1" t="str">
        <f t="shared" si="4"/>
        <v>6</v>
      </c>
      <c r="B321"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321" s="1" t="s">
        <v>2219</v>
      </c>
      <c r="D321" s="1" t="s">
        <v>2220</v>
      </c>
      <c r="E321" s="1" t="s">
        <v>2221</v>
      </c>
      <c r="F321" s="1" t="s">
        <v>112</v>
      </c>
      <c r="G321" s="1">
        <v>3378979</v>
      </c>
    </row>
    <row r="322" spans="1:8" x14ac:dyDescent="0.35">
      <c r="A322" s="1" t="str">
        <f t="shared" ref="A322:A385" si="5">IFERROR(LEFT(RIGHT(C322,LEN(C322)-SEARCH("@",C322)),SEARCH("/",RIGHT(C322,LEN(C322)-SEARCH("@",C322)-1))),"")</f>
        <v>6</v>
      </c>
      <c r="B32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322" s="1" t="s">
        <v>2222</v>
      </c>
      <c r="D322" s="1" t="s">
        <v>2223</v>
      </c>
      <c r="E322" s="1" t="s">
        <v>2224</v>
      </c>
      <c r="F322" s="1" t="s">
        <v>112</v>
      </c>
      <c r="G322" s="1">
        <v>3688568</v>
      </c>
    </row>
    <row r="323" spans="1:8" x14ac:dyDescent="0.35">
      <c r="A323" s="1" t="str">
        <f t="shared" si="5"/>
        <v>6</v>
      </c>
      <c r="B32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323" s="1" t="s">
        <v>2225</v>
      </c>
      <c r="D323" s="1" t="s">
        <v>2226</v>
      </c>
      <c r="E323" s="1" t="s">
        <v>2227</v>
      </c>
      <c r="F323" s="1" t="s">
        <v>112</v>
      </c>
      <c r="G323" s="1">
        <v>3428749</v>
      </c>
    </row>
    <row r="324" spans="1:8" x14ac:dyDescent="0.35">
      <c r="A324" s="1" t="str">
        <f t="shared" si="5"/>
        <v/>
      </c>
      <c r="B32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324" s="1" t="s">
        <v>112</v>
      </c>
    </row>
    <row r="325" spans="1:8" x14ac:dyDescent="0.35">
      <c r="A325" s="1" t="str">
        <f t="shared" si="5"/>
        <v/>
      </c>
      <c r="B32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325" s="1" t="s">
        <v>226</v>
      </c>
      <c r="D325" s="1" t="s">
        <v>112</v>
      </c>
      <c r="E325" s="1" t="s">
        <v>227</v>
      </c>
      <c r="F325" s="1" t="s">
        <v>228</v>
      </c>
      <c r="G325" s="1" t="s">
        <v>229</v>
      </c>
      <c r="H325" s="1" t="s">
        <v>230</v>
      </c>
    </row>
    <row r="326" spans="1:8" x14ac:dyDescent="0.35">
      <c r="A326" s="1" t="str">
        <f t="shared" si="5"/>
        <v>6</v>
      </c>
      <c r="B326"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 xml:space="preserve"> </v>
      </c>
      <c r="C326" s="1" t="s">
        <v>2228</v>
      </c>
      <c r="D326" s="1" t="s">
        <v>112</v>
      </c>
      <c r="E326" s="1" t="s">
        <v>2229</v>
      </c>
      <c r="F326" s="1" t="s">
        <v>2230</v>
      </c>
      <c r="G326" s="1" t="s">
        <v>2231</v>
      </c>
      <c r="H326" s="1" t="s">
        <v>2232</v>
      </c>
    </row>
    <row r="327" spans="1:8" x14ac:dyDescent="0.35">
      <c r="A327" s="1" t="str">
        <f t="shared" si="5"/>
        <v/>
      </c>
      <c r="B32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327" s="1" t="s">
        <v>112</v>
      </c>
    </row>
    <row r="328" spans="1:8" x14ac:dyDescent="0.35">
      <c r="A328" s="1" t="str">
        <f t="shared" si="5"/>
        <v/>
      </c>
      <c r="B32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328" s="1" t="s">
        <v>112</v>
      </c>
    </row>
    <row r="329" spans="1:8" x14ac:dyDescent="0.35">
      <c r="A329" s="1" t="str">
        <f t="shared" si="5"/>
        <v/>
      </c>
      <c r="B32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329" s="1" t="s">
        <v>112</v>
      </c>
    </row>
    <row r="330" spans="1:8" x14ac:dyDescent="0.35">
      <c r="A330" s="1" t="str">
        <f t="shared" si="5"/>
        <v/>
      </c>
      <c r="B33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330" s="1" t="s">
        <v>112</v>
      </c>
    </row>
    <row r="331" spans="1:8" x14ac:dyDescent="0.35">
      <c r="A331" s="1" t="str">
        <f t="shared" si="5"/>
        <v/>
      </c>
      <c r="B33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331" s="1" t="s">
        <v>112</v>
      </c>
    </row>
    <row r="332" spans="1:8" x14ac:dyDescent="0.35">
      <c r="A332" s="1" t="str">
        <f t="shared" si="5"/>
        <v/>
      </c>
      <c r="B33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332" s="1" t="s">
        <v>172</v>
      </c>
      <c r="D332" s="1" t="s">
        <v>110</v>
      </c>
      <c r="E332" s="1" t="s">
        <v>111</v>
      </c>
      <c r="F332" s="1" t="s">
        <v>112</v>
      </c>
      <c r="G332" s="1" t="s">
        <v>113</v>
      </c>
    </row>
    <row r="333" spans="1:8" x14ac:dyDescent="0.35">
      <c r="A333" s="1" t="str">
        <f t="shared" si="5"/>
        <v>7</v>
      </c>
      <c r="B33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333" s="1" t="s">
        <v>2233</v>
      </c>
      <c r="D333" s="1" t="s">
        <v>1822</v>
      </c>
      <c r="E333" s="1" t="s">
        <v>2234</v>
      </c>
      <c r="F333" s="1" t="s">
        <v>112</v>
      </c>
      <c r="G333" s="1">
        <v>3340067</v>
      </c>
    </row>
    <row r="334" spans="1:8" x14ac:dyDescent="0.35">
      <c r="A334" s="1" t="str">
        <f t="shared" si="5"/>
        <v>7</v>
      </c>
      <c r="B33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334" s="1" t="s">
        <v>2235</v>
      </c>
      <c r="D334" s="1" t="s">
        <v>2236</v>
      </c>
      <c r="E334" s="1" t="s">
        <v>2237</v>
      </c>
      <c r="F334" s="1" t="s">
        <v>112</v>
      </c>
      <c r="G334" s="1">
        <v>3661314</v>
      </c>
    </row>
    <row r="335" spans="1:8" x14ac:dyDescent="0.35">
      <c r="A335" s="1" t="str">
        <f t="shared" si="5"/>
        <v>7</v>
      </c>
      <c r="B33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335" s="1" t="s">
        <v>2238</v>
      </c>
      <c r="D335" s="1" t="s">
        <v>2239</v>
      </c>
      <c r="E335" s="1" t="s">
        <v>2240</v>
      </c>
      <c r="F335" s="1" t="s">
        <v>112</v>
      </c>
      <c r="G335" s="1">
        <v>3314132</v>
      </c>
    </row>
    <row r="336" spans="1:8" x14ac:dyDescent="0.35">
      <c r="A336" s="1" t="str">
        <f t="shared" si="5"/>
        <v>7</v>
      </c>
      <c r="B336"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336" s="1" t="s">
        <v>2241</v>
      </c>
      <c r="D336" s="1" t="s">
        <v>2242</v>
      </c>
      <c r="E336" s="1" t="s">
        <v>2243</v>
      </c>
      <c r="F336" s="1" t="s">
        <v>112</v>
      </c>
      <c r="G336" s="1">
        <v>3214094</v>
      </c>
    </row>
    <row r="337" spans="1:7" x14ac:dyDescent="0.35">
      <c r="A337" s="1" t="str">
        <f t="shared" si="5"/>
        <v>7</v>
      </c>
      <c r="B337"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337" s="1" t="s">
        <v>2244</v>
      </c>
      <c r="D337" s="1" t="s">
        <v>2245</v>
      </c>
      <c r="E337" s="1" t="s">
        <v>2246</v>
      </c>
      <c r="F337" s="1" t="s">
        <v>112</v>
      </c>
      <c r="G337" s="1">
        <v>3913410</v>
      </c>
    </row>
    <row r="338" spans="1:7" x14ac:dyDescent="0.35">
      <c r="A338" s="1" t="str">
        <f t="shared" si="5"/>
        <v>7</v>
      </c>
      <c r="B33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338" s="1" t="s">
        <v>2247</v>
      </c>
      <c r="D338" s="1" t="s">
        <v>882</v>
      </c>
      <c r="E338" s="1" t="s">
        <v>2248</v>
      </c>
      <c r="F338" s="1" t="s">
        <v>112</v>
      </c>
      <c r="G338" s="1">
        <v>3350882</v>
      </c>
    </row>
    <row r="339" spans="1:7" x14ac:dyDescent="0.35">
      <c r="A339" s="1" t="str">
        <f t="shared" si="5"/>
        <v>7</v>
      </c>
      <c r="B339"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339" s="1" t="s">
        <v>2249</v>
      </c>
    </row>
    <row r="340" spans="1:7" x14ac:dyDescent="0.35">
      <c r="A340" s="1" t="str">
        <f t="shared" si="5"/>
        <v>7</v>
      </c>
      <c r="B340"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340" s="1" t="s">
        <v>2250</v>
      </c>
    </row>
    <row r="341" spans="1:7" x14ac:dyDescent="0.35">
      <c r="A341" s="1" t="str">
        <f t="shared" si="5"/>
        <v>7</v>
      </c>
      <c r="B341"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341" s="1" t="s">
        <v>2251</v>
      </c>
    </row>
    <row r="342" spans="1:7" x14ac:dyDescent="0.35">
      <c r="A342" s="1" t="str">
        <f t="shared" si="5"/>
        <v>7</v>
      </c>
      <c r="B34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342" s="1" t="s">
        <v>2252</v>
      </c>
      <c r="D342" s="1" t="s">
        <v>2253</v>
      </c>
      <c r="E342" s="1" t="s">
        <v>2254</v>
      </c>
      <c r="F342" s="1" t="s">
        <v>112</v>
      </c>
      <c r="G342" s="1">
        <v>5785391</v>
      </c>
    </row>
    <row r="343" spans="1:7" x14ac:dyDescent="0.35">
      <c r="A343" s="1" t="str">
        <f t="shared" si="5"/>
        <v>7</v>
      </c>
      <c r="B34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343" s="1" t="s">
        <v>2255</v>
      </c>
      <c r="D343" s="1" t="s">
        <v>2256</v>
      </c>
      <c r="E343" s="1" t="s">
        <v>2257</v>
      </c>
      <c r="F343" s="1" t="s">
        <v>112</v>
      </c>
      <c r="G343" s="1">
        <v>4976736</v>
      </c>
    </row>
    <row r="344" spans="1:7" x14ac:dyDescent="0.35">
      <c r="A344" s="1" t="str">
        <f t="shared" si="5"/>
        <v>7</v>
      </c>
      <c r="B34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344" s="1" t="s">
        <v>2258</v>
      </c>
      <c r="D344" s="1" t="s">
        <v>2259</v>
      </c>
      <c r="E344" s="1" t="s">
        <v>2260</v>
      </c>
      <c r="F344" s="1" t="s">
        <v>112</v>
      </c>
      <c r="G344" s="1">
        <v>5122067</v>
      </c>
    </row>
    <row r="345" spans="1:7" x14ac:dyDescent="0.35">
      <c r="A345" s="1" t="str">
        <f t="shared" si="5"/>
        <v>7</v>
      </c>
      <c r="B34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345" s="1" t="s">
        <v>2261</v>
      </c>
      <c r="D345" s="1" t="s">
        <v>2262</v>
      </c>
      <c r="E345" s="1" t="s">
        <v>2263</v>
      </c>
      <c r="F345" s="1" t="s">
        <v>112</v>
      </c>
      <c r="G345" s="1">
        <v>3681322</v>
      </c>
    </row>
    <row r="346" spans="1:7" x14ac:dyDescent="0.35">
      <c r="A346" s="1" t="str">
        <f t="shared" si="5"/>
        <v>7</v>
      </c>
      <c r="B346"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346" s="1" t="s">
        <v>2264</v>
      </c>
    </row>
    <row r="347" spans="1:7" x14ac:dyDescent="0.35">
      <c r="A347" s="1" t="str">
        <f t="shared" si="5"/>
        <v>7</v>
      </c>
      <c r="B347"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347" s="1" t="s">
        <v>2265</v>
      </c>
    </row>
    <row r="348" spans="1:7" x14ac:dyDescent="0.35">
      <c r="A348" s="1" t="str">
        <f t="shared" si="5"/>
        <v>7</v>
      </c>
      <c r="B34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348" s="1" t="s">
        <v>2266</v>
      </c>
      <c r="D348" s="1" t="s">
        <v>2267</v>
      </c>
      <c r="E348" s="1" t="s">
        <v>2268</v>
      </c>
      <c r="F348" s="1" t="s">
        <v>112</v>
      </c>
      <c r="G348" s="1">
        <v>5179776</v>
      </c>
    </row>
    <row r="349" spans="1:7" x14ac:dyDescent="0.35">
      <c r="A349" s="1" t="str">
        <f t="shared" si="5"/>
        <v>7</v>
      </c>
      <c r="B349"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349" s="1" t="s">
        <v>2269</v>
      </c>
      <c r="D349" s="1" t="s">
        <v>2270</v>
      </c>
      <c r="E349" s="1" t="s">
        <v>2271</v>
      </c>
      <c r="F349" s="1" t="s">
        <v>112</v>
      </c>
      <c r="G349" s="1">
        <v>4840273</v>
      </c>
    </row>
    <row r="350" spans="1:7" x14ac:dyDescent="0.35">
      <c r="A350" s="1" t="str">
        <f t="shared" si="5"/>
        <v>7</v>
      </c>
      <c r="B350"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350" s="1" t="s">
        <v>2272</v>
      </c>
      <c r="D350" s="1" t="s">
        <v>2273</v>
      </c>
      <c r="E350" s="1" t="s">
        <v>2274</v>
      </c>
      <c r="F350" s="1" t="s">
        <v>112</v>
      </c>
      <c r="G350" s="1">
        <v>5539935</v>
      </c>
    </row>
    <row r="351" spans="1:7" x14ac:dyDescent="0.35">
      <c r="A351" s="1" t="str">
        <f t="shared" si="5"/>
        <v>7</v>
      </c>
      <c r="B351"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351" s="1" t="s">
        <v>2275</v>
      </c>
      <c r="D351" s="1" t="s">
        <v>2276</v>
      </c>
      <c r="E351" s="1" t="s">
        <v>2277</v>
      </c>
      <c r="F351" s="1" t="s">
        <v>112</v>
      </c>
      <c r="G351" s="1">
        <v>4431598</v>
      </c>
    </row>
    <row r="352" spans="1:7" x14ac:dyDescent="0.35">
      <c r="A352" s="1" t="str">
        <f t="shared" si="5"/>
        <v>7</v>
      </c>
      <c r="B35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352" s="1" t="s">
        <v>2278</v>
      </c>
      <c r="D352" s="1" t="s">
        <v>2279</v>
      </c>
      <c r="E352" s="1" t="s">
        <v>2280</v>
      </c>
      <c r="F352" s="1" t="s">
        <v>112</v>
      </c>
      <c r="G352" s="1">
        <v>4493784</v>
      </c>
    </row>
    <row r="353" spans="1:8" x14ac:dyDescent="0.35">
      <c r="A353" s="1" t="str">
        <f t="shared" si="5"/>
        <v>7</v>
      </c>
      <c r="B35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353" s="1" t="s">
        <v>2281</v>
      </c>
      <c r="D353" s="1" t="s">
        <v>2282</v>
      </c>
      <c r="E353" s="1" t="s">
        <v>2283</v>
      </c>
      <c r="F353" s="1" t="s">
        <v>112</v>
      </c>
      <c r="G353" s="1">
        <v>5242935</v>
      </c>
    </row>
    <row r="354" spans="1:8" x14ac:dyDescent="0.35">
      <c r="A354" s="1" t="str">
        <f t="shared" si="5"/>
        <v>7</v>
      </c>
      <c r="B35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354" s="1" t="s">
        <v>2284</v>
      </c>
      <c r="D354" s="1" t="s">
        <v>2285</v>
      </c>
      <c r="E354" s="1" t="s">
        <v>2286</v>
      </c>
      <c r="F354" s="1" t="s">
        <v>112</v>
      </c>
      <c r="G354" s="1">
        <v>4753018</v>
      </c>
    </row>
    <row r="355" spans="1:8" x14ac:dyDescent="0.35">
      <c r="A355" s="1" t="str">
        <f t="shared" si="5"/>
        <v>7</v>
      </c>
      <c r="B35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355" s="1" t="s">
        <v>2287</v>
      </c>
      <c r="D355" s="1" t="s">
        <v>2288</v>
      </c>
      <c r="E355" s="1" t="s">
        <v>2289</v>
      </c>
      <c r="F355" s="1" t="s">
        <v>112</v>
      </c>
      <c r="G355" s="1">
        <v>4875119</v>
      </c>
    </row>
    <row r="356" spans="1:8" x14ac:dyDescent="0.35">
      <c r="A356" s="1" t="str">
        <f t="shared" si="5"/>
        <v>7</v>
      </c>
      <c r="B356"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356" s="1" t="s">
        <v>2290</v>
      </c>
      <c r="D356" s="1" t="s">
        <v>2291</v>
      </c>
      <c r="E356" s="1" t="s">
        <v>2292</v>
      </c>
      <c r="F356" s="1" t="s">
        <v>112</v>
      </c>
      <c r="G356" s="1">
        <v>4889935</v>
      </c>
    </row>
    <row r="357" spans="1:8" x14ac:dyDescent="0.35">
      <c r="A357" s="1" t="str">
        <f t="shared" si="5"/>
        <v/>
      </c>
      <c r="B35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357" s="1" t="s">
        <v>112</v>
      </c>
    </row>
    <row r="358" spans="1:8" x14ac:dyDescent="0.35">
      <c r="A358" s="1" t="str">
        <f t="shared" si="5"/>
        <v/>
      </c>
      <c r="B35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358" s="1" t="s">
        <v>226</v>
      </c>
      <c r="D358" s="1" t="s">
        <v>112</v>
      </c>
      <c r="E358" s="1" t="s">
        <v>227</v>
      </c>
      <c r="F358" s="1" t="s">
        <v>228</v>
      </c>
      <c r="G358" s="1" t="s">
        <v>229</v>
      </c>
      <c r="H358" s="1" t="s">
        <v>230</v>
      </c>
    </row>
    <row r="359" spans="1:8" x14ac:dyDescent="0.35">
      <c r="A359" s="1" t="str">
        <f t="shared" si="5"/>
        <v>7</v>
      </c>
      <c r="B359"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 xml:space="preserve"> </v>
      </c>
      <c r="C359" s="1" t="s">
        <v>2293</v>
      </c>
      <c r="D359" s="1" t="s">
        <v>112</v>
      </c>
      <c r="E359" s="1" t="s">
        <v>2294</v>
      </c>
      <c r="F359" s="1" t="s">
        <v>2295</v>
      </c>
      <c r="G359" s="1" t="s">
        <v>2296</v>
      </c>
      <c r="H359" s="1" t="s">
        <v>2297</v>
      </c>
    </row>
    <row r="360" spans="1:8" x14ac:dyDescent="0.35">
      <c r="A360" s="1" t="str">
        <f t="shared" si="5"/>
        <v/>
      </c>
      <c r="B36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360" s="1" t="s">
        <v>112</v>
      </c>
    </row>
    <row r="361" spans="1:8" x14ac:dyDescent="0.35">
      <c r="A361" s="1" t="str">
        <f t="shared" si="5"/>
        <v/>
      </c>
      <c r="B36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361" s="1" t="s">
        <v>112</v>
      </c>
    </row>
    <row r="362" spans="1:8" x14ac:dyDescent="0.35">
      <c r="A362" s="1" t="str">
        <f t="shared" si="5"/>
        <v/>
      </c>
      <c r="B36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362" s="1" t="s">
        <v>112</v>
      </c>
    </row>
    <row r="363" spans="1:8" x14ac:dyDescent="0.35">
      <c r="A363" s="1" t="str">
        <f t="shared" si="5"/>
        <v/>
      </c>
      <c r="B36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363" s="1" t="s">
        <v>112</v>
      </c>
    </row>
    <row r="364" spans="1:8" x14ac:dyDescent="0.35">
      <c r="A364" s="1" t="str">
        <f t="shared" si="5"/>
        <v/>
      </c>
      <c r="B36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364" s="1" t="s">
        <v>112</v>
      </c>
    </row>
    <row r="365" spans="1:8" x14ac:dyDescent="0.35">
      <c r="A365" s="1" t="str">
        <f t="shared" si="5"/>
        <v/>
      </c>
      <c r="B36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365" s="1" t="s">
        <v>172</v>
      </c>
      <c r="D365" s="1" t="s">
        <v>110</v>
      </c>
      <c r="E365" s="1" t="s">
        <v>111</v>
      </c>
      <c r="F365" s="1" t="s">
        <v>112</v>
      </c>
      <c r="G365" s="1" t="s">
        <v>113</v>
      </c>
    </row>
    <row r="366" spans="1:8" x14ac:dyDescent="0.35">
      <c r="A366" s="1" t="str">
        <f t="shared" si="5"/>
        <v>10</v>
      </c>
      <c r="B366"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366" s="1" t="s">
        <v>2298</v>
      </c>
    </row>
    <row r="367" spans="1:8" x14ac:dyDescent="0.35">
      <c r="A367" s="1" t="str">
        <f t="shared" si="5"/>
        <v>10</v>
      </c>
      <c r="B367"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367" s="1" t="s">
        <v>2299</v>
      </c>
    </row>
    <row r="368" spans="1:8" x14ac:dyDescent="0.35">
      <c r="A368" s="1" t="str">
        <f t="shared" si="5"/>
        <v>10</v>
      </c>
      <c r="B36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368" s="1" t="s">
        <v>2300</v>
      </c>
    </row>
    <row r="369" spans="1:7" x14ac:dyDescent="0.35">
      <c r="A369" s="1" t="str">
        <f t="shared" si="5"/>
        <v>10</v>
      </c>
      <c r="B369"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369" s="1" t="s">
        <v>2301</v>
      </c>
      <c r="D369" s="1" t="s">
        <v>2302</v>
      </c>
      <c r="E369" s="1" t="s">
        <v>2303</v>
      </c>
      <c r="F369" s="1" t="s">
        <v>112</v>
      </c>
      <c r="G369" s="1">
        <v>61732</v>
      </c>
    </row>
    <row r="370" spans="1:7" x14ac:dyDescent="0.35">
      <c r="A370" s="1" t="str">
        <f t="shared" si="5"/>
        <v>10</v>
      </c>
      <c r="B370"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370" s="1" t="s">
        <v>2304</v>
      </c>
      <c r="D370" s="1" t="s">
        <v>1451</v>
      </c>
      <c r="E370" s="1">
        <v>31</v>
      </c>
      <c r="F370" s="1" t="s">
        <v>112</v>
      </c>
      <c r="G370" s="1">
        <v>3353</v>
      </c>
    </row>
    <row r="371" spans="1:7" x14ac:dyDescent="0.35">
      <c r="A371" s="1" t="str">
        <f t="shared" si="5"/>
        <v>10</v>
      </c>
      <c r="B371"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371" s="1" t="s">
        <v>2305</v>
      </c>
      <c r="D371" s="1" t="s">
        <v>1951</v>
      </c>
      <c r="E371" s="1" t="s">
        <v>2306</v>
      </c>
      <c r="F371" s="1" t="s">
        <v>112</v>
      </c>
      <c r="G371" s="1">
        <v>131488</v>
      </c>
    </row>
    <row r="372" spans="1:7" x14ac:dyDescent="0.35">
      <c r="A372" s="1" t="str">
        <f t="shared" si="5"/>
        <v>10</v>
      </c>
      <c r="B37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372" s="1" t="s">
        <v>2307</v>
      </c>
      <c r="D372" s="1" t="s">
        <v>1331</v>
      </c>
      <c r="E372" s="1" t="s">
        <v>2308</v>
      </c>
      <c r="F372" s="1" t="s">
        <v>112</v>
      </c>
      <c r="G372" s="1">
        <v>287461</v>
      </c>
    </row>
    <row r="373" spans="1:7" x14ac:dyDescent="0.35">
      <c r="A373" s="1" t="str">
        <f t="shared" si="5"/>
        <v>10</v>
      </c>
      <c r="B37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373" s="1" t="s">
        <v>2309</v>
      </c>
      <c r="D373" s="1" t="s">
        <v>590</v>
      </c>
      <c r="E373" s="1" t="s">
        <v>2310</v>
      </c>
      <c r="F373" s="1" t="s">
        <v>112</v>
      </c>
      <c r="G373" s="1">
        <v>151690</v>
      </c>
    </row>
    <row r="374" spans="1:7" x14ac:dyDescent="0.35">
      <c r="A374" s="1" t="str">
        <f t="shared" si="5"/>
        <v>10</v>
      </c>
      <c r="B37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374" s="1" t="s">
        <v>2311</v>
      </c>
      <c r="D374" s="1" t="s">
        <v>1126</v>
      </c>
      <c r="E374" s="1" t="s">
        <v>2312</v>
      </c>
      <c r="F374" s="1" t="s">
        <v>112</v>
      </c>
      <c r="G374" s="1">
        <v>163695</v>
      </c>
    </row>
    <row r="375" spans="1:7" x14ac:dyDescent="0.35">
      <c r="A375" s="1" t="str">
        <f t="shared" si="5"/>
        <v>10</v>
      </c>
      <c r="B37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375" s="1" t="s">
        <v>2313</v>
      </c>
      <c r="D375" s="1" t="s">
        <v>1107</v>
      </c>
      <c r="E375" s="1" t="s">
        <v>2314</v>
      </c>
      <c r="F375" s="1" t="s">
        <v>112</v>
      </c>
      <c r="G375" s="1">
        <v>213898</v>
      </c>
    </row>
    <row r="376" spans="1:7" x14ac:dyDescent="0.35">
      <c r="A376" s="1" t="str">
        <f t="shared" si="5"/>
        <v>10</v>
      </c>
      <c r="B376"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376" s="1" t="s">
        <v>2315</v>
      </c>
      <c r="D376" s="1" t="s">
        <v>2316</v>
      </c>
      <c r="E376" s="1" t="s">
        <v>2317</v>
      </c>
      <c r="F376" s="1" t="s">
        <v>112</v>
      </c>
      <c r="G376" s="1">
        <v>304138</v>
      </c>
    </row>
    <row r="377" spans="1:7" x14ac:dyDescent="0.35">
      <c r="A377" s="1" t="str">
        <f t="shared" si="5"/>
        <v>10</v>
      </c>
      <c r="B377"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377" s="1" t="s">
        <v>2318</v>
      </c>
      <c r="D377" s="1" t="s">
        <v>1216</v>
      </c>
      <c r="E377" s="1" t="s">
        <v>2319</v>
      </c>
      <c r="F377" s="1" t="s">
        <v>112</v>
      </c>
      <c r="G377" s="1">
        <v>180328</v>
      </c>
    </row>
    <row r="378" spans="1:7" x14ac:dyDescent="0.35">
      <c r="A378" s="1" t="str">
        <f t="shared" si="5"/>
        <v>10</v>
      </c>
      <c r="B37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378" s="1" t="s">
        <v>2320</v>
      </c>
      <c r="D378" s="1" t="s">
        <v>649</v>
      </c>
      <c r="E378" s="1" t="s">
        <v>2321</v>
      </c>
      <c r="F378" s="1" t="s">
        <v>112</v>
      </c>
      <c r="G378" s="1">
        <v>76938</v>
      </c>
    </row>
    <row r="379" spans="1:7" x14ac:dyDescent="0.35">
      <c r="A379" s="1" t="str">
        <f t="shared" si="5"/>
        <v>10</v>
      </c>
      <c r="B379"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379" s="1" t="s">
        <v>2322</v>
      </c>
    </row>
    <row r="380" spans="1:7" x14ac:dyDescent="0.35">
      <c r="A380" s="1" t="str">
        <f t="shared" si="5"/>
        <v>10</v>
      </c>
      <c r="B380"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380" s="1" t="s">
        <v>2323</v>
      </c>
    </row>
    <row r="381" spans="1:7" x14ac:dyDescent="0.35">
      <c r="A381" s="1" t="str">
        <f t="shared" si="5"/>
        <v>10</v>
      </c>
      <c r="B381"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381" s="1" t="s">
        <v>2324</v>
      </c>
      <c r="D381" s="1" t="s">
        <v>2325</v>
      </c>
      <c r="E381" s="1" t="s">
        <v>2326</v>
      </c>
      <c r="F381" s="1" t="s">
        <v>112</v>
      </c>
      <c r="G381" s="1">
        <v>287548</v>
      </c>
    </row>
    <row r="382" spans="1:7" x14ac:dyDescent="0.35">
      <c r="A382" s="1" t="str">
        <f t="shared" si="5"/>
        <v>10</v>
      </c>
      <c r="B38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382" s="1" t="s">
        <v>2327</v>
      </c>
      <c r="D382" s="1" t="s">
        <v>2328</v>
      </c>
      <c r="E382" s="1" t="s">
        <v>2329</v>
      </c>
      <c r="F382" s="1" t="s">
        <v>112</v>
      </c>
      <c r="G382" s="1">
        <v>356937</v>
      </c>
    </row>
    <row r="383" spans="1:7" x14ac:dyDescent="0.35">
      <c r="A383" s="1" t="str">
        <f t="shared" si="5"/>
        <v>10</v>
      </c>
      <c r="B38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383" s="1" t="s">
        <v>2330</v>
      </c>
      <c r="D383" s="1" t="s">
        <v>2331</v>
      </c>
      <c r="E383" s="1" t="s">
        <v>2332</v>
      </c>
      <c r="F383" s="1" t="s">
        <v>112</v>
      </c>
      <c r="G383" s="1">
        <v>353346</v>
      </c>
    </row>
    <row r="384" spans="1:7" x14ac:dyDescent="0.35">
      <c r="A384" s="1" t="str">
        <f t="shared" si="5"/>
        <v>10</v>
      </c>
      <c r="B38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384" s="1" t="s">
        <v>2333</v>
      </c>
      <c r="D384" s="1" t="s">
        <v>580</v>
      </c>
      <c r="E384" s="1" t="s">
        <v>478</v>
      </c>
      <c r="F384" s="1" t="s">
        <v>112</v>
      </c>
      <c r="G384" s="1">
        <v>4002</v>
      </c>
    </row>
    <row r="385" spans="1:8" x14ac:dyDescent="0.35">
      <c r="A385" s="1" t="str">
        <f t="shared" si="5"/>
        <v>10</v>
      </c>
      <c r="B38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385" s="1" t="s">
        <v>2334</v>
      </c>
      <c r="D385" s="1" t="s">
        <v>1906</v>
      </c>
      <c r="E385" s="1" t="s">
        <v>2335</v>
      </c>
      <c r="F385" s="1" t="s">
        <v>112</v>
      </c>
      <c r="G385" s="1">
        <v>387997</v>
      </c>
    </row>
    <row r="386" spans="1:8" x14ac:dyDescent="0.35">
      <c r="A386" s="1" t="str">
        <f t="shared" ref="A386:A449" si="6">IFERROR(LEFT(RIGHT(C386,LEN(C386)-SEARCH("@",C386)),SEARCH("/",RIGHT(C386,LEN(C386)-SEARCH("@",C386)-1))),"")</f>
        <v>10</v>
      </c>
      <c r="B386"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386" s="1" t="s">
        <v>2336</v>
      </c>
      <c r="D386" s="1" t="s">
        <v>577</v>
      </c>
      <c r="E386" s="1" t="s">
        <v>2337</v>
      </c>
      <c r="F386" s="1" t="s">
        <v>112</v>
      </c>
      <c r="G386" s="1">
        <v>310649</v>
      </c>
    </row>
    <row r="387" spans="1:8" x14ac:dyDescent="0.35">
      <c r="A387" s="1" t="str">
        <f t="shared" si="6"/>
        <v>10</v>
      </c>
      <c r="B387"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387" s="1" t="s">
        <v>2338</v>
      </c>
      <c r="D387" s="1" t="s">
        <v>1367</v>
      </c>
      <c r="E387" s="1" t="s">
        <v>2339</v>
      </c>
      <c r="F387" s="1" t="s">
        <v>112</v>
      </c>
      <c r="G387" s="1">
        <v>215066</v>
      </c>
    </row>
    <row r="388" spans="1:8" x14ac:dyDescent="0.35">
      <c r="A388" s="1" t="str">
        <f t="shared" si="6"/>
        <v>10</v>
      </c>
      <c r="B38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388" s="1" t="s">
        <v>2340</v>
      </c>
    </row>
    <row r="389" spans="1:8" x14ac:dyDescent="0.35">
      <c r="A389" s="1" t="str">
        <f t="shared" si="6"/>
        <v>10</v>
      </c>
      <c r="B389"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389" s="1" t="s">
        <v>2341</v>
      </c>
      <c r="D389" s="1" t="s">
        <v>670</v>
      </c>
      <c r="E389" s="1" t="s">
        <v>2342</v>
      </c>
      <c r="F389" s="1" t="s">
        <v>112</v>
      </c>
      <c r="G389" s="1">
        <v>241584</v>
      </c>
    </row>
    <row r="390" spans="1:8" x14ac:dyDescent="0.35">
      <c r="A390" s="1" t="str">
        <f t="shared" si="6"/>
        <v/>
      </c>
      <c r="B39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390" s="1" t="s">
        <v>112</v>
      </c>
    </row>
    <row r="391" spans="1:8" x14ac:dyDescent="0.35">
      <c r="A391" s="1" t="str">
        <f t="shared" si="6"/>
        <v/>
      </c>
      <c r="B39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391" s="1" t="s">
        <v>226</v>
      </c>
      <c r="D391" s="1" t="s">
        <v>112</v>
      </c>
      <c r="E391" s="1" t="s">
        <v>227</v>
      </c>
      <c r="F391" s="1" t="s">
        <v>228</v>
      </c>
      <c r="G391" s="1" t="s">
        <v>229</v>
      </c>
      <c r="H391" s="1" t="s">
        <v>230</v>
      </c>
    </row>
    <row r="392" spans="1:8" x14ac:dyDescent="0.35">
      <c r="A392" s="1" t="str">
        <f t="shared" si="6"/>
        <v>10</v>
      </c>
      <c r="B39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 xml:space="preserve"> </v>
      </c>
      <c r="C392" s="1" t="s">
        <v>2343</v>
      </c>
      <c r="D392" s="1" t="s">
        <v>112</v>
      </c>
      <c r="E392" s="1" t="s">
        <v>2344</v>
      </c>
      <c r="F392" s="1" t="s">
        <v>2345</v>
      </c>
      <c r="G392" s="1" t="s">
        <v>2346</v>
      </c>
      <c r="H392" s="1" t="s">
        <v>2347</v>
      </c>
    </row>
    <row r="393" spans="1:8" x14ac:dyDescent="0.35">
      <c r="A393" s="1" t="str">
        <f t="shared" si="6"/>
        <v/>
      </c>
      <c r="B39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393" s="1" t="s">
        <v>112</v>
      </c>
    </row>
    <row r="394" spans="1:8" x14ac:dyDescent="0.35">
      <c r="A394" s="1" t="str">
        <f t="shared" si="6"/>
        <v/>
      </c>
      <c r="B39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394" s="1" t="s">
        <v>112</v>
      </c>
    </row>
    <row r="395" spans="1:8" x14ac:dyDescent="0.35">
      <c r="A395" s="1" t="str">
        <f t="shared" si="6"/>
        <v/>
      </c>
      <c r="B39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395" s="1" t="s">
        <v>112</v>
      </c>
    </row>
    <row r="396" spans="1:8" x14ac:dyDescent="0.35">
      <c r="A396" s="1" t="str">
        <f t="shared" si="6"/>
        <v/>
      </c>
      <c r="B39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396" s="1" t="s">
        <v>112</v>
      </c>
    </row>
    <row r="397" spans="1:8" x14ac:dyDescent="0.35">
      <c r="A397" s="1" t="str">
        <f t="shared" si="6"/>
        <v/>
      </c>
      <c r="B39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397" s="1" t="s">
        <v>112</v>
      </c>
    </row>
    <row r="398" spans="1:8" x14ac:dyDescent="0.35">
      <c r="A398" s="1" t="str">
        <f t="shared" si="6"/>
        <v/>
      </c>
      <c r="B39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398" s="1" t="s">
        <v>172</v>
      </c>
      <c r="D398" s="1" t="s">
        <v>110</v>
      </c>
      <c r="E398" s="1" t="s">
        <v>111</v>
      </c>
      <c r="F398" s="1" t="s">
        <v>112</v>
      </c>
      <c r="G398" s="1" t="s">
        <v>113</v>
      </c>
    </row>
    <row r="399" spans="1:8" x14ac:dyDescent="0.35">
      <c r="A399" s="1" t="str">
        <f t="shared" si="6"/>
        <v>11</v>
      </c>
      <c r="B399"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399" s="1" t="s">
        <v>2348</v>
      </c>
      <c r="D399" s="1" t="s">
        <v>2349</v>
      </c>
      <c r="E399" s="1" t="s">
        <v>2350</v>
      </c>
      <c r="F399" s="1" t="s">
        <v>112</v>
      </c>
      <c r="G399" s="1">
        <v>106419</v>
      </c>
    </row>
    <row r="400" spans="1:8" x14ac:dyDescent="0.35">
      <c r="A400" s="1" t="str">
        <f t="shared" si="6"/>
        <v>11</v>
      </c>
      <c r="B400"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400" s="1" t="s">
        <v>2351</v>
      </c>
      <c r="D400" s="1" t="s">
        <v>529</v>
      </c>
      <c r="E400" s="1" t="s">
        <v>2352</v>
      </c>
      <c r="F400" s="1" t="s">
        <v>112</v>
      </c>
      <c r="G400" s="1">
        <v>108971</v>
      </c>
    </row>
    <row r="401" spans="1:7" x14ac:dyDescent="0.35">
      <c r="A401" s="1" t="str">
        <f t="shared" si="6"/>
        <v>11</v>
      </c>
      <c r="B401"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401" s="1" t="s">
        <v>2353</v>
      </c>
      <c r="D401" s="1" t="s">
        <v>2349</v>
      </c>
      <c r="E401" s="1" t="s">
        <v>2354</v>
      </c>
      <c r="F401" s="1" t="s">
        <v>112</v>
      </c>
      <c r="G401" s="1">
        <v>109274</v>
      </c>
    </row>
    <row r="402" spans="1:7" x14ac:dyDescent="0.35">
      <c r="A402" s="1" t="str">
        <f t="shared" si="6"/>
        <v>11</v>
      </c>
      <c r="B40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402" s="1" t="s">
        <v>2355</v>
      </c>
      <c r="D402" s="1" t="s">
        <v>2356</v>
      </c>
      <c r="E402" s="1" t="s">
        <v>2357</v>
      </c>
      <c r="F402" s="1" t="s">
        <v>112</v>
      </c>
      <c r="G402" s="1">
        <v>66101</v>
      </c>
    </row>
    <row r="403" spans="1:7" x14ac:dyDescent="0.35">
      <c r="A403" s="1" t="str">
        <f t="shared" si="6"/>
        <v>11</v>
      </c>
      <c r="B40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403" s="1" t="s">
        <v>2358</v>
      </c>
      <c r="D403" s="1" t="s">
        <v>1872</v>
      </c>
      <c r="E403" s="1" t="s">
        <v>2359</v>
      </c>
      <c r="F403" s="1" t="s">
        <v>112</v>
      </c>
      <c r="G403" s="1">
        <v>37701</v>
      </c>
    </row>
    <row r="404" spans="1:7" x14ac:dyDescent="0.35">
      <c r="A404" s="1" t="str">
        <f t="shared" si="6"/>
        <v>11</v>
      </c>
      <c r="B40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404" s="1" t="s">
        <v>2360</v>
      </c>
      <c r="D404" s="1" t="s">
        <v>2361</v>
      </c>
      <c r="E404" s="1" t="s">
        <v>2362</v>
      </c>
      <c r="F404" s="1" t="s">
        <v>112</v>
      </c>
      <c r="G404" s="1">
        <v>15206</v>
      </c>
    </row>
    <row r="405" spans="1:7" x14ac:dyDescent="0.35">
      <c r="A405" s="1" t="str">
        <f t="shared" si="6"/>
        <v>11</v>
      </c>
      <c r="B40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405" s="1" t="s">
        <v>2363</v>
      </c>
      <c r="D405" s="1" t="s">
        <v>2105</v>
      </c>
      <c r="E405" s="1" t="s">
        <v>2364</v>
      </c>
      <c r="F405" s="1" t="s">
        <v>112</v>
      </c>
      <c r="G405" s="1">
        <v>477199</v>
      </c>
    </row>
    <row r="406" spans="1:7" x14ac:dyDescent="0.35">
      <c r="A406" s="1" t="str">
        <f t="shared" si="6"/>
        <v>11</v>
      </c>
      <c r="B406"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406" s="1" t="s">
        <v>2365</v>
      </c>
      <c r="D406" s="1" t="s">
        <v>2366</v>
      </c>
      <c r="E406" s="1" t="s">
        <v>2367</v>
      </c>
      <c r="F406" s="1" t="s">
        <v>112</v>
      </c>
      <c r="G406" s="1">
        <v>489917</v>
      </c>
    </row>
    <row r="407" spans="1:7" x14ac:dyDescent="0.35">
      <c r="A407" s="1" t="str">
        <f t="shared" si="6"/>
        <v>11</v>
      </c>
      <c r="B407"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407" s="1" t="s">
        <v>2368</v>
      </c>
      <c r="D407" s="1" t="s">
        <v>2369</v>
      </c>
      <c r="E407" s="1" t="s">
        <v>2370</v>
      </c>
      <c r="F407" s="1" t="s">
        <v>112</v>
      </c>
      <c r="G407" s="1">
        <v>499196</v>
      </c>
    </row>
    <row r="408" spans="1:7" x14ac:dyDescent="0.35">
      <c r="A408" s="1" t="str">
        <f t="shared" si="6"/>
        <v>11</v>
      </c>
      <c r="B40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408" s="1" t="s">
        <v>2371</v>
      </c>
      <c r="D408" s="1" t="s">
        <v>2372</v>
      </c>
      <c r="E408" s="1" t="s">
        <v>2373</v>
      </c>
      <c r="F408" s="1" t="s">
        <v>112</v>
      </c>
      <c r="G408" s="1">
        <v>42070</v>
      </c>
    </row>
    <row r="409" spans="1:7" x14ac:dyDescent="0.35">
      <c r="A409" s="1" t="str">
        <f t="shared" si="6"/>
        <v>11</v>
      </c>
      <c r="B409"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409" s="1" t="s">
        <v>2374</v>
      </c>
      <c r="D409" s="1" t="s">
        <v>2375</v>
      </c>
      <c r="E409" s="1" t="s">
        <v>2376</v>
      </c>
      <c r="F409" s="1" t="s">
        <v>112</v>
      </c>
      <c r="G409" s="1">
        <v>32813</v>
      </c>
    </row>
    <row r="410" spans="1:7" x14ac:dyDescent="0.35">
      <c r="A410" s="1" t="str">
        <f t="shared" si="6"/>
        <v>11</v>
      </c>
      <c r="B410"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410" s="1" t="s">
        <v>2377</v>
      </c>
      <c r="D410" s="1" t="s">
        <v>210</v>
      </c>
      <c r="E410" s="1" t="s">
        <v>2378</v>
      </c>
      <c r="F410" s="1" t="s">
        <v>112</v>
      </c>
      <c r="G410" s="1">
        <v>25675</v>
      </c>
    </row>
    <row r="411" spans="1:7" x14ac:dyDescent="0.35">
      <c r="A411" s="1" t="str">
        <f t="shared" si="6"/>
        <v>11</v>
      </c>
      <c r="B411"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411" s="1" t="s">
        <v>2379</v>
      </c>
      <c r="D411" s="1" t="s">
        <v>1982</v>
      </c>
      <c r="E411" s="1" t="s">
        <v>2380</v>
      </c>
      <c r="F411" s="1" t="s">
        <v>112</v>
      </c>
      <c r="G411" s="1">
        <v>427039</v>
      </c>
    </row>
    <row r="412" spans="1:7" x14ac:dyDescent="0.35">
      <c r="A412" s="1" t="str">
        <f t="shared" si="6"/>
        <v>11</v>
      </c>
      <c r="B41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412" s="1" t="s">
        <v>2381</v>
      </c>
      <c r="D412" s="1" t="s">
        <v>2382</v>
      </c>
      <c r="E412" s="1" t="s">
        <v>2383</v>
      </c>
      <c r="F412" s="1" t="s">
        <v>112</v>
      </c>
      <c r="G412" s="1">
        <v>420031</v>
      </c>
    </row>
    <row r="413" spans="1:7" x14ac:dyDescent="0.35">
      <c r="A413" s="1" t="str">
        <f t="shared" si="6"/>
        <v>11</v>
      </c>
      <c r="B41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413" s="1" t="s">
        <v>2384</v>
      </c>
      <c r="D413" s="1" t="s">
        <v>2385</v>
      </c>
      <c r="E413" s="1" t="s">
        <v>2386</v>
      </c>
      <c r="F413" s="1" t="s">
        <v>112</v>
      </c>
      <c r="G413" s="1">
        <v>426195</v>
      </c>
    </row>
    <row r="414" spans="1:7" x14ac:dyDescent="0.35">
      <c r="A414" s="1" t="str">
        <f t="shared" si="6"/>
        <v>11</v>
      </c>
      <c r="B41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414" s="1" t="s">
        <v>2387</v>
      </c>
      <c r="D414" s="1" t="s">
        <v>179</v>
      </c>
      <c r="E414" s="1" t="s">
        <v>2388</v>
      </c>
      <c r="F414" s="1" t="s">
        <v>112</v>
      </c>
      <c r="G414" s="1">
        <v>297541</v>
      </c>
    </row>
    <row r="415" spans="1:7" x14ac:dyDescent="0.35">
      <c r="A415" s="1" t="str">
        <f t="shared" si="6"/>
        <v>11</v>
      </c>
      <c r="B41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415" s="1" t="s">
        <v>2389</v>
      </c>
      <c r="D415" s="1" t="s">
        <v>2390</v>
      </c>
      <c r="E415" s="1" t="s">
        <v>2391</v>
      </c>
      <c r="F415" s="1" t="s">
        <v>112</v>
      </c>
      <c r="G415" s="1">
        <v>430500</v>
      </c>
    </row>
    <row r="416" spans="1:7" x14ac:dyDescent="0.35">
      <c r="A416" s="1" t="str">
        <f t="shared" si="6"/>
        <v>11</v>
      </c>
      <c r="B416"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416" s="1" t="s">
        <v>2392</v>
      </c>
      <c r="D416" s="1" t="s">
        <v>2393</v>
      </c>
      <c r="E416" s="1" t="s">
        <v>2394</v>
      </c>
      <c r="F416" s="1" t="s">
        <v>112</v>
      </c>
      <c r="G416" s="1">
        <v>380729</v>
      </c>
    </row>
    <row r="417" spans="1:8" x14ac:dyDescent="0.35">
      <c r="A417" s="1" t="str">
        <f t="shared" si="6"/>
        <v>11</v>
      </c>
      <c r="B417"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417" s="1" t="s">
        <v>2395</v>
      </c>
      <c r="D417" s="1" t="s">
        <v>2396</v>
      </c>
      <c r="E417" s="1" t="s">
        <v>2397</v>
      </c>
      <c r="F417" s="1" t="s">
        <v>112</v>
      </c>
      <c r="G417" s="1">
        <v>49208</v>
      </c>
    </row>
    <row r="418" spans="1:8" x14ac:dyDescent="0.35">
      <c r="A418" s="1" t="str">
        <f t="shared" si="6"/>
        <v>11</v>
      </c>
      <c r="B41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418" s="1" t="s">
        <v>2398</v>
      </c>
      <c r="D418" s="1" t="s">
        <v>2399</v>
      </c>
      <c r="E418" s="1" t="s">
        <v>2400</v>
      </c>
      <c r="F418" s="1" t="s">
        <v>112</v>
      </c>
      <c r="G418" s="1">
        <v>311968</v>
      </c>
    </row>
    <row r="419" spans="1:8" x14ac:dyDescent="0.35">
      <c r="A419" s="1" t="str">
        <f t="shared" si="6"/>
        <v>11</v>
      </c>
      <c r="B419"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419" s="1" t="s">
        <v>2401</v>
      </c>
      <c r="D419" s="1" t="s">
        <v>2402</v>
      </c>
      <c r="E419" s="1" t="s">
        <v>2403</v>
      </c>
      <c r="F419" s="1" t="s">
        <v>112</v>
      </c>
      <c r="G419" s="1">
        <v>283546</v>
      </c>
    </row>
    <row r="420" spans="1:8" x14ac:dyDescent="0.35">
      <c r="A420" s="1" t="str">
        <f t="shared" si="6"/>
        <v>11</v>
      </c>
      <c r="B420"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420" s="1" t="s">
        <v>2404</v>
      </c>
      <c r="D420" s="1">
        <v>0</v>
      </c>
      <c r="E420" s="1">
        <v>0</v>
      </c>
      <c r="F420" s="1" t="s">
        <v>112</v>
      </c>
      <c r="G420" s="1">
        <v>0</v>
      </c>
    </row>
    <row r="421" spans="1:8" x14ac:dyDescent="0.35">
      <c r="A421" s="1" t="str">
        <f t="shared" si="6"/>
        <v>11</v>
      </c>
      <c r="B421"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421" s="1" t="s">
        <v>2405</v>
      </c>
    </row>
    <row r="422" spans="1:8" x14ac:dyDescent="0.35">
      <c r="A422" s="1" t="str">
        <f t="shared" si="6"/>
        <v>11</v>
      </c>
      <c r="B42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422" s="1" t="s">
        <v>2406</v>
      </c>
      <c r="D422" s="1" t="s">
        <v>2407</v>
      </c>
      <c r="E422" s="1" t="s">
        <v>2408</v>
      </c>
      <c r="F422" s="1" t="s">
        <v>112</v>
      </c>
      <c r="G422" s="1">
        <v>370196</v>
      </c>
    </row>
    <row r="423" spans="1:8" x14ac:dyDescent="0.35">
      <c r="A423" s="1" t="str">
        <f t="shared" si="6"/>
        <v/>
      </c>
      <c r="B42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423" s="1" t="s">
        <v>112</v>
      </c>
    </row>
    <row r="424" spans="1:8" x14ac:dyDescent="0.35">
      <c r="A424" s="1" t="str">
        <f t="shared" si="6"/>
        <v/>
      </c>
      <c r="B42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424" s="1" t="s">
        <v>226</v>
      </c>
      <c r="D424" s="1" t="s">
        <v>112</v>
      </c>
      <c r="E424" s="1" t="s">
        <v>227</v>
      </c>
      <c r="F424" s="1" t="s">
        <v>228</v>
      </c>
      <c r="G424" s="1" t="s">
        <v>229</v>
      </c>
      <c r="H424" s="1" t="s">
        <v>230</v>
      </c>
    </row>
    <row r="425" spans="1:8" x14ac:dyDescent="0.35">
      <c r="A425" s="1" t="str">
        <f t="shared" si="6"/>
        <v>11</v>
      </c>
      <c r="B42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 xml:space="preserve"> </v>
      </c>
      <c r="C425" s="1" t="s">
        <v>2409</v>
      </c>
      <c r="D425" s="1" t="s">
        <v>112</v>
      </c>
      <c r="E425" s="1" t="s">
        <v>2410</v>
      </c>
      <c r="F425" s="1" t="s">
        <v>2411</v>
      </c>
      <c r="G425" s="1" t="s">
        <v>2412</v>
      </c>
      <c r="H425" s="1" t="s">
        <v>2413</v>
      </c>
    </row>
    <row r="426" spans="1:8" x14ac:dyDescent="0.35">
      <c r="A426" s="1" t="str">
        <f t="shared" si="6"/>
        <v/>
      </c>
      <c r="B42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426" s="1" t="s">
        <v>112</v>
      </c>
    </row>
    <row r="427" spans="1:8" x14ac:dyDescent="0.35">
      <c r="A427" s="1" t="str">
        <f t="shared" si="6"/>
        <v/>
      </c>
      <c r="B42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427" s="1" t="s">
        <v>112</v>
      </c>
    </row>
    <row r="428" spans="1:8" x14ac:dyDescent="0.35">
      <c r="A428" s="1" t="str">
        <f t="shared" si="6"/>
        <v/>
      </c>
      <c r="B42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428" s="1" t="s">
        <v>112</v>
      </c>
    </row>
    <row r="429" spans="1:8" x14ac:dyDescent="0.35">
      <c r="A429" s="1" t="str">
        <f t="shared" si="6"/>
        <v/>
      </c>
      <c r="B42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429" s="1" t="s">
        <v>112</v>
      </c>
    </row>
    <row r="430" spans="1:8" x14ac:dyDescent="0.35">
      <c r="A430" s="1" t="str">
        <f t="shared" si="6"/>
        <v/>
      </c>
      <c r="B43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430" s="1" t="s">
        <v>112</v>
      </c>
    </row>
    <row r="431" spans="1:8" x14ac:dyDescent="0.35">
      <c r="A431" s="1" t="str">
        <f t="shared" si="6"/>
        <v/>
      </c>
      <c r="B43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431" s="1" t="s">
        <v>172</v>
      </c>
      <c r="D431" s="1" t="s">
        <v>110</v>
      </c>
      <c r="E431" s="1" t="s">
        <v>111</v>
      </c>
      <c r="F431" s="1" t="s">
        <v>112</v>
      </c>
      <c r="G431" s="1" t="s">
        <v>113</v>
      </c>
    </row>
    <row r="432" spans="1:8" x14ac:dyDescent="0.35">
      <c r="A432" s="1" t="str">
        <f t="shared" si="6"/>
        <v>12</v>
      </c>
      <c r="B43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432" s="1" t="s">
        <v>2414</v>
      </c>
    </row>
    <row r="433" spans="1:7" x14ac:dyDescent="0.35">
      <c r="A433" s="1" t="str">
        <f t="shared" si="6"/>
        <v>12</v>
      </c>
      <c r="B43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433" s="1" t="s">
        <v>2415</v>
      </c>
      <c r="D433" s="1" t="s">
        <v>1451</v>
      </c>
      <c r="E433" s="1">
        <v>30</v>
      </c>
      <c r="F433" s="1" t="s">
        <v>112</v>
      </c>
      <c r="G433" s="1">
        <v>3244</v>
      </c>
    </row>
    <row r="434" spans="1:7" x14ac:dyDescent="0.35">
      <c r="A434" s="1" t="str">
        <f t="shared" si="6"/>
        <v>12</v>
      </c>
      <c r="B43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434" s="1" t="s">
        <v>2416</v>
      </c>
      <c r="D434" s="1" t="s">
        <v>462</v>
      </c>
      <c r="E434" s="1" t="s">
        <v>2417</v>
      </c>
      <c r="F434" s="1" t="s">
        <v>112</v>
      </c>
      <c r="G434" s="1">
        <v>6575</v>
      </c>
    </row>
    <row r="435" spans="1:7" x14ac:dyDescent="0.35">
      <c r="A435" s="1" t="str">
        <f t="shared" si="6"/>
        <v>12</v>
      </c>
      <c r="B43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435" s="1" t="s">
        <v>2418</v>
      </c>
      <c r="D435" s="1" t="s">
        <v>2419</v>
      </c>
      <c r="E435" s="1" t="s">
        <v>2420</v>
      </c>
      <c r="F435" s="1" t="s">
        <v>112</v>
      </c>
      <c r="G435" s="1">
        <v>463572</v>
      </c>
    </row>
    <row r="436" spans="1:7" x14ac:dyDescent="0.35">
      <c r="A436" s="1" t="str">
        <f t="shared" si="6"/>
        <v>12</v>
      </c>
      <c r="B436"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436" s="1" t="s">
        <v>2421</v>
      </c>
      <c r="D436" s="1" t="s">
        <v>2151</v>
      </c>
      <c r="E436" s="1" t="s">
        <v>2422</v>
      </c>
      <c r="F436" s="1" t="s">
        <v>112</v>
      </c>
      <c r="G436" s="1">
        <v>185130</v>
      </c>
    </row>
    <row r="437" spans="1:7" x14ac:dyDescent="0.35">
      <c r="A437" s="1" t="str">
        <f t="shared" si="6"/>
        <v>12</v>
      </c>
      <c r="B437"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437" s="1" t="s">
        <v>2423</v>
      </c>
      <c r="D437" s="1" t="s">
        <v>2316</v>
      </c>
      <c r="E437" s="1" t="s">
        <v>2424</v>
      </c>
      <c r="F437" s="1" t="s">
        <v>112</v>
      </c>
      <c r="G437" s="1">
        <v>279134</v>
      </c>
    </row>
    <row r="438" spans="1:7" x14ac:dyDescent="0.35">
      <c r="A438" s="1" t="str">
        <f t="shared" si="6"/>
        <v>12</v>
      </c>
      <c r="B43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438" s="1" t="s">
        <v>2425</v>
      </c>
      <c r="D438" s="1" t="s">
        <v>994</v>
      </c>
      <c r="E438" s="1" t="s">
        <v>2426</v>
      </c>
      <c r="F438" s="1" t="s">
        <v>112</v>
      </c>
      <c r="G438" s="1">
        <v>335220</v>
      </c>
    </row>
    <row r="439" spans="1:7" x14ac:dyDescent="0.35">
      <c r="A439" s="1" t="str">
        <f t="shared" si="6"/>
        <v>12</v>
      </c>
      <c r="B439"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439" s="1" t="s">
        <v>2427</v>
      </c>
      <c r="D439" s="1" t="s">
        <v>1323</v>
      </c>
      <c r="E439" s="1" t="s">
        <v>2428</v>
      </c>
      <c r="F439" s="1" t="s">
        <v>112</v>
      </c>
      <c r="G439" s="1">
        <v>271563</v>
      </c>
    </row>
    <row r="440" spans="1:7" x14ac:dyDescent="0.35">
      <c r="A440" s="1" t="str">
        <f t="shared" si="6"/>
        <v>12</v>
      </c>
      <c r="B440"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440" s="1" t="s">
        <v>2429</v>
      </c>
      <c r="D440" s="1" t="s">
        <v>1039</v>
      </c>
      <c r="E440" s="1" t="s">
        <v>2430</v>
      </c>
      <c r="F440" s="1" t="s">
        <v>112</v>
      </c>
      <c r="G440" s="1">
        <v>288391</v>
      </c>
    </row>
    <row r="441" spans="1:7" x14ac:dyDescent="0.35">
      <c r="A441" s="1" t="str">
        <f t="shared" si="6"/>
        <v>12</v>
      </c>
      <c r="B441"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441" s="1" t="s">
        <v>2431</v>
      </c>
      <c r="D441" s="1" t="s">
        <v>2432</v>
      </c>
      <c r="E441" s="1" t="s">
        <v>2433</v>
      </c>
      <c r="F441" s="1" t="s">
        <v>112</v>
      </c>
      <c r="G441" s="1">
        <v>371840</v>
      </c>
    </row>
    <row r="442" spans="1:7" x14ac:dyDescent="0.35">
      <c r="A442" s="1" t="str">
        <f t="shared" si="6"/>
        <v>12</v>
      </c>
      <c r="B44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442" s="1" t="s">
        <v>2434</v>
      </c>
      <c r="D442" s="1" t="s">
        <v>2435</v>
      </c>
      <c r="E442" s="1" t="s">
        <v>2436</v>
      </c>
      <c r="F442" s="1" t="s">
        <v>112</v>
      </c>
      <c r="G442" s="1">
        <v>220884</v>
      </c>
    </row>
    <row r="443" spans="1:7" x14ac:dyDescent="0.35">
      <c r="A443" s="1" t="str">
        <f t="shared" si="6"/>
        <v>12</v>
      </c>
      <c r="B44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443" s="1" t="s">
        <v>2437</v>
      </c>
      <c r="D443" s="1" t="s">
        <v>670</v>
      </c>
      <c r="E443" s="1" t="s">
        <v>2438</v>
      </c>
      <c r="F443" s="1" t="s">
        <v>112</v>
      </c>
      <c r="G443" s="1">
        <v>243423</v>
      </c>
    </row>
    <row r="444" spans="1:7" x14ac:dyDescent="0.35">
      <c r="A444" s="1" t="str">
        <f t="shared" si="6"/>
        <v>12</v>
      </c>
      <c r="B44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444" s="1" t="s">
        <v>2439</v>
      </c>
      <c r="D444" s="1" t="s">
        <v>1951</v>
      </c>
      <c r="E444" s="1" t="s">
        <v>2440</v>
      </c>
      <c r="F444" s="1" t="s">
        <v>112</v>
      </c>
      <c r="G444" s="1">
        <v>148965</v>
      </c>
    </row>
    <row r="445" spans="1:7" x14ac:dyDescent="0.35">
      <c r="A445" s="1" t="str">
        <f t="shared" si="6"/>
        <v>12</v>
      </c>
      <c r="B44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445" s="1" t="s">
        <v>2441</v>
      </c>
      <c r="D445" s="1" t="s">
        <v>2442</v>
      </c>
      <c r="E445" s="1" t="s">
        <v>2443</v>
      </c>
      <c r="F445" s="1" t="s">
        <v>112</v>
      </c>
      <c r="G445" s="1">
        <v>151085</v>
      </c>
    </row>
    <row r="446" spans="1:7" x14ac:dyDescent="0.35">
      <c r="A446" s="1" t="str">
        <f t="shared" si="6"/>
        <v>12</v>
      </c>
      <c r="B446"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446" s="1" t="s">
        <v>2444</v>
      </c>
      <c r="D446" s="1" t="s">
        <v>1504</v>
      </c>
      <c r="E446" s="1" t="s">
        <v>2445</v>
      </c>
      <c r="F446" s="1" t="s">
        <v>112</v>
      </c>
      <c r="G446" s="1">
        <v>139664</v>
      </c>
    </row>
    <row r="447" spans="1:7" x14ac:dyDescent="0.35">
      <c r="A447" s="1" t="str">
        <f t="shared" si="6"/>
        <v>12</v>
      </c>
      <c r="B447"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447" s="1" t="s">
        <v>2446</v>
      </c>
      <c r="D447" s="1" t="s">
        <v>2045</v>
      </c>
      <c r="E447" s="1" t="s">
        <v>2447</v>
      </c>
      <c r="F447" s="1" t="s">
        <v>112</v>
      </c>
      <c r="G447" s="1">
        <v>2660</v>
      </c>
    </row>
    <row r="448" spans="1:7" x14ac:dyDescent="0.35">
      <c r="A448" s="1" t="str">
        <f t="shared" si="6"/>
        <v>12</v>
      </c>
      <c r="B44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448" s="1" t="s">
        <v>2448</v>
      </c>
      <c r="D448" s="1" t="s">
        <v>580</v>
      </c>
      <c r="E448" s="1" t="s">
        <v>2449</v>
      </c>
      <c r="F448" s="1" t="s">
        <v>112</v>
      </c>
      <c r="G448" s="1">
        <v>4239</v>
      </c>
    </row>
    <row r="449" spans="1:8" x14ac:dyDescent="0.35">
      <c r="A449" s="1" t="str">
        <f t="shared" si="6"/>
        <v>12</v>
      </c>
      <c r="B449"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449" s="1" t="s">
        <v>2450</v>
      </c>
    </row>
    <row r="450" spans="1:8" x14ac:dyDescent="0.35">
      <c r="A450" s="1" t="str">
        <f t="shared" ref="A450:A513" si="7">IFERROR(LEFT(RIGHT(C450,LEN(C450)-SEARCH("@",C450)),SEARCH("/",RIGHT(C450,LEN(C450)-SEARCH("@",C450)-1))),"")</f>
        <v>12</v>
      </c>
      <c r="B450"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450" s="1" t="s">
        <v>2451</v>
      </c>
      <c r="D450" s="1" t="s">
        <v>620</v>
      </c>
      <c r="E450" s="1" t="s">
        <v>2452</v>
      </c>
      <c r="F450" s="1" t="s">
        <v>112</v>
      </c>
      <c r="G450" s="1">
        <v>86152</v>
      </c>
    </row>
    <row r="451" spans="1:8" x14ac:dyDescent="0.35">
      <c r="A451" s="1" t="str">
        <f t="shared" si="7"/>
        <v>12</v>
      </c>
      <c r="B451"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451" s="1" t="s">
        <v>2453</v>
      </c>
      <c r="D451" s="1" t="s">
        <v>477</v>
      </c>
      <c r="E451" s="1" t="s">
        <v>2454</v>
      </c>
      <c r="F451" s="1" t="s">
        <v>112</v>
      </c>
      <c r="G451" s="1">
        <v>20808</v>
      </c>
    </row>
    <row r="452" spans="1:8" x14ac:dyDescent="0.35">
      <c r="A452" s="1" t="str">
        <f t="shared" si="7"/>
        <v>12</v>
      </c>
      <c r="B45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452" s="1" t="s">
        <v>2455</v>
      </c>
      <c r="D452" s="1" t="s">
        <v>1585</v>
      </c>
      <c r="E452" s="1" t="s">
        <v>2456</v>
      </c>
      <c r="F452" s="1" t="s">
        <v>112</v>
      </c>
      <c r="G452" s="1">
        <v>59461</v>
      </c>
    </row>
    <row r="453" spans="1:8" x14ac:dyDescent="0.35">
      <c r="A453" s="1" t="str">
        <f t="shared" si="7"/>
        <v>12</v>
      </c>
      <c r="B45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453" s="1" t="s">
        <v>2457</v>
      </c>
      <c r="D453" s="1" t="s">
        <v>626</v>
      </c>
      <c r="E453" s="1" t="s">
        <v>2458</v>
      </c>
      <c r="F453" s="1" t="s">
        <v>112</v>
      </c>
      <c r="G453" s="1">
        <v>209572</v>
      </c>
    </row>
    <row r="454" spans="1:8" x14ac:dyDescent="0.35">
      <c r="A454" s="1" t="str">
        <f t="shared" si="7"/>
        <v>12</v>
      </c>
      <c r="B45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454" s="1" t="s">
        <v>2459</v>
      </c>
      <c r="D454" s="1" t="s">
        <v>1139</v>
      </c>
      <c r="E454" s="1" t="s">
        <v>2460</v>
      </c>
      <c r="F454" s="1" t="s">
        <v>112</v>
      </c>
      <c r="G454" s="1">
        <v>1990</v>
      </c>
    </row>
    <row r="455" spans="1:8" x14ac:dyDescent="0.35">
      <c r="A455" s="1" t="str">
        <f t="shared" si="7"/>
        <v>12</v>
      </c>
      <c r="B45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455" s="1" t="s">
        <v>2461</v>
      </c>
      <c r="D455" s="1" t="s">
        <v>2462</v>
      </c>
      <c r="E455" s="1" t="s">
        <v>2463</v>
      </c>
      <c r="F455" s="1" t="s">
        <v>112</v>
      </c>
      <c r="G455" s="1">
        <v>378675</v>
      </c>
    </row>
    <row r="456" spans="1:8" x14ac:dyDescent="0.35">
      <c r="A456" s="1" t="str">
        <f t="shared" si="7"/>
        <v/>
      </c>
      <c r="B45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456" s="1" t="s">
        <v>112</v>
      </c>
    </row>
    <row r="457" spans="1:8" x14ac:dyDescent="0.35">
      <c r="A457" s="1" t="str">
        <f t="shared" si="7"/>
        <v/>
      </c>
      <c r="B45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457" s="1" t="s">
        <v>226</v>
      </c>
      <c r="D457" s="1" t="s">
        <v>112</v>
      </c>
      <c r="E457" s="1" t="s">
        <v>227</v>
      </c>
      <c r="F457" s="1" t="s">
        <v>228</v>
      </c>
      <c r="G457" s="1" t="s">
        <v>229</v>
      </c>
      <c r="H457" s="1" t="s">
        <v>230</v>
      </c>
    </row>
    <row r="458" spans="1:8" x14ac:dyDescent="0.35">
      <c r="A458" s="1" t="str">
        <f t="shared" si="7"/>
        <v>12</v>
      </c>
      <c r="B45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 xml:space="preserve"> </v>
      </c>
      <c r="C458" s="1" t="s">
        <v>2464</v>
      </c>
      <c r="D458" s="1" t="s">
        <v>112</v>
      </c>
      <c r="E458" s="1" t="s">
        <v>2465</v>
      </c>
      <c r="F458" s="1" t="s">
        <v>2466</v>
      </c>
      <c r="G458" s="1" t="s">
        <v>2467</v>
      </c>
      <c r="H458" s="1" t="s">
        <v>2468</v>
      </c>
    </row>
    <row r="459" spans="1:8" x14ac:dyDescent="0.35">
      <c r="A459" s="1" t="str">
        <f t="shared" si="7"/>
        <v/>
      </c>
      <c r="B45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459" s="1" t="s">
        <v>112</v>
      </c>
    </row>
    <row r="460" spans="1:8" x14ac:dyDescent="0.35">
      <c r="A460" s="1" t="str">
        <f t="shared" si="7"/>
        <v/>
      </c>
      <c r="B46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460" s="1" t="s">
        <v>112</v>
      </c>
    </row>
    <row r="461" spans="1:8" x14ac:dyDescent="0.35">
      <c r="A461" s="1" t="str">
        <f t="shared" si="7"/>
        <v/>
      </c>
      <c r="B46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461" s="1" t="s">
        <v>112</v>
      </c>
    </row>
    <row r="462" spans="1:8" x14ac:dyDescent="0.35">
      <c r="A462" s="1" t="str">
        <f t="shared" si="7"/>
        <v/>
      </c>
      <c r="B46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462" s="1" t="s">
        <v>112</v>
      </c>
    </row>
    <row r="463" spans="1:8" x14ac:dyDescent="0.35">
      <c r="A463" s="1" t="str">
        <f t="shared" si="7"/>
        <v/>
      </c>
      <c r="B46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463" s="1" t="s">
        <v>112</v>
      </c>
    </row>
    <row r="464" spans="1:8" x14ac:dyDescent="0.35">
      <c r="A464" s="1" t="str">
        <f t="shared" si="7"/>
        <v/>
      </c>
      <c r="B46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464" s="1" t="s">
        <v>172</v>
      </c>
      <c r="D464" s="1" t="s">
        <v>110</v>
      </c>
      <c r="E464" s="1" t="s">
        <v>111</v>
      </c>
      <c r="F464" s="1" t="s">
        <v>112</v>
      </c>
      <c r="G464" s="1" t="s">
        <v>113</v>
      </c>
    </row>
    <row r="465" spans="1:7" x14ac:dyDescent="0.35">
      <c r="A465" s="1" t="str">
        <f t="shared" si="7"/>
        <v>17</v>
      </c>
      <c r="B46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465" s="1" t="s">
        <v>2469</v>
      </c>
    </row>
    <row r="466" spans="1:7" x14ac:dyDescent="0.35">
      <c r="A466" s="1" t="str">
        <f t="shared" si="7"/>
        <v>17</v>
      </c>
      <c r="B466"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466" s="1" t="s">
        <v>2470</v>
      </c>
    </row>
    <row r="467" spans="1:7" x14ac:dyDescent="0.35">
      <c r="A467" s="1" t="str">
        <f t="shared" si="7"/>
        <v>17</v>
      </c>
      <c r="B467"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467" s="1" t="s">
        <v>2471</v>
      </c>
    </row>
    <row r="468" spans="1:7" x14ac:dyDescent="0.35">
      <c r="A468" s="1" t="str">
        <f t="shared" si="7"/>
        <v>17</v>
      </c>
      <c r="B46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468" s="1" t="s">
        <v>2472</v>
      </c>
      <c r="D468" s="1" t="s">
        <v>547</v>
      </c>
      <c r="E468" s="1" t="s">
        <v>2473</v>
      </c>
      <c r="F468" s="1" t="s">
        <v>112</v>
      </c>
      <c r="G468" s="1">
        <v>150739</v>
      </c>
    </row>
    <row r="469" spans="1:7" x14ac:dyDescent="0.35">
      <c r="A469" s="1" t="str">
        <f t="shared" si="7"/>
        <v>17</v>
      </c>
      <c r="B469"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469" s="1" t="s">
        <v>2474</v>
      </c>
      <c r="D469" s="1" t="s">
        <v>2475</v>
      </c>
      <c r="E469" s="1" t="s">
        <v>2476</v>
      </c>
      <c r="F469" s="1" t="s">
        <v>112</v>
      </c>
      <c r="G469" s="1">
        <v>224562</v>
      </c>
    </row>
    <row r="470" spans="1:7" x14ac:dyDescent="0.35">
      <c r="A470" s="1" t="str">
        <f t="shared" si="7"/>
        <v>17</v>
      </c>
      <c r="B470"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470" s="1" t="s">
        <v>2477</v>
      </c>
      <c r="D470" s="1" t="s">
        <v>1397</v>
      </c>
      <c r="E470" s="1" t="s">
        <v>2478</v>
      </c>
      <c r="F470" s="1" t="s">
        <v>112</v>
      </c>
      <c r="G470" s="1">
        <v>230834</v>
      </c>
    </row>
    <row r="471" spans="1:7" x14ac:dyDescent="0.35">
      <c r="A471" s="1" t="str">
        <f t="shared" si="7"/>
        <v>17</v>
      </c>
      <c r="B471"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471" s="1" t="s">
        <v>2479</v>
      </c>
      <c r="D471" s="1" t="s">
        <v>2480</v>
      </c>
      <c r="E471" s="1" t="s">
        <v>2481</v>
      </c>
      <c r="F471" s="1" t="s">
        <v>112</v>
      </c>
      <c r="G471" s="1">
        <v>490739</v>
      </c>
    </row>
    <row r="472" spans="1:7" x14ac:dyDescent="0.35">
      <c r="A472" s="1" t="str">
        <f t="shared" si="7"/>
        <v>17</v>
      </c>
      <c r="B47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472" s="1" t="s">
        <v>2482</v>
      </c>
      <c r="D472" s="1" t="s">
        <v>544</v>
      </c>
      <c r="E472" s="1" t="s">
        <v>2483</v>
      </c>
      <c r="F472" s="1" t="s">
        <v>112</v>
      </c>
      <c r="G472" s="1">
        <v>9604</v>
      </c>
    </row>
    <row r="473" spans="1:7" x14ac:dyDescent="0.35">
      <c r="A473" s="1" t="str">
        <f t="shared" si="7"/>
        <v>17</v>
      </c>
      <c r="B47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473" s="1" t="s">
        <v>2484</v>
      </c>
      <c r="D473" s="1" t="s">
        <v>1147</v>
      </c>
      <c r="E473" s="1" t="s">
        <v>2485</v>
      </c>
      <c r="F473" s="1" t="s">
        <v>112</v>
      </c>
      <c r="G473" s="1">
        <v>441791</v>
      </c>
    </row>
    <row r="474" spans="1:7" x14ac:dyDescent="0.35">
      <c r="A474" s="1" t="str">
        <f t="shared" si="7"/>
        <v>17</v>
      </c>
      <c r="B47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474" s="1" t="s">
        <v>2486</v>
      </c>
      <c r="D474" s="1">
        <v>0</v>
      </c>
      <c r="E474" s="1">
        <v>0</v>
      </c>
      <c r="F474" s="1" t="s">
        <v>112</v>
      </c>
      <c r="G474" s="1">
        <v>0</v>
      </c>
    </row>
    <row r="475" spans="1:7" x14ac:dyDescent="0.35">
      <c r="A475" s="1" t="str">
        <f t="shared" si="7"/>
        <v>17</v>
      </c>
      <c r="B47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475" s="1" t="s">
        <v>2487</v>
      </c>
      <c r="D475" s="1" t="s">
        <v>2045</v>
      </c>
      <c r="E475" s="1" t="s">
        <v>998</v>
      </c>
      <c r="F475" s="1" t="s">
        <v>112</v>
      </c>
      <c r="G475" s="1">
        <v>2617</v>
      </c>
    </row>
    <row r="476" spans="1:7" x14ac:dyDescent="0.35">
      <c r="A476" s="1" t="str">
        <f t="shared" si="7"/>
        <v>17</v>
      </c>
      <c r="B476"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476" s="1" t="s">
        <v>2488</v>
      </c>
      <c r="D476" s="1" t="s">
        <v>215</v>
      </c>
      <c r="E476" s="1">
        <v>31</v>
      </c>
      <c r="F476" s="1" t="s">
        <v>112</v>
      </c>
      <c r="G476" s="1">
        <v>671</v>
      </c>
    </row>
    <row r="477" spans="1:7" x14ac:dyDescent="0.35">
      <c r="A477" s="1" t="str">
        <f t="shared" si="7"/>
        <v>17</v>
      </c>
      <c r="B477"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477" s="1" t="s">
        <v>2489</v>
      </c>
      <c r="D477" s="1" t="s">
        <v>2490</v>
      </c>
      <c r="E477" s="1" t="s">
        <v>2491</v>
      </c>
      <c r="F477" s="1" t="s">
        <v>112</v>
      </c>
      <c r="G477" s="1">
        <v>174943</v>
      </c>
    </row>
    <row r="478" spans="1:7" x14ac:dyDescent="0.35">
      <c r="A478" s="1" t="str">
        <f t="shared" si="7"/>
        <v>17</v>
      </c>
      <c r="B47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478" s="1" t="s">
        <v>2492</v>
      </c>
      <c r="D478" s="1" t="s">
        <v>1447</v>
      </c>
      <c r="E478" s="1" t="s">
        <v>2493</v>
      </c>
      <c r="F478" s="1" t="s">
        <v>112</v>
      </c>
      <c r="G478" s="1">
        <v>16979</v>
      </c>
    </row>
    <row r="479" spans="1:7" x14ac:dyDescent="0.35">
      <c r="A479" s="1" t="str">
        <f t="shared" si="7"/>
        <v>17</v>
      </c>
      <c r="B479"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479" s="1" t="s">
        <v>2494</v>
      </c>
      <c r="D479" s="1" t="s">
        <v>2495</v>
      </c>
      <c r="E479" s="1" t="s">
        <v>2496</v>
      </c>
      <c r="F479" s="1" t="s">
        <v>112</v>
      </c>
      <c r="G479" s="1">
        <v>192009</v>
      </c>
    </row>
    <row r="480" spans="1:7" x14ac:dyDescent="0.35">
      <c r="A480" s="1" t="str">
        <f t="shared" si="7"/>
        <v>17</v>
      </c>
      <c r="B480"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480" s="1" t="s">
        <v>2497</v>
      </c>
      <c r="D480" s="1" t="s">
        <v>1631</v>
      </c>
      <c r="E480" s="1" t="s">
        <v>2498</v>
      </c>
      <c r="F480" s="1" t="s">
        <v>112</v>
      </c>
      <c r="G480" s="1">
        <v>313633</v>
      </c>
    </row>
    <row r="481" spans="1:8" x14ac:dyDescent="0.35">
      <c r="A481" s="1" t="str">
        <f t="shared" si="7"/>
        <v>17</v>
      </c>
      <c r="B481"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481" s="1" t="s">
        <v>2499</v>
      </c>
    </row>
    <row r="482" spans="1:8" x14ac:dyDescent="0.35">
      <c r="A482" s="1" t="str">
        <f t="shared" si="7"/>
        <v>17</v>
      </c>
      <c r="B48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482" s="1" t="s">
        <v>2500</v>
      </c>
      <c r="D482" s="1" t="s">
        <v>2501</v>
      </c>
      <c r="E482" s="1" t="s">
        <v>2502</v>
      </c>
      <c r="F482" s="1" t="s">
        <v>112</v>
      </c>
      <c r="G482" s="1">
        <v>439368</v>
      </c>
    </row>
    <row r="483" spans="1:8" x14ac:dyDescent="0.35">
      <c r="A483" s="1" t="str">
        <f t="shared" si="7"/>
        <v>17</v>
      </c>
      <c r="B48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483" s="1" t="s">
        <v>2503</v>
      </c>
      <c r="D483" s="1" t="s">
        <v>1045</v>
      </c>
      <c r="E483" s="1" t="s">
        <v>2504</v>
      </c>
      <c r="F483" s="1" t="s">
        <v>112</v>
      </c>
      <c r="G483" s="1">
        <v>17261</v>
      </c>
    </row>
    <row r="484" spans="1:8" x14ac:dyDescent="0.35">
      <c r="A484" s="1" t="str">
        <f t="shared" si="7"/>
        <v>17</v>
      </c>
      <c r="B48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484" s="1" t="s">
        <v>2505</v>
      </c>
      <c r="D484" s="1" t="s">
        <v>1895</v>
      </c>
      <c r="E484" s="1" t="s">
        <v>2506</v>
      </c>
      <c r="F484" s="1" t="s">
        <v>112</v>
      </c>
      <c r="G484" s="1">
        <v>233408</v>
      </c>
    </row>
    <row r="485" spans="1:8" x14ac:dyDescent="0.35">
      <c r="A485" s="1" t="str">
        <f t="shared" si="7"/>
        <v>17</v>
      </c>
      <c r="B48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485" s="1" t="s">
        <v>2507</v>
      </c>
      <c r="D485" s="1" t="s">
        <v>541</v>
      </c>
      <c r="E485" s="1" t="s">
        <v>2508</v>
      </c>
      <c r="F485" s="1" t="s">
        <v>112</v>
      </c>
      <c r="G485" s="1">
        <v>249047</v>
      </c>
    </row>
    <row r="486" spans="1:8" x14ac:dyDescent="0.35">
      <c r="A486" s="1" t="str">
        <f t="shared" si="7"/>
        <v>17</v>
      </c>
      <c r="B486"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486" s="1" t="s">
        <v>2509</v>
      </c>
      <c r="D486" s="1" t="s">
        <v>1033</v>
      </c>
      <c r="E486" s="1" t="s">
        <v>2510</v>
      </c>
      <c r="F486" s="1" t="s">
        <v>112</v>
      </c>
      <c r="G486" s="1">
        <v>144964</v>
      </c>
    </row>
    <row r="487" spans="1:8" x14ac:dyDescent="0.35">
      <c r="A487" s="1" t="str">
        <f t="shared" si="7"/>
        <v>17</v>
      </c>
      <c r="B487"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487" s="1" t="s">
        <v>2511</v>
      </c>
      <c r="D487" s="1" t="s">
        <v>515</v>
      </c>
      <c r="E487" s="1" t="s">
        <v>2512</v>
      </c>
      <c r="F487" s="1" t="s">
        <v>112</v>
      </c>
      <c r="G487" s="1">
        <v>96534</v>
      </c>
    </row>
    <row r="488" spans="1:8" x14ac:dyDescent="0.35">
      <c r="A488" s="1" t="str">
        <f t="shared" si="7"/>
        <v>17</v>
      </c>
      <c r="B48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488" s="1" t="s">
        <v>2513</v>
      </c>
      <c r="D488" s="1" t="s">
        <v>1294</v>
      </c>
      <c r="E488" s="1" t="s">
        <v>2514</v>
      </c>
      <c r="F488" s="1" t="s">
        <v>112</v>
      </c>
      <c r="G488" s="1">
        <v>109123</v>
      </c>
    </row>
    <row r="489" spans="1:8" x14ac:dyDescent="0.35">
      <c r="A489" s="1" t="str">
        <f t="shared" si="7"/>
        <v/>
      </c>
      <c r="B48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489" s="1" t="s">
        <v>112</v>
      </c>
    </row>
    <row r="490" spans="1:8" x14ac:dyDescent="0.35">
      <c r="A490" s="1" t="str">
        <f t="shared" si="7"/>
        <v/>
      </c>
      <c r="B49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490" s="1" t="s">
        <v>226</v>
      </c>
      <c r="D490" s="1" t="s">
        <v>112</v>
      </c>
      <c r="E490" s="1" t="s">
        <v>227</v>
      </c>
      <c r="F490" s="1" t="s">
        <v>228</v>
      </c>
      <c r="G490" s="1" t="s">
        <v>229</v>
      </c>
      <c r="H490" s="1" t="s">
        <v>230</v>
      </c>
    </row>
    <row r="491" spans="1:8" x14ac:dyDescent="0.35">
      <c r="A491" s="1" t="str">
        <f t="shared" si="7"/>
        <v>17</v>
      </c>
      <c r="B491"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 xml:space="preserve"> </v>
      </c>
      <c r="C491" s="1" t="s">
        <v>2515</v>
      </c>
      <c r="D491" s="1" t="s">
        <v>112</v>
      </c>
      <c r="E491" s="1" t="s">
        <v>2516</v>
      </c>
      <c r="F491" s="1" t="s">
        <v>2517</v>
      </c>
      <c r="G491" s="1" t="s">
        <v>2518</v>
      </c>
      <c r="H491" s="1" t="s">
        <v>2519</v>
      </c>
    </row>
    <row r="492" spans="1:8" x14ac:dyDescent="0.35">
      <c r="A492" s="1" t="str">
        <f t="shared" si="7"/>
        <v/>
      </c>
      <c r="B49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492" s="1" t="s">
        <v>112</v>
      </c>
    </row>
    <row r="493" spans="1:8" x14ac:dyDescent="0.35">
      <c r="A493" s="1" t="str">
        <f t="shared" si="7"/>
        <v/>
      </c>
      <c r="B49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493" s="1" t="s">
        <v>112</v>
      </c>
    </row>
    <row r="494" spans="1:8" x14ac:dyDescent="0.35">
      <c r="A494" s="1" t="str">
        <f t="shared" si="7"/>
        <v/>
      </c>
      <c r="B49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494" s="1" t="s">
        <v>112</v>
      </c>
    </row>
    <row r="495" spans="1:8" x14ac:dyDescent="0.35">
      <c r="A495" s="1" t="str">
        <f t="shared" si="7"/>
        <v/>
      </c>
      <c r="B49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495" s="1" t="s">
        <v>112</v>
      </c>
    </row>
    <row r="496" spans="1:8" x14ac:dyDescent="0.35">
      <c r="A496" s="1" t="str">
        <f t="shared" si="7"/>
        <v/>
      </c>
      <c r="B49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496" s="1" t="s">
        <v>112</v>
      </c>
    </row>
    <row r="497" spans="1:7" x14ac:dyDescent="0.35">
      <c r="A497" s="1" t="str">
        <f t="shared" si="7"/>
        <v/>
      </c>
      <c r="B49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497" s="1" t="s">
        <v>172</v>
      </c>
      <c r="D497" s="1" t="s">
        <v>110</v>
      </c>
      <c r="E497" s="1" t="s">
        <v>111</v>
      </c>
      <c r="F497" s="1" t="s">
        <v>112</v>
      </c>
      <c r="G497" s="1" t="s">
        <v>113</v>
      </c>
    </row>
    <row r="498" spans="1:7" x14ac:dyDescent="0.35">
      <c r="A498" s="1" t="str">
        <f t="shared" si="7"/>
        <v>18</v>
      </c>
      <c r="B49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498" s="1" t="s">
        <v>2520</v>
      </c>
      <c r="D498" s="1" t="s">
        <v>1051</v>
      </c>
      <c r="E498" s="1" t="s">
        <v>2521</v>
      </c>
      <c r="F498" s="1" t="s">
        <v>112</v>
      </c>
      <c r="G498" s="1">
        <v>12891</v>
      </c>
    </row>
    <row r="499" spans="1:7" x14ac:dyDescent="0.35">
      <c r="A499" s="1" t="str">
        <f t="shared" si="7"/>
        <v>18</v>
      </c>
      <c r="B499"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499" s="1" t="s">
        <v>2522</v>
      </c>
      <c r="D499" s="1" t="s">
        <v>203</v>
      </c>
      <c r="E499" s="1" t="s">
        <v>2523</v>
      </c>
      <c r="F499" s="1" t="s">
        <v>112</v>
      </c>
      <c r="G499" s="1">
        <v>5948</v>
      </c>
    </row>
    <row r="500" spans="1:7" x14ac:dyDescent="0.35">
      <c r="A500" s="1" t="str">
        <f t="shared" si="7"/>
        <v>18</v>
      </c>
      <c r="B500"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500" s="1" t="s">
        <v>2524</v>
      </c>
      <c r="D500" s="1">
        <v>0</v>
      </c>
      <c r="E500" s="1">
        <v>0</v>
      </c>
      <c r="F500" s="1" t="s">
        <v>112</v>
      </c>
      <c r="G500" s="1">
        <v>0</v>
      </c>
    </row>
    <row r="501" spans="1:7" x14ac:dyDescent="0.35">
      <c r="A501" s="1" t="str">
        <f t="shared" si="7"/>
        <v>18</v>
      </c>
      <c r="B501"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501" s="1" t="s">
        <v>2525</v>
      </c>
    </row>
    <row r="502" spans="1:7" x14ac:dyDescent="0.35">
      <c r="A502" s="1" t="str">
        <f t="shared" si="7"/>
        <v>18</v>
      </c>
      <c r="B50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502" s="1" t="s">
        <v>2526</v>
      </c>
    </row>
    <row r="503" spans="1:7" x14ac:dyDescent="0.35">
      <c r="A503" s="1" t="str">
        <f t="shared" si="7"/>
        <v>18</v>
      </c>
      <c r="B50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503" s="1" t="s">
        <v>2527</v>
      </c>
      <c r="D503" s="1" t="s">
        <v>2105</v>
      </c>
      <c r="E503" s="1" t="s">
        <v>2528</v>
      </c>
      <c r="F503" s="1" t="s">
        <v>112</v>
      </c>
      <c r="G503" s="1">
        <v>542802</v>
      </c>
    </row>
    <row r="504" spans="1:7" x14ac:dyDescent="0.35">
      <c r="A504" s="1" t="str">
        <f t="shared" si="7"/>
        <v>18</v>
      </c>
      <c r="B50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504" s="1" t="s">
        <v>2529</v>
      </c>
      <c r="D504" s="1">
        <v>0</v>
      </c>
      <c r="E504" s="1">
        <v>0</v>
      </c>
      <c r="F504" s="1" t="s">
        <v>112</v>
      </c>
      <c r="G504" s="1">
        <v>0</v>
      </c>
    </row>
    <row r="505" spans="1:7" x14ac:dyDescent="0.35">
      <c r="A505" s="1" t="str">
        <f t="shared" si="7"/>
        <v>18</v>
      </c>
      <c r="B50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505" s="1" t="s">
        <v>2530</v>
      </c>
      <c r="D505" s="1" t="s">
        <v>1048</v>
      </c>
      <c r="E505" s="1" t="s">
        <v>2531</v>
      </c>
      <c r="F505" s="1" t="s">
        <v>112</v>
      </c>
      <c r="G505" s="1">
        <v>42200</v>
      </c>
    </row>
    <row r="506" spans="1:7" x14ac:dyDescent="0.35">
      <c r="A506" s="1" t="str">
        <f t="shared" si="7"/>
        <v>18</v>
      </c>
      <c r="B506"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506" s="1" t="s">
        <v>2532</v>
      </c>
      <c r="D506" s="1" t="s">
        <v>1684</v>
      </c>
      <c r="E506" s="1" t="s">
        <v>2533</v>
      </c>
      <c r="F506" s="1" t="s">
        <v>112</v>
      </c>
      <c r="G506" s="1">
        <v>45704</v>
      </c>
    </row>
    <row r="507" spans="1:7" x14ac:dyDescent="0.35">
      <c r="A507" s="1" t="str">
        <f t="shared" si="7"/>
        <v>18</v>
      </c>
      <c r="B507"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507" s="1" t="s">
        <v>2534</v>
      </c>
      <c r="D507" s="1" t="s">
        <v>1120</v>
      </c>
      <c r="E507" s="1" t="s">
        <v>2535</v>
      </c>
      <c r="F507" s="1" t="s">
        <v>112</v>
      </c>
      <c r="G507" s="1">
        <v>120219</v>
      </c>
    </row>
    <row r="508" spans="1:7" x14ac:dyDescent="0.35">
      <c r="A508" s="1" t="str">
        <f t="shared" si="7"/>
        <v>18</v>
      </c>
      <c r="B50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508" s="1" t="s">
        <v>2536</v>
      </c>
      <c r="D508" s="1" t="s">
        <v>1513</v>
      </c>
      <c r="E508" s="1" t="s">
        <v>2537</v>
      </c>
      <c r="F508" s="1" t="s">
        <v>112</v>
      </c>
      <c r="G508" s="1">
        <v>164777</v>
      </c>
    </row>
    <row r="509" spans="1:7" x14ac:dyDescent="0.35">
      <c r="A509" s="1" t="str">
        <f t="shared" si="7"/>
        <v>18</v>
      </c>
      <c r="B509"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509" s="1" t="s">
        <v>2538</v>
      </c>
      <c r="D509" s="1" t="s">
        <v>512</v>
      </c>
      <c r="E509" s="1" t="s">
        <v>2539</v>
      </c>
      <c r="F509" s="1" t="s">
        <v>112</v>
      </c>
      <c r="G509" s="1">
        <v>162635</v>
      </c>
    </row>
    <row r="510" spans="1:7" x14ac:dyDescent="0.35">
      <c r="A510" s="1" t="str">
        <f t="shared" si="7"/>
        <v>18</v>
      </c>
      <c r="B510"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510" s="1" t="s">
        <v>2540</v>
      </c>
      <c r="D510" s="1" t="s">
        <v>532</v>
      </c>
      <c r="E510" s="1" t="s">
        <v>2541</v>
      </c>
      <c r="F510" s="1" t="s">
        <v>112</v>
      </c>
      <c r="G510" s="1">
        <v>85200</v>
      </c>
    </row>
    <row r="511" spans="1:7" x14ac:dyDescent="0.35">
      <c r="A511" s="1" t="str">
        <f t="shared" si="7"/>
        <v>18</v>
      </c>
      <c r="B511"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511" s="1" t="s">
        <v>2542</v>
      </c>
      <c r="D511" s="1" t="s">
        <v>2543</v>
      </c>
      <c r="E511" s="1" t="s">
        <v>2544</v>
      </c>
      <c r="F511" s="1" t="s">
        <v>112</v>
      </c>
      <c r="G511" s="1">
        <v>31623</v>
      </c>
    </row>
    <row r="512" spans="1:7" x14ac:dyDescent="0.35">
      <c r="A512" s="1" t="str">
        <f t="shared" si="7"/>
        <v>18</v>
      </c>
      <c r="B51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512" s="1" t="s">
        <v>2545</v>
      </c>
      <c r="D512" s="1" t="s">
        <v>2546</v>
      </c>
      <c r="E512" s="1" t="s">
        <v>2547</v>
      </c>
      <c r="F512" s="1" t="s">
        <v>112</v>
      </c>
      <c r="G512" s="1">
        <v>271174</v>
      </c>
    </row>
    <row r="513" spans="1:8" x14ac:dyDescent="0.35">
      <c r="A513" s="1" t="str">
        <f t="shared" si="7"/>
        <v>18</v>
      </c>
      <c r="B51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513" s="1" t="s">
        <v>2548</v>
      </c>
      <c r="D513" s="1" t="s">
        <v>2356</v>
      </c>
      <c r="E513" s="1" t="s">
        <v>2549</v>
      </c>
      <c r="F513" s="1" t="s">
        <v>112</v>
      </c>
      <c r="G513" s="1">
        <v>69129</v>
      </c>
    </row>
    <row r="514" spans="1:8" x14ac:dyDescent="0.35">
      <c r="A514" s="1" t="str">
        <f t="shared" ref="A514:A577" si="8">IFERROR(LEFT(RIGHT(C514,LEN(C514)-SEARCH("@",C514)),SEARCH("/",RIGHT(C514,LEN(C514)-SEARCH("@",C514)-1))),"")</f>
        <v>18</v>
      </c>
      <c r="B51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514" s="1" t="s">
        <v>2550</v>
      </c>
      <c r="D514" s="1" t="s">
        <v>967</v>
      </c>
      <c r="E514" s="1" t="s">
        <v>2551</v>
      </c>
      <c r="F514" s="1" t="s">
        <v>112</v>
      </c>
      <c r="G514" s="1">
        <v>65777</v>
      </c>
    </row>
    <row r="515" spans="1:8" x14ac:dyDescent="0.35">
      <c r="A515" s="1" t="str">
        <f t="shared" si="8"/>
        <v>18</v>
      </c>
      <c r="B51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515" s="1" t="s">
        <v>2552</v>
      </c>
      <c r="D515" s="1" t="s">
        <v>512</v>
      </c>
      <c r="E515" s="1" t="s">
        <v>2553</v>
      </c>
      <c r="F515" s="1" t="s">
        <v>112</v>
      </c>
      <c r="G515" s="1">
        <v>165079</v>
      </c>
    </row>
    <row r="516" spans="1:8" x14ac:dyDescent="0.35">
      <c r="A516" s="1" t="str">
        <f t="shared" si="8"/>
        <v>18</v>
      </c>
      <c r="B516"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516" s="1" t="s">
        <v>2554</v>
      </c>
      <c r="D516" s="1" t="s">
        <v>2399</v>
      </c>
      <c r="E516" s="1" t="s">
        <v>2555</v>
      </c>
      <c r="F516" s="1" t="s">
        <v>112</v>
      </c>
      <c r="G516" s="1">
        <v>263993</v>
      </c>
    </row>
    <row r="517" spans="1:8" x14ac:dyDescent="0.35">
      <c r="A517" s="1" t="str">
        <f t="shared" si="8"/>
        <v>18</v>
      </c>
      <c r="B517"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517" s="1" t="s">
        <v>2556</v>
      </c>
      <c r="D517" s="1" t="s">
        <v>1238</v>
      </c>
      <c r="E517" s="1" t="s">
        <v>2557</v>
      </c>
      <c r="F517" s="1" t="s">
        <v>112</v>
      </c>
      <c r="G517" s="1">
        <v>103153</v>
      </c>
    </row>
    <row r="518" spans="1:8" x14ac:dyDescent="0.35">
      <c r="A518" s="1" t="str">
        <f t="shared" si="8"/>
        <v>18</v>
      </c>
      <c r="B51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518" s="1" t="s">
        <v>2558</v>
      </c>
      <c r="D518" s="1" t="s">
        <v>2559</v>
      </c>
      <c r="E518" s="1" t="s">
        <v>2560</v>
      </c>
      <c r="F518" s="1" t="s">
        <v>112</v>
      </c>
      <c r="G518" s="1">
        <v>150133</v>
      </c>
    </row>
    <row r="519" spans="1:8" x14ac:dyDescent="0.35">
      <c r="A519" s="1" t="str">
        <f t="shared" si="8"/>
        <v>18</v>
      </c>
      <c r="B519"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519" s="1" t="s">
        <v>2561</v>
      </c>
      <c r="D519" s="1" t="s">
        <v>2562</v>
      </c>
      <c r="E519" s="1" t="s">
        <v>2563</v>
      </c>
      <c r="F519" s="1" t="s">
        <v>112</v>
      </c>
      <c r="G519" s="1">
        <v>240935</v>
      </c>
    </row>
    <row r="520" spans="1:8" x14ac:dyDescent="0.35">
      <c r="A520" s="1" t="str">
        <f t="shared" si="8"/>
        <v>18</v>
      </c>
      <c r="B520"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520" s="1" t="s">
        <v>2564</v>
      </c>
      <c r="D520" s="1" t="s">
        <v>2565</v>
      </c>
      <c r="E520" s="1" t="s">
        <v>2566</v>
      </c>
      <c r="F520" s="1" t="s">
        <v>112</v>
      </c>
      <c r="G520" s="1">
        <v>308767</v>
      </c>
    </row>
    <row r="521" spans="1:8" x14ac:dyDescent="0.35">
      <c r="A521" s="1" t="str">
        <f t="shared" si="8"/>
        <v>18</v>
      </c>
      <c r="B521"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521" s="1" t="s">
        <v>2567</v>
      </c>
      <c r="D521" s="1" t="s">
        <v>2568</v>
      </c>
      <c r="E521" s="1" t="s">
        <v>2569</v>
      </c>
      <c r="F521" s="1" t="s">
        <v>112</v>
      </c>
      <c r="G521" s="1">
        <v>185044</v>
      </c>
    </row>
    <row r="522" spans="1:8" x14ac:dyDescent="0.35">
      <c r="A522" s="1" t="str">
        <f t="shared" si="8"/>
        <v/>
      </c>
      <c r="B52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522" s="1" t="s">
        <v>112</v>
      </c>
    </row>
    <row r="523" spans="1:8" x14ac:dyDescent="0.35">
      <c r="A523" s="1" t="str">
        <f t="shared" si="8"/>
        <v/>
      </c>
      <c r="B52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523" s="1" t="s">
        <v>226</v>
      </c>
      <c r="D523" s="1" t="s">
        <v>112</v>
      </c>
      <c r="E523" s="1" t="s">
        <v>227</v>
      </c>
      <c r="F523" s="1" t="s">
        <v>228</v>
      </c>
      <c r="G523" s="1" t="s">
        <v>229</v>
      </c>
      <c r="H523" s="1" t="s">
        <v>230</v>
      </c>
    </row>
    <row r="524" spans="1:8" x14ac:dyDescent="0.35">
      <c r="A524" s="1" t="str">
        <f t="shared" si="8"/>
        <v>18</v>
      </c>
      <c r="B52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 xml:space="preserve"> </v>
      </c>
      <c r="C524" s="1" t="s">
        <v>2570</v>
      </c>
      <c r="D524" s="1" t="s">
        <v>112</v>
      </c>
      <c r="E524" s="1" t="s">
        <v>2571</v>
      </c>
      <c r="F524" s="1" t="s">
        <v>2572</v>
      </c>
      <c r="G524" s="1" t="s">
        <v>2573</v>
      </c>
      <c r="H524" s="1" t="s">
        <v>2574</v>
      </c>
    </row>
    <row r="525" spans="1:8" x14ac:dyDescent="0.35">
      <c r="A525" s="1" t="str">
        <f t="shared" si="8"/>
        <v/>
      </c>
      <c r="B52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525" s="1" t="s">
        <v>112</v>
      </c>
    </row>
    <row r="526" spans="1:8" x14ac:dyDescent="0.35">
      <c r="A526" s="1" t="str">
        <f t="shared" si="8"/>
        <v/>
      </c>
      <c r="B52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526" s="1" t="s">
        <v>112</v>
      </c>
    </row>
    <row r="527" spans="1:8" x14ac:dyDescent="0.35">
      <c r="A527" s="1" t="str">
        <f t="shared" si="8"/>
        <v/>
      </c>
      <c r="B52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527" s="1" t="s">
        <v>112</v>
      </c>
    </row>
    <row r="528" spans="1:8" x14ac:dyDescent="0.35">
      <c r="A528" s="1" t="str">
        <f t="shared" si="8"/>
        <v/>
      </c>
      <c r="B52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528" s="1" t="s">
        <v>112</v>
      </c>
    </row>
    <row r="529" spans="1:7" x14ac:dyDescent="0.35">
      <c r="A529" s="1" t="str">
        <f t="shared" si="8"/>
        <v/>
      </c>
      <c r="B52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529" s="1" t="s">
        <v>112</v>
      </c>
    </row>
    <row r="530" spans="1:7" x14ac:dyDescent="0.35">
      <c r="A530" s="1" t="str">
        <f t="shared" si="8"/>
        <v/>
      </c>
      <c r="B53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530" s="1" t="s">
        <v>172</v>
      </c>
      <c r="D530" s="1" t="s">
        <v>110</v>
      </c>
      <c r="E530" s="1" t="s">
        <v>111</v>
      </c>
      <c r="F530" s="1" t="s">
        <v>112</v>
      </c>
      <c r="G530" s="1" t="s">
        <v>113</v>
      </c>
    </row>
    <row r="531" spans="1:7" x14ac:dyDescent="0.35">
      <c r="A531" s="1" t="str">
        <f t="shared" si="8"/>
        <v>19</v>
      </c>
      <c r="B531"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531" s="1" t="s">
        <v>2575</v>
      </c>
    </row>
    <row r="532" spans="1:7" x14ac:dyDescent="0.35">
      <c r="A532" s="1" t="str">
        <f t="shared" si="8"/>
        <v>19</v>
      </c>
      <c r="B53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532" s="1" t="s">
        <v>2576</v>
      </c>
      <c r="D532" s="1" t="s">
        <v>2577</v>
      </c>
      <c r="E532" s="1" t="s">
        <v>2578</v>
      </c>
      <c r="F532" s="1" t="s">
        <v>112</v>
      </c>
      <c r="G532" s="1">
        <v>677946</v>
      </c>
    </row>
    <row r="533" spans="1:7" x14ac:dyDescent="0.35">
      <c r="A533" s="1" t="str">
        <f t="shared" si="8"/>
        <v>19</v>
      </c>
      <c r="B53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533" s="1" t="s">
        <v>2579</v>
      </c>
    </row>
    <row r="534" spans="1:7" x14ac:dyDescent="0.35">
      <c r="A534" s="1" t="str">
        <f t="shared" si="8"/>
        <v>19</v>
      </c>
      <c r="B53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534" s="1" t="s">
        <v>2580</v>
      </c>
      <c r="D534" s="1">
        <v>0</v>
      </c>
      <c r="E534" s="1">
        <v>0</v>
      </c>
      <c r="F534" s="1" t="s">
        <v>112</v>
      </c>
      <c r="G534" s="1">
        <v>0</v>
      </c>
    </row>
    <row r="535" spans="1:7" x14ac:dyDescent="0.35">
      <c r="A535" s="1" t="str">
        <f t="shared" si="8"/>
        <v>19</v>
      </c>
      <c r="B53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535" s="1" t="s">
        <v>2581</v>
      </c>
      <c r="D535" s="1">
        <v>0</v>
      </c>
      <c r="E535" s="1">
        <v>0</v>
      </c>
      <c r="F535" s="1" t="s">
        <v>112</v>
      </c>
      <c r="G535" s="1">
        <v>0</v>
      </c>
    </row>
    <row r="536" spans="1:7" x14ac:dyDescent="0.35">
      <c r="A536" s="1" t="str">
        <f t="shared" si="8"/>
        <v>19</v>
      </c>
      <c r="B536"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536" s="1" t="s">
        <v>2582</v>
      </c>
    </row>
    <row r="537" spans="1:7" x14ac:dyDescent="0.35">
      <c r="A537" s="1" t="str">
        <f t="shared" si="8"/>
        <v>19</v>
      </c>
      <c r="B537"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537" s="1" t="s">
        <v>2583</v>
      </c>
      <c r="D537" s="1" t="s">
        <v>2543</v>
      </c>
      <c r="E537" s="1" t="s">
        <v>2584</v>
      </c>
      <c r="F537" s="1" t="s">
        <v>112</v>
      </c>
      <c r="G537" s="1">
        <v>31082</v>
      </c>
    </row>
    <row r="538" spans="1:7" x14ac:dyDescent="0.35">
      <c r="A538" s="1" t="str">
        <f t="shared" si="8"/>
        <v>19</v>
      </c>
      <c r="B53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538" s="1" t="s">
        <v>2585</v>
      </c>
      <c r="D538" s="1" t="s">
        <v>991</v>
      </c>
      <c r="E538" s="1" t="s">
        <v>1943</v>
      </c>
      <c r="F538" s="1" t="s">
        <v>112</v>
      </c>
      <c r="G538" s="1">
        <v>8392</v>
      </c>
    </row>
    <row r="539" spans="1:7" x14ac:dyDescent="0.35">
      <c r="A539" s="1" t="str">
        <f t="shared" si="8"/>
        <v>19</v>
      </c>
      <c r="B539"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539" s="1" t="s">
        <v>2586</v>
      </c>
      <c r="D539" s="1" t="s">
        <v>2587</v>
      </c>
      <c r="E539" s="1" t="s">
        <v>2588</v>
      </c>
      <c r="F539" s="1" t="s">
        <v>112</v>
      </c>
      <c r="G539" s="1">
        <v>56216</v>
      </c>
    </row>
    <row r="540" spans="1:7" x14ac:dyDescent="0.35">
      <c r="A540" s="1" t="str">
        <f t="shared" si="8"/>
        <v>19</v>
      </c>
      <c r="B540"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540" s="1" t="s">
        <v>2589</v>
      </c>
      <c r="D540" s="1" t="s">
        <v>1190</v>
      </c>
      <c r="E540" s="1" t="s">
        <v>2590</v>
      </c>
      <c r="F540" s="1" t="s">
        <v>112</v>
      </c>
      <c r="G540" s="1">
        <v>148943</v>
      </c>
    </row>
    <row r="541" spans="1:7" x14ac:dyDescent="0.35">
      <c r="A541" s="1" t="str">
        <f t="shared" si="8"/>
        <v>19</v>
      </c>
      <c r="B541"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541" s="1" t="s">
        <v>2591</v>
      </c>
      <c r="D541" s="1" t="s">
        <v>547</v>
      </c>
      <c r="E541" s="1" t="s">
        <v>2592</v>
      </c>
      <c r="F541" s="1" t="s">
        <v>112</v>
      </c>
      <c r="G541" s="1">
        <v>149073</v>
      </c>
    </row>
    <row r="542" spans="1:7" x14ac:dyDescent="0.35">
      <c r="A542" s="1" t="str">
        <f t="shared" si="8"/>
        <v>19</v>
      </c>
      <c r="B54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542" s="1" t="s">
        <v>2593</v>
      </c>
      <c r="D542" s="1" t="s">
        <v>706</v>
      </c>
      <c r="E542" s="1" t="s">
        <v>2594</v>
      </c>
      <c r="F542" s="1" t="s">
        <v>112</v>
      </c>
      <c r="G542" s="1">
        <v>100017</v>
      </c>
    </row>
    <row r="543" spans="1:7" x14ac:dyDescent="0.35">
      <c r="A543" s="1" t="str">
        <f t="shared" si="8"/>
        <v>19</v>
      </c>
      <c r="B54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543" s="1" t="s">
        <v>2595</v>
      </c>
    </row>
    <row r="544" spans="1:7" x14ac:dyDescent="0.35">
      <c r="A544" s="1" t="str">
        <f t="shared" si="8"/>
        <v>19</v>
      </c>
      <c r="B54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544" s="1" t="s">
        <v>2596</v>
      </c>
      <c r="D544" s="1" t="s">
        <v>518</v>
      </c>
      <c r="E544" s="1" t="s">
        <v>2597</v>
      </c>
      <c r="F544" s="1" t="s">
        <v>112</v>
      </c>
      <c r="G544" s="1">
        <v>171612</v>
      </c>
    </row>
    <row r="545" spans="1:8" x14ac:dyDescent="0.35">
      <c r="A545" s="1" t="str">
        <f t="shared" si="8"/>
        <v>19</v>
      </c>
      <c r="B54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545" s="1" t="s">
        <v>2598</v>
      </c>
      <c r="D545" s="1" t="s">
        <v>984</v>
      </c>
      <c r="E545" s="1" t="s">
        <v>2599</v>
      </c>
      <c r="F545" s="1" t="s">
        <v>112</v>
      </c>
      <c r="G545" s="1">
        <v>14643</v>
      </c>
    </row>
    <row r="546" spans="1:8" x14ac:dyDescent="0.35">
      <c r="A546" s="1" t="str">
        <f t="shared" si="8"/>
        <v>19</v>
      </c>
      <c r="B546"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546" s="1" t="s">
        <v>2600</v>
      </c>
    </row>
    <row r="547" spans="1:8" x14ac:dyDescent="0.35">
      <c r="A547" s="1" t="str">
        <f t="shared" si="8"/>
        <v>19</v>
      </c>
      <c r="B547"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547" s="1" t="s">
        <v>2601</v>
      </c>
    </row>
    <row r="548" spans="1:8" x14ac:dyDescent="0.35">
      <c r="A548" s="1" t="str">
        <f t="shared" si="8"/>
        <v>19</v>
      </c>
      <c r="B54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548" s="1" t="s">
        <v>2602</v>
      </c>
    </row>
    <row r="549" spans="1:8" x14ac:dyDescent="0.35">
      <c r="A549" s="1" t="str">
        <f t="shared" si="8"/>
        <v>19</v>
      </c>
      <c r="B549"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549" s="1" t="s">
        <v>2603</v>
      </c>
      <c r="D549" s="1" t="s">
        <v>191</v>
      </c>
      <c r="E549" s="1" t="s">
        <v>2604</v>
      </c>
      <c r="F549" s="1" t="s">
        <v>112</v>
      </c>
      <c r="G549" s="1">
        <v>127703</v>
      </c>
    </row>
    <row r="550" spans="1:8" x14ac:dyDescent="0.35">
      <c r="A550" s="1" t="str">
        <f t="shared" si="8"/>
        <v>19</v>
      </c>
      <c r="B550"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550" s="1" t="s">
        <v>2605</v>
      </c>
      <c r="D550" s="1">
        <v>0</v>
      </c>
      <c r="E550" s="1">
        <v>0</v>
      </c>
      <c r="F550" s="1" t="s">
        <v>112</v>
      </c>
      <c r="G550" s="1">
        <v>0</v>
      </c>
    </row>
    <row r="551" spans="1:8" x14ac:dyDescent="0.35">
      <c r="A551" s="1" t="str">
        <f t="shared" si="8"/>
        <v>19</v>
      </c>
      <c r="B551"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551" s="1" t="s">
        <v>2606</v>
      </c>
      <c r="D551" s="1" t="s">
        <v>1472</v>
      </c>
      <c r="E551" s="1" t="s">
        <v>2607</v>
      </c>
      <c r="F551" s="1" t="s">
        <v>112</v>
      </c>
      <c r="G551" s="1">
        <v>187272</v>
      </c>
    </row>
    <row r="552" spans="1:8" x14ac:dyDescent="0.35">
      <c r="A552" s="1" t="str">
        <f t="shared" si="8"/>
        <v>19</v>
      </c>
      <c r="B55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552" s="1" t="s">
        <v>2608</v>
      </c>
      <c r="D552" s="1" t="s">
        <v>462</v>
      </c>
      <c r="E552" s="1" t="s">
        <v>2417</v>
      </c>
      <c r="F552" s="1" t="s">
        <v>112</v>
      </c>
      <c r="G552" s="1">
        <v>6575</v>
      </c>
    </row>
    <row r="553" spans="1:8" x14ac:dyDescent="0.35">
      <c r="A553" s="1" t="str">
        <f t="shared" si="8"/>
        <v>19</v>
      </c>
      <c r="B55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553" s="1" t="s">
        <v>2609</v>
      </c>
      <c r="D553" s="1" t="s">
        <v>580</v>
      </c>
      <c r="E553" s="1" t="s">
        <v>2610</v>
      </c>
      <c r="F553" s="1" t="s">
        <v>112</v>
      </c>
      <c r="G553" s="1">
        <v>4066</v>
      </c>
    </row>
    <row r="554" spans="1:8" x14ac:dyDescent="0.35">
      <c r="A554" s="1" t="str">
        <f t="shared" si="8"/>
        <v>19</v>
      </c>
      <c r="B55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554" s="1" t="s">
        <v>2611</v>
      </c>
      <c r="D554" s="1" t="s">
        <v>2612</v>
      </c>
      <c r="E554" s="1" t="s">
        <v>2613</v>
      </c>
      <c r="F554" s="1" t="s">
        <v>112</v>
      </c>
      <c r="G554" s="1">
        <v>87536</v>
      </c>
    </row>
    <row r="555" spans="1:8" x14ac:dyDescent="0.35">
      <c r="A555" s="1" t="str">
        <f t="shared" si="8"/>
        <v/>
      </c>
      <c r="B55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555" s="1" t="s">
        <v>112</v>
      </c>
    </row>
    <row r="556" spans="1:8" x14ac:dyDescent="0.35">
      <c r="A556" s="1" t="str">
        <f t="shared" si="8"/>
        <v/>
      </c>
      <c r="B55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556" s="1" t="s">
        <v>226</v>
      </c>
      <c r="D556" s="1" t="s">
        <v>112</v>
      </c>
      <c r="E556" s="1" t="s">
        <v>227</v>
      </c>
      <c r="F556" s="1" t="s">
        <v>228</v>
      </c>
      <c r="G556" s="1" t="s">
        <v>229</v>
      </c>
      <c r="H556" s="1" t="s">
        <v>230</v>
      </c>
    </row>
    <row r="557" spans="1:8" x14ac:dyDescent="0.35">
      <c r="A557" s="1" t="str">
        <f t="shared" si="8"/>
        <v>19</v>
      </c>
      <c r="B557"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 xml:space="preserve"> </v>
      </c>
      <c r="C557" s="1" t="s">
        <v>2614</v>
      </c>
      <c r="D557" s="1" t="s">
        <v>112</v>
      </c>
      <c r="E557" s="1" t="s">
        <v>2615</v>
      </c>
      <c r="F557" s="1" t="s">
        <v>2616</v>
      </c>
      <c r="G557" s="1" t="s">
        <v>2617</v>
      </c>
      <c r="H557" s="1" t="s">
        <v>2618</v>
      </c>
    </row>
    <row r="558" spans="1:8" x14ac:dyDescent="0.35">
      <c r="A558" s="1" t="str">
        <f t="shared" si="8"/>
        <v/>
      </c>
      <c r="B55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558" s="1" t="s">
        <v>112</v>
      </c>
    </row>
    <row r="559" spans="1:8" x14ac:dyDescent="0.35">
      <c r="A559" s="1" t="str">
        <f t="shared" si="8"/>
        <v/>
      </c>
      <c r="B55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559" s="1" t="s">
        <v>112</v>
      </c>
    </row>
    <row r="560" spans="1:8" x14ac:dyDescent="0.35">
      <c r="A560" s="1" t="str">
        <f t="shared" si="8"/>
        <v/>
      </c>
      <c r="B56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560" s="1" t="s">
        <v>112</v>
      </c>
    </row>
    <row r="561" spans="1:7" x14ac:dyDescent="0.35">
      <c r="A561" s="1" t="str">
        <f t="shared" si="8"/>
        <v/>
      </c>
      <c r="B56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561" s="1" t="s">
        <v>112</v>
      </c>
    </row>
    <row r="562" spans="1:7" x14ac:dyDescent="0.35">
      <c r="A562" s="1" t="str">
        <f t="shared" si="8"/>
        <v/>
      </c>
      <c r="B56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562" s="1" t="s">
        <v>112</v>
      </c>
    </row>
    <row r="563" spans="1:7" x14ac:dyDescent="0.35">
      <c r="A563" s="1" t="str">
        <f t="shared" si="8"/>
        <v/>
      </c>
      <c r="B56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563" s="1" t="s">
        <v>172</v>
      </c>
      <c r="D563" s="1" t="s">
        <v>110</v>
      </c>
      <c r="E563" s="1" t="s">
        <v>111</v>
      </c>
      <c r="F563" s="1" t="s">
        <v>112</v>
      </c>
      <c r="G563" s="1" t="s">
        <v>113</v>
      </c>
    </row>
    <row r="564" spans="1:7" x14ac:dyDescent="0.35">
      <c r="A564" s="1" t="str">
        <f t="shared" si="8"/>
        <v>20</v>
      </c>
      <c r="B56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564" s="1" t="s">
        <v>2619</v>
      </c>
      <c r="D564" s="1" t="s">
        <v>1451</v>
      </c>
      <c r="E564" s="1" t="s">
        <v>2417</v>
      </c>
      <c r="F564" s="1" t="s">
        <v>112</v>
      </c>
      <c r="G564" s="1">
        <v>3288</v>
      </c>
    </row>
    <row r="565" spans="1:7" x14ac:dyDescent="0.35">
      <c r="A565" s="1" t="str">
        <f t="shared" si="8"/>
        <v>20</v>
      </c>
      <c r="B56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565" s="1" t="s">
        <v>2620</v>
      </c>
      <c r="D565" s="1" t="s">
        <v>1057</v>
      </c>
      <c r="E565" s="1" t="s">
        <v>2621</v>
      </c>
      <c r="F565" s="1" t="s">
        <v>112</v>
      </c>
      <c r="G565" s="1">
        <v>302797</v>
      </c>
    </row>
    <row r="566" spans="1:7" x14ac:dyDescent="0.35">
      <c r="A566" s="1" t="str">
        <f t="shared" si="8"/>
        <v>20</v>
      </c>
      <c r="B566"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566" s="1" t="s">
        <v>2622</v>
      </c>
      <c r="D566" s="1" t="s">
        <v>1350</v>
      </c>
      <c r="E566" s="1" t="s">
        <v>2623</v>
      </c>
      <c r="F566" s="1" t="s">
        <v>112</v>
      </c>
      <c r="G566" s="1">
        <v>268557</v>
      </c>
    </row>
    <row r="567" spans="1:7" x14ac:dyDescent="0.35">
      <c r="A567" s="1" t="str">
        <f t="shared" si="8"/>
        <v>20</v>
      </c>
      <c r="B567"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567" s="1" t="s">
        <v>2624</v>
      </c>
      <c r="D567" s="1" t="s">
        <v>1516</v>
      </c>
      <c r="E567" s="1" t="s">
        <v>2625</v>
      </c>
      <c r="F567" s="1" t="s">
        <v>112</v>
      </c>
      <c r="G567" s="1">
        <v>630360</v>
      </c>
    </row>
    <row r="568" spans="1:7" x14ac:dyDescent="0.35">
      <c r="A568" s="1" t="str">
        <f t="shared" si="8"/>
        <v>20</v>
      </c>
      <c r="B56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568" s="1" t="s">
        <v>2626</v>
      </c>
      <c r="D568" s="1" t="s">
        <v>1982</v>
      </c>
      <c r="E568" s="1" t="s">
        <v>2627</v>
      </c>
      <c r="F568" s="1" t="s">
        <v>112</v>
      </c>
      <c r="G568" s="1">
        <v>416440</v>
      </c>
    </row>
    <row r="569" spans="1:7" x14ac:dyDescent="0.35">
      <c r="A569" s="1" t="str">
        <f t="shared" si="8"/>
        <v>20</v>
      </c>
      <c r="B569"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569" s="1" t="s">
        <v>2628</v>
      </c>
      <c r="D569" s="1" t="s">
        <v>1134</v>
      </c>
      <c r="E569" s="1" t="s">
        <v>2629</v>
      </c>
      <c r="F569" s="1" t="s">
        <v>112</v>
      </c>
      <c r="G569" s="1">
        <v>388538</v>
      </c>
    </row>
    <row r="570" spans="1:7" x14ac:dyDescent="0.35">
      <c r="A570" s="1" t="str">
        <f t="shared" si="8"/>
        <v>20</v>
      </c>
      <c r="B570"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570" s="1" t="s">
        <v>2630</v>
      </c>
      <c r="D570" s="1" t="s">
        <v>2631</v>
      </c>
      <c r="E570" s="1" t="s">
        <v>2632</v>
      </c>
      <c r="F570" s="1" t="s">
        <v>112</v>
      </c>
      <c r="G570" s="1">
        <v>38912</v>
      </c>
    </row>
    <row r="571" spans="1:7" x14ac:dyDescent="0.35">
      <c r="A571" s="1" t="str">
        <f t="shared" si="8"/>
        <v>20</v>
      </c>
      <c r="B571"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571" s="1" t="s">
        <v>2633</v>
      </c>
      <c r="D571" s="1" t="s">
        <v>1976</v>
      </c>
      <c r="E571" s="1" t="s">
        <v>2634</v>
      </c>
      <c r="F571" s="1" t="s">
        <v>112</v>
      </c>
      <c r="G571" s="1">
        <v>50441</v>
      </c>
    </row>
    <row r="572" spans="1:7" x14ac:dyDescent="0.35">
      <c r="A572" s="1" t="str">
        <f t="shared" si="8"/>
        <v>20</v>
      </c>
      <c r="B57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572" s="1" t="s">
        <v>2635</v>
      </c>
      <c r="D572" s="1" t="s">
        <v>544</v>
      </c>
      <c r="E572" s="1" t="s">
        <v>2636</v>
      </c>
      <c r="F572" s="1" t="s">
        <v>112</v>
      </c>
      <c r="G572" s="1">
        <v>9582</v>
      </c>
    </row>
    <row r="573" spans="1:7" x14ac:dyDescent="0.35">
      <c r="A573" s="1" t="str">
        <f t="shared" si="8"/>
        <v>20</v>
      </c>
      <c r="B57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573" s="1" t="s">
        <v>2637</v>
      </c>
    </row>
    <row r="574" spans="1:7" x14ac:dyDescent="0.35">
      <c r="A574" s="1" t="str">
        <f t="shared" si="8"/>
        <v>20</v>
      </c>
      <c r="B57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574" s="1" t="s">
        <v>2638</v>
      </c>
    </row>
    <row r="575" spans="1:7" x14ac:dyDescent="0.35">
      <c r="A575" s="1" t="str">
        <f t="shared" si="8"/>
        <v>20</v>
      </c>
      <c r="B57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575" s="1" t="s">
        <v>2639</v>
      </c>
    </row>
    <row r="576" spans="1:7" x14ac:dyDescent="0.35">
      <c r="A576" s="1" t="str">
        <f t="shared" si="8"/>
        <v>20</v>
      </c>
      <c r="B576"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576" s="1" t="s">
        <v>2640</v>
      </c>
      <c r="D576" s="1" t="s">
        <v>2641</v>
      </c>
      <c r="E576" s="1" t="s">
        <v>2642</v>
      </c>
      <c r="F576" s="1" t="s">
        <v>112</v>
      </c>
      <c r="G576" s="1">
        <v>144380</v>
      </c>
    </row>
    <row r="577" spans="1:8" x14ac:dyDescent="0.35">
      <c r="A577" s="1" t="str">
        <f t="shared" si="8"/>
        <v>20</v>
      </c>
      <c r="B577"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577" s="1" t="s">
        <v>2643</v>
      </c>
      <c r="D577" s="1" t="s">
        <v>1184</v>
      </c>
      <c r="E577" s="1" t="s">
        <v>2644</v>
      </c>
      <c r="F577" s="1" t="s">
        <v>112</v>
      </c>
      <c r="G577" s="1">
        <v>159174</v>
      </c>
    </row>
    <row r="578" spans="1:8" x14ac:dyDescent="0.35">
      <c r="A578" s="1" t="str">
        <f t="shared" ref="A578:A641" si="9">IFERROR(LEFT(RIGHT(C578,LEN(C578)-SEARCH("@",C578)),SEARCH("/",RIGHT(C578,LEN(C578)-SEARCH("@",C578)-1))),"")</f>
        <v>20</v>
      </c>
      <c r="B57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578" s="1" t="s">
        <v>2645</v>
      </c>
      <c r="D578" s="1" t="s">
        <v>2646</v>
      </c>
      <c r="E578" s="1" t="s">
        <v>2647</v>
      </c>
      <c r="F578" s="1" t="s">
        <v>112</v>
      </c>
      <c r="G578" s="1">
        <v>172520</v>
      </c>
    </row>
    <row r="579" spans="1:8" x14ac:dyDescent="0.35">
      <c r="A579" s="1" t="str">
        <f t="shared" si="9"/>
        <v>20</v>
      </c>
      <c r="B579"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579" s="1" t="s">
        <v>2648</v>
      </c>
      <c r="D579" s="1" t="s">
        <v>2649</v>
      </c>
      <c r="E579" s="1" t="s">
        <v>2650</v>
      </c>
      <c r="F579" s="1" t="s">
        <v>112</v>
      </c>
      <c r="G579" s="1">
        <v>189218</v>
      </c>
    </row>
    <row r="580" spans="1:8" x14ac:dyDescent="0.35">
      <c r="A580" s="1" t="str">
        <f t="shared" si="9"/>
        <v>20</v>
      </c>
      <c r="B580"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580" s="1" t="s">
        <v>2651</v>
      </c>
      <c r="D580" s="1" t="s">
        <v>1054</v>
      </c>
      <c r="E580" s="1" t="s">
        <v>2652</v>
      </c>
      <c r="F580" s="1" t="s">
        <v>112</v>
      </c>
      <c r="G580" s="1">
        <v>198022</v>
      </c>
    </row>
    <row r="581" spans="1:8" x14ac:dyDescent="0.35">
      <c r="A581" s="1" t="str">
        <f t="shared" si="9"/>
        <v>20</v>
      </c>
      <c r="B581"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581" s="1" t="s">
        <v>2653</v>
      </c>
      <c r="D581" s="1" t="s">
        <v>571</v>
      </c>
      <c r="E581" s="1" t="s">
        <v>2654</v>
      </c>
      <c r="F581" s="1" t="s">
        <v>112</v>
      </c>
      <c r="G581" s="1">
        <v>113535</v>
      </c>
    </row>
    <row r="582" spans="1:8" x14ac:dyDescent="0.35">
      <c r="A582" s="1" t="str">
        <f t="shared" si="9"/>
        <v>20</v>
      </c>
      <c r="B58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582" s="1" t="s">
        <v>2655</v>
      </c>
      <c r="D582" s="1" t="s">
        <v>2656</v>
      </c>
      <c r="E582" s="1" t="s">
        <v>2657</v>
      </c>
      <c r="F582" s="1" t="s">
        <v>112</v>
      </c>
      <c r="G582" s="1">
        <v>518577</v>
      </c>
    </row>
    <row r="583" spans="1:8" x14ac:dyDescent="0.35">
      <c r="A583" s="1" t="str">
        <f t="shared" si="9"/>
        <v>20</v>
      </c>
      <c r="B58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583" s="1" t="s">
        <v>2658</v>
      </c>
      <c r="D583" s="1" t="s">
        <v>2659</v>
      </c>
      <c r="E583" s="1" t="s">
        <v>2660</v>
      </c>
      <c r="F583" s="1" t="s">
        <v>112</v>
      </c>
      <c r="G583" s="1">
        <v>717161</v>
      </c>
    </row>
    <row r="584" spans="1:8" x14ac:dyDescent="0.35">
      <c r="A584" s="1" t="str">
        <f t="shared" si="9"/>
        <v>20</v>
      </c>
      <c r="B58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584" s="1" t="s">
        <v>2661</v>
      </c>
      <c r="D584" s="1" t="s">
        <v>1315</v>
      </c>
      <c r="E584" s="1" t="s">
        <v>2662</v>
      </c>
      <c r="F584" s="1" t="s">
        <v>112</v>
      </c>
      <c r="G584" s="1">
        <v>8933</v>
      </c>
    </row>
    <row r="585" spans="1:8" x14ac:dyDescent="0.35">
      <c r="A585" s="1" t="str">
        <f t="shared" si="9"/>
        <v>20</v>
      </c>
      <c r="B58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585" s="1" t="s">
        <v>2663</v>
      </c>
      <c r="D585" s="1" t="s">
        <v>1991</v>
      </c>
      <c r="E585" s="1" t="s">
        <v>2664</v>
      </c>
      <c r="F585" s="1" t="s">
        <v>112</v>
      </c>
      <c r="G585" s="1">
        <v>190862</v>
      </c>
    </row>
    <row r="586" spans="1:8" x14ac:dyDescent="0.35">
      <c r="A586" s="1" t="str">
        <f t="shared" si="9"/>
        <v>20</v>
      </c>
      <c r="B586"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586" s="1" t="s">
        <v>2665</v>
      </c>
      <c r="D586" s="1">
        <v>0</v>
      </c>
      <c r="E586" s="1">
        <v>0</v>
      </c>
      <c r="F586" s="1" t="s">
        <v>112</v>
      </c>
      <c r="G586" s="1">
        <v>0</v>
      </c>
    </row>
    <row r="587" spans="1:8" x14ac:dyDescent="0.35">
      <c r="A587" s="1" t="str">
        <f t="shared" si="9"/>
        <v>20</v>
      </c>
      <c r="B587"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587" s="1" t="s">
        <v>2666</v>
      </c>
      <c r="D587" s="1" t="s">
        <v>954</v>
      </c>
      <c r="E587" s="1" t="s">
        <v>2667</v>
      </c>
      <c r="F587" s="1" t="s">
        <v>112</v>
      </c>
      <c r="G587" s="1">
        <v>1536</v>
      </c>
    </row>
    <row r="588" spans="1:8" x14ac:dyDescent="0.35">
      <c r="A588" s="1" t="str">
        <f t="shared" si="9"/>
        <v/>
      </c>
      <c r="B58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588" s="1" t="s">
        <v>112</v>
      </c>
    </row>
    <row r="589" spans="1:8" x14ac:dyDescent="0.35">
      <c r="A589" s="1" t="str">
        <f t="shared" si="9"/>
        <v/>
      </c>
      <c r="B58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589" s="1" t="s">
        <v>226</v>
      </c>
      <c r="D589" s="1" t="s">
        <v>112</v>
      </c>
      <c r="E589" s="1" t="s">
        <v>227</v>
      </c>
      <c r="F589" s="1" t="s">
        <v>228</v>
      </c>
      <c r="G589" s="1" t="s">
        <v>229</v>
      </c>
      <c r="H589" s="1" t="s">
        <v>230</v>
      </c>
    </row>
    <row r="590" spans="1:8" x14ac:dyDescent="0.35">
      <c r="A590" s="1" t="str">
        <f t="shared" si="9"/>
        <v>20</v>
      </c>
      <c r="B590"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 xml:space="preserve"> </v>
      </c>
      <c r="C590" s="1" t="s">
        <v>2668</v>
      </c>
      <c r="D590" s="1" t="s">
        <v>112</v>
      </c>
      <c r="E590" s="1" t="s">
        <v>2669</v>
      </c>
      <c r="F590" s="1" t="s">
        <v>2670</v>
      </c>
      <c r="G590" s="1" t="s">
        <v>2671</v>
      </c>
      <c r="H590" s="1" t="s">
        <v>2672</v>
      </c>
    </row>
    <row r="591" spans="1:8" x14ac:dyDescent="0.35">
      <c r="A591" s="1" t="str">
        <f t="shared" si="9"/>
        <v/>
      </c>
      <c r="B59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591" s="1" t="s">
        <v>112</v>
      </c>
    </row>
    <row r="592" spans="1:8" x14ac:dyDescent="0.35">
      <c r="A592" s="1" t="str">
        <f t="shared" si="9"/>
        <v/>
      </c>
      <c r="B59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592" s="1" t="s">
        <v>112</v>
      </c>
    </row>
    <row r="593" spans="1:7" x14ac:dyDescent="0.35">
      <c r="A593" s="1" t="str">
        <f t="shared" si="9"/>
        <v/>
      </c>
      <c r="B59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593" s="1" t="s">
        <v>112</v>
      </c>
    </row>
    <row r="594" spans="1:7" x14ac:dyDescent="0.35">
      <c r="A594" s="1" t="str">
        <f t="shared" si="9"/>
        <v/>
      </c>
      <c r="B59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594" s="1" t="s">
        <v>112</v>
      </c>
    </row>
    <row r="595" spans="1:7" x14ac:dyDescent="0.35">
      <c r="A595" s="1" t="str">
        <f t="shared" si="9"/>
        <v/>
      </c>
      <c r="B59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595" s="1" t="s">
        <v>112</v>
      </c>
    </row>
    <row r="596" spans="1:7" x14ac:dyDescent="0.35">
      <c r="A596" s="1" t="str">
        <f t="shared" si="9"/>
        <v/>
      </c>
      <c r="B59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596" s="1" t="s">
        <v>172</v>
      </c>
      <c r="D596" s="1" t="s">
        <v>110</v>
      </c>
      <c r="E596" s="1" t="s">
        <v>111</v>
      </c>
      <c r="F596" s="1" t="s">
        <v>112</v>
      </c>
      <c r="G596" s="1" t="s">
        <v>113</v>
      </c>
    </row>
    <row r="597" spans="1:7" x14ac:dyDescent="0.35">
      <c r="A597" s="1" t="str">
        <f t="shared" si="9"/>
        <v>21</v>
      </c>
      <c r="B597"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597" s="1" t="s">
        <v>2673</v>
      </c>
      <c r="D597" s="1" t="s">
        <v>1370</v>
      </c>
      <c r="E597" s="1" t="s">
        <v>2674</v>
      </c>
      <c r="F597" s="1" t="s">
        <v>112</v>
      </c>
      <c r="G597" s="1">
        <v>47110</v>
      </c>
    </row>
    <row r="598" spans="1:7" x14ac:dyDescent="0.35">
      <c r="A598" s="1" t="str">
        <f t="shared" si="9"/>
        <v>21</v>
      </c>
      <c r="B59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598" s="1" t="s">
        <v>2675</v>
      </c>
      <c r="D598" s="1">
        <v>0</v>
      </c>
      <c r="E598" s="1">
        <v>0</v>
      </c>
      <c r="F598" s="1" t="s">
        <v>112</v>
      </c>
      <c r="G598" s="1">
        <v>0</v>
      </c>
    </row>
    <row r="599" spans="1:7" x14ac:dyDescent="0.35">
      <c r="A599" s="1" t="str">
        <f t="shared" si="9"/>
        <v>21</v>
      </c>
      <c r="B599"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599" s="1" t="s">
        <v>2676</v>
      </c>
      <c r="D599" s="1" t="s">
        <v>984</v>
      </c>
      <c r="E599" s="1" t="s">
        <v>2677</v>
      </c>
      <c r="F599" s="1" t="s">
        <v>112</v>
      </c>
      <c r="G599" s="1">
        <v>14016</v>
      </c>
    </row>
    <row r="600" spans="1:7" x14ac:dyDescent="0.35">
      <c r="A600" s="1" t="str">
        <f t="shared" si="9"/>
        <v>21</v>
      </c>
      <c r="B600"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600" s="1" t="s">
        <v>2678</v>
      </c>
      <c r="D600" s="1" t="s">
        <v>2331</v>
      </c>
      <c r="E600" s="1" t="s">
        <v>2679</v>
      </c>
      <c r="F600" s="1" t="s">
        <v>112</v>
      </c>
      <c r="G600" s="1">
        <v>333944</v>
      </c>
    </row>
    <row r="601" spans="1:7" x14ac:dyDescent="0.35">
      <c r="A601" s="1" t="str">
        <f t="shared" si="9"/>
        <v>21</v>
      </c>
      <c r="B601"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601" s="1" t="s">
        <v>2680</v>
      </c>
      <c r="D601" s="1" t="s">
        <v>1945</v>
      </c>
      <c r="E601" s="1" t="s">
        <v>2681</v>
      </c>
      <c r="F601" s="1" t="s">
        <v>112</v>
      </c>
      <c r="G601" s="1">
        <v>334571</v>
      </c>
    </row>
    <row r="602" spans="1:7" x14ac:dyDescent="0.35">
      <c r="A602" s="1" t="str">
        <f t="shared" si="9"/>
        <v>21</v>
      </c>
      <c r="B60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602" s="1" t="s">
        <v>2682</v>
      </c>
      <c r="D602" s="1">
        <v>0</v>
      </c>
      <c r="E602" s="1">
        <v>0</v>
      </c>
      <c r="F602" s="1" t="s">
        <v>112</v>
      </c>
      <c r="G602" s="1">
        <v>0</v>
      </c>
    </row>
    <row r="603" spans="1:7" x14ac:dyDescent="0.35">
      <c r="A603" s="1" t="str">
        <f t="shared" si="9"/>
        <v>21</v>
      </c>
      <c r="B60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603" s="1" t="s">
        <v>2683</v>
      </c>
      <c r="D603" s="1" t="s">
        <v>1926</v>
      </c>
      <c r="E603" s="1" t="s">
        <v>2684</v>
      </c>
      <c r="F603" s="1" t="s">
        <v>112</v>
      </c>
      <c r="G603" s="1">
        <v>340714</v>
      </c>
    </row>
    <row r="604" spans="1:7" x14ac:dyDescent="0.35">
      <c r="A604" s="1" t="str">
        <f t="shared" si="9"/>
        <v>21</v>
      </c>
      <c r="B60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604" s="1" t="s">
        <v>2685</v>
      </c>
    </row>
    <row r="605" spans="1:7" x14ac:dyDescent="0.35">
      <c r="A605" s="1" t="str">
        <f t="shared" si="9"/>
        <v>21</v>
      </c>
      <c r="B60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605" s="1" t="s">
        <v>2686</v>
      </c>
      <c r="D605" s="1" t="s">
        <v>1507</v>
      </c>
      <c r="E605" s="1" t="s">
        <v>2687</v>
      </c>
      <c r="F605" s="1" t="s">
        <v>112</v>
      </c>
      <c r="G605" s="1">
        <v>235679</v>
      </c>
    </row>
    <row r="606" spans="1:7" x14ac:dyDescent="0.35">
      <c r="A606" s="1" t="str">
        <f t="shared" si="9"/>
        <v>21</v>
      </c>
      <c r="B606"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606" s="1" t="s">
        <v>2688</v>
      </c>
      <c r="D606" s="1" t="s">
        <v>1497</v>
      </c>
      <c r="E606" s="1" t="s">
        <v>2689</v>
      </c>
      <c r="F606" s="1" t="s">
        <v>112</v>
      </c>
      <c r="G606" s="1">
        <v>340195</v>
      </c>
    </row>
    <row r="607" spans="1:7" x14ac:dyDescent="0.35">
      <c r="A607" s="1" t="str">
        <f t="shared" si="9"/>
        <v>21</v>
      </c>
      <c r="B607"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607" s="1" t="s">
        <v>2690</v>
      </c>
      <c r="D607" s="1" t="s">
        <v>2691</v>
      </c>
      <c r="E607" s="1" t="s">
        <v>2692</v>
      </c>
      <c r="F607" s="1" t="s">
        <v>112</v>
      </c>
      <c r="G607" s="1">
        <v>421372</v>
      </c>
    </row>
    <row r="608" spans="1:7" x14ac:dyDescent="0.35">
      <c r="A608" s="1" t="str">
        <f t="shared" si="9"/>
        <v>21</v>
      </c>
      <c r="B60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608" s="1" t="s">
        <v>2693</v>
      </c>
      <c r="D608" s="1" t="s">
        <v>1228</v>
      </c>
      <c r="E608" s="1" t="s">
        <v>2694</v>
      </c>
      <c r="F608" s="1" t="s">
        <v>112</v>
      </c>
      <c r="G608" s="1">
        <v>326676</v>
      </c>
    </row>
    <row r="609" spans="1:8" x14ac:dyDescent="0.35">
      <c r="A609" s="1" t="str">
        <f t="shared" si="9"/>
        <v>21</v>
      </c>
      <c r="B609"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609" s="1" t="s">
        <v>2695</v>
      </c>
    </row>
    <row r="610" spans="1:8" x14ac:dyDescent="0.35">
      <c r="A610" s="1" t="str">
        <f t="shared" si="9"/>
        <v>21</v>
      </c>
      <c r="B610"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610" s="1" t="s">
        <v>2696</v>
      </c>
    </row>
    <row r="611" spans="1:8" x14ac:dyDescent="0.35">
      <c r="A611" s="1" t="str">
        <f t="shared" si="9"/>
        <v>21</v>
      </c>
      <c r="B611"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611" s="1" t="s">
        <v>2697</v>
      </c>
    </row>
    <row r="612" spans="1:8" x14ac:dyDescent="0.35">
      <c r="A612" s="1" t="str">
        <f t="shared" si="9"/>
        <v>21</v>
      </c>
      <c r="B61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612" s="1" t="s">
        <v>2698</v>
      </c>
      <c r="D612" s="1" t="s">
        <v>2699</v>
      </c>
      <c r="E612" s="1" t="s">
        <v>2700</v>
      </c>
      <c r="F612" s="1" t="s">
        <v>112</v>
      </c>
      <c r="G612" s="1">
        <v>393253</v>
      </c>
    </row>
    <row r="613" spans="1:8" x14ac:dyDescent="0.35">
      <c r="A613" s="1" t="str">
        <f t="shared" si="9"/>
        <v>21</v>
      </c>
      <c r="B61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613" s="1" t="s">
        <v>2701</v>
      </c>
      <c r="D613" s="1" t="s">
        <v>2419</v>
      </c>
      <c r="E613" s="1" t="s">
        <v>2702</v>
      </c>
      <c r="F613" s="1" t="s">
        <v>112</v>
      </c>
      <c r="G613" s="1">
        <v>483969</v>
      </c>
    </row>
    <row r="614" spans="1:8" x14ac:dyDescent="0.35">
      <c r="A614" s="1" t="str">
        <f t="shared" si="9"/>
        <v>21</v>
      </c>
      <c r="B61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614" s="1" t="s">
        <v>2703</v>
      </c>
      <c r="D614" s="1" t="s">
        <v>2704</v>
      </c>
      <c r="E614" s="1" t="s">
        <v>2705</v>
      </c>
      <c r="F614" s="1" t="s">
        <v>112</v>
      </c>
      <c r="G614" s="1">
        <v>342899</v>
      </c>
    </row>
    <row r="615" spans="1:8" x14ac:dyDescent="0.35">
      <c r="A615" s="1" t="str">
        <f t="shared" si="9"/>
        <v>21</v>
      </c>
      <c r="B61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615" s="1" t="s">
        <v>2706</v>
      </c>
      <c r="D615" s="1" t="s">
        <v>2707</v>
      </c>
      <c r="E615" s="1" t="s">
        <v>2708</v>
      </c>
      <c r="F615" s="1" t="s">
        <v>112</v>
      </c>
      <c r="G615" s="1">
        <v>542348</v>
      </c>
    </row>
    <row r="616" spans="1:8" x14ac:dyDescent="0.35">
      <c r="A616" s="1" t="str">
        <f t="shared" si="9"/>
        <v>21</v>
      </c>
      <c r="B616"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616" s="1" t="s">
        <v>2709</v>
      </c>
      <c r="D616" s="1" t="s">
        <v>556</v>
      </c>
      <c r="E616" s="1" t="s">
        <v>2710</v>
      </c>
      <c r="F616" s="1" t="s">
        <v>112</v>
      </c>
      <c r="G616" s="1">
        <v>162873</v>
      </c>
    </row>
    <row r="617" spans="1:8" x14ac:dyDescent="0.35">
      <c r="A617" s="1" t="str">
        <f t="shared" si="9"/>
        <v>21</v>
      </c>
      <c r="B617"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617" s="1" t="s">
        <v>2711</v>
      </c>
      <c r="D617" s="1" t="s">
        <v>1434</v>
      </c>
      <c r="E617" s="1" t="s">
        <v>2712</v>
      </c>
      <c r="F617" s="1" t="s">
        <v>112</v>
      </c>
      <c r="G617" s="1">
        <v>333793</v>
      </c>
    </row>
    <row r="618" spans="1:8" x14ac:dyDescent="0.35">
      <c r="A618" s="1" t="str">
        <f t="shared" si="9"/>
        <v>21</v>
      </c>
      <c r="B61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618" s="1" t="s">
        <v>2713</v>
      </c>
    </row>
    <row r="619" spans="1:8" x14ac:dyDescent="0.35">
      <c r="A619" s="1" t="str">
        <f t="shared" si="9"/>
        <v>21</v>
      </c>
      <c r="B619"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619" s="1" t="s">
        <v>2714</v>
      </c>
      <c r="D619" s="1" t="s">
        <v>2715</v>
      </c>
      <c r="E619" s="1" t="s">
        <v>2716</v>
      </c>
      <c r="F619" s="1" t="s">
        <v>112</v>
      </c>
      <c r="G619" s="1">
        <v>254800</v>
      </c>
    </row>
    <row r="620" spans="1:8" x14ac:dyDescent="0.35">
      <c r="A620" s="1" t="str">
        <f t="shared" si="9"/>
        <v>21</v>
      </c>
      <c r="B620"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620" s="1" t="s">
        <v>2717</v>
      </c>
      <c r="D620" s="1" t="s">
        <v>2718</v>
      </c>
      <c r="E620" s="1" t="s">
        <v>2719</v>
      </c>
      <c r="F620" s="1" t="s">
        <v>112</v>
      </c>
      <c r="G620" s="1">
        <v>568996</v>
      </c>
    </row>
    <row r="621" spans="1:8" x14ac:dyDescent="0.35">
      <c r="A621" s="1" t="str">
        <f t="shared" si="9"/>
        <v/>
      </c>
      <c r="B62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621" s="1" t="s">
        <v>112</v>
      </c>
    </row>
    <row r="622" spans="1:8" x14ac:dyDescent="0.35">
      <c r="A622" s="1" t="str">
        <f t="shared" si="9"/>
        <v/>
      </c>
      <c r="B62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622" s="1" t="s">
        <v>226</v>
      </c>
      <c r="D622" s="1" t="s">
        <v>112</v>
      </c>
      <c r="E622" s="1" t="s">
        <v>227</v>
      </c>
      <c r="F622" s="1" t="s">
        <v>228</v>
      </c>
      <c r="G622" s="1" t="s">
        <v>229</v>
      </c>
      <c r="H622" s="1" t="s">
        <v>230</v>
      </c>
    </row>
    <row r="623" spans="1:8" x14ac:dyDescent="0.35">
      <c r="A623" s="1" t="str">
        <f t="shared" si="9"/>
        <v>21</v>
      </c>
      <c r="B62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 xml:space="preserve"> </v>
      </c>
      <c r="C623" s="1" t="s">
        <v>2720</v>
      </c>
      <c r="D623" s="1" t="s">
        <v>112</v>
      </c>
      <c r="E623" s="1" t="s">
        <v>2721</v>
      </c>
      <c r="F623" s="1" t="s">
        <v>2722</v>
      </c>
      <c r="G623" s="1" t="s">
        <v>2723</v>
      </c>
      <c r="H623" s="1" t="s">
        <v>2724</v>
      </c>
    </row>
    <row r="624" spans="1:8" x14ac:dyDescent="0.35">
      <c r="A624" s="1" t="str">
        <f t="shared" si="9"/>
        <v/>
      </c>
      <c r="B62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624" s="1" t="s">
        <v>112</v>
      </c>
    </row>
    <row r="625" spans="1:7" x14ac:dyDescent="0.35">
      <c r="A625" s="1" t="str">
        <f t="shared" si="9"/>
        <v/>
      </c>
      <c r="B62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625" s="1" t="s">
        <v>112</v>
      </c>
    </row>
    <row r="626" spans="1:7" x14ac:dyDescent="0.35">
      <c r="A626" s="1" t="str">
        <f t="shared" si="9"/>
        <v/>
      </c>
      <c r="B62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626" s="1" t="s">
        <v>112</v>
      </c>
    </row>
    <row r="627" spans="1:7" x14ac:dyDescent="0.35">
      <c r="A627" s="1" t="str">
        <f t="shared" si="9"/>
        <v/>
      </c>
      <c r="B62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627" s="1" t="s">
        <v>112</v>
      </c>
    </row>
    <row r="628" spans="1:7" x14ac:dyDescent="0.35">
      <c r="A628" s="1" t="str">
        <f t="shared" si="9"/>
        <v/>
      </c>
      <c r="B62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628" s="1" t="s">
        <v>112</v>
      </c>
    </row>
    <row r="629" spans="1:7" x14ac:dyDescent="0.35">
      <c r="A629" s="1" t="str">
        <f t="shared" si="9"/>
        <v/>
      </c>
      <c r="B62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629" s="1" t="s">
        <v>172</v>
      </c>
      <c r="D629" s="1" t="s">
        <v>110</v>
      </c>
      <c r="E629" s="1" t="s">
        <v>111</v>
      </c>
      <c r="F629" s="1" t="s">
        <v>112</v>
      </c>
      <c r="G629" s="1" t="s">
        <v>113</v>
      </c>
    </row>
    <row r="630" spans="1:7" x14ac:dyDescent="0.35">
      <c r="A630" s="1" t="str">
        <f t="shared" si="9"/>
        <v>8</v>
      </c>
      <c r="B630"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630" s="1" t="s">
        <v>2725</v>
      </c>
      <c r="D630" s="1" t="s">
        <v>2726</v>
      </c>
      <c r="E630" s="1" t="s">
        <v>2727</v>
      </c>
      <c r="F630" s="1" t="s">
        <v>112</v>
      </c>
      <c r="G630" s="1">
        <v>558592</v>
      </c>
    </row>
    <row r="631" spans="1:7" x14ac:dyDescent="0.35">
      <c r="A631" s="1" t="str">
        <f t="shared" si="9"/>
        <v>8</v>
      </c>
      <c r="B631"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631" s="1" t="s">
        <v>2728</v>
      </c>
      <c r="D631" s="1" t="s">
        <v>2729</v>
      </c>
      <c r="E631" s="1" t="s">
        <v>2730</v>
      </c>
      <c r="F631" s="1" t="s">
        <v>112</v>
      </c>
      <c r="G631" s="1">
        <v>568585</v>
      </c>
    </row>
    <row r="632" spans="1:7" x14ac:dyDescent="0.35">
      <c r="A632" s="1" t="str">
        <f t="shared" si="9"/>
        <v>8</v>
      </c>
      <c r="B63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632" s="1" t="s">
        <v>2731</v>
      </c>
      <c r="D632" s="1" t="s">
        <v>2718</v>
      </c>
      <c r="E632" s="1" t="s">
        <v>2732</v>
      </c>
      <c r="F632" s="1" t="s">
        <v>112</v>
      </c>
      <c r="G632" s="1">
        <v>506464</v>
      </c>
    </row>
    <row r="633" spans="1:7" x14ac:dyDescent="0.35">
      <c r="A633" s="1" t="str">
        <f t="shared" si="9"/>
        <v>8</v>
      </c>
      <c r="B63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633" s="1" t="s">
        <v>2733</v>
      </c>
      <c r="D633" s="1" t="s">
        <v>215</v>
      </c>
      <c r="E633" s="1">
        <v>32</v>
      </c>
      <c r="F633" s="1" t="s">
        <v>112</v>
      </c>
      <c r="G633" s="1">
        <v>692</v>
      </c>
    </row>
    <row r="634" spans="1:7" x14ac:dyDescent="0.35">
      <c r="A634" s="1" t="str">
        <f t="shared" si="9"/>
        <v>8</v>
      </c>
      <c r="B63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634" s="1" t="s">
        <v>2734</v>
      </c>
      <c r="D634" s="1" t="s">
        <v>1315</v>
      </c>
      <c r="E634" s="1" t="s">
        <v>2735</v>
      </c>
      <c r="F634" s="1" t="s">
        <v>112</v>
      </c>
      <c r="G634" s="1">
        <v>8782</v>
      </c>
    </row>
    <row r="635" spans="1:7" x14ac:dyDescent="0.35">
      <c r="A635" s="1" t="str">
        <f t="shared" si="9"/>
        <v>8</v>
      </c>
      <c r="B63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635" s="1" t="s">
        <v>2736</v>
      </c>
      <c r="D635" s="1" t="s">
        <v>210</v>
      </c>
      <c r="E635" s="1" t="s">
        <v>2737</v>
      </c>
      <c r="F635" s="1" t="s">
        <v>112</v>
      </c>
      <c r="G635" s="1">
        <v>25264</v>
      </c>
    </row>
    <row r="636" spans="1:7" x14ac:dyDescent="0.35">
      <c r="A636" s="1" t="str">
        <f t="shared" si="9"/>
        <v>8</v>
      </c>
      <c r="B636"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636" s="1" t="s">
        <v>2738</v>
      </c>
      <c r="D636" s="1" t="s">
        <v>2739</v>
      </c>
      <c r="E636" s="1" t="s">
        <v>2740</v>
      </c>
      <c r="F636" s="1" t="s">
        <v>112</v>
      </c>
      <c r="G636" s="1">
        <v>268211</v>
      </c>
    </row>
    <row r="637" spans="1:7" x14ac:dyDescent="0.35">
      <c r="A637" s="1" t="str">
        <f t="shared" si="9"/>
        <v>8</v>
      </c>
      <c r="B637"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637" s="1" t="s">
        <v>2741</v>
      </c>
      <c r="D637" s="1" t="s">
        <v>182</v>
      </c>
      <c r="E637" s="1" t="s">
        <v>2742</v>
      </c>
      <c r="F637" s="1" t="s">
        <v>112</v>
      </c>
      <c r="G637" s="1">
        <v>262998</v>
      </c>
    </row>
    <row r="638" spans="1:7" x14ac:dyDescent="0.35">
      <c r="A638" s="1" t="str">
        <f t="shared" si="9"/>
        <v>8</v>
      </c>
      <c r="B63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638" s="1" t="s">
        <v>2743</v>
      </c>
      <c r="D638" s="1" t="s">
        <v>2744</v>
      </c>
      <c r="E638" s="1" t="s">
        <v>2745</v>
      </c>
      <c r="F638" s="1" t="s">
        <v>112</v>
      </c>
      <c r="G638" s="1">
        <v>170314</v>
      </c>
    </row>
    <row r="639" spans="1:7" x14ac:dyDescent="0.35">
      <c r="A639" s="1" t="str">
        <f t="shared" si="9"/>
        <v>8</v>
      </c>
      <c r="B639"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639" s="1" t="s">
        <v>2746</v>
      </c>
      <c r="D639" s="1">
        <v>0</v>
      </c>
      <c r="E639" s="1">
        <v>0</v>
      </c>
      <c r="F639" s="1" t="s">
        <v>112</v>
      </c>
      <c r="G639" s="1">
        <v>0</v>
      </c>
    </row>
    <row r="640" spans="1:7" x14ac:dyDescent="0.35">
      <c r="A640" s="1" t="str">
        <f t="shared" si="9"/>
        <v>8</v>
      </c>
      <c r="B640"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640" s="1" t="s">
        <v>2747</v>
      </c>
      <c r="D640" s="1" t="s">
        <v>620</v>
      </c>
      <c r="E640" s="1" t="s">
        <v>2748</v>
      </c>
      <c r="F640" s="1" t="s">
        <v>112</v>
      </c>
      <c r="G640" s="1">
        <v>86282</v>
      </c>
    </row>
    <row r="641" spans="1:8" x14ac:dyDescent="0.35">
      <c r="A641" s="1" t="str">
        <f t="shared" si="9"/>
        <v>8</v>
      </c>
      <c r="B641"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641" s="1" t="s">
        <v>2749</v>
      </c>
      <c r="D641" s="1" t="s">
        <v>2750</v>
      </c>
      <c r="E641" s="1" t="s">
        <v>2751</v>
      </c>
      <c r="F641" s="1" t="s">
        <v>112</v>
      </c>
      <c r="G641" s="1">
        <v>148359</v>
      </c>
    </row>
    <row r="642" spans="1:8" x14ac:dyDescent="0.35">
      <c r="A642" s="1" t="str">
        <f t="shared" ref="A642:A705" si="10">IFERROR(LEFT(RIGHT(C642,LEN(C642)-SEARCH("@",C642)),SEARCH("/",RIGHT(C642,LEN(C642)-SEARCH("@",C642)-1))),"")</f>
        <v>8</v>
      </c>
      <c r="B64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642" s="1" t="s">
        <v>2752</v>
      </c>
    </row>
    <row r="643" spans="1:8" x14ac:dyDescent="0.35">
      <c r="A643" s="1" t="str">
        <f t="shared" si="10"/>
        <v>8</v>
      </c>
      <c r="B64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643" s="1" t="s">
        <v>2753</v>
      </c>
    </row>
    <row r="644" spans="1:8" x14ac:dyDescent="0.35">
      <c r="A644" s="1" t="str">
        <f t="shared" si="10"/>
        <v>8</v>
      </c>
      <c r="B64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644" s="1" t="s">
        <v>2754</v>
      </c>
    </row>
    <row r="645" spans="1:8" x14ac:dyDescent="0.35">
      <c r="A645" s="1" t="str">
        <f t="shared" si="10"/>
        <v>8</v>
      </c>
      <c r="B64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645" s="1" t="s">
        <v>2755</v>
      </c>
      <c r="D645" s="1" t="s">
        <v>2756</v>
      </c>
      <c r="E645" s="1" t="s">
        <v>2757</v>
      </c>
      <c r="F645" s="1" t="s">
        <v>112</v>
      </c>
      <c r="G645" s="1">
        <v>542781</v>
      </c>
    </row>
    <row r="646" spans="1:8" x14ac:dyDescent="0.35">
      <c r="A646" s="1" t="str">
        <f t="shared" si="10"/>
        <v>8</v>
      </c>
      <c r="B646"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646" s="1" t="s">
        <v>2758</v>
      </c>
      <c r="D646" s="1" t="s">
        <v>2759</v>
      </c>
      <c r="E646" s="1" t="s">
        <v>2760</v>
      </c>
      <c r="F646" s="1" t="s">
        <v>112</v>
      </c>
      <c r="G646" s="1">
        <v>402684</v>
      </c>
    </row>
    <row r="647" spans="1:8" x14ac:dyDescent="0.35">
      <c r="A647" s="1" t="str">
        <f t="shared" si="10"/>
        <v>8</v>
      </c>
      <c r="B647"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647" s="1" t="s">
        <v>2761</v>
      </c>
      <c r="D647" s="1" t="s">
        <v>2565</v>
      </c>
      <c r="E647" s="1" t="s">
        <v>2762</v>
      </c>
      <c r="F647" s="1" t="s">
        <v>112</v>
      </c>
      <c r="G647" s="1">
        <v>340649</v>
      </c>
    </row>
    <row r="648" spans="1:8" x14ac:dyDescent="0.35">
      <c r="A648" s="1" t="str">
        <f t="shared" si="10"/>
        <v>8</v>
      </c>
      <c r="B64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648" s="1" t="s">
        <v>2763</v>
      </c>
      <c r="D648" s="1" t="s">
        <v>1892</v>
      </c>
      <c r="E648" s="1" t="s">
        <v>2764</v>
      </c>
      <c r="F648" s="1" t="s">
        <v>112</v>
      </c>
      <c r="G648" s="1">
        <v>339178</v>
      </c>
    </row>
    <row r="649" spans="1:8" x14ac:dyDescent="0.35">
      <c r="A649" s="1" t="str">
        <f t="shared" si="10"/>
        <v>8</v>
      </c>
      <c r="B649"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649" s="1" t="s">
        <v>2765</v>
      </c>
      <c r="D649" s="1" t="s">
        <v>2766</v>
      </c>
      <c r="E649" s="1" t="s">
        <v>2767</v>
      </c>
      <c r="F649" s="1" t="s">
        <v>112</v>
      </c>
      <c r="G649" s="1">
        <v>265507</v>
      </c>
    </row>
    <row r="650" spans="1:8" x14ac:dyDescent="0.35">
      <c r="A650" s="1" t="str">
        <f t="shared" si="10"/>
        <v>8</v>
      </c>
      <c r="B650"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650" s="1" t="s">
        <v>2768</v>
      </c>
      <c r="D650" s="1" t="s">
        <v>1243</v>
      </c>
      <c r="E650" s="1" t="s">
        <v>2769</v>
      </c>
      <c r="F650" s="1" t="s">
        <v>112</v>
      </c>
      <c r="G650" s="1">
        <v>239811</v>
      </c>
    </row>
    <row r="651" spans="1:8" x14ac:dyDescent="0.35">
      <c r="A651" s="1" t="str">
        <f t="shared" si="10"/>
        <v>8</v>
      </c>
      <c r="B651"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651" s="1" t="s">
        <v>2770</v>
      </c>
      <c r="D651" s="1" t="s">
        <v>151</v>
      </c>
      <c r="E651" s="1" t="s">
        <v>2771</v>
      </c>
      <c r="F651" s="1" t="s">
        <v>112</v>
      </c>
      <c r="G651" s="1">
        <v>113341</v>
      </c>
    </row>
    <row r="652" spans="1:8" x14ac:dyDescent="0.35">
      <c r="A652" s="1" t="str">
        <f t="shared" si="10"/>
        <v>8</v>
      </c>
      <c r="B65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652" s="1" t="s">
        <v>2772</v>
      </c>
      <c r="D652" s="1" t="s">
        <v>1982</v>
      </c>
      <c r="E652" s="1" t="s">
        <v>2773</v>
      </c>
      <c r="F652" s="1" t="s">
        <v>112</v>
      </c>
      <c r="G652" s="1">
        <v>397666</v>
      </c>
    </row>
    <row r="653" spans="1:8" x14ac:dyDescent="0.35">
      <c r="A653" s="1" t="str">
        <f t="shared" si="10"/>
        <v>8</v>
      </c>
      <c r="B65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653" s="1" t="s">
        <v>2774</v>
      </c>
      <c r="D653" s="1" t="s">
        <v>2775</v>
      </c>
      <c r="E653" s="1" t="s">
        <v>2776</v>
      </c>
      <c r="F653" s="1" t="s">
        <v>112</v>
      </c>
      <c r="G653" s="1">
        <v>154459</v>
      </c>
    </row>
    <row r="654" spans="1:8" x14ac:dyDescent="0.35">
      <c r="A654" s="1" t="str">
        <f t="shared" si="10"/>
        <v/>
      </c>
      <c r="B65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654" s="1" t="s">
        <v>112</v>
      </c>
    </row>
    <row r="655" spans="1:8" x14ac:dyDescent="0.35">
      <c r="A655" s="1" t="str">
        <f t="shared" si="10"/>
        <v/>
      </c>
      <c r="B65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655" s="1" t="s">
        <v>226</v>
      </c>
      <c r="D655" s="1" t="s">
        <v>112</v>
      </c>
      <c r="E655" s="1" t="s">
        <v>227</v>
      </c>
      <c r="F655" s="1" t="s">
        <v>228</v>
      </c>
      <c r="G655" s="1" t="s">
        <v>229</v>
      </c>
      <c r="H655" s="1" t="s">
        <v>230</v>
      </c>
    </row>
    <row r="656" spans="1:8" x14ac:dyDescent="0.35">
      <c r="A656" s="1" t="str">
        <f t="shared" si="10"/>
        <v>8</v>
      </c>
      <c r="B656"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 xml:space="preserve"> </v>
      </c>
      <c r="C656" s="1" t="s">
        <v>2777</v>
      </c>
      <c r="D656" s="1" t="s">
        <v>112</v>
      </c>
      <c r="E656" s="1" t="s">
        <v>2778</v>
      </c>
      <c r="F656" s="1" t="s">
        <v>2779</v>
      </c>
      <c r="G656" s="1">
        <v>304257</v>
      </c>
      <c r="H656" s="1" t="s">
        <v>2780</v>
      </c>
    </row>
    <row r="657" spans="1:7" x14ac:dyDescent="0.35">
      <c r="A657" s="1" t="str">
        <f t="shared" si="10"/>
        <v/>
      </c>
      <c r="B65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657" s="1" t="s">
        <v>112</v>
      </c>
    </row>
    <row r="658" spans="1:7" x14ac:dyDescent="0.35">
      <c r="A658" s="1" t="str">
        <f t="shared" si="10"/>
        <v/>
      </c>
      <c r="B65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658" s="1" t="s">
        <v>112</v>
      </c>
    </row>
    <row r="659" spans="1:7" x14ac:dyDescent="0.35">
      <c r="A659" s="1" t="str">
        <f t="shared" si="10"/>
        <v/>
      </c>
      <c r="B65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659" s="1" t="s">
        <v>112</v>
      </c>
    </row>
    <row r="660" spans="1:7" x14ac:dyDescent="0.35">
      <c r="A660" s="1" t="str">
        <f t="shared" si="10"/>
        <v/>
      </c>
      <c r="B66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660" s="1" t="s">
        <v>112</v>
      </c>
    </row>
    <row r="661" spans="1:7" x14ac:dyDescent="0.35">
      <c r="A661" s="1" t="str">
        <f t="shared" si="10"/>
        <v/>
      </c>
      <c r="B66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661" s="1" t="s">
        <v>112</v>
      </c>
    </row>
    <row r="662" spans="1:7" x14ac:dyDescent="0.35">
      <c r="A662" s="1" t="str">
        <f t="shared" si="10"/>
        <v/>
      </c>
      <c r="B66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662" s="1" t="s">
        <v>172</v>
      </c>
      <c r="D662" s="1" t="s">
        <v>110</v>
      </c>
      <c r="E662" s="1" t="s">
        <v>111</v>
      </c>
      <c r="F662" s="1" t="s">
        <v>112</v>
      </c>
      <c r="G662" s="1" t="s">
        <v>113</v>
      </c>
    </row>
    <row r="663" spans="1:7" x14ac:dyDescent="0.35">
      <c r="A663" s="1" t="str">
        <f t="shared" si="10"/>
        <v>9</v>
      </c>
      <c r="B66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663" s="1" t="s">
        <v>2781</v>
      </c>
    </row>
    <row r="664" spans="1:7" x14ac:dyDescent="0.35">
      <c r="A664" s="1" t="str">
        <f t="shared" si="10"/>
        <v>9</v>
      </c>
      <c r="B66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664" s="1" t="s">
        <v>2782</v>
      </c>
    </row>
    <row r="665" spans="1:7" x14ac:dyDescent="0.35">
      <c r="A665" s="1" t="str">
        <f t="shared" si="10"/>
        <v>9</v>
      </c>
      <c r="B66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665" s="1" t="s">
        <v>2783</v>
      </c>
    </row>
    <row r="666" spans="1:7" x14ac:dyDescent="0.35">
      <c r="A666" s="1" t="str">
        <f t="shared" si="10"/>
        <v>9</v>
      </c>
      <c r="B666"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666" s="1" t="s">
        <v>2784</v>
      </c>
      <c r="D666" s="1" t="s">
        <v>2785</v>
      </c>
      <c r="E666" s="1" t="s">
        <v>2786</v>
      </c>
      <c r="F666" s="1" t="s">
        <v>112</v>
      </c>
      <c r="G666" s="1">
        <v>400088</v>
      </c>
    </row>
    <row r="667" spans="1:7" x14ac:dyDescent="0.35">
      <c r="A667" s="1" t="str">
        <f t="shared" si="10"/>
        <v>9</v>
      </c>
      <c r="B667"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667" s="1" t="s">
        <v>2787</v>
      </c>
      <c r="D667" s="1" t="s">
        <v>2788</v>
      </c>
      <c r="E667" s="1" t="s">
        <v>2789</v>
      </c>
      <c r="F667" s="1" t="s">
        <v>112</v>
      </c>
      <c r="G667" s="1">
        <v>179485</v>
      </c>
    </row>
    <row r="668" spans="1:7" x14ac:dyDescent="0.35">
      <c r="A668" s="1" t="str">
        <f t="shared" si="10"/>
        <v>9</v>
      </c>
      <c r="B66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668" s="1" t="s">
        <v>2790</v>
      </c>
      <c r="D668" s="1" t="s">
        <v>670</v>
      </c>
      <c r="E668" s="1" t="s">
        <v>2791</v>
      </c>
      <c r="F668" s="1" t="s">
        <v>112</v>
      </c>
      <c r="G668" s="1">
        <v>263539</v>
      </c>
    </row>
    <row r="669" spans="1:7" x14ac:dyDescent="0.35">
      <c r="A669" s="1" t="str">
        <f t="shared" si="10"/>
        <v>9</v>
      </c>
      <c r="B669"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669" s="1" t="s">
        <v>2792</v>
      </c>
      <c r="D669" s="1" t="s">
        <v>2793</v>
      </c>
      <c r="E669" s="1" t="s">
        <v>2794</v>
      </c>
      <c r="F669" s="1" t="s">
        <v>112</v>
      </c>
      <c r="G669" s="1">
        <v>533783</v>
      </c>
    </row>
    <row r="670" spans="1:7" x14ac:dyDescent="0.35">
      <c r="A670" s="1" t="str">
        <f t="shared" si="10"/>
        <v>9</v>
      </c>
      <c r="B670"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670" s="1" t="s">
        <v>2795</v>
      </c>
      <c r="D670" s="1" t="s">
        <v>1604</v>
      </c>
      <c r="E670" s="1" t="s">
        <v>2796</v>
      </c>
      <c r="F670" s="1" t="s">
        <v>112</v>
      </c>
      <c r="G670" s="1">
        <v>508432</v>
      </c>
    </row>
    <row r="671" spans="1:7" x14ac:dyDescent="0.35">
      <c r="A671" s="1" t="str">
        <f t="shared" si="10"/>
        <v>9</v>
      </c>
      <c r="B671"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671" s="1" t="s">
        <v>2797</v>
      </c>
      <c r="D671" s="1" t="s">
        <v>2798</v>
      </c>
      <c r="E671" s="1" t="s">
        <v>2799</v>
      </c>
      <c r="F671" s="1" t="s">
        <v>112</v>
      </c>
      <c r="G671" s="1">
        <v>536227</v>
      </c>
    </row>
    <row r="672" spans="1:7" x14ac:dyDescent="0.35">
      <c r="A672" s="1" t="str">
        <f t="shared" si="10"/>
        <v>9</v>
      </c>
      <c r="B67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672" s="1" t="s">
        <v>2800</v>
      </c>
      <c r="D672" s="1" t="s">
        <v>2801</v>
      </c>
      <c r="E672" s="1" t="s">
        <v>2802</v>
      </c>
      <c r="F672" s="1" t="s">
        <v>112</v>
      </c>
      <c r="G672" s="1">
        <v>91841</v>
      </c>
    </row>
    <row r="673" spans="1:8" x14ac:dyDescent="0.35">
      <c r="A673" s="1" t="str">
        <f t="shared" si="10"/>
        <v>9</v>
      </c>
      <c r="B67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673" s="1" t="s">
        <v>2803</v>
      </c>
      <c r="D673" s="1" t="s">
        <v>1300</v>
      </c>
      <c r="E673" s="1" t="s">
        <v>2804</v>
      </c>
      <c r="F673" s="1" t="s">
        <v>112</v>
      </c>
      <c r="G673" s="1">
        <v>87277</v>
      </c>
    </row>
    <row r="674" spans="1:8" x14ac:dyDescent="0.35">
      <c r="A674" s="1" t="str">
        <f t="shared" si="10"/>
        <v>9</v>
      </c>
      <c r="B67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674" s="1" t="s">
        <v>2805</v>
      </c>
      <c r="D674" s="1" t="s">
        <v>2806</v>
      </c>
      <c r="E674" s="1" t="s">
        <v>2807</v>
      </c>
      <c r="F674" s="1" t="s">
        <v>112</v>
      </c>
      <c r="G674" s="1">
        <v>161770</v>
      </c>
    </row>
    <row r="675" spans="1:8" x14ac:dyDescent="0.35">
      <c r="A675" s="1" t="str">
        <f t="shared" si="10"/>
        <v>9</v>
      </c>
      <c r="B67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675" s="1" t="s">
        <v>2808</v>
      </c>
      <c r="D675" s="1" t="s">
        <v>1906</v>
      </c>
      <c r="E675" s="1" t="s">
        <v>2809</v>
      </c>
      <c r="F675" s="1" t="s">
        <v>112</v>
      </c>
      <c r="G675" s="1">
        <v>349993</v>
      </c>
    </row>
    <row r="676" spans="1:8" x14ac:dyDescent="0.35">
      <c r="A676" s="1" t="str">
        <f t="shared" si="10"/>
        <v>9</v>
      </c>
      <c r="B676"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676" s="1" t="s">
        <v>2810</v>
      </c>
      <c r="D676" s="1" t="s">
        <v>1088</v>
      </c>
      <c r="E676" s="1" t="s">
        <v>2811</v>
      </c>
      <c r="F676" s="1" t="s">
        <v>112</v>
      </c>
      <c r="G676" s="1">
        <v>275262</v>
      </c>
    </row>
    <row r="677" spans="1:8" x14ac:dyDescent="0.35">
      <c r="A677" s="1" t="str">
        <f t="shared" si="10"/>
        <v>9</v>
      </c>
      <c r="B677"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677" s="1" t="s">
        <v>2812</v>
      </c>
      <c r="D677" s="1" t="s">
        <v>2813</v>
      </c>
      <c r="E677" s="1" t="s">
        <v>2814</v>
      </c>
      <c r="F677" s="1" t="s">
        <v>112</v>
      </c>
      <c r="G677" s="1">
        <v>383347</v>
      </c>
    </row>
    <row r="678" spans="1:8" x14ac:dyDescent="0.35">
      <c r="A678" s="1" t="str">
        <f t="shared" si="10"/>
        <v>9</v>
      </c>
      <c r="B67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678" s="1" t="s">
        <v>2815</v>
      </c>
      <c r="D678" s="1" t="s">
        <v>1684</v>
      </c>
      <c r="E678" s="1" t="s">
        <v>2816</v>
      </c>
      <c r="F678" s="1" t="s">
        <v>112</v>
      </c>
      <c r="G678" s="1">
        <v>44017</v>
      </c>
    </row>
    <row r="679" spans="1:8" x14ac:dyDescent="0.35">
      <c r="A679" s="1" t="str">
        <f t="shared" si="10"/>
        <v>9</v>
      </c>
      <c r="B679"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679" s="1" t="s">
        <v>2817</v>
      </c>
      <c r="D679" s="1" t="s">
        <v>1249</v>
      </c>
      <c r="E679" s="1" t="s">
        <v>2818</v>
      </c>
      <c r="F679" s="1" t="s">
        <v>112</v>
      </c>
      <c r="G679" s="1">
        <v>276106</v>
      </c>
    </row>
    <row r="680" spans="1:8" x14ac:dyDescent="0.35">
      <c r="A680" s="1" t="str">
        <f t="shared" si="10"/>
        <v>9</v>
      </c>
      <c r="B680"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680" s="1" t="s">
        <v>2819</v>
      </c>
      <c r="D680" s="1" t="s">
        <v>2750</v>
      </c>
      <c r="E680" s="1" t="s">
        <v>2820</v>
      </c>
      <c r="F680" s="1" t="s">
        <v>112</v>
      </c>
      <c r="G680" s="1">
        <v>160472</v>
      </c>
    </row>
    <row r="681" spans="1:8" x14ac:dyDescent="0.35">
      <c r="A681" s="1" t="str">
        <f t="shared" si="10"/>
        <v>9</v>
      </c>
      <c r="B681"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681" s="1" t="s">
        <v>2821</v>
      </c>
      <c r="D681" s="1" t="s">
        <v>2822</v>
      </c>
      <c r="E681" s="1" t="s">
        <v>2823</v>
      </c>
      <c r="F681" s="1" t="s">
        <v>112</v>
      </c>
      <c r="G681" s="1">
        <v>136485</v>
      </c>
    </row>
    <row r="682" spans="1:8" x14ac:dyDescent="0.35">
      <c r="A682" s="1" t="str">
        <f t="shared" si="10"/>
        <v>9</v>
      </c>
      <c r="B68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682" s="1" t="s">
        <v>2824</v>
      </c>
      <c r="D682" s="1" t="s">
        <v>1042</v>
      </c>
      <c r="E682" s="1" t="s">
        <v>2825</v>
      </c>
      <c r="F682" s="1" t="s">
        <v>112</v>
      </c>
      <c r="G682" s="1">
        <v>105100</v>
      </c>
    </row>
    <row r="683" spans="1:8" x14ac:dyDescent="0.35">
      <c r="A683" s="1" t="str">
        <f t="shared" si="10"/>
        <v>9</v>
      </c>
      <c r="B68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683" s="1" t="s">
        <v>2826</v>
      </c>
      <c r="D683" s="1" t="s">
        <v>645</v>
      </c>
      <c r="E683" s="1" t="s">
        <v>2827</v>
      </c>
      <c r="F683" s="1" t="s">
        <v>112</v>
      </c>
      <c r="G683" s="1">
        <v>149549</v>
      </c>
    </row>
    <row r="684" spans="1:8" x14ac:dyDescent="0.35">
      <c r="A684" s="1" t="str">
        <f t="shared" si="10"/>
        <v>9</v>
      </c>
      <c r="B68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684" s="1" t="s">
        <v>2828</v>
      </c>
      <c r="D684" s="1" t="s">
        <v>2829</v>
      </c>
      <c r="E684" s="1" t="s">
        <v>2830</v>
      </c>
      <c r="F684" s="1" t="s">
        <v>112</v>
      </c>
      <c r="G684" s="1">
        <v>510530</v>
      </c>
    </row>
    <row r="685" spans="1:8" x14ac:dyDescent="0.35">
      <c r="A685" s="1" t="str">
        <f t="shared" si="10"/>
        <v>9</v>
      </c>
      <c r="B68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685" s="1" t="s">
        <v>2831</v>
      </c>
      <c r="D685" s="1" t="s">
        <v>1288</v>
      </c>
      <c r="E685" s="1" t="s">
        <v>2832</v>
      </c>
      <c r="F685" s="1" t="s">
        <v>112</v>
      </c>
      <c r="G685" s="1">
        <v>448604</v>
      </c>
    </row>
    <row r="686" spans="1:8" x14ac:dyDescent="0.35">
      <c r="A686" s="1" t="str">
        <f t="shared" si="10"/>
        <v>9</v>
      </c>
      <c r="B686"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686" s="1" t="s">
        <v>2833</v>
      </c>
      <c r="D686" s="1" t="s">
        <v>1463</v>
      </c>
      <c r="E686" s="1" t="s">
        <v>2834</v>
      </c>
      <c r="F686" s="1" t="s">
        <v>112</v>
      </c>
      <c r="G686" s="1">
        <v>384926</v>
      </c>
    </row>
    <row r="687" spans="1:8" x14ac:dyDescent="0.35">
      <c r="A687" s="1" t="str">
        <f t="shared" si="10"/>
        <v/>
      </c>
      <c r="B68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687" s="1" t="s">
        <v>112</v>
      </c>
    </row>
    <row r="688" spans="1:8" x14ac:dyDescent="0.35">
      <c r="A688" s="1" t="str">
        <f t="shared" si="10"/>
        <v/>
      </c>
      <c r="B68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688" s="1" t="s">
        <v>226</v>
      </c>
      <c r="D688" s="1" t="s">
        <v>112</v>
      </c>
      <c r="E688" s="1" t="s">
        <v>227</v>
      </c>
      <c r="F688" s="1" t="s">
        <v>228</v>
      </c>
      <c r="G688" s="1" t="s">
        <v>229</v>
      </c>
      <c r="H688" s="1" t="s">
        <v>230</v>
      </c>
    </row>
    <row r="689" spans="1:8" x14ac:dyDescent="0.35">
      <c r="A689" s="1" t="str">
        <f t="shared" si="10"/>
        <v>9</v>
      </c>
      <c r="B689"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 xml:space="preserve"> </v>
      </c>
      <c r="C689" s="1" t="s">
        <v>2835</v>
      </c>
      <c r="D689" s="1" t="s">
        <v>112</v>
      </c>
      <c r="E689" s="1" t="s">
        <v>2836</v>
      </c>
      <c r="F689" s="1" t="s">
        <v>2837</v>
      </c>
      <c r="G689" s="1" t="s">
        <v>2838</v>
      </c>
      <c r="H689" s="1" t="s">
        <v>2839</v>
      </c>
    </row>
    <row r="690" spans="1:8" x14ac:dyDescent="0.35">
      <c r="A690" s="1" t="str">
        <f t="shared" si="10"/>
        <v/>
      </c>
      <c r="B69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91" spans="1:8" x14ac:dyDescent="0.35">
      <c r="A691" s="1" t="str">
        <f t="shared" si="10"/>
        <v/>
      </c>
      <c r="B69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92" spans="1:8" x14ac:dyDescent="0.35">
      <c r="A692" s="1" t="str">
        <f t="shared" si="10"/>
        <v/>
      </c>
      <c r="B69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93" spans="1:8" x14ac:dyDescent="0.35">
      <c r="A693" s="1" t="str">
        <f t="shared" si="10"/>
        <v/>
      </c>
      <c r="B69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94" spans="1:8" x14ac:dyDescent="0.35">
      <c r="A694" s="1" t="str">
        <f t="shared" si="10"/>
        <v/>
      </c>
      <c r="B69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95" spans="1:8" x14ac:dyDescent="0.35">
      <c r="A695" s="1" t="str">
        <f t="shared" si="10"/>
        <v/>
      </c>
      <c r="B69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96" spans="1:8" x14ac:dyDescent="0.35">
      <c r="A696" s="1" t="str">
        <f t="shared" si="10"/>
        <v/>
      </c>
      <c r="B69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97" spans="1:8" x14ac:dyDescent="0.35">
      <c r="A697" s="1" t="str">
        <f t="shared" si="10"/>
        <v/>
      </c>
      <c r="B69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98" spans="1:8" x14ac:dyDescent="0.35">
      <c r="A698" s="1" t="str">
        <f t="shared" si="10"/>
        <v/>
      </c>
      <c r="B69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99" spans="1:8" x14ac:dyDescent="0.35">
      <c r="A699" s="1" t="str">
        <f t="shared" si="10"/>
        <v/>
      </c>
      <c r="B69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00" spans="1:8" x14ac:dyDescent="0.35">
      <c r="A700" s="1" t="str">
        <f t="shared" si="10"/>
        <v/>
      </c>
      <c r="B70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01" spans="1:8" x14ac:dyDescent="0.35">
      <c r="A701" s="1" t="str">
        <f t="shared" si="10"/>
        <v/>
      </c>
      <c r="B70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02" spans="1:8" x14ac:dyDescent="0.35">
      <c r="A702" s="1" t="str">
        <f t="shared" si="10"/>
        <v/>
      </c>
      <c r="B70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03" spans="1:8" x14ac:dyDescent="0.35">
      <c r="A703" s="1" t="str">
        <f t="shared" si="10"/>
        <v/>
      </c>
      <c r="B70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04" spans="1:8" x14ac:dyDescent="0.35">
      <c r="A704" s="1" t="str">
        <f t="shared" si="10"/>
        <v/>
      </c>
      <c r="B70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05" spans="1:2" x14ac:dyDescent="0.35">
      <c r="A705" s="1" t="str">
        <f t="shared" si="10"/>
        <v/>
      </c>
      <c r="B70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06" spans="1:2" x14ac:dyDescent="0.35">
      <c r="A706" s="1" t="str">
        <f t="shared" ref="A706:A769" si="11">IFERROR(LEFT(RIGHT(C706,LEN(C706)-SEARCH("@",C706)),SEARCH("/",RIGHT(C706,LEN(C706)-SEARCH("@",C706)-1))),"")</f>
        <v/>
      </c>
      <c r="B70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07" spans="1:2" x14ac:dyDescent="0.35">
      <c r="A707" s="1" t="str">
        <f t="shared" si="11"/>
        <v/>
      </c>
      <c r="B70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08" spans="1:2" x14ac:dyDescent="0.35">
      <c r="A708" s="1" t="str">
        <f t="shared" si="11"/>
        <v/>
      </c>
      <c r="B70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09" spans="1:2" x14ac:dyDescent="0.35">
      <c r="A709" s="1" t="str">
        <f t="shared" si="11"/>
        <v/>
      </c>
      <c r="B70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10" spans="1:2" x14ac:dyDescent="0.35">
      <c r="A710" s="1" t="str">
        <f t="shared" si="11"/>
        <v/>
      </c>
      <c r="B71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11" spans="1:2" x14ac:dyDescent="0.35">
      <c r="A711" s="1" t="str">
        <f t="shared" si="11"/>
        <v/>
      </c>
      <c r="B71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12" spans="1:2" x14ac:dyDescent="0.35">
      <c r="A712" s="1" t="str">
        <f t="shared" si="11"/>
        <v/>
      </c>
      <c r="B71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13" spans="1:2" x14ac:dyDescent="0.35">
      <c r="A713" s="1" t="str">
        <f t="shared" si="11"/>
        <v/>
      </c>
      <c r="B71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14" spans="1:2" x14ac:dyDescent="0.35">
      <c r="A714" s="1" t="str">
        <f t="shared" si="11"/>
        <v/>
      </c>
      <c r="B71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15" spans="1:2" x14ac:dyDescent="0.35">
      <c r="A715" s="1" t="str">
        <f t="shared" si="11"/>
        <v/>
      </c>
      <c r="B71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16" spans="1:2" x14ac:dyDescent="0.35">
      <c r="A716" s="1" t="str">
        <f t="shared" si="11"/>
        <v/>
      </c>
      <c r="B71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17" spans="1:2" x14ac:dyDescent="0.35">
      <c r="A717" s="1" t="str">
        <f t="shared" si="11"/>
        <v/>
      </c>
      <c r="B71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18" spans="1:2" x14ac:dyDescent="0.35">
      <c r="A718" s="1" t="str">
        <f t="shared" si="11"/>
        <v/>
      </c>
      <c r="B71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19" spans="1:2" x14ac:dyDescent="0.35">
      <c r="A719" s="1" t="str">
        <f t="shared" si="11"/>
        <v/>
      </c>
      <c r="B71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20" spans="1:2" x14ac:dyDescent="0.35">
      <c r="A720" s="1" t="str">
        <f t="shared" si="11"/>
        <v/>
      </c>
      <c r="B72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21" spans="1:2" x14ac:dyDescent="0.35">
      <c r="A721" s="1" t="str">
        <f t="shared" si="11"/>
        <v/>
      </c>
      <c r="B72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22" spans="1:2" x14ac:dyDescent="0.35">
      <c r="A722" s="1" t="str">
        <f t="shared" si="11"/>
        <v/>
      </c>
      <c r="B72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23" spans="1:2" x14ac:dyDescent="0.35">
      <c r="A723" s="1" t="str">
        <f t="shared" si="11"/>
        <v/>
      </c>
      <c r="B72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24" spans="1:2" x14ac:dyDescent="0.35">
      <c r="A724" s="1" t="str">
        <f t="shared" si="11"/>
        <v/>
      </c>
      <c r="B72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25" spans="1:2" x14ac:dyDescent="0.35">
      <c r="A725" s="1" t="str">
        <f t="shared" si="11"/>
        <v/>
      </c>
      <c r="B72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26" spans="1:2" x14ac:dyDescent="0.35">
      <c r="A726" s="1" t="str">
        <f t="shared" si="11"/>
        <v/>
      </c>
      <c r="B72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27" spans="1:2" x14ac:dyDescent="0.35">
      <c r="A727" s="1" t="str">
        <f t="shared" si="11"/>
        <v/>
      </c>
      <c r="B72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28" spans="1:2" x14ac:dyDescent="0.35">
      <c r="A728" s="1" t="str">
        <f t="shared" si="11"/>
        <v/>
      </c>
      <c r="B72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29" spans="1:2" x14ac:dyDescent="0.35">
      <c r="A729" s="1" t="str">
        <f t="shared" si="11"/>
        <v/>
      </c>
      <c r="B72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30" spans="1:2" x14ac:dyDescent="0.35">
      <c r="A730" s="1" t="str">
        <f t="shared" si="11"/>
        <v/>
      </c>
      <c r="B73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31" spans="1:2" x14ac:dyDescent="0.35">
      <c r="A731" s="1" t="str">
        <f t="shared" si="11"/>
        <v/>
      </c>
      <c r="B73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32" spans="1:2" x14ac:dyDescent="0.35">
      <c r="A732" s="1" t="str">
        <f t="shared" si="11"/>
        <v/>
      </c>
      <c r="B73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33" spans="1:2" x14ac:dyDescent="0.35">
      <c r="A733" s="1" t="str">
        <f t="shared" si="11"/>
        <v/>
      </c>
      <c r="B73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34" spans="1:2" x14ac:dyDescent="0.35">
      <c r="A734" s="1" t="str">
        <f t="shared" si="11"/>
        <v/>
      </c>
      <c r="B73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35" spans="1:2" x14ac:dyDescent="0.35">
      <c r="A735" s="1" t="str">
        <f t="shared" si="11"/>
        <v/>
      </c>
      <c r="B73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36" spans="1:2" x14ac:dyDescent="0.35">
      <c r="A736" s="1" t="str">
        <f t="shared" si="11"/>
        <v/>
      </c>
      <c r="B73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37" spans="1:2" x14ac:dyDescent="0.35">
      <c r="A737" s="1" t="str">
        <f t="shared" si="11"/>
        <v/>
      </c>
      <c r="B73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38" spans="1:2" x14ac:dyDescent="0.35">
      <c r="A738" s="1" t="str">
        <f t="shared" si="11"/>
        <v/>
      </c>
      <c r="B73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39" spans="1:2" x14ac:dyDescent="0.35">
      <c r="A739" s="1" t="str">
        <f t="shared" si="11"/>
        <v/>
      </c>
      <c r="B73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40" spans="1:2" x14ac:dyDescent="0.35">
      <c r="A740" s="1" t="str">
        <f t="shared" si="11"/>
        <v/>
      </c>
      <c r="B74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41" spans="1:2" x14ac:dyDescent="0.35">
      <c r="A741" s="1" t="str">
        <f t="shared" si="11"/>
        <v/>
      </c>
      <c r="B74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42" spans="1:2" x14ac:dyDescent="0.35">
      <c r="A742" s="1" t="str">
        <f t="shared" si="11"/>
        <v/>
      </c>
      <c r="B74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43" spans="1:2" x14ac:dyDescent="0.35">
      <c r="A743" s="1" t="str">
        <f t="shared" si="11"/>
        <v/>
      </c>
      <c r="B74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44" spans="1:2" x14ac:dyDescent="0.35">
      <c r="A744" s="1" t="str">
        <f t="shared" si="11"/>
        <v/>
      </c>
      <c r="B74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45" spans="1:2" x14ac:dyDescent="0.35">
      <c r="A745" s="1" t="str">
        <f t="shared" si="11"/>
        <v/>
      </c>
      <c r="B74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46" spans="1:2" x14ac:dyDescent="0.35">
      <c r="A746" s="1" t="str">
        <f t="shared" si="11"/>
        <v/>
      </c>
      <c r="B74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47" spans="1:2" x14ac:dyDescent="0.35">
      <c r="A747" s="1" t="str">
        <f t="shared" si="11"/>
        <v/>
      </c>
      <c r="B74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48" spans="1:2" x14ac:dyDescent="0.35">
      <c r="A748" s="1" t="str">
        <f t="shared" si="11"/>
        <v/>
      </c>
      <c r="B74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49" spans="1:2" x14ac:dyDescent="0.35">
      <c r="A749" s="1" t="str">
        <f t="shared" si="11"/>
        <v/>
      </c>
      <c r="B74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50" spans="1:2" x14ac:dyDescent="0.35">
      <c r="A750" s="1" t="str">
        <f t="shared" si="11"/>
        <v/>
      </c>
      <c r="B75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51" spans="1:2" x14ac:dyDescent="0.35">
      <c r="A751" s="1" t="str">
        <f t="shared" si="11"/>
        <v/>
      </c>
      <c r="B75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52" spans="1:2" x14ac:dyDescent="0.35">
      <c r="A752" s="1" t="str">
        <f t="shared" si="11"/>
        <v/>
      </c>
      <c r="B75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53" spans="1:2" x14ac:dyDescent="0.35">
      <c r="A753" s="1" t="str">
        <f t="shared" si="11"/>
        <v/>
      </c>
      <c r="B75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54" spans="1:2" x14ac:dyDescent="0.35">
      <c r="A754" s="1" t="str">
        <f t="shared" si="11"/>
        <v/>
      </c>
      <c r="B75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55" spans="1:2" x14ac:dyDescent="0.35">
      <c r="A755" s="1" t="str">
        <f t="shared" si="11"/>
        <v/>
      </c>
      <c r="B75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56" spans="1:2" x14ac:dyDescent="0.35">
      <c r="A756" s="1" t="str">
        <f t="shared" si="11"/>
        <v/>
      </c>
      <c r="B75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57" spans="1:2" x14ac:dyDescent="0.35">
      <c r="A757" s="1" t="str">
        <f t="shared" si="11"/>
        <v/>
      </c>
      <c r="B75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58" spans="1:2" x14ac:dyDescent="0.35">
      <c r="A758" s="1" t="str">
        <f t="shared" si="11"/>
        <v/>
      </c>
      <c r="B75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59" spans="1:2" x14ac:dyDescent="0.35">
      <c r="A759" s="1" t="str">
        <f t="shared" si="11"/>
        <v/>
      </c>
      <c r="B75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60" spans="1:2" x14ac:dyDescent="0.35">
      <c r="A760" s="1" t="str">
        <f t="shared" si="11"/>
        <v/>
      </c>
      <c r="B76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61" spans="1:2" x14ac:dyDescent="0.35">
      <c r="A761" s="1" t="str">
        <f t="shared" si="11"/>
        <v/>
      </c>
      <c r="B76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62" spans="1:2" x14ac:dyDescent="0.35">
      <c r="A762" s="1" t="str">
        <f t="shared" si="11"/>
        <v/>
      </c>
      <c r="B76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63" spans="1:2" x14ac:dyDescent="0.35">
      <c r="A763" s="1" t="str">
        <f t="shared" si="11"/>
        <v/>
      </c>
      <c r="B76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64" spans="1:2" x14ac:dyDescent="0.35">
      <c r="A764" s="1" t="str">
        <f t="shared" si="11"/>
        <v/>
      </c>
      <c r="B76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65" spans="1:2" x14ac:dyDescent="0.35">
      <c r="A765" s="1" t="str">
        <f t="shared" si="11"/>
        <v/>
      </c>
      <c r="B76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66" spans="1:2" x14ac:dyDescent="0.35">
      <c r="A766" s="1" t="str">
        <f t="shared" si="11"/>
        <v/>
      </c>
      <c r="B76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67" spans="1:2" x14ac:dyDescent="0.35">
      <c r="A767" s="1" t="str">
        <f t="shared" si="11"/>
        <v/>
      </c>
      <c r="B76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68" spans="1:2" x14ac:dyDescent="0.35">
      <c r="A768" s="1" t="str">
        <f t="shared" si="11"/>
        <v/>
      </c>
      <c r="B76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69" spans="1:2" x14ac:dyDescent="0.35">
      <c r="A769" s="1" t="str">
        <f t="shared" si="11"/>
        <v/>
      </c>
      <c r="B76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70" spans="1:2" x14ac:dyDescent="0.35">
      <c r="A770" s="1" t="str">
        <f t="shared" ref="A770:A833" si="12">IFERROR(LEFT(RIGHT(C770,LEN(C770)-SEARCH("@",C770)),SEARCH("/",RIGHT(C770,LEN(C770)-SEARCH("@",C770)-1))),"")</f>
        <v/>
      </c>
      <c r="B77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71" spans="1:2" x14ac:dyDescent="0.35">
      <c r="A771" s="1" t="str">
        <f t="shared" si="12"/>
        <v/>
      </c>
      <c r="B77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72" spans="1:2" x14ac:dyDescent="0.35">
      <c r="A772" s="1" t="str">
        <f t="shared" si="12"/>
        <v/>
      </c>
      <c r="B77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73" spans="1:2" x14ac:dyDescent="0.35">
      <c r="A773" s="1" t="str">
        <f t="shared" si="12"/>
        <v/>
      </c>
      <c r="B77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74" spans="1:2" x14ac:dyDescent="0.35">
      <c r="A774" s="1" t="str">
        <f t="shared" si="12"/>
        <v/>
      </c>
      <c r="B77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75" spans="1:2" x14ac:dyDescent="0.35">
      <c r="A775" s="1" t="str">
        <f t="shared" si="12"/>
        <v/>
      </c>
      <c r="B77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76" spans="1:2" x14ac:dyDescent="0.35">
      <c r="A776" s="1" t="str">
        <f t="shared" si="12"/>
        <v/>
      </c>
      <c r="B77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77" spans="1:2" x14ac:dyDescent="0.35">
      <c r="A777" s="1" t="str">
        <f t="shared" si="12"/>
        <v/>
      </c>
      <c r="B77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78" spans="1:2" x14ac:dyDescent="0.35">
      <c r="A778" s="1" t="str">
        <f t="shared" si="12"/>
        <v/>
      </c>
      <c r="B77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79" spans="1:2" x14ac:dyDescent="0.35">
      <c r="A779" s="1" t="str">
        <f t="shared" si="12"/>
        <v/>
      </c>
      <c r="B77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80" spans="1:2" x14ac:dyDescent="0.35">
      <c r="A780" s="1" t="str">
        <f t="shared" si="12"/>
        <v/>
      </c>
      <c r="B78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81" spans="1:2" x14ac:dyDescent="0.35">
      <c r="A781" s="1" t="str">
        <f t="shared" si="12"/>
        <v/>
      </c>
      <c r="B78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82" spans="1:2" x14ac:dyDescent="0.35">
      <c r="A782" s="1" t="str">
        <f t="shared" si="12"/>
        <v/>
      </c>
      <c r="B78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83" spans="1:2" x14ac:dyDescent="0.35">
      <c r="A783" s="1" t="str">
        <f t="shared" si="12"/>
        <v/>
      </c>
      <c r="B78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84" spans="1:2" x14ac:dyDescent="0.35">
      <c r="A784" s="1" t="str">
        <f t="shared" si="12"/>
        <v/>
      </c>
      <c r="B78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85" spans="1:2" x14ac:dyDescent="0.35">
      <c r="A785" s="1" t="str">
        <f t="shared" si="12"/>
        <v/>
      </c>
      <c r="B78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86" spans="1:2" x14ac:dyDescent="0.35">
      <c r="A786" s="1" t="str">
        <f t="shared" si="12"/>
        <v/>
      </c>
      <c r="B78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87" spans="1:2" x14ac:dyDescent="0.35">
      <c r="A787" s="1" t="str">
        <f t="shared" si="12"/>
        <v/>
      </c>
      <c r="B78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88" spans="1:2" x14ac:dyDescent="0.35">
      <c r="A788" s="1" t="str">
        <f t="shared" si="12"/>
        <v/>
      </c>
      <c r="B78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89" spans="1:2" x14ac:dyDescent="0.35">
      <c r="A789" s="1" t="str">
        <f t="shared" si="12"/>
        <v/>
      </c>
      <c r="B78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90" spans="1:2" x14ac:dyDescent="0.35">
      <c r="A790" s="1" t="str">
        <f t="shared" si="12"/>
        <v/>
      </c>
      <c r="B79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91" spans="1:2" x14ac:dyDescent="0.35">
      <c r="A791" s="1" t="str">
        <f t="shared" si="12"/>
        <v/>
      </c>
      <c r="B79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92" spans="1:2" x14ac:dyDescent="0.35">
      <c r="A792" s="1" t="str">
        <f t="shared" si="12"/>
        <v/>
      </c>
      <c r="B79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93" spans="1:2" x14ac:dyDescent="0.35">
      <c r="A793" s="1" t="str">
        <f t="shared" si="12"/>
        <v/>
      </c>
      <c r="B79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94" spans="1:2" x14ac:dyDescent="0.35">
      <c r="A794" s="1" t="str">
        <f t="shared" si="12"/>
        <v/>
      </c>
      <c r="B79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95" spans="1:2" x14ac:dyDescent="0.35">
      <c r="A795" s="1" t="str">
        <f t="shared" si="12"/>
        <v/>
      </c>
      <c r="B79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96" spans="1:2" x14ac:dyDescent="0.35">
      <c r="A796" s="1" t="str">
        <f t="shared" si="12"/>
        <v/>
      </c>
      <c r="B79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97" spans="1:2" x14ac:dyDescent="0.35">
      <c r="A797" s="1" t="str">
        <f t="shared" si="12"/>
        <v/>
      </c>
      <c r="B79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98" spans="1:2" x14ac:dyDescent="0.35">
      <c r="A798" s="1" t="str">
        <f t="shared" si="12"/>
        <v/>
      </c>
      <c r="B79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99" spans="1:2" x14ac:dyDescent="0.35">
      <c r="A799" s="1" t="str">
        <f t="shared" si="12"/>
        <v/>
      </c>
      <c r="B79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00" spans="1:2" x14ac:dyDescent="0.35">
      <c r="A800" s="1" t="str">
        <f t="shared" si="12"/>
        <v/>
      </c>
      <c r="B80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01" spans="1:2" x14ac:dyDescent="0.35">
      <c r="A801" s="1" t="str">
        <f t="shared" si="12"/>
        <v/>
      </c>
      <c r="B80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02" spans="1:2" x14ac:dyDescent="0.35">
      <c r="A802" s="1" t="str">
        <f t="shared" si="12"/>
        <v/>
      </c>
      <c r="B80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03" spans="1:2" x14ac:dyDescent="0.35">
      <c r="A803" s="1" t="str">
        <f t="shared" si="12"/>
        <v/>
      </c>
      <c r="B80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04" spans="1:2" x14ac:dyDescent="0.35">
      <c r="A804" s="1" t="str">
        <f t="shared" si="12"/>
        <v/>
      </c>
      <c r="B80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05" spans="1:2" x14ac:dyDescent="0.35">
      <c r="A805" s="1" t="str">
        <f t="shared" si="12"/>
        <v/>
      </c>
      <c r="B80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06" spans="1:2" x14ac:dyDescent="0.35">
      <c r="A806" s="1" t="str">
        <f t="shared" si="12"/>
        <v/>
      </c>
      <c r="B80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07" spans="1:2" x14ac:dyDescent="0.35">
      <c r="A807" s="1" t="str">
        <f t="shared" si="12"/>
        <v/>
      </c>
      <c r="B80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08" spans="1:2" x14ac:dyDescent="0.35">
      <c r="A808" s="1" t="str">
        <f t="shared" si="12"/>
        <v/>
      </c>
      <c r="B80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09" spans="1:2" x14ac:dyDescent="0.35">
      <c r="A809" s="1" t="str">
        <f t="shared" si="12"/>
        <v/>
      </c>
      <c r="B80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10" spans="1:2" x14ac:dyDescent="0.35">
      <c r="A810" s="1" t="str">
        <f t="shared" si="12"/>
        <v/>
      </c>
      <c r="B81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11" spans="1:2" x14ac:dyDescent="0.35">
      <c r="A811" s="1" t="str">
        <f t="shared" si="12"/>
        <v/>
      </c>
      <c r="B81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12" spans="1:2" x14ac:dyDescent="0.35">
      <c r="A812" s="1" t="str">
        <f t="shared" si="12"/>
        <v/>
      </c>
      <c r="B81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13" spans="1:2" x14ac:dyDescent="0.35">
      <c r="A813" s="1" t="str">
        <f t="shared" si="12"/>
        <v/>
      </c>
      <c r="B81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14" spans="1:2" x14ac:dyDescent="0.35">
      <c r="A814" s="1" t="str">
        <f t="shared" si="12"/>
        <v/>
      </c>
      <c r="B81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15" spans="1:2" x14ac:dyDescent="0.35">
      <c r="A815" s="1" t="str">
        <f t="shared" si="12"/>
        <v/>
      </c>
      <c r="B81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16" spans="1:2" x14ac:dyDescent="0.35">
      <c r="A816" s="1" t="str">
        <f t="shared" si="12"/>
        <v/>
      </c>
      <c r="B81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17" spans="1:2" x14ac:dyDescent="0.35">
      <c r="A817" s="1" t="str">
        <f t="shared" si="12"/>
        <v/>
      </c>
      <c r="B81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18" spans="1:2" x14ac:dyDescent="0.35">
      <c r="A818" s="1" t="str">
        <f t="shared" si="12"/>
        <v/>
      </c>
      <c r="B81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19" spans="1:2" x14ac:dyDescent="0.35">
      <c r="A819" s="1" t="str">
        <f t="shared" si="12"/>
        <v/>
      </c>
      <c r="B81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20" spans="1:2" x14ac:dyDescent="0.35">
      <c r="A820" s="1" t="str">
        <f t="shared" si="12"/>
        <v/>
      </c>
      <c r="B82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21" spans="1:2" x14ac:dyDescent="0.35">
      <c r="A821" s="1" t="str">
        <f t="shared" si="12"/>
        <v/>
      </c>
      <c r="B82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22" spans="1:2" x14ac:dyDescent="0.35">
      <c r="A822" s="1" t="str">
        <f t="shared" si="12"/>
        <v/>
      </c>
      <c r="B82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23" spans="1:2" x14ac:dyDescent="0.35">
      <c r="A823" s="1" t="str">
        <f t="shared" si="12"/>
        <v/>
      </c>
      <c r="B82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24" spans="1:2" x14ac:dyDescent="0.35">
      <c r="A824" s="1" t="str">
        <f t="shared" si="12"/>
        <v/>
      </c>
      <c r="B82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25" spans="1:2" x14ac:dyDescent="0.35">
      <c r="A825" s="1" t="str">
        <f t="shared" si="12"/>
        <v/>
      </c>
      <c r="B82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26" spans="1:2" x14ac:dyDescent="0.35">
      <c r="A826" s="1" t="str">
        <f t="shared" si="12"/>
        <v/>
      </c>
      <c r="B82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27" spans="1:2" x14ac:dyDescent="0.35">
      <c r="A827" s="1" t="str">
        <f t="shared" si="12"/>
        <v/>
      </c>
      <c r="B82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28" spans="1:2" x14ac:dyDescent="0.35">
      <c r="A828" s="1" t="str">
        <f t="shared" si="12"/>
        <v/>
      </c>
      <c r="B82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29" spans="1:2" x14ac:dyDescent="0.35">
      <c r="A829" s="1" t="str">
        <f t="shared" si="12"/>
        <v/>
      </c>
      <c r="B82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30" spans="1:2" x14ac:dyDescent="0.35">
      <c r="A830" s="1" t="str">
        <f t="shared" si="12"/>
        <v/>
      </c>
      <c r="B83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31" spans="1:2" x14ac:dyDescent="0.35">
      <c r="A831" s="1" t="str">
        <f t="shared" si="12"/>
        <v/>
      </c>
      <c r="B83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32" spans="1:2" x14ac:dyDescent="0.35">
      <c r="A832" s="1" t="str">
        <f t="shared" si="12"/>
        <v/>
      </c>
      <c r="B83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33" spans="1:2" x14ac:dyDescent="0.35">
      <c r="A833" s="1" t="str">
        <f t="shared" si="12"/>
        <v/>
      </c>
      <c r="B83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34" spans="1:2" x14ac:dyDescent="0.35">
      <c r="A834" s="1" t="str">
        <f t="shared" ref="A834:A897" si="13">IFERROR(LEFT(RIGHT(C834,LEN(C834)-SEARCH("@",C834)),SEARCH("/",RIGHT(C834,LEN(C834)-SEARCH("@",C834)-1))),"")</f>
        <v/>
      </c>
      <c r="B83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35" spans="1:2" x14ac:dyDescent="0.35">
      <c r="A835" s="1" t="str">
        <f t="shared" si="13"/>
        <v/>
      </c>
      <c r="B83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36" spans="1:2" x14ac:dyDescent="0.35">
      <c r="A836" s="1" t="str">
        <f t="shared" si="13"/>
        <v/>
      </c>
      <c r="B83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37" spans="1:2" x14ac:dyDescent="0.35">
      <c r="A837" s="1" t="str">
        <f t="shared" si="13"/>
        <v/>
      </c>
      <c r="B83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38" spans="1:2" x14ac:dyDescent="0.35">
      <c r="A838" s="1" t="str">
        <f t="shared" si="13"/>
        <v/>
      </c>
      <c r="B83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39" spans="1:2" x14ac:dyDescent="0.35">
      <c r="A839" s="1" t="str">
        <f t="shared" si="13"/>
        <v/>
      </c>
      <c r="B83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40" spans="1:2" x14ac:dyDescent="0.35">
      <c r="A840" s="1" t="str">
        <f t="shared" si="13"/>
        <v/>
      </c>
      <c r="B84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41" spans="1:2" x14ac:dyDescent="0.35">
      <c r="A841" s="1" t="str">
        <f t="shared" si="13"/>
        <v/>
      </c>
      <c r="B84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42" spans="1:2" x14ac:dyDescent="0.35">
      <c r="A842" s="1" t="str">
        <f t="shared" si="13"/>
        <v/>
      </c>
      <c r="B84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43" spans="1:2" x14ac:dyDescent="0.35">
      <c r="A843" s="1" t="str">
        <f t="shared" si="13"/>
        <v/>
      </c>
      <c r="B84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44" spans="1:2" x14ac:dyDescent="0.35">
      <c r="A844" s="1" t="str">
        <f t="shared" si="13"/>
        <v/>
      </c>
      <c r="B84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45" spans="1:2" x14ac:dyDescent="0.35">
      <c r="A845" s="1" t="str">
        <f t="shared" si="13"/>
        <v/>
      </c>
      <c r="B84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46" spans="1:2" x14ac:dyDescent="0.35">
      <c r="A846" s="1" t="str">
        <f t="shared" si="13"/>
        <v/>
      </c>
      <c r="B84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47" spans="1:2" x14ac:dyDescent="0.35">
      <c r="A847" s="1" t="str">
        <f t="shared" si="13"/>
        <v/>
      </c>
      <c r="B84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48" spans="1:2" x14ac:dyDescent="0.35">
      <c r="A848" s="1" t="str">
        <f t="shared" si="13"/>
        <v/>
      </c>
      <c r="B84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49" spans="1:2" x14ac:dyDescent="0.35">
      <c r="A849" s="1" t="str">
        <f t="shared" si="13"/>
        <v/>
      </c>
      <c r="B84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50" spans="1:2" x14ac:dyDescent="0.35">
      <c r="A850" s="1" t="str">
        <f t="shared" si="13"/>
        <v/>
      </c>
      <c r="B85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51" spans="1:2" x14ac:dyDescent="0.35">
      <c r="A851" s="1" t="str">
        <f t="shared" si="13"/>
        <v/>
      </c>
      <c r="B85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52" spans="1:2" x14ac:dyDescent="0.35">
      <c r="A852" s="1" t="str">
        <f t="shared" si="13"/>
        <v/>
      </c>
      <c r="B85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53" spans="1:2" x14ac:dyDescent="0.35">
      <c r="A853" s="1" t="str">
        <f t="shared" si="13"/>
        <v/>
      </c>
      <c r="B85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54" spans="1:2" x14ac:dyDescent="0.35">
      <c r="A854" s="1" t="str">
        <f t="shared" si="13"/>
        <v/>
      </c>
      <c r="B85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55" spans="1:2" x14ac:dyDescent="0.35">
      <c r="A855" s="1" t="str">
        <f t="shared" si="13"/>
        <v/>
      </c>
      <c r="B85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56" spans="1:2" x14ac:dyDescent="0.35">
      <c r="A856" s="1" t="str">
        <f t="shared" si="13"/>
        <v/>
      </c>
      <c r="B85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57" spans="1:2" x14ac:dyDescent="0.35">
      <c r="A857" s="1" t="str">
        <f t="shared" si="13"/>
        <v/>
      </c>
      <c r="B85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58" spans="1:2" x14ac:dyDescent="0.35">
      <c r="A858" s="1" t="str">
        <f t="shared" si="13"/>
        <v/>
      </c>
      <c r="B85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59" spans="1:2" x14ac:dyDescent="0.35">
      <c r="A859" s="1" t="str">
        <f t="shared" si="13"/>
        <v/>
      </c>
      <c r="B85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60" spans="1:2" x14ac:dyDescent="0.35">
      <c r="A860" s="1" t="str">
        <f t="shared" si="13"/>
        <v/>
      </c>
      <c r="B86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61" spans="1:2" x14ac:dyDescent="0.35">
      <c r="A861" s="1" t="str">
        <f t="shared" si="13"/>
        <v/>
      </c>
      <c r="B86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62" spans="1:2" x14ac:dyDescent="0.35">
      <c r="A862" s="1" t="str">
        <f t="shared" si="13"/>
        <v/>
      </c>
      <c r="B86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63" spans="1:2" x14ac:dyDescent="0.35">
      <c r="A863" s="1" t="str">
        <f t="shared" si="13"/>
        <v/>
      </c>
      <c r="B86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64" spans="1:2" x14ac:dyDescent="0.35">
      <c r="A864" s="1" t="str">
        <f t="shared" si="13"/>
        <v/>
      </c>
      <c r="B86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65" spans="1:2" x14ac:dyDescent="0.35">
      <c r="A865" s="1" t="str">
        <f t="shared" si="13"/>
        <v/>
      </c>
      <c r="B86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66" spans="1:2" x14ac:dyDescent="0.35">
      <c r="A866" s="1" t="str">
        <f t="shared" si="13"/>
        <v/>
      </c>
      <c r="B86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67" spans="1:2" x14ac:dyDescent="0.35">
      <c r="A867" s="1" t="str">
        <f t="shared" si="13"/>
        <v/>
      </c>
      <c r="B86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68" spans="1:2" x14ac:dyDescent="0.35">
      <c r="A868" s="1" t="str">
        <f t="shared" si="13"/>
        <v/>
      </c>
      <c r="B86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69" spans="1:2" x14ac:dyDescent="0.35">
      <c r="A869" s="1" t="str">
        <f t="shared" si="13"/>
        <v/>
      </c>
      <c r="B86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70" spans="1:2" x14ac:dyDescent="0.35">
      <c r="A870" s="1" t="str">
        <f t="shared" si="13"/>
        <v/>
      </c>
      <c r="B87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71" spans="1:2" x14ac:dyDescent="0.35">
      <c r="A871" s="1" t="str">
        <f t="shared" si="13"/>
        <v/>
      </c>
      <c r="B87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72" spans="1:2" x14ac:dyDescent="0.35">
      <c r="A872" s="1" t="str">
        <f t="shared" si="13"/>
        <v/>
      </c>
      <c r="B87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73" spans="1:2" x14ac:dyDescent="0.35">
      <c r="A873" s="1" t="str">
        <f t="shared" si="13"/>
        <v/>
      </c>
      <c r="B87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74" spans="1:2" x14ac:dyDescent="0.35">
      <c r="A874" s="1" t="str">
        <f t="shared" si="13"/>
        <v/>
      </c>
      <c r="B87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75" spans="1:2" x14ac:dyDescent="0.35">
      <c r="A875" s="1" t="str">
        <f t="shared" si="13"/>
        <v/>
      </c>
      <c r="B87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76" spans="1:2" x14ac:dyDescent="0.35">
      <c r="A876" s="1" t="str">
        <f t="shared" si="13"/>
        <v/>
      </c>
      <c r="B87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77" spans="1:2" x14ac:dyDescent="0.35">
      <c r="A877" s="1" t="str">
        <f t="shared" si="13"/>
        <v/>
      </c>
      <c r="B87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78" spans="1:2" x14ac:dyDescent="0.35">
      <c r="A878" s="1" t="str">
        <f t="shared" si="13"/>
        <v/>
      </c>
      <c r="B87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79" spans="1:2" x14ac:dyDescent="0.35">
      <c r="A879" s="1" t="str">
        <f t="shared" si="13"/>
        <v/>
      </c>
      <c r="B87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80" spans="1:2" x14ac:dyDescent="0.35">
      <c r="A880" s="1" t="str">
        <f t="shared" si="13"/>
        <v/>
      </c>
      <c r="B88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81" spans="1:2" x14ac:dyDescent="0.35">
      <c r="A881" s="1" t="str">
        <f t="shared" si="13"/>
        <v/>
      </c>
      <c r="B88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82" spans="1:2" x14ac:dyDescent="0.35">
      <c r="A882" s="1" t="str">
        <f t="shared" si="13"/>
        <v/>
      </c>
      <c r="B88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83" spans="1:2" x14ac:dyDescent="0.35">
      <c r="A883" s="1" t="str">
        <f t="shared" si="13"/>
        <v/>
      </c>
      <c r="B88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84" spans="1:2" x14ac:dyDescent="0.35">
      <c r="A884" s="1" t="str">
        <f t="shared" si="13"/>
        <v/>
      </c>
      <c r="B88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85" spans="1:2" x14ac:dyDescent="0.35">
      <c r="A885" s="1" t="str">
        <f t="shared" si="13"/>
        <v/>
      </c>
      <c r="B88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86" spans="1:2" x14ac:dyDescent="0.35">
      <c r="A886" s="1" t="str">
        <f t="shared" si="13"/>
        <v/>
      </c>
      <c r="B88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87" spans="1:2" x14ac:dyDescent="0.35">
      <c r="A887" s="1" t="str">
        <f t="shared" si="13"/>
        <v/>
      </c>
      <c r="B88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88" spans="1:2" x14ac:dyDescent="0.35">
      <c r="A888" s="1" t="str">
        <f t="shared" si="13"/>
        <v/>
      </c>
      <c r="B88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89" spans="1:2" x14ac:dyDescent="0.35">
      <c r="A889" s="1" t="str">
        <f t="shared" si="13"/>
        <v/>
      </c>
      <c r="B88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90" spans="1:2" x14ac:dyDescent="0.35">
      <c r="A890" s="1" t="str">
        <f t="shared" si="13"/>
        <v/>
      </c>
      <c r="B89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91" spans="1:2" x14ac:dyDescent="0.35">
      <c r="A891" s="1" t="str">
        <f t="shared" si="13"/>
        <v/>
      </c>
      <c r="B89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92" spans="1:2" x14ac:dyDescent="0.35">
      <c r="A892" s="1" t="str">
        <f t="shared" si="13"/>
        <v/>
      </c>
      <c r="B89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93" spans="1:2" x14ac:dyDescent="0.35">
      <c r="A893" s="1" t="str">
        <f t="shared" si="13"/>
        <v/>
      </c>
      <c r="B89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94" spans="1:2" x14ac:dyDescent="0.35">
      <c r="A894" s="1" t="str">
        <f t="shared" si="13"/>
        <v/>
      </c>
      <c r="B89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95" spans="1:2" x14ac:dyDescent="0.35">
      <c r="A895" s="1" t="str">
        <f t="shared" si="13"/>
        <v/>
      </c>
      <c r="B89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96" spans="1:2" x14ac:dyDescent="0.35">
      <c r="A896" s="1" t="str">
        <f t="shared" si="13"/>
        <v/>
      </c>
      <c r="B89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97" spans="1:2" x14ac:dyDescent="0.35">
      <c r="A897" s="1" t="str">
        <f t="shared" si="13"/>
        <v/>
      </c>
      <c r="B89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98" spans="1:2" x14ac:dyDescent="0.35">
      <c r="A898" s="1" t="str">
        <f t="shared" ref="A898:A961" si="14">IFERROR(LEFT(RIGHT(C898,LEN(C898)-SEARCH("@",C898)),SEARCH("/",RIGHT(C898,LEN(C898)-SEARCH("@",C898)-1))),"")</f>
        <v/>
      </c>
      <c r="B89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99" spans="1:2" x14ac:dyDescent="0.35">
      <c r="A899" s="1" t="str">
        <f t="shared" si="14"/>
        <v/>
      </c>
      <c r="B89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00" spans="1:2" x14ac:dyDescent="0.35">
      <c r="A900" s="1" t="str">
        <f t="shared" si="14"/>
        <v/>
      </c>
      <c r="B90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01" spans="1:2" x14ac:dyDescent="0.35">
      <c r="A901" s="1" t="str">
        <f t="shared" si="14"/>
        <v/>
      </c>
      <c r="B90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02" spans="1:2" x14ac:dyDescent="0.35">
      <c r="A902" s="1" t="str">
        <f t="shared" si="14"/>
        <v/>
      </c>
      <c r="B90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03" spans="1:2" x14ac:dyDescent="0.35">
      <c r="A903" s="1" t="str">
        <f t="shared" si="14"/>
        <v/>
      </c>
      <c r="B90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04" spans="1:2" x14ac:dyDescent="0.35">
      <c r="A904" s="1" t="str">
        <f t="shared" si="14"/>
        <v/>
      </c>
      <c r="B90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05" spans="1:2" x14ac:dyDescent="0.35">
      <c r="A905" s="1" t="str">
        <f t="shared" si="14"/>
        <v/>
      </c>
      <c r="B90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06" spans="1:2" x14ac:dyDescent="0.35">
      <c r="A906" s="1" t="str">
        <f t="shared" si="14"/>
        <v/>
      </c>
      <c r="B90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07" spans="1:2" x14ac:dyDescent="0.35">
      <c r="A907" s="1" t="str">
        <f t="shared" si="14"/>
        <v/>
      </c>
      <c r="B90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08" spans="1:2" x14ac:dyDescent="0.35">
      <c r="A908" s="1" t="str">
        <f t="shared" si="14"/>
        <v/>
      </c>
      <c r="B90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09" spans="1:2" x14ac:dyDescent="0.35">
      <c r="A909" s="1" t="str">
        <f t="shared" si="14"/>
        <v/>
      </c>
      <c r="B90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10" spans="1:2" x14ac:dyDescent="0.35">
      <c r="A910" s="1" t="str">
        <f t="shared" si="14"/>
        <v/>
      </c>
      <c r="B91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11" spans="1:2" x14ac:dyDescent="0.35">
      <c r="A911" s="1" t="str">
        <f t="shared" si="14"/>
        <v/>
      </c>
      <c r="B91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12" spans="1:2" x14ac:dyDescent="0.35">
      <c r="A912" s="1" t="str">
        <f t="shared" si="14"/>
        <v/>
      </c>
      <c r="B91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13" spans="1:2" x14ac:dyDescent="0.35">
      <c r="A913" s="1" t="str">
        <f t="shared" si="14"/>
        <v/>
      </c>
      <c r="B91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14" spans="1:2" x14ac:dyDescent="0.35">
      <c r="A914" s="1" t="str">
        <f t="shared" si="14"/>
        <v/>
      </c>
      <c r="B91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15" spans="1:2" x14ac:dyDescent="0.35">
      <c r="A915" s="1" t="str">
        <f t="shared" si="14"/>
        <v/>
      </c>
      <c r="B91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16" spans="1:2" x14ac:dyDescent="0.35">
      <c r="A916" s="1" t="str">
        <f t="shared" si="14"/>
        <v/>
      </c>
      <c r="B91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17" spans="1:2" x14ac:dyDescent="0.35">
      <c r="A917" s="1" t="str">
        <f t="shared" si="14"/>
        <v/>
      </c>
      <c r="B91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18" spans="1:2" x14ac:dyDescent="0.35">
      <c r="A918" s="1" t="str">
        <f t="shared" si="14"/>
        <v/>
      </c>
      <c r="B91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19" spans="1:2" x14ac:dyDescent="0.35">
      <c r="A919" s="1" t="str">
        <f t="shared" si="14"/>
        <v/>
      </c>
      <c r="B91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20" spans="1:2" x14ac:dyDescent="0.35">
      <c r="A920" s="1" t="str">
        <f t="shared" si="14"/>
        <v/>
      </c>
      <c r="B92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21" spans="1:2" x14ac:dyDescent="0.35">
      <c r="A921" s="1" t="str">
        <f t="shared" si="14"/>
        <v/>
      </c>
      <c r="B92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22" spans="1:2" x14ac:dyDescent="0.35">
      <c r="A922" s="1" t="str">
        <f t="shared" si="14"/>
        <v/>
      </c>
      <c r="B92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23" spans="1:2" x14ac:dyDescent="0.35">
      <c r="A923" s="1" t="str">
        <f t="shared" si="14"/>
        <v/>
      </c>
      <c r="B92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24" spans="1:2" x14ac:dyDescent="0.35">
      <c r="A924" s="1" t="str">
        <f t="shared" si="14"/>
        <v/>
      </c>
      <c r="B92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25" spans="1:2" x14ac:dyDescent="0.35">
      <c r="A925" s="1" t="str">
        <f t="shared" si="14"/>
        <v/>
      </c>
      <c r="B92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26" spans="1:2" x14ac:dyDescent="0.35">
      <c r="A926" s="1" t="str">
        <f t="shared" si="14"/>
        <v/>
      </c>
      <c r="B92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27" spans="1:2" x14ac:dyDescent="0.35">
      <c r="A927" s="1" t="str">
        <f t="shared" si="14"/>
        <v/>
      </c>
      <c r="B92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28" spans="1:2" x14ac:dyDescent="0.35">
      <c r="A928" s="1" t="str">
        <f t="shared" si="14"/>
        <v/>
      </c>
      <c r="B92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29" spans="1:2" x14ac:dyDescent="0.35">
      <c r="A929" s="1" t="str">
        <f t="shared" si="14"/>
        <v/>
      </c>
      <c r="B92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30" spans="1:2" x14ac:dyDescent="0.35">
      <c r="A930" s="1" t="str">
        <f t="shared" si="14"/>
        <v/>
      </c>
      <c r="B93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31" spans="1:2" x14ac:dyDescent="0.35">
      <c r="A931" s="1" t="str">
        <f t="shared" si="14"/>
        <v/>
      </c>
      <c r="B93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32" spans="1:2" x14ac:dyDescent="0.35">
      <c r="A932" s="1" t="str">
        <f t="shared" si="14"/>
        <v/>
      </c>
      <c r="B93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33" spans="1:2" x14ac:dyDescent="0.35">
      <c r="A933" s="1" t="str">
        <f t="shared" si="14"/>
        <v/>
      </c>
      <c r="B93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34" spans="1:2" x14ac:dyDescent="0.35">
      <c r="A934" s="1" t="str">
        <f t="shared" si="14"/>
        <v/>
      </c>
      <c r="B93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35" spans="1:2" x14ac:dyDescent="0.35">
      <c r="A935" s="1" t="str">
        <f t="shared" si="14"/>
        <v/>
      </c>
      <c r="B93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36" spans="1:2" x14ac:dyDescent="0.35">
      <c r="A936" s="1" t="str">
        <f t="shared" si="14"/>
        <v/>
      </c>
      <c r="B93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37" spans="1:2" x14ac:dyDescent="0.35">
      <c r="A937" s="1" t="str">
        <f t="shared" si="14"/>
        <v/>
      </c>
      <c r="B93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38" spans="1:2" x14ac:dyDescent="0.35">
      <c r="A938" s="1" t="str">
        <f t="shared" si="14"/>
        <v/>
      </c>
      <c r="B93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39" spans="1:2" x14ac:dyDescent="0.35">
      <c r="A939" s="1" t="str">
        <f t="shared" si="14"/>
        <v/>
      </c>
      <c r="B93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40" spans="1:2" x14ac:dyDescent="0.35">
      <c r="A940" s="1" t="str">
        <f t="shared" si="14"/>
        <v/>
      </c>
      <c r="B94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41" spans="1:2" x14ac:dyDescent="0.35">
      <c r="A941" s="1" t="str">
        <f t="shared" si="14"/>
        <v/>
      </c>
      <c r="B94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42" spans="1:2" x14ac:dyDescent="0.35">
      <c r="A942" s="1" t="str">
        <f t="shared" si="14"/>
        <v/>
      </c>
      <c r="B94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43" spans="1:2" x14ac:dyDescent="0.35">
      <c r="A943" s="1" t="str">
        <f t="shared" si="14"/>
        <v/>
      </c>
      <c r="B94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44" spans="1:2" x14ac:dyDescent="0.35">
      <c r="A944" s="1" t="str">
        <f t="shared" si="14"/>
        <v/>
      </c>
      <c r="B94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45" spans="1:2" x14ac:dyDescent="0.35">
      <c r="A945" s="1" t="str">
        <f t="shared" si="14"/>
        <v/>
      </c>
      <c r="B94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46" spans="1:2" x14ac:dyDescent="0.35">
      <c r="A946" s="1" t="str">
        <f t="shared" si="14"/>
        <v/>
      </c>
      <c r="B94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47" spans="1:2" x14ac:dyDescent="0.35">
      <c r="A947" s="1" t="str">
        <f t="shared" si="14"/>
        <v/>
      </c>
      <c r="B94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48" spans="1:2" x14ac:dyDescent="0.35">
      <c r="A948" s="1" t="str">
        <f t="shared" si="14"/>
        <v/>
      </c>
      <c r="B94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49" spans="1:2" x14ac:dyDescent="0.35">
      <c r="A949" s="1" t="str">
        <f t="shared" si="14"/>
        <v/>
      </c>
      <c r="B94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50" spans="1:2" x14ac:dyDescent="0.35">
      <c r="A950" s="1" t="str">
        <f t="shared" si="14"/>
        <v/>
      </c>
      <c r="B95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51" spans="1:2" x14ac:dyDescent="0.35">
      <c r="A951" s="1" t="str">
        <f t="shared" si="14"/>
        <v/>
      </c>
      <c r="B95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52" spans="1:2" x14ac:dyDescent="0.35">
      <c r="A952" s="1" t="str">
        <f t="shared" si="14"/>
        <v/>
      </c>
      <c r="B95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53" spans="1:2" x14ac:dyDescent="0.35">
      <c r="A953" s="1" t="str">
        <f t="shared" si="14"/>
        <v/>
      </c>
      <c r="B95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54" spans="1:2" x14ac:dyDescent="0.35">
      <c r="A954" s="1" t="str">
        <f t="shared" si="14"/>
        <v/>
      </c>
      <c r="B95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55" spans="1:2" x14ac:dyDescent="0.35">
      <c r="A955" s="1" t="str">
        <f t="shared" si="14"/>
        <v/>
      </c>
      <c r="B95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56" spans="1:2" x14ac:dyDescent="0.35">
      <c r="A956" s="1" t="str">
        <f t="shared" si="14"/>
        <v/>
      </c>
      <c r="B95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57" spans="1:2" x14ac:dyDescent="0.35">
      <c r="A957" s="1" t="str">
        <f t="shared" si="14"/>
        <v/>
      </c>
      <c r="B95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58" spans="1:2" x14ac:dyDescent="0.35">
      <c r="A958" s="1" t="str">
        <f t="shared" si="14"/>
        <v/>
      </c>
      <c r="B95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59" spans="1:2" x14ac:dyDescent="0.35">
      <c r="A959" s="1" t="str">
        <f t="shared" si="14"/>
        <v/>
      </c>
      <c r="B95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60" spans="1:2" x14ac:dyDescent="0.35">
      <c r="A960" s="1" t="str">
        <f t="shared" si="14"/>
        <v/>
      </c>
      <c r="B96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61" spans="1:2" x14ac:dyDescent="0.35">
      <c r="A961" s="1" t="str">
        <f t="shared" si="14"/>
        <v/>
      </c>
      <c r="B96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62" spans="1:2" x14ac:dyDescent="0.35">
      <c r="A962" s="1" t="str">
        <f t="shared" ref="A962:A1025" si="15">IFERROR(LEFT(RIGHT(C962,LEN(C962)-SEARCH("@",C962)),SEARCH("/",RIGHT(C962,LEN(C962)-SEARCH("@",C962)-1))),"")</f>
        <v/>
      </c>
      <c r="B96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63" spans="1:2" x14ac:dyDescent="0.35">
      <c r="A963" s="1" t="str">
        <f t="shared" si="15"/>
        <v/>
      </c>
      <c r="B96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64" spans="1:2" x14ac:dyDescent="0.35">
      <c r="A964" s="1" t="str">
        <f t="shared" si="15"/>
        <v/>
      </c>
      <c r="B96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65" spans="1:2" x14ac:dyDescent="0.35">
      <c r="A965" s="1" t="str">
        <f t="shared" si="15"/>
        <v/>
      </c>
      <c r="B96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66" spans="1:2" x14ac:dyDescent="0.35">
      <c r="A966" s="1" t="str">
        <f t="shared" si="15"/>
        <v/>
      </c>
      <c r="B96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67" spans="1:2" x14ac:dyDescent="0.35">
      <c r="A967" s="1" t="str">
        <f t="shared" si="15"/>
        <v/>
      </c>
      <c r="B96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68" spans="1:2" x14ac:dyDescent="0.35">
      <c r="A968" s="1" t="str">
        <f t="shared" si="15"/>
        <v/>
      </c>
      <c r="B96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69" spans="1:2" x14ac:dyDescent="0.35">
      <c r="A969" s="1" t="str">
        <f t="shared" si="15"/>
        <v/>
      </c>
      <c r="B96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70" spans="1:2" x14ac:dyDescent="0.35">
      <c r="A970" s="1" t="str">
        <f t="shared" si="15"/>
        <v/>
      </c>
      <c r="B97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71" spans="1:2" x14ac:dyDescent="0.35">
      <c r="A971" s="1" t="str">
        <f t="shared" si="15"/>
        <v/>
      </c>
      <c r="B97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72" spans="1:2" x14ac:dyDescent="0.35">
      <c r="A972" s="1" t="str">
        <f t="shared" si="15"/>
        <v/>
      </c>
      <c r="B97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73" spans="1:2" x14ac:dyDescent="0.35">
      <c r="A973" s="1" t="str">
        <f t="shared" si="15"/>
        <v/>
      </c>
      <c r="B97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74" spans="1:2" x14ac:dyDescent="0.35">
      <c r="A974" s="1" t="str">
        <f t="shared" si="15"/>
        <v/>
      </c>
      <c r="B97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75" spans="1:2" x14ac:dyDescent="0.35">
      <c r="A975" s="1" t="str">
        <f t="shared" si="15"/>
        <v/>
      </c>
      <c r="B97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76" spans="1:2" x14ac:dyDescent="0.35">
      <c r="A976" s="1" t="str">
        <f t="shared" si="15"/>
        <v/>
      </c>
      <c r="B97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77" spans="1:2" x14ac:dyDescent="0.35">
      <c r="A977" s="1" t="str">
        <f t="shared" si="15"/>
        <v/>
      </c>
      <c r="B97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78" spans="1:2" x14ac:dyDescent="0.35">
      <c r="A978" s="1" t="str">
        <f t="shared" si="15"/>
        <v/>
      </c>
      <c r="B97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79" spans="1:2" x14ac:dyDescent="0.35">
      <c r="A979" s="1" t="str">
        <f t="shared" si="15"/>
        <v/>
      </c>
      <c r="B97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80" spans="1:2" x14ac:dyDescent="0.35">
      <c r="A980" s="1" t="str">
        <f t="shared" si="15"/>
        <v/>
      </c>
      <c r="B98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81" spans="1:2" x14ac:dyDescent="0.35">
      <c r="A981" s="1" t="str">
        <f t="shared" si="15"/>
        <v/>
      </c>
      <c r="B98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82" spans="1:2" x14ac:dyDescent="0.35">
      <c r="A982" s="1" t="str">
        <f t="shared" si="15"/>
        <v/>
      </c>
      <c r="B98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83" spans="1:2" x14ac:dyDescent="0.35">
      <c r="A983" s="1" t="str">
        <f t="shared" si="15"/>
        <v/>
      </c>
      <c r="B98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84" spans="1:2" x14ac:dyDescent="0.35">
      <c r="A984" s="1" t="str">
        <f t="shared" si="15"/>
        <v/>
      </c>
      <c r="B98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85" spans="1:2" x14ac:dyDescent="0.35">
      <c r="A985" s="1" t="str">
        <f t="shared" si="15"/>
        <v/>
      </c>
      <c r="B98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86" spans="1:2" x14ac:dyDescent="0.35">
      <c r="A986" s="1" t="str">
        <f t="shared" si="15"/>
        <v/>
      </c>
      <c r="B98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87" spans="1:2" x14ac:dyDescent="0.35">
      <c r="A987" s="1" t="str">
        <f t="shared" si="15"/>
        <v/>
      </c>
      <c r="B98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88" spans="1:2" x14ac:dyDescent="0.35">
      <c r="A988" s="1" t="str">
        <f t="shared" si="15"/>
        <v/>
      </c>
      <c r="B98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89" spans="1:2" x14ac:dyDescent="0.35">
      <c r="A989" s="1" t="str">
        <f t="shared" si="15"/>
        <v/>
      </c>
      <c r="B98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90" spans="1:2" x14ac:dyDescent="0.35">
      <c r="A990" s="1" t="str">
        <f t="shared" si="15"/>
        <v/>
      </c>
      <c r="B99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91" spans="1:2" x14ac:dyDescent="0.35">
      <c r="A991" s="1" t="str">
        <f t="shared" si="15"/>
        <v/>
      </c>
      <c r="B99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92" spans="1:2" x14ac:dyDescent="0.35">
      <c r="A992" s="1" t="str">
        <f t="shared" si="15"/>
        <v/>
      </c>
      <c r="B99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93" spans="1:2" x14ac:dyDescent="0.35">
      <c r="A993" s="1" t="str">
        <f t="shared" si="15"/>
        <v/>
      </c>
      <c r="B99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94" spans="1:2" x14ac:dyDescent="0.35">
      <c r="A994" s="1" t="str">
        <f t="shared" si="15"/>
        <v/>
      </c>
      <c r="B99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95" spans="1:2" x14ac:dyDescent="0.35">
      <c r="A995" s="1" t="str">
        <f t="shared" si="15"/>
        <v/>
      </c>
      <c r="B99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96" spans="1:2" x14ac:dyDescent="0.35">
      <c r="A996" s="1" t="str">
        <f t="shared" si="15"/>
        <v/>
      </c>
      <c r="B99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97" spans="1:2" x14ac:dyDescent="0.35">
      <c r="A997" s="1" t="str">
        <f t="shared" si="15"/>
        <v/>
      </c>
      <c r="B99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98" spans="1:2" x14ac:dyDescent="0.35">
      <c r="A998" s="1" t="str">
        <f t="shared" si="15"/>
        <v/>
      </c>
      <c r="B99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99" spans="1:2" x14ac:dyDescent="0.35">
      <c r="A999" s="1" t="str">
        <f t="shared" si="15"/>
        <v/>
      </c>
      <c r="B99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00" spans="1:2" x14ac:dyDescent="0.35">
      <c r="A1000" s="1" t="str">
        <f t="shared" si="15"/>
        <v/>
      </c>
      <c r="B100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01" spans="1:2" x14ac:dyDescent="0.35">
      <c r="A1001" s="1" t="str">
        <f t="shared" si="15"/>
        <v/>
      </c>
      <c r="B100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02" spans="1:2" x14ac:dyDescent="0.35">
      <c r="A1002" s="1" t="str">
        <f t="shared" si="15"/>
        <v/>
      </c>
      <c r="B100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03" spans="1:2" x14ac:dyDescent="0.35">
      <c r="A1003" s="1" t="str">
        <f t="shared" si="15"/>
        <v/>
      </c>
      <c r="B100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04" spans="1:2" x14ac:dyDescent="0.35">
      <c r="A1004" s="1" t="str">
        <f t="shared" si="15"/>
        <v/>
      </c>
      <c r="B100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05" spans="1:2" x14ac:dyDescent="0.35">
      <c r="A1005" s="1" t="str">
        <f t="shared" si="15"/>
        <v/>
      </c>
      <c r="B100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06" spans="1:2" x14ac:dyDescent="0.35">
      <c r="A1006" s="1" t="str">
        <f t="shared" si="15"/>
        <v/>
      </c>
      <c r="B100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07" spans="1:2" x14ac:dyDescent="0.35">
      <c r="A1007" s="1" t="str">
        <f t="shared" si="15"/>
        <v/>
      </c>
      <c r="B100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08" spans="1:2" x14ac:dyDescent="0.35">
      <c r="A1008" s="1" t="str">
        <f t="shared" si="15"/>
        <v/>
      </c>
      <c r="B100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09" spans="1:2" x14ac:dyDescent="0.35">
      <c r="A1009" s="1" t="str">
        <f t="shared" si="15"/>
        <v/>
      </c>
      <c r="B100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10" spans="1:2" x14ac:dyDescent="0.35">
      <c r="A1010" s="1" t="str">
        <f t="shared" si="15"/>
        <v/>
      </c>
      <c r="B101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11" spans="1:2" x14ac:dyDescent="0.35">
      <c r="A1011" s="1" t="str">
        <f t="shared" si="15"/>
        <v/>
      </c>
      <c r="B101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12" spans="1:2" x14ac:dyDescent="0.35">
      <c r="A1012" s="1" t="str">
        <f t="shared" si="15"/>
        <v/>
      </c>
      <c r="B101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13" spans="1:2" x14ac:dyDescent="0.35">
      <c r="A1013" s="1" t="str">
        <f t="shared" si="15"/>
        <v/>
      </c>
      <c r="B101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14" spans="1:2" x14ac:dyDescent="0.35">
      <c r="A1014" s="1" t="str">
        <f t="shared" si="15"/>
        <v/>
      </c>
      <c r="B101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15" spans="1:2" x14ac:dyDescent="0.35">
      <c r="A1015" s="1" t="str">
        <f t="shared" si="15"/>
        <v/>
      </c>
      <c r="B101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16" spans="1:2" x14ac:dyDescent="0.35">
      <c r="A1016" s="1" t="str">
        <f t="shared" si="15"/>
        <v/>
      </c>
      <c r="B101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17" spans="1:2" x14ac:dyDescent="0.35">
      <c r="A1017" s="1" t="str">
        <f t="shared" si="15"/>
        <v/>
      </c>
      <c r="B101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18" spans="1:2" x14ac:dyDescent="0.35">
      <c r="A1018" s="1" t="str">
        <f t="shared" si="15"/>
        <v/>
      </c>
      <c r="B101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19" spans="1:2" x14ac:dyDescent="0.35">
      <c r="A1019" s="1" t="str">
        <f t="shared" si="15"/>
        <v/>
      </c>
      <c r="B101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20" spans="1:2" x14ac:dyDescent="0.35">
      <c r="A1020" s="1" t="str">
        <f t="shared" si="15"/>
        <v/>
      </c>
      <c r="B102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21" spans="1:2" x14ac:dyDescent="0.35">
      <c r="A1021" s="1" t="str">
        <f t="shared" si="15"/>
        <v/>
      </c>
      <c r="B102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22" spans="1:2" x14ac:dyDescent="0.35">
      <c r="A1022" s="1" t="str">
        <f t="shared" si="15"/>
        <v/>
      </c>
      <c r="B102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23" spans="1:2" x14ac:dyDescent="0.35">
      <c r="A1023" s="1" t="str">
        <f t="shared" si="15"/>
        <v/>
      </c>
      <c r="B102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24" spans="1:2" x14ac:dyDescent="0.35">
      <c r="A1024" s="1" t="str">
        <f t="shared" si="15"/>
        <v/>
      </c>
      <c r="B102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25" spans="1:2" x14ac:dyDescent="0.35">
      <c r="A1025" s="1" t="str">
        <f t="shared" si="15"/>
        <v/>
      </c>
      <c r="B102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26" spans="1:2" x14ac:dyDescent="0.35">
      <c r="A1026" s="1" t="str">
        <f t="shared" ref="A1026:A1089" si="16">IFERROR(LEFT(RIGHT(C1026,LEN(C1026)-SEARCH("@",C1026)),SEARCH("/",RIGHT(C1026,LEN(C1026)-SEARCH("@",C1026)-1))),"")</f>
        <v/>
      </c>
      <c r="B102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27" spans="1:2" x14ac:dyDescent="0.35">
      <c r="A1027" s="1" t="str">
        <f t="shared" si="16"/>
        <v/>
      </c>
      <c r="B102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28" spans="1:2" x14ac:dyDescent="0.35">
      <c r="A1028" s="1" t="str">
        <f t="shared" si="16"/>
        <v/>
      </c>
      <c r="B102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29" spans="1:2" x14ac:dyDescent="0.35">
      <c r="A1029" s="1" t="str">
        <f t="shared" si="16"/>
        <v/>
      </c>
      <c r="B102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30" spans="1:2" x14ac:dyDescent="0.35">
      <c r="A1030" s="1" t="str">
        <f t="shared" si="16"/>
        <v/>
      </c>
      <c r="B103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31" spans="1:2" x14ac:dyDescent="0.35">
      <c r="A1031" s="1" t="str">
        <f t="shared" si="16"/>
        <v/>
      </c>
      <c r="B103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32" spans="1:2" x14ac:dyDescent="0.35">
      <c r="A1032" s="1" t="str">
        <f t="shared" si="16"/>
        <v/>
      </c>
      <c r="B103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33" spans="1:2" x14ac:dyDescent="0.35">
      <c r="A1033" s="1" t="str">
        <f t="shared" si="16"/>
        <v/>
      </c>
      <c r="B103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34" spans="1:2" x14ac:dyDescent="0.35">
      <c r="A1034" s="1" t="str">
        <f t="shared" si="16"/>
        <v/>
      </c>
      <c r="B103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35" spans="1:2" x14ac:dyDescent="0.35">
      <c r="A1035" s="1" t="str">
        <f t="shared" si="16"/>
        <v/>
      </c>
      <c r="B103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36" spans="1:2" x14ac:dyDescent="0.35">
      <c r="A1036" s="1" t="str">
        <f t="shared" si="16"/>
        <v/>
      </c>
      <c r="B103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37" spans="1:2" x14ac:dyDescent="0.35">
      <c r="A1037" s="1" t="str">
        <f t="shared" si="16"/>
        <v/>
      </c>
      <c r="B103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38" spans="1:2" x14ac:dyDescent="0.35">
      <c r="A1038" s="1" t="str">
        <f t="shared" si="16"/>
        <v/>
      </c>
      <c r="B103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39" spans="1:2" x14ac:dyDescent="0.35">
      <c r="A1039" s="1" t="str">
        <f t="shared" si="16"/>
        <v/>
      </c>
      <c r="B103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40" spans="1:2" x14ac:dyDescent="0.35">
      <c r="A1040" s="1" t="str">
        <f t="shared" si="16"/>
        <v/>
      </c>
      <c r="B104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41" spans="1:2" x14ac:dyDescent="0.35">
      <c r="A1041" s="1" t="str">
        <f t="shared" si="16"/>
        <v/>
      </c>
      <c r="B104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42" spans="1:2" x14ac:dyDescent="0.35">
      <c r="A1042" s="1" t="str">
        <f t="shared" si="16"/>
        <v/>
      </c>
      <c r="B104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43" spans="1:2" x14ac:dyDescent="0.35">
      <c r="A1043" s="1" t="str">
        <f t="shared" si="16"/>
        <v/>
      </c>
      <c r="B104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44" spans="1:2" x14ac:dyDescent="0.35">
      <c r="A1044" s="1" t="str">
        <f t="shared" si="16"/>
        <v/>
      </c>
      <c r="B104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45" spans="1:2" x14ac:dyDescent="0.35">
      <c r="A1045" s="1" t="str">
        <f t="shared" si="16"/>
        <v/>
      </c>
      <c r="B104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46" spans="1:2" x14ac:dyDescent="0.35">
      <c r="A1046" s="1" t="str">
        <f t="shared" si="16"/>
        <v/>
      </c>
      <c r="B104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47" spans="1:2" x14ac:dyDescent="0.35">
      <c r="A1047" s="1" t="str">
        <f t="shared" si="16"/>
        <v/>
      </c>
      <c r="B104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48" spans="1:2" x14ac:dyDescent="0.35">
      <c r="A1048" s="1" t="str">
        <f t="shared" si="16"/>
        <v/>
      </c>
      <c r="B104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49" spans="1:2" x14ac:dyDescent="0.35">
      <c r="A1049" s="1" t="str">
        <f t="shared" si="16"/>
        <v/>
      </c>
      <c r="B104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50" spans="1:2" x14ac:dyDescent="0.35">
      <c r="A1050" s="1" t="str">
        <f t="shared" si="16"/>
        <v/>
      </c>
      <c r="B105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51" spans="1:2" x14ac:dyDescent="0.35">
      <c r="A1051" s="1" t="str">
        <f t="shared" si="16"/>
        <v/>
      </c>
      <c r="B105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52" spans="1:2" x14ac:dyDescent="0.35">
      <c r="A1052" s="1" t="str">
        <f t="shared" si="16"/>
        <v/>
      </c>
      <c r="B105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53" spans="1:2" x14ac:dyDescent="0.35">
      <c r="A1053" s="1" t="str">
        <f t="shared" si="16"/>
        <v/>
      </c>
      <c r="B105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54" spans="1:2" x14ac:dyDescent="0.35">
      <c r="A1054" s="1" t="str">
        <f t="shared" si="16"/>
        <v/>
      </c>
      <c r="B105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55" spans="1:2" x14ac:dyDescent="0.35">
      <c r="A1055" s="1" t="str">
        <f t="shared" si="16"/>
        <v/>
      </c>
      <c r="B105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56" spans="1:2" x14ac:dyDescent="0.35">
      <c r="A1056" s="1" t="str">
        <f t="shared" si="16"/>
        <v/>
      </c>
      <c r="B105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57" spans="1:2" x14ac:dyDescent="0.35">
      <c r="A1057" s="1" t="str">
        <f t="shared" si="16"/>
        <v/>
      </c>
      <c r="B105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58" spans="1:2" x14ac:dyDescent="0.35">
      <c r="A1058" s="1" t="str">
        <f t="shared" si="16"/>
        <v/>
      </c>
      <c r="B105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59" spans="1:2" x14ac:dyDescent="0.35">
      <c r="A1059" s="1" t="str">
        <f t="shared" si="16"/>
        <v/>
      </c>
      <c r="B105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60" spans="1:2" x14ac:dyDescent="0.35">
      <c r="A1060" s="1" t="str">
        <f t="shared" si="16"/>
        <v/>
      </c>
      <c r="B106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61" spans="1:2" x14ac:dyDescent="0.35">
      <c r="A1061" s="1" t="str">
        <f t="shared" si="16"/>
        <v/>
      </c>
      <c r="B106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62" spans="1:2" x14ac:dyDescent="0.35">
      <c r="A1062" s="1" t="str">
        <f t="shared" si="16"/>
        <v/>
      </c>
      <c r="B106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63" spans="1:2" x14ac:dyDescent="0.35">
      <c r="A1063" s="1" t="str">
        <f t="shared" si="16"/>
        <v/>
      </c>
      <c r="B106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64" spans="1:2" x14ac:dyDescent="0.35">
      <c r="A1064" s="1" t="str">
        <f t="shared" si="16"/>
        <v/>
      </c>
      <c r="B106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65" spans="1:2" x14ac:dyDescent="0.35">
      <c r="A1065" s="1" t="str">
        <f t="shared" si="16"/>
        <v/>
      </c>
      <c r="B106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66" spans="1:2" x14ac:dyDescent="0.35">
      <c r="A1066" s="1" t="str">
        <f t="shared" si="16"/>
        <v/>
      </c>
      <c r="B106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67" spans="1:2" x14ac:dyDescent="0.35">
      <c r="A1067" s="1" t="str">
        <f t="shared" si="16"/>
        <v/>
      </c>
      <c r="B106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68" spans="1:2" x14ac:dyDescent="0.35">
      <c r="A1068" s="1" t="str">
        <f t="shared" si="16"/>
        <v/>
      </c>
      <c r="B106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69" spans="1:2" x14ac:dyDescent="0.35">
      <c r="A1069" s="1" t="str">
        <f t="shared" si="16"/>
        <v/>
      </c>
      <c r="B106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70" spans="1:2" x14ac:dyDescent="0.35">
      <c r="A1070" s="1" t="str">
        <f t="shared" si="16"/>
        <v/>
      </c>
      <c r="B107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71" spans="1:2" x14ac:dyDescent="0.35">
      <c r="A1071" s="1" t="str">
        <f t="shared" si="16"/>
        <v/>
      </c>
      <c r="B107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72" spans="1:2" x14ac:dyDescent="0.35">
      <c r="A1072" s="1" t="str">
        <f t="shared" si="16"/>
        <v/>
      </c>
      <c r="B107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73" spans="1:2" x14ac:dyDescent="0.35">
      <c r="A1073" s="1" t="str">
        <f t="shared" si="16"/>
        <v/>
      </c>
      <c r="B107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74" spans="1:2" x14ac:dyDescent="0.35">
      <c r="A1074" s="1" t="str">
        <f t="shared" si="16"/>
        <v/>
      </c>
      <c r="B107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75" spans="1:2" x14ac:dyDescent="0.35">
      <c r="A1075" s="1" t="str">
        <f t="shared" si="16"/>
        <v/>
      </c>
      <c r="B107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76" spans="1:2" x14ac:dyDescent="0.35">
      <c r="A1076" s="1" t="str">
        <f t="shared" si="16"/>
        <v/>
      </c>
      <c r="B107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77" spans="1:2" x14ac:dyDescent="0.35">
      <c r="A1077" s="1" t="str">
        <f t="shared" si="16"/>
        <v/>
      </c>
      <c r="B107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78" spans="1:2" x14ac:dyDescent="0.35">
      <c r="A1078" s="1" t="str">
        <f t="shared" si="16"/>
        <v/>
      </c>
      <c r="B107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79" spans="1:2" x14ac:dyDescent="0.35">
      <c r="A1079" s="1" t="str">
        <f t="shared" si="16"/>
        <v/>
      </c>
      <c r="B107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80" spans="1:2" x14ac:dyDescent="0.35">
      <c r="A1080" s="1" t="str">
        <f t="shared" si="16"/>
        <v/>
      </c>
      <c r="B108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81" spans="1:2" x14ac:dyDescent="0.35">
      <c r="A1081" s="1" t="str">
        <f t="shared" si="16"/>
        <v/>
      </c>
      <c r="B108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82" spans="1:2" x14ac:dyDescent="0.35">
      <c r="A1082" s="1" t="str">
        <f t="shared" si="16"/>
        <v/>
      </c>
      <c r="B108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83" spans="1:2" x14ac:dyDescent="0.35">
      <c r="A1083" s="1" t="str">
        <f t="shared" si="16"/>
        <v/>
      </c>
      <c r="B108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84" spans="1:2" x14ac:dyDescent="0.35">
      <c r="A1084" s="1" t="str">
        <f t="shared" si="16"/>
        <v/>
      </c>
      <c r="B108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85" spans="1:2" x14ac:dyDescent="0.35">
      <c r="A1085" s="1" t="str">
        <f t="shared" si="16"/>
        <v/>
      </c>
      <c r="B108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86" spans="1:2" x14ac:dyDescent="0.35">
      <c r="A1086" s="1" t="str">
        <f t="shared" si="16"/>
        <v/>
      </c>
      <c r="B108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87" spans="1:2" x14ac:dyDescent="0.35">
      <c r="A1087" s="1" t="str">
        <f t="shared" si="16"/>
        <v/>
      </c>
      <c r="B108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88" spans="1:2" x14ac:dyDescent="0.35">
      <c r="A1088" s="1" t="str">
        <f t="shared" si="16"/>
        <v/>
      </c>
      <c r="B108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89" spans="1:2" x14ac:dyDescent="0.35">
      <c r="A1089" s="1" t="str">
        <f t="shared" si="16"/>
        <v/>
      </c>
      <c r="B108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90" spans="1:2" x14ac:dyDescent="0.35">
      <c r="A1090" s="1" t="str">
        <f t="shared" ref="A1090:A1153" si="17">IFERROR(LEFT(RIGHT(C1090,LEN(C1090)-SEARCH("@",C1090)),SEARCH("/",RIGHT(C1090,LEN(C1090)-SEARCH("@",C1090)-1))),"")</f>
        <v/>
      </c>
      <c r="B109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91" spans="1:2" x14ac:dyDescent="0.35">
      <c r="A1091" s="1" t="str">
        <f t="shared" si="17"/>
        <v/>
      </c>
      <c r="B109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92" spans="1:2" x14ac:dyDescent="0.35">
      <c r="A1092" s="1" t="str">
        <f t="shared" si="17"/>
        <v/>
      </c>
      <c r="B109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93" spans="1:2" x14ac:dyDescent="0.35">
      <c r="A1093" s="1" t="str">
        <f t="shared" si="17"/>
        <v/>
      </c>
      <c r="B109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94" spans="1:2" x14ac:dyDescent="0.35">
      <c r="A1094" s="1" t="str">
        <f t="shared" si="17"/>
        <v/>
      </c>
      <c r="B109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95" spans="1:2" x14ac:dyDescent="0.35">
      <c r="A1095" s="1" t="str">
        <f t="shared" si="17"/>
        <v/>
      </c>
      <c r="B109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96" spans="1:2" x14ac:dyDescent="0.35">
      <c r="A1096" s="1" t="str">
        <f t="shared" si="17"/>
        <v/>
      </c>
      <c r="B109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97" spans="1:2" x14ac:dyDescent="0.35">
      <c r="A1097" s="1" t="str">
        <f t="shared" si="17"/>
        <v/>
      </c>
      <c r="B109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98" spans="1:2" x14ac:dyDescent="0.35">
      <c r="A1098" s="1" t="str">
        <f t="shared" si="17"/>
        <v/>
      </c>
      <c r="B109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99" spans="1:2" x14ac:dyDescent="0.35">
      <c r="A1099" s="1" t="str">
        <f t="shared" si="17"/>
        <v/>
      </c>
      <c r="B109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00" spans="1:2" x14ac:dyDescent="0.35">
      <c r="A1100" s="1" t="str">
        <f t="shared" si="17"/>
        <v/>
      </c>
      <c r="B110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01" spans="1:2" x14ac:dyDescent="0.35">
      <c r="A1101" s="1" t="str">
        <f t="shared" si="17"/>
        <v/>
      </c>
      <c r="B110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02" spans="1:2" x14ac:dyDescent="0.35">
      <c r="A1102" s="1" t="str">
        <f t="shared" si="17"/>
        <v/>
      </c>
      <c r="B110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03" spans="1:2" x14ac:dyDescent="0.35">
      <c r="A1103" s="1" t="str">
        <f t="shared" si="17"/>
        <v/>
      </c>
      <c r="B110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04" spans="1:2" x14ac:dyDescent="0.35">
      <c r="A1104" s="1" t="str">
        <f t="shared" si="17"/>
        <v/>
      </c>
      <c r="B110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05" spans="1:2" x14ac:dyDescent="0.35">
      <c r="A1105" s="1" t="str">
        <f t="shared" si="17"/>
        <v/>
      </c>
      <c r="B110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06" spans="1:2" x14ac:dyDescent="0.35">
      <c r="A1106" s="1" t="str">
        <f t="shared" si="17"/>
        <v/>
      </c>
      <c r="B110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07" spans="1:2" x14ac:dyDescent="0.35">
      <c r="A1107" s="1" t="str">
        <f t="shared" si="17"/>
        <v/>
      </c>
      <c r="B110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08" spans="1:2" x14ac:dyDescent="0.35">
      <c r="A1108" s="1" t="str">
        <f t="shared" si="17"/>
        <v/>
      </c>
      <c r="B110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09" spans="1:2" x14ac:dyDescent="0.35">
      <c r="A1109" s="1" t="str">
        <f t="shared" si="17"/>
        <v/>
      </c>
      <c r="B110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10" spans="1:2" x14ac:dyDescent="0.35">
      <c r="A1110" s="1" t="str">
        <f t="shared" si="17"/>
        <v/>
      </c>
      <c r="B111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11" spans="1:2" x14ac:dyDescent="0.35">
      <c r="A1111" s="1" t="str">
        <f t="shared" si="17"/>
        <v/>
      </c>
      <c r="B111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12" spans="1:2" x14ac:dyDescent="0.35">
      <c r="A1112" s="1" t="str">
        <f t="shared" si="17"/>
        <v/>
      </c>
      <c r="B111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13" spans="1:2" x14ac:dyDescent="0.35">
      <c r="A1113" s="1" t="str">
        <f t="shared" si="17"/>
        <v/>
      </c>
      <c r="B111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14" spans="1:2" x14ac:dyDescent="0.35">
      <c r="A1114" s="1" t="str">
        <f t="shared" si="17"/>
        <v/>
      </c>
      <c r="B111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15" spans="1:2" x14ac:dyDescent="0.35">
      <c r="A1115" s="1" t="str">
        <f t="shared" si="17"/>
        <v/>
      </c>
      <c r="B111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16" spans="1:2" x14ac:dyDescent="0.35">
      <c r="A1116" s="1" t="str">
        <f t="shared" si="17"/>
        <v/>
      </c>
      <c r="B111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17" spans="1:2" x14ac:dyDescent="0.35">
      <c r="A1117" s="1" t="str">
        <f t="shared" si="17"/>
        <v/>
      </c>
      <c r="B111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18" spans="1:2" x14ac:dyDescent="0.35">
      <c r="A1118" s="1" t="str">
        <f t="shared" si="17"/>
        <v/>
      </c>
      <c r="B111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19" spans="1:2" x14ac:dyDescent="0.35">
      <c r="A1119" s="1" t="str">
        <f t="shared" si="17"/>
        <v/>
      </c>
      <c r="B111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20" spans="1:2" x14ac:dyDescent="0.35">
      <c r="A1120" s="1" t="str">
        <f t="shared" si="17"/>
        <v/>
      </c>
      <c r="B112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21" spans="1:2" x14ac:dyDescent="0.35">
      <c r="A1121" s="1" t="str">
        <f t="shared" si="17"/>
        <v/>
      </c>
      <c r="B112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22" spans="1:2" x14ac:dyDescent="0.35">
      <c r="A1122" s="1" t="str">
        <f t="shared" si="17"/>
        <v/>
      </c>
      <c r="B112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23" spans="1:2" x14ac:dyDescent="0.35">
      <c r="A1123" s="1" t="str">
        <f t="shared" si="17"/>
        <v/>
      </c>
      <c r="B112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24" spans="1:2" x14ac:dyDescent="0.35">
      <c r="A1124" s="1" t="str">
        <f t="shared" si="17"/>
        <v/>
      </c>
      <c r="B112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25" spans="1:2" x14ac:dyDescent="0.35">
      <c r="A1125" s="1" t="str">
        <f t="shared" si="17"/>
        <v/>
      </c>
      <c r="B112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26" spans="1:2" x14ac:dyDescent="0.35">
      <c r="A1126" s="1" t="str">
        <f t="shared" si="17"/>
        <v/>
      </c>
      <c r="B112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27" spans="1:2" x14ac:dyDescent="0.35">
      <c r="A1127" s="1" t="str">
        <f t="shared" si="17"/>
        <v/>
      </c>
      <c r="B112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28" spans="1:2" x14ac:dyDescent="0.35">
      <c r="A1128" s="1" t="str">
        <f t="shared" si="17"/>
        <v/>
      </c>
      <c r="B112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29" spans="1:2" x14ac:dyDescent="0.35">
      <c r="A1129" s="1" t="str">
        <f t="shared" si="17"/>
        <v/>
      </c>
      <c r="B112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30" spans="1:2" x14ac:dyDescent="0.35">
      <c r="A1130" s="1" t="str">
        <f t="shared" si="17"/>
        <v/>
      </c>
      <c r="B113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31" spans="1:2" x14ac:dyDescent="0.35">
      <c r="A1131" s="1" t="str">
        <f t="shared" si="17"/>
        <v/>
      </c>
      <c r="B113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32" spans="1:2" x14ac:dyDescent="0.35">
      <c r="A1132" s="1" t="str">
        <f t="shared" si="17"/>
        <v/>
      </c>
      <c r="B113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33" spans="1:2" x14ac:dyDescent="0.35">
      <c r="A1133" s="1" t="str">
        <f t="shared" si="17"/>
        <v/>
      </c>
      <c r="B113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34" spans="1:2" x14ac:dyDescent="0.35">
      <c r="A1134" s="1" t="str">
        <f t="shared" si="17"/>
        <v/>
      </c>
      <c r="B113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35" spans="1:2" x14ac:dyDescent="0.35">
      <c r="A1135" s="1" t="str">
        <f t="shared" si="17"/>
        <v/>
      </c>
      <c r="B113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36" spans="1:2" x14ac:dyDescent="0.35">
      <c r="A1136" s="1" t="str">
        <f t="shared" si="17"/>
        <v/>
      </c>
      <c r="B113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37" spans="1:2" x14ac:dyDescent="0.35">
      <c r="A1137" s="1" t="str">
        <f t="shared" si="17"/>
        <v/>
      </c>
      <c r="B113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38" spans="1:2" x14ac:dyDescent="0.35">
      <c r="A1138" s="1" t="str">
        <f t="shared" si="17"/>
        <v/>
      </c>
      <c r="B113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39" spans="1:2" x14ac:dyDescent="0.35">
      <c r="A1139" s="1" t="str">
        <f t="shared" si="17"/>
        <v/>
      </c>
      <c r="B113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40" spans="1:2" x14ac:dyDescent="0.35">
      <c r="A1140" s="1" t="str">
        <f t="shared" si="17"/>
        <v/>
      </c>
      <c r="B114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41" spans="1:2" x14ac:dyDescent="0.35">
      <c r="A1141" s="1" t="str">
        <f t="shared" si="17"/>
        <v/>
      </c>
      <c r="B114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42" spans="1:2" x14ac:dyDescent="0.35">
      <c r="A1142" s="1" t="str">
        <f t="shared" si="17"/>
        <v/>
      </c>
      <c r="B114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43" spans="1:2" x14ac:dyDescent="0.35">
      <c r="A1143" s="1" t="str">
        <f t="shared" si="17"/>
        <v/>
      </c>
      <c r="B114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44" spans="1:2" x14ac:dyDescent="0.35">
      <c r="A1144" s="1" t="str">
        <f t="shared" si="17"/>
        <v/>
      </c>
      <c r="B114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45" spans="1:2" x14ac:dyDescent="0.35">
      <c r="A1145" s="1" t="str">
        <f t="shared" si="17"/>
        <v/>
      </c>
      <c r="B114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46" spans="1:2" x14ac:dyDescent="0.35">
      <c r="A1146" s="1" t="str">
        <f t="shared" si="17"/>
        <v/>
      </c>
      <c r="B114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47" spans="1:2" x14ac:dyDescent="0.35">
      <c r="A1147" s="1" t="str">
        <f t="shared" si="17"/>
        <v/>
      </c>
      <c r="B114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48" spans="1:2" x14ac:dyDescent="0.35">
      <c r="A1148" s="1" t="str">
        <f t="shared" si="17"/>
        <v/>
      </c>
      <c r="B114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49" spans="1:2" x14ac:dyDescent="0.35">
      <c r="A1149" s="1" t="str">
        <f t="shared" si="17"/>
        <v/>
      </c>
      <c r="B114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50" spans="1:2" x14ac:dyDescent="0.35">
      <c r="A1150" s="1" t="str">
        <f t="shared" si="17"/>
        <v/>
      </c>
      <c r="B115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51" spans="1:2" x14ac:dyDescent="0.35">
      <c r="A1151" s="1" t="str">
        <f t="shared" si="17"/>
        <v/>
      </c>
      <c r="B115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52" spans="1:2" x14ac:dyDescent="0.35">
      <c r="A1152" s="1" t="str">
        <f t="shared" si="17"/>
        <v/>
      </c>
      <c r="B115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53" spans="1:2" x14ac:dyDescent="0.35">
      <c r="A1153" s="1" t="str">
        <f t="shared" si="17"/>
        <v/>
      </c>
      <c r="B115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54" spans="1:2" x14ac:dyDescent="0.35">
      <c r="A1154" s="1" t="str">
        <f t="shared" ref="A1154:A1217" si="18">IFERROR(LEFT(RIGHT(C1154,LEN(C1154)-SEARCH("@",C1154)),SEARCH("/",RIGHT(C1154,LEN(C1154)-SEARCH("@",C1154)-1))),"")</f>
        <v/>
      </c>
      <c r="B115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55" spans="1:2" x14ac:dyDescent="0.35">
      <c r="A1155" s="1" t="str">
        <f t="shared" si="18"/>
        <v/>
      </c>
      <c r="B115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56" spans="1:2" x14ac:dyDescent="0.35">
      <c r="A1156" s="1" t="str">
        <f t="shared" si="18"/>
        <v/>
      </c>
      <c r="B115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57" spans="1:2" x14ac:dyDescent="0.35">
      <c r="A1157" s="1" t="str">
        <f t="shared" si="18"/>
        <v/>
      </c>
      <c r="B115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58" spans="1:2" x14ac:dyDescent="0.35">
      <c r="A1158" s="1" t="str">
        <f t="shared" si="18"/>
        <v/>
      </c>
      <c r="B115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59" spans="1:2" x14ac:dyDescent="0.35">
      <c r="A1159" s="1" t="str">
        <f t="shared" si="18"/>
        <v/>
      </c>
      <c r="B115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60" spans="1:2" x14ac:dyDescent="0.35">
      <c r="A1160" s="1" t="str">
        <f t="shared" si="18"/>
        <v/>
      </c>
      <c r="B116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61" spans="1:2" x14ac:dyDescent="0.35">
      <c r="A1161" s="1" t="str">
        <f t="shared" si="18"/>
        <v/>
      </c>
      <c r="B116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62" spans="1:2" x14ac:dyDescent="0.35">
      <c r="A1162" s="1" t="str">
        <f t="shared" si="18"/>
        <v/>
      </c>
      <c r="B116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63" spans="1:2" x14ac:dyDescent="0.35">
      <c r="A1163" s="1" t="str">
        <f t="shared" si="18"/>
        <v/>
      </c>
      <c r="B116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64" spans="1:2" x14ac:dyDescent="0.35">
      <c r="A1164" s="1" t="str">
        <f t="shared" si="18"/>
        <v/>
      </c>
      <c r="B116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65" spans="1:2" x14ac:dyDescent="0.35">
      <c r="A1165" s="1" t="str">
        <f t="shared" si="18"/>
        <v/>
      </c>
      <c r="B116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66" spans="1:2" x14ac:dyDescent="0.35">
      <c r="A1166" s="1" t="str">
        <f t="shared" si="18"/>
        <v/>
      </c>
      <c r="B116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67" spans="1:2" x14ac:dyDescent="0.35">
      <c r="A1167" s="1" t="str">
        <f t="shared" si="18"/>
        <v/>
      </c>
      <c r="B116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68" spans="1:2" x14ac:dyDescent="0.35">
      <c r="A1168" s="1" t="str">
        <f t="shared" si="18"/>
        <v/>
      </c>
      <c r="B116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69" spans="1:2" x14ac:dyDescent="0.35">
      <c r="A1169" s="1" t="str">
        <f t="shared" si="18"/>
        <v/>
      </c>
      <c r="B116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70" spans="1:2" x14ac:dyDescent="0.35">
      <c r="A1170" s="1" t="str">
        <f t="shared" si="18"/>
        <v/>
      </c>
      <c r="B117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71" spans="1:2" x14ac:dyDescent="0.35">
      <c r="A1171" s="1" t="str">
        <f t="shared" si="18"/>
        <v/>
      </c>
      <c r="B117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72" spans="1:2" x14ac:dyDescent="0.35">
      <c r="A1172" s="1" t="str">
        <f t="shared" si="18"/>
        <v/>
      </c>
      <c r="B117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73" spans="1:2" x14ac:dyDescent="0.35">
      <c r="A1173" s="1" t="str">
        <f t="shared" si="18"/>
        <v/>
      </c>
      <c r="B117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74" spans="1:2" x14ac:dyDescent="0.35">
      <c r="A1174" s="1" t="str">
        <f t="shared" si="18"/>
        <v/>
      </c>
      <c r="B117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75" spans="1:2" x14ac:dyDescent="0.35">
      <c r="A1175" s="1" t="str">
        <f t="shared" si="18"/>
        <v/>
      </c>
      <c r="B117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76" spans="1:2" x14ac:dyDescent="0.35">
      <c r="A1176" s="1" t="str">
        <f t="shared" si="18"/>
        <v/>
      </c>
      <c r="B117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77" spans="1:2" x14ac:dyDescent="0.35">
      <c r="A1177" s="1" t="str">
        <f t="shared" si="18"/>
        <v/>
      </c>
      <c r="B117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78" spans="1:2" x14ac:dyDescent="0.35">
      <c r="A1178" s="1" t="str">
        <f t="shared" si="18"/>
        <v/>
      </c>
      <c r="B117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79" spans="1:2" x14ac:dyDescent="0.35">
      <c r="A1179" s="1" t="str">
        <f t="shared" si="18"/>
        <v/>
      </c>
      <c r="B117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80" spans="1:2" x14ac:dyDescent="0.35">
      <c r="A1180" s="1" t="str">
        <f t="shared" si="18"/>
        <v/>
      </c>
      <c r="B118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81" spans="1:2" x14ac:dyDescent="0.35">
      <c r="A1181" s="1" t="str">
        <f t="shared" si="18"/>
        <v/>
      </c>
      <c r="B118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82" spans="1:2" x14ac:dyDescent="0.35">
      <c r="A1182" s="1" t="str">
        <f t="shared" si="18"/>
        <v/>
      </c>
      <c r="B118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83" spans="1:2" x14ac:dyDescent="0.35">
      <c r="A1183" s="1" t="str">
        <f t="shared" si="18"/>
        <v/>
      </c>
      <c r="B118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84" spans="1:2" x14ac:dyDescent="0.35">
      <c r="A1184" s="1" t="str">
        <f t="shared" si="18"/>
        <v/>
      </c>
      <c r="B118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85" spans="1:2" x14ac:dyDescent="0.35">
      <c r="A1185" s="1" t="str">
        <f t="shared" si="18"/>
        <v/>
      </c>
      <c r="B118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86" spans="1:2" x14ac:dyDescent="0.35">
      <c r="A1186" s="1" t="str">
        <f t="shared" si="18"/>
        <v/>
      </c>
      <c r="B118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87" spans="1:2" x14ac:dyDescent="0.35">
      <c r="A1187" s="1" t="str">
        <f t="shared" si="18"/>
        <v/>
      </c>
      <c r="B118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88" spans="1:2" x14ac:dyDescent="0.35">
      <c r="A1188" s="1" t="str">
        <f t="shared" si="18"/>
        <v/>
      </c>
      <c r="B118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89" spans="1:2" x14ac:dyDescent="0.35">
      <c r="A1189" s="1" t="str">
        <f t="shared" si="18"/>
        <v/>
      </c>
      <c r="B118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90" spans="1:2" x14ac:dyDescent="0.35">
      <c r="A1190" s="1" t="str">
        <f t="shared" si="18"/>
        <v/>
      </c>
      <c r="B119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91" spans="1:2" x14ac:dyDescent="0.35">
      <c r="A1191" s="1" t="str">
        <f t="shared" si="18"/>
        <v/>
      </c>
      <c r="B119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92" spans="1:2" x14ac:dyDescent="0.35">
      <c r="A1192" s="1" t="str">
        <f t="shared" si="18"/>
        <v/>
      </c>
      <c r="B119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93" spans="1:2" x14ac:dyDescent="0.35">
      <c r="A1193" s="1" t="str">
        <f t="shared" si="18"/>
        <v/>
      </c>
      <c r="B119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94" spans="1:2" x14ac:dyDescent="0.35">
      <c r="A1194" s="1" t="str">
        <f t="shared" si="18"/>
        <v/>
      </c>
      <c r="B119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95" spans="1:2" x14ac:dyDescent="0.35">
      <c r="A1195" s="1" t="str">
        <f t="shared" si="18"/>
        <v/>
      </c>
      <c r="B119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96" spans="1:2" x14ac:dyDescent="0.35">
      <c r="A1196" s="1" t="str">
        <f t="shared" si="18"/>
        <v/>
      </c>
      <c r="B119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97" spans="1:2" x14ac:dyDescent="0.35">
      <c r="A1197" s="1" t="str">
        <f t="shared" si="18"/>
        <v/>
      </c>
      <c r="B119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98" spans="1:2" x14ac:dyDescent="0.35">
      <c r="A1198" s="1" t="str">
        <f t="shared" si="18"/>
        <v/>
      </c>
      <c r="B119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99" spans="1:2" x14ac:dyDescent="0.35">
      <c r="A1199" s="1" t="str">
        <f t="shared" si="18"/>
        <v/>
      </c>
      <c r="B119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00" spans="1:2" x14ac:dyDescent="0.35">
      <c r="A1200" s="1" t="str">
        <f t="shared" si="18"/>
        <v/>
      </c>
      <c r="B120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01" spans="1:2" x14ac:dyDescent="0.35">
      <c r="A1201" s="1" t="str">
        <f t="shared" si="18"/>
        <v/>
      </c>
      <c r="B120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02" spans="1:2" x14ac:dyDescent="0.35">
      <c r="A1202" s="1" t="str">
        <f t="shared" si="18"/>
        <v/>
      </c>
      <c r="B120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03" spans="1:2" x14ac:dyDescent="0.35">
      <c r="A1203" s="1" t="str">
        <f t="shared" si="18"/>
        <v/>
      </c>
      <c r="B120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04" spans="1:2" x14ac:dyDescent="0.35">
      <c r="A1204" s="1" t="str">
        <f t="shared" si="18"/>
        <v/>
      </c>
      <c r="B120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05" spans="1:2" x14ac:dyDescent="0.35">
      <c r="A1205" s="1" t="str">
        <f t="shared" si="18"/>
        <v/>
      </c>
      <c r="B120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06" spans="1:2" x14ac:dyDescent="0.35">
      <c r="A1206" s="1" t="str">
        <f t="shared" si="18"/>
        <v/>
      </c>
      <c r="B120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07" spans="1:2" x14ac:dyDescent="0.35">
      <c r="A1207" s="1" t="str">
        <f t="shared" si="18"/>
        <v/>
      </c>
      <c r="B120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08" spans="1:2" x14ac:dyDescent="0.35">
      <c r="A1208" s="1" t="str">
        <f t="shared" si="18"/>
        <v/>
      </c>
      <c r="B120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09" spans="1:2" x14ac:dyDescent="0.35">
      <c r="A1209" s="1" t="str">
        <f t="shared" si="18"/>
        <v/>
      </c>
      <c r="B120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10" spans="1:2" x14ac:dyDescent="0.35">
      <c r="A1210" s="1" t="str">
        <f t="shared" si="18"/>
        <v/>
      </c>
      <c r="B121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11" spans="1:2" x14ac:dyDescent="0.35">
      <c r="A1211" s="1" t="str">
        <f t="shared" si="18"/>
        <v/>
      </c>
      <c r="B121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12" spans="1:2" x14ac:dyDescent="0.35">
      <c r="A1212" s="1" t="str">
        <f t="shared" si="18"/>
        <v/>
      </c>
      <c r="B121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13" spans="1:2" x14ac:dyDescent="0.35">
      <c r="A1213" s="1" t="str">
        <f t="shared" si="18"/>
        <v/>
      </c>
      <c r="B121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14" spans="1:2" x14ac:dyDescent="0.35">
      <c r="A1214" s="1" t="str">
        <f t="shared" si="18"/>
        <v/>
      </c>
      <c r="B121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15" spans="1:2" x14ac:dyDescent="0.35">
      <c r="A1215" s="1" t="str">
        <f t="shared" si="18"/>
        <v/>
      </c>
      <c r="B121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16" spans="1:2" x14ac:dyDescent="0.35">
      <c r="A1216" s="1" t="str">
        <f t="shared" si="18"/>
        <v/>
      </c>
      <c r="B121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17" spans="1:2" x14ac:dyDescent="0.35">
      <c r="A1217" s="1" t="str">
        <f t="shared" si="18"/>
        <v/>
      </c>
      <c r="B121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18" spans="1:2" x14ac:dyDescent="0.35">
      <c r="A1218" s="1" t="str">
        <f t="shared" ref="A1218:A1281" si="19">IFERROR(LEFT(RIGHT(C1218,LEN(C1218)-SEARCH("@",C1218)),SEARCH("/",RIGHT(C1218,LEN(C1218)-SEARCH("@",C1218)-1))),"")</f>
        <v/>
      </c>
      <c r="B121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19" spans="1:2" x14ac:dyDescent="0.35">
      <c r="A1219" s="1" t="str">
        <f t="shared" si="19"/>
        <v/>
      </c>
      <c r="B121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20" spans="1:2" x14ac:dyDescent="0.35">
      <c r="A1220" s="1" t="str">
        <f t="shared" si="19"/>
        <v/>
      </c>
      <c r="B122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21" spans="1:2" x14ac:dyDescent="0.35">
      <c r="A1221" s="1" t="str">
        <f t="shared" si="19"/>
        <v/>
      </c>
      <c r="B122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22" spans="1:2" x14ac:dyDescent="0.35">
      <c r="A1222" s="1" t="str">
        <f t="shared" si="19"/>
        <v/>
      </c>
      <c r="B122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23" spans="1:2" x14ac:dyDescent="0.35">
      <c r="A1223" s="1" t="str">
        <f t="shared" si="19"/>
        <v/>
      </c>
      <c r="B122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24" spans="1:2" x14ac:dyDescent="0.35">
      <c r="A1224" s="1" t="str">
        <f t="shared" si="19"/>
        <v/>
      </c>
      <c r="B122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25" spans="1:2" x14ac:dyDescent="0.35">
      <c r="A1225" s="1" t="str">
        <f t="shared" si="19"/>
        <v/>
      </c>
      <c r="B122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26" spans="1:2" x14ac:dyDescent="0.35">
      <c r="A1226" s="1" t="str">
        <f t="shared" si="19"/>
        <v/>
      </c>
      <c r="B122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27" spans="1:2" x14ac:dyDescent="0.35">
      <c r="A1227" s="1" t="str">
        <f t="shared" si="19"/>
        <v/>
      </c>
      <c r="B122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28" spans="1:2" x14ac:dyDescent="0.35">
      <c r="A1228" s="1" t="str">
        <f t="shared" si="19"/>
        <v/>
      </c>
      <c r="B122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29" spans="1:2" x14ac:dyDescent="0.35">
      <c r="A1229" s="1" t="str">
        <f t="shared" si="19"/>
        <v/>
      </c>
      <c r="B122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30" spans="1:2" x14ac:dyDescent="0.35">
      <c r="A1230" s="1" t="str">
        <f t="shared" si="19"/>
        <v/>
      </c>
      <c r="B123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31" spans="1:2" x14ac:dyDescent="0.35">
      <c r="A1231" s="1" t="str">
        <f t="shared" si="19"/>
        <v/>
      </c>
      <c r="B123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32" spans="1:2" x14ac:dyDescent="0.35">
      <c r="A1232" s="1" t="str">
        <f t="shared" si="19"/>
        <v/>
      </c>
      <c r="B123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33" spans="1:2" x14ac:dyDescent="0.35">
      <c r="A1233" s="1" t="str">
        <f t="shared" si="19"/>
        <v/>
      </c>
      <c r="B123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34" spans="1:2" x14ac:dyDescent="0.35">
      <c r="A1234" s="1" t="str">
        <f t="shared" si="19"/>
        <v/>
      </c>
      <c r="B123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35" spans="1:2" x14ac:dyDescent="0.35">
      <c r="A1235" s="1" t="str">
        <f t="shared" si="19"/>
        <v/>
      </c>
      <c r="B123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36" spans="1:2" x14ac:dyDescent="0.35">
      <c r="A1236" s="1" t="str">
        <f t="shared" si="19"/>
        <v/>
      </c>
      <c r="B123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37" spans="1:2" x14ac:dyDescent="0.35">
      <c r="A1237" s="1" t="str">
        <f t="shared" si="19"/>
        <v/>
      </c>
      <c r="B123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38" spans="1:2" x14ac:dyDescent="0.35">
      <c r="A1238" s="1" t="str">
        <f t="shared" si="19"/>
        <v/>
      </c>
      <c r="B123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39" spans="1:2" x14ac:dyDescent="0.35">
      <c r="A1239" s="1" t="str">
        <f t="shared" si="19"/>
        <v/>
      </c>
      <c r="B123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40" spans="1:2" x14ac:dyDescent="0.35">
      <c r="A1240" s="1" t="str">
        <f t="shared" si="19"/>
        <v/>
      </c>
      <c r="B124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41" spans="1:2" x14ac:dyDescent="0.35">
      <c r="A1241" s="1" t="str">
        <f t="shared" si="19"/>
        <v/>
      </c>
      <c r="B124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42" spans="1:2" x14ac:dyDescent="0.35">
      <c r="A1242" s="1" t="str">
        <f t="shared" si="19"/>
        <v/>
      </c>
      <c r="B124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43" spans="1:2" x14ac:dyDescent="0.35">
      <c r="A1243" s="1" t="str">
        <f t="shared" si="19"/>
        <v/>
      </c>
      <c r="B124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44" spans="1:2" x14ac:dyDescent="0.35">
      <c r="A1244" s="1" t="str">
        <f t="shared" si="19"/>
        <v/>
      </c>
      <c r="B124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45" spans="1:2" x14ac:dyDescent="0.35">
      <c r="A1245" s="1" t="str">
        <f t="shared" si="19"/>
        <v/>
      </c>
      <c r="B124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46" spans="1:2" x14ac:dyDescent="0.35">
      <c r="A1246" s="1" t="str">
        <f t="shared" si="19"/>
        <v/>
      </c>
      <c r="B124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47" spans="1:2" x14ac:dyDescent="0.35">
      <c r="A1247" s="1" t="str">
        <f t="shared" si="19"/>
        <v/>
      </c>
      <c r="B124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48" spans="1:2" x14ac:dyDescent="0.35">
      <c r="A1248" s="1" t="str">
        <f t="shared" si="19"/>
        <v/>
      </c>
      <c r="B124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49" spans="1:2" x14ac:dyDescent="0.35">
      <c r="A1249" s="1" t="str">
        <f t="shared" si="19"/>
        <v/>
      </c>
      <c r="B124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50" spans="1:2" x14ac:dyDescent="0.35">
      <c r="A1250" s="1" t="str">
        <f t="shared" si="19"/>
        <v/>
      </c>
      <c r="B125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51" spans="1:2" x14ac:dyDescent="0.35">
      <c r="A1251" s="1" t="str">
        <f t="shared" si="19"/>
        <v/>
      </c>
      <c r="B125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52" spans="1:2" x14ac:dyDescent="0.35">
      <c r="A1252" s="1" t="str">
        <f t="shared" si="19"/>
        <v/>
      </c>
      <c r="B125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53" spans="1:2" x14ac:dyDescent="0.35">
      <c r="A1253" s="1" t="str">
        <f t="shared" si="19"/>
        <v/>
      </c>
      <c r="B125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54" spans="1:2" x14ac:dyDescent="0.35">
      <c r="A1254" s="1" t="str">
        <f t="shared" si="19"/>
        <v/>
      </c>
      <c r="B125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55" spans="1:2" x14ac:dyDescent="0.35">
      <c r="A1255" s="1" t="str">
        <f t="shared" si="19"/>
        <v/>
      </c>
      <c r="B125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56" spans="1:2" x14ac:dyDescent="0.35">
      <c r="A1256" s="1" t="str">
        <f t="shared" si="19"/>
        <v/>
      </c>
      <c r="B125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57" spans="1:2" x14ac:dyDescent="0.35">
      <c r="A1257" s="1" t="str">
        <f t="shared" si="19"/>
        <v/>
      </c>
      <c r="B125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58" spans="1:2" x14ac:dyDescent="0.35">
      <c r="A1258" s="1" t="str">
        <f t="shared" si="19"/>
        <v/>
      </c>
      <c r="B125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59" spans="1:2" x14ac:dyDescent="0.35">
      <c r="A1259" s="1" t="str">
        <f t="shared" si="19"/>
        <v/>
      </c>
      <c r="B125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60" spans="1:2" x14ac:dyDescent="0.35">
      <c r="A1260" s="1" t="str">
        <f t="shared" si="19"/>
        <v/>
      </c>
      <c r="B126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61" spans="1:2" x14ac:dyDescent="0.35">
      <c r="A1261" s="1" t="str">
        <f t="shared" si="19"/>
        <v/>
      </c>
      <c r="B126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62" spans="1:2" x14ac:dyDescent="0.35">
      <c r="A1262" s="1" t="str">
        <f t="shared" si="19"/>
        <v/>
      </c>
      <c r="B126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63" spans="1:2" x14ac:dyDescent="0.35">
      <c r="A1263" s="1" t="str">
        <f t="shared" si="19"/>
        <v/>
      </c>
      <c r="B126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64" spans="1:2" x14ac:dyDescent="0.35">
      <c r="A1264" s="1" t="str">
        <f t="shared" si="19"/>
        <v/>
      </c>
      <c r="B126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65" spans="1:2" x14ac:dyDescent="0.35">
      <c r="A1265" s="1" t="str">
        <f t="shared" si="19"/>
        <v/>
      </c>
      <c r="B126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66" spans="1:2" x14ac:dyDescent="0.35">
      <c r="A1266" s="1" t="str">
        <f t="shared" si="19"/>
        <v/>
      </c>
      <c r="B126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67" spans="1:2" x14ac:dyDescent="0.35">
      <c r="A1267" s="1" t="str">
        <f t="shared" si="19"/>
        <v/>
      </c>
      <c r="B126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68" spans="1:2" x14ac:dyDescent="0.35">
      <c r="A1268" s="1" t="str">
        <f t="shared" si="19"/>
        <v/>
      </c>
      <c r="B126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69" spans="1:2" x14ac:dyDescent="0.35">
      <c r="A1269" s="1" t="str">
        <f t="shared" si="19"/>
        <v/>
      </c>
      <c r="B126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70" spans="1:2" x14ac:dyDescent="0.35">
      <c r="A1270" s="1" t="str">
        <f t="shared" si="19"/>
        <v/>
      </c>
      <c r="B127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71" spans="1:2" x14ac:dyDescent="0.35">
      <c r="A1271" s="1" t="str">
        <f t="shared" si="19"/>
        <v/>
      </c>
      <c r="B127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72" spans="1:2" x14ac:dyDescent="0.35">
      <c r="A1272" s="1" t="str">
        <f t="shared" si="19"/>
        <v/>
      </c>
      <c r="B127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73" spans="1:2" x14ac:dyDescent="0.35">
      <c r="A1273" s="1" t="str">
        <f t="shared" si="19"/>
        <v/>
      </c>
      <c r="B127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74" spans="1:2" x14ac:dyDescent="0.35">
      <c r="A1274" s="1" t="str">
        <f t="shared" si="19"/>
        <v/>
      </c>
      <c r="B127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75" spans="1:2" x14ac:dyDescent="0.35">
      <c r="A1275" s="1" t="str">
        <f t="shared" si="19"/>
        <v/>
      </c>
      <c r="B127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76" spans="1:2" x14ac:dyDescent="0.35">
      <c r="A1276" s="1" t="str">
        <f t="shared" si="19"/>
        <v/>
      </c>
      <c r="B127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77" spans="1:2" x14ac:dyDescent="0.35">
      <c r="A1277" s="1" t="str">
        <f t="shared" si="19"/>
        <v/>
      </c>
      <c r="B127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78" spans="1:2" x14ac:dyDescent="0.35">
      <c r="A1278" s="1" t="str">
        <f t="shared" si="19"/>
        <v/>
      </c>
      <c r="B127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79" spans="1:2" x14ac:dyDescent="0.35">
      <c r="A1279" s="1" t="str">
        <f t="shared" si="19"/>
        <v/>
      </c>
      <c r="B127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80" spans="1:2" x14ac:dyDescent="0.35">
      <c r="A1280" s="1" t="str">
        <f t="shared" si="19"/>
        <v/>
      </c>
      <c r="B128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81" spans="1:2" x14ac:dyDescent="0.35">
      <c r="A1281" s="1" t="str">
        <f t="shared" si="19"/>
        <v/>
      </c>
      <c r="B128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82" spans="1:2" x14ac:dyDescent="0.35">
      <c r="A1282" s="1" t="str">
        <f t="shared" ref="A1282:A1345" si="20">IFERROR(LEFT(RIGHT(C1282,LEN(C1282)-SEARCH("@",C1282)),SEARCH("/",RIGHT(C1282,LEN(C1282)-SEARCH("@",C1282)-1))),"")</f>
        <v/>
      </c>
      <c r="B128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83" spans="1:2" x14ac:dyDescent="0.35">
      <c r="A1283" s="1" t="str">
        <f t="shared" si="20"/>
        <v/>
      </c>
      <c r="B128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84" spans="1:2" x14ac:dyDescent="0.35">
      <c r="A1284" s="1" t="str">
        <f t="shared" si="20"/>
        <v/>
      </c>
      <c r="B128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85" spans="1:2" x14ac:dyDescent="0.35">
      <c r="A1285" s="1" t="str">
        <f t="shared" si="20"/>
        <v/>
      </c>
      <c r="B128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86" spans="1:2" x14ac:dyDescent="0.35">
      <c r="A1286" s="1" t="str">
        <f t="shared" si="20"/>
        <v/>
      </c>
      <c r="B128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87" spans="1:2" x14ac:dyDescent="0.35">
      <c r="A1287" s="1" t="str">
        <f t="shared" si="20"/>
        <v/>
      </c>
      <c r="B128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88" spans="1:2" x14ac:dyDescent="0.35">
      <c r="A1288" s="1" t="str">
        <f t="shared" si="20"/>
        <v/>
      </c>
      <c r="B128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89" spans="1:2" x14ac:dyDescent="0.35">
      <c r="A1289" s="1" t="str">
        <f t="shared" si="20"/>
        <v/>
      </c>
      <c r="B128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90" spans="1:2" x14ac:dyDescent="0.35">
      <c r="A1290" s="1" t="str">
        <f t="shared" si="20"/>
        <v/>
      </c>
      <c r="B129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91" spans="1:2" x14ac:dyDescent="0.35">
      <c r="A1291" s="1" t="str">
        <f t="shared" si="20"/>
        <v/>
      </c>
      <c r="B129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92" spans="1:2" x14ac:dyDescent="0.35">
      <c r="A1292" s="1" t="str">
        <f t="shared" si="20"/>
        <v/>
      </c>
      <c r="B129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93" spans="1:2" x14ac:dyDescent="0.35">
      <c r="A1293" s="1" t="str">
        <f t="shared" si="20"/>
        <v/>
      </c>
      <c r="B129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94" spans="1:2" x14ac:dyDescent="0.35">
      <c r="A1294" s="1" t="str">
        <f t="shared" si="20"/>
        <v/>
      </c>
      <c r="B129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95" spans="1:2" x14ac:dyDescent="0.35">
      <c r="A1295" s="1" t="str">
        <f t="shared" si="20"/>
        <v/>
      </c>
      <c r="B129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96" spans="1:2" x14ac:dyDescent="0.35">
      <c r="A1296" s="1" t="str">
        <f t="shared" si="20"/>
        <v/>
      </c>
      <c r="B129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97" spans="1:2" x14ac:dyDescent="0.35">
      <c r="A1297" s="1" t="str">
        <f t="shared" si="20"/>
        <v/>
      </c>
      <c r="B129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98" spans="1:2" x14ac:dyDescent="0.35">
      <c r="A1298" s="1" t="str">
        <f t="shared" si="20"/>
        <v/>
      </c>
      <c r="B129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99" spans="1:2" x14ac:dyDescent="0.35">
      <c r="A1299" s="1" t="str">
        <f t="shared" si="20"/>
        <v/>
      </c>
      <c r="B129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00" spans="1:2" x14ac:dyDescent="0.35">
      <c r="A1300" s="1" t="str">
        <f t="shared" si="20"/>
        <v/>
      </c>
      <c r="B130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01" spans="1:2" x14ac:dyDescent="0.35">
      <c r="A1301" s="1" t="str">
        <f t="shared" si="20"/>
        <v/>
      </c>
      <c r="B130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02" spans="1:2" x14ac:dyDescent="0.35">
      <c r="A1302" s="1" t="str">
        <f t="shared" si="20"/>
        <v/>
      </c>
      <c r="B130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03" spans="1:2" x14ac:dyDescent="0.35">
      <c r="A1303" s="1" t="str">
        <f t="shared" si="20"/>
        <v/>
      </c>
      <c r="B130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04" spans="1:2" x14ac:dyDescent="0.35">
      <c r="A1304" s="1" t="str">
        <f t="shared" si="20"/>
        <v/>
      </c>
      <c r="B130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05" spans="1:2" x14ac:dyDescent="0.35">
      <c r="A1305" s="1" t="str">
        <f t="shared" si="20"/>
        <v/>
      </c>
      <c r="B130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06" spans="1:2" x14ac:dyDescent="0.35">
      <c r="A1306" s="1" t="str">
        <f t="shared" si="20"/>
        <v/>
      </c>
      <c r="B130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07" spans="1:2" x14ac:dyDescent="0.35">
      <c r="A1307" s="1" t="str">
        <f t="shared" si="20"/>
        <v/>
      </c>
      <c r="B130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08" spans="1:2" x14ac:dyDescent="0.35">
      <c r="A1308" s="1" t="str">
        <f t="shared" si="20"/>
        <v/>
      </c>
      <c r="B130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09" spans="1:2" x14ac:dyDescent="0.35">
      <c r="A1309" s="1" t="str">
        <f t="shared" si="20"/>
        <v/>
      </c>
      <c r="B130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10" spans="1:2" x14ac:dyDescent="0.35">
      <c r="A1310" s="1" t="str">
        <f t="shared" si="20"/>
        <v/>
      </c>
      <c r="B131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11" spans="1:2" x14ac:dyDescent="0.35">
      <c r="A1311" s="1" t="str">
        <f t="shared" si="20"/>
        <v/>
      </c>
      <c r="B131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12" spans="1:2" x14ac:dyDescent="0.35">
      <c r="A1312" s="1" t="str">
        <f t="shared" si="20"/>
        <v/>
      </c>
      <c r="B131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13" spans="1:2" x14ac:dyDescent="0.35">
      <c r="A1313" s="1" t="str">
        <f t="shared" si="20"/>
        <v/>
      </c>
      <c r="B131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14" spans="1:2" x14ac:dyDescent="0.35">
      <c r="A1314" s="1" t="str">
        <f t="shared" si="20"/>
        <v/>
      </c>
      <c r="B131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15" spans="1:2" x14ac:dyDescent="0.35">
      <c r="A1315" s="1" t="str">
        <f t="shared" si="20"/>
        <v/>
      </c>
      <c r="B131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16" spans="1:2" x14ac:dyDescent="0.35">
      <c r="A1316" s="1" t="str">
        <f t="shared" si="20"/>
        <v/>
      </c>
      <c r="B131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17" spans="1:2" x14ac:dyDescent="0.35">
      <c r="A1317" s="1" t="str">
        <f t="shared" si="20"/>
        <v/>
      </c>
      <c r="B131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18" spans="1:2" x14ac:dyDescent="0.35">
      <c r="A1318" s="1" t="str">
        <f t="shared" si="20"/>
        <v/>
      </c>
      <c r="B131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19" spans="1:2" x14ac:dyDescent="0.35">
      <c r="A1319" s="1" t="str">
        <f t="shared" si="20"/>
        <v/>
      </c>
      <c r="B131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20" spans="1:2" x14ac:dyDescent="0.35">
      <c r="A1320" s="1" t="str">
        <f t="shared" si="20"/>
        <v/>
      </c>
      <c r="B132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21" spans="1:2" x14ac:dyDescent="0.35">
      <c r="A1321" s="1" t="str">
        <f t="shared" si="20"/>
        <v/>
      </c>
      <c r="B132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22" spans="1:2" x14ac:dyDescent="0.35">
      <c r="A1322" s="1" t="str">
        <f t="shared" si="20"/>
        <v/>
      </c>
      <c r="B132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23" spans="1:2" x14ac:dyDescent="0.35">
      <c r="A1323" s="1" t="str">
        <f t="shared" si="20"/>
        <v/>
      </c>
      <c r="B132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24" spans="1:2" x14ac:dyDescent="0.35">
      <c r="A1324" s="1" t="str">
        <f t="shared" si="20"/>
        <v/>
      </c>
      <c r="B132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25" spans="1:2" x14ac:dyDescent="0.35">
      <c r="A1325" s="1" t="str">
        <f t="shared" si="20"/>
        <v/>
      </c>
      <c r="B132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26" spans="1:2" x14ac:dyDescent="0.35">
      <c r="A1326" s="1" t="str">
        <f t="shared" si="20"/>
        <v/>
      </c>
      <c r="B132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27" spans="1:2" x14ac:dyDescent="0.35">
      <c r="A1327" s="1" t="str">
        <f t="shared" si="20"/>
        <v/>
      </c>
      <c r="B132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28" spans="1:2" x14ac:dyDescent="0.35">
      <c r="A1328" s="1" t="str">
        <f t="shared" si="20"/>
        <v/>
      </c>
      <c r="B132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29" spans="1:2" x14ac:dyDescent="0.35">
      <c r="A1329" s="1" t="str">
        <f t="shared" si="20"/>
        <v/>
      </c>
      <c r="B132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30" spans="1:2" x14ac:dyDescent="0.35">
      <c r="A1330" s="1" t="str">
        <f t="shared" si="20"/>
        <v/>
      </c>
      <c r="B133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31" spans="1:2" x14ac:dyDescent="0.35">
      <c r="A1331" s="1" t="str">
        <f t="shared" si="20"/>
        <v/>
      </c>
      <c r="B133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32" spans="1:2" x14ac:dyDescent="0.35">
      <c r="A1332" s="1" t="str">
        <f t="shared" si="20"/>
        <v/>
      </c>
      <c r="B133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33" spans="1:2" x14ac:dyDescent="0.35">
      <c r="A1333" s="1" t="str">
        <f t="shared" si="20"/>
        <v/>
      </c>
      <c r="B133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34" spans="1:2" x14ac:dyDescent="0.35">
      <c r="A1334" s="1" t="str">
        <f t="shared" si="20"/>
        <v/>
      </c>
      <c r="B133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35" spans="1:2" x14ac:dyDescent="0.35">
      <c r="A1335" s="1" t="str">
        <f t="shared" si="20"/>
        <v/>
      </c>
      <c r="B133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36" spans="1:2" x14ac:dyDescent="0.35">
      <c r="A1336" s="1" t="str">
        <f t="shared" si="20"/>
        <v/>
      </c>
      <c r="B133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37" spans="1:2" x14ac:dyDescent="0.35">
      <c r="A1337" s="1" t="str">
        <f t="shared" si="20"/>
        <v/>
      </c>
      <c r="B133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38" spans="1:2" x14ac:dyDescent="0.35">
      <c r="A1338" s="1" t="str">
        <f t="shared" si="20"/>
        <v/>
      </c>
      <c r="B133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39" spans="1:2" x14ac:dyDescent="0.35">
      <c r="A1339" s="1" t="str">
        <f t="shared" si="20"/>
        <v/>
      </c>
      <c r="B133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40" spans="1:2" x14ac:dyDescent="0.35">
      <c r="A1340" s="1" t="str">
        <f t="shared" si="20"/>
        <v/>
      </c>
      <c r="B134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41" spans="1:2" x14ac:dyDescent="0.35">
      <c r="A1341" s="1" t="str">
        <f t="shared" si="20"/>
        <v/>
      </c>
      <c r="B134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42" spans="1:2" x14ac:dyDescent="0.35">
      <c r="A1342" s="1" t="str">
        <f t="shared" si="20"/>
        <v/>
      </c>
      <c r="B134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43" spans="1:2" x14ac:dyDescent="0.35">
      <c r="A1343" s="1" t="str">
        <f t="shared" si="20"/>
        <v/>
      </c>
      <c r="B134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44" spans="1:2" x14ac:dyDescent="0.35">
      <c r="A1344" s="1" t="str">
        <f t="shared" si="20"/>
        <v/>
      </c>
      <c r="B134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45" spans="1:2" x14ac:dyDescent="0.35">
      <c r="A1345" s="1" t="str">
        <f t="shared" si="20"/>
        <v/>
      </c>
      <c r="B134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46" spans="1:2" x14ac:dyDescent="0.35">
      <c r="A1346" s="1" t="str">
        <f t="shared" ref="A1346:A1409" si="21">IFERROR(LEFT(RIGHT(C1346,LEN(C1346)-SEARCH("@",C1346)),SEARCH("/",RIGHT(C1346,LEN(C1346)-SEARCH("@",C1346)-1))),"")</f>
        <v/>
      </c>
      <c r="B134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47" spans="1:2" x14ac:dyDescent="0.35">
      <c r="A1347" s="1" t="str">
        <f t="shared" si="21"/>
        <v/>
      </c>
      <c r="B134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48" spans="1:2" x14ac:dyDescent="0.35">
      <c r="A1348" s="1" t="str">
        <f t="shared" si="21"/>
        <v/>
      </c>
      <c r="B134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49" spans="1:2" x14ac:dyDescent="0.35">
      <c r="A1349" s="1" t="str">
        <f t="shared" si="21"/>
        <v/>
      </c>
      <c r="B134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50" spans="1:2" x14ac:dyDescent="0.35">
      <c r="A1350" s="1" t="str">
        <f t="shared" si="21"/>
        <v/>
      </c>
      <c r="B135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51" spans="1:2" x14ac:dyDescent="0.35">
      <c r="A1351" s="1" t="str">
        <f t="shared" si="21"/>
        <v/>
      </c>
      <c r="B135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52" spans="1:2" x14ac:dyDescent="0.35">
      <c r="A1352" s="1" t="str">
        <f t="shared" si="21"/>
        <v/>
      </c>
      <c r="B135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53" spans="1:2" x14ac:dyDescent="0.35">
      <c r="A1353" s="1" t="str">
        <f t="shared" si="21"/>
        <v/>
      </c>
      <c r="B135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54" spans="1:2" x14ac:dyDescent="0.35">
      <c r="A1354" s="1" t="str">
        <f t="shared" si="21"/>
        <v/>
      </c>
      <c r="B135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55" spans="1:2" x14ac:dyDescent="0.35">
      <c r="A1355" s="1" t="str">
        <f t="shared" si="21"/>
        <v/>
      </c>
      <c r="B135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56" spans="1:2" x14ac:dyDescent="0.35">
      <c r="A1356" s="1" t="str">
        <f t="shared" si="21"/>
        <v/>
      </c>
      <c r="B135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57" spans="1:2" x14ac:dyDescent="0.35">
      <c r="A1357" s="1" t="str">
        <f t="shared" si="21"/>
        <v/>
      </c>
      <c r="B135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58" spans="1:2" x14ac:dyDescent="0.35">
      <c r="A1358" s="1" t="str">
        <f t="shared" si="21"/>
        <v/>
      </c>
      <c r="B135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59" spans="1:2" x14ac:dyDescent="0.35">
      <c r="A1359" s="1" t="str">
        <f t="shared" si="21"/>
        <v/>
      </c>
      <c r="B135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60" spans="1:2" x14ac:dyDescent="0.35">
      <c r="A1360" s="1" t="str">
        <f t="shared" si="21"/>
        <v/>
      </c>
      <c r="B136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61" spans="1:2" x14ac:dyDescent="0.35">
      <c r="A1361" s="1" t="str">
        <f t="shared" si="21"/>
        <v/>
      </c>
      <c r="B136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62" spans="1:2" x14ac:dyDescent="0.35">
      <c r="A1362" s="1" t="str">
        <f t="shared" si="21"/>
        <v/>
      </c>
      <c r="B136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63" spans="1:2" x14ac:dyDescent="0.35">
      <c r="A1363" s="1" t="str">
        <f t="shared" si="21"/>
        <v/>
      </c>
      <c r="B136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64" spans="1:2" x14ac:dyDescent="0.35">
      <c r="A1364" s="1" t="str">
        <f t="shared" si="21"/>
        <v/>
      </c>
      <c r="B136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65" spans="1:2" x14ac:dyDescent="0.35">
      <c r="A1365" s="1" t="str">
        <f t="shared" si="21"/>
        <v/>
      </c>
      <c r="B136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66" spans="1:2" x14ac:dyDescent="0.35">
      <c r="A1366" s="1" t="str">
        <f t="shared" si="21"/>
        <v/>
      </c>
      <c r="B136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67" spans="1:2" x14ac:dyDescent="0.35">
      <c r="A1367" s="1" t="str">
        <f t="shared" si="21"/>
        <v/>
      </c>
      <c r="B136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68" spans="1:2" x14ac:dyDescent="0.35">
      <c r="A1368" s="1" t="str">
        <f t="shared" si="21"/>
        <v/>
      </c>
      <c r="B136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69" spans="1:2" x14ac:dyDescent="0.35">
      <c r="A1369" s="1" t="str">
        <f t="shared" si="21"/>
        <v/>
      </c>
      <c r="B136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70" spans="1:2" x14ac:dyDescent="0.35">
      <c r="A1370" s="1" t="str">
        <f t="shared" si="21"/>
        <v/>
      </c>
      <c r="B137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71" spans="1:2" x14ac:dyDescent="0.35">
      <c r="A1371" s="1" t="str">
        <f t="shared" si="21"/>
        <v/>
      </c>
      <c r="B137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72" spans="1:2" x14ac:dyDescent="0.35">
      <c r="A1372" s="1" t="str">
        <f t="shared" si="21"/>
        <v/>
      </c>
      <c r="B137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73" spans="1:2" x14ac:dyDescent="0.35">
      <c r="A1373" s="1" t="str">
        <f t="shared" si="21"/>
        <v/>
      </c>
      <c r="B137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74" spans="1:2" x14ac:dyDescent="0.35">
      <c r="A1374" s="1" t="str">
        <f t="shared" si="21"/>
        <v/>
      </c>
      <c r="B137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75" spans="1:2" x14ac:dyDescent="0.35">
      <c r="A1375" s="1" t="str">
        <f t="shared" si="21"/>
        <v/>
      </c>
      <c r="B137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76" spans="1:2" x14ac:dyDescent="0.35">
      <c r="A1376" s="1" t="str">
        <f t="shared" si="21"/>
        <v/>
      </c>
      <c r="B137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77" spans="1:2" x14ac:dyDescent="0.35">
      <c r="A1377" s="1" t="str">
        <f t="shared" si="21"/>
        <v/>
      </c>
      <c r="B137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78" spans="1:2" x14ac:dyDescent="0.35">
      <c r="A1378" s="1" t="str">
        <f t="shared" si="21"/>
        <v/>
      </c>
      <c r="B137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79" spans="1:2" x14ac:dyDescent="0.35">
      <c r="A1379" s="1" t="str">
        <f t="shared" si="21"/>
        <v/>
      </c>
      <c r="B137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80" spans="1:2" x14ac:dyDescent="0.35">
      <c r="A1380" s="1" t="str">
        <f t="shared" si="21"/>
        <v/>
      </c>
      <c r="B138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81" spans="1:2" x14ac:dyDescent="0.35">
      <c r="A1381" s="1" t="str">
        <f t="shared" si="21"/>
        <v/>
      </c>
      <c r="B138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82" spans="1:2" x14ac:dyDescent="0.35">
      <c r="A1382" s="1" t="str">
        <f t="shared" si="21"/>
        <v/>
      </c>
      <c r="B138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83" spans="1:2" x14ac:dyDescent="0.35">
      <c r="A1383" s="1" t="str">
        <f t="shared" si="21"/>
        <v/>
      </c>
      <c r="B138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84" spans="1:2" x14ac:dyDescent="0.35">
      <c r="A1384" s="1" t="str">
        <f t="shared" si="21"/>
        <v/>
      </c>
      <c r="B138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85" spans="1:2" x14ac:dyDescent="0.35">
      <c r="A1385" s="1" t="str">
        <f t="shared" si="21"/>
        <v/>
      </c>
      <c r="B138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86" spans="1:2" x14ac:dyDescent="0.35">
      <c r="A1386" s="1" t="str">
        <f t="shared" si="21"/>
        <v/>
      </c>
      <c r="B138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87" spans="1:2" x14ac:dyDescent="0.35">
      <c r="A1387" s="1" t="str">
        <f t="shared" si="21"/>
        <v/>
      </c>
      <c r="B138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88" spans="1:2" x14ac:dyDescent="0.35">
      <c r="A1388" s="1" t="str">
        <f t="shared" si="21"/>
        <v/>
      </c>
      <c r="B138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89" spans="1:2" x14ac:dyDescent="0.35">
      <c r="A1389" s="1" t="str">
        <f t="shared" si="21"/>
        <v/>
      </c>
      <c r="B138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90" spans="1:2" x14ac:dyDescent="0.35">
      <c r="A1390" s="1" t="str">
        <f t="shared" si="21"/>
        <v/>
      </c>
      <c r="B139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91" spans="1:2" x14ac:dyDescent="0.35">
      <c r="A1391" s="1" t="str">
        <f t="shared" si="21"/>
        <v/>
      </c>
      <c r="B139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92" spans="1:2" x14ac:dyDescent="0.35">
      <c r="A1392" s="1" t="str">
        <f t="shared" si="21"/>
        <v/>
      </c>
      <c r="B139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93" spans="1:2" x14ac:dyDescent="0.35">
      <c r="A1393" s="1" t="str">
        <f t="shared" si="21"/>
        <v/>
      </c>
      <c r="B139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94" spans="1:2" x14ac:dyDescent="0.35">
      <c r="A1394" s="1" t="str">
        <f t="shared" si="21"/>
        <v/>
      </c>
      <c r="B139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95" spans="1:2" x14ac:dyDescent="0.35">
      <c r="A1395" s="1" t="str">
        <f t="shared" si="21"/>
        <v/>
      </c>
      <c r="B139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96" spans="1:2" x14ac:dyDescent="0.35">
      <c r="A1396" s="1" t="str">
        <f t="shared" si="21"/>
        <v/>
      </c>
      <c r="B139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97" spans="1:2" x14ac:dyDescent="0.35">
      <c r="A1397" s="1" t="str">
        <f t="shared" si="21"/>
        <v/>
      </c>
      <c r="B139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98" spans="1:2" x14ac:dyDescent="0.35">
      <c r="A1398" s="1" t="str">
        <f t="shared" si="21"/>
        <v/>
      </c>
      <c r="B139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99" spans="1:2" x14ac:dyDescent="0.35">
      <c r="A1399" s="1" t="str">
        <f t="shared" si="21"/>
        <v/>
      </c>
      <c r="B139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00" spans="1:2" x14ac:dyDescent="0.35">
      <c r="A1400" s="1" t="str">
        <f t="shared" si="21"/>
        <v/>
      </c>
      <c r="B140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01" spans="1:2" x14ac:dyDescent="0.35">
      <c r="A1401" s="1" t="str">
        <f t="shared" si="21"/>
        <v/>
      </c>
      <c r="B140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02" spans="1:2" x14ac:dyDescent="0.35">
      <c r="A1402" s="1" t="str">
        <f t="shared" si="21"/>
        <v/>
      </c>
      <c r="B140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03" spans="1:2" x14ac:dyDescent="0.35">
      <c r="A1403" s="1" t="str">
        <f t="shared" si="21"/>
        <v/>
      </c>
      <c r="B140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04" spans="1:2" x14ac:dyDescent="0.35">
      <c r="A1404" s="1" t="str">
        <f t="shared" si="21"/>
        <v/>
      </c>
      <c r="B140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05" spans="1:2" x14ac:dyDescent="0.35">
      <c r="A1405" s="1" t="str">
        <f t="shared" si="21"/>
        <v/>
      </c>
      <c r="B140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06" spans="1:2" x14ac:dyDescent="0.35">
      <c r="A1406" s="1" t="str">
        <f t="shared" si="21"/>
        <v/>
      </c>
      <c r="B140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07" spans="1:2" x14ac:dyDescent="0.35">
      <c r="A1407" s="1" t="str">
        <f t="shared" si="21"/>
        <v/>
      </c>
      <c r="B140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08" spans="1:2" x14ac:dyDescent="0.35">
      <c r="A1408" s="1" t="str">
        <f t="shared" si="21"/>
        <v/>
      </c>
      <c r="B140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09" spans="1:2" x14ac:dyDescent="0.35">
      <c r="A1409" s="1" t="str">
        <f t="shared" si="21"/>
        <v/>
      </c>
      <c r="B140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10" spans="1:2" x14ac:dyDescent="0.35">
      <c r="A1410" s="1" t="str">
        <f t="shared" ref="A1410:A1473" si="22">IFERROR(LEFT(RIGHT(C1410,LEN(C1410)-SEARCH("@",C1410)),SEARCH("/",RIGHT(C1410,LEN(C1410)-SEARCH("@",C1410)-1))),"")</f>
        <v/>
      </c>
      <c r="B141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11" spans="1:2" x14ac:dyDescent="0.35">
      <c r="A1411" s="1" t="str">
        <f t="shared" si="22"/>
        <v/>
      </c>
      <c r="B141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12" spans="1:2" x14ac:dyDescent="0.35">
      <c r="A1412" s="1" t="str">
        <f t="shared" si="22"/>
        <v/>
      </c>
      <c r="B141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13" spans="1:2" x14ac:dyDescent="0.35">
      <c r="A1413" s="1" t="str">
        <f t="shared" si="22"/>
        <v/>
      </c>
      <c r="B141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14" spans="1:2" x14ac:dyDescent="0.35">
      <c r="A1414" s="1" t="str">
        <f t="shared" si="22"/>
        <v/>
      </c>
      <c r="B141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15" spans="1:2" x14ac:dyDescent="0.35">
      <c r="A1415" s="1" t="str">
        <f t="shared" si="22"/>
        <v/>
      </c>
      <c r="B141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16" spans="1:2" x14ac:dyDescent="0.35">
      <c r="A1416" s="1" t="str">
        <f t="shared" si="22"/>
        <v/>
      </c>
      <c r="B141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17" spans="1:2" x14ac:dyDescent="0.35">
      <c r="A1417" s="1" t="str">
        <f t="shared" si="22"/>
        <v/>
      </c>
      <c r="B141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18" spans="1:2" x14ac:dyDescent="0.35">
      <c r="A1418" s="1" t="str">
        <f t="shared" si="22"/>
        <v/>
      </c>
      <c r="B141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19" spans="1:2" x14ac:dyDescent="0.35">
      <c r="A1419" s="1" t="str">
        <f t="shared" si="22"/>
        <v/>
      </c>
      <c r="B141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20" spans="1:2" x14ac:dyDescent="0.35">
      <c r="A1420" s="1" t="str">
        <f t="shared" si="22"/>
        <v/>
      </c>
      <c r="B142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21" spans="1:2" x14ac:dyDescent="0.35">
      <c r="A1421" s="1" t="str">
        <f t="shared" si="22"/>
        <v/>
      </c>
      <c r="B142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22" spans="1:2" x14ac:dyDescent="0.35">
      <c r="A1422" s="1" t="str">
        <f t="shared" si="22"/>
        <v/>
      </c>
      <c r="B142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23" spans="1:2" x14ac:dyDescent="0.35">
      <c r="A1423" s="1" t="str">
        <f t="shared" si="22"/>
        <v/>
      </c>
      <c r="B142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24" spans="1:2" x14ac:dyDescent="0.35">
      <c r="A1424" s="1" t="str">
        <f t="shared" si="22"/>
        <v/>
      </c>
      <c r="B142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25" spans="1:2" x14ac:dyDescent="0.35">
      <c r="A1425" s="1" t="str">
        <f t="shared" si="22"/>
        <v/>
      </c>
      <c r="B142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26" spans="1:2" x14ac:dyDescent="0.35">
      <c r="A1426" s="1" t="str">
        <f t="shared" si="22"/>
        <v/>
      </c>
      <c r="B142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27" spans="1:2" x14ac:dyDescent="0.35">
      <c r="A1427" s="1" t="str">
        <f t="shared" si="22"/>
        <v/>
      </c>
      <c r="B142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28" spans="1:2" x14ac:dyDescent="0.35">
      <c r="A1428" s="1" t="str">
        <f t="shared" si="22"/>
        <v/>
      </c>
      <c r="B142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29" spans="1:2" x14ac:dyDescent="0.35">
      <c r="A1429" s="1" t="str">
        <f t="shared" si="22"/>
        <v/>
      </c>
      <c r="B142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30" spans="1:2" x14ac:dyDescent="0.35">
      <c r="A1430" s="1" t="str">
        <f t="shared" si="22"/>
        <v/>
      </c>
      <c r="B143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31" spans="1:2" x14ac:dyDescent="0.35">
      <c r="A1431" s="1" t="str">
        <f t="shared" si="22"/>
        <v/>
      </c>
      <c r="B143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32" spans="1:2" x14ac:dyDescent="0.35">
      <c r="A1432" s="1" t="str">
        <f t="shared" si="22"/>
        <v/>
      </c>
      <c r="B143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33" spans="1:2" x14ac:dyDescent="0.35">
      <c r="A1433" s="1" t="str">
        <f t="shared" si="22"/>
        <v/>
      </c>
      <c r="B143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34" spans="1:2" x14ac:dyDescent="0.35">
      <c r="A1434" s="1" t="str">
        <f t="shared" si="22"/>
        <v/>
      </c>
      <c r="B143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35" spans="1:2" x14ac:dyDescent="0.35">
      <c r="A1435" s="1" t="str">
        <f t="shared" si="22"/>
        <v/>
      </c>
      <c r="B143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36" spans="1:2" x14ac:dyDescent="0.35">
      <c r="A1436" s="1" t="str">
        <f t="shared" si="22"/>
        <v/>
      </c>
      <c r="B143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37" spans="1:2" x14ac:dyDescent="0.35">
      <c r="A1437" s="1" t="str">
        <f t="shared" si="22"/>
        <v/>
      </c>
      <c r="B143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38" spans="1:2" x14ac:dyDescent="0.35">
      <c r="A1438" s="1" t="str">
        <f t="shared" si="22"/>
        <v/>
      </c>
      <c r="B143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39" spans="1:2" x14ac:dyDescent="0.35">
      <c r="A1439" s="1" t="str">
        <f t="shared" si="22"/>
        <v/>
      </c>
      <c r="B143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40" spans="1:2" x14ac:dyDescent="0.35">
      <c r="A1440" s="1" t="str">
        <f t="shared" si="22"/>
        <v/>
      </c>
      <c r="B144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41" spans="1:2" x14ac:dyDescent="0.35">
      <c r="A1441" s="1" t="str">
        <f t="shared" si="22"/>
        <v/>
      </c>
      <c r="B144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42" spans="1:2" x14ac:dyDescent="0.35">
      <c r="A1442" s="1" t="str">
        <f t="shared" si="22"/>
        <v/>
      </c>
      <c r="B144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43" spans="1:2" x14ac:dyDescent="0.35">
      <c r="A1443" s="1" t="str">
        <f t="shared" si="22"/>
        <v/>
      </c>
      <c r="B144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44" spans="1:2" x14ac:dyDescent="0.35">
      <c r="A1444" s="1" t="str">
        <f t="shared" si="22"/>
        <v/>
      </c>
      <c r="B144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45" spans="1:2" x14ac:dyDescent="0.35">
      <c r="A1445" s="1" t="str">
        <f t="shared" si="22"/>
        <v/>
      </c>
      <c r="B144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46" spans="1:2" x14ac:dyDescent="0.35">
      <c r="A1446" s="1" t="str">
        <f t="shared" si="22"/>
        <v/>
      </c>
      <c r="B144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47" spans="1:2" x14ac:dyDescent="0.35">
      <c r="A1447" s="1" t="str">
        <f t="shared" si="22"/>
        <v/>
      </c>
      <c r="B144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48" spans="1:2" x14ac:dyDescent="0.35">
      <c r="A1448" s="1" t="str">
        <f t="shared" si="22"/>
        <v/>
      </c>
      <c r="B144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49" spans="1:2" x14ac:dyDescent="0.35">
      <c r="A1449" s="1" t="str">
        <f t="shared" si="22"/>
        <v/>
      </c>
      <c r="B144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50" spans="1:2" x14ac:dyDescent="0.35">
      <c r="A1450" s="1" t="str">
        <f t="shared" si="22"/>
        <v/>
      </c>
      <c r="B145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51" spans="1:2" x14ac:dyDescent="0.35">
      <c r="A1451" s="1" t="str">
        <f t="shared" si="22"/>
        <v/>
      </c>
      <c r="B145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52" spans="1:2" x14ac:dyDescent="0.35">
      <c r="A1452" s="1" t="str">
        <f t="shared" si="22"/>
        <v/>
      </c>
      <c r="B145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53" spans="1:2" x14ac:dyDescent="0.35">
      <c r="A1453" s="1" t="str">
        <f t="shared" si="22"/>
        <v/>
      </c>
      <c r="B145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54" spans="1:2" x14ac:dyDescent="0.35">
      <c r="A1454" s="1" t="str">
        <f t="shared" si="22"/>
        <v/>
      </c>
      <c r="B145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55" spans="1:2" x14ac:dyDescent="0.35">
      <c r="A1455" s="1" t="str">
        <f t="shared" si="22"/>
        <v/>
      </c>
      <c r="B145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56" spans="1:2" x14ac:dyDescent="0.35">
      <c r="A1456" s="1" t="str">
        <f t="shared" si="22"/>
        <v/>
      </c>
      <c r="B145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57" spans="1:2" x14ac:dyDescent="0.35">
      <c r="A1457" s="1" t="str">
        <f t="shared" si="22"/>
        <v/>
      </c>
      <c r="B145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58" spans="1:2" x14ac:dyDescent="0.35">
      <c r="A1458" s="1" t="str">
        <f t="shared" si="22"/>
        <v/>
      </c>
      <c r="B145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59" spans="1:2" x14ac:dyDescent="0.35">
      <c r="A1459" s="1" t="str">
        <f t="shared" si="22"/>
        <v/>
      </c>
      <c r="B145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60" spans="1:2" x14ac:dyDescent="0.35">
      <c r="A1460" s="1" t="str">
        <f t="shared" si="22"/>
        <v/>
      </c>
      <c r="B146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61" spans="1:2" x14ac:dyDescent="0.35">
      <c r="A1461" s="1" t="str">
        <f t="shared" si="22"/>
        <v/>
      </c>
      <c r="B146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62" spans="1:2" x14ac:dyDescent="0.35">
      <c r="A1462" s="1" t="str">
        <f t="shared" si="22"/>
        <v/>
      </c>
      <c r="B146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63" spans="1:2" x14ac:dyDescent="0.35">
      <c r="A1463" s="1" t="str">
        <f t="shared" si="22"/>
        <v/>
      </c>
      <c r="B146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64" spans="1:2" x14ac:dyDescent="0.35">
      <c r="A1464" s="1" t="str">
        <f t="shared" si="22"/>
        <v/>
      </c>
      <c r="B146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65" spans="1:2" x14ac:dyDescent="0.35">
      <c r="A1465" s="1" t="str">
        <f t="shared" si="22"/>
        <v/>
      </c>
      <c r="B146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66" spans="1:2" x14ac:dyDescent="0.35">
      <c r="A1466" s="1" t="str">
        <f t="shared" si="22"/>
        <v/>
      </c>
      <c r="B146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67" spans="1:2" x14ac:dyDescent="0.35">
      <c r="A1467" s="1" t="str">
        <f t="shared" si="22"/>
        <v/>
      </c>
      <c r="B146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68" spans="1:2" x14ac:dyDescent="0.35">
      <c r="A1468" s="1" t="str">
        <f t="shared" si="22"/>
        <v/>
      </c>
      <c r="B146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69" spans="1:2" x14ac:dyDescent="0.35">
      <c r="A1469" s="1" t="str">
        <f t="shared" si="22"/>
        <v/>
      </c>
      <c r="B146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70" spans="1:2" x14ac:dyDescent="0.35">
      <c r="A1470" s="1" t="str">
        <f t="shared" si="22"/>
        <v/>
      </c>
      <c r="B147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71" spans="1:2" x14ac:dyDescent="0.35">
      <c r="A1471" s="1" t="str">
        <f t="shared" si="22"/>
        <v/>
      </c>
      <c r="B147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72" spans="1:2" x14ac:dyDescent="0.35">
      <c r="A1472" s="1" t="str">
        <f t="shared" si="22"/>
        <v/>
      </c>
      <c r="B147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73" spans="1:2" x14ac:dyDescent="0.35">
      <c r="A1473" s="1" t="str">
        <f t="shared" si="22"/>
        <v/>
      </c>
      <c r="B147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74" spans="1:2" x14ac:dyDescent="0.35">
      <c r="A1474" s="1" t="str">
        <f t="shared" ref="A1474:A1531" si="23">IFERROR(LEFT(RIGHT(C1474,LEN(C1474)-SEARCH("@",C1474)),SEARCH("/",RIGHT(C1474,LEN(C1474)-SEARCH("@",C1474)-1))),"")</f>
        <v/>
      </c>
      <c r="B147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75" spans="1:2" x14ac:dyDescent="0.35">
      <c r="A1475" s="1" t="str">
        <f t="shared" si="23"/>
        <v/>
      </c>
      <c r="B147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76" spans="1:2" x14ac:dyDescent="0.35">
      <c r="A1476" s="1" t="str">
        <f t="shared" si="23"/>
        <v/>
      </c>
      <c r="B147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77" spans="1:2" x14ac:dyDescent="0.35">
      <c r="A1477" s="1" t="str">
        <f t="shared" si="23"/>
        <v/>
      </c>
      <c r="B147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78" spans="1:2" x14ac:dyDescent="0.35">
      <c r="A1478" s="1" t="str">
        <f t="shared" si="23"/>
        <v/>
      </c>
      <c r="B147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79" spans="1:2" x14ac:dyDescent="0.35">
      <c r="A1479" s="1" t="str">
        <f t="shared" si="23"/>
        <v/>
      </c>
      <c r="B147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80" spans="1:2" x14ac:dyDescent="0.35">
      <c r="A1480" s="1" t="str">
        <f t="shared" si="23"/>
        <v/>
      </c>
      <c r="B148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81" spans="1:2" x14ac:dyDescent="0.35">
      <c r="A1481" s="1" t="str">
        <f t="shared" si="23"/>
        <v/>
      </c>
      <c r="B148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82" spans="1:2" x14ac:dyDescent="0.35">
      <c r="A1482" s="1" t="str">
        <f t="shared" si="23"/>
        <v/>
      </c>
      <c r="B148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83" spans="1:2" x14ac:dyDescent="0.35">
      <c r="A1483" s="1" t="str">
        <f t="shared" si="23"/>
        <v/>
      </c>
      <c r="B148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84" spans="1:2" x14ac:dyDescent="0.35">
      <c r="A1484" s="1" t="str">
        <f t="shared" si="23"/>
        <v/>
      </c>
      <c r="B148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85" spans="1:2" x14ac:dyDescent="0.35">
      <c r="A1485" s="1" t="str">
        <f t="shared" si="23"/>
        <v/>
      </c>
      <c r="B148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86" spans="1:2" x14ac:dyDescent="0.35">
      <c r="A1486" s="1" t="str">
        <f t="shared" si="23"/>
        <v/>
      </c>
      <c r="B148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87" spans="1:2" x14ac:dyDescent="0.35">
      <c r="A1487" s="1" t="str">
        <f t="shared" si="23"/>
        <v/>
      </c>
      <c r="B148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88" spans="1:2" x14ac:dyDescent="0.35">
      <c r="A1488" s="1" t="str">
        <f t="shared" si="23"/>
        <v/>
      </c>
      <c r="B148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89" spans="1:2" x14ac:dyDescent="0.35">
      <c r="A1489" s="1" t="str">
        <f t="shared" si="23"/>
        <v/>
      </c>
      <c r="B148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90" spans="1:2" x14ac:dyDescent="0.35">
      <c r="A1490" s="1" t="str">
        <f t="shared" si="23"/>
        <v/>
      </c>
      <c r="B149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91" spans="1:2" x14ac:dyDescent="0.35">
      <c r="A1491" s="1" t="str">
        <f t="shared" si="23"/>
        <v/>
      </c>
      <c r="B149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92" spans="1:2" x14ac:dyDescent="0.35">
      <c r="A1492" s="1" t="str">
        <f t="shared" si="23"/>
        <v/>
      </c>
      <c r="B149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93" spans="1:2" x14ac:dyDescent="0.35">
      <c r="A1493" s="1" t="str">
        <f t="shared" si="23"/>
        <v/>
      </c>
      <c r="B149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94" spans="1:2" x14ac:dyDescent="0.35">
      <c r="A1494" s="1" t="str">
        <f t="shared" si="23"/>
        <v/>
      </c>
      <c r="B149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95" spans="1:2" x14ac:dyDescent="0.35">
      <c r="A1495" s="1" t="str">
        <f t="shared" si="23"/>
        <v/>
      </c>
      <c r="B149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96" spans="1:2" x14ac:dyDescent="0.35">
      <c r="A1496" s="1" t="str">
        <f t="shared" si="23"/>
        <v/>
      </c>
      <c r="B149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97" spans="1:2" x14ac:dyDescent="0.35">
      <c r="A1497" s="1" t="str">
        <f t="shared" si="23"/>
        <v/>
      </c>
      <c r="B149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98" spans="1:2" x14ac:dyDescent="0.35">
      <c r="A1498" s="1" t="str">
        <f t="shared" si="23"/>
        <v/>
      </c>
      <c r="B149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99" spans="1:2" x14ac:dyDescent="0.35">
      <c r="A1499" s="1" t="str">
        <f t="shared" si="23"/>
        <v/>
      </c>
      <c r="B149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500" spans="1:2" x14ac:dyDescent="0.35">
      <c r="A1500" s="1" t="str">
        <f t="shared" si="23"/>
        <v/>
      </c>
      <c r="B150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501" spans="1:2" x14ac:dyDescent="0.35">
      <c r="A1501" s="1" t="str">
        <f t="shared" si="23"/>
        <v/>
      </c>
      <c r="B150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502" spans="1:2" x14ac:dyDescent="0.35">
      <c r="A1502" s="1" t="str">
        <f t="shared" si="23"/>
        <v/>
      </c>
      <c r="B150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503" spans="1:2" x14ac:dyDescent="0.35">
      <c r="A1503" s="1" t="str">
        <f t="shared" si="23"/>
        <v/>
      </c>
      <c r="B150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504" spans="1:2" x14ac:dyDescent="0.35">
      <c r="A1504" s="1" t="str">
        <f t="shared" si="23"/>
        <v/>
      </c>
      <c r="B150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505" spans="1:2" x14ac:dyDescent="0.35">
      <c r="A1505" s="1" t="str">
        <f t="shared" si="23"/>
        <v/>
      </c>
      <c r="B150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506" spans="1:2" x14ac:dyDescent="0.35">
      <c r="A1506" s="1" t="str">
        <f t="shared" si="23"/>
        <v/>
      </c>
      <c r="B150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507" spans="1:2" x14ac:dyDescent="0.35">
      <c r="A1507" s="1" t="str">
        <f t="shared" si="23"/>
        <v/>
      </c>
      <c r="B150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508" spans="1:2" x14ac:dyDescent="0.35">
      <c r="A1508" s="1" t="str">
        <f t="shared" si="23"/>
        <v/>
      </c>
      <c r="B150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509" spans="1:2" x14ac:dyDescent="0.35">
      <c r="A1509" s="1" t="str">
        <f t="shared" si="23"/>
        <v/>
      </c>
      <c r="B150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510" spans="1:2" x14ac:dyDescent="0.35">
      <c r="A1510" s="1" t="str">
        <f t="shared" si="23"/>
        <v/>
      </c>
      <c r="B151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511" spans="1:2" x14ac:dyDescent="0.35">
      <c r="A1511" s="1" t="str">
        <f t="shared" si="23"/>
        <v/>
      </c>
      <c r="B151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512" spans="1:2" x14ac:dyDescent="0.35">
      <c r="A1512" s="1" t="str">
        <f t="shared" si="23"/>
        <v/>
      </c>
      <c r="B151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513" spans="1:2" x14ac:dyDescent="0.35">
      <c r="A1513" s="1" t="str">
        <f t="shared" si="23"/>
        <v/>
      </c>
      <c r="B151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514" spans="1:2" x14ac:dyDescent="0.35">
      <c r="A1514" s="1" t="str">
        <f t="shared" si="23"/>
        <v/>
      </c>
      <c r="B151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515" spans="1:2" x14ac:dyDescent="0.35">
      <c r="A1515" s="1" t="str">
        <f t="shared" si="23"/>
        <v/>
      </c>
      <c r="B151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516" spans="1:2" x14ac:dyDescent="0.35">
      <c r="A1516" s="1" t="str">
        <f t="shared" si="23"/>
        <v/>
      </c>
      <c r="B151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517" spans="1:2" x14ac:dyDescent="0.35">
      <c r="A1517" s="1" t="str">
        <f t="shared" si="23"/>
        <v/>
      </c>
      <c r="B151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518" spans="1:2" x14ac:dyDescent="0.35">
      <c r="A1518" s="1" t="str">
        <f t="shared" si="23"/>
        <v/>
      </c>
      <c r="B151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519" spans="1:2" x14ac:dyDescent="0.35">
      <c r="A1519" s="1" t="str">
        <f t="shared" si="23"/>
        <v/>
      </c>
      <c r="B151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520" spans="1:2" x14ac:dyDescent="0.35">
      <c r="A1520" s="1" t="str">
        <f t="shared" si="23"/>
        <v/>
      </c>
      <c r="B152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521" spans="1:2" x14ac:dyDescent="0.35">
      <c r="A1521" s="1" t="str">
        <f t="shared" si="23"/>
        <v/>
      </c>
      <c r="B152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522" spans="1:2" x14ac:dyDescent="0.35">
      <c r="A1522" s="1" t="str">
        <f t="shared" si="23"/>
        <v/>
      </c>
      <c r="B152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523" spans="1:2" x14ac:dyDescent="0.35">
      <c r="A1523" s="1" t="str">
        <f t="shared" si="23"/>
        <v/>
      </c>
      <c r="B152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524" spans="1:2" x14ac:dyDescent="0.35">
      <c r="A1524" s="1" t="str">
        <f t="shared" si="23"/>
        <v/>
      </c>
      <c r="B152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525" spans="1:2" x14ac:dyDescent="0.35">
      <c r="A1525" s="1" t="str">
        <f t="shared" si="23"/>
        <v/>
      </c>
      <c r="B152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526" spans="1:2" x14ac:dyDescent="0.35">
      <c r="A1526" s="1" t="str">
        <f t="shared" si="23"/>
        <v/>
      </c>
      <c r="B152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527" spans="1:2" x14ac:dyDescent="0.35">
      <c r="A1527" s="1" t="str">
        <f t="shared" si="23"/>
        <v/>
      </c>
      <c r="B152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528" spans="1:2" x14ac:dyDescent="0.35">
      <c r="A1528" s="1" t="str">
        <f t="shared" si="23"/>
        <v/>
      </c>
      <c r="B152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529" spans="1:2" x14ac:dyDescent="0.35">
      <c r="A1529" s="1" t="str">
        <f t="shared" si="23"/>
        <v/>
      </c>
      <c r="B152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530" spans="1:2" x14ac:dyDescent="0.35">
      <c r="A1530" s="1" t="str">
        <f t="shared" si="23"/>
        <v/>
      </c>
      <c r="B153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531" spans="1:2" x14ac:dyDescent="0.35">
      <c r="A1531" s="1" t="str">
        <f t="shared" si="23"/>
        <v/>
      </c>
      <c r="B153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sheetData>
  <conditionalFormatting sqref="A1:J2 EO1:XFD10 B11:K13 K1:L4 A1532:XFD1048576 M15:XFD19 B14:J19 K5:K6 B3:J10 B20:XFD1531 A3:A1531 AH11:XFD14">
    <cfRule type="containsText" dxfId="28" priority="1" operator="containsText" text="ERREUR">
      <formula>NOT(ISERROR(SEARCH("ERREUR",A1)))</formula>
    </cfRule>
    <cfRule type="containsText" dxfId="27" priority="2" operator="containsText" text="OK">
      <formula>NOT(ISERROR(SEARCH("OK",A1)))</formula>
    </cfRule>
  </conditionalFormatting>
  <pageMargins left="0.7" right="0.7" top="0.75" bottom="0.75" header="0.3" footer="0.3"/>
  <tableParts count="1">
    <tablePart r:id="rId2"/>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V74"/>
  <sheetViews>
    <sheetView showGridLines="0" topLeftCell="K1" zoomScale="70" zoomScaleNormal="70" zoomScaleSheetLayoutView="40" zoomScalePageLayoutView="30" workbookViewId="0">
      <selection activeCell="R5" sqref="R5:V12"/>
    </sheetView>
  </sheetViews>
  <sheetFormatPr baseColWidth="10" defaultColWidth="9.1796875" defaultRowHeight="14.5" x14ac:dyDescent="0.35"/>
  <cols>
    <col min="1" max="1" width="33.54296875" style="1" customWidth="1"/>
    <col min="2" max="2" width="14.81640625" style="1" customWidth="1"/>
    <col min="3" max="5" width="25.81640625" style="1" bestFit="1" customWidth="1"/>
    <col min="6" max="8" width="26.453125" style="1" bestFit="1" customWidth="1"/>
    <col min="9" max="9" width="26.453125" style="1" customWidth="1"/>
    <col min="10" max="10" width="25.81640625" style="1" bestFit="1" customWidth="1"/>
    <col min="11" max="11" width="26.453125" style="1" bestFit="1" customWidth="1"/>
    <col min="12" max="13" width="26.453125" style="1" customWidth="1"/>
    <col min="14" max="14" width="11.7265625" style="1" customWidth="1"/>
    <col min="15" max="15" width="14.81640625" style="1" customWidth="1"/>
    <col min="16" max="16" width="17.7265625" style="1" customWidth="1"/>
    <col min="17" max="18" width="25.81640625" style="1" bestFit="1" customWidth="1"/>
    <col min="19" max="22" width="25.81640625" style="1" customWidth="1"/>
    <col min="23" max="16384" width="9.1796875" style="1"/>
  </cols>
  <sheetData>
    <row r="1" spans="1:22" ht="26.5" thickBot="1" x14ac:dyDescent="0.65">
      <c r="A1" s="216" t="s">
        <v>43</v>
      </c>
      <c r="B1" s="217"/>
      <c r="C1" s="217"/>
      <c r="D1" s="217"/>
      <c r="E1" s="217"/>
      <c r="F1" s="217"/>
      <c r="G1" s="217"/>
      <c r="H1" s="217"/>
      <c r="I1" s="217"/>
      <c r="J1" s="217"/>
      <c r="K1" s="217"/>
      <c r="L1" s="217"/>
      <c r="M1" s="217"/>
      <c r="N1" s="217"/>
      <c r="O1" s="217"/>
      <c r="P1" s="217"/>
      <c r="Q1" s="217"/>
      <c r="R1" s="217"/>
      <c r="S1" s="217"/>
      <c r="T1" s="217"/>
      <c r="U1" s="217"/>
      <c r="V1" s="217"/>
    </row>
    <row r="2" spans="1:22" customFormat="1" ht="15" thickBot="1" x14ac:dyDescent="0.4"/>
    <row r="3" spans="1:22" ht="15" thickBot="1" x14ac:dyDescent="0.4">
      <c r="A3" s="51" t="s">
        <v>18</v>
      </c>
      <c r="B3" s="224" t="s">
        <v>6</v>
      </c>
      <c r="C3" s="225"/>
      <c r="D3" s="225"/>
      <c r="E3" s="225"/>
      <c r="F3" s="225"/>
      <c r="G3" s="225"/>
      <c r="H3" s="225"/>
      <c r="I3" s="225"/>
      <c r="J3" s="225"/>
      <c r="K3" s="225"/>
      <c r="L3" s="225"/>
      <c r="M3" s="225"/>
      <c r="O3" s="224" t="s">
        <v>3</v>
      </c>
      <c r="P3" s="225"/>
      <c r="Q3" s="225"/>
      <c r="R3" s="225"/>
      <c r="S3" s="225"/>
      <c r="T3" s="225"/>
      <c r="U3" s="225"/>
      <c r="V3" s="225"/>
    </row>
    <row r="4" spans="1:22" x14ac:dyDescent="0.35">
      <c r="A4" s="34" t="s">
        <v>41</v>
      </c>
      <c r="B4" s="35" t="str">
        <f>'Page de garde'!A7</f>
        <v>Témoin solvant</v>
      </c>
      <c r="C4" s="35" t="str">
        <f>'Page de garde'!A9</f>
        <v>EE2-33,8ng/L</v>
      </c>
      <c r="D4" s="35" t="str">
        <f>'Page de garde'!A10</f>
        <v>EE2-50,6ng/L</v>
      </c>
      <c r="E4" s="35" t="str">
        <f>'Page de garde'!A11</f>
        <v>EE2-76ng/L</v>
      </c>
      <c r="F4" s="35" t="str">
        <f>'Page de garde'!A12</f>
        <v>EE2-114ng/L</v>
      </c>
      <c r="G4" s="35" t="str">
        <f>'Page de garde'!A13</f>
        <v>EE2-170,9ng/L</v>
      </c>
      <c r="H4" s="35" t="str">
        <f>'Page de garde'!A14</f>
        <v>EE2-488ng/L</v>
      </c>
      <c r="I4" s="35" t="str">
        <f>'Page de garde'!A15</f>
        <v>FAD-5.4µg/L</v>
      </c>
      <c r="J4" s="35" t="str">
        <f>'Page de garde'!A16</f>
        <v>FAD-11µg/L</v>
      </c>
      <c r="K4" s="35" t="str">
        <f>'Page de garde'!A17</f>
        <v>FAD-22µg/L</v>
      </c>
      <c r="L4" s="35" t="str">
        <f>'Page de garde'!A18</f>
        <v>FAD-44µg/L</v>
      </c>
      <c r="M4" s="35" t="str">
        <f>'Page de garde'!A19</f>
        <v>FAD-87µg/L</v>
      </c>
      <c r="N4" s="3"/>
      <c r="O4" s="36" t="str">
        <f>'Page de garde'!A36</f>
        <v>Testo -30µg/L</v>
      </c>
      <c r="P4" s="36" t="str">
        <f>'Page de garde'!A37</f>
        <v>Testo 30µg/L + EE2 -64ng/L</v>
      </c>
      <c r="Q4" s="36" t="str">
        <f>'Page de garde'!A38</f>
        <v>Testo 30µg/L + FAD-10mg/L</v>
      </c>
      <c r="R4" s="36" t="str">
        <f>'Page de garde'!A39</f>
        <v>FAD-5,4µg/L + Testostérone</v>
      </c>
      <c r="S4" s="36" t="str">
        <f>'Page de garde'!A40</f>
        <v>FAD-11µg/L + Testostérone</v>
      </c>
      <c r="T4" s="36" t="str">
        <f>'Page de garde'!A41</f>
        <v>FAD-22µg/L + Testostérone</v>
      </c>
      <c r="U4" s="36" t="str">
        <f>'Page de garde'!A42</f>
        <v>FAD-44µg/L + Testostérone</v>
      </c>
      <c r="V4" s="36" t="str">
        <f>'Page de garde'!A43</f>
        <v>FAD-87µg/L + Testostérone</v>
      </c>
    </row>
    <row r="5" spans="1:22" x14ac:dyDescent="0.35">
      <c r="A5" s="226" t="s">
        <v>33</v>
      </c>
      <c r="B5" s="32">
        <v>202117</v>
      </c>
      <c r="C5" s="32">
        <v>465994.5</v>
      </c>
      <c r="D5" s="32">
        <v>3439</v>
      </c>
      <c r="E5" s="32">
        <v>514784</v>
      </c>
      <c r="F5" s="32">
        <v>2150602.6666666665</v>
      </c>
      <c r="G5" s="32"/>
      <c r="H5" s="32">
        <v>3438504.3333333335</v>
      </c>
      <c r="I5" s="32">
        <v>544547</v>
      </c>
      <c r="J5" s="32"/>
      <c r="K5" s="13"/>
      <c r="L5" s="13">
        <v>108221.33333333333</v>
      </c>
      <c r="M5" s="13">
        <v>4909.5</v>
      </c>
      <c r="N5" s="3"/>
      <c r="O5" s="32">
        <v>524525</v>
      </c>
      <c r="P5" s="13">
        <v>3242126.6666666665</v>
      </c>
      <c r="Q5" s="13">
        <v>15789.666666666666</v>
      </c>
      <c r="R5" s="32"/>
      <c r="S5" s="32">
        <v>6279.666666666667</v>
      </c>
      <c r="T5" s="32">
        <v>677946</v>
      </c>
      <c r="U5" s="32">
        <v>191547.33333333334</v>
      </c>
      <c r="V5" s="32">
        <v>20375.333333333332</v>
      </c>
    </row>
    <row r="6" spans="1:22" ht="16.5" x14ac:dyDescent="0.35">
      <c r="A6" s="226"/>
      <c r="B6" s="14">
        <v>25512.5</v>
      </c>
      <c r="C6" s="13">
        <v>229623</v>
      </c>
      <c r="D6" s="32">
        <v>36933</v>
      </c>
      <c r="E6" s="32">
        <v>202917.66666666666</v>
      </c>
      <c r="F6" s="32">
        <v>423131.33333333331</v>
      </c>
      <c r="G6" s="32">
        <v>2129787.3333333335</v>
      </c>
      <c r="H6" s="32">
        <v>3492795.3333333335</v>
      </c>
      <c r="I6" s="32">
        <v>11579.333333333334</v>
      </c>
      <c r="J6" s="32">
        <v>281037.33333333331</v>
      </c>
      <c r="K6" s="13">
        <v>65524.333333333336</v>
      </c>
      <c r="L6" s="13">
        <v>39669.333333333336</v>
      </c>
      <c r="M6" s="13">
        <v>309278.66666666669</v>
      </c>
      <c r="N6" s="3"/>
      <c r="O6" s="32">
        <v>3299395.3333333335</v>
      </c>
      <c r="P6" s="13">
        <v>3166840</v>
      </c>
      <c r="Q6" s="13">
        <v>92568.666666666672</v>
      </c>
      <c r="R6" s="32">
        <v>202045</v>
      </c>
      <c r="S6" s="32">
        <v>542802</v>
      </c>
      <c r="T6" s="32">
        <v>0</v>
      </c>
      <c r="U6" s="32">
        <v>478446</v>
      </c>
      <c r="V6" s="32">
        <v>222838.33333333334</v>
      </c>
    </row>
    <row r="7" spans="1:22" ht="16.5" x14ac:dyDescent="0.35">
      <c r="A7" s="226"/>
      <c r="B7" s="14">
        <v>325443.33333333331</v>
      </c>
      <c r="C7" s="13">
        <v>45596</v>
      </c>
      <c r="D7" s="32">
        <v>75452.333333333328</v>
      </c>
      <c r="E7" s="32">
        <v>258592.66666666666</v>
      </c>
      <c r="F7" s="32">
        <v>1446549.3333333333</v>
      </c>
      <c r="G7" s="32">
        <v>2603583</v>
      </c>
      <c r="H7" s="32"/>
      <c r="I7" s="32">
        <v>233841</v>
      </c>
      <c r="J7" s="32">
        <v>526147.33333333337</v>
      </c>
      <c r="K7" s="13">
        <v>200948.66666666666</v>
      </c>
      <c r="L7" s="13">
        <v>488770.66666666669</v>
      </c>
      <c r="M7" s="13">
        <v>298391.33333333331</v>
      </c>
      <c r="N7" s="3"/>
      <c r="O7" s="32">
        <v>2875939.6666666665</v>
      </c>
      <c r="P7" s="13">
        <v>3025459.6666666665</v>
      </c>
      <c r="Q7" s="13">
        <v>145688</v>
      </c>
      <c r="R7" s="32">
        <v>314044.66666666669</v>
      </c>
      <c r="S7" s="32">
        <v>29301.333333333332</v>
      </c>
      <c r="T7" s="32">
        <v>31896.666666666668</v>
      </c>
      <c r="U7" s="32">
        <v>32978.333333333336</v>
      </c>
      <c r="V7" s="32">
        <v>288196.5</v>
      </c>
    </row>
    <row r="8" spans="1:22" ht="16.5" x14ac:dyDescent="0.35">
      <c r="A8" s="226"/>
      <c r="B8" s="14">
        <v>247457</v>
      </c>
      <c r="C8" s="13">
        <v>348025</v>
      </c>
      <c r="D8" s="32">
        <v>394010</v>
      </c>
      <c r="E8" s="32">
        <v>203306.66666666666</v>
      </c>
      <c r="F8" s="32">
        <v>3231455.6666666665</v>
      </c>
      <c r="G8" s="32">
        <v>1676014</v>
      </c>
      <c r="H8" s="32">
        <v>5294731.333333333</v>
      </c>
      <c r="I8" s="32">
        <v>78213.666666666672</v>
      </c>
      <c r="J8" s="32">
        <v>113629.33333333333</v>
      </c>
      <c r="K8" s="13">
        <v>232788</v>
      </c>
      <c r="L8" s="13">
        <v>33519.333333333336</v>
      </c>
      <c r="M8" s="13">
        <v>278715.66666666669</v>
      </c>
      <c r="N8" s="3"/>
      <c r="O8" s="32">
        <v>1160458.3333333333</v>
      </c>
      <c r="P8" s="13">
        <v>2778958.3333333335</v>
      </c>
      <c r="Q8" s="13">
        <v>59237</v>
      </c>
      <c r="R8" s="32">
        <v>1096</v>
      </c>
      <c r="S8" s="32">
        <v>149210.33333333334</v>
      </c>
      <c r="T8" s="32">
        <v>132677.66666666666</v>
      </c>
      <c r="U8" s="32"/>
      <c r="V8" s="32">
        <v>362747.66666666669</v>
      </c>
    </row>
    <row r="9" spans="1:22" ht="16.5" x14ac:dyDescent="0.35">
      <c r="A9" s="226"/>
      <c r="B9" s="14">
        <v>212326.33333333334</v>
      </c>
      <c r="C9" s="13"/>
      <c r="D9" s="32">
        <v>146009</v>
      </c>
      <c r="E9" s="32">
        <v>172556</v>
      </c>
      <c r="F9" s="32">
        <v>1304152.6666666667</v>
      </c>
      <c r="G9" s="32">
        <v>2607534.6666666665</v>
      </c>
      <c r="H9" s="32">
        <v>3681322</v>
      </c>
      <c r="I9" s="32"/>
      <c r="J9" s="32">
        <v>336200.66666666669</v>
      </c>
      <c r="K9" s="13">
        <v>76938</v>
      </c>
      <c r="L9" s="13">
        <v>424421.66666666669</v>
      </c>
      <c r="M9" s="13">
        <v>146571.33333333334</v>
      </c>
      <c r="N9" s="3"/>
      <c r="O9" s="32">
        <v>2282913</v>
      </c>
      <c r="P9" s="13">
        <v>3404422.6666666665</v>
      </c>
      <c r="Q9" s="13">
        <v>71876</v>
      </c>
      <c r="R9" s="32">
        <v>127977</v>
      </c>
      <c r="S9" s="32">
        <v>129332.33333333333</v>
      </c>
      <c r="T9" s="32">
        <v>93127.5</v>
      </c>
      <c r="U9" s="32">
        <v>158691.33333333334</v>
      </c>
      <c r="V9" s="32"/>
    </row>
    <row r="10" spans="1:22" ht="16.5" x14ac:dyDescent="0.35">
      <c r="A10" s="226"/>
      <c r="B10" s="14">
        <v>50664.666666666664</v>
      </c>
      <c r="C10" s="13">
        <v>145547.33333333334</v>
      </c>
      <c r="D10" s="32">
        <v>109223.66666666667</v>
      </c>
      <c r="E10" s="32">
        <v>1756044.6666666667</v>
      </c>
      <c r="F10" s="32">
        <v>1905492.6666666667</v>
      </c>
      <c r="G10" s="32">
        <v>1963324</v>
      </c>
      <c r="H10" s="32">
        <v>5186661.333333333</v>
      </c>
      <c r="I10" s="32">
        <v>428704.66666666669</v>
      </c>
      <c r="J10" s="32">
        <v>160198.33333333334</v>
      </c>
      <c r="K10" s="13">
        <v>332610.33333333331</v>
      </c>
      <c r="L10" s="13">
        <v>369590</v>
      </c>
      <c r="M10" s="13">
        <v>3449.5</v>
      </c>
      <c r="N10" s="3"/>
      <c r="O10" s="32">
        <v>33879.666666666664</v>
      </c>
      <c r="P10" s="13">
        <v>4690514.666666667</v>
      </c>
      <c r="Q10" s="13">
        <v>85481.333333333328</v>
      </c>
      <c r="R10" s="32">
        <v>376500.5</v>
      </c>
      <c r="S10" s="32">
        <v>99995</v>
      </c>
      <c r="T10" s="32"/>
      <c r="U10" s="32">
        <v>166925</v>
      </c>
      <c r="V10" s="32">
        <v>406707</v>
      </c>
    </row>
    <row r="11" spans="1:22" ht="16.5" x14ac:dyDescent="0.35">
      <c r="A11" s="226"/>
      <c r="B11" s="14">
        <v>189067</v>
      </c>
      <c r="C11" s="13">
        <v>118467</v>
      </c>
      <c r="D11" s="32">
        <v>501518</v>
      </c>
      <c r="E11" s="32">
        <v>149203</v>
      </c>
      <c r="F11" s="32">
        <v>242737.66666666666</v>
      </c>
      <c r="G11" s="32">
        <v>2628457.6666666665</v>
      </c>
      <c r="H11" s="32">
        <v>4722772.333333333</v>
      </c>
      <c r="I11" s="32">
        <v>281498.66666666669</v>
      </c>
      <c r="J11" s="32">
        <v>130378</v>
      </c>
      <c r="K11" s="13">
        <v>234216</v>
      </c>
      <c r="L11" s="13">
        <v>214907.33333333334</v>
      </c>
      <c r="M11" s="13">
        <v>55473.666666666664</v>
      </c>
      <c r="N11" s="3"/>
      <c r="O11" s="32">
        <v>3531419.3333333335</v>
      </c>
      <c r="P11" s="13"/>
      <c r="Q11" s="13">
        <v>333107.33333333331</v>
      </c>
      <c r="R11" s="32">
        <v>166572</v>
      </c>
      <c r="S11" s="32">
        <v>172426.33333333334</v>
      </c>
      <c r="T11" s="32">
        <v>104991.66666666667</v>
      </c>
      <c r="U11" s="32">
        <v>414890.33333333331</v>
      </c>
      <c r="V11" s="32">
        <v>346338</v>
      </c>
    </row>
    <row r="12" spans="1:22" ht="16.5" x14ac:dyDescent="0.35">
      <c r="A12" s="226"/>
      <c r="B12" s="14">
        <v>282313.33333333331</v>
      </c>
      <c r="C12" s="13">
        <v>257900.33333333334</v>
      </c>
      <c r="D12" s="32">
        <v>415135.33333333331</v>
      </c>
      <c r="E12" s="32">
        <v>439887</v>
      </c>
      <c r="F12" s="32">
        <v>1141654.6666666667</v>
      </c>
      <c r="G12" s="32">
        <v>3498765.3333333335</v>
      </c>
      <c r="H12" s="32">
        <v>4839357.333333333</v>
      </c>
      <c r="I12" s="32">
        <v>221822</v>
      </c>
      <c r="J12" s="32">
        <v>448020</v>
      </c>
      <c r="K12" s="13">
        <v>228325</v>
      </c>
      <c r="L12" s="13">
        <v>185098</v>
      </c>
      <c r="M12" s="13">
        <v>196745.66666666666</v>
      </c>
      <c r="N12" s="3"/>
      <c r="O12" s="32">
        <v>2310484</v>
      </c>
      <c r="P12" s="13">
        <v>1241433.3333333333</v>
      </c>
      <c r="Q12" s="13"/>
      <c r="R12" s="32">
        <v>116873.66666666667</v>
      </c>
      <c r="S12" s="32">
        <v>244915.33333333334</v>
      </c>
      <c r="T12" s="32">
        <v>32725.666666666668</v>
      </c>
      <c r="U12" s="32">
        <v>64132.666666666664</v>
      </c>
      <c r="V12" s="32">
        <v>411898</v>
      </c>
    </row>
    <row r="13" spans="1:22" ht="16.5" x14ac:dyDescent="0.35">
      <c r="A13" s="226"/>
      <c r="B13" s="14"/>
      <c r="C13" s="13"/>
      <c r="D13" s="32"/>
      <c r="E13" s="32"/>
      <c r="F13" s="32"/>
      <c r="G13" s="32"/>
      <c r="H13" s="32"/>
      <c r="I13" s="32"/>
      <c r="J13" s="32"/>
      <c r="K13" s="13"/>
      <c r="L13" s="13"/>
      <c r="M13" s="13"/>
      <c r="N13" s="3"/>
      <c r="O13" s="32">
        <v>1774401.3333333333</v>
      </c>
      <c r="P13" s="13"/>
      <c r="Q13" s="13"/>
      <c r="R13" s="32"/>
      <c r="S13" s="32"/>
      <c r="T13" s="32"/>
      <c r="U13" s="32"/>
      <c r="V13" s="32"/>
    </row>
    <row r="14" spans="1:22" ht="16.5" x14ac:dyDescent="0.35">
      <c r="A14" s="226"/>
      <c r="B14" s="14"/>
      <c r="C14" s="32"/>
      <c r="D14" s="32"/>
      <c r="E14" s="32"/>
      <c r="F14" s="32"/>
      <c r="G14" s="32"/>
      <c r="H14" s="32"/>
      <c r="I14" s="32"/>
      <c r="J14" s="32"/>
      <c r="K14" s="13"/>
      <c r="L14" s="13"/>
      <c r="M14" s="13"/>
      <c r="N14" s="3"/>
      <c r="O14" s="32">
        <v>3298984.3333333335</v>
      </c>
      <c r="P14" s="13"/>
      <c r="Q14" s="13"/>
      <c r="R14" s="32"/>
      <c r="S14" s="32"/>
      <c r="T14" s="32"/>
      <c r="U14" s="32"/>
      <c r="V14" s="32"/>
    </row>
    <row r="15" spans="1:22" ht="16.5" x14ac:dyDescent="0.35">
      <c r="A15" s="226"/>
      <c r="B15" s="14"/>
      <c r="C15" s="32"/>
      <c r="D15" s="32"/>
      <c r="E15" s="32"/>
      <c r="F15" s="32"/>
      <c r="G15" s="32"/>
      <c r="H15" s="32"/>
      <c r="I15" s="32"/>
      <c r="J15" s="32"/>
      <c r="K15" s="13"/>
      <c r="L15" s="13"/>
      <c r="M15" s="13"/>
      <c r="N15" s="3"/>
      <c r="O15" s="32"/>
      <c r="P15" s="13"/>
      <c r="Q15" s="13"/>
      <c r="R15" s="32"/>
      <c r="S15" s="32"/>
      <c r="T15" s="32"/>
      <c r="U15" s="32"/>
      <c r="V15" s="32"/>
    </row>
    <row r="16" spans="1:22" ht="16.5" x14ac:dyDescent="0.35">
      <c r="A16" s="226"/>
      <c r="B16" s="14"/>
      <c r="C16" s="32"/>
      <c r="D16" s="32"/>
      <c r="E16" s="32"/>
      <c r="F16" s="32"/>
      <c r="G16" s="32"/>
      <c r="H16" s="32"/>
      <c r="I16" s="32"/>
      <c r="J16" s="32"/>
      <c r="K16" s="13"/>
      <c r="L16" s="13"/>
      <c r="M16" s="13"/>
      <c r="N16" s="3"/>
      <c r="O16" s="32">
        <v>2138043</v>
      </c>
      <c r="P16" s="13"/>
      <c r="Q16" s="13"/>
      <c r="R16" s="32"/>
      <c r="S16" s="32"/>
      <c r="T16" s="32"/>
      <c r="U16" s="32"/>
      <c r="V16" s="32"/>
    </row>
    <row r="17" spans="1:22" ht="16.5" x14ac:dyDescent="0.35">
      <c r="A17" s="226"/>
      <c r="B17" s="14"/>
      <c r="C17" s="32"/>
      <c r="D17" s="32"/>
      <c r="E17" s="32"/>
      <c r="F17" s="32"/>
      <c r="G17" s="32"/>
      <c r="H17" s="32"/>
      <c r="I17" s="32"/>
      <c r="J17" s="32"/>
      <c r="K17" s="13"/>
      <c r="L17" s="13"/>
      <c r="M17" s="13"/>
      <c r="N17" s="3"/>
      <c r="O17" s="32">
        <v>2464546.3333333335</v>
      </c>
      <c r="P17" s="13"/>
      <c r="Q17" s="13"/>
      <c r="R17" s="32"/>
      <c r="S17" s="32"/>
      <c r="T17" s="32"/>
      <c r="U17" s="32"/>
      <c r="V17" s="32"/>
    </row>
    <row r="18" spans="1:22" ht="16.5" x14ac:dyDescent="0.35">
      <c r="A18" s="226"/>
      <c r="B18" s="14"/>
      <c r="C18" s="32"/>
      <c r="D18" s="32"/>
      <c r="E18" s="32"/>
      <c r="F18" s="32"/>
      <c r="G18" s="32"/>
      <c r="H18" s="32"/>
      <c r="I18" s="32"/>
      <c r="J18" s="32"/>
      <c r="K18" s="13"/>
      <c r="L18" s="13"/>
      <c r="M18" s="13"/>
      <c r="N18" s="3"/>
      <c r="O18" s="32">
        <v>2365265</v>
      </c>
      <c r="P18" s="13"/>
      <c r="Q18" s="13"/>
      <c r="R18" s="32"/>
      <c r="S18" s="32"/>
      <c r="T18" s="32"/>
      <c r="U18" s="32"/>
      <c r="V18" s="32"/>
    </row>
    <row r="19" spans="1:22" ht="16.5" x14ac:dyDescent="0.35">
      <c r="A19" s="226"/>
      <c r="B19" s="14"/>
      <c r="C19" s="32"/>
      <c r="D19" s="32"/>
      <c r="E19" s="32"/>
      <c r="F19" s="32"/>
      <c r="G19" s="32"/>
      <c r="H19" s="32"/>
      <c r="I19" s="32"/>
      <c r="J19" s="32"/>
      <c r="K19" s="13"/>
      <c r="L19" s="13"/>
      <c r="M19" s="13"/>
      <c r="N19" s="3"/>
      <c r="O19" s="32">
        <v>548181</v>
      </c>
      <c r="P19" s="13"/>
      <c r="Q19" s="13"/>
      <c r="R19" s="32"/>
      <c r="S19" s="32"/>
      <c r="T19" s="32"/>
      <c r="U19" s="32"/>
      <c r="V19" s="32"/>
    </row>
    <row r="20" spans="1:22" ht="16.5" x14ac:dyDescent="0.35">
      <c r="A20" s="226"/>
      <c r="B20" s="14"/>
      <c r="C20" s="32"/>
      <c r="D20" s="32"/>
      <c r="E20" s="32"/>
      <c r="F20" s="32"/>
      <c r="G20" s="32"/>
      <c r="H20" s="32"/>
      <c r="I20" s="32"/>
      <c r="J20" s="32"/>
      <c r="K20" s="13"/>
      <c r="L20" s="13"/>
      <c r="M20" s="13"/>
      <c r="N20" s="3"/>
      <c r="O20" s="32">
        <v>1722691.5</v>
      </c>
      <c r="P20" s="13"/>
      <c r="Q20" s="13"/>
      <c r="R20" s="32"/>
      <c r="S20" s="32"/>
      <c r="T20" s="32"/>
      <c r="U20" s="32"/>
      <c r="V20" s="32"/>
    </row>
    <row r="21" spans="1:22" x14ac:dyDescent="0.35">
      <c r="A21" s="3"/>
      <c r="B21" s="7"/>
      <c r="C21" s="7"/>
      <c r="D21" s="7"/>
      <c r="E21" s="7"/>
      <c r="F21" s="7"/>
      <c r="G21" s="7"/>
      <c r="H21" s="7"/>
      <c r="I21" s="7"/>
      <c r="J21" s="7"/>
      <c r="N21" s="3"/>
      <c r="O21" s="7"/>
      <c r="R21" s="7"/>
      <c r="S21" s="7"/>
      <c r="T21" s="7"/>
      <c r="U21" s="7"/>
      <c r="V21" s="7"/>
    </row>
    <row r="22" spans="1:22" x14ac:dyDescent="0.35">
      <c r="A22" s="3" t="str">
        <f>A4</f>
        <v>Noms des groupes</v>
      </c>
      <c r="B22" s="3" t="str">
        <f t="shared" ref="B22:V22" si="0">B4</f>
        <v>Témoin solvant</v>
      </c>
      <c r="C22" s="3" t="str">
        <f t="shared" si="0"/>
        <v>EE2-33,8ng/L</v>
      </c>
      <c r="D22" s="3" t="str">
        <f t="shared" si="0"/>
        <v>EE2-50,6ng/L</v>
      </c>
      <c r="E22" s="3" t="str">
        <f t="shared" si="0"/>
        <v>EE2-76ng/L</v>
      </c>
      <c r="F22" s="3" t="str">
        <f t="shared" si="0"/>
        <v>EE2-114ng/L</v>
      </c>
      <c r="G22" s="3" t="str">
        <f t="shared" si="0"/>
        <v>EE2-170,9ng/L</v>
      </c>
      <c r="H22" s="3" t="str">
        <f t="shared" si="0"/>
        <v>EE2-488ng/L</v>
      </c>
      <c r="I22" s="3" t="str">
        <f t="shared" si="0"/>
        <v>FAD-5.4µg/L</v>
      </c>
      <c r="J22" s="3" t="str">
        <f t="shared" si="0"/>
        <v>FAD-11µg/L</v>
      </c>
      <c r="K22" s="3" t="str">
        <f t="shared" si="0"/>
        <v>FAD-22µg/L</v>
      </c>
      <c r="L22" s="3" t="str">
        <f t="shared" si="0"/>
        <v>FAD-44µg/L</v>
      </c>
      <c r="M22" s="3" t="str">
        <f t="shared" si="0"/>
        <v>FAD-87µg/L</v>
      </c>
      <c r="N22" s="3" t="s">
        <v>41</v>
      </c>
      <c r="O22" s="3" t="str">
        <f t="shared" si="0"/>
        <v>Testo -30µg/L</v>
      </c>
      <c r="P22" s="3" t="str">
        <f t="shared" si="0"/>
        <v>Testo 30µg/L + EE2 -64ng/L</v>
      </c>
      <c r="Q22" s="3" t="str">
        <f t="shared" si="0"/>
        <v>Testo 30µg/L + FAD-10mg/L</v>
      </c>
      <c r="R22" s="3" t="str">
        <f t="shared" si="0"/>
        <v>FAD-5,4µg/L + Testostérone</v>
      </c>
      <c r="S22" s="3" t="str">
        <f t="shared" si="0"/>
        <v>FAD-11µg/L + Testostérone</v>
      </c>
      <c r="T22" s="3" t="str">
        <f t="shared" si="0"/>
        <v>FAD-22µg/L + Testostérone</v>
      </c>
      <c r="U22" s="3" t="str">
        <f t="shared" si="0"/>
        <v>FAD-44µg/L + Testostérone</v>
      </c>
      <c r="V22" s="3" t="str">
        <f t="shared" si="0"/>
        <v>FAD-87µg/L + Testostérone</v>
      </c>
    </row>
    <row r="23" spans="1:22" x14ac:dyDescent="0.35">
      <c r="A23" s="5" t="s">
        <v>0</v>
      </c>
      <c r="B23" s="5">
        <f t="shared" ref="B23:J23" si="1">AVERAGE(B5:B20)</f>
        <v>191862.64583333331</v>
      </c>
      <c r="C23" s="5">
        <f t="shared" si="1"/>
        <v>230164.73809523808</v>
      </c>
      <c r="D23" s="5">
        <f t="shared" si="1"/>
        <v>210215.04166666666</v>
      </c>
      <c r="E23" s="5">
        <f t="shared" si="1"/>
        <v>462161.45833333337</v>
      </c>
      <c r="F23" s="5">
        <f t="shared" si="1"/>
        <v>1480722.083333333</v>
      </c>
      <c r="G23" s="5">
        <f t="shared" si="1"/>
        <v>2443923.7142857141</v>
      </c>
      <c r="H23" s="5">
        <f t="shared" si="1"/>
        <v>4379449.1428571427</v>
      </c>
      <c r="I23" s="5">
        <f t="shared" si="1"/>
        <v>257172.33333333334</v>
      </c>
      <c r="J23" s="5">
        <f t="shared" si="1"/>
        <v>285087.28571428574</v>
      </c>
      <c r="K23" s="5"/>
      <c r="L23" s="5">
        <f>AVERAGE(L5:L20)</f>
        <v>233024.70833333334</v>
      </c>
      <c r="M23" s="5"/>
      <c r="N23" s="5" t="s">
        <v>0</v>
      </c>
      <c r="O23" s="5">
        <f>AVERAGE(O5:O20)</f>
        <v>2022075.1222222219</v>
      </c>
      <c r="P23" s="5">
        <f>AVERAGE(P5:P20)</f>
        <v>3078536.4761904762</v>
      </c>
      <c r="Q23" s="5">
        <f>AVERAGE(Q5:Q20)</f>
        <v>114821.14285714286</v>
      </c>
      <c r="R23" s="5">
        <f>AVERAGE(R5:R20)</f>
        <v>186444.11904761908</v>
      </c>
      <c r="S23" s="5">
        <f>AVERAGE(S5:S20)</f>
        <v>171782.79166666666</v>
      </c>
      <c r="T23" s="5">
        <f t="shared" ref="T23:V23" si="2">AVERAGE(T5:T20)</f>
        <v>153337.88095238092</v>
      </c>
      <c r="U23" s="5">
        <f t="shared" si="2"/>
        <v>215373.00000000003</v>
      </c>
      <c r="V23" s="5">
        <f t="shared" si="2"/>
        <v>294157.26190476195</v>
      </c>
    </row>
    <row r="24" spans="1:22" x14ac:dyDescent="0.35">
      <c r="A24" s="3" t="s">
        <v>1</v>
      </c>
      <c r="B24" s="3">
        <f t="shared" ref="B24:J24" si="3">STDEV(B5:B20)</f>
        <v>105055.65152270782</v>
      </c>
      <c r="C24" s="3">
        <f t="shared" si="3"/>
        <v>143746.52669774444</v>
      </c>
      <c r="D24" s="3">
        <f t="shared" si="3"/>
        <v>194897.76980289145</v>
      </c>
      <c r="E24" s="3">
        <f t="shared" si="3"/>
        <v>539161.6187535224</v>
      </c>
      <c r="F24" s="3">
        <f t="shared" si="3"/>
        <v>963079.36057717411</v>
      </c>
      <c r="G24" s="3">
        <f t="shared" si="3"/>
        <v>594186.60545514862</v>
      </c>
      <c r="H24" s="3">
        <f t="shared" si="3"/>
        <v>814210.55687384238</v>
      </c>
      <c r="I24" s="3">
        <f t="shared" si="3"/>
        <v>185623.0203575695</v>
      </c>
      <c r="J24" s="3">
        <f t="shared" si="3"/>
        <v>161356.76760777872</v>
      </c>
      <c r="K24" s="3"/>
      <c r="L24" s="3">
        <f>STDEV(L5:L20)</f>
        <v>175693.99392381849</v>
      </c>
      <c r="M24" s="3"/>
      <c r="N24" s="3" t="s">
        <v>1</v>
      </c>
      <c r="O24" s="3">
        <f>STDEV(O5:O20)</f>
        <v>1069337.9502975841</v>
      </c>
      <c r="P24" s="3">
        <f>STDEV(P5:P20)</f>
        <v>1017082.9962310306</v>
      </c>
      <c r="Q24" s="3">
        <f>STDEV(Q5:Q20)</f>
        <v>103841.815959528</v>
      </c>
      <c r="R24" s="3">
        <f>STDEV(R5:R20)</f>
        <v>126262.94876436739</v>
      </c>
      <c r="S24" s="3">
        <f>STDEV(S5:S20)</f>
        <v>168252.07722031369</v>
      </c>
      <c r="T24" s="3">
        <f t="shared" ref="T24:V24" si="4">STDEV(T5:T20)</f>
        <v>236082.94796965676</v>
      </c>
      <c r="U24" s="3">
        <f t="shared" si="4"/>
        <v>168959.41569742362</v>
      </c>
      <c r="V24" s="3">
        <f t="shared" si="4"/>
        <v>137862.40886806702</v>
      </c>
    </row>
    <row r="25" spans="1:22" ht="15" thickBot="1" x14ac:dyDescent="0.4"/>
    <row r="26" spans="1:22" ht="15" thickBot="1" x14ac:dyDescent="0.4">
      <c r="B26" s="224" t="s">
        <v>6</v>
      </c>
      <c r="C26" s="225"/>
      <c r="D26" s="225"/>
      <c r="E26" s="225"/>
      <c r="F26" s="225"/>
      <c r="G26" s="225"/>
      <c r="H26" s="225"/>
      <c r="I26" s="225"/>
      <c r="J26" s="225"/>
      <c r="K26" s="225"/>
      <c r="L26" s="225"/>
      <c r="M26" s="225"/>
      <c r="O26" s="224" t="s">
        <v>3</v>
      </c>
      <c r="P26" s="225"/>
      <c r="Q26" s="225"/>
      <c r="R26" s="225"/>
      <c r="S26" s="225"/>
      <c r="T26" s="225"/>
      <c r="U26" s="225"/>
      <c r="V26" s="225"/>
    </row>
    <row r="27" spans="1:22" x14ac:dyDescent="0.35">
      <c r="A27" s="34" t="s">
        <v>41</v>
      </c>
      <c r="B27" s="35" t="str">
        <f>B4</f>
        <v>Témoin solvant</v>
      </c>
      <c r="C27" s="35" t="str">
        <f t="shared" ref="C27:M27" si="5">C4</f>
        <v>EE2-33,8ng/L</v>
      </c>
      <c r="D27" s="35" t="str">
        <f t="shared" si="5"/>
        <v>EE2-50,6ng/L</v>
      </c>
      <c r="E27" s="35" t="str">
        <f t="shared" si="5"/>
        <v>EE2-76ng/L</v>
      </c>
      <c r="F27" s="35" t="str">
        <f t="shared" si="5"/>
        <v>EE2-114ng/L</v>
      </c>
      <c r="G27" s="35" t="str">
        <f t="shared" si="5"/>
        <v>EE2-170,9ng/L</v>
      </c>
      <c r="H27" s="35" t="str">
        <f t="shared" si="5"/>
        <v>EE2-488ng/L</v>
      </c>
      <c r="I27" s="35" t="str">
        <f t="shared" si="5"/>
        <v>FAD-5.4µg/L</v>
      </c>
      <c r="J27" s="35" t="str">
        <f t="shared" si="5"/>
        <v>FAD-11µg/L</v>
      </c>
      <c r="K27" s="35" t="str">
        <f t="shared" si="5"/>
        <v>FAD-22µg/L</v>
      </c>
      <c r="L27" s="35" t="str">
        <f t="shared" si="5"/>
        <v>FAD-44µg/L</v>
      </c>
      <c r="M27" s="35" t="str">
        <f t="shared" si="5"/>
        <v>FAD-87µg/L</v>
      </c>
      <c r="N27" s="3"/>
      <c r="O27" s="36" t="str">
        <f>O4</f>
        <v>Testo -30µg/L</v>
      </c>
      <c r="P27" s="36" t="str">
        <f t="shared" ref="P27:R27" si="6">P4</f>
        <v>Testo 30µg/L + EE2 -64ng/L</v>
      </c>
      <c r="Q27" s="36" t="str">
        <f t="shared" si="6"/>
        <v>Testo 30µg/L + FAD-10mg/L</v>
      </c>
      <c r="R27" s="36" t="str">
        <f t="shared" si="6"/>
        <v>FAD-5,4µg/L + Testostérone</v>
      </c>
      <c r="S27" s="36" t="str">
        <f t="shared" ref="S27:V27" si="7">S4</f>
        <v>FAD-11µg/L + Testostérone</v>
      </c>
      <c r="T27" s="36" t="str">
        <f t="shared" si="7"/>
        <v>FAD-22µg/L + Testostérone</v>
      </c>
      <c r="U27" s="36" t="str">
        <f t="shared" si="7"/>
        <v>FAD-44µg/L + Testostérone</v>
      </c>
      <c r="V27" s="36" t="str">
        <f t="shared" si="7"/>
        <v>FAD-87µg/L + Testostérone</v>
      </c>
    </row>
    <row r="28" spans="1:22" x14ac:dyDescent="0.35">
      <c r="A28" s="227" t="s">
        <v>34</v>
      </c>
      <c r="B28" s="11">
        <f t="shared" ref="B28:M28" si="8">IF(B5="","",(B5/$O$23))</f>
        <v>9.9955237952721196E-2</v>
      </c>
      <c r="C28" s="11">
        <f t="shared" si="8"/>
        <v>0.23045360425970771</v>
      </c>
      <c r="D28" s="11">
        <f t="shared" si="8"/>
        <v>1.7007281095573763E-3</v>
      </c>
      <c r="E28" s="11">
        <f t="shared" si="8"/>
        <v>0.2545820352283758</v>
      </c>
      <c r="F28" s="11">
        <f t="shared" si="8"/>
        <v>1.0635622005493026</v>
      </c>
      <c r="G28" s="11" t="str">
        <f t="shared" si="8"/>
        <v/>
      </c>
      <c r="H28" s="11">
        <f t="shared" si="8"/>
        <v>1.700482981836245</v>
      </c>
      <c r="I28" s="11">
        <f t="shared" si="8"/>
        <v>0.26930107295002631</v>
      </c>
      <c r="J28" s="11" t="str">
        <f t="shared" si="8"/>
        <v/>
      </c>
      <c r="K28" s="11" t="str">
        <f t="shared" si="8"/>
        <v/>
      </c>
      <c r="L28" s="11">
        <f t="shared" si="8"/>
        <v>5.3519937090368903E-2</v>
      </c>
      <c r="M28" s="11">
        <f t="shared" si="8"/>
        <v>2.42795133872403E-3</v>
      </c>
      <c r="N28" s="6"/>
      <c r="O28" s="11">
        <f t="shared" ref="O28:S37" si="9">IF(O5="","",(O5/$O$23))</f>
        <v>0.25939936367129479</v>
      </c>
      <c r="P28" s="11">
        <f t="shared" si="9"/>
        <v>1.6033660822173763</v>
      </c>
      <c r="Q28" s="11">
        <f t="shared" si="9"/>
        <v>7.8086449376391738E-3</v>
      </c>
      <c r="R28" s="11" t="str">
        <f t="shared" si="9"/>
        <v/>
      </c>
      <c r="S28" s="11">
        <f t="shared" si="9"/>
        <v>3.1055555739024341E-3</v>
      </c>
      <c r="T28" s="11">
        <f t="shared" ref="T28:V28" si="10">IF(T5="","",(T5/$O$23))</f>
        <v>0.33527241028263594</v>
      </c>
      <c r="U28" s="11">
        <f t="shared" si="10"/>
        <v>9.4728099479719871E-2</v>
      </c>
      <c r="V28" s="11">
        <f t="shared" si="10"/>
        <v>1.0076447264205115E-2</v>
      </c>
    </row>
    <row r="29" spans="1:22" x14ac:dyDescent="0.35">
      <c r="A29" s="227"/>
      <c r="B29" s="11">
        <f t="shared" ref="B29:M29" si="11">IF(B6="","",(B6/$O$23))</f>
        <v>1.2616989210550324E-2</v>
      </c>
      <c r="C29" s="11">
        <f t="shared" si="11"/>
        <v>0.11355809558037028</v>
      </c>
      <c r="D29" s="11">
        <f t="shared" si="11"/>
        <v>1.8264900049515143E-2</v>
      </c>
      <c r="E29" s="11">
        <f t="shared" si="11"/>
        <v>0.10035120082169055</v>
      </c>
      <c r="F29" s="11">
        <f t="shared" si="11"/>
        <v>0.20925599087946845</v>
      </c>
      <c r="G29" s="11">
        <f t="shared" si="11"/>
        <v>1.0532681550390364</v>
      </c>
      <c r="H29" s="11">
        <f t="shared" si="11"/>
        <v>1.7273321326928834</v>
      </c>
      <c r="I29" s="11">
        <f t="shared" si="11"/>
        <v>5.7264605088498729E-3</v>
      </c>
      <c r="J29" s="11">
        <f t="shared" si="11"/>
        <v>0.13898461547980406</v>
      </c>
      <c r="K29" s="11">
        <f t="shared" si="11"/>
        <v>3.240450001744908E-2</v>
      </c>
      <c r="L29" s="11">
        <f t="shared" si="11"/>
        <v>1.9618130353998668E-2</v>
      </c>
      <c r="M29" s="11">
        <f t="shared" si="11"/>
        <v>0.15295112593382551</v>
      </c>
      <c r="N29" s="6"/>
      <c r="O29" s="11">
        <f t="shared" si="9"/>
        <v>1.63168781271952</v>
      </c>
      <c r="P29" s="11">
        <f t="shared" si="9"/>
        <v>1.5661337035390175</v>
      </c>
      <c r="Q29" s="11">
        <f t="shared" si="9"/>
        <v>4.5779044333889768E-2</v>
      </c>
      <c r="R29" s="11">
        <f t="shared" si="9"/>
        <v>9.9919630967002057E-2</v>
      </c>
      <c r="S29" s="11">
        <f t="shared" si="9"/>
        <v>0.26843809808780544</v>
      </c>
      <c r="T29" s="11">
        <f t="shared" ref="T29:V29" si="12">IF(T6="","",(T6/$O$23))</f>
        <v>0</v>
      </c>
      <c r="U29" s="11">
        <f t="shared" si="12"/>
        <v>0.23661138735251191</v>
      </c>
      <c r="V29" s="11">
        <f t="shared" si="12"/>
        <v>0.11020279656496554</v>
      </c>
    </row>
    <row r="30" spans="1:22" x14ac:dyDescent="0.35">
      <c r="A30" s="227"/>
      <c r="B30" s="11">
        <f t="shared" ref="B30:M30" si="13">IF(B7="","",(B7/$O$23))</f>
        <v>0.16094522392208521</v>
      </c>
      <c r="C30" s="11">
        <f t="shared" si="13"/>
        <v>2.2549112789583638E-2</v>
      </c>
      <c r="D30" s="11">
        <f t="shared" si="13"/>
        <v>3.7314307714944171E-2</v>
      </c>
      <c r="E30" s="11">
        <f t="shared" si="13"/>
        <v>0.12788479707048581</v>
      </c>
      <c r="F30" s="11">
        <f t="shared" si="13"/>
        <v>0.71537863130604329</v>
      </c>
      <c r="G30" s="11">
        <f t="shared" si="13"/>
        <v>1.2875797597166974</v>
      </c>
      <c r="H30" s="11" t="str">
        <f t="shared" si="13"/>
        <v/>
      </c>
      <c r="I30" s="11">
        <f t="shared" si="13"/>
        <v>0.11564407149375004</v>
      </c>
      <c r="J30" s="11">
        <f t="shared" si="13"/>
        <v>0.26020167478006828</v>
      </c>
      <c r="K30" s="11">
        <f t="shared" si="13"/>
        <v>9.9377448670565666E-2</v>
      </c>
      <c r="L30" s="11">
        <f t="shared" si="13"/>
        <v>0.2417173631657745</v>
      </c>
      <c r="M30" s="11">
        <f t="shared" si="13"/>
        <v>0.14756688812105404</v>
      </c>
      <c r="N30" s="6"/>
      <c r="O30" s="11">
        <f t="shared" si="9"/>
        <v>1.4222714255571591</v>
      </c>
      <c r="P30" s="11">
        <f t="shared" si="9"/>
        <v>1.4962152659005785</v>
      </c>
      <c r="Q30" s="11">
        <f t="shared" si="9"/>
        <v>7.2048757436811578E-2</v>
      </c>
      <c r="R30" s="11">
        <f t="shared" si="9"/>
        <v>0.15530811057184543</v>
      </c>
      <c r="S30" s="11">
        <f t="shared" si="9"/>
        <v>1.4490724410442144E-2</v>
      </c>
      <c r="T30" s="11">
        <f t="shared" ref="T30:V30" si="14">IF(T7="","",(T7/$O$23))</f>
        <v>1.5774224367892345E-2</v>
      </c>
      <c r="U30" s="11">
        <f t="shared" si="14"/>
        <v>1.630915338946002E-2</v>
      </c>
      <c r="V30" s="11">
        <f t="shared" si="14"/>
        <v>0.1425251202750952</v>
      </c>
    </row>
    <row r="31" spans="1:22" x14ac:dyDescent="0.35">
      <c r="A31" s="227"/>
      <c r="B31" s="11">
        <f t="shared" ref="B31:M31" si="15">IF(B8="","",(B8/$O$23))</f>
        <v>0.12237774812641455</v>
      </c>
      <c r="C31" s="11">
        <f t="shared" si="15"/>
        <v>0.17211279451256351</v>
      </c>
      <c r="D31" s="11">
        <f t="shared" si="15"/>
        <v>0.19485428393332416</v>
      </c>
      <c r="E31" s="11">
        <f t="shared" si="15"/>
        <v>0.10054357745286759</v>
      </c>
      <c r="F31" s="11">
        <f t="shared" si="15"/>
        <v>1.5980888302089185</v>
      </c>
      <c r="G31" s="11">
        <f t="shared" si="15"/>
        <v>0.82885842448726266</v>
      </c>
      <c r="H31" s="11">
        <f t="shared" si="15"/>
        <v>2.6184642079541161</v>
      </c>
      <c r="I31" s="11">
        <f t="shared" si="15"/>
        <v>3.867990155613573E-2</v>
      </c>
      <c r="J31" s="11">
        <f t="shared" si="15"/>
        <v>5.6194417351051164E-2</v>
      </c>
      <c r="K31" s="11">
        <f t="shared" si="15"/>
        <v>0.1151233193276076</v>
      </c>
      <c r="L31" s="11">
        <f t="shared" si="15"/>
        <v>1.657670032382191E-2</v>
      </c>
      <c r="M31" s="11">
        <f t="shared" si="15"/>
        <v>0.13783645503751785</v>
      </c>
      <c r="N31" s="6"/>
      <c r="O31" s="11">
        <f t="shared" si="9"/>
        <v>0.57389476809249884</v>
      </c>
      <c r="P31" s="11">
        <f t="shared" si="9"/>
        <v>1.3743101345707232</v>
      </c>
      <c r="Q31" s="11">
        <f t="shared" si="9"/>
        <v>2.929515295895618E-2</v>
      </c>
      <c r="R31" s="11">
        <f t="shared" si="9"/>
        <v>5.420174492802804E-4</v>
      </c>
      <c r="S31" s="11">
        <f t="shared" si="9"/>
        <v>7.3790697335395741E-2</v>
      </c>
      <c r="T31" s="11">
        <f t="shared" ref="T31:V31" si="16">IF(T8="","",(T8/$O$23))</f>
        <v>6.5614608086793744E-2</v>
      </c>
      <c r="U31" s="11" t="str">
        <f t="shared" si="16"/>
        <v/>
      </c>
      <c r="V31" s="11">
        <f t="shared" si="16"/>
        <v>0.17939376370350371</v>
      </c>
    </row>
    <row r="32" spans="1:22" x14ac:dyDescent="0.35">
      <c r="A32" s="227"/>
      <c r="B32" s="11">
        <f t="shared" ref="B32:M32" si="17">IF(B9="","",(B9/$O$23))</f>
        <v>0.10500417664997073</v>
      </c>
      <c r="C32" s="11" t="str">
        <f t="shared" si="17"/>
        <v/>
      </c>
      <c r="D32" s="11">
        <f t="shared" si="17"/>
        <v>7.2207505248142762E-2</v>
      </c>
      <c r="E32" s="11">
        <f t="shared" si="17"/>
        <v>8.5336097607671593E-2</v>
      </c>
      <c r="F32" s="11">
        <f t="shared" si="17"/>
        <v>0.64495757468863368</v>
      </c>
      <c r="G32" s="11">
        <f t="shared" si="17"/>
        <v>1.2895340227523475</v>
      </c>
      <c r="H32" s="11">
        <f t="shared" si="17"/>
        <v>1.8205663872439604</v>
      </c>
      <c r="I32" s="11" t="str">
        <f t="shared" si="17"/>
        <v/>
      </c>
      <c r="J32" s="11">
        <f t="shared" si="17"/>
        <v>0.16626517134397489</v>
      </c>
      <c r="K32" s="11">
        <f t="shared" si="17"/>
        <v>3.8049031489713697E-2</v>
      </c>
      <c r="L32" s="11">
        <f t="shared" si="17"/>
        <v>0.20989411422075921</v>
      </c>
      <c r="M32" s="11">
        <f t="shared" si="17"/>
        <v>7.2485602400495508E-2</v>
      </c>
      <c r="N32" s="6"/>
      <c r="O32" s="11">
        <f t="shared" si="9"/>
        <v>1.1289951470700665</v>
      </c>
      <c r="P32" s="11">
        <f t="shared" si="9"/>
        <v>1.6836281843600702</v>
      </c>
      <c r="Q32" s="11">
        <f t="shared" si="9"/>
        <v>3.5545662577070654E-2</v>
      </c>
      <c r="R32" s="11">
        <f t="shared" si="9"/>
        <v>6.3289933491370839E-2</v>
      </c>
      <c r="S32" s="11">
        <f t="shared" si="9"/>
        <v>6.3960202028102486E-2</v>
      </c>
      <c r="T32" s="11">
        <f t="shared" ref="T32:V32" si="18">IF(T9="","",(T9/$O$23))</f>
        <v>4.6055410591103386E-2</v>
      </c>
      <c r="U32" s="11">
        <f t="shared" si="18"/>
        <v>7.847944499655117E-2</v>
      </c>
      <c r="V32" s="11" t="str">
        <f t="shared" si="18"/>
        <v/>
      </c>
    </row>
    <row r="33" spans="1:22" x14ac:dyDescent="0.35">
      <c r="A33" s="227"/>
      <c r="B33" s="11">
        <f t="shared" ref="B33:M33" si="19">IF(B10="","",(B10/$O$23))</f>
        <v>2.5055778645348824E-2</v>
      </c>
      <c r="C33" s="11">
        <f t="shared" si="19"/>
        <v>7.1979191936934375E-2</v>
      </c>
      <c r="D33" s="11">
        <f t="shared" si="19"/>
        <v>5.4015632488783084E-2</v>
      </c>
      <c r="E33" s="11">
        <f t="shared" si="19"/>
        <v>0.86843690789133843</v>
      </c>
      <c r="F33" s="11">
        <f t="shared" si="19"/>
        <v>0.94234514124903856</v>
      </c>
      <c r="G33" s="11">
        <f t="shared" si="19"/>
        <v>0.97094513375069091</v>
      </c>
      <c r="H33" s="11">
        <f t="shared" si="19"/>
        <v>2.56501911147262</v>
      </c>
      <c r="I33" s="11">
        <f t="shared" si="19"/>
        <v>0.21201223532957986</v>
      </c>
      <c r="J33" s="11">
        <f t="shared" si="19"/>
        <v>7.9224718989311549E-2</v>
      </c>
      <c r="K33" s="11">
        <f t="shared" si="19"/>
        <v>0.16448960262554485</v>
      </c>
      <c r="L33" s="11">
        <f t="shared" si="19"/>
        <v>0.18277758127691501</v>
      </c>
      <c r="M33" s="11">
        <f t="shared" si="19"/>
        <v>1.7059207949747513E-3</v>
      </c>
      <c r="N33" s="6"/>
      <c r="O33" s="11">
        <f t="shared" si="9"/>
        <v>1.6754900099573727E-2</v>
      </c>
      <c r="P33" s="11">
        <f t="shared" si="9"/>
        <v>2.3196540104365071</v>
      </c>
      <c r="Q33" s="11">
        <f t="shared" si="9"/>
        <v>4.2274064100739729E-2</v>
      </c>
      <c r="R33" s="11">
        <f t="shared" si="9"/>
        <v>0.1861951100937502</v>
      </c>
      <c r="S33" s="11">
        <f t="shared" si="9"/>
        <v>4.9451674124800768E-2</v>
      </c>
      <c r="T33" s="11" t="str">
        <f t="shared" ref="T33:V33" si="20">IF(T10="","",(T10/$O$23))</f>
        <v/>
      </c>
      <c r="U33" s="11">
        <f t="shared" si="20"/>
        <v>8.2551334599553661E-2</v>
      </c>
      <c r="V33" s="11">
        <f t="shared" si="20"/>
        <v>0.20113347695660128</v>
      </c>
    </row>
    <row r="34" spans="1:22" x14ac:dyDescent="0.35">
      <c r="A34" s="227"/>
      <c r="B34" s="11">
        <f t="shared" ref="B34:M34" si="21">IF(B11="","",(B11/$O$23))</f>
        <v>9.3501471791126625E-2</v>
      </c>
      <c r="C34" s="11">
        <f t="shared" si="21"/>
        <v>5.8586844127634104E-2</v>
      </c>
      <c r="D34" s="11">
        <f t="shared" si="21"/>
        <v>0.24802144810962379</v>
      </c>
      <c r="E34" s="11">
        <f t="shared" si="21"/>
        <v>7.3787070697961379E-2</v>
      </c>
      <c r="F34" s="11">
        <f t="shared" si="21"/>
        <v>0.12004384209024964</v>
      </c>
      <c r="G34" s="11">
        <f t="shared" si="21"/>
        <v>1.2998813138940366</v>
      </c>
      <c r="H34" s="11">
        <f t="shared" si="21"/>
        <v>2.3356067642744631</v>
      </c>
      <c r="I34" s="11">
        <f t="shared" si="21"/>
        <v>0.13921276394385637</v>
      </c>
      <c r="J34" s="11">
        <f t="shared" si="21"/>
        <v>6.4477327556810585E-2</v>
      </c>
      <c r="K34" s="11">
        <f t="shared" si="21"/>
        <v>0.11582952454437058</v>
      </c>
      <c r="L34" s="11">
        <f t="shared" si="21"/>
        <v>0.10628058817970833</v>
      </c>
      <c r="M34" s="11">
        <f t="shared" si="21"/>
        <v>2.7434028566506553E-2</v>
      </c>
      <c r="N34" s="6"/>
      <c r="O34" s="11">
        <f t="shared" si="9"/>
        <v>1.74643330236533</v>
      </c>
      <c r="P34" s="11" t="str">
        <f t="shared" si="9"/>
        <v/>
      </c>
      <c r="Q34" s="11">
        <f t="shared" si="9"/>
        <v>0.16473538973530061</v>
      </c>
      <c r="R34" s="11">
        <f t="shared" si="9"/>
        <v>8.2376761461236195E-2</v>
      </c>
      <c r="S34" s="11">
        <f t="shared" si="9"/>
        <v>8.5271972063945919E-2</v>
      </c>
      <c r="T34" s="11">
        <f t="shared" ref="T34:V34" si="22">IF(T11="","",(T11/$O$23))</f>
        <v>5.1922732994846815E-2</v>
      </c>
      <c r="U34" s="11">
        <f t="shared" si="22"/>
        <v>0.20518047463903158</v>
      </c>
      <c r="V34" s="11">
        <f t="shared" si="22"/>
        <v>0.17127850305550527</v>
      </c>
    </row>
    <row r="35" spans="1:22" x14ac:dyDescent="0.35">
      <c r="A35" s="227"/>
      <c r="B35" s="11">
        <f t="shared" ref="B35:M35" si="23">IF(B12="","",(B12/$O$23))</f>
        <v>0.1396156503933822</v>
      </c>
      <c r="C35" s="11">
        <f t="shared" si="23"/>
        <v>0.12754240952725129</v>
      </c>
      <c r="D35" s="11">
        <f t="shared" si="23"/>
        <v>0.20530163729877035</v>
      </c>
      <c r="E35" s="11">
        <f t="shared" si="23"/>
        <v>0.21754236287550613</v>
      </c>
      <c r="F35" s="11">
        <f t="shared" si="23"/>
        <v>0.564595575169339</v>
      </c>
      <c r="G35" s="11">
        <f t="shared" si="23"/>
        <v>1.7302845452587623</v>
      </c>
      <c r="H35" s="11">
        <f t="shared" si="23"/>
        <v>2.3932628813587162</v>
      </c>
      <c r="I35" s="11">
        <f t="shared" si="23"/>
        <v>0.10970017758599486</v>
      </c>
      <c r="J35" s="11">
        <f t="shared" si="23"/>
        <v>0.22156446863736426</v>
      </c>
      <c r="K35" s="11">
        <f t="shared" si="23"/>
        <v>0.11291618075448907</v>
      </c>
      <c r="L35" s="11">
        <f t="shared" si="23"/>
        <v>9.1538636703358892E-2</v>
      </c>
      <c r="M35" s="11">
        <f t="shared" si="23"/>
        <v>9.7298890879210717E-2</v>
      </c>
      <c r="N35" s="6"/>
      <c r="O35" s="11">
        <f t="shared" si="9"/>
        <v>1.1426301498931564</v>
      </c>
      <c r="P35" s="11">
        <f t="shared" si="9"/>
        <v>0.61394026348982611</v>
      </c>
      <c r="Q35" s="11" t="str">
        <f t="shared" si="9"/>
        <v/>
      </c>
      <c r="R35" s="11">
        <f t="shared" si="9"/>
        <v>5.7798874721441976E-2</v>
      </c>
      <c r="S35" s="11">
        <f t="shared" si="9"/>
        <v>0.12112078856109761</v>
      </c>
      <c r="T35" s="11">
        <f t="shared" ref="T35:V35" si="24">IF(T12="","",(T12/$O$23))</f>
        <v>1.6184199245130808E-2</v>
      </c>
      <c r="U35" s="11">
        <f t="shared" si="24"/>
        <v>3.1716263140701757E-2</v>
      </c>
      <c r="V35" s="11">
        <f t="shared" si="24"/>
        <v>0.20370064171865779</v>
      </c>
    </row>
    <row r="36" spans="1:22" x14ac:dyDescent="0.35">
      <c r="A36" s="227"/>
      <c r="B36" s="11" t="str">
        <f t="shared" ref="B36:M36" si="25">IF(B13="","",(B13/$O$23))</f>
        <v/>
      </c>
      <c r="C36" s="11" t="str">
        <f t="shared" si="25"/>
        <v/>
      </c>
      <c r="D36" s="11" t="str">
        <f t="shared" si="25"/>
        <v/>
      </c>
      <c r="E36" s="11" t="str">
        <f t="shared" si="25"/>
        <v/>
      </c>
      <c r="F36" s="11" t="str">
        <f t="shared" si="25"/>
        <v/>
      </c>
      <c r="G36" s="11" t="str">
        <f t="shared" si="25"/>
        <v/>
      </c>
      <c r="H36" s="11" t="str">
        <f t="shared" si="25"/>
        <v/>
      </c>
      <c r="I36" s="11" t="str">
        <f t="shared" si="25"/>
        <v/>
      </c>
      <c r="J36" s="11" t="str">
        <f t="shared" si="25"/>
        <v/>
      </c>
      <c r="K36" s="11" t="str">
        <f t="shared" si="25"/>
        <v/>
      </c>
      <c r="L36" s="11" t="str">
        <f t="shared" si="25"/>
        <v/>
      </c>
      <c r="M36" s="11" t="str">
        <f t="shared" si="25"/>
        <v/>
      </c>
      <c r="N36" s="6"/>
      <c r="O36" s="11">
        <f t="shared" si="9"/>
        <v>0.87751504077815867</v>
      </c>
      <c r="P36" s="11" t="str">
        <f t="shared" si="9"/>
        <v/>
      </c>
      <c r="Q36" s="11" t="str">
        <f t="shared" si="9"/>
        <v/>
      </c>
      <c r="R36" s="11" t="str">
        <f t="shared" si="9"/>
        <v/>
      </c>
      <c r="S36" s="11" t="str">
        <f t="shared" si="9"/>
        <v/>
      </c>
      <c r="T36" s="11" t="str">
        <f t="shared" ref="T36:V36" si="26">IF(T13="","",(T13/$O$23))</f>
        <v/>
      </c>
      <c r="U36" s="11" t="str">
        <f t="shared" si="26"/>
        <v/>
      </c>
      <c r="V36" s="11" t="str">
        <f t="shared" si="26"/>
        <v/>
      </c>
    </row>
    <row r="37" spans="1:22" x14ac:dyDescent="0.35">
      <c r="A37" s="227"/>
      <c r="B37" s="11" t="str">
        <f t="shared" ref="B37:M37" si="27">IF(B14="","",(B14/$O$23))</f>
        <v/>
      </c>
      <c r="C37" s="11" t="str">
        <f t="shared" si="27"/>
        <v/>
      </c>
      <c r="D37" s="11" t="str">
        <f t="shared" si="27"/>
        <v/>
      </c>
      <c r="E37" s="11" t="str">
        <f t="shared" si="27"/>
        <v/>
      </c>
      <c r="F37" s="11" t="str">
        <f t="shared" si="27"/>
        <v/>
      </c>
      <c r="G37" s="11" t="str">
        <f t="shared" si="27"/>
        <v/>
      </c>
      <c r="H37" s="11" t="str">
        <f t="shared" si="27"/>
        <v/>
      </c>
      <c r="I37" s="11" t="str">
        <f t="shared" si="27"/>
        <v/>
      </c>
      <c r="J37" s="11" t="str">
        <f t="shared" si="27"/>
        <v/>
      </c>
      <c r="K37" s="11" t="str">
        <f t="shared" si="27"/>
        <v/>
      </c>
      <c r="L37" s="11" t="str">
        <f t="shared" si="27"/>
        <v/>
      </c>
      <c r="M37" s="11" t="str">
        <f t="shared" si="27"/>
        <v/>
      </c>
      <c r="N37" s="6"/>
      <c r="O37" s="11">
        <f t="shared" si="9"/>
        <v>1.63148455617604</v>
      </c>
      <c r="P37" s="11" t="str">
        <f t="shared" si="9"/>
        <v/>
      </c>
      <c r="Q37" s="11" t="str">
        <f t="shared" si="9"/>
        <v/>
      </c>
      <c r="R37" s="11" t="str">
        <f t="shared" si="9"/>
        <v/>
      </c>
      <c r="S37" s="11" t="str">
        <f t="shared" si="9"/>
        <v/>
      </c>
      <c r="T37" s="11" t="str">
        <f t="shared" ref="T37:V37" si="28">IF(T14="","",(T14/$O$23))</f>
        <v/>
      </c>
      <c r="U37" s="11" t="str">
        <f t="shared" si="28"/>
        <v/>
      </c>
      <c r="V37" s="11" t="str">
        <f t="shared" si="28"/>
        <v/>
      </c>
    </row>
    <row r="38" spans="1:22" x14ac:dyDescent="0.35">
      <c r="A38" s="227"/>
      <c r="B38" s="11" t="str">
        <f t="shared" ref="B38:M38" si="29">IF(B15="","",(B15/$O$23))</f>
        <v/>
      </c>
      <c r="C38" s="11" t="str">
        <f t="shared" si="29"/>
        <v/>
      </c>
      <c r="D38" s="11" t="str">
        <f t="shared" si="29"/>
        <v/>
      </c>
      <c r="E38" s="11" t="str">
        <f t="shared" si="29"/>
        <v/>
      </c>
      <c r="F38" s="11" t="str">
        <f t="shared" si="29"/>
        <v/>
      </c>
      <c r="G38" s="11" t="str">
        <f t="shared" si="29"/>
        <v/>
      </c>
      <c r="H38" s="11" t="str">
        <f t="shared" si="29"/>
        <v/>
      </c>
      <c r="I38" s="11" t="str">
        <f t="shared" si="29"/>
        <v/>
      </c>
      <c r="J38" s="11" t="str">
        <f t="shared" si="29"/>
        <v/>
      </c>
      <c r="K38" s="11" t="str">
        <f t="shared" si="29"/>
        <v/>
      </c>
      <c r="L38" s="11" t="str">
        <f t="shared" si="29"/>
        <v/>
      </c>
      <c r="M38" s="11" t="str">
        <f t="shared" si="29"/>
        <v/>
      </c>
      <c r="N38" s="6"/>
      <c r="O38" s="11" t="str">
        <f t="shared" ref="O38:V38" si="30">IF(O15="","",(O15/$O$23))</f>
        <v/>
      </c>
      <c r="P38" s="11" t="str">
        <f t="shared" si="30"/>
        <v/>
      </c>
      <c r="Q38" s="11" t="str">
        <f t="shared" si="30"/>
        <v/>
      </c>
      <c r="R38" s="11" t="str">
        <f t="shared" si="30"/>
        <v/>
      </c>
      <c r="S38" s="11" t="str">
        <f t="shared" si="30"/>
        <v/>
      </c>
      <c r="T38" s="11" t="str">
        <f t="shared" si="30"/>
        <v/>
      </c>
      <c r="U38" s="11" t="str">
        <f t="shared" si="30"/>
        <v/>
      </c>
      <c r="V38" s="11" t="str">
        <f t="shared" si="30"/>
        <v/>
      </c>
    </row>
    <row r="39" spans="1:22" x14ac:dyDescent="0.35">
      <c r="A39" s="227"/>
      <c r="B39" s="11" t="str">
        <f t="shared" ref="B39:M39" si="31">IF(B16="","",(B16/$O$23))</f>
        <v/>
      </c>
      <c r="C39" s="11" t="str">
        <f t="shared" si="31"/>
        <v/>
      </c>
      <c r="D39" s="11" t="str">
        <f t="shared" si="31"/>
        <v/>
      </c>
      <c r="E39" s="11" t="str">
        <f t="shared" si="31"/>
        <v/>
      </c>
      <c r="F39" s="11" t="str">
        <f t="shared" si="31"/>
        <v/>
      </c>
      <c r="G39" s="11" t="str">
        <f t="shared" si="31"/>
        <v/>
      </c>
      <c r="H39" s="11" t="str">
        <f t="shared" si="31"/>
        <v/>
      </c>
      <c r="I39" s="11" t="str">
        <f t="shared" si="31"/>
        <v/>
      </c>
      <c r="J39" s="11" t="str">
        <f t="shared" si="31"/>
        <v/>
      </c>
      <c r="K39" s="11" t="str">
        <f t="shared" si="31"/>
        <v/>
      </c>
      <c r="L39" s="11" t="str">
        <f t="shared" si="31"/>
        <v/>
      </c>
      <c r="M39" s="11" t="str">
        <f t="shared" si="31"/>
        <v/>
      </c>
      <c r="N39" s="6"/>
      <c r="O39" s="11">
        <f t="shared" ref="O39:V39" si="32">IF(O16="","",(O16/$O$23))</f>
        <v>1.0573509245543418</v>
      </c>
      <c r="P39" s="11" t="str">
        <f t="shared" si="32"/>
        <v/>
      </c>
      <c r="Q39" s="11" t="str">
        <f t="shared" si="32"/>
        <v/>
      </c>
      <c r="R39" s="11" t="str">
        <f t="shared" si="32"/>
        <v/>
      </c>
      <c r="S39" s="11" t="str">
        <f t="shared" si="32"/>
        <v/>
      </c>
      <c r="T39" s="11" t="str">
        <f t="shared" si="32"/>
        <v/>
      </c>
      <c r="U39" s="11" t="str">
        <f t="shared" si="32"/>
        <v/>
      </c>
      <c r="V39" s="11" t="str">
        <f t="shared" si="32"/>
        <v/>
      </c>
    </row>
    <row r="40" spans="1:22" x14ac:dyDescent="0.35">
      <c r="A40" s="227"/>
      <c r="B40" s="11" t="str">
        <f t="shared" ref="B40:M40" si="33">IF(B17="","",(B17/$O$23))</f>
        <v/>
      </c>
      <c r="C40" s="11" t="str">
        <f t="shared" si="33"/>
        <v/>
      </c>
      <c r="D40" s="11" t="str">
        <f t="shared" si="33"/>
        <v/>
      </c>
      <c r="E40" s="11" t="str">
        <f t="shared" si="33"/>
        <v/>
      </c>
      <c r="F40" s="11" t="str">
        <f t="shared" si="33"/>
        <v/>
      </c>
      <c r="G40" s="11" t="str">
        <f t="shared" si="33"/>
        <v/>
      </c>
      <c r="H40" s="11" t="str">
        <f t="shared" si="33"/>
        <v/>
      </c>
      <c r="I40" s="11" t="str">
        <f t="shared" si="33"/>
        <v/>
      </c>
      <c r="J40" s="11" t="str">
        <f t="shared" si="33"/>
        <v/>
      </c>
      <c r="K40" s="11" t="str">
        <f t="shared" si="33"/>
        <v/>
      </c>
      <c r="L40" s="11" t="str">
        <f t="shared" si="33"/>
        <v/>
      </c>
      <c r="M40" s="11" t="str">
        <f t="shared" si="33"/>
        <v/>
      </c>
      <c r="N40" s="6"/>
      <c r="O40" s="11">
        <f t="shared" ref="O40:V40" si="34">IF(O17="","",(O17/$O$23))</f>
        <v>1.2188203624328477</v>
      </c>
      <c r="P40" s="11" t="str">
        <f t="shared" si="34"/>
        <v/>
      </c>
      <c r="Q40" s="11" t="str">
        <f t="shared" si="34"/>
        <v/>
      </c>
      <c r="R40" s="11" t="str">
        <f t="shared" si="34"/>
        <v/>
      </c>
      <c r="S40" s="11" t="str">
        <f t="shared" si="34"/>
        <v/>
      </c>
      <c r="T40" s="11" t="str">
        <f t="shared" si="34"/>
        <v/>
      </c>
      <c r="U40" s="11" t="str">
        <f t="shared" si="34"/>
        <v/>
      </c>
      <c r="V40" s="11" t="str">
        <f t="shared" si="34"/>
        <v/>
      </c>
    </row>
    <row r="41" spans="1:22" x14ac:dyDescent="0.35">
      <c r="A41" s="227"/>
      <c r="B41" s="11" t="str">
        <f t="shared" ref="B41:M41" si="35">IF(B18="","",(B18/$O$23))</f>
        <v/>
      </c>
      <c r="C41" s="11" t="str">
        <f t="shared" si="35"/>
        <v/>
      </c>
      <c r="D41" s="11" t="str">
        <f t="shared" si="35"/>
        <v/>
      </c>
      <c r="E41" s="11" t="str">
        <f t="shared" si="35"/>
        <v/>
      </c>
      <c r="F41" s="11" t="str">
        <f t="shared" si="35"/>
        <v/>
      </c>
      <c r="G41" s="11" t="str">
        <f t="shared" si="35"/>
        <v/>
      </c>
      <c r="H41" s="11" t="str">
        <f t="shared" si="35"/>
        <v/>
      </c>
      <c r="I41" s="11" t="str">
        <f t="shared" si="35"/>
        <v/>
      </c>
      <c r="J41" s="11" t="str">
        <f t="shared" si="35"/>
        <v/>
      </c>
      <c r="K41" s="11" t="str">
        <f t="shared" si="35"/>
        <v/>
      </c>
      <c r="L41" s="11" t="str">
        <f t="shared" si="35"/>
        <v/>
      </c>
      <c r="M41" s="11" t="str">
        <f t="shared" si="35"/>
        <v/>
      </c>
      <c r="N41" s="6"/>
      <c r="O41" s="11">
        <f t="shared" ref="O41:V41" si="36">IF(O18="","",(O18/$O$23))</f>
        <v>1.1697216260692722</v>
      </c>
      <c r="P41" s="11" t="str">
        <f t="shared" si="36"/>
        <v/>
      </c>
      <c r="Q41" s="11" t="str">
        <f t="shared" si="36"/>
        <v/>
      </c>
      <c r="R41" s="11" t="str">
        <f t="shared" si="36"/>
        <v/>
      </c>
      <c r="S41" s="11" t="str">
        <f t="shared" si="36"/>
        <v/>
      </c>
      <c r="T41" s="11" t="str">
        <f t="shared" si="36"/>
        <v/>
      </c>
      <c r="U41" s="11" t="str">
        <f t="shared" si="36"/>
        <v/>
      </c>
      <c r="V41" s="11" t="str">
        <f t="shared" si="36"/>
        <v/>
      </c>
    </row>
    <row r="42" spans="1:22" x14ac:dyDescent="0.35">
      <c r="A42" s="227"/>
      <c r="B42" s="11" t="str">
        <f t="shared" ref="B42:M42" si="37">IF(B19="","",(B19/$O$23))</f>
        <v/>
      </c>
      <c r="C42" s="11" t="str">
        <f t="shared" si="37"/>
        <v/>
      </c>
      <c r="D42" s="11" t="str">
        <f t="shared" si="37"/>
        <v/>
      </c>
      <c r="E42" s="11" t="str">
        <f t="shared" si="37"/>
        <v/>
      </c>
      <c r="F42" s="11" t="str">
        <f t="shared" si="37"/>
        <v/>
      </c>
      <c r="G42" s="11" t="str">
        <f t="shared" si="37"/>
        <v/>
      </c>
      <c r="H42" s="11" t="str">
        <f t="shared" si="37"/>
        <v/>
      </c>
      <c r="I42" s="11" t="str">
        <f t="shared" si="37"/>
        <v/>
      </c>
      <c r="J42" s="11" t="str">
        <f t="shared" si="37"/>
        <v/>
      </c>
      <c r="K42" s="11" t="str">
        <f t="shared" si="37"/>
        <v/>
      </c>
      <c r="L42" s="11" t="str">
        <f t="shared" si="37"/>
        <v/>
      </c>
      <c r="M42" s="11" t="str">
        <f t="shared" si="37"/>
        <v/>
      </c>
      <c r="N42" s="6"/>
      <c r="O42" s="11">
        <f t="shared" ref="O42:V42" si="38">IF(O19="","",(O19/$O$23))</f>
        <v>0.27109823664590638</v>
      </c>
      <c r="P42" s="11" t="str">
        <f t="shared" si="38"/>
        <v/>
      </c>
      <c r="Q42" s="11" t="str">
        <f t="shared" si="38"/>
        <v/>
      </c>
      <c r="R42" s="11" t="str">
        <f t="shared" si="38"/>
        <v/>
      </c>
      <c r="S42" s="11" t="str">
        <f t="shared" si="38"/>
        <v/>
      </c>
      <c r="T42" s="11" t="str">
        <f t="shared" si="38"/>
        <v/>
      </c>
      <c r="U42" s="11" t="str">
        <f t="shared" si="38"/>
        <v/>
      </c>
      <c r="V42" s="11" t="str">
        <f t="shared" si="38"/>
        <v/>
      </c>
    </row>
    <row r="43" spans="1:22" x14ac:dyDescent="0.35">
      <c r="A43" s="227"/>
      <c r="B43" s="11" t="str">
        <f t="shared" ref="B43:M43" si="39">IF(B20="","",(B20/$O$23))</f>
        <v/>
      </c>
      <c r="C43" s="11" t="str">
        <f t="shared" si="39"/>
        <v/>
      </c>
      <c r="D43" s="11" t="str">
        <f t="shared" si="39"/>
        <v/>
      </c>
      <c r="E43" s="11" t="str">
        <f t="shared" si="39"/>
        <v/>
      </c>
      <c r="F43" s="11" t="str">
        <f t="shared" si="39"/>
        <v/>
      </c>
      <c r="G43" s="11" t="str">
        <f t="shared" si="39"/>
        <v/>
      </c>
      <c r="H43" s="11" t="str">
        <f t="shared" si="39"/>
        <v/>
      </c>
      <c r="I43" s="11" t="str">
        <f t="shared" si="39"/>
        <v/>
      </c>
      <c r="J43" s="11" t="str">
        <f t="shared" si="39"/>
        <v/>
      </c>
      <c r="K43" s="11" t="str">
        <f t="shared" si="39"/>
        <v/>
      </c>
      <c r="L43" s="11" t="str">
        <f t="shared" si="39"/>
        <v/>
      </c>
      <c r="M43" s="11" t="str">
        <f t="shared" si="39"/>
        <v/>
      </c>
      <c r="N43" s="6"/>
      <c r="O43" s="11">
        <f t="shared" ref="O43:V43" si="40">IF(O20="","",(O20/$O$23))</f>
        <v>0.8519423838748359</v>
      </c>
      <c r="P43" s="11" t="str">
        <f t="shared" si="40"/>
        <v/>
      </c>
      <c r="Q43" s="11" t="str">
        <f t="shared" si="40"/>
        <v/>
      </c>
      <c r="R43" s="11" t="str">
        <f t="shared" si="40"/>
        <v/>
      </c>
      <c r="S43" s="11" t="str">
        <f t="shared" si="40"/>
        <v/>
      </c>
      <c r="T43" s="11" t="str">
        <f t="shared" si="40"/>
        <v/>
      </c>
      <c r="U43" s="11" t="str">
        <f t="shared" si="40"/>
        <v/>
      </c>
      <c r="V43" s="11" t="str">
        <f t="shared" si="40"/>
        <v/>
      </c>
    </row>
    <row r="44" spans="1:22" x14ac:dyDescent="0.35">
      <c r="A44" s="7"/>
      <c r="B44" s="3"/>
      <c r="C44" s="3"/>
      <c r="D44" s="3"/>
      <c r="E44" s="3"/>
      <c r="F44" s="3"/>
      <c r="G44" s="3"/>
      <c r="H44" s="3"/>
      <c r="I44" s="3"/>
      <c r="J44" s="3"/>
      <c r="K44" s="3"/>
      <c r="L44" s="3"/>
      <c r="M44" s="3"/>
      <c r="N44" s="7"/>
      <c r="O44" s="3"/>
      <c r="P44" s="3"/>
      <c r="Q44" s="3"/>
      <c r="R44" s="3"/>
      <c r="S44" s="3"/>
      <c r="T44" s="3"/>
      <c r="U44" s="3"/>
      <c r="V44" s="3"/>
    </row>
    <row r="45" spans="1:22" x14ac:dyDescent="0.35">
      <c r="A45" s="7" t="str">
        <f>A4</f>
        <v>Noms des groupes</v>
      </c>
      <c r="B45" s="7" t="str">
        <f t="shared" ref="B45:R45" si="41">B4</f>
        <v>Témoin solvant</v>
      </c>
      <c r="C45" s="7" t="str">
        <f t="shared" si="41"/>
        <v>EE2-33,8ng/L</v>
      </c>
      <c r="D45" s="7" t="str">
        <f t="shared" si="41"/>
        <v>EE2-50,6ng/L</v>
      </c>
      <c r="E45" s="7" t="str">
        <f t="shared" si="41"/>
        <v>EE2-76ng/L</v>
      </c>
      <c r="F45" s="7" t="str">
        <f t="shared" si="41"/>
        <v>EE2-114ng/L</v>
      </c>
      <c r="G45" s="7" t="str">
        <f t="shared" si="41"/>
        <v>EE2-170,9ng/L</v>
      </c>
      <c r="H45" s="7" t="str">
        <f t="shared" si="41"/>
        <v>EE2-488ng/L</v>
      </c>
      <c r="I45" s="7" t="str">
        <f t="shared" si="41"/>
        <v>FAD-5.4µg/L</v>
      </c>
      <c r="J45" s="7" t="str">
        <f t="shared" si="41"/>
        <v>FAD-11µg/L</v>
      </c>
      <c r="K45" s="7" t="str">
        <f t="shared" ref="K45:M45" si="42">K4</f>
        <v>FAD-22µg/L</v>
      </c>
      <c r="L45" s="7" t="str">
        <f t="shared" si="42"/>
        <v>FAD-44µg/L</v>
      </c>
      <c r="M45" s="7" t="str">
        <f t="shared" si="42"/>
        <v>FAD-87µg/L</v>
      </c>
      <c r="N45" s="7"/>
      <c r="O45" s="7" t="str">
        <f t="shared" si="41"/>
        <v>Testo -30µg/L</v>
      </c>
      <c r="P45" s="7" t="str">
        <f t="shared" si="41"/>
        <v>Testo 30µg/L + EE2 -64ng/L</v>
      </c>
      <c r="Q45" s="7" t="str">
        <f t="shared" si="41"/>
        <v>Testo 30µg/L + FAD-10mg/L</v>
      </c>
      <c r="R45" s="7" t="str">
        <f t="shared" si="41"/>
        <v>FAD-5,4µg/L + Testostérone</v>
      </c>
      <c r="S45" s="7" t="str">
        <f t="shared" ref="S45:V45" si="43">S4</f>
        <v>FAD-11µg/L + Testostérone</v>
      </c>
      <c r="T45" s="7" t="str">
        <f t="shared" si="43"/>
        <v>FAD-22µg/L + Testostérone</v>
      </c>
      <c r="U45" s="7" t="str">
        <f t="shared" si="43"/>
        <v>FAD-44µg/L + Testostérone</v>
      </c>
      <c r="V45" s="7" t="str">
        <f t="shared" si="43"/>
        <v>FAD-87µg/L + Testostérone</v>
      </c>
    </row>
    <row r="46" spans="1:22" x14ac:dyDescent="0.35">
      <c r="A46" s="8" t="s">
        <v>0</v>
      </c>
      <c r="B46" s="10">
        <f t="shared" ref="B46:H46" si="44">AVERAGE(B28:B43)</f>
        <v>9.4884034586449964E-2</v>
      </c>
      <c r="C46" s="10">
        <f t="shared" si="44"/>
        <v>0.11382600753343498</v>
      </c>
      <c r="D46" s="10">
        <f t="shared" si="44"/>
        <v>0.10396005536908262</v>
      </c>
      <c r="E46" s="10">
        <f t="shared" si="44"/>
        <v>0.22855800620573716</v>
      </c>
      <c r="F46" s="10">
        <f t="shared" si="44"/>
        <v>0.73227847326762419</v>
      </c>
      <c r="G46" s="10">
        <f t="shared" si="44"/>
        <v>1.2086216221284047</v>
      </c>
      <c r="H46" s="10">
        <f t="shared" si="44"/>
        <v>2.1658192095475717</v>
      </c>
      <c r="I46" s="10">
        <f>AVERAGE(I28:I43)</f>
        <v>0.12718238333831328</v>
      </c>
      <c r="J46" s="9">
        <f>AVERAGE(J28:J43)</f>
        <v>0.14098748487691212</v>
      </c>
      <c r="K46" s="9">
        <f t="shared" ref="K46:M46" si="45">AVERAGE(K28:K43)</f>
        <v>9.6884229632820076E-2</v>
      </c>
      <c r="L46" s="9">
        <f t="shared" si="45"/>
        <v>0.11524038141433818</v>
      </c>
      <c r="M46" s="9">
        <f t="shared" si="45"/>
        <v>7.9963357884038619E-2</v>
      </c>
      <c r="N46" s="8" t="s">
        <v>0</v>
      </c>
      <c r="O46" s="10">
        <f t="shared" ref="O46:R46" si="46">AVERAGE(O28:O43)</f>
        <v>1.0000000000000002</v>
      </c>
      <c r="P46" s="10">
        <f t="shared" si="46"/>
        <v>1.5224639492162999</v>
      </c>
      <c r="Q46" s="10">
        <f t="shared" si="46"/>
        <v>5.6783816582915377E-2</v>
      </c>
      <c r="R46" s="10">
        <f t="shared" si="46"/>
        <v>9.2204348393703853E-2</v>
      </c>
      <c r="S46" s="10">
        <f t="shared" ref="S46:V46" si="47">AVERAGE(S28:S43)</f>
        <v>8.4953714023186563E-2</v>
      </c>
      <c r="T46" s="10">
        <f t="shared" si="47"/>
        <v>7.583194079548615E-2</v>
      </c>
      <c r="U46" s="10">
        <f t="shared" si="47"/>
        <v>0.10651087965678999</v>
      </c>
      <c r="V46" s="10">
        <f t="shared" si="47"/>
        <v>0.14547296421979056</v>
      </c>
    </row>
    <row r="47" spans="1:22" x14ac:dyDescent="0.35">
      <c r="A47" s="8" t="s">
        <v>1</v>
      </c>
      <c r="B47" s="8">
        <f t="shared" ref="B47:J47" si="48">STDEV(B28:B43)</f>
        <v>5.1954376159503712E-2</v>
      </c>
      <c r="C47" s="8">
        <f t="shared" si="48"/>
        <v>7.1088618379207269E-2</v>
      </c>
      <c r="D47" s="8">
        <f t="shared" si="48"/>
        <v>9.6385029250892776E-2</v>
      </c>
      <c r="E47" s="8">
        <f t="shared" si="48"/>
        <v>0.26663777860092264</v>
      </c>
      <c r="F47" s="8">
        <f t="shared" si="48"/>
        <v>0.4762826810898933</v>
      </c>
      <c r="G47" s="8">
        <f t="shared" si="48"/>
        <v>0.29384991631871232</v>
      </c>
      <c r="H47" s="8">
        <f t="shared" si="48"/>
        <v>0.40266088431919456</v>
      </c>
      <c r="I47" s="8">
        <f t="shared" si="48"/>
        <v>9.1798281041889959E-2</v>
      </c>
      <c r="J47" s="8">
        <f t="shared" si="48"/>
        <v>7.9797612776349572E-2</v>
      </c>
      <c r="K47" s="8">
        <f t="shared" ref="K47:M47" si="49">STDEV(K28:K43)</f>
        <v>4.6805503094211193E-2</v>
      </c>
      <c r="L47" s="8">
        <f t="shared" si="49"/>
        <v>8.6887965730340536E-2</v>
      </c>
      <c r="M47" s="8">
        <f t="shared" si="49"/>
        <v>6.3806046127840424E-2</v>
      </c>
      <c r="N47" s="8" t="s">
        <v>1</v>
      </c>
      <c r="O47" s="8">
        <f t="shared" ref="O47:R47" si="50">STDEV(O28:O43)</f>
        <v>0.52883196007198829</v>
      </c>
      <c r="P47" s="8">
        <f t="shared" si="50"/>
        <v>0.50298971836084694</v>
      </c>
      <c r="Q47" s="8">
        <f t="shared" si="50"/>
        <v>5.1354084137788053E-2</v>
      </c>
      <c r="R47" s="8">
        <f t="shared" si="50"/>
        <v>6.244226407652298E-2</v>
      </c>
      <c r="S47" s="8">
        <f t="shared" ref="S47:V47" si="51">STDEV(S28:S43)</f>
        <v>8.3207629316663506E-2</v>
      </c>
      <c r="T47" s="8">
        <f t="shared" si="51"/>
        <v>0.11675280773456434</v>
      </c>
      <c r="U47" s="8">
        <f t="shared" si="51"/>
        <v>8.3557437525733719E-2</v>
      </c>
      <c r="V47" s="8">
        <f t="shared" si="51"/>
        <v>6.8178678107942314E-2</v>
      </c>
    </row>
    <row r="48" spans="1:22" x14ac:dyDescent="0.35">
      <c r="A48" s="8" t="s">
        <v>2</v>
      </c>
      <c r="B48" s="8">
        <f t="shared" ref="B48:J48" si="52" xml:space="preserve"> B47/SQRT(COUNT(B28:B43))</f>
        <v>1.8368645847350887E-2</v>
      </c>
      <c r="C48" s="8">
        <f t="shared" si="52"/>
        <v>2.6868972182651139E-2</v>
      </c>
      <c r="D48" s="8">
        <f t="shared" si="52"/>
        <v>3.4077253894085009E-2</v>
      </c>
      <c r="E48" s="8">
        <f t="shared" si="52"/>
        <v>9.4270690684614841E-2</v>
      </c>
      <c r="F48" s="8">
        <f t="shared" si="52"/>
        <v>0.16839135678018669</v>
      </c>
      <c r="G48" s="8">
        <f t="shared" si="52"/>
        <v>0.11106482876520762</v>
      </c>
      <c r="H48" s="8">
        <f t="shared" si="52"/>
        <v>0.15219150894313377</v>
      </c>
      <c r="I48" s="8">
        <f t="shared" si="52"/>
        <v>3.4696488917150874E-2</v>
      </c>
      <c r="J48" s="8">
        <f t="shared" si="52"/>
        <v>3.0160662660407341E-2</v>
      </c>
      <c r="K48" s="8">
        <f t="shared" ref="K48:M48" si="53" xml:space="preserve"> K47/SQRT(COUNT(K28:K43))</f>
        <v>1.7690817310935286E-2</v>
      </c>
      <c r="L48" s="8">
        <f t="shared" si="53"/>
        <v>3.0719534885714071E-2</v>
      </c>
      <c r="M48" s="8">
        <f t="shared" si="53"/>
        <v>2.2558843948848807E-2</v>
      </c>
      <c r="N48" s="8" t="s">
        <v>2</v>
      </c>
      <c r="O48" s="8">
        <f t="shared" ref="O48:R48" si="54" xml:space="preserve"> O47/SQRT(COUNT(O28:O43))</f>
        <v>0.13654382495340242</v>
      </c>
      <c r="P48" s="8">
        <f t="shared" si="54"/>
        <v>0.19011224382931713</v>
      </c>
      <c r="Q48" s="8">
        <f t="shared" si="54"/>
        <v>1.9410019348010576E-2</v>
      </c>
      <c r="R48" s="8">
        <f t="shared" si="54"/>
        <v>2.3600957435186008E-2</v>
      </c>
      <c r="S48" s="8">
        <f t="shared" ref="S48:V48" si="55" xml:space="preserve"> S47/SQRT(COUNT(S28:S43))</f>
        <v>2.9418339468134668E-2</v>
      </c>
      <c r="T48" s="8">
        <f t="shared" si="55"/>
        <v>4.4128413447742237E-2</v>
      </c>
      <c r="U48" s="8">
        <f t="shared" si="55"/>
        <v>3.1581742840415372E-2</v>
      </c>
      <c r="V48" s="8">
        <f t="shared" si="55"/>
        <v>2.5769118141534153E-2</v>
      </c>
    </row>
    <row r="49" spans="1:22" ht="15" thickBot="1" x14ac:dyDescent="0.4">
      <c r="A49" s="8"/>
      <c r="B49" s="8"/>
      <c r="C49" s="8"/>
      <c r="D49" s="8"/>
      <c r="E49" s="8"/>
      <c r="F49" s="8"/>
      <c r="G49" s="8"/>
      <c r="H49" s="8"/>
      <c r="I49" s="8"/>
      <c r="J49" s="8"/>
      <c r="K49" s="8"/>
      <c r="L49" s="8"/>
      <c r="M49" s="8"/>
      <c r="N49" s="8"/>
      <c r="O49" s="8"/>
      <c r="P49" s="8"/>
      <c r="Q49" s="8"/>
      <c r="R49" s="8"/>
      <c r="S49" s="8"/>
      <c r="T49" s="8"/>
      <c r="U49" s="8"/>
      <c r="V49" s="8"/>
    </row>
    <row r="50" spans="1:22" ht="26.5" thickBot="1" x14ac:dyDescent="0.65">
      <c r="A50" s="218" t="s">
        <v>44</v>
      </c>
      <c r="B50" s="219"/>
      <c r="C50" s="219"/>
      <c r="D50" s="219"/>
      <c r="E50" s="219"/>
      <c r="F50" s="219"/>
      <c r="G50" s="219"/>
      <c r="H50" s="219"/>
      <c r="I50" s="219"/>
      <c r="J50" s="219"/>
      <c r="K50" s="219"/>
      <c r="L50" s="219"/>
      <c r="M50" s="219"/>
      <c r="N50" s="219"/>
      <c r="O50" s="219"/>
      <c r="P50" s="219"/>
      <c r="Q50" s="219"/>
      <c r="R50" s="219"/>
      <c r="S50" s="219"/>
      <c r="T50" s="219"/>
      <c r="U50" s="219"/>
      <c r="V50" s="219"/>
    </row>
    <row r="51" spans="1:22" customFormat="1" ht="15" thickBot="1" x14ac:dyDescent="0.4"/>
    <row r="52" spans="1:22" x14ac:dyDescent="0.35">
      <c r="A52" s="45" t="str">
        <f t="shared" ref="A52:H52" si="56">A27</f>
        <v>Noms des groupes</v>
      </c>
      <c r="B52" s="46" t="str">
        <f t="shared" si="56"/>
        <v>Témoin solvant</v>
      </c>
      <c r="C52" s="46" t="str">
        <f t="shared" si="56"/>
        <v>EE2-33,8ng/L</v>
      </c>
      <c r="D52" s="46" t="str">
        <f t="shared" si="56"/>
        <v>EE2-50,6ng/L</v>
      </c>
      <c r="E52" s="46" t="str">
        <f t="shared" si="56"/>
        <v>EE2-76ng/L</v>
      </c>
      <c r="F52" s="46" t="str">
        <f t="shared" si="56"/>
        <v>EE2-114ng/L</v>
      </c>
      <c r="G52" s="46" t="str">
        <f t="shared" si="56"/>
        <v>EE2-170,9ng/L</v>
      </c>
      <c r="H52" s="46" t="str">
        <f t="shared" si="56"/>
        <v>EE2-488ng/L</v>
      </c>
      <c r="I52" s="46" t="str">
        <f>I4</f>
        <v>FAD-5.4µg/L</v>
      </c>
      <c r="J52" s="46" t="str">
        <f>J4</f>
        <v>FAD-11µg/L</v>
      </c>
      <c r="K52" s="46" t="str">
        <f t="shared" ref="K52:M52" si="57">K4</f>
        <v>FAD-22µg/L</v>
      </c>
      <c r="L52" s="46" t="str">
        <f t="shared" si="57"/>
        <v>FAD-44µg/L</v>
      </c>
      <c r="M52" s="46" t="str">
        <f t="shared" si="57"/>
        <v>FAD-87µg/L</v>
      </c>
      <c r="N52" s="47"/>
      <c r="O52" s="46" t="str">
        <f>O27</f>
        <v>Testo -30µg/L</v>
      </c>
      <c r="P52" s="46" t="str">
        <f>P27</f>
        <v>Testo 30µg/L + EE2 -64ng/L</v>
      </c>
      <c r="Q52" s="46" t="str">
        <f>Q27</f>
        <v>Testo 30µg/L + FAD-10mg/L</v>
      </c>
      <c r="R52" s="46" t="str">
        <f>R27</f>
        <v>FAD-5,4µg/L + Testostérone</v>
      </c>
      <c r="S52" s="46" t="str">
        <f t="shared" ref="S52:V52" si="58">S27</f>
        <v>FAD-11µg/L + Testostérone</v>
      </c>
      <c r="T52" s="46" t="str">
        <f t="shared" si="58"/>
        <v>FAD-22µg/L + Testostérone</v>
      </c>
      <c r="U52" s="46" t="str">
        <f t="shared" si="58"/>
        <v>FAD-44µg/L + Testostérone</v>
      </c>
      <c r="V52" s="46" t="str">
        <f t="shared" si="58"/>
        <v>FAD-87µg/L + Testostérone</v>
      </c>
    </row>
    <row r="53" spans="1:22" s="3" customFormat="1" x14ac:dyDescent="0.35">
      <c r="A53" s="61" t="s">
        <v>32</v>
      </c>
      <c r="B53" s="142">
        <f t="shared" ref="B53" si="59">B46</f>
        <v>9.4884034586449964E-2</v>
      </c>
      <c r="C53" s="142">
        <f t="shared" ref="C53:V53" si="60">C46</f>
        <v>0.11382600753343498</v>
      </c>
      <c r="D53" s="142">
        <f t="shared" si="60"/>
        <v>0.10396005536908262</v>
      </c>
      <c r="E53" s="142">
        <f t="shared" si="60"/>
        <v>0.22855800620573716</v>
      </c>
      <c r="F53" s="142">
        <f t="shared" si="60"/>
        <v>0.73227847326762419</v>
      </c>
      <c r="G53" s="142">
        <f t="shared" si="60"/>
        <v>1.2086216221284047</v>
      </c>
      <c r="H53" s="142">
        <f t="shared" si="60"/>
        <v>2.1658192095475717</v>
      </c>
      <c r="I53" s="142">
        <f t="shared" si="60"/>
        <v>0.12718238333831328</v>
      </c>
      <c r="J53" s="142">
        <f t="shared" si="60"/>
        <v>0.14098748487691212</v>
      </c>
      <c r="K53" s="142">
        <f t="shared" si="60"/>
        <v>9.6884229632820076E-2</v>
      </c>
      <c r="L53" s="142">
        <f t="shared" si="60"/>
        <v>0.11524038141433818</v>
      </c>
      <c r="M53" s="142">
        <f t="shared" si="60"/>
        <v>7.9963357884038619E-2</v>
      </c>
      <c r="N53" s="142"/>
      <c r="O53" s="142">
        <f t="shared" si="60"/>
        <v>1.0000000000000002</v>
      </c>
      <c r="P53" s="142">
        <f t="shared" si="60"/>
        <v>1.5224639492162999</v>
      </c>
      <c r="Q53" s="142">
        <f t="shared" si="60"/>
        <v>5.6783816582915377E-2</v>
      </c>
      <c r="R53" s="142">
        <f t="shared" si="60"/>
        <v>9.2204348393703853E-2</v>
      </c>
      <c r="S53" s="142">
        <f t="shared" si="60"/>
        <v>8.4953714023186563E-2</v>
      </c>
      <c r="T53" s="142">
        <f t="shared" si="60"/>
        <v>7.583194079548615E-2</v>
      </c>
      <c r="U53" s="142">
        <f t="shared" si="60"/>
        <v>0.10651087965678999</v>
      </c>
      <c r="V53" s="142">
        <f t="shared" si="60"/>
        <v>0.14547296421979056</v>
      </c>
    </row>
    <row r="54" spans="1:22" s="3" customFormat="1" x14ac:dyDescent="0.35">
      <c r="A54" s="61" t="s">
        <v>2</v>
      </c>
      <c r="B54" s="142">
        <f t="shared" ref="B54" si="61">B48</f>
        <v>1.8368645847350887E-2</v>
      </c>
      <c r="C54" s="142">
        <f t="shared" ref="C54:V54" si="62">C48</f>
        <v>2.6868972182651139E-2</v>
      </c>
      <c r="D54" s="142">
        <f t="shared" si="62"/>
        <v>3.4077253894085009E-2</v>
      </c>
      <c r="E54" s="142">
        <f t="shared" si="62"/>
        <v>9.4270690684614841E-2</v>
      </c>
      <c r="F54" s="142">
        <f t="shared" si="62"/>
        <v>0.16839135678018669</v>
      </c>
      <c r="G54" s="142">
        <f t="shared" si="62"/>
        <v>0.11106482876520762</v>
      </c>
      <c r="H54" s="142">
        <f t="shared" si="62"/>
        <v>0.15219150894313377</v>
      </c>
      <c r="I54" s="142">
        <f t="shared" si="62"/>
        <v>3.4696488917150874E-2</v>
      </c>
      <c r="J54" s="142">
        <f t="shared" si="62"/>
        <v>3.0160662660407341E-2</v>
      </c>
      <c r="K54" s="142">
        <f t="shared" si="62"/>
        <v>1.7690817310935286E-2</v>
      </c>
      <c r="L54" s="142">
        <f t="shared" si="62"/>
        <v>3.0719534885714071E-2</v>
      </c>
      <c r="M54" s="142">
        <f t="shared" si="62"/>
        <v>2.2558843948848807E-2</v>
      </c>
      <c r="N54" s="142"/>
      <c r="O54" s="142">
        <f t="shared" si="62"/>
        <v>0.13654382495340242</v>
      </c>
      <c r="P54" s="142">
        <f t="shared" si="62"/>
        <v>0.19011224382931713</v>
      </c>
      <c r="Q54" s="142">
        <f t="shared" si="62"/>
        <v>1.9410019348010576E-2</v>
      </c>
      <c r="R54" s="142">
        <f t="shared" si="62"/>
        <v>2.3600957435186008E-2</v>
      </c>
      <c r="S54" s="142">
        <f t="shared" si="62"/>
        <v>2.9418339468134668E-2</v>
      </c>
      <c r="T54" s="142">
        <f t="shared" si="62"/>
        <v>4.4128413447742237E-2</v>
      </c>
      <c r="U54" s="142">
        <f t="shared" si="62"/>
        <v>3.1581742840415372E-2</v>
      </c>
      <c r="V54" s="142">
        <f t="shared" si="62"/>
        <v>2.5769118141534153E-2</v>
      </c>
    </row>
    <row r="55" spans="1:22" s="3" customFormat="1" x14ac:dyDescent="0.35">
      <c r="A55" s="61" t="s">
        <v>79</v>
      </c>
      <c r="B55" s="142">
        <f>(B53*100/$B53)-100</f>
        <v>0</v>
      </c>
      <c r="C55" s="142">
        <f t="shared" ref="C55:M55" si="63">(C53*100/$B53)-100</f>
        <v>19.963287848733671</v>
      </c>
      <c r="D55" s="142">
        <f t="shared" si="63"/>
        <v>9.5653824399334439</v>
      </c>
      <c r="E55" s="142">
        <f t="shared" si="63"/>
        <v>140.88141614329783</v>
      </c>
      <c r="F55" s="142">
        <f t="shared" si="63"/>
        <v>671.76152601356409</v>
      </c>
      <c r="G55" s="142">
        <f t="shared" si="63"/>
        <v>1173.7881851210861</v>
      </c>
      <c r="H55" s="142">
        <f t="shared" si="63"/>
        <v>2182.5960331337601</v>
      </c>
      <c r="I55" s="142">
        <f t="shared" si="63"/>
        <v>34.039813855550079</v>
      </c>
      <c r="J55" s="142">
        <f t="shared" si="63"/>
        <v>48.589260028205018</v>
      </c>
      <c r="K55" s="142">
        <f t="shared" si="63"/>
        <v>2.1080417322976643</v>
      </c>
      <c r="L55" s="142">
        <f t="shared" si="63"/>
        <v>21.453922060345477</v>
      </c>
      <c r="M55" s="142">
        <f t="shared" si="63"/>
        <v>-15.725171012639592</v>
      </c>
      <c r="N55" s="142"/>
      <c r="O55" s="142">
        <f>(O53*100/$O53)-100</f>
        <v>0</v>
      </c>
      <c r="P55" s="142">
        <f t="shared" ref="P55:V55" si="64">(P53*100/$O53)-100</f>
        <v>52.246394921629957</v>
      </c>
      <c r="Q55" s="142">
        <f t="shared" si="64"/>
        <v>-94.321618341708458</v>
      </c>
      <c r="R55" s="142">
        <f t="shared" si="64"/>
        <v>-90.779565160629616</v>
      </c>
      <c r="S55" s="142">
        <f t="shared" si="64"/>
        <v>-91.504628597681346</v>
      </c>
      <c r="T55" s="142">
        <f t="shared" si="64"/>
        <v>-92.416805920451381</v>
      </c>
      <c r="U55" s="142">
        <f t="shared" si="64"/>
        <v>-89.348912034321003</v>
      </c>
      <c r="V55" s="142">
        <f t="shared" si="64"/>
        <v>-85.452703578020945</v>
      </c>
    </row>
    <row r="56" spans="1:22" s="3" customFormat="1" x14ac:dyDescent="0.35">
      <c r="A56" s="61" t="s">
        <v>81</v>
      </c>
      <c r="B56" s="142">
        <f>[1]!SWTEST(B28:B43)</f>
        <v>0.37383801575767839</v>
      </c>
      <c r="C56" s="142">
        <f>[1]!SWTEST(C28:C43)</f>
        <v>0.92103045570232034</v>
      </c>
      <c r="D56" s="142">
        <f>[1]!SWTEST(D28:D43)</f>
        <v>0.1267859453473057</v>
      </c>
      <c r="E56" s="142">
        <f>[1]!SWTEST(E28:E43)</f>
        <v>2.8767179798594444E-4</v>
      </c>
      <c r="F56" s="142">
        <f>[1]!SWTEST(F28:F43)</f>
        <v>0.80989380697876312</v>
      </c>
      <c r="G56" s="142">
        <f>[1]!SWTEST(G28:G43)</f>
        <v>0.56395175764342476</v>
      </c>
      <c r="H56" s="142">
        <f>[1]!SWTEST(H28:H43)</f>
        <v>0.11056838117667855</v>
      </c>
      <c r="I56" s="142">
        <f>[1]!SWTEST(I28:I43)</f>
        <v>0.86271827454762662</v>
      </c>
      <c r="J56" s="142">
        <f>[1]!SWTEST(J28:J43)</f>
        <v>0.43380565971255591</v>
      </c>
      <c r="K56" s="142">
        <f>[1]!SWTEST(K28:K43)</f>
        <v>0.26905995028663909</v>
      </c>
      <c r="L56" s="142">
        <f>[1]!SWTEST(L28:L43)</f>
        <v>0.3892742493189123</v>
      </c>
      <c r="M56" s="142">
        <f>[1]!SWTEST(M28:M43)</f>
        <v>0.17896886172579707</v>
      </c>
      <c r="N56" s="142"/>
      <c r="O56" s="142">
        <f>[1]!SWTEST(O28:O43)</f>
        <v>0.42956103966568426</v>
      </c>
      <c r="P56" s="142">
        <f>[1]!SWTEST(P28:P43)</f>
        <v>0.35842277244207121</v>
      </c>
      <c r="Q56" s="142">
        <f>[1]!SWTEST(Q28:Q43)</f>
        <v>3.6809000970606909E-2</v>
      </c>
      <c r="R56" s="142">
        <f>[1]!SWTEST(R28:R43)</f>
        <v>0.87520688276269087</v>
      </c>
      <c r="S56" s="142">
        <f>[1]!SWTEST(S28:S43)</f>
        <v>6.5990048097655851E-2</v>
      </c>
      <c r="T56" s="142">
        <f>[1]!SWTEST(T28:T43)</f>
        <v>8.2374560652720419E-4</v>
      </c>
      <c r="U56" s="142">
        <f>[1]!SWTEST(U28:U43)</f>
        <v>0.23170247811662148</v>
      </c>
      <c r="V56" s="142">
        <f>[1]!SWTEST(V28:V43)</f>
        <v>0.10774393381114811</v>
      </c>
    </row>
    <row r="57" spans="1:22" s="3" customFormat="1" x14ac:dyDescent="0.35">
      <c r="A57" s="61" t="s">
        <v>85</v>
      </c>
      <c r="B57" s="142" t="str">
        <f>IF(B56&gt;0.05,"Oui","Non")</f>
        <v>Oui</v>
      </c>
      <c r="C57" s="142" t="str">
        <f t="shared" ref="C57:V57" si="65">IF(C56&gt;0.05,"Oui","Non")</f>
        <v>Oui</v>
      </c>
      <c r="D57" s="142" t="str">
        <f t="shared" si="65"/>
        <v>Oui</v>
      </c>
      <c r="E57" s="142" t="str">
        <f t="shared" si="65"/>
        <v>Non</v>
      </c>
      <c r="F57" s="142" t="str">
        <f t="shared" si="65"/>
        <v>Oui</v>
      </c>
      <c r="G57" s="142" t="str">
        <f t="shared" si="65"/>
        <v>Oui</v>
      </c>
      <c r="H57" s="142" t="str">
        <f t="shared" si="65"/>
        <v>Oui</v>
      </c>
      <c r="I57" s="142" t="str">
        <f t="shared" si="65"/>
        <v>Oui</v>
      </c>
      <c r="J57" s="142" t="str">
        <f t="shared" si="65"/>
        <v>Oui</v>
      </c>
      <c r="K57" s="142" t="str">
        <f t="shared" si="65"/>
        <v>Oui</v>
      </c>
      <c r="L57" s="142" t="str">
        <f t="shared" si="65"/>
        <v>Oui</v>
      </c>
      <c r="M57" s="142" t="str">
        <f t="shared" si="65"/>
        <v>Oui</v>
      </c>
      <c r="N57" s="142"/>
      <c r="O57" s="142" t="str">
        <f t="shared" si="65"/>
        <v>Oui</v>
      </c>
      <c r="P57" s="142" t="str">
        <f t="shared" si="65"/>
        <v>Oui</v>
      </c>
      <c r="Q57" s="142" t="str">
        <f t="shared" si="65"/>
        <v>Non</v>
      </c>
      <c r="R57" s="142" t="str">
        <f t="shared" si="65"/>
        <v>Oui</v>
      </c>
      <c r="S57" s="142" t="str">
        <f t="shared" si="65"/>
        <v>Oui</v>
      </c>
      <c r="T57" s="142" t="str">
        <f t="shared" si="65"/>
        <v>Non</v>
      </c>
      <c r="U57" s="142" t="str">
        <f t="shared" si="65"/>
        <v>Oui</v>
      </c>
      <c r="V57" s="142" t="str">
        <f t="shared" si="65"/>
        <v>Oui</v>
      </c>
    </row>
    <row r="58" spans="1:22" s="3" customFormat="1" x14ac:dyDescent="0.35">
      <c r="A58" s="61"/>
      <c r="B58" s="142"/>
      <c r="C58" s="142"/>
      <c r="D58" s="142"/>
      <c r="E58" s="142"/>
      <c r="F58" s="142"/>
      <c r="G58" s="142"/>
      <c r="H58" s="142"/>
      <c r="I58" s="142"/>
      <c r="J58" s="142"/>
      <c r="K58" s="142"/>
      <c r="L58" s="142"/>
      <c r="M58" s="142"/>
      <c r="N58" s="149"/>
      <c r="O58" s="150"/>
      <c r="P58" s="142"/>
      <c r="Q58" s="142"/>
      <c r="R58" s="142"/>
      <c r="S58" s="142"/>
      <c r="T58" s="142"/>
      <c r="U58" s="142"/>
      <c r="V58" s="142"/>
    </row>
    <row r="59" spans="1:22" s="3" customFormat="1" x14ac:dyDescent="0.35">
      <c r="A59" s="61" t="s">
        <v>82</v>
      </c>
      <c r="B59" s="151"/>
      <c r="C59" s="151" t="str">
        <f t="shared" ref="C59:O59" si="66">IF($B57="Non",IF(C57="Non","MW",IF(C57="Oui","MW","")),IF($B57="Oui",IF(C57="Oui","T-Test Welch",IF(C57="Non","MW",""))))</f>
        <v>T-Test Welch</v>
      </c>
      <c r="D59" s="151" t="str">
        <f t="shared" si="66"/>
        <v>T-Test Welch</v>
      </c>
      <c r="E59" s="151" t="str">
        <f t="shared" si="66"/>
        <v>MW</v>
      </c>
      <c r="F59" s="151" t="str">
        <f t="shared" si="66"/>
        <v>T-Test Welch</v>
      </c>
      <c r="G59" s="151" t="str">
        <f t="shared" si="66"/>
        <v>T-Test Welch</v>
      </c>
      <c r="H59" s="151" t="str">
        <f t="shared" si="66"/>
        <v>T-Test Welch</v>
      </c>
      <c r="I59" s="151" t="str">
        <f t="shared" si="66"/>
        <v>T-Test Welch</v>
      </c>
      <c r="J59" s="151" t="str">
        <f t="shared" si="66"/>
        <v>T-Test Welch</v>
      </c>
      <c r="K59" s="151" t="str">
        <f t="shared" si="66"/>
        <v>T-Test Welch</v>
      </c>
      <c r="L59" s="151" t="str">
        <f t="shared" si="66"/>
        <v>T-Test Welch</v>
      </c>
      <c r="M59" s="151" t="str">
        <f t="shared" si="66"/>
        <v>T-Test Welch</v>
      </c>
      <c r="N59" s="151"/>
      <c r="O59" s="151" t="str">
        <f t="shared" si="66"/>
        <v>T-Test Welch</v>
      </c>
      <c r="P59" s="151" t="str">
        <f>IF($O57="Non",IF(P57="Non","MW",IF(P57="Oui","MW","")),IF($O57="Oui",IF(P57="Oui","T-Test Welch",IF(P57="Non","MW",""))))</f>
        <v>T-Test Welch</v>
      </c>
      <c r="Q59" s="151" t="str">
        <f t="shared" ref="Q59:V59" si="67">IF($O57="Non",IF(Q57="Non","MW",IF(Q57="Oui","MW","")),IF($O57="Oui",IF(Q57="Oui","T-Test Welch",IF(Q57="Non","MW",""))))</f>
        <v>MW</v>
      </c>
      <c r="R59" s="151" t="str">
        <f t="shared" si="67"/>
        <v>T-Test Welch</v>
      </c>
      <c r="S59" s="151" t="str">
        <f t="shared" si="67"/>
        <v>T-Test Welch</v>
      </c>
      <c r="T59" s="151" t="str">
        <f t="shared" si="67"/>
        <v>MW</v>
      </c>
      <c r="U59" s="151" t="str">
        <f t="shared" si="67"/>
        <v>T-Test Welch</v>
      </c>
      <c r="V59" s="151" t="str">
        <f t="shared" si="67"/>
        <v>T-Test Welch</v>
      </c>
    </row>
    <row r="60" spans="1:22" s="3" customFormat="1" x14ac:dyDescent="0.35">
      <c r="A60" s="61" t="s">
        <v>83</v>
      </c>
      <c r="B60" s="152"/>
      <c r="C60" s="152">
        <f>IF(C59="MW",[1]!MTEST($B28:$B43,C28:C43,2), IF(C59="T-Test Welch",_xlfn.T.TEST($B28:$B43,C28:C43,2,3),""))</f>
        <v>0.57244208450469913</v>
      </c>
      <c r="D60" s="152">
        <f>IF(D59="MW",[1]!MTEST($B28:$B43,D28:D43,2), IF(D59="T-Test Welch",_xlfn.T.TEST($B28:$B43,D28:D43,2,3),""))</f>
        <v>0.81904357117779725</v>
      </c>
      <c r="E60" s="152">
        <f>IF(E59="MW",[1]!MTEST($B28:$B43,E28:E43,2), IF(E59="T-Test Welch",_xlfn.T.TEST($B28:$B43,E28:E43,2,3),""))</f>
        <v>0.29362154392890583</v>
      </c>
      <c r="F60" s="152">
        <f>IF(F59="MW",[1]!MTEST($B28:$B43,F28:F43,2), IF(F59="T-Test Welch",_xlfn.T.TEST($B28:$B43,F28:F43,2,3),""))</f>
        <v>6.7503656167098598E-3</v>
      </c>
      <c r="G60" s="152">
        <f>IF(G59="MW",[1]!MTEST($B28:$B43,G28:G43,2), IF(G59="T-Test Welch",_xlfn.T.TEST($B28:$B43,G28:G43,2,3),""))</f>
        <v>4.413493981801264E-5</v>
      </c>
      <c r="H60" s="152">
        <f>IF(H59="MW",[1]!MTEST($B28:$B43,H28:H43,2), IF(H59="T-Test Welch",_xlfn.T.TEST($B28:$B43,H28:H43,2,3),""))</f>
        <v>8.1166875551810258E-6</v>
      </c>
      <c r="I60" s="152">
        <f>IF(I59="MW",[1]!MTEST($B28:$B43,I28:I43,2), IF(I59="T-Test Welch",_xlfn.T.TEST($B28:$B43,I28:I43,2,3),""))</f>
        <v>0.43145205906257733</v>
      </c>
      <c r="J60" s="152">
        <f>IF(J59="MW",[1]!MTEST($B28:$B43,J28:J43,2), IF(J59="T-Test Welch",_xlfn.T.TEST($B28:$B43,J28:J43,2,3),""))</f>
        <v>0.22070298237586616</v>
      </c>
      <c r="K60" s="152">
        <f>IF(K59="MW",[1]!MTEST($B28:$B43,K28:K43,2), IF(K59="T-Test Welch",_xlfn.T.TEST($B28:$B43,K28:K43,2,3),""))</f>
        <v>0.93868093199103597</v>
      </c>
      <c r="L60" s="152">
        <f>IF(L59="MW",[1]!MTEST($B28:$B43,L28:L43,2), IF(L59="T-Test Welch",_xlfn.T.TEST($B28:$B43,L28:L43,2,3),""))</f>
        <v>0.5805321481764647</v>
      </c>
      <c r="M60" s="152">
        <f>IF(M59="MW",[1]!MTEST($B28:$B43,M28:M43,2), IF(M59="T-Test Welch",_xlfn.T.TEST($B28:$B43,M28:M43,2,3),""))</f>
        <v>0.61634930801643162</v>
      </c>
      <c r="N60" s="152"/>
      <c r="O60" s="152">
        <f>IF(O59="MW",[1]!MTEST($B28:$B43,O28:O43,2), IF(O59="T-Test Welch",_xlfn.T.TEST($B28:$B43,O28:O43,2,3),""))</f>
        <v>1.0508394687328788E-5</v>
      </c>
      <c r="P60" s="152">
        <f>IF(P59="MW",[1]!MTEST($O28:$O43,P28:P43,2), IF(P59="T-Test Welch",_xlfn.T.TEST($O28:$O43,P28:P43,2,3),""))</f>
        <v>4.4801532828900037E-2</v>
      </c>
      <c r="Q60" s="152">
        <f>IF(Q59="MW",[1]!MTEST($O28:$O43,Q28:Q43,2), IF(Q59="T-Test Welch",_xlfn.T.TEST($O28:$O43,Q28:Q43,2,3),""))</f>
        <v>1.046123397439036E-3</v>
      </c>
      <c r="R60" s="152">
        <f>IF(R59="MW",[1]!MTEST($O28:$O43,R28:R43,2), IF(R59="T-Test Welch",_xlfn.T.TEST($O28:$O43,R28:R43,2,3),""))</f>
        <v>9.7462521492928135E-6</v>
      </c>
      <c r="S60" s="152">
        <f>IF(S59="MW",[1]!MTEST($O28:$O43,S28:S43,2), IF(S59="T-Test Welch",_xlfn.T.TEST($O28:$O43,S28:S43,2,3),""))</f>
        <v>8.4215340102307607E-6</v>
      </c>
      <c r="T60" s="152">
        <f>IF(T59="MW",[1]!MTEST($O28:$O43,T28:T43,2), IF(T59="T-Test Welch",_xlfn.T.TEST($O28:$O43,T28:T43,2,3),""))</f>
        <v>1.046123397439036E-3</v>
      </c>
      <c r="U60" s="152">
        <f>IF(U59="MW",[1]!MTEST($O28:$O43,U28:U43,2), IF(U59="T-Test Welch",_xlfn.T.TEST($O28:$O43,U28:U43,2,3),""))</f>
        <v>1.090023306731808E-5</v>
      </c>
      <c r="V60" s="152">
        <f>IF(V59="MW",[1]!MTEST($O28:$O43,V28:V43,2), IF(V59="T-Test Welch",_xlfn.T.TEST($O28:$O43,V28:V43,2,3),""))</f>
        <v>1.8752410798030435E-5</v>
      </c>
    </row>
    <row r="61" spans="1:22" s="3" customFormat="1" ht="15" thickBot="1" x14ac:dyDescent="0.4">
      <c r="A61" s="62" t="s">
        <v>84</v>
      </c>
      <c r="B61" s="143"/>
      <c r="C61" s="143" t="str">
        <f t="shared" ref="C61:O61" si="68">IF(C60&gt;0.05,"NS",IF(C60&gt;0.01,"*",IF(C60&gt;0.001,"**","***")))</f>
        <v>NS</v>
      </c>
      <c r="D61" s="143" t="str">
        <f t="shared" si="68"/>
        <v>NS</v>
      </c>
      <c r="E61" s="143" t="str">
        <f t="shared" si="68"/>
        <v>NS</v>
      </c>
      <c r="F61" s="143" t="str">
        <f t="shared" si="68"/>
        <v>**</v>
      </c>
      <c r="G61" s="143" t="str">
        <f t="shared" si="68"/>
        <v>***</v>
      </c>
      <c r="H61" s="143" t="str">
        <f t="shared" si="68"/>
        <v>***</v>
      </c>
      <c r="I61" s="143" t="str">
        <f t="shared" si="68"/>
        <v>NS</v>
      </c>
      <c r="J61" s="143" t="str">
        <f t="shared" si="68"/>
        <v>NS</v>
      </c>
      <c r="K61" s="143" t="str">
        <f t="shared" si="68"/>
        <v>NS</v>
      </c>
      <c r="L61" s="143" t="str">
        <f t="shared" si="68"/>
        <v>NS</v>
      </c>
      <c r="M61" s="143" t="str">
        <f t="shared" si="68"/>
        <v>NS</v>
      </c>
      <c r="N61" s="143"/>
      <c r="O61" s="143" t="str">
        <f t="shared" si="68"/>
        <v>***</v>
      </c>
      <c r="P61" s="143" t="str">
        <f>IF(P60&gt;0.05,"NS",IF(P60&gt;0.01,"*",IF(P60&gt;0.001,"**","***")))</f>
        <v>*</v>
      </c>
      <c r="Q61" s="143" t="str">
        <f t="shared" ref="Q61:V61" si="69">IF(Q60&gt;0.05,"NS",IF(Q60&gt;0.01,"*",IF(Q60&gt;0.001,"**","***")))</f>
        <v>**</v>
      </c>
      <c r="R61" s="143" t="str">
        <f t="shared" si="69"/>
        <v>***</v>
      </c>
      <c r="S61" s="143" t="str">
        <f t="shared" si="69"/>
        <v>***</v>
      </c>
      <c r="T61" s="143" t="str">
        <f t="shared" si="69"/>
        <v>**</v>
      </c>
      <c r="U61" s="143" t="str">
        <f t="shared" si="69"/>
        <v>***</v>
      </c>
      <c r="V61" s="143" t="str">
        <f t="shared" si="69"/>
        <v>***</v>
      </c>
    </row>
    <row r="63" spans="1:22" x14ac:dyDescent="0.35">
      <c r="A63" s="2" t="s">
        <v>39</v>
      </c>
    </row>
    <row r="64" spans="1:22" x14ac:dyDescent="0.35">
      <c r="A64" s="1" t="s">
        <v>23</v>
      </c>
      <c r="B64" s="1">
        <f>B46+(3*B47)</f>
        <v>0.25074716306496109</v>
      </c>
    </row>
    <row r="65" spans="1:22" x14ac:dyDescent="0.35">
      <c r="A65" s="1" t="s">
        <v>24</v>
      </c>
      <c r="B65" s="1">
        <f>B46+(10*B47)</f>
        <v>0.61442779618148713</v>
      </c>
    </row>
    <row r="66" spans="1:22" ht="15" thickBot="1" x14ac:dyDescent="0.4"/>
    <row r="67" spans="1:22" ht="26.5" thickBot="1" x14ac:dyDescent="0.65">
      <c r="A67" s="218" t="s">
        <v>45</v>
      </c>
      <c r="B67" s="219"/>
      <c r="C67" s="219"/>
      <c r="D67" s="219"/>
      <c r="E67" s="219"/>
      <c r="F67" s="219"/>
      <c r="G67" s="219"/>
      <c r="H67" s="219"/>
      <c r="I67" s="219"/>
      <c r="J67" s="219"/>
      <c r="K67" s="219"/>
      <c r="L67" s="219"/>
      <c r="M67" s="219"/>
      <c r="N67" s="219"/>
      <c r="O67" s="219"/>
      <c r="P67" s="219"/>
      <c r="Q67" s="219"/>
      <c r="R67" s="219"/>
      <c r="S67" s="219"/>
      <c r="T67" s="219"/>
      <c r="U67" s="219"/>
      <c r="V67" s="219"/>
    </row>
    <row r="68" spans="1:22" ht="16.5" x14ac:dyDescent="0.35">
      <c r="A68" s="12"/>
      <c r="B68" s="12"/>
      <c r="C68" s="12"/>
      <c r="D68" s="12"/>
      <c r="E68" s="12"/>
      <c r="F68" s="12"/>
      <c r="N68" s="12"/>
      <c r="O68" s="12"/>
      <c r="P68" s="12"/>
      <c r="Q68" s="12"/>
      <c r="R68" s="12"/>
      <c r="S68" s="12"/>
      <c r="T68" s="12"/>
      <c r="U68" s="12"/>
      <c r="V68" s="12"/>
    </row>
    <row r="69" spans="1:22" ht="16.5" x14ac:dyDescent="0.35">
      <c r="A69" s="12"/>
      <c r="B69" s="12"/>
      <c r="C69" s="12"/>
      <c r="D69" s="12"/>
      <c r="E69" s="12"/>
      <c r="F69" s="12"/>
      <c r="N69" s="12"/>
      <c r="O69" s="12"/>
      <c r="P69" s="12"/>
      <c r="Q69" s="12"/>
      <c r="R69" s="12"/>
      <c r="S69" s="12"/>
      <c r="T69" s="12"/>
      <c r="U69" s="12"/>
      <c r="V69" s="12"/>
    </row>
    <row r="70" spans="1:22" ht="16.5" x14ac:dyDescent="0.35">
      <c r="A70" s="12"/>
      <c r="B70" s="12"/>
      <c r="C70" s="12"/>
      <c r="D70" s="12"/>
      <c r="E70" s="12"/>
      <c r="F70" s="12"/>
      <c r="N70" s="12"/>
      <c r="O70" s="12"/>
      <c r="P70" s="12"/>
      <c r="Q70" s="12"/>
      <c r="R70" s="12"/>
      <c r="S70" s="12"/>
      <c r="T70" s="12"/>
      <c r="U70" s="12"/>
      <c r="V70" s="12"/>
    </row>
    <row r="71" spans="1:22" ht="16.5" x14ac:dyDescent="0.35">
      <c r="A71" s="12"/>
      <c r="B71" s="12"/>
      <c r="C71" s="12"/>
      <c r="D71" s="12"/>
      <c r="E71" s="12"/>
      <c r="F71" s="12"/>
      <c r="N71" s="12"/>
      <c r="O71" s="12"/>
      <c r="P71" s="12"/>
      <c r="Q71" s="12"/>
      <c r="R71" s="12"/>
      <c r="S71" s="12"/>
      <c r="T71" s="12"/>
      <c r="U71" s="12"/>
      <c r="V71" s="12"/>
    </row>
    <row r="72" spans="1:22" ht="16.5" x14ac:dyDescent="0.35">
      <c r="A72" s="12"/>
      <c r="B72" s="12"/>
      <c r="C72" s="12"/>
      <c r="D72" s="12"/>
      <c r="E72" s="12"/>
      <c r="F72" s="12"/>
      <c r="N72" s="12"/>
      <c r="O72" s="12"/>
      <c r="P72" s="12"/>
      <c r="Q72" s="12"/>
      <c r="R72" s="12"/>
      <c r="S72" s="12"/>
      <c r="T72" s="12"/>
      <c r="U72" s="12"/>
      <c r="V72" s="12"/>
    </row>
    <row r="73" spans="1:22" ht="16.5" x14ac:dyDescent="0.35">
      <c r="A73" s="12"/>
      <c r="B73" s="12"/>
      <c r="C73" s="12"/>
      <c r="D73" s="12"/>
      <c r="E73" s="12"/>
      <c r="F73" s="12"/>
      <c r="N73" s="12"/>
      <c r="O73" s="12"/>
      <c r="P73" s="12"/>
      <c r="Q73" s="12"/>
      <c r="R73" s="12"/>
      <c r="S73" s="12"/>
      <c r="T73" s="12"/>
      <c r="U73" s="12"/>
      <c r="V73" s="12"/>
    </row>
    <row r="74" spans="1:22" ht="16.5" x14ac:dyDescent="0.35">
      <c r="A74" s="12"/>
      <c r="B74" s="12"/>
      <c r="C74" s="12"/>
      <c r="D74" s="12"/>
      <c r="E74" s="12"/>
      <c r="F74" s="12"/>
      <c r="N74" s="12"/>
      <c r="O74" s="12"/>
      <c r="P74" s="12"/>
      <c r="Q74" s="12"/>
      <c r="R74" s="12"/>
      <c r="S74" s="12"/>
      <c r="T74" s="12"/>
      <c r="U74" s="12"/>
      <c r="V74" s="12"/>
    </row>
  </sheetData>
  <protectedRanges>
    <protectedRange sqref="O51:V51" name="Plage2"/>
    <protectedRange sqref="R5:V20" name="Plage1"/>
    <protectedRange sqref="B51:J51" name="Plage2_1"/>
    <protectedRange sqref="O5:O20 B5:J20" name="Plage1_1"/>
  </protectedRanges>
  <mergeCells count="9">
    <mergeCell ref="A1:V1"/>
    <mergeCell ref="A67:V67"/>
    <mergeCell ref="A5:A20"/>
    <mergeCell ref="B3:M3"/>
    <mergeCell ref="O3:V3"/>
    <mergeCell ref="B26:M26"/>
    <mergeCell ref="O26:V26"/>
    <mergeCell ref="A28:A43"/>
    <mergeCell ref="A50:V50"/>
  </mergeCells>
  <pageMargins left="0.7" right="0.7" top="0.75" bottom="0.75" header="0.3" footer="0.3"/>
  <pageSetup paperSize="9" scale="21" orientation="landscape" r:id="rId1"/>
  <headerFooter>
    <oddHeader>&amp;C&amp;"-,Gras"&amp;14Données brutes et normalisées R1&amp;R&amp;"-,Gras"&amp;14Page : &amp;P/&amp;P</oddHeader>
  </headerFooter>
  <colBreaks count="1" manualBreakCount="1">
    <brk id="14" max="1048575" man="1"/>
  </colBreak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EN1711"/>
  <sheetViews>
    <sheetView showGridLines="0" topLeftCell="O1" zoomScale="80" zoomScaleNormal="80" workbookViewId="0">
      <selection activeCell="Z5" sqref="Z5:AD12"/>
    </sheetView>
  </sheetViews>
  <sheetFormatPr baseColWidth="10" defaultColWidth="11.453125" defaultRowHeight="14.5" x14ac:dyDescent="0.35"/>
  <cols>
    <col min="1" max="2" width="15" style="1" customWidth="1"/>
    <col min="3" max="3" width="25.453125" style="1" customWidth="1"/>
    <col min="4" max="4" width="14" style="1" customWidth="1"/>
    <col min="5" max="5" width="21.1796875" style="1" customWidth="1"/>
    <col min="6" max="6" width="11.453125" style="1"/>
    <col min="7" max="7" width="21.453125" style="1" customWidth="1"/>
    <col min="8" max="8" width="12.26953125" style="1" customWidth="1"/>
    <col min="9" max="9" width="17.1796875" style="1" customWidth="1"/>
    <col min="10" max="10" width="11.453125" style="1"/>
    <col min="11" max="11" width="37.453125" style="1" bestFit="1" customWidth="1"/>
    <col min="12" max="12" width="38.453125" style="1" bestFit="1" customWidth="1"/>
    <col min="13" max="14" width="12.81640625" style="1" customWidth="1"/>
    <col min="15" max="25" width="12.26953125" style="1" customWidth="1"/>
    <col min="26" max="16384" width="11.453125" style="1"/>
  </cols>
  <sheetData>
    <row r="1" spans="1:144" x14ac:dyDescent="0.35">
      <c r="A1" s="1" t="s">
        <v>107</v>
      </c>
      <c r="B1" s="1" t="s">
        <v>108</v>
      </c>
      <c r="C1" s="1" t="s">
        <v>109</v>
      </c>
      <c r="D1" s="1" t="s">
        <v>110</v>
      </c>
      <c r="E1" s="1" t="s">
        <v>111</v>
      </c>
      <c r="F1" s="1" t="s">
        <v>112</v>
      </c>
      <c r="G1" s="1" t="s">
        <v>113</v>
      </c>
      <c r="H1" s="1" t="s">
        <v>117</v>
      </c>
      <c r="I1" s="1" t="s">
        <v>118</v>
      </c>
      <c r="K1" s="119" t="s">
        <v>112</v>
      </c>
      <c r="L1" s="1" t="s">
        <v>119</v>
      </c>
      <c r="M1"/>
      <c r="N1"/>
      <c r="O1"/>
      <c r="P1"/>
      <c r="Q1"/>
      <c r="R1"/>
      <c r="S1"/>
      <c r="T1"/>
      <c r="U1"/>
      <c r="V1"/>
      <c r="W1"/>
      <c r="X1"/>
      <c r="Y1"/>
      <c r="Z1"/>
      <c r="AA1"/>
      <c r="AB1"/>
      <c r="AC1"/>
      <c r="AD1"/>
      <c r="AE1"/>
      <c r="AF1"/>
      <c r="AG1"/>
      <c r="AH1"/>
      <c r="AI1"/>
      <c r="AJ1"/>
      <c r="AK1"/>
      <c r="AL1"/>
      <c r="AM1"/>
      <c r="AN1"/>
      <c r="AO1"/>
      <c r="AP1"/>
      <c r="AQ1"/>
      <c r="AR1"/>
      <c r="AS1"/>
      <c r="AT1"/>
      <c r="AU1"/>
      <c r="AV1"/>
      <c r="AW1"/>
      <c r="AX1"/>
      <c r="AY1"/>
      <c r="AZ1"/>
      <c r="BA1"/>
      <c r="BB1"/>
      <c r="BC1"/>
      <c r="BD1"/>
      <c r="BE1"/>
      <c r="BF1"/>
      <c r="BG1"/>
      <c r="BH1"/>
      <c r="BI1"/>
      <c r="BJ1"/>
      <c r="BK1"/>
      <c r="BL1"/>
      <c r="BM1"/>
      <c r="BN1"/>
      <c r="BO1"/>
      <c r="BP1"/>
      <c r="BQ1"/>
      <c r="BR1"/>
      <c r="BS1"/>
      <c r="BT1"/>
      <c r="BU1"/>
      <c r="BV1"/>
      <c r="BW1"/>
      <c r="BX1"/>
      <c r="BY1"/>
      <c r="BZ1"/>
      <c r="CA1"/>
      <c r="CB1"/>
      <c r="CC1"/>
      <c r="CD1"/>
      <c r="CE1"/>
      <c r="CF1"/>
      <c r="CG1"/>
      <c r="CH1"/>
      <c r="CI1"/>
      <c r="CJ1"/>
      <c r="CK1"/>
      <c r="CL1"/>
      <c r="CM1"/>
      <c r="CN1"/>
      <c r="CO1"/>
      <c r="CP1"/>
      <c r="CQ1"/>
      <c r="CR1"/>
      <c r="CS1"/>
      <c r="CT1"/>
      <c r="CU1"/>
      <c r="CV1"/>
      <c r="CW1"/>
      <c r="CX1"/>
      <c r="CY1"/>
      <c r="CZ1"/>
      <c r="DA1"/>
      <c r="DB1"/>
      <c r="DC1"/>
      <c r="DD1"/>
      <c r="DE1"/>
      <c r="DF1"/>
      <c r="DG1"/>
      <c r="DH1"/>
      <c r="DI1"/>
      <c r="DJ1"/>
      <c r="DK1"/>
      <c r="DL1"/>
      <c r="DM1"/>
      <c r="DN1"/>
      <c r="DO1"/>
      <c r="DP1"/>
      <c r="DQ1"/>
      <c r="DR1"/>
      <c r="DS1"/>
      <c r="DT1"/>
      <c r="DU1"/>
      <c r="DV1"/>
      <c r="DW1"/>
      <c r="DX1"/>
      <c r="DY1"/>
      <c r="DZ1"/>
      <c r="EA1"/>
      <c r="EB1"/>
      <c r="EC1"/>
      <c r="ED1"/>
      <c r="EE1"/>
      <c r="EF1"/>
      <c r="EG1"/>
      <c r="EH1"/>
      <c r="EI1"/>
      <c r="EJ1"/>
      <c r="EK1"/>
      <c r="EL1"/>
      <c r="EM1"/>
      <c r="EN1"/>
    </row>
    <row r="2" spans="1:144" x14ac:dyDescent="0.35">
      <c r="A2" s="1" t="str">
        <f t="shared" ref="A2:A65" si="0">IFERROR(LEFT(RIGHT(C2,LEN(C2)-SEARCH("@",C2)),SEARCH("/",RIGHT(C2,LEN(C2)-SEARCH("@",C2)-1))),"")</f>
        <v/>
      </c>
      <c r="B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2" s="153" t="s">
        <v>172</v>
      </c>
      <c r="D2" s="1" t="s">
        <v>110</v>
      </c>
      <c r="E2" s="1" t="s">
        <v>111</v>
      </c>
      <c r="F2" s="1" t="s">
        <v>112</v>
      </c>
      <c r="G2" s="1" t="s">
        <v>113</v>
      </c>
      <c r="K2" s="157" t="s">
        <v>120</v>
      </c>
      <c r="L2" s="157" t="s">
        <v>121</v>
      </c>
      <c r="M2"/>
      <c r="N2"/>
      <c r="O2"/>
      <c r="P2"/>
      <c r="Q2"/>
      <c r="R2"/>
      <c r="S2"/>
      <c r="T2"/>
      <c r="U2"/>
      <c r="V2"/>
      <c r="W2"/>
      <c r="X2"/>
      <c r="Y2"/>
      <c r="Z2"/>
      <c r="AA2"/>
      <c r="AB2"/>
      <c r="AC2"/>
      <c r="AD2"/>
      <c r="AE2"/>
      <c r="AF2"/>
      <c r="AG2"/>
      <c r="AH2"/>
      <c r="AI2"/>
      <c r="AJ2"/>
      <c r="AK2"/>
      <c r="AL2"/>
      <c r="AM2"/>
      <c r="AN2"/>
      <c r="AO2"/>
      <c r="AP2"/>
      <c r="AQ2"/>
      <c r="AR2"/>
      <c r="AS2"/>
      <c r="AT2"/>
      <c r="AU2"/>
      <c r="AV2"/>
      <c r="AW2"/>
      <c r="AX2"/>
      <c r="AY2"/>
      <c r="AZ2"/>
      <c r="BA2"/>
      <c r="BB2"/>
      <c r="BC2"/>
      <c r="BD2"/>
      <c r="BE2"/>
      <c r="BF2"/>
      <c r="BG2"/>
      <c r="BH2"/>
      <c r="BI2"/>
      <c r="BJ2"/>
      <c r="BK2"/>
      <c r="BL2"/>
      <c r="BM2"/>
      <c r="BN2"/>
      <c r="BO2"/>
      <c r="BP2"/>
      <c r="BQ2"/>
      <c r="BR2"/>
      <c r="BS2"/>
      <c r="BT2"/>
      <c r="BU2"/>
      <c r="BV2"/>
      <c r="BW2"/>
      <c r="BX2"/>
      <c r="BY2"/>
      <c r="BZ2"/>
      <c r="CA2"/>
      <c r="CB2"/>
      <c r="CC2"/>
      <c r="CD2"/>
      <c r="CE2"/>
      <c r="CF2"/>
      <c r="CG2"/>
      <c r="CH2"/>
      <c r="CI2"/>
      <c r="CJ2"/>
      <c r="CK2"/>
      <c r="CL2"/>
      <c r="CM2"/>
      <c r="CN2"/>
      <c r="CO2"/>
      <c r="CP2"/>
      <c r="CQ2"/>
      <c r="CR2"/>
      <c r="CS2"/>
      <c r="CT2"/>
      <c r="CU2"/>
      <c r="CV2"/>
      <c r="CW2"/>
      <c r="CX2"/>
      <c r="CY2"/>
      <c r="CZ2"/>
      <c r="DA2"/>
      <c r="DB2"/>
      <c r="DC2"/>
      <c r="DD2"/>
      <c r="DE2"/>
      <c r="DF2"/>
      <c r="DG2"/>
      <c r="DH2"/>
      <c r="DI2"/>
      <c r="DJ2"/>
      <c r="DK2"/>
      <c r="DL2"/>
      <c r="DM2"/>
      <c r="DN2"/>
      <c r="DO2"/>
      <c r="DP2"/>
      <c r="DQ2"/>
      <c r="DR2"/>
      <c r="DS2"/>
      <c r="DT2"/>
      <c r="DU2"/>
      <c r="DV2"/>
      <c r="DW2"/>
      <c r="DX2"/>
      <c r="DY2"/>
      <c r="DZ2"/>
      <c r="EA2"/>
      <c r="EB2"/>
      <c r="EC2"/>
      <c r="ED2"/>
      <c r="EE2"/>
      <c r="EF2"/>
      <c r="EG2"/>
      <c r="EH2"/>
      <c r="EI2"/>
      <c r="EJ2"/>
      <c r="EK2"/>
      <c r="EL2"/>
      <c r="EM2"/>
      <c r="EN2"/>
    </row>
    <row r="3" spans="1:144" x14ac:dyDescent="0.35">
      <c r="A3" s="1" t="str">
        <f t="shared" si="0"/>
        <v>1</v>
      </c>
      <c r="B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3" s="1" t="s">
        <v>2840</v>
      </c>
      <c r="D3" s="1" t="s">
        <v>1889</v>
      </c>
      <c r="E3" s="1" t="s">
        <v>2841</v>
      </c>
      <c r="F3" s="1" t="s">
        <v>112</v>
      </c>
      <c r="G3" s="1">
        <v>380535</v>
      </c>
      <c r="K3" s="119" t="s">
        <v>154</v>
      </c>
      <c r="L3" s="119" t="s">
        <v>114</v>
      </c>
      <c r="M3"/>
      <c r="N3"/>
      <c r="O3"/>
      <c r="P3"/>
      <c r="Q3"/>
      <c r="R3"/>
      <c r="S3"/>
      <c r="T3"/>
      <c r="U3"/>
      <c r="V3"/>
      <c r="W3"/>
      <c r="X3"/>
      <c r="Y3"/>
      <c r="Z3"/>
      <c r="AA3"/>
      <c r="AB3"/>
      <c r="AC3"/>
      <c r="AD3"/>
      <c r="AE3"/>
      <c r="AF3"/>
      <c r="AG3"/>
      <c r="AH3"/>
      <c r="AI3"/>
      <c r="AJ3"/>
      <c r="AK3"/>
      <c r="AL3"/>
      <c r="AM3"/>
      <c r="AN3"/>
      <c r="AO3"/>
      <c r="AP3"/>
      <c r="AQ3"/>
      <c r="AR3"/>
      <c r="AS3"/>
      <c r="AT3"/>
      <c r="AU3"/>
      <c r="AV3"/>
      <c r="AW3"/>
      <c r="AX3"/>
      <c r="AY3"/>
      <c r="AZ3"/>
      <c r="BA3"/>
      <c r="BB3"/>
      <c r="BC3"/>
      <c r="BD3"/>
      <c r="BE3"/>
      <c r="BF3"/>
      <c r="BG3"/>
      <c r="BH3"/>
      <c r="BI3"/>
      <c r="BJ3"/>
      <c r="BK3"/>
      <c r="BL3"/>
      <c r="BM3"/>
      <c r="BN3"/>
      <c r="BO3"/>
      <c r="BP3"/>
      <c r="BQ3"/>
      <c r="BR3"/>
      <c r="BS3"/>
      <c r="BT3"/>
      <c r="BU3"/>
      <c r="BV3"/>
      <c r="BW3"/>
      <c r="BX3"/>
      <c r="BY3"/>
      <c r="BZ3"/>
      <c r="CA3"/>
      <c r="CB3"/>
      <c r="CC3"/>
      <c r="CD3"/>
      <c r="CE3"/>
      <c r="CF3"/>
      <c r="CG3"/>
      <c r="CH3"/>
      <c r="CI3"/>
      <c r="CJ3"/>
      <c r="CK3"/>
      <c r="CL3"/>
      <c r="CM3"/>
      <c r="CN3"/>
      <c r="CO3"/>
      <c r="CP3"/>
      <c r="CQ3"/>
      <c r="CR3"/>
      <c r="CS3"/>
      <c r="CT3"/>
      <c r="CU3"/>
      <c r="CV3"/>
      <c r="CW3"/>
      <c r="CX3"/>
      <c r="CY3"/>
      <c r="CZ3"/>
      <c r="DA3"/>
      <c r="DB3"/>
      <c r="DC3"/>
      <c r="DD3"/>
      <c r="DE3"/>
      <c r="DF3"/>
      <c r="DG3"/>
      <c r="DH3"/>
      <c r="DI3"/>
      <c r="DJ3"/>
      <c r="DK3"/>
      <c r="DL3"/>
      <c r="DM3"/>
      <c r="DN3"/>
      <c r="DO3"/>
      <c r="DP3"/>
      <c r="DQ3"/>
      <c r="DR3"/>
      <c r="DS3"/>
      <c r="DT3"/>
      <c r="DU3"/>
      <c r="DV3"/>
      <c r="DW3"/>
      <c r="DX3"/>
      <c r="DY3"/>
      <c r="DZ3"/>
      <c r="EA3"/>
      <c r="EB3"/>
      <c r="EC3"/>
      <c r="ED3"/>
      <c r="EE3"/>
      <c r="EF3"/>
      <c r="EG3"/>
      <c r="EH3"/>
      <c r="EI3"/>
      <c r="EJ3"/>
      <c r="EK3"/>
      <c r="EL3"/>
      <c r="EM3"/>
      <c r="EN3"/>
    </row>
    <row r="4" spans="1:144" x14ac:dyDescent="0.35">
      <c r="A4" s="1" t="str">
        <f t="shared" si="0"/>
        <v>1</v>
      </c>
      <c r="B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4" s="1" t="s">
        <v>2842</v>
      </c>
      <c r="K4" s="119" t="s">
        <v>100</v>
      </c>
      <c r="L4" s="1" t="s">
        <v>1556</v>
      </c>
      <c r="M4" s="1" t="s">
        <v>1557</v>
      </c>
      <c r="N4" s="1" t="s">
        <v>1558</v>
      </c>
      <c r="O4" s="1" t="s">
        <v>1559</v>
      </c>
      <c r="P4" s="1" t="s">
        <v>1560</v>
      </c>
      <c r="Q4" s="1" t="s">
        <v>1561</v>
      </c>
      <c r="R4" s="1" t="s">
        <v>1562</v>
      </c>
      <c r="S4" s="1" t="s">
        <v>1563</v>
      </c>
      <c r="T4" s="1" t="s">
        <v>1564</v>
      </c>
      <c r="U4" s="1" t="s">
        <v>1565</v>
      </c>
      <c r="V4" s="1" t="s">
        <v>1566</v>
      </c>
      <c r="W4" s="1" t="s">
        <v>1567</v>
      </c>
      <c r="X4" s="1" t="s">
        <v>1568</v>
      </c>
      <c r="Y4" s="1" t="s">
        <v>1569</v>
      </c>
      <c r="Z4" s="1" t="s">
        <v>1570</v>
      </c>
      <c r="AA4" s="1" t="s">
        <v>1571</v>
      </c>
      <c r="AB4" s="1" t="s">
        <v>1572</v>
      </c>
      <c r="AC4" s="1" t="s">
        <v>1573</v>
      </c>
      <c r="AD4" s="1" t="s">
        <v>1574</v>
      </c>
      <c r="AE4" s="1" t="s">
        <v>1576</v>
      </c>
      <c r="AF4"/>
      <c r="AG4"/>
      <c r="AH4"/>
      <c r="AI4"/>
      <c r="AJ4"/>
      <c r="AK4"/>
      <c r="AL4"/>
      <c r="AM4"/>
      <c r="AN4"/>
      <c r="AO4"/>
      <c r="AP4"/>
      <c r="AQ4"/>
      <c r="AR4"/>
      <c r="AS4"/>
      <c r="AT4"/>
      <c r="AU4"/>
      <c r="AV4"/>
      <c r="AW4"/>
      <c r="AX4"/>
      <c r="AY4"/>
      <c r="AZ4"/>
      <c r="BA4"/>
      <c r="BB4"/>
      <c r="BC4"/>
      <c r="BD4"/>
      <c r="BE4"/>
      <c r="BF4"/>
      <c r="BG4"/>
      <c r="BH4"/>
      <c r="BI4"/>
      <c r="BJ4"/>
      <c r="BK4"/>
      <c r="BL4"/>
      <c r="BM4"/>
      <c r="BN4"/>
      <c r="BO4"/>
      <c r="BP4"/>
      <c r="BQ4"/>
      <c r="BR4"/>
      <c r="BS4"/>
      <c r="BT4"/>
      <c r="BU4"/>
      <c r="BV4"/>
      <c r="BW4"/>
      <c r="BX4"/>
      <c r="BY4"/>
      <c r="BZ4"/>
      <c r="CA4"/>
      <c r="CB4"/>
      <c r="CC4"/>
      <c r="CD4"/>
      <c r="CE4"/>
      <c r="CF4"/>
      <c r="CG4"/>
      <c r="CH4"/>
      <c r="CI4"/>
      <c r="CJ4"/>
      <c r="CK4"/>
      <c r="CL4"/>
      <c r="CM4"/>
      <c r="CN4"/>
      <c r="CO4"/>
      <c r="CP4"/>
      <c r="CQ4"/>
      <c r="CR4"/>
      <c r="CS4"/>
      <c r="CT4"/>
      <c r="CU4"/>
      <c r="CV4"/>
      <c r="CW4"/>
      <c r="CX4"/>
      <c r="CY4"/>
      <c r="CZ4"/>
      <c r="DA4"/>
      <c r="DB4"/>
      <c r="DC4"/>
      <c r="DD4"/>
      <c r="DE4"/>
      <c r="DF4"/>
      <c r="DG4"/>
      <c r="DH4"/>
      <c r="DI4"/>
      <c r="DJ4"/>
      <c r="DK4"/>
      <c r="DL4"/>
      <c r="DM4"/>
      <c r="DN4"/>
      <c r="DO4"/>
      <c r="DP4"/>
      <c r="DQ4"/>
      <c r="DR4"/>
      <c r="DS4"/>
      <c r="DT4"/>
      <c r="DU4"/>
      <c r="DV4"/>
      <c r="DW4"/>
      <c r="DX4"/>
      <c r="DY4"/>
      <c r="DZ4"/>
      <c r="EA4"/>
      <c r="EB4"/>
      <c r="EC4"/>
      <c r="ED4"/>
      <c r="EE4"/>
      <c r="EF4"/>
      <c r="EG4"/>
      <c r="EH4"/>
      <c r="EI4"/>
      <c r="EJ4"/>
      <c r="EK4"/>
      <c r="EL4"/>
      <c r="EM4"/>
      <c r="EN4"/>
    </row>
    <row r="5" spans="1:144" x14ac:dyDescent="0.35">
      <c r="A5" s="1" t="str">
        <f t="shared" si="0"/>
        <v>1</v>
      </c>
      <c r="B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5" s="1" t="s">
        <v>2843</v>
      </c>
      <c r="D5" s="1" t="s">
        <v>1152</v>
      </c>
      <c r="E5" s="1" t="s">
        <v>2844</v>
      </c>
      <c r="F5" s="1" t="s">
        <v>112</v>
      </c>
      <c r="G5" s="1">
        <v>99995</v>
      </c>
      <c r="K5" s="146" t="s">
        <v>164</v>
      </c>
      <c r="L5" s="44">
        <v>276639.33333333331</v>
      </c>
      <c r="M5" s="44">
        <v>224334.25</v>
      </c>
      <c r="N5" s="44">
        <v>696807.5</v>
      </c>
      <c r="O5" s="44">
        <v>2147113.3333333335</v>
      </c>
      <c r="P5" s="44">
        <v>132672.25</v>
      </c>
      <c r="Q5" s="44">
        <v>348706.5</v>
      </c>
      <c r="R5" s="44">
        <v>472078</v>
      </c>
      <c r="S5" s="44">
        <v>617944</v>
      </c>
      <c r="T5" s="44">
        <v>1923734</v>
      </c>
      <c r="U5" s="44">
        <v>2825048.25</v>
      </c>
      <c r="V5" s="44">
        <v>5966260</v>
      </c>
      <c r="W5" s="44">
        <v>364333.66666666669</v>
      </c>
      <c r="X5" s="44">
        <v>140481</v>
      </c>
      <c r="Y5" s="44">
        <v>363090.25</v>
      </c>
      <c r="Z5" s="44">
        <v>268464.75</v>
      </c>
      <c r="AA5" s="44">
        <v>240207</v>
      </c>
      <c r="AB5" s="44">
        <v>66317.333333333328</v>
      </c>
      <c r="AC5" s="44">
        <v>32711.666666666668</v>
      </c>
      <c r="AD5" s="44">
        <v>195934.5</v>
      </c>
      <c r="AE5" s="44">
        <v>147991.66666666666</v>
      </c>
      <c r="AF5"/>
      <c r="AG5"/>
      <c r="AH5"/>
      <c r="AI5"/>
      <c r="AJ5"/>
      <c r="AK5"/>
      <c r="AL5"/>
      <c r="AM5"/>
      <c r="AN5"/>
      <c r="AO5"/>
      <c r="AP5"/>
      <c r="AQ5"/>
      <c r="AR5"/>
      <c r="AS5"/>
      <c r="AT5"/>
      <c r="AU5"/>
      <c r="AV5"/>
      <c r="AW5"/>
      <c r="AX5"/>
      <c r="AY5"/>
      <c r="AZ5"/>
      <c r="BA5"/>
      <c r="BB5"/>
      <c r="BC5"/>
      <c r="BD5"/>
      <c r="BE5"/>
      <c r="BF5"/>
      <c r="BG5"/>
      <c r="BH5"/>
      <c r="BI5"/>
      <c r="BJ5"/>
      <c r="BK5"/>
      <c r="BL5"/>
      <c r="BM5"/>
      <c r="BN5"/>
      <c r="BO5"/>
      <c r="BP5"/>
      <c r="BQ5"/>
      <c r="BR5"/>
      <c r="BS5"/>
      <c r="BT5"/>
      <c r="BU5"/>
      <c r="BV5"/>
      <c r="BW5"/>
      <c r="BX5"/>
      <c r="BY5"/>
      <c r="BZ5"/>
      <c r="CA5"/>
      <c r="CB5"/>
      <c r="CC5"/>
      <c r="CD5"/>
      <c r="CE5"/>
      <c r="CF5"/>
      <c r="CG5"/>
      <c r="CH5"/>
      <c r="CI5"/>
      <c r="CJ5"/>
      <c r="CK5"/>
      <c r="CL5"/>
      <c r="CM5"/>
      <c r="CN5"/>
      <c r="CO5"/>
      <c r="CP5"/>
      <c r="CQ5"/>
      <c r="CR5"/>
      <c r="CS5"/>
      <c r="CT5"/>
      <c r="CU5"/>
      <c r="CV5"/>
      <c r="CW5"/>
      <c r="CX5"/>
      <c r="CY5"/>
      <c r="CZ5"/>
      <c r="DA5"/>
      <c r="DB5"/>
      <c r="DC5"/>
      <c r="DD5"/>
      <c r="DE5"/>
      <c r="DF5"/>
      <c r="DG5"/>
      <c r="DH5"/>
      <c r="DI5"/>
      <c r="DJ5"/>
      <c r="DK5"/>
      <c r="DL5"/>
      <c r="DM5"/>
      <c r="DN5"/>
      <c r="DO5"/>
      <c r="DP5"/>
      <c r="DQ5"/>
      <c r="DR5"/>
      <c r="DS5"/>
      <c r="DT5"/>
      <c r="DU5"/>
      <c r="DV5"/>
      <c r="DW5"/>
      <c r="DX5"/>
      <c r="DY5"/>
      <c r="DZ5"/>
      <c r="EA5"/>
      <c r="EB5"/>
      <c r="EC5"/>
      <c r="ED5"/>
      <c r="EE5"/>
      <c r="EF5"/>
      <c r="EG5"/>
      <c r="EH5"/>
      <c r="EI5"/>
      <c r="EJ5"/>
      <c r="EK5"/>
      <c r="EL5"/>
      <c r="EM5"/>
      <c r="EN5"/>
    </row>
    <row r="6" spans="1:144" x14ac:dyDescent="0.35">
      <c r="A6" s="1" t="str">
        <f t="shared" si="0"/>
        <v>1</v>
      </c>
      <c r="B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6" s="1" t="s">
        <v>2845</v>
      </c>
      <c r="D6" s="1" t="s">
        <v>2846</v>
      </c>
      <c r="E6" s="1" t="s">
        <v>2847</v>
      </c>
      <c r="F6" s="1" t="s">
        <v>112</v>
      </c>
      <c r="G6" s="1">
        <v>349388</v>
      </c>
      <c r="K6" s="146" t="s">
        <v>1577</v>
      </c>
      <c r="L6" s="44">
        <v>148175.5</v>
      </c>
      <c r="M6" s="44">
        <v>2383625.25</v>
      </c>
      <c r="N6" s="44">
        <v>393037</v>
      </c>
      <c r="O6" s="44">
        <v>3481558.5</v>
      </c>
      <c r="P6" s="44">
        <v>284384.5</v>
      </c>
      <c r="Q6" s="44">
        <v>236166.25</v>
      </c>
      <c r="R6" s="44">
        <v>437286</v>
      </c>
      <c r="S6" s="44">
        <v>682798</v>
      </c>
      <c r="T6" s="44">
        <v>2626334.25</v>
      </c>
      <c r="U6" s="44">
        <v>2580084</v>
      </c>
      <c r="V6" s="44">
        <v>5184188.5</v>
      </c>
      <c r="W6" s="44">
        <v>379382.75</v>
      </c>
      <c r="X6" s="44">
        <v>188688.5</v>
      </c>
      <c r="Y6" s="44">
        <v>147488.75</v>
      </c>
      <c r="Z6" s="44">
        <v>16109</v>
      </c>
      <c r="AA6" s="44">
        <v>141394.75</v>
      </c>
      <c r="AB6" s="44">
        <v>17585</v>
      </c>
      <c r="AC6" s="44">
        <v>298417</v>
      </c>
      <c r="AD6" s="44">
        <v>249641.5</v>
      </c>
      <c r="AE6" s="44">
        <v>366188.5</v>
      </c>
      <c r="AF6"/>
      <c r="AG6"/>
      <c r="AH6"/>
      <c r="AI6"/>
      <c r="AJ6"/>
      <c r="AK6"/>
      <c r="AL6"/>
      <c r="AM6"/>
      <c r="AN6"/>
      <c r="AO6"/>
      <c r="AP6"/>
      <c r="AQ6"/>
      <c r="AR6"/>
      <c r="AS6"/>
      <c r="AT6"/>
      <c r="AU6"/>
      <c r="AV6"/>
      <c r="AW6"/>
      <c r="AX6"/>
      <c r="AY6"/>
      <c r="AZ6"/>
      <c r="BA6"/>
      <c r="BB6"/>
      <c r="BC6"/>
      <c r="BD6"/>
      <c r="BE6"/>
      <c r="BF6"/>
      <c r="BG6"/>
      <c r="BH6"/>
      <c r="BI6"/>
      <c r="BJ6"/>
      <c r="BK6"/>
      <c r="BL6"/>
      <c r="BM6"/>
      <c r="BN6"/>
      <c r="BO6"/>
      <c r="BP6"/>
      <c r="BQ6"/>
      <c r="BR6"/>
      <c r="BS6"/>
      <c r="BT6"/>
      <c r="BU6"/>
      <c r="BV6"/>
      <c r="BW6"/>
      <c r="BX6"/>
      <c r="BY6"/>
      <c r="BZ6"/>
      <c r="CA6"/>
      <c r="CB6"/>
      <c r="CC6"/>
      <c r="CD6"/>
      <c r="CE6"/>
      <c r="CF6"/>
      <c r="CG6"/>
      <c r="CH6"/>
      <c r="CI6"/>
      <c r="CJ6"/>
      <c r="CK6"/>
      <c r="CL6"/>
      <c r="CM6"/>
      <c r="CN6"/>
      <c r="CO6"/>
      <c r="CP6"/>
      <c r="CQ6"/>
      <c r="CR6"/>
      <c r="CS6"/>
      <c r="CT6"/>
      <c r="CU6"/>
      <c r="CV6"/>
      <c r="CW6"/>
      <c r="CX6"/>
      <c r="CY6"/>
      <c r="CZ6"/>
      <c r="DA6"/>
      <c r="DB6"/>
      <c r="DC6"/>
      <c r="DD6"/>
      <c r="DE6"/>
      <c r="DF6"/>
      <c r="DG6"/>
      <c r="DH6"/>
      <c r="DI6"/>
      <c r="DJ6"/>
      <c r="DK6"/>
      <c r="DL6"/>
      <c r="DM6"/>
      <c r="DN6"/>
      <c r="DO6"/>
      <c r="DP6"/>
      <c r="DQ6"/>
      <c r="DR6"/>
      <c r="DS6"/>
      <c r="DT6"/>
      <c r="DU6"/>
      <c r="DV6"/>
      <c r="DW6"/>
      <c r="DX6"/>
      <c r="DY6"/>
      <c r="DZ6"/>
      <c r="EA6"/>
      <c r="EB6"/>
      <c r="EC6"/>
      <c r="ED6"/>
      <c r="EE6"/>
      <c r="EF6"/>
      <c r="EG6"/>
      <c r="EH6"/>
      <c r="EI6"/>
      <c r="EJ6"/>
      <c r="EK6"/>
      <c r="EL6"/>
      <c r="EM6"/>
      <c r="EN6"/>
    </row>
    <row r="7" spans="1:144" x14ac:dyDescent="0.35">
      <c r="A7" s="1" t="str">
        <f t="shared" si="0"/>
        <v>1</v>
      </c>
      <c r="B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7" s="1" t="s">
        <v>2848</v>
      </c>
      <c r="D7" s="1" t="s">
        <v>1252</v>
      </c>
      <c r="E7" s="1" t="s">
        <v>2849</v>
      </c>
      <c r="F7" s="1" t="s">
        <v>112</v>
      </c>
      <c r="G7" s="1">
        <v>188050</v>
      </c>
      <c r="K7" s="146" t="s">
        <v>1578</v>
      </c>
      <c r="L7" s="44">
        <v>98891.75</v>
      </c>
      <c r="M7" s="44">
        <v>1803982.25</v>
      </c>
      <c r="N7" s="44">
        <v>2433074.6666666665</v>
      </c>
      <c r="O7" s="44">
        <v>3323087.25</v>
      </c>
      <c r="P7" s="44">
        <v>169421.5</v>
      </c>
      <c r="Q7" s="44">
        <v>494041</v>
      </c>
      <c r="R7" s="44">
        <v>196713</v>
      </c>
      <c r="S7" s="44">
        <v>3041119.6666666665</v>
      </c>
      <c r="T7" s="44">
        <v>3128991.5</v>
      </c>
      <c r="U7" s="44">
        <v>3289528.5</v>
      </c>
      <c r="V7" s="44">
        <v>4711640</v>
      </c>
      <c r="W7" s="44">
        <v>202683</v>
      </c>
      <c r="X7" s="44">
        <v>86590</v>
      </c>
      <c r="Y7" s="44">
        <v>18033.75</v>
      </c>
      <c r="Z7" s="44">
        <v>146067</v>
      </c>
      <c r="AA7" s="44">
        <v>198578.5</v>
      </c>
      <c r="AB7" s="44">
        <v>214255</v>
      </c>
      <c r="AC7" s="44">
        <v>300407</v>
      </c>
      <c r="AD7" s="44">
        <v>89715.5</v>
      </c>
      <c r="AE7" s="44">
        <v>74066</v>
      </c>
      <c r="AF7"/>
      <c r="AG7"/>
      <c r="AH7"/>
      <c r="AI7"/>
      <c r="AJ7"/>
      <c r="AK7"/>
      <c r="AL7"/>
      <c r="AM7"/>
      <c r="AN7"/>
      <c r="AO7"/>
      <c r="AP7"/>
      <c r="AQ7"/>
      <c r="AR7"/>
      <c r="AS7"/>
      <c r="AT7"/>
      <c r="AU7"/>
      <c r="AV7"/>
      <c r="AW7"/>
      <c r="AX7"/>
      <c r="AY7"/>
      <c r="AZ7"/>
      <c r="BA7"/>
      <c r="BB7"/>
      <c r="BC7"/>
      <c r="BD7"/>
      <c r="BE7"/>
      <c r="BF7"/>
      <c r="BG7"/>
      <c r="BH7"/>
      <c r="BI7"/>
      <c r="BJ7"/>
      <c r="BK7"/>
      <c r="BL7"/>
      <c r="BM7"/>
      <c r="BN7"/>
      <c r="BO7"/>
      <c r="BP7"/>
      <c r="BQ7"/>
      <c r="BR7"/>
      <c r="BS7"/>
      <c r="BT7"/>
      <c r="BU7"/>
      <c r="BV7"/>
      <c r="BW7"/>
      <c r="BX7"/>
      <c r="BY7"/>
      <c r="BZ7"/>
      <c r="CA7"/>
      <c r="CB7"/>
      <c r="CC7"/>
      <c r="CD7"/>
      <c r="CE7"/>
      <c r="CF7"/>
      <c r="CG7"/>
      <c r="CH7"/>
      <c r="CI7"/>
      <c r="CJ7"/>
      <c r="CK7"/>
      <c r="CL7"/>
      <c r="CM7"/>
      <c r="CN7"/>
      <c r="CO7"/>
      <c r="CP7"/>
      <c r="CQ7"/>
      <c r="CR7"/>
      <c r="CS7"/>
      <c r="CT7"/>
      <c r="CU7"/>
      <c r="CV7"/>
      <c r="CW7"/>
      <c r="CX7"/>
      <c r="CY7"/>
      <c r="CZ7"/>
      <c r="DA7"/>
      <c r="DB7"/>
      <c r="DC7"/>
      <c r="DD7"/>
      <c r="DE7"/>
      <c r="DF7"/>
      <c r="DG7"/>
      <c r="DH7"/>
      <c r="DI7"/>
      <c r="DJ7"/>
      <c r="DK7"/>
      <c r="DL7"/>
      <c r="DM7"/>
      <c r="DN7"/>
      <c r="DO7"/>
      <c r="DP7"/>
      <c r="DQ7"/>
      <c r="DR7"/>
      <c r="DS7"/>
      <c r="DT7"/>
      <c r="DU7"/>
      <c r="DV7"/>
      <c r="DW7"/>
      <c r="DX7"/>
      <c r="DY7"/>
      <c r="DZ7"/>
      <c r="EA7"/>
      <c r="EB7"/>
      <c r="EC7"/>
      <c r="ED7"/>
      <c r="EE7"/>
      <c r="EF7"/>
      <c r="EG7"/>
      <c r="EH7"/>
      <c r="EI7"/>
      <c r="EJ7"/>
      <c r="EK7"/>
      <c r="EL7"/>
      <c r="EM7"/>
      <c r="EN7"/>
    </row>
    <row r="8" spans="1:144" x14ac:dyDescent="0.35">
      <c r="A8" s="1" t="str">
        <f t="shared" si="0"/>
        <v>1</v>
      </c>
      <c r="B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8" s="1" t="s">
        <v>2850</v>
      </c>
      <c r="D8" s="1" t="s">
        <v>2851</v>
      </c>
      <c r="E8" s="1" t="s">
        <v>2852</v>
      </c>
      <c r="F8" s="1" t="s">
        <v>112</v>
      </c>
      <c r="G8" s="1">
        <v>156081</v>
      </c>
      <c r="K8" s="146" t="s">
        <v>1579</v>
      </c>
      <c r="L8" s="44">
        <v>346446</v>
      </c>
      <c r="M8" s="44">
        <v>2453299</v>
      </c>
      <c r="N8" s="44">
        <v>1107436.3333333333</v>
      </c>
      <c r="O8" s="44">
        <v>3442078.5</v>
      </c>
      <c r="P8" s="44">
        <v>237615.5</v>
      </c>
      <c r="Q8" s="44">
        <v>456099</v>
      </c>
      <c r="R8" s="44">
        <v>183805.5</v>
      </c>
      <c r="S8" s="44">
        <v>1098874.5</v>
      </c>
      <c r="T8" s="44">
        <v>2428815.5</v>
      </c>
      <c r="U8" s="44">
        <v>3001110.25</v>
      </c>
      <c r="V8" s="44">
        <v>4374019</v>
      </c>
      <c r="W8" s="44">
        <v>252350.5</v>
      </c>
      <c r="X8" s="44">
        <v>175305.25</v>
      </c>
      <c r="Y8" s="44">
        <v>221266.66666666666</v>
      </c>
      <c r="Z8" s="44">
        <v>129179</v>
      </c>
      <c r="AA8" s="44">
        <v>203786.25</v>
      </c>
      <c r="AB8" s="44">
        <v>170541</v>
      </c>
      <c r="AC8" s="44"/>
      <c r="AD8" s="44">
        <v>20288.75</v>
      </c>
      <c r="AE8" s="44">
        <v>420945</v>
      </c>
      <c r="AF8"/>
      <c r="AG8"/>
      <c r="AH8"/>
      <c r="AI8"/>
      <c r="AJ8"/>
      <c r="AK8"/>
      <c r="AL8"/>
      <c r="AM8"/>
      <c r="AN8"/>
      <c r="AO8"/>
      <c r="AP8"/>
      <c r="AQ8"/>
      <c r="AR8"/>
      <c r="AS8"/>
      <c r="AT8"/>
      <c r="AU8"/>
      <c r="AV8"/>
      <c r="AW8"/>
      <c r="AX8"/>
      <c r="AY8"/>
      <c r="AZ8"/>
      <c r="BA8"/>
      <c r="BB8"/>
      <c r="BC8"/>
      <c r="BD8"/>
      <c r="BE8"/>
      <c r="BF8"/>
      <c r="BG8"/>
      <c r="BH8"/>
      <c r="BI8"/>
      <c r="BJ8"/>
      <c r="BK8"/>
      <c r="BL8"/>
      <c r="BM8"/>
      <c r="BN8"/>
      <c r="BO8"/>
      <c r="BP8"/>
      <c r="BQ8"/>
      <c r="BR8"/>
      <c r="BS8"/>
      <c r="BT8"/>
      <c r="BU8"/>
      <c r="BV8"/>
      <c r="BW8"/>
      <c r="BX8"/>
      <c r="BY8"/>
      <c r="BZ8"/>
      <c r="CA8"/>
      <c r="CB8"/>
      <c r="CC8"/>
      <c r="CD8"/>
      <c r="CE8"/>
      <c r="CF8"/>
      <c r="CG8"/>
      <c r="CH8"/>
      <c r="CI8"/>
      <c r="CJ8"/>
      <c r="CK8"/>
      <c r="CL8"/>
      <c r="CM8"/>
      <c r="CN8"/>
      <c r="CO8"/>
      <c r="CP8"/>
      <c r="CQ8"/>
      <c r="CR8"/>
      <c r="CS8"/>
      <c r="CT8"/>
      <c r="CU8"/>
      <c r="CV8"/>
      <c r="CW8"/>
      <c r="CX8"/>
      <c r="CY8"/>
      <c r="CZ8"/>
      <c r="DA8"/>
      <c r="DB8"/>
      <c r="DC8"/>
      <c r="DD8"/>
      <c r="DE8"/>
      <c r="DF8"/>
      <c r="DG8"/>
      <c r="DH8"/>
      <c r="DI8"/>
      <c r="DJ8"/>
      <c r="DK8"/>
      <c r="DL8"/>
      <c r="DM8"/>
      <c r="DN8"/>
      <c r="DO8"/>
      <c r="DP8"/>
      <c r="DQ8"/>
      <c r="DR8"/>
      <c r="DS8"/>
      <c r="DT8"/>
      <c r="DU8"/>
      <c r="DV8"/>
      <c r="DW8"/>
      <c r="DX8"/>
      <c r="DY8"/>
      <c r="DZ8"/>
      <c r="EA8"/>
      <c r="EB8"/>
      <c r="EC8"/>
      <c r="ED8"/>
      <c r="EE8"/>
      <c r="EF8"/>
      <c r="EG8"/>
      <c r="EH8"/>
      <c r="EI8"/>
      <c r="EJ8"/>
      <c r="EK8"/>
      <c r="EL8"/>
      <c r="EM8"/>
      <c r="EN8"/>
    </row>
    <row r="9" spans="1:144" x14ac:dyDescent="0.35">
      <c r="A9" s="1" t="str">
        <f t="shared" si="0"/>
        <v>1</v>
      </c>
      <c r="B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9" s="1" t="s">
        <v>2853</v>
      </c>
      <c r="D9" s="1" t="s">
        <v>149</v>
      </c>
      <c r="E9" s="1" t="s">
        <v>2854</v>
      </c>
      <c r="F9" s="1" t="s">
        <v>112</v>
      </c>
      <c r="G9" s="1">
        <v>188721</v>
      </c>
      <c r="K9" s="146" t="s">
        <v>1580</v>
      </c>
      <c r="L9" s="44">
        <v>264349.75</v>
      </c>
      <c r="M9" s="44">
        <v>637750.33333333337</v>
      </c>
      <c r="N9" s="44">
        <v>2085300.25</v>
      </c>
      <c r="O9" s="44">
        <v>4822331</v>
      </c>
      <c r="P9" s="44">
        <v>413942</v>
      </c>
      <c r="Q9" s="44">
        <v>236681.66666666666</v>
      </c>
      <c r="R9" s="44">
        <v>389197.5</v>
      </c>
      <c r="S9" s="44">
        <v>1033881.75</v>
      </c>
      <c r="T9" s="44">
        <v>2112563</v>
      </c>
      <c r="U9" s="44">
        <v>2341003.5</v>
      </c>
      <c r="V9" s="44">
        <v>4643738</v>
      </c>
      <c r="W9" s="44">
        <v>64695</v>
      </c>
      <c r="X9" s="44">
        <v>250890.5</v>
      </c>
      <c r="Y9" s="44">
        <v>210453.5</v>
      </c>
      <c r="Z9" s="44">
        <v>246932.25</v>
      </c>
      <c r="AA9" s="44">
        <v>6581</v>
      </c>
      <c r="AB9" s="44">
        <v>329742.25</v>
      </c>
      <c r="AC9" s="44"/>
      <c r="AD9" s="44">
        <v>259023.25</v>
      </c>
      <c r="AE9" s="44">
        <v>161104.75</v>
      </c>
      <c r="AF9"/>
      <c r="AG9"/>
      <c r="AH9"/>
      <c r="AI9"/>
      <c r="AJ9"/>
      <c r="AK9"/>
      <c r="AL9"/>
      <c r="AM9"/>
      <c r="AN9"/>
      <c r="AO9"/>
      <c r="AP9"/>
      <c r="AQ9"/>
      <c r="AR9"/>
      <c r="AS9"/>
      <c r="AT9"/>
      <c r="AU9"/>
      <c r="AV9"/>
      <c r="AW9"/>
      <c r="AX9"/>
      <c r="AY9"/>
      <c r="AZ9"/>
      <c r="BA9"/>
      <c r="BB9"/>
      <c r="BC9"/>
      <c r="BD9"/>
      <c r="BE9"/>
      <c r="BF9"/>
      <c r="BG9"/>
      <c r="BH9"/>
      <c r="BI9"/>
      <c r="BJ9"/>
      <c r="BK9"/>
      <c r="BL9"/>
      <c r="BM9"/>
      <c r="BN9"/>
      <c r="BO9"/>
      <c r="BP9"/>
      <c r="BQ9"/>
      <c r="BR9"/>
      <c r="BS9"/>
      <c r="BT9"/>
      <c r="BU9"/>
      <c r="BV9"/>
      <c r="BW9"/>
      <c r="BX9"/>
      <c r="BY9"/>
      <c r="BZ9"/>
      <c r="CA9"/>
      <c r="CB9"/>
      <c r="CC9"/>
      <c r="CD9"/>
      <c r="CE9"/>
      <c r="CF9"/>
      <c r="CG9"/>
      <c r="CH9"/>
      <c r="CI9"/>
      <c r="CJ9"/>
      <c r="CK9"/>
      <c r="CL9"/>
      <c r="CM9"/>
      <c r="CN9"/>
      <c r="CO9"/>
      <c r="CP9"/>
      <c r="CQ9"/>
      <c r="CR9"/>
      <c r="CS9"/>
      <c r="CT9"/>
      <c r="CU9"/>
      <c r="CV9"/>
      <c r="CW9"/>
      <c r="CX9"/>
      <c r="CY9"/>
      <c r="CZ9"/>
      <c r="DA9"/>
      <c r="DB9"/>
      <c r="DC9"/>
      <c r="DD9"/>
      <c r="DE9"/>
      <c r="DF9"/>
      <c r="DG9"/>
      <c r="DH9"/>
      <c r="DI9"/>
      <c r="DJ9"/>
      <c r="DK9"/>
      <c r="DL9"/>
      <c r="DM9"/>
      <c r="DN9"/>
      <c r="DO9"/>
      <c r="DP9"/>
      <c r="DQ9"/>
      <c r="DR9"/>
      <c r="DS9"/>
      <c r="DT9"/>
      <c r="DU9"/>
      <c r="DV9"/>
      <c r="DW9"/>
      <c r="DX9"/>
      <c r="DY9"/>
      <c r="DZ9"/>
      <c r="EA9"/>
      <c r="EB9"/>
      <c r="EC9"/>
      <c r="ED9"/>
      <c r="EE9"/>
      <c r="EF9"/>
      <c r="EG9"/>
      <c r="EH9"/>
      <c r="EI9"/>
      <c r="EJ9"/>
      <c r="EK9"/>
      <c r="EL9"/>
      <c r="EM9"/>
      <c r="EN9"/>
    </row>
    <row r="10" spans="1:144" x14ac:dyDescent="0.35">
      <c r="A10" s="1" t="str">
        <f t="shared" si="0"/>
        <v>1</v>
      </c>
      <c r="B1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10" s="1" t="s">
        <v>2855</v>
      </c>
      <c r="D10" s="1" t="s">
        <v>200</v>
      </c>
      <c r="E10" s="1" t="s">
        <v>2856</v>
      </c>
      <c r="F10" s="1" t="s">
        <v>112</v>
      </c>
      <c r="G10" s="1">
        <v>59850</v>
      </c>
      <c r="K10" s="146" t="s">
        <v>1581</v>
      </c>
      <c r="L10" s="44">
        <v>317667.75</v>
      </c>
      <c r="M10" s="44">
        <v>3376023</v>
      </c>
      <c r="N10" s="44">
        <v>2051422.25</v>
      </c>
      <c r="O10" s="44">
        <v>3322741</v>
      </c>
      <c r="P10" s="44">
        <v>528953.75</v>
      </c>
      <c r="Q10" s="44">
        <v>850146.75</v>
      </c>
      <c r="R10" s="44">
        <v>352648.5</v>
      </c>
      <c r="S10" s="44">
        <v>95561</v>
      </c>
      <c r="T10" s="44">
        <v>3638786.25</v>
      </c>
      <c r="U10" s="44">
        <v>3538888.5</v>
      </c>
      <c r="V10" s="44">
        <v>6543416.25</v>
      </c>
      <c r="W10" s="44">
        <v>139291</v>
      </c>
      <c r="X10" s="44">
        <v>304332.5</v>
      </c>
      <c r="Y10" s="44">
        <v>88552.75</v>
      </c>
      <c r="Z10" s="44">
        <v>218451</v>
      </c>
      <c r="AA10" s="44">
        <v>260489</v>
      </c>
      <c r="AB10" s="44">
        <v>374451.5</v>
      </c>
      <c r="AC10" s="44"/>
      <c r="AD10" s="44">
        <v>316005.33333333331</v>
      </c>
      <c r="AE10" s="44">
        <v>140551</v>
      </c>
      <c r="AF10"/>
      <c r="AG10"/>
      <c r="AH10"/>
      <c r="AI10"/>
      <c r="AJ10"/>
      <c r="AK10"/>
      <c r="AL10"/>
      <c r="AM10"/>
      <c r="AN10"/>
      <c r="AO10"/>
      <c r="AP10"/>
      <c r="AQ10"/>
      <c r="AR10"/>
      <c r="AS10"/>
      <c r="AT10"/>
      <c r="AU10"/>
      <c r="AV10"/>
      <c r="AW10"/>
      <c r="AX10"/>
      <c r="AY10"/>
      <c r="AZ10"/>
      <c r="BA10"/>
      <c r="BB10"/>
      <c r="BC10"/>
      <c r="BD10"/>
      <c r="BE10"/>
      <c r="BF10"/>
      <c r="BG10"/>
      <c r="BH10"/>
      <c r="BI10"/>
      <c r="BJ10"/>
      <c r="BK10"/>
      <c r="BL10"/>
      <c r="BM10"/>
      <c r="BN10"/>
      <c r="BO10"/>
      <c r="BP10"/>
      <c r="BQ10"/>
      <c r="BR10"/>
      <c r="BS10"/>
      <c r="BT10"/>
      <c r="BU10"/>
      <c r="BV10"/>
      <c r="BW10"/>
      <c r="BX10"/>
      <c r="BY10"/>
      <c r="BZ10"/>
      <c r="CA10"/>
      <c r="CB10"/>
      <c r="CC10"/>
      <c r="CD10"/>
      <c r="CE10"/>
      <c r="CF10"/>
      <c r="CG10"/>
      <c r="CH10"/>
      <c r="CI10"/>
      <c r="CJ10"/>
      <c r="CK10"/>
      <c r="CL10"/>
      <c r="CM10"/>
      <c r="CN10"/>
      <c r="CO10"/>
      <c r="CP10"/>
      <c r="CQ10"/>
      <c r="CR10"/>
      <c r="CS10"/>
      <c r="CT10"/>
      <c r="CU10"/>
      <c r="CV10"/>
      <c r="CW10"/>
      <c r="CX10"/>
      <c r="CY10"/>
      <c r="CZ10"/>
      <c r="DA10"/>
      <c r="DB10"/>
      <c r="DC10"/>
      <c r="DD10"/>
      <c r="DE10"/>
      <c r="DF10"/>
      <c r="DG10"/>
      <c r="DH10"/>
      <c r="DI10"/>
      <c r="DJ10"/>
      <c r="DK10"/>
      <c r="DL10"/>
      <c r="DM10"/>
      <c r="DN10"/>
      <c r="DO10"/>
      <c r="DP10"/>
      <c r="DQ10"/>
      <c r="DR10"/>
      <c r="DS10"/>
      <c r="DT10"/>
      <c r="DU10"/>
      <c r="DV10"/>
      <c r="DW10"/>
      <c r="DX10"/>
      <c r="DY10"/>
      <c r="DZ10"/>
      <c r="EA10"/>
      <c r="EB10"/>
      <c r="EC10"/>
      <c r="ED10"/>
      <c r="EE10"/>
      <c r="EF10"/>
      <c r="EG10"/>
      <c r="EH10"/>
      <c r="EI10"/>
      <c r="EJ10"/>
      <c r="EK10"/>
      <c r="EL10"/>
      <c r="EM10"/>
      <c r="EN10"/>
    </row>
    <row r="11" spans="1:144" x14ac:dyDescent="0.35">
      <c r="A11" s="1" t="str">
        <f t="shared" si="0"/>
        <v>1</v>
      </c>
      <c r="B1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11" s="1" t="s">
        <v>2857</v>
      </c>
      <c r="D11" s="1" t="s">
        <v>1451</v>
      </c>
      <c r="E11" s="1" t="s">
        <v>2858</v>
      </c>
      <c r="F11" s="1" t="s">
        <v>112</v>
      </c>
      <c r="G11" s="1">
        <v>3266</v>
      </c>
      <c r="K11" s="146" t="s">
        <v>1582</v>
      </c>
      <c r="L11" s="44">
        <v>298157.25</v>
      </c>
      <c r="M11" s="44">
        <v>2218340.25</v>
      </c>
      <c r="N11" s="44">
        <v>2543243</v>
      </c>
      <c r="O11" s="44">
        <v>2581312</v>
      </c>
      <c r="P11" s="44">
        <v>226775</v>
      </c>
      <c r="Q11" s="44">
        <v>300109.25</v>
      </c>
      <c r="R11" s="44">
        <v>109501.25</v>
      </c>
      <c r="S11" s="44">
        <v>234549</v>
      </c>
      <c r="T11" s="44">
        <v>851217.25</v>
      </c>
      <c r="U11" s="44">
        <v>2891284.25</v>
      </c>
      <c r="V11" s="44">
        <v>4575566.25</v>
      </c>
      <c r="W11" s="44">
        <v>251858.33333333334</v>
      </c>
      <c r="X11" s="44">
        <v>363571.75</v>
      </c>
      <c r="Y11" s="44">
        <v>297816.5</v>
      </c>
      <c r="Z11" s="44">
        <v>197265</v>
      </c>
      <c r="AA11" s="44">
        <v>222629</v>
      </c>
      <c r="AB11" s="44">
        <v>176694.5</v>
      </c>
      <c r="AC11" s="44"/>
      <c r="AD11" s="44">
        <v>108257.5</v>
      </c>
      <c r="AE11" s="44">
        <v>453811.25</v>
      </c>
      <c r="AF11"/>
      <c r="AG11"/>
    </row>
    <row r="12" spans="1:144" x14ac:dyDescent="0.35">
      <c r="A12" s="1" t="str">
        <f t="shared" si="0"/>
        <v>1</v>
      </c>
      <c r="B1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12" s="1" t="s">
        <v>2859</v>
      </c>
      <c r="D12" s="1" t="s">
        <v>1228</v>
      </c>
      <c r="E12" s="1" t="s">
        <v>2860</v>
      </c>
      <c r="F12" s="1" t="s">
        <v>112</v>
      </c>
      <c r="G12" s="1">
        <v>387002</v>
      </c>
      <c r="K12" s="146" t="s">
        <v>1583</v>
      </c>
      <c r="L12" s="44">
        <v>184454.5</v>
      </c>
      <c r="M12" s="44">
        <v>3870334.5</v>
      </c>
      <c r="N12" s="44">
        <v>2277946.75</v>
      </c>
      <c r="O12" s="44">
        <v>4275689.5</v>
      </c>
      <c r="P12" s="44">
        <v>126767.25</v>
      </c>
      <c r="Q12" s="44">
        <v>414428.5</v>
      </c>
      <c r="R12" s="44">
        <v>325070.25</v>
      </c>
      <c r="S12" s="44">
        <v>258012.25</v>
      </c>
      <c r="T12" s="44">
        <v>30520</v>
      </c>
      <c r="U12" s="44">
        <v>2631238.75</v>
      </c>
      <c r="V12" s="44">
        <v>5965557.25</v>
      </c>
      <c r="W12" s="44">
        <v>111583</v>
      </c>
      <c r="X12" s="44">
        <v>108358.66666666667</v>
      </c>
      <c r="Y12" s="44">
        <v>288137</v>
      </c>
      <c r="Z12" s="44">
        <v>226546</v>
      </c>
      <c r="AA12" s="44">
        <v>329958.75</v>
      </c>
      <c r="AB12" s="44">
        <v>458618.75</v>
      </c>
      <c r="AC12" s="44"/>
      <c r="AD12" s="44">
        <v>52070.333333333336</v>
      </c>
      <c r="AE12" s="44">
        <v>296668.33333333331</v>
      </c>
      <c r="AF12"/>
      <c r="AG12"/>
    </row>
    <row r="13" spans="1:144" x14ac:dyDescent="0.35">
      <c r="A13" s="1" t="str">
        <f t="shared" si="0"/>
        <v>1</v>
      </c>
      <c r="B1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13" s="1" t="s">
        <v>2861</v>
      </c>
      <c r="D13" s="1" t="s">
        <v>1297</v>
      </c>
      <c r="E13" s="1" t="s">
        <v>2862</v>
      </c>
      <c r="F13" s="1" t="s">
        <v>112</v>
      </c>
      <c r="G13" s="1">
        <v>4650</v>
      </c>
      <c r="K13"/>
      <c r="L13"/>
      <c r="M13"/>
      <c r="N13"/>
      <c r="O13"/>
      <c r="P13"/>
      <c r="Q13"/>
      <c r="R13"/>
      <c r="S13"/>
      <c r="T13"/>
      <c r="U13"/>
      <c r="V13"/>
      <c r="W13"/>
      <c r="X13"/>
      <c r="Y13"/>
      <c r="Z13"/>
      <c r="AA13"/>
      <c r="AB13"/>
      <c r="AC13"/>
      <c r="AD13"/>
      <c r="AE13"/>
      <c r="AF13"/>
      <c r="AG13"/>
    </row>
    <row r="14" spans="1:144" x14ac:dyDescent="0.35">
      <c r="A14" s="1" t="str">
        <f t="shared" si="0"/>
        <v>1</v>
      </c>
      <c r="B1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14" s="1" t="s">
        <v>2863</v>
      </c>
      <c r="D14" s="1" t="s">
        <v>215</v>
      </c>
      <c r="E14" s="1">
        <v>30</v>
      </c>
      <c r="F14" s="1" t="s">
        <v>112</v>
      </c>
      <c r="G14" s="1">
        <v>649</v>
      </c>
      <c r="K14"/>
      <c r="L14"/>
      <c r="M14"/>
      <c r="N14"/>
      <c r="O14"/>
      <c r="P14"/>
      <c r="Q14"/>
      <c r="R14"/>
      <c r="S14"/>
      <c r="T14"/>
      <c r="U14"/>
      <c r="V14"/>
      <c r="W14"/>
      <c r="X14"/>
      <c r="Y14"/>
      <c r="Z14"/>
      <c r="AA14"/>
      <c r="AB14"/>
      <c r="AC14"/>
      <c r="AD14"/>
      <c r="AE14"/>
      <c r="AF14"/>
      <c r="AG14"/>
    </row>
    <row r="15" spans="1:144" x14ac:dyDescent="0.35">
      <c r="A15" s="1" t="str">
        <f t="shared" si="0"/>
        <v>1</v>
      </c>
      <c r="B1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15" s="1" t="s">
        <v>2864</v>
      </c>
      <c r="D15" s="1" t="s">
        <v>1157</v>
      </c>
      <c r="E15" s="1" t="s">
        <v>2865</v>
      </c>
      <c r="F15" s="1" t="s">
        <v>112</v>
      </c>
      <c r="G15" s="1">
        <v>385877</v>
      </c>
    </row>
    <row r="16" spans="1:144" x14ac:dyDescent="0.35">
      <c r="A16" s="1" t="str">
        <f t="shared" si="0"/>
        <v>1</v>
      </c>
      <c r="B1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16" s="1" t="s">
        <v>2866</v>
      </c>
      <c r="D16" s="1" t="s">
        <v>1331</v>
      </c>
      <c r="E16" s="1" t="s">
        <v>2867</v>
      </c>
      <c r="F16" s="1" t="s">
        <v>112</v>
      </c>
      <c r="G16" s="1">
        <v>300223</v>
      </c>
    </row>
    <row r="17" spans="1:7" x14ac:dyDescent="0.35">
      <c r="A17" s="1" t="str">
        <f t="shared" si="0"/>
        <v>1</v>
      </c>
      <c r="B1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17" s="1" t="s">
        <v>2868</v>
      </c>
      <c r="D17" s="1" t="s">
        <v>2869</v>
      </c>
      <c r="E17" s="1" t="s">
        <v>2870</v>
      </c>
      <c r="F17" s="1" t="s">
        <v>112</v>
      </c>
      <c r="G17" s="1">
        <v>435951</v>
      </c>
    </row>
    <row r="18" spans="1:7" x14ac:dyDescent="0.35">
      <c r="A18" s="1" t="str">
        <f t="shared" si="0"/>
        <v>1</v>
      </c>
      <c r="B1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18" s="1" t="s">
        <v>2871</v>
      </c>
      <c r="D18" s="1" t="s">
        <v>604</v>
      </c>
      <c r="E18" s="1" t="s">
        <v>2872</v>
      </c>
      <c r="F18" s="1" t="s">
        <v>112</v>
      </c>
      <c r="G18" s="1">
        <v>263733</v>
      </c>
    </row>
    <row r="19" spans="1:7" x14ac:dyDescent="0.35">
      <c r="A19" s="1" t="str">
        <f t="shared" si="0"/>
        <v>1</v>
      </c>
      <c r="B1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19" s="1" t="s">
        <v>2873</v>
      </c>
      <c r="D19" s="1" t="s">
        <v>1099</v>
      </c>
      <c r="E19" s="1" t="s">
        <v>2874</v>
      </c>
      <c r="F19" s="1" t="s">
        <v>112</v>
      </c>
      <c r="G19" s="1">
        <v>273294</v>
      </c>
    </row>
    <row r="20" spans="1:7" x14ac:dyDescent="0.35">
      <c r="A20" s="1" t="str">
        <f t="shared" si="0"/>
        <v>1</v>
      </c>
      <c r="B2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20" s="1" t="s">
        <v>2875</v>
      </c>
      <c r="D20" s="1" t="s">
        <v>2876</v>
      </c>
      <c r="E20" s="1" t="s">
        <v>2877</v>
      </c>
      <c r="F20" s="1" t="s">
        <v>112</v>
      </c>
      <c r="G20" s="1">
        <v>300893</v>
      </c>
    </row>
    <row r="21" spans="1:7" x14ac:dyDescent="0.35">
      <c r="A21" s="1" t="str">
        <f t="shared" si="0"/>
        <v>1</v>
      </c>
      <c r="B2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21" s="1" t="s">
        <v>2878</v>
      </c>
      <c r="D21" s="1" t="s">
        <v>1054</v>
      </c>
      <c r="E21" s="1" t="s">
        <v>2879</v>
      </c>
      <c r="F21" s="1" t="s">
        <v>112</v>
      </c>
      <c r="G21" s="1">
        <v>214893</v>
      </c>
    </row>
    <row r="22" spans="1:7" x14ac:dyDescent="0.35">
      <c r="A22" s="1" t="str">
        <f t="shared" si="0"/>
        <v>1</v>
      </c>
      <c r="B2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22" s="1" t="s">
        <v>2880</v>
      </c>
      <c r="D22" s="1" t="s">
        <v>1431</v>
      </c>
      <c r="E22" s="1" t="s">
        <v>2881</v>
      </c>
      <c r="F22" s="1" t="s">
        <v>112</v>
      </c>
      <c r="G22" s="1">
        <v>268319</v>
      </c>
    </row>
    <row r="23" spans="1:7" x14ac:dyDescent="0.35">
      <c r="A23" s="1" t="str">
        <f t="shared" si="0"/>
        <v>1</v>
      </c>
      <c r="B2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23" s="1" t="s">
        <v>2882</v>
      </c>
      <c r="D23" s="1" t="s">
        <v>2883</v>
      </c>
      <c r="E23" s="1" t="s">
        <v>2884</v>
      </c>
      <c r="F23" s="1" t="s">
        <v>112</v>
      </c>
      <c r="G23" s="1">
        <v>243423</v>
      </c>
    </row>
    <row r="24" spans="1:7" x14ac:dyDescent="0.35">
      <c r="A24" s="1" t="str">
        <f t="shared" si="0"/>
        <v>1</v>
      </c>
      <c r="B2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24" s="1" t="s">
        <v>2885</v>
      </c>
      <c r="D24" s="1" t="s">
        <v>2886</v>
      </c>
      <c r="E24" s="1" t="s">
        <v>2887</v>
      </c>
      <c r="F24" s="1" t="s">
        <v>112</v>
      </c>
      <c r="G24" s="1">
        <v>424487</v>
      </c>
    </row>
    <row r="25" spans="1:7" x14ac:dyDescent="0.35">
      <c r="A25" s="1" t="str">
        <f t="shared" si="0"/>
        <v>1</v>
      </c>
      <c r="B2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25" s="1" t="s">
        <v>2888</v>
      </c>
      <c r="D25" s="1" t="s">
        <v>1497</v>
      </c>
      <c r="E25" s="1" t="s">
        <v>2889</v>
      </c>
      <c r="F25" s="1" t="s">
        <v>112</v>
      </c>
      <c r="G25" s="1">
        <v>361717</v>
      </c>
    </row>
    <row r="26" spans="1:7" x14ac:dyDescent="0.35">
      <c r="A26" s="1" t="str">
        <f t="shared" si="0"/>
        <v>1</v>
      </c>
      <c r="B2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26" s="1" t="s">
        <v>2890</v>
      </c>
      <c r="D26" s="1" t="s">
        <v>2891</v>
      </c>
      <c r="E26" s="1" t="s">
        <v>2892</v>
      </c>
      <c r="F26" s="1" t="s">
        <v>112</v>
      </c>
      <c r="G26" s="1">
        <v>241044</v>
      </c>
    </row>
    <row r="27" spans="1:7" x14ac:dyDescent="0.35">
      <c r="A27" s="1" t="str">
        <f t="shared" si="0"/>
        <v>1</v>
      </c>
      <c r="B2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27" s="1" t="s">
        <v>2893</v>
      </c>
      <c r="D27" s="1" t="s">
        <v>2894</v>
      </c>
      <c r="E27" s="1" t="s">
        <v>2895</v>
      </c>
      <c r="F27" s="1" t="s">
        <v>112</v>
      </c>
      <c r="G27" s="1">
        <v>331175</v>
      </c>
    </row>
    <row r="28" spans="1:7" x14ac:dyDescent="0.35">
      <c r="A28" s="1" t="str">
        <f t="shared" si="0"/>
        <v>1</v>
      </c>
      <c r="B2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28" s="1" t="s">
        <v>2896</v>
      </c>
      <c r="D28" s="1" t="s">
        <v>2897</v>
      </c>
      <c r="E28" s="1" t="s">
        <v>2898</v>
      </c>
      <c r="F28" s="1" t="s">
        <v>112</v>
      </c>
      <c r="G28" s="1">
        <v>221901</v>
      </c>
    </row>
    <row r="29" spans="1:7" x14ac:dyDescent="0.35">
      <c r="A29" s="1" t="str">
        <f t="shared" si="0"/>
        <v>1</v>
      </c>
      <c r="B2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29" s="1" t="s">
        <v>2899</v>
      </c>
      <c r="D29" s="1" t="s">
        <v>207</v>
      </c>
      <c r="E29" s="1" t="s">
        <v>2900</v>
      </c>
      <c r="F29" s="1" t="s">
        <v>112</v>
      </c>
      <c r="G29" s="1">
        <v>166918</v>
      </c>
    </row>
    <row r="30" spans="1:7" x14ac:dyDescent="0.35">
      <c r="A30" s="1" t="str">
        <f t="shared" si="0"/>
        <v>1</v>
      </c>
      <c r="B3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30" s="1" t="s">
        <v>2901</v>
      </c>
      <c r="D30" s="1" t="s">
        <v>2902</v>
      </c>
      <c r="E30" s="1" t="s">
        <v>2903</v>
      </c>
      <c r="F30" s="1" t="s">
        <v>112</v>
      </c>
      <c r="G30" s="1">
        <v>472635</v>
      </c>
    </row>
    <row r="31" spans="1:7" x14ac:dyDescent="0.35">
      <c r="A31" s="1" t="str">
        <f t="shared" si="0"/>
        <v>1</v>
      </c>
      <c r="B3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31" s="1" t="s">
        <v>2904</v>
      </c>
      <c r="D31" s="1" t="s">
        <v>565</v>
      </c>
      <c r="E31" s="1" t="s">
        <v>2905</v>
      </c>
      <c r="F31" s="1" t="s">
        <v>112</v>
      </c>
      <c r="G31" s="1">
        <v>220387</v>
      </c>
    </row>
    <row r="32" spans="1:7" x14ac:dyDescent="0.35">
      <c r="A32" s="1" t="str">
        <f t="shared" si="0"/>
        <v>1</v>
      </c>
      <c r="B3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32" s="1" t="s">
        <v>2906</v>
      </c>
      <c r="D32" s="1" t="s">
        <v>997</v>
      </c>
      <c r="E32" s="1" t="s">
        <v>2907</v>
      </c>
      <c r="F32" s="1" t="s">
        <v>112</v>
      </c>
      <c r="G32" s="1">
        <v>5256</v>
      </c>
    </row>
    <row r="33" spans="1:8" x14ac:dyDescent="0.35">
      <c r="A33" s="1" t="str">
        <f t="shared" si="0"/>
        <v>1</v>
      </c>
      <c r="B3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33" s="1" t="s">
        <v>2908</v>
      </c>
      <c r="D33" s="1" t="s">
        <v>626</v>
      </c>
      <c r="E33" s="1" t="s">
        <v>2909</v>
      </c>
      <c r="F33" s="1" t="s">
        <v>112</v>
      </c>
      <c r="G33" s="1">
        <v>221642</v>
      </c>
    </row>
    <row r="34" spans="1:8" x14ac:dyDescent="0.35">
      <c r="A34" s="1" t="str">
        <f t="shared" si="0"/>
        <v>1</v>
      </c>
      <c r="B3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34" s="1" t="s">
        <v>2910</v>
      </c>
      <c r="D34" s="1" t="s">
        <v>577</v>
      </c>
      <c r="E34" s="1" t="s">
        <v>2911</v>
      </c>
      <c r="F34" s="1" t="s">
        <v>112</v>
      </c>
      <c r="G34" s="1">
        <v>290533</v>
      </c>
    </row>
    <row r="35" spans="1:8" x14ac:dyDescent="0.35">
      <c r="A35" s="1" t="str">
        <f t="shared" si="0"/>
        <v/>
      </c>
      <c r="B3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35" s="1" t="s">
        <v>112</v>
      </c>
    </row>
    <row r="36" spans="1:8" x14ac:dyDescent="0.35">
      <c r="A36" s="1" t="str">
        <f t="shared" si="0"/>
        <v/>
      </c>
      <c r="B3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36" s="1" t="s">
        <v>226</v>
      </c>
      <c r="D36" s="1" t="s">
        <v>112</v>
      </c>
      <c r="E36" s="1" t="s">
        <v>227</v>
      </c>
      <c r="F36" s="1" t="s">
        <v>228</v>
      </c>
      <c r="G36" s="1" t="s">
        <v>229</v>
      </c>
      <c r="H36" s="1" t="s">
        <v>230</v>
      </c>
    </row>
    <row r="37" spans="1:8" x14ac:dyDescent="0.35">
      <c r="A37" s="1" t="str">
        <f t="shared" si="0"/>
        <v>1</v>
      </c>
      <c r="B3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 xml:space="preserve"> </v>
      </c>
      <c r="C37" s="1" t="s">
        <v>2912</v>
      </c>
      <c r="D37" s="1" t="s">
        <v>112</v>
      </c>
      <c r="E37" s="1" t="s">
        <v>2913</v>
      </c>
      <c r="F37" s="1" t="s">
        <v>2914</v>
      </c>
      <c r="G37" s="1" t="s">
        <v>2915</v>
      </c>
      <c r="H37" s="1" t="s">
        <v>2916</v>
      </c>
    </row>
    <row r="38" spans="1:8" x14ac:dyDescent="0.35">
      <c r="A38" s="1" t="str">
        <f t="shared" si="0"/>
        <v/>
      </c>
      <c r="B3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38" s="1" t="s">
        <v>112</v>
      </c>
    </row>
    <row r="39" spans="1:8" x14ac:dyDescent="0.35">
      <c r="A39" s="1" t="str">
        <f t="shared" si="0"/>
        <v/>
      </c>
      <c r="B3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39" s="1" t="s">
        <v>112</v>
      </c>
    </row>
    <row r="40" spans="1:8" x14ac:dyDescent="0.35">
      <c r="A40" s="1" t="str">
        <f t="shared" si="0"/>
        <v/>
      </c>
      <c r="B4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40" s="1" t="s">
        <v>112</v>
      </c>
    </row>
    <row r="41" spans="1:8" x14ac:dyDescent="0.35">
      <c r="A41" s="1" t="str">
        <f t="shared" si="0"/>
        <v/>
      </c>
      <c r="B4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41" s="1" t="s">
        <v>112</v>
      </c>
    </row>
    <row r="42" spans="1:8" x14ac:dyDescent="0.35">
      <c r="A42" s="1" t="str">
        <f t="shared" si="0"/>
        <v/>
      </c>
      <c r="B4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42" s="1" t="s">
        <v>112</v>
      </c>
    </row>
    <row r="43" spans="1:8" x14ac:dyDescent="0.35">
      <c r="A43" s="1" t="str">
        <f t="shared" si="0"/>
        <v/>
      </c>
      <c r="B4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43" s="1" t="s">
        <v>172</v>
      </c>
      <c r="D43" s="1" t="s">
        <v>110</v>
      </c>
      <c r="E43" s="1" t="s">
        <v>111</v>
      </c>
      <c r="F43" s="1" t="s">
        <v>112</v>
      </c>
      <c r="G43" s="1" t="s">
        <v>113</v>
      </c>
    </row>
    <row r="44" spans="1:8" x14ac:dyDescent="0.35">
      <c r="A44" s="1" t="str">
        <f t="shared" si="0"/>
        <v>13</v>
      </c>
      <c r="B4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44" s="1" t="s">
        <v>2917</v>
      </c>
      <c r="D44" s="1" t="s">
        <v>1187</v>
      </c>
      <c r="E44" s="1" t="s">
        <v>2918</v>
      </c>
      <c r="F44" s="1" t="s">
        <v>112</v>
      </c>
      <c r="G44" s="1">
        <v>322350</v>
      </c>
    </row>
    <row r="45" spans="1:8" x14ac:dyDescent="0.35">
      <c r="A45" s="1" t="str">
        <f t="shared" si="0"/>
        <v>13</v>
      </c>
      <c r="B4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45" s="1" t="s">
        <v>2919</v>
      </c>
      <c r="D45" s="1" t="s">
        <v>483</v>
      </c>
      <c r="E45" s="1" t="s">
        <v>2920</v>
      </c>
      <c r="F45" s="1" t="s">
        <v>112</v>
      </c>
      <c r="G45" s="1">
        <v>91732</v>
      </c>
    </row>
    <row r="46" spans="1:8" x14ac:dyDescent="0.35">
      <c r="A46" s="1" t="str">
        <f t="shared" si="0"/>
        <v>13</v>
      </c>
      <c r="B4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46" s="1" t="s">
        <v>2921</v>
      </c>
      <c r="D46" s="1" t="s">
        <v>2922</v>
      </c>
      <c r="E46" s="1" t="s">
        <v>2923</v>
      </c>
      <c r="F46" s="1" t="s">
        <v>112</v>
      </c>
      <c r="G46" s="1">
        <v>304700</v>
      </c>
    </row>
    <row r="47" spans="1:8" x14ac:dyDescent="0.35">
      <c r="A47" s="1" t="str">
        <f t="shared" si="0"/>
        <v>13</v>
      </c>
      <c r="B4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47" s="1" t="s">
        <v>2924</v>
      </c>
      <c r="D47" s="1" t="s">
        <v>2490</v>
      </c>
      <c r="E47" s="1" t="s">
        <v>2925</v>
      </c>
      <c r="F47" s="1" t="s">
        <v>112</v>
      </c>
      <c r="G47" s="1">
        <v>178555</v>
      </c>
    </row>
    <row r="48" spans="1:8" x14ac:dyDescent="0.35">
      <c r="A48" s="1" t="str">
        <f t="shared" si="0"/>
        <v>13</v>
      </c>
      <c r="B4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48" s="1" t="s">
        <v>2926</v>
      </c>
      <c r="D48" s="1" t="s">
        <v>2927</v>
      </c>
      <c r="E48" s="1" t="s">
        <v>2928</v>
      </c>
      <c r="F48" s="1" t="s">
        <v>112</v>
      </c>
      <c r="G48" s="1">
        <v>1609891</v>
      </c>
    </row>
    <row r="49" spans="1:7" x14ac:dyDescent="0.35">
      <c r="A49" s="1" t="str">
        <f t="shared" si="0"/>
        <v>13</v>
      </c>
      <c r="B4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49" s="1" t="s">
        <v>2929</v>
      </c>
      <c r="D49" s="1" t="s">
        <v>2930</v>
      </c>
      <c r="E49" s="1" t="s">
        <v>2931</v>
      </c>
      <c r="F49" s="1" t="s">
        <v>112</v>
      </c>
      <c r="G49" s="1">
        <v>2449997</v>
      </c>
    </row>
    <row r="50" spans="1:7" x14ac:dyDescent="0.35">
      <c r="A50" s="1" t="str">
        <f t="shared" si="0"/>
        <v>13</v>
      </c>
      <c r="B5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50" s="1" t="s">
        <v>2932</v>
      </c>
      <c r="D50" s="1" t="s">
        <v>2933</v>
      </c>
      <c r="E50" s="1" t="s">
        <v>2934</v>
      </c>
      <c r="F50" s="1" t="s">
        <v>112</v>
      </c>
      <c r="G50" s="1">
        <v>2215312</v>
      </c>
    </row>
    <row r="51" spans="1:7" x14ac:dyDescent="0.35">
      <c r="A51" s="1" t="str">
        <f t="shared" si="0"/>
        <v>13</v>
      </c>
      <c r="B5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51" s="1" t="s">
        <v>2935</v>
      </c>
      <c r="D51" s="1" t="s">
        <v>829</v>
      </c>
      <c r="E51" s="1" t="s">
        <v>2936</v>
      </c>
      <c r="F51" s="1" t="s">
        <v>112</v>
      </c>
      <c r="G51" s="1">
        <v>3259301</v>
      </c>
    </row>
    <row r="52" spans="1:7" x14ac:dyDescent="0.35">
      <c r="A52" s="1" t="str">
        <f t="shared" si="0"/>
        <v>13</v>
      </c>
      <c r="B5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52" s="1" t="s">
        <v>2937</v>
      </c>
      <c r="D52" s="1" t="s">
        <v>2938</v>
      </c>
      <c r="E52" s="1" t="s">
        <v>2939</v>
      </c>
      <c r="F52" s="1" t="s">
        <v>112</v>
      </c>
      <c r="G52" s="1">
        <v>1767206</v>
      </c>
    </row>
    <row r="53" spans="1:7" x14ac:dyDescent="0.35">
      <c r="A53" s="1" t="str">
        <f t="shared" si="0"/>
        <v>13</v>
      </c>
      <c r="B5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53" s="1" t="s">
        <v>2940</v>
      </c>
      <c r="D53" s="1" t="s">
        <v>2941</v>
      </c>
      <c r="E53" s="1" t="s">
        <v>2942</v>
      </c>
      <c r="F53" s="1" t="s">
        <v>112</v>
      </c>
      <c r="G53" s="1">
        <v>1796082</v>
      </c>
    </row>
    <row r="54" spans="1:7" x14ac:dyDescent="0.35">
      <c r="A54" s="1" t="str">
        <f t="shared" si="0"/>
        <v>13</v>
      </c>
      <c r="B5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54" s="1" t="s">
        <v>2943</v>
      </c>
      <c r="D54" s="1" t="s">
        <v>2944</v>
      </c>
      <c r="E54" s="1" t="s">
        <v>2945</v>
      </c>
      <c r="F54" s="1" t="s">
        <v>112</v>
      </c>
      <c r="G54" s="1">
        <v>1797769</v>
      </c>
    </row>
    <row r="55" spans="1:7" x14ac:dyDescent="0.35">
      <c r="A55" s="1" t="str">
        <f t="shared" si="0"/>
        <v>13</v>
      </c>
      <c r="B5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55" s="1" t="s">
        <v>2946</v>
      </c>
      <c r="D55" s="1" t="s">
        <v>2947</v>
      </c>
      <c r="E55" s="1" t="s">
        <v>2948</v>
      </c>
      <c r="F55" s="1" t="s">
        <v>112</v>
      </c>
      <c r="G55" s="1">
        <v>1854872</v>
      </c>
    </row>
    <row r="56" spans="1:7" x14ac:dyDescent="0.35">
      <c r="A56" s="1" t="str">
        <f t="shared" si="0"/>
        <v>13</v>
      </c>
      <c r="B5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56" s="1" t="s">
        <v>2949</v>
      </c>
      <c r="D56" s="1" t="s">
        <v>2950</v>
      </c>
      <c r="E56" s="1" t="s">
        <v>2951</v>
      </c>
      <c r="F56" s="1" t="s">
        <v>112</v>
      </c>
      <c r="G56" s="1">
        <v>2462845</v>
      </c>
    </row>
    <row r="57" spans="1:7" x14ac:dyDescent="0.35">
      <c r="A57" s="1" t="str">
        <f t="shared" si="0"/>
        <v>13</v>
      </c>
      <c r="B5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57" s="1" t="s">
        <v>2952</v>
      </c>
    </row>
    <row r="58" spans="1:7" x14ac:dyDescent="0.35">
      <c r="A58" s="1" t="str">
        <f t="shared" si="0"/>
        <v>13</v>
      </c>
      <c r="B5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58" s="1" t="s">
        <v>2953</v>
      </c>
      <c r="D58" s="1" t="s">
        <v>2954</v>
      </c>
      <c r="E58" s="1" t="s">
        <v>2955</v>
      </c>
      <c r="F58" s="1" t="s">
        <v>112</v>
      </c>
      <c r="G58" s="1">
        <v>2494403</v>
      </c>
    </row>
    <row r="59" spans="1:7" x14ac:dyDescent="0.35">
      <c r="A59" s="1" t="str">
        <f t="shared" si="0"/>
        <v>13</v>
      </c>
      <c r="B5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59" s="1" t="s">
        <v>2956</v>
      </c>
      <c r="D59" s="1" t="s">
        <v>2957</v>
      </c>
      <c r="E59" s="1" t="s">
        <v>2958</v>
      </c>
      <c r="F59" s="1" t="s">
        <v>112</v>
      </c>
      <c r="G59" s="1">
        <v>2402649</v>
      </c>
    </row>
    <row r="60" spans="1:7" x14ac:dyDescent="0.35">
      <c r="A60" s="1" t="str">
        <f t="shared" si="0"/>
        <v>13</v>
      </c>
      <c r="B6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60" s="1" t="s">
        <v>2959</v>
      </c>
      <c r="D60" s="1" t="s">
        <v>2960</v>
      </c>
      <c r="E60" s="1" t="s">
        <v>2961</v>
      </c>
      <c r="F60" s="1" t="s">
        <v>112</v>
      </c>
      <c r="G60" s="1">
        <v>657441</v>
      </c>
    </row>
    <row r="61" spans="1:7" x14ac:dyDescent="0.35">
      <c r="A61" s="1" t="str">
        <f t="shared" si="0"/>
        <v>13</v>
      </c>
      <c r="B6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61" s="1" t="s">
        <v>2962</v>
      </c>
    </row>
    <row r="62" spans="1:7" x14ac:dyDescent="0.35">
      <c r="A62" s="1" t="str">
        <f t="shared" si="0"/>
        <v>13</v>
      </c>
      <c r="B6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62" s="1" t="s">
        <v>2963</v>
      </c>
      <c r="D62" s="1" t="s">
        <v>2964</v>
      </c>
      <c r="E62" s="1" t="s">
        <v>2965</v>
      </c>
      <c r="F62" s="1" t="s">
        <v>112</v>
      </c>
      <c r="G62" s="1">
        <v>847092</v>
      </c>
    </row>
    <row r="63" spans="1:7" x14ac:dyDescent="0.35">
      <c r="A63" s="1" t="str">
        <f t="shared" si="0"/>
        <v>13</v>
      </c>
      <c r="B6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63" s="1" t="s">
        <v>2966</v>
      </c>
      <c r="D63" s="1" t="s">
        <v>2967</v>
      </c>
      <c r="E63" s="1" t="s">
        <v>2968</v>
      </c>
      <c r="F63" s="1" t="s">
        <v>112</v>
      </c>
      <c r="G63" s="1">
        <v>408718</v>
      </c>
    </row>
    <row r="64" spans="1:7" x14ac:dyDescent="0.35">
      <c r="A64" s="1" t="str">
        <f t="shared" si="0"/>
        <v>13</v>
      </c>
      <c r="B6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64" s="1" t="s">
        <v>2969</v>
      </c>
    </row>
    <row r="65" spans="1:8" x14ac:dyDescent="0.35">
      <c r="A65" s="1" t="str">
        <f t="shared" si="0"/>
        <v>13</v>
      </c>
      <c r="B6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65" s="1" t="s">
        <v>2970</v>
      </c>
      <c r="D65" s="1" t="s">
        <v>2971</v>
      </c>
      <c r="E65" s="1" t="s">
        <v>2972</v>
      </c>
      <c r="F65" s="1" t="s">
        <v>112</v>
      </c>
      <c r="G65" s="1">
        <v>3142889</v>
      </c>
    </row>
    <row r="66" spans="1:8" x14ac:dyDescent="0.35">
      <c r="A66" s="1" t="str">
        <f t="shared" ref="A66:A129" si="1">IFERROR(LEFT(RIGHT(C66,LEN(C66)-SEARCH("@",C66)),SEARCH("/",RIGHT(C66,LEN(C66)-SEARCH("@",C66)-1))),"")</f>
        <v>13</v>
      </c>
      <c r="B6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66" s="1" t="s">
        <v>2973</v>
      </c>
      <c r="D66" s="1" t="s">
        <v>2974</v>
      </c>
      <c r="E66" s="1" t="s">
        <v>2975</v>
      </c>
      <c r="F66" s="1" t="s">
        <v>112</v>
      </c>
      <c r="G66" s="1">
        <v>3583814</v>
      </c>
    </row>
    <row r="67" spans="1:8" x14ac:dyDescent="0.35">
      <c r="A67" s="1" t="str">
        <f t="shared" si="1"/>
        <v>13</v>
      </c>
      <c r="B6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67" s="1" t="s">
        <v>2976</v>
      </c>
      <c r="D67" s="1" t="s">
        <v>2977</v>
      </c>
      <c r="E67" s="1" t="s">
        <v>2978</v>
      </c>
      <c r="F67" s="1" t="s">
        <v>112</v>
      </c>
      <c r="G67" s="1">
        <v>3401366</v>
      </c>
    </row>
    <row r="68" spans="1:8" x14ac:dyDescent="0.35">
      <c r="A68" s="1" t="str">
        <f t="shared" si="1"/>
        <v>13</v>
      </c>
      <c r="B6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68" s="1" t="s">
        <v>2979</v>
      </c>
      <c r="D68" s="1" t="s">
        <v>2980</v>
      </c>
      <c r="E68" s="1" t="s">
        <v>2981</v>
      </c>
      <c r="F68" s="1" t="s">
        <v>112</v>
      </c>
      <c r="G68" s="1">
        <v>2437040</v>
      </c>
    </row>
    <row r="69" spans="1:8" x14ac:dyDescent="0.35">
      <c r="A69" s="1" t="str">
        <f t="shared" si="1"/>
        <v>13</v>
      </c>
      <c r="B6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69" s="1" t="s">
        <v>2982</v>
      </c>
      <c r="D69" s="1" t="s">
        <v>2983</v>
      </c>
      <c r="E69" s="1" t="s">
        <v>2984</v>
      </c>
      <c r="F69" s="1" t="s">
        <v>112</v>
      </c>
      <c r="G69" s="1">
        <v>2281435</v>
      </c>
    </row>
    <row r="70" spans="1:8" x14ac:dyDescent="0.35">
      <c r="A70" s="1" t="str">
        <f t="shared" si="1"/>
        <v>13</v>
      </c>
      <c r="B7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70" s="1" t="s">
        <v>2985</v>
      </c>
      <c r="D70" s="1" t="s">
        <v>2986</v>
      </c>
      <c r="E70" s="1" t="s">
        <v>2987</v>
      </c>
      <c r="F70" s="1" t="s">
        <v>112</v>
      </c>
      <c r="G70" s="1">
        <v>2495787</v>
      </c>
    </row>
    <row r="71" spans="1:8" x14ac:dyDescent="0.35">
      <c r="A71" s="1" t="str">
        <f t="shared" si="1"/>
        <v>13</v>
      </c>
      <c r="B7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71" s="1" t="s">
        <v>2988</v>
      </c>
      <c r="D71" s="1" t="s">
        <v>2989</v>
      </c>
      <c r="E71" s="1" t="s">
        <v>2990</v>
      </c>
      <c r="F71" s="1" t="s">
        <v>112</v>
      </c>
      <c r="G71" s="1">
        <v>1659099</v>
      </c>
    </row>
    <row r="72" spans="1:8" x14ac:dyDescent="0.35">
      <c r="A72" s="1" t="str">
        <f t="shared" si="1"/>
        <v>13</v>
      </c>
      <c r="B7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72" s="1" t="s">
        <v>2991</v>
      </c>
      <c r="D72" s="1" t="s">
        <v>2992</v>
      </c>
      <c r="E72" s="1" t="s">
        <v>2993</v>
      </c>
      <c r="F72" s="1" t="s">
        <v>112</v>
      </c>
      <c r="G72" s="1">
        <v>3673989</v>
      </c>
    </row>
    <row r="73" spans="1:8" x14ac:dyDescent="0.35">
      <c r="A73" s="1" t="str">
        <f t="shared" si="1"/>
        <v>13</v>
      </c>
      <c r="B7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73" s="1" t="s">
        <v>2994</v>
      </c>
    </row>
    <row r="74" spans="1:8" x14ac:dyDescent="0.35">
      <c r="A74" s="1" t="str">
        <f t="shared" si="1"/>
        <v>13</v>
      </c>
      <c r="B7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74" s="1" t="s">
        <v>2995</v>
      </c>
    </row>
    <row r="75" spans="1:8" x14ac:dyDescent="0.35">
      <c r="A75" s="1" t="str">
        <f t="shared" si="1"/>
        <v>13</v>
      </c>
      <c r="B7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75" s="1" t="s">
        <v>2996</v>
      </c>
      <c r="D75" s="1" t="s">
        <v>2997</v>
      </c>
      <c r="E75" s="1" t="s">
        <v>2998</v>
      </c>
      <c r="F75" s="1" t="s">
        <v>112</v>
      </c>
      <c r="G75" s="1">
        <v>4066680</v>
      </c>
    </row>
    <row r="76" spans="1:8" x14ac:dyDescent="0.35">
      <c r="A76" s="1" t="str">
        <f t="shared" si="1"/>
        <v/>
      </c>
      <c r="B7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76" s="1" t="s">
        <v>112</v>
      </c>
    </row>
    <row r="77" spans="1:8" x14ac:dyDescent="0.35">
      <c r="A77" s="1" t="str">
        <f t="shared" si="1"/>
        <v/>
      </c>
      <c r="B7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77" s="1" t="s">
        <v>226</v>
      </c>
      <c r="D77" s="1" t="s">
        <v>112</v>
      </c>
      <c r="E77" s="1" t="s">
        <v>227</v>
      </c>
      <c r="F77" s="1" t="s">
        <v>228</v>
      </c>
      <c r="G77" s="1" t="s">
        <v>229</v>
      </c>
      <c r="H77" s="1" t="s">
        <v>230</v>
      </c>
    </row>
    <row r="78" spans="1:8" x14ac:dyDescent="0.35">
      <c r="A78" s="1" t="str">
        <f t="shared" si="1"/>
        <v>13</v>
      </c>
      <c r="B7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 xml:space="preserve"> </v>
      </c>
      <c r="C78" s="1" t="s">
        <v>2999</v>
      </c>
      <c r="D78" s="1" t="s">
        <v>112</v>
      </c>
      <c r="E78" s="1" t="s">
        <v>3000</v>
      </c>
      <c r="F78" s="1" t="s">
        <v>3001</v>
      </c>
      <c r="G78" s="1" t="s">
        <v>3002</v>
      </c>
      <c r="H78" s="1" t="s">
        <v>3003</v>
      </c>
    </row>
    <row r="79" spans="1:8" x14ac:dyDescent="0.35">
      <c r="A79" s="1" t="str">
        <f t="shared" si="1"/>
        <v/>
      </c>
      <c r="B7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79" s="1" t="s">
        <v>112</v>
      </c>
    </row>
    <row r="80" spans="1:8" x14ac:dyDescent="0.35">
      <c r="A80" s="1" t="str">
        <f t="shared" si="1"/>
        <v/>
      </c>
      <c r="B8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80" s="1" t="s">
        <v>112</v>
      </c>
    </row>
    <row r="81" spans="1:7" x14ac:dyDescent="0.35">
      <c r="A81" s="1" t="str">
        <f t="shared" si="1"/>
        <v/>
      </c>
      <c r="B8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81" s="1" t="s">
        <v>112</v>
      </c>
    </row>
    <row r="82" spans="1:7" x14ac:dyDescent="0.35">
      <c r="A82" s="1" t="str">
        <f t="shared" si="1"/>
        <v/>
      </c>
      <c r="B8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82" s="1" t="s">
        <v>112</v>
      </c>
    </row>
    <row r="83" spans="1:7" x14ac:dyDescent="0.35">
      <c r="A83" s="1" t="str">
        <f t="shared" si="1"/>
        <v/>
      </c>
      <c r="B8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83" s="1" t="s">
        <v>112</v>
      </c>
    </row>
    <row r="84" spans="1:7" x14ac:dyDescent="0.35">
      <c r="A84" s="1" t="str">
        <f t="shared" si="1"/>
        <v/>
      </c>
      <c r="B8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84" s="1" t="s">
        <v>172</v>
      </c>
      <c r="D84" s="1" t="s">
        <v>110</v>
      </c>
      <c r="E84" s="1" t="s">
        <v>111</v>
      </c>
      <c r="F84" s="1" t="s">
        <v>112</v>
      </c>
      <c r="G84" s="1" t="s">
        <v>113</v>
      </c>
    </row>
    <row r="85" spans="1:7" x14ac:dyDescent="0.35">
      <c r="A85" s="1" t="str">
        <f t="shared" si="1"/>
        <v>14</v>
      </c>
      <c r="B8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85" s="1" t="s">
        <v>3004</v>
      </c>
      <c r="D85" s="1" t="s">
        <v>3005</v>
      </c>
      <c r="E85" s="1" t="s">
        <v>3006</v>
      </c>
      <c r="F85" s="1" t="s">
        <v>112</v>
      </c>
      <c r="G85" s="1">
        <v>802210</v>
      </c>
    </row>
    <row r="86" spans="1:7" x14ac:dyDescent="0.35">
      <c r="A86" s="1" t="str">
        <f t="shared" si="1"/>
        <v>14</v>
      </c>
      <c r="B8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86" s="1" t="s">
        <v>3007</v>
      </c>
      <c r="D86" s="1" t="s">
        <v>3008</v>
      </c>
      <c r="E86" s="1" t="s">
        <v>3009</v>
      </c>
      <c r="F86" s="1" t="s">
        <v>112</v>
      </c>
      <c r="G86" s="1">
        <v>629279</v>
      </c>
    </row>
    <row r="87" spans="1:7" x14ac:dyDescent="0.35">
      <c r="A87" s="1" t="str">
        <f t="shared" si="1"/>
        <v>14</v>
      </c>
      <c r="B8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87" s="1" t="s">
        <v>3010</v>
      </c>
      <c r="D87" s="1" t="s">
        <v>3011</v>
      </c>
      <c r="E87" s="1" t="s">
        <v>3012</v>
      </c>
      <c r="F87" s="1" t="s">
        <v>112</v>
      </c>
      <c r="G87" s="1">
        <v>610980</v>
      </c>
    </row>
    <row r="88" spans="1:7" x14ac:dyDescent="0.35">
      <c r="A88" s="1" t="str">
        <f t="shared" si="1"/>
        <v>14</v>
      </c>
      <c r="B8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88" s="1" t="s">
        <v>3013</v>
      </c>
      <c r="D88" s="1" t="s">
        <v>3014</v>
      </c>
      <c r="E88" s="1" t="s">
        <v>3015</v>
      </c>
      <c r="F88" s="1" t="s">
        <v>112</v>
      </c>
      <c r="G88" s="1">
        <v>744761</v>
      </c>
    </row>
    <row r="89" spans="1:7" x14ac:dyDescent="0.35">
      <c r="A89" s="1" t="str">
        <f t="shared" si="1"/>
        <v>14</v>
      </c>
      <c r="B8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89" s="1" t="s">
        <v>3016</v>
      </c>
      <c r="D89" s="1" t="s">
        <v>221</v>
      </c>
      <c r="E89" s="1" t="s">
        <v>3017</v>
      </c>
      <c r="F89" s="1" t="s">
        <v>112</v>
      </c>
      <c r="G89" s="1">
        <v>240741</v>
      </c>
    </row>
    <row r="90" spans="1:7" x14ac:dyDescent="0.35">
      <c r="A90" s="1" t="str">
        <f t="shared" si="1"/>
        <v>14</v>
      </c>
      <c r="B9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90" s="1" t="s">
        <v>3018</v>
      </c>
      <c r="D90" s="1" t="s">
        <v>3019</v>
      </c>
      <c r="E90" s="1" t="s">
        <v>3020</v>
      </c>
      <c r="F90" s="1" t="s">
        <v>112</v>
      </c>
      <c r="G90" s="1">
        <v>216926</v>
      </c>
    </row>
    <row r="91" spans="1:7" x14ac:dyDescent="0.35">
      <c r="A91" s="1" t="str">
        <f t="shared" si="1"/>
        <v>14</v>
      </c>
      <c r="B9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91" s="1" t="s">
        <v>3021</v>
      </c>
      <c r="D91" s="1" t="s">
        <v>1591</v>
      </c>
      <c r="E91" s="1" t="s">
        <v>3022</v>
      </c>
      <c r="F91" s="1" t="s">
        <v>112</v>
      </c>
      <c r="G91" s="1">
        <v>279264</v>
      </c>
    </row>
    <row r="92" spans="1:7" x14ac:dyDescent="0.35">
      <c r="A92" s="1" t="str">
        <f t="shared" si="1"/>
        <v>14</v>
      </c>
      <c r="B9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92" s="1" t="s">
        <v>3023</v>
      </c>
      <c r="D92" s="1" t="s">
        <v>3024</v>
      </c>
      <c r="E92" s="1" t="s">
        <v>3025</v>
      </c>
      <c r="F92" s="1" t="s">
        <v>112</v>
      </c>
      <c r="G92" s="1">
        <v>835217</v>
      </c>
    </row>
    <row r="93" spans="1:7" x14ac:dyDescent="0.35">
      <c r="A93" s="1" t="str">
        <f t="shared" si="1"/>
        <v>14</v>
      </c>
      <c r="B9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93" s="1" t="s">
        <v>3026</v>
      </c>
      <c r="D93" s="1" t="s">
        <v>3027</v>
      </c>
      <c r="E93" s="1" t="s">
        <v>3028</v>
      </c>
      <c r="F93" s="1" t="s">
        <v>112</v>
      </c>
      <c r="G93" s="1">
        <v>2456139</v>
      </c>
    </row>
    <row r="94" spans="1:7" x14ac:dyDescent="0.35">
      <c r="A94" s="1" t="str">
        <f t="shared" si="1"/>
        <v>14</v>
      </c>
      <c r="B9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94" s="1" t="s">
        <v>3029</v>
      </c>
      <c r="D94" s="1" t="s">
        <v>3030</v>
      </c>
      <c r="E94" s="1" t="s">
        <v>3031</v>
      </c>
      <c r="F94" s="1" t="s">
        <v>112</v>
      </c>
      <c r="G94" s="1">
        <v>2093644</v>
      </c>
    </row>
    <row r="95" spans="1:7" x14ac:dyDescent="0.35">
      <c r="A95" s="1" t="str">
        <f t="shared" si="1"/>
        <v>14</v>
      </c>
      <c r="B9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95" s="1" t="s">
        <v>3032</v>
      </c>
      <c r="D95" s="1" t="s">
        <v>3033</v>
      </c>
      <c r="E95" s="1" t="s">
        <v>3034</v>
      </c>
      <c r="F95" s="1" t="s">
        <v>112</v>
      </c>
      <c r="G95" s="1">
        <v>2749441</v>
      </c>
    </row>
    <row r="96" spans="1:7" x14ac:dyDescent="0.35">
      <c r="A96" s="1" t="str">
        <f t="shared" si="1"/>
        <v>14</v>
      </c>
      <c r="B9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96" s="1" t="s">
        <v>3035</v>
      </c>
    </row>
    <row r="97" spans="1:7" x14ac:dyDescent="0.35">
      <c r="A97" s="1" t="str">
        <f t="shared" si="1"/>
        <v>14</v>
      </c>
      <c r="B9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97" s="1" t="s">
        <v>3036</v>
      </c>
      <c r="D97" s="1" t="s">
        <v>3037</v>
      </c>
      <c r="E97" s="1" t="s">
        <v>3038</v>
      </c>
      <c r="F97" s="1" t="s">
        <v>112</v>
      </c>
      <c r="G97" s="1">
        <v>1438518</v>
      </c>
    </row>
    <row r="98" spans="1:7" x14ac:dyDescent="0.35">
      <c r="A98" s="1" t="str">
        <f t="shared" si="1"/>
        <v>14</v>
      </c>
      <c r="B9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98" s="1" t="s">
        <v>3039</v>
      </c>
    </row>
    <row r="99" spans="1:7" x14ac:dyDescent="0.35">
      <c r="A99" s="1" t="str">
        <f t="shared" si="1"/>
        <v>14</v>
      </c>
      <c r="B9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99" s="1" t="s">
        <v>3040</v>
      </c>
      <c r="D99" s="1" t="s">
        <v>756</v>
      </c>
      <c r="E99" s="1" t="s">
        <v>3041</v>
      </c>
      <c r="F99" s="1" t="s">
        <v>112</v>
      </c>
      <c r="G99" s="1">
        <v>997225</v>
      </c>
    </row>
    <row r="100" spans="1:7" x14ac:dyDescent="0.35">
      <c r="A100" s="1" t="str">
        <f t="shared" si="1"/>
        <v>14</v>
      </c>
      <c r="B10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100" s="1" t="s">
        <v>3042</v>
      </c>
      <c r="D100" s="1" t="s">
        <v>3043</v>
      </c>
      <c r="E100" s="1" t="s">
        <v>3044</v>
      </c>
      <c r="F100" s="1" t="s">
        <v>112</v>
      </c>
      <c r="G100" s="1">
        <v>886566</v>
      </c>
    </row>
    <row r="101" spans="1:7" x14ac:dyDescent="0.35">
      <c r="A101" s="1" t="str">
        <f t="shared" si="1"/>
        <v>14</v>
      </c>
      <c r="B10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101" s="1" t="s">
        <v>3045</v>
      </c>
      <c r="D101" s="1" t="s">
        <v>308</v>
      </c>
      <c r="E101" s="1" t="s">
        <v>3046</v>
      </c>
      <c r="F101" s="1" t="s">
        <v>112</v>
      </c>
      <c r="G101" s="1">
        <v>2123017</v>
      </c>
    </row>
    <row r="102" spans="1:7" x14ac:dyDescent="0.35">
      <c r="A102" s="1" t="str">
        <f t="shared" si="1"/>
        <v>14</v>
      </c>
      <c r="B10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102" s="1" t="s">
        <v>3047</v>
      </c>
      <c r="D102" s="1" t="s">
        <v>3048</v>
      </c>
      <c r="E102" s="1" t="s">
        <v>3049</v>
      </c>
      <c r="F102" s="1" t="s">
        <v>112</v>
      </c>
      <c r="G102" s="1">
        <v>2143198</v>
      </c>
    </row>
    <row r="103" spans="1:7" x14ac:dyDescent="0.35">
      <c r="A103" s="1" t="str">
        <f t="shared" si="1"/>
        <v>14</v>
      </c>
      <c r="B10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103" s="1" t="s">
        <v>3050</v>
      </c>
      <c r="D103" s="1" t="s">
        <v>3051</v>
      </c>
      <c r="E103" s="1" t="s">
        <v>3052</v>
      </c>
      <c r="F103" s="1" t="s">
        <v>112</v>
      </c>
      <c r="G103" s="1">
        <v>1964341</v>
      </c>
    </row>
    <row r="104" spans="1:7" x14ac:dyDescent="0.35">
      <c r="A104" s="1" t="str">
        <f t="shared" si="1"/>
        <v>14</v>
      </c>
      <c r="B10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104" s="1" t="s">
        <v>3053</v>
      </c>
      <c r="D104" s="1" t="s">
        <v>3054</v>
      </c>
      <c r="E104" s="1" t="s">
        <v>3055</v>
      </c>
      <c r="F104" s="1" t="s">
        <v>112</v>
      </c>
      <c r="G104" s="1">
        <v>2110645</v>
      </c>
    </row>
    <row r="105" spans="1:7" x14ac:dyDescent="0.35">
      <c r="A105" s="1" t="str">
        <f t="shared" si="1"/>
        <v>14</v>
      </c>
      <c r="B10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105" s="1" t="s">
        <v>3056</v>
      </c>
      <c r="D105" s="1" t="s">
        <v>3057</v>
      </c>
      <c r="E105" s="1" t="s">
        <v>3058</v>
      </c>
      <c r="F105" s="1" t="s">
        <v>112</v>
      </c>
      <c r="G105" s="1">
        <v>1803630</v>
      </c>
    </row>
    <row r="106" spans="1:7" x14ac:dyDescent="0.35">
      <c r="A106" s="1" t="str">
        <f t="shared" si="1"/>
        <v>14</v>
      </c>
      <c r="B10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106" s="1" t="s">
        <v>3059</v>
      </c>
      <c r="D106" s="1" t="s">
        <v>3060</v>
      </c>
      <c r="E106" s="1" t="s">
        <v>3061</v>
      </c>
      <c r="F106" s="1" t="s">
        <v>112</v>
      </c>
      <c r="G106" s="1">
        <v>1928521</v>
      </c>
    </row>
    <row r="107" spans="1:7" x14ac:dyDescent="0.35">
      <c r="A107" s="1" t="str">
        <f t="shared" si="1"/>
        <v>14</v>
      </c>
      <c r="B10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107" s="1" t="s">
        <v>3062</v>
      </c>
      <c r="D107" s="1" t="s">
        <v>3063</v>
      </c>
      <c r="E107" s="1" t="s">
        <v>3064</v>
      </c>
      <c r="F107" s="1" t="s">
        <v>112</v>
      </c>
      <c r="G107" s="1">
        <v>2118367</v>
      </c>
    </row>
    <row r="108" spans="1:7" x14ac:dyDescent="0.35">
      <c r="A108" s="1" t="str">
        <f t="shared" si="1"/>
        <v>14</v>
      </c>
      <c r="B10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108" s="1" t="s">
        <v>3065</v>
      </c>
      <c r="D108" s="1" t="s">
        <v>3066</v>
      </c>
      <c r="E108" s="1" t="s">
        <v>3067</v>
      </c>
      <c r="F108" s="1" t="s">
        <v>112</v>
      </c>
      <c r="G108" s="1">
        <v>2355171</v>
      </c>
    </row>
    <row r="109" spans="1:7" x14ac:dyDescent="0.35">
      <c r="A109" s="1" t="str">
        <f t="shared" si="1"/>
        <v>14</v>
      </c>
      <c r="B10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109" s="1" t="s">
        <v>3068</v>
      </c>
      <c r="D109" s="1" t="s">
        <v>3069</v>
      </c>
      <c r="E109" s="1" t="s">
        <v>3070</v>
      </c>
      <c r="F109" s="1" t="s">
        <v>112</v>
      </c>
      <c r="G109" s="1">
        <v>2455123</v>
      </c>
    </row>
    <row r="110" spans="1:7" x14ac:dyDescent="0.35">
      <c r="A110" s="1" t="str">
        <f t="shared" si="1"/>
        <v>14</v>
      </c>
      <c r="B11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110" s="1" t="s">
        <v>3071</v>
      </c>
      <c r="D110" s="1" t="s">
        <v>3072</v>
      </c>
      <c r="E110" s="1" t="s">
        <v>3073</v>
      </c>
      <c r="F110" s="1" t="s">
        <v>112</v>
      </c>
      <c r="G110" s="1">
        <v>2496155</v>
      </c>
    </row>
    <row r="111" spans="1:7" x14ac:dyDescent="0.35">
      <c r="A111" s="1" t="str">
        <f t="shared" si="1"/>
        <v>14</v>
      </c>
      <c r="B11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111" s="1" t="s">
        <v>3074</v>
      </c>
      <c r="D111" s="1" t="s">
        <v>3075</v>
      </c>
      <c r="E111" s="1" t="s">
        <v>3076</v>
      </c>
      <c r="F111" s="1" t="s">
        <v>112</v>
      </c>
      <c r="G111" s="1">
        <v>2492261</v>
      </c>
    </row>
    <row r="112" spans="1:7" x14ac:dyDescent="0.35">
      <c r="A112" s="1" t="str">
        <f t="shared" si="1"/>
        <v>14</v>
      </c>
      <c r="B11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112" s="1" t="s">
        <v>3077</v>
      </c>
      <c r="D112" s="1" t="s">
        <v>1822</v>
      </c>
      <c r="E112" s="1" t="s">
        <v>3078</v>
      </c>
      <c r="F112" s="1" t="s">
        <v>112</v>
      </c>
      <c r="G112" s="1">
        <v>2729433</v>
      </c>
    </row>
    <row r="113" spans="1:8" x14ac:dyDescent="0.35">
      <c r="A113" s="1" t="str">
        <f t="shared" si="1"/>
        <v>14</v>
      </c>
      <c r="B11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113" s="1" t="s">
        <v>3079</v>
      </c>
      <c r="D113" s="1" t="s">
        <v>3080</v>
      </c>
      <c r="E113" s="1" t="s">
        <v>3081</v>
      </c>
      <c r="F113" s="1" t="s">
        <v>112</v>
      </c>
      <c r="G113" s="1">
        <v>2170819</v>
      </c>
    </row>
    <row r="114" spans="1:8" x14ac:dyDescent="0.35">
      <c r="A114" s="1" t="str">
        <f t="shared" si="1"/>
        <v>14</v>
      </c>
      <c r="B11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114" s="1" t="s">
        <v>3082</v>
      </c>
      <c r="D114" s="1" t="s">
        <v>3083</v>
      </c>
      <c r="E114" s="1" t="s">
        <v>3084</v>
      </c>
      <c r="F114" s="1" t="s">
        <v>112</v>
      </c>
      <c r="G114" s="1">
        <v>2303367</v>
      </c>
    </row>
    <row r="115" spans="1:8" x14ac:dyDescent="0.35">
      <c r="A115" s="1" t="str">
        <f t="shared" si="1"/>
        <v>14</v>
      </c>
      <c r="B11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115" s="1" t="s">
        <v>3085</v>
      </c>
      <c r="D115" s="1" t="s">
        <v>3086</v>
      </c>
      <c r="E115" s="1" t="s">
        <v>3087</v>
      </c>
      <c r="F115" s="1" t="s">
        <v>112</v>
      </c>
      <c r="G115" s="1">
        <v>2427220</v>
      </c>
    </row>
    <row r="116" spans="1:8" x14ac:dyDescent="0.35">
      <c r="A116" s="1" t="str">
        <f t="shared" si="1"/>
        <v>14</v>
      </c>
      <c r="B11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116" s="1" t="s">
        <v>3088</v>
      </c>
      <c r="D116" s="1" t="s">
        <v>3089</v>
      </c>
      <c r="E116" s="1" t="s">
        <v>3090</v>
      </c>
      <c r="F116" s="1" t="s">
        <v>112</v>
      </c>
      <c r="G116" s="1">
        <v>2210381</v>
      </c>
    </row>
    <row r="117" spans="1:8" x14ac:dyDescent="0.35">
      <c r="A117" s="1" t="str">
        <f t="shared" si="1"/>
        <v/>
      </c>
      <c r="B11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117" s="1" t="s">
        <v>112</v>
      </c>
    </row>
    <row r="118" spans="1:8" x14ac:dyDescent="0.35">
      <c r="A118" s="1" t="str">
        <f t="shared" si="1"/>
        <v/>
      </c>
      <c r="B11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118" s="1" t="s">
        <v>226</v>
      </c>
      <c r="D118" s="1" t="s">
        <v>112</v>
      </c>
      <c r="E118" s="1" t="s">
        <v>227</v>
      </c>
      <c r="F118" s="1" t="s">
        <v>228</v>
      </c>
      <c r="G118" s="1" t="s">
        <v>229</v>
      </c>
      <c r="H118" s="1" t="s">
        <v>230</v>
      </c>
    </row>
    <row r="119" spans="1:8" x14ac:dyDescent="0.35">
      <c r="A119" s="1" t="str">
        <f t="shared" si="1"/>
        <v>14</v>
      </c>
      <c r="B11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 xml:space="preserve"> </v>
      </c>
      <c r="C119" s="1" t="s">
        <v>3091</v>
      </c>
      <c r="D119" s="1" t="s">
        <v>112</v>
      </c>
      <c r="E119" s="1" t="s">
        <v>3092</v>
      </c>
      <c r="F119" s="1" t="s">
        <v>3093</v>
      </c>
      <c r="G119" s="1" t="s">
        <v>3094</v>
      </c>
      <c r="H119" s="1" t="s">
        <v>3095</v>
      </c>
    </row>
    <row r="120" spans="1:8" x14ac:dyDescent="0.35">
      <c r="A120" s="1" t="str">
        <f t="shared" si="1"/>
        <v/>
      </c>
      <c r="B12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120" s="1" t="s">
        <v>112</v>
      </c>
    </row>
    <row r="121" spans="1:8" x14ac:dyDescent="0.35">
      <c r="A121" s="1" t="str">
        <f t="shared" si="1"/>
        <v/>
      </c>
      <c r="B12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121" s="1" t="s">
        <v>112</v>
      </c>
    </row>
    <row r="122" spans="1:8" x14ac:dyDescent="0.35">
      <c r="A122" s="1" t="str">
        <f t="shared" si="1"/>
        <v/>
      </c>
      <c r="B12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122" s="1" t="s">
        <v>112</v>
      </c>
    </row>
    <row r="123" spans="1:8" x14ac:dyDescent="0.35">
      <c r="A123" s="1" t="str">
        <f t="shared" si="1"/>
        <v/>
      </c>
      <c r="B12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123" s="1" t="s">
        <v>112</v>
      </c>
    </row>
    <row r="124" spans="1:8" x14ac:dyDescent="0.35">
      <c r="A124" s="1" t="str">
        <f t="shared" si="1"/>
        <v/>
      </c>
      <c r="B12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124" s="1" t="s">
        <v>112</v>
      </c>
    </row>
    <row r="125" spans="1:8" x14ac:dyDescent="0.35">
      <c r="A125" s="1" t="str">
        <f t="shared" si="1"/>
        <v/>
      </c>
      <c r="B12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125" s="1" t="s">
        <v>172</v>
      </c>
      <c r="D125" s="1" t="s">
        <v>110</v>
      </c>
      <c r="E125" s="1" t="s">
        <v>111</v>
      </c>
      <c r="F125" s="1" t="s">
        <v>112</v>
      </c>
      <c r="G125" s="1" t="s">
        <v>113</v>
      </c>
    </row>
    <row r="126" spans="1:8" x14ac:dyDescent="0.35">
      <c r="A126" s="1" t="str">
        <f t="shared" si="1"/>
        <v>15</v>
      </c>
      <c r="B12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126" s="1" t="s">
        <v>3096</v>
      </c>
      <c r="D126" s="1" t="s">
        <v>3097</v>
      </c>
      <c r="E126" s="1" t="s">
        <v>3098</v>
      </c>
      <c r="F126" s="1" t="s">
        <v>112</v>
      </c>
      <c r="G126" s="1">
        <v>2225111</v>
      </c>
    </row>
    <row r="127" spans="1:8" x14ac:dyDescent="0.35">
      <c r="A127" s="1" t="str">
        <f t="shared" si="1"/>
        <v>15</v>
      </c>
      <c r="B12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127" s="1" t="s">
        <v>3099</v>
      </c>
      <c r="D127" s="1" t="s">
        <v>3100</v>
      </c>
      <c r="E127" s="1" t="s">
        <v>3101</v>
      </c>
      <c r="F127" s="1" t="s">
        <v>112</v>
      </c>
      <c r="G127" s="1">
        <v>2275984</v>
      </c>
    </row>
    <row r="128" spans="1:8" x14ac:dyDescent="0.35">
      <c r="A128" s="1" t="str">
        <f t="shared" si="1"/>
        <v>15</v>
      </c>
      <c r="B12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128" s="1" t="s">
        <v>3102</v>
      </c>
      <c r="D128" s="1" t="s">
        <v>3103</v>
      </c>
      <c r="E128" s="1" t="s">
        <v>3104</v>
      </c>
      <c r="F128" s="1" t="s">
        <v>112</v>
      </c>
      <c r="G128" s="1">
        <v>1940245</v>
      </c>
    </row>
    <row r="129" spans="1:7" x14ac:dyDescent="0.35">
      <c r="A129" s="1" t="str">
        <f t="shared" si="1"/>
        <v>15</v>
      </c>
      <c r="B12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129" s="1" t="s">
        <v>3105</v>
      </c>
    </row>
    <row r="130" spans="1:7" x14ac:dyDescent="0.35">
      <c r="A130" s="1" t="str">
        <f t="shared" ref="A130:A193" si="2">IFERROR(LEFT(RIGHT(C130,LEN(C130)-SEARCH("@",C130)),SEARCH("/",RIGHT(C130,LEN(C130)-SEARCH("@",C130)-1))),"")</f>
        <v>15</v>
      </c>
      <c r="B13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130" s="1" t="s">
        <v>3106</v>
      </c>
      <c r="D130" s="1" t="s">
        <v>2223</v>
      </c>
      <c r="E130" s="1" t="s">
        <v>3107</v>
      </c>
      <c r="F130" s="1" t="s">
        <v>112</v>
      </c>
      <c r="G130" s="1">
        <v>3487301</v>
      </c>
    </row>
    <row r="131" spans="1:7" x14ac:dyDescent="0.35">
      <c r="A131" s="1" t="str">
        <f t="shared" si="2"/>
        <v>15</v>
      </c>
      <c r="B13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131" s="1" t="s">
        <v>3108</v>
      </c>
      <c r="D131" s="1" t="s">
        <v>3109</v>
      </c>
      <c r="E131" s="1" t="s">
        <v>3110</v>
      </c>
      <c r="F131" s="1" t="s">
        <v>112</v>
      </c>
      <c r="G131" s="1">
        <v>3217663</v>
      </c>
    </row>
    <row r="132" spans="1:7" x14ac:dyDescent="0.35">
      <c r="A132" s="1" t="str">
        <f t="shared" si="2"/>
        <v>15</v>
      </c>
      <c r="B13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132" s="1" t="s">
        <v>3111</v>
      </c>
      <c r="D132" s="1" t="s">
        <v>3112</v>
      </c>
      <c r="E132" s="1" t="s">
        <v>3113</v>
      </c>
      <c r="F132" s="1" t="s">
        <v>112</v>
      </c>
      <c r="G132" s="1">
        <v>3405432</v>
      </c>
    </row>
    <row r="133" spans="1:7" x14ac:dyDescent="0.35">
      <c r="A133" s="1" t="str">
        <f t="shared" si="2"/>
        <v>15</v>
      </c>
      <c r="B13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133" s="1" t="s">
        <v>3114</v>
      </c>
      <c r="D133" s="1" t="s">
        <v>3115</v>
      </c>
      <c r="E133" s="1" t="s">
        <v>3116</v>
      </c>
      <c r="F133" s="1" t="s">
        <v>112</v>
      </c>
      <c r="G133" s="1">
        <v>3815838</v>
      </c>
    </row>
    <row r="134" spans="1:7" x14ac:dyDescent="0.35">
      <c r="A134" s="1" t="str">
        <f t="shared" si="2"/>
        <v>15</v>
      </c>
      <c r="B13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134" s="1" t="s">
        <v>3117</v>
      </c>
      <c r="D134" s="1" t="s">
        <v>3118</v>
      </c>
      <c r="E134" s="1" t="s">
        <v>3119</v>
      </c>
      <c r="F134" s="1" t="s">
        <v>112</v>
      </c>
      <c r="G134" s="1">
        <v>3541376</v>
      </c>
    </row>
    <row r="135" spans="1:7" x14ac:dyDescent="0.35">
      <c r="A135" s="1" t="str">
        <f t="shared" si="2"/>
        <v>15</v>
      </c>
      <c r="B13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135" s="1" t="s">
        <v>3120</v>
      </c>
      <c r="D135" s="1" t="s">
        <v>3121</v>
      </c>
      <c r="E135" s="1" t="s">
        <v>3122</v>
      </c>
      <c r="F135" s="1" t="s">
        <v>112</v>
      </c>
      <c r="G135" s="1">
        <v>3099002</v>
      </c>
    </row>
    <row r="136" spans="1:7" x14ac:dyDescent="0.35">
      <c r="A136" s="1" t="str">
        <f t="shared" si="2"/>
        <v>15</v>
      </c>
      <c r="B13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136" s="1" t="s">
        <v>3123</v>
      </c>
      <c r="D136" s="1" t="s">
        <v>3124</v>
      </c>
      <c r="E136" s="1" t="s">
        <v>3125</v>
      </c>
      <c r="F136" s="1" t="s">
        <v>112</v>
      </c>
      <c r="G136" s="1">
        <v>3318999</v>
      </c>
    </row>
    <row r="137" spans="1:7" x14ac:dyDescent="0.35">
      <c r="A137" s="1" t="str">
        <f t="shared" si="2"/>
        <v>15</v>
      </c>
      <c r="B13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137" s="1" t="s">
        <v>3126</v>
      </c>
      <c r="D137" s="1" t="s">
        <v>3127</v>
      </c>
      <c r="E137" s="1" t="s">
        <v>3128</v>
      </c>
      <c r="F137" s="1" t="s">
        <v>112</v>
      </c>
      <c r="G137" s="1">
        <v>3332972</v>
      </c>
    </row>
    <row r="138" spans="1:7" x14ac:dyDescent="0.35">
      <c r="A138" s="1" t="str">
        <f t="shared" si="2"/>
        <v>15</v>
      </c>
      <c r="B13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138" s="1" t="s">
        <v>3129</v>
      </c>
      <c r="D138" s="1" t="s">
        <v>3130</v>
      </c>
      <c r="E138" s="1" t="s">
        <v>3131</v>
      </c>
      <c r="F138" s="1" t="s">
        <v>112</v>
      </c>
      <c r="G138" s="1">
        <v>3454727</v>
      </c>
    </row>
    <row r="139" spans="1:7" x14ac:dyDescent="0.35">
      <c r="A139" s="1" t="str">
        <f t="shared" si="2"/>
        <v>15</v>
      </c>
      <c r="B13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139" s="1" t="s">
        <v>3132</v>
      </c>
      <c r="D139" s="1" t="s">
        <v>3133</v>
      </c>
      <c r="E139" s="1" t="s">
        <v>3134</v>
      </c>
      <c r="F139" s="1" t="s">
        <v>112</v>
      </c>
      <c r="G139" s="1">
        <v>2629373</v>
      </c>
    </row>
    <row r="140" spans="1:7" x14ac:dyDescent="0.35">
      <c r="A140" s="1" t="str">
        <f t="shared" si="2"/>
        <v>15</v>
      </c>
      <c r="B14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140" s="1" t="s">
        <v>3135</v>
      </c>
      <c r="D140" s="1" t="s">
        <v>3136</v>
      </c>
      <c r="E140" s="1" t="s">
        <v>3137</v>
      </c>
      <c r="F140" s="1" t="s">
        <v>112</v>
      </c>
      <c r="G140" s="1">
        <v>3078150</v>
      </c>
    </row>
    <row r="141" spans="1:7" x14ac:dyDescent="0.35">
      <c r="A141" s="1" t="str">
        <f t="shared" si="2"/>
        <v>15</v>
      </c>
      <c r="B14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141" s="1" t="s">
        <v>3138</v>
      </c>
      <c r="D141" s="1" t="s">
        <v>3139</v>
      </c>
      <c r="E141" s="1" t="s">
        <v>3140</v>
      </c>
      <c r="F141" s="1" t="s">
        <v>112</v>
      </c>
      <c r="G141" s="1">
        <v>4606064</v>
      </c>
    </row>
    <row r="142" spans="1:7" x14ac:dyDescent="0.35">
      <c r="A142" s="1" t="str">
        <f t="shared" si="2"/>
        <v>15</v>
      </c>
      <c r="B14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142" s="1" t="s">
        <v>3141</v>
      </c>
      <c r="D142" s="1" t="s">
        <v>3142</v>
      </c>
      <c r="E142" s="1" t="s">
        <v>3143</v>
      </c>
      <c r="F142" s="1" t="s">
        <v>112</v>
      </c>
      <c r="G142" s="1">
        <v>4841636</v>
      </c>
    </row>
    <row r="143" spans="1:7" x14ac:dyDescent="0.35">
      <c r="A143" s="1" t="str">
        <f t="shared" si="2"/>
        <v>15</v>
      </c>
      <c r="B14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143" s="1" t="s">
        <v>3144</v>
      </c>
    </row>
    <row r="144" spans="1:7" x14ac:dyDescent="0.35">
      <c r="A144" s="1" t="str">
        <f t="shared" si="2"/>
        <v>15</v>
      </c>
      <c r="B14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144" s="1" t="s">
        <v>3145</v>
      </c>
      <c r="D144" s="1" t="s">
        <v>3146</v>
      </c>
      <c r="E144" s="1" t="s">
        <v>3147</v>
      </c>
      <c r="F144" s="1" t="s">
        <v>112</v>
      </c>
      <c r="G144" s="1">
        <v>4803026</v>
      </c>
    </row>
    <row r="145" spans="1:8" x14ac:dyDescent="0.35">
      <c r="A145" s="1" t="str">
        <f t="shared" si="2"/>
        <v>15</v>
      </c>
      <c r="B14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145" s="1" t="s">
        <v>3148</v>
      </c>
    </row>
    <row r="146" spans="1:8" x14ac:dyDescent="0.35">
      <c r="A146" s="1" t="str">
        <f t="shared" si="2"/>
        <v>15</v>
      </c>
      <c r="B14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146" s="1" t="s">
        <v>3149</v>
      </c>
      <c r="D146" s="1" t="s">
        <v>3150</v>
      </c>
      <c r="E146" s="1" t="s">
        <v>3151</v>
      </c>
      <c r="F146" s="1" t="s">
        <v>112</v>
      </c>
      <c r="G146" s="1">
        <v>2953584</v>
      </c>
    </row>
    <row r="147" spans="1:8" x14ac:dyDescent="0.35">
      <c r="A147" s="1" t="str">
        <f t="shared" si="2"/>
        <v>15</v>
      </c>
      <c r="B14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147" s="1" t="s">
        <v>3152</v>
      </c>
      <c r="D147" s="1" t="s">
        <v>3153</v>
      </c>
      <c r="E147" s="1" t="s">
        <v>3154</v>
      </c>
      <c r="F147" s="1" t="s">
        <v>112</v>
      </c>
      <c r="G147" s="1">
        <v>3669663</v>
      </c>
    </row>
    <row r="148" spans="1:8" x14ac:dyDescent="0.35">
      <c r="A148" s="1" t="str">
        <f t="shared" si="2"/>
        <v>15</v>
      </c>
      <c r="B14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148" s="1" t="s">
        <v>3155</v>
      </c>
      <c r="D148" s="1" t="s">
        <v>3156</v>
      </c>
      <c r="E148" s="1" t="s">
        <v>3157</v>
      </c>
      <c r="F148" s="1" t="s">
        <v>112</v>
      </c>
      <c r="G148" s="1">
        <v>3129802</v>
      </c>
    </row>
    <row r="149" spans="1:8" x14ac:dyDescent="0.35">
      <c r="A149" s="1" t="str">
        <f t="shared" si="2"/>
        <v>15</v>
      </c>
      <c r="B14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149" s="1" t="s">
        <v>3158</v>
      </c>
      <c r="D149" s="1" t="s">
        <v>3159</v>
      </c>
      <c r="E149" s="1" t="s">
        <v>3160</v>
      </c>
      <c r="F149" s="1" t="s">
        <v>112</v>
      </c>
      <c r="G149" s="1">
        <v>3537915</v>
      </c>
    </row>
    <row r="150" spans="1:8" x14ac:dyDescent="0.35">
      <c r="A150" s="1" t="str">
        <f t="shared" si="2"/>
        <v>15</v>
      </c>
      <c r="B15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150" s="1" t="s">
        <v>3161</v>
      </c>
    </row>
    <row r="151" spans="1:8" x14ac:dyDescent="0.35">
      <c r="A151" s="1" t="str">
        <f t="shared" si="2"/>
        <v>15</v>
      </c>
      <c r="B15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151" s="1" t="s">
        <v>3162</v>
      </c>
    </row>
    <row r="152" spans="1:8" x14ac:dyDescent="0.35">
      <c r="A152" s="1" t="str">
        <f t="shared" si="2"/>
        <v>15</v>
      </c>
      <c r="B15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152" s="1" t="s">
        <v>3163</v>
      </c>
    </row>
    <row r="153" spans="1:8" x14ac:dyDescent="0.35">
      <c r="A153" s="1" t="str">
        <f t="shared" si="2"/>
        <v>15</v>
      </c>
      <c r="B15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153" s="1" t="s">
        <v>3164</v>
      </c>
      <c r="D153" s="1" t="s">
        <v>3066</v>
      </c>
      <c r="E153" s="1" t="s">
        <v>3165</v>
      </c>
      <c r="F153" s="1" t="s">
        <v>112</v>
      </c>
      <c r="G153" s="1">
        <v>2581312</v>
      </c>
    </row>
    <row r="154" spans="1:8" x14ac:dyDescent="0.35">
      <c r="A154" s="1" t="str">
        <f t="shared" si="2"/>
        <v>15</v>
      </c>
      <c r="B15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154" s="1" t="s">
        <v>3166</v>
      </c>
      <c r="D154" s="1" t="s">
        <v>3167</v>
      </c>
      <c r="E154" s="1" t="s">
        <v>3168</v>
      </c>
      <c r="F154" s="1" t="s">
        <v>112</v>
      </c>
      <c r="G154" s="1">
        <v>4650081</v>
      </c>
    </row>
    <row r="155" spans="1:8" x14ac:dyDescent="0.35">
      <c r="A155" s="1" t="str">
        <f t="shared" si="2"/>
        <v>15</v>
      </c>
      <c r="B15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155" s="1" t="s">
        <v>3169</v>
      </c>
      <c r="D155" s="1" t="s">
        <v>3170</v>
      </c>
      <c r="E155" s="1" t="s">
        <v>3171</v>
      </c>
      <c r="F155" s="1" t="s">
        <v>112</v>
      </c>
      <c r="G155" s="1">
        <v>4127525</v>
      </c>
    </row>
    <row r="156" spans="1:8" x14ac:dyDescent="0.35">
      <c r="A156" s="1" t="str">
        <f t="shared" si="2"/>
        <v>15</v>
      </c>
      <c r="B15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156" s="1" t="s">
        <v>3172</v>
      </c>
      <c r="D156" s="1" t="s">
        <v>3173</v>
      </c>
      <c r="E156" s="1" t="s">
        <v>3174</v>
      </c>
      <c r="F156" s="1" t="s">
        <v>112</v>
      </c>
      <c r="G156" s="1">
        <v>3892408</v>
      </c>
    </row>
    <row r="157" spans="1:8" x14ac:dyDescent="0.35">
      <c r="A157" s="1" t="str">
        <f t="shared" si="2"/>
        <v>15</v>
      </c>
      <c r="B15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157" s="1" t="s">
        <v>3175</v>
      </c>
      <c r="D157" s="1" t="s">
        <v>3176</v>
      </c>
      <c r="E157" s="1" t="s">
        <v>3177</v>
      </c>
      <c r="F157" s="1" t="s">
        <v>112</v>
      </c>
      <c r="G157" s="1">
        <v>4432744</v>
      </c>
    </row>
    <row r="158" spans="1:8" x14ac:dyDescent="0.35">
      <c r="A158" s="1" t="str">
        <f t="shared" si="2"/>
        <v/>
      </c>
      <c r="B15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158" s="1" t="s">
        <v>112</v>
      </c>
    </row>
    <row r="159" spans="1:8" x14ac:dyDescent="0.35">
      <c r="A159" s="1" t="str">
        <f t="shared" si="2"/>
        <v/>
      </c>
      <c r="B15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159" s="1" t="s">
        <v>226</v>
      </c>
      <c r="D159" s="1" t="s">
        <v>112</v>
      </c>
      <c r="E159" s="1" t="s">
        <v>227</v>
      </c>
      <c r="F159" s="1" t="s">
        <v>228</v>
      </c>
      <c r="G159" s="1" t="s">
        <v>229</v>
      </c>
      <c r="H159" s="1" t="s">
        <v>230</v>
      </c>
    </row>
    <row r="160" spans="1:8" x14ac:dyDescent="0.35">
      <c r="A160" s="1" t="str">
        <f t="shared" si="2"/>
        <v>15</v>
      </c>
      <c r="B16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 xml:space="preserve"> </v>
      </c>
      <c r="C160" s="1" t="s">
        <v>3178</v>
      </c>
      <c r="D160" s="1" t="s">
        <v>112</v>
      </c>
      <c r="E160" s="1" t="s">
        <v>3179</v>
      </c>
      <c r="F160" s="1" t="s">
        <v>3180</v>
      </c>
      <c r="G160" s="1" t="s">
        <v>3181</v>
      </c>
      <c r="H160" s="1" t="s">
        <v>3182</v>
      </c>
    </row>
    <row r="161" spans="1:7" x14ac:dyDescent="0.35">
      <c r="A161" s="1" t="str">
        <f t="shared" si="2"/>
        <v/>
      </c>
      <c r="B16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161" s="1" t="s">
        <v>112</v>
      </c>
    </row>
    <row r="162" spans="1:7" x14ac:dyDescent="0.35">
      <c r="A162" s="1" t="str">
        <f t="shared" si="2"/>
        <v/>
      </c>
      <c r="B16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162" s="1" t="s">
        <v>112</v>
      </c>
    </row>
    <row r="163" spans="1:7" x14ac:dyDescent="0.35">
      <c r="A163" s="1" t="str">
        <f t="shared" si="2"/>
        <v/>
      </c>
      <c r="B16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163" s="1" t="s">
        <v>112</v>
      </c>
    </row>
    <row r="164" spans="1:7" x14ac:dyDescent="0.35">
      <c r="A164" s="1" t="str">
        <f t="shared" si="2"/>
        <v/>
      </c>
      <c r="B16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164" s="1" t="s">
        <v>112</v>
      </c>
    </row>
    <row r="165" spans="1:7" x14ac:dyDescent="0.35">
      <c r="A165" s="1" t="str">
        <f t="shared" si="2"/>
        <v/>
      </c>
      <c r="B16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165" s="1" t="s">
        <v>112</v>
      </c>
    </row>
    <row r="166" spans="1:7" x14ac:dyDescent="0.35">
      <c r="A166" s="1" t="str">
        <f t="shared" si="2"/>
        <v/>
      </c>
      <c r="B16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166" s="1" t="s">
        <v>172</v>
      </c>
      <c r="D166" s="1" t="s">
        <v>110</v>
      </c>
      <c r="E166" s="1" t="s">
        <v>111</v>
      </c>
      <c r="F166" s="1" t="s">
        <v>112</v>
      </c>
      <c r="G166" s="1" t="s">
        <v>113</v>
      </c>
    </row>
    <row r="167" spans="1:7" x14ac:dyDescent="0.35">
      <c r="A167" s="1" t="str">
        <f t="shared" si="2"/>
        <v>16</v>
      </c>
      <c r="B16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167" s="1" t="s">
        <v>3183</v>
      </c>
      <c r="D167" s="1" t="s">
        <v>3184</v>
      </c>
      <c r="E167" s="1" t="s">
        <v>3185</v>
      </c>
      <c r="F167" s="1" t="s">
        <v>112</v>
      </c>
      <c r="G167" s="1">
        <v>87363</v>
      </c>
    </row>
    <row r="168" spans="1:7" x14ac:dyDescent="0.35">
      <c r="A168" s="1" t="str">
        <f t="shared" si="2"/>
        <v>16</v>
      </c>
      <c r="B16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168" s="1" t="s">
        <v>3186</v>
      </c>
      <c r="D168" s="1" t="s">
        <v>1935</v>
      </c>
      <c r="E168" s="1" t="s">
        <v>3187</v>
      </c>
      <c r="F168" s="1" t="s">
        <v>112</v>
      </c>
      <c r="G168" s="1">
        <v>140702</v>
      </c>
    </row>
    <row r="169" spans="1:7" x14ac:dyDescent="0.35">
      <c r="A169" s="1" t="str">
        <f t="shared" si="2"/>
        <v>16</v>
      </c>
      <c r="B16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169" s="1" t="s">
        <v>3188</v>
      </c>
      <c r="D169" s="1" t="s">
        <v>1009</v>
      </c>
      <c r="E169" s="1" t="s">
        <v>3189</v>
      </c>
      <c r="F169" s="1" t="s">
        <v>112</v>
      </c>
      <c r="G169" s="1">
        <v>53815</v>
      </c>
    </row>
    <row r="170" spans="1:7" x14ac:dyDescent="0.35">
      <c r="A170" s="1" t="str">
        <f t="shared" si="2"/>
        <v>16</v>
      </c>
      <c r="B17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170" s="1" t="s">
        <v>3190</v>
      </c>
      <c r="D170" s="1" t="s">
        <v>2435</v>
      </c>
      <c r="E170" s="1" t="s">
        <v>3191</v>
      </c>
      <c r="F170" s="1" t="s">
        <v>112</v>
      </c>
      <c r="G170" s="1">
        <v>248809</v>
      </c>
    </row>
    <row r="171" spans="1:7" x14ac:dyDescent="0.35">
      <c r="A171" s="1" t="str">
        <f t="shared" si="2"/>
        <v>16</v>
      </c>
      <c r="B17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171" s="1" t="s">
        <v>3192</v>
      </c>
      <c r="D171" s="1" t="s">
        <v>577</v>
      </c>
      <c r="E171" s="1" t="s">
        <v>3193</v>
      </c>
      <c r="F171" s="1" t="s">
        <v>112</v>
      </c>
      <c r="G171" s="1">
        <v>265356</v>
      </c>
    </row>
    <row r="172" spans="1:7" x14ac:dyDescent="0.35">
      <c r="A172" s="1" t="str">
        <f t="shared" si="2"/>
        <v>16</v>
      </c>
      <c r="B17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172" s="1" t="s">
        <v>3194</v>
      </c>
      <c r="D172" s="1" t="s">
        <v>1000</v>
      </c>
      <c r="E172" s="1" t="s">
        <v>3195</v>
      </c>
      <c r="F172" s="1" t="s">
        <v>112</v>
      </c>
      <c r="G172" s="1">
        <v>413758</v>
      </c>
    </row>
    <row r="173" spans="1:7" x14ac:dyDescent="0.35">
      <c r="A173" s="1" t="str">
        <f t="shared" si="2"/>
        <v>16</v>
      </c>
      <c r="B17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173" s="1" t="s">
        <v>3196</v>
      </c>
      <c r="D173" s="1" t="s">
        <v>3197</v>
      </c>
      <c r="E173" s="1" t="s">
        <v>3198</v>
      </c>
      <c r="F173" s="1" t="s">
        <v>112</v>
      </c>
      <c r="G173" s="1">
        <v>351464</v>
      </c>
    </row>
    <row r="174" spans="1:7" x14ac:dyDescent="0.35">
      <c r="A174" s="1" t="str">
        <f t="shared" si="2"/>
        <v>16</v>
      </c>
      <c r="B17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174" s="1" t="s">
        <v>3199</v>
      </c>
      <c r="D174" s="1" t="s">
        <v>706</v>
      </c>
      <c r="E174" s="1" t="s">
        <v>3200</v>
      </c>
      <c r="F174" s="1" t="s">
        <v>112</v>
      </c>
      <c r="G174" s="1">
        <v>106960</v>
      </c>
    </row>
    <row r="175" spans="1:7" x14ac:dyDescent="0.35">
      <c r="A175" s="1" t="str">
        <f t="shared" si="2"/>
        <v>16</v>
      </c>
      <c r="B17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175" s="1" t="s">
        <v>3201</v>
      </c>
      <c r="D175" s="1" t="s">
        <v>1213</v>
      </c>
      <c r="E175" s="1" t="s">
        <v>3202</v>
      </c>
      <c r="F175" s="1" t="s">
        <v>112</v>
      </c>
      <c r="G175" s="1">
        <v>216623</v>
      </c>
    </row>
    <row r="176" spans="1:7" x14ac:dyDescent="0.35">
      <c r="A176" s="1" t="str">
        <f t="shared" si="2"/>
        <v>16</v>
      </c>
      <c r="B17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176" s="1" t="s">
        <v>3203</v>
      </c>
      <c r="D176" s="1" t="s">
        <v>1948</v>
      </c>
      <c r="E176" s="1" t="s">
        <v>3204</v>
      </c>
      <c r="F176" s="1" t="s">
        <v>112</v>
      </c>
      <c r="G176" s="1">
        <v>316748</v>
      </c>
    </row>
    <row r="177" spans="1:7" x14ac:dyDescent="0.35">
      <c r="A177" s="1" t="str">
        <f t="shared" si="2"/>
        <v>16</v>
      </c>
      <c r="B17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177" s="1" t="s">
        <v>3205</v>
      </c>
      <c r="D177" s="1" t="s">
        <v>1374</v>
      </c>
      <c r="E177" s="1" t="s">
        <v>3206</v>
      </c>
      <c r="F177" s="1" t="s">
        <v>112</v>
      </c>
      <c r="G177" s="1">
        <v>143017</v>
      </c>
    </row>
    <row r="178" spans="1:7" x14ac:dyDescent="0.35">
      <c r="A178" s="1" t="str">
        <f t="shared" si="2"/>
        <v>16</v>
      </c>
      <c r="B17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178" s="1" t="s">
        <v>3207</v>
      </c>
      <c r="D178" s="1" t="s">
        <v>954</v>
      </c>
      <c r="E178" s="1">
        <v>30</v>
      </c>
      <c r="F178" s="1" t="s">
        <v>112</v>
      </c>
      <c r="G178" s="1">
        <v>1298</v>
      </c>
    </row>
    <row r="179" spans="1:7" x14ac:dyDescent="0.35">
      <c r="A179" s="1" t="str">
        <f t="shared" si="2"/>
        <v>16</v>
      </c>
      <c r="B17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179" s="1" t="s">
        <v>3208</v>
      </c>
    </row>
    <row r="180" spans="1:7" x14ac:dyDescent="0.35">
      <c r="A180" s="1" t="str">
        <f t="shared" si="2"/>
        <v>16</v>
      </c>
      <c r="B18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180" s="1" t="s">
        <v>3209</v>
      </c>
    </row>
    <row r="181" spans="1:7" x14ac:dyDescent="0.35">
      <c r="A181" s="1" t="str">
        <f t="shared" si="2"/>
        <v>16</v>
      </c>
      <c r="B18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181" s="1" t="s">
        <v>3210</v>
      </c>
      <c r="D181" s="1" t="s">
        <v>3211</v>
      </c>
      <c r="E181" s="1" t="s">
        <v>3212</v>
      </c>
      <c r="F181" s="1" t="s">
        <v>112</v>
      </c>
      <c r="G181" s="1">
        <v>321269</v>
      </c>
    </row>
    <row r="182" spans="1:7" x14ac:dyDescent="0.35">
      <c r="A182" s="1" t="str">
        <f t="shared" si="2"/>
        <v>16</v>
      </c>
      <c r="B18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182" s="1" t="s">
        <v>3213</v>
      </c>
      <c r="D182" s="1" t="s">
        <v>590</v>
      </c>
      <c r="E182" s="1" t="s">
        <v>3214</v>
      </c>
      <c r="F182" s="1" t="s">
        <v>112</v>
      </c>
      <c r="G182" s="1">
        <v>153962</v>
      </c>
    </row>
    <row r="183" spans="1:7" x14ac:dyDescent="0.35">
      <c r="A183" s="1" t="str">
        <f t="shared" si="2"/>
        <v>16</v>
      </c>
      <c r="B18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183" s="1" t="s">
        <v>3215</v>
      </c>
    </row>
    <row r="184" spans="1:7" x14ac:dyDescent="0.35">
      <c r="A184" s="1" t="str">
        <f t="shared" si="2"/>
        <v>16</v>
      </c>
      <c r="B18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184" s="1" t="s">
        <v>3216</v>
      </c>
      <c r="D184" s="1" t="s">
        <v>3217</v>
      </c>
      <c r="E184" s="1" t="s">
        <v>3218</v>
      </c>
      <c r="F184" s="1" t="s">
        <v>112</v>
      </c>
      <c r="G184" s="1">
        <v>482325</v>
      </c>
    </row>
    <row r="185" spans="1:7" x14ac:dyDescent="0.35">
      <c r="A185" s="1" t="str">
        <f t="shared" si="2"/>
        <v>16</v>
      </c>
      <c r="B18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185" s="1" t="s">
        <v>3219</v>
      </c>
      <c r="D185" s="1" t="s">
        <v>3220</v>
      </c>
      <c r="E185" s="1" t="s">
        <v>3221</v>
      </c>
      <c r="F185" s="1" t="s">
        <v>112</v>
      </c>
      <c r="G185" s="1">
        <v>345559</v>
      </c>
    </row>
    <row r="186" spans="1:7" x14ac:dyDescent="0.35">
      <c r="A186" s="1" t="str">
        <f t="shared" si="2"/>
        <v>16</v>
      </c>
      <c r="B18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186" s="1" t="s">
        <v>3222</v>
      </c>
    </row>
    <row r="187" spans="1:7" x14ac:dyDescent="0.35">
      <c r="A187" s="1" t="str">
        <f t="shared" si="2"/>
        <v>16</v>
      </c>
      <c r="B18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187" s="1" t="s">
        <v>3223</v>
      </c>
      <c r="D187" s="1" t="s">
        <v>3224</v>
      </c>
      <c r="E187" s="1" t="s">
        <v>3225</v>
      </c>
      <c r="F187" s="1" t="s">
        <v>112</v>
      </c>
      <c r="G187" s="1">
        <v>648486</v>
      </c>
    </row>
    <row r="188" spans="1:7" x14ac:dyDescent="0.35">
      <c r="A188" s="1" t="str">
        <f t="shared" si="2"/>
        <v>16</v>
      </c>
      <c r="B18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188" s="1" t="s">
        <v>3226</v>
      </c>
      <c r="D188" s="1" t="s">
        <v>3227</v>
      </c>
      <c r="E188" s="1" t="s">
        <v>3228</v>
      </c>
      <c r="F188" s="1" t="s">
        <v>112</v>
      </c>
      <c r="G188" s="1">
        <v>555066</v>
      </c>
    </row>
    <row r="189" spans="1:7" x14ac:dyDescent="0.35">
      <c r="A189" s="1" t="str">
        <f t="shared" si="2"/>
        <v>16</v>
      </c>
      <c r="B18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189" s="1" t="s">
        <v>3229</v>
      </c>
      <c r="D189" s="1" t="s">
        <v>3230</v>
      </c>
      <c r="E189" s="1" t="s">
        <v>3231</v>
      </c>
      <c r="F189" s="1" t="s">
        <v>112</v>
      </c>
      <c r="G189" s="1">
        <v>486889</v>
      </c>
    </row>
    <row r="190" spans="1:7" x14ac:dyDescent="0.35">
      <c r="A190" s="1" t="str">
        <f t="shared" si="2"/>
        <v>16</v>
      </c>
      <c r="B19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190" s="1" t="s">
        <v>3232</v>
      </c>
      <c r="D190" s="1" t="s">
        <v>3233</v>
      </c>
      <c r="E190" s="1" t="s">
        <v>3234</v>
      </c>
      <c r="F190" s="1" t="s">
        <v>112</v>
      </c>
      <c r="G190" s="1">
        <v>425374</v>
      </c>
    </row>
    <row r="191" spans="1:7" x14ac:dyDescent="0.35">
      <c r="A191" s="1" t="str">
        <f t="shared" si="2"/>
        <v>16</v>
      </c>
      <c r="B19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191" s="1" t="s">
        <v>3235</v>
      </c>
    </row>
    <row r="192" spans="1:7" x14ac:dyDescent="0.35">
      <c r="A192" s="1" t="str">
        <f t="shared" si="2"/>
        <v>16</v>
      </c>
      <c r="B19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192" s="1" t="s">
        <v>3236</v>
      </c>
      <c r="D192" s="1" t="s">
        <v>2739</v>
      </c>
      <c r="E192" s="1" t="s">
        <v>3237</v>
      </c>
      <c r="F192" s="1" t="s">
        <v>112</v>
      </c>
      <c r="G192" s="1">
        <v>272299</v>
      </c>
    </row>
    <row r="193" spans="1:8" x14ac:dyDescent="0.35">
      <c r="A193" s="1" t="str">
        <f t="shared" si="2"/>
        <v>16</v>
      </c>
      <c r="B19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193" s="1" t="s">
        <v>3238</v>
      </c>
      <c r="D193" s="1" t="s">
        <v>3239</v>
      </c>
      <c r="E193" s="1" t="s">
        <v>3240</v>
      </c>
      <c r="F193" s="1" t="s">
        <v>112</v>
      </c>
      <c r="G193" s="1">
        <v>130861</v>
      </c>
    </row>
    <row r="194" spans="1:8" x14ac:dyDescent="0.35">
      <c r="A194" s="1" t="str">
        <f t="shared" ref="A194:A257" si="3">IFERROR(LEFT(RIGHT(C194,LEN(C194)-SEARCH("@",C194)),SEARCH("/",RIGHT(C194,LEN(C194)-SEARCH("@",C194)-1))),"")</f>
        <v>16</v>
      </c>
      <c r="B19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194" s="1" t="s">
        <v>3241</v>
      </c>
      <c r="D194" s="1" t="s">
        <v>194</v>
      </c>
      <c r="E194" s="1" t="s">
        <v>3242</v>
      </c>
      <c r="F194" s="1" t="s">
        <v>112</v>
      </c>
      <c r="G194" s="1">
        <v>277165</v>
      </c>
    </row>
    <row r="195" spans="1:8" x14ac:dyDescent="0.35">
      <c r="A195" s="1" t="str">
        <f t="shared" si="3"/>
        <v>16</v>
      </c>
      <c r="B19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195" s="1" t="s">
        <v>3243</v>
      </c>
      <c r="D195" s="1" t="s">
        <v>3244</v>
      </c>
      <c r="E195" s="1" t="s">
        <v>3245</v>
      </c>
      <c r="F195" s="1" t="s">
        <v>112</v>
      </c>
      <c r="G195" s="1">
        <v>252053</v>
      </c>
    </row>
    <row r="196" spans="1:8" x14ac:dyDescent="0.35">
      <c r="A196" s="1" t="str">
        <f t="shared" si="3"/>
        <v>16</v>
      </c>
      <c r="B19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196" s="1" t="s">
        <v>3246</v>
      </c>
      <c r="D196" s="1" t="s">
        <v>1303</v>
      </c>
      <c r="E196" s="1" t="s">
        <v>3247</v>
      </c>
      <c r="F196" s="1" t="s">
        <v>112</v>
      </c>
      <c r="G196" s="1">
        <v>80290</v>
      </c>
    </row>
    <row r="197" spans="1:8" x14ac:dyDescent="0.35">
      <c r="A197" s="1" t="str">
        <f t="shared" si="3"/>
        <v>16</v>
      </c>
      <c r="B19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197" s="1" t="s">
        <v>3248</v>
      </c>
      <c r="D197" s="1" t="s">
        <v>203</v>
      </c>
      <c r="E197" s="1" t="s">
        <v>3249</v>
      </c>
      <c r="F197" s="1" t="s">
        <v>112</v>
      </c>
      <c r="G197" s="1">
        <v>6078</v>
      </c>
    </row>
    <row r="198" spans="1:8" x14ac:dyDescent="0.35">
      <c r="A198" s="1" t="str">
        <f t="shared" si="3"/>
        <v>16</v>
      </c>
      <c r="B19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198" s="1" t="s">
        <v>3250</v>
      </c>
      <c r="D198" s="1" t="s">
        <v>1129</v>
      </c>
      <c r="E198" s="1" t="s">
        <v>3251</v>
      </c>
      <c r="F198" s="1" t="s">
        <v>112</v>
      </c>
      <c r="G198" s="1">
        <v>168648</v>
      </c>
    </row>
    <row r="199" spans="1:8" x14ac:dyDescent="0.35">
      <c r="A199" s="1" t="str">
        <f t="shared" si="3"/>
        <v/>
      </c>
      <c r="B19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199" s="1" t="s">
        <v>112</v>
      </c>
    </row>
    <row r="200" spans="1:8" x14ac:dyDescent="0.35">
      <c r="A200" s="1" t="str">
        <f t="shared" si="3"/>
        <v/>
      </c>
      <c r="B20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200" s="1" t="s">
        <v>226</v>
      </c>
      <c r="D200" s="1" t="s">
        <v>112</v>
      </c>
      <c r="E200" s="1" t="s">
        <v>227</v>
      </c>
      <c r="F200" s="1" t="s">
        <v>228</v>
      </c>
      <c r="G200" s="1" t="s">
        <v>229</v>
      </c>
      <c r="H200" s="1" t="s">
        <v>230</v>
      </c>
    </row>
    <row r="201" spans="1:8" x14ac:dyDescent="0.35">
      <c r="A201" s="1" t="str">
        <f t="shared" si="3"/>
        <v>16</v>
      </c>
      <c r="B20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 xml:space="preserve"> </v>
      </c>
      <c r="C201" s="1" t="s">
        <v>3252</v>
      </c>
      <c r="D201" s="1" t="s">
        <v>112</v>
      </c>
      <c r="E201" s="1" t="s">
        <v>3253</v>
      </c>
      <c r="F201" s="1" t="s">
        <v>3254</v>
      </c>
      <c r="G201" s="1" t="s">
        <v>3255</v>
      </c>
      <c r="H201" s="1" t="s">
        <v>3256</v>
      </c>
    </row>
    <row r="202" spans="1:8" x14ac:dyDescent="0.35">
      <c r="A202" s="1" t="str">
        <f t="shared" si="3"/>
        <v/>
      </c>
      <c r="B20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202" s="1" t="s">
        <v>112</v>
      </c>
    </row>
    <row r="203" spans="1:8" x14ac:dyDescent="0.35">
      <c r="A203" s="1" t="str">
        <f t="shared" si="3"/>
        <v/>
      </c>
      <c r="B20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203" s="1" t="s">
        <v>112</v>
      </c>
    </row>
    <row r="204" spans="1:8" x14ac:dyDescent="0.35">
      <c r="A204" s="1" t="str">
        <f t="shared" si="3"/>
        <v/>
      </c>
      <c r="B20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204" s="1" t="s">
        <v>112</v>
      </c>
    </row>
    <row r="205" spans="1:8" x14ac:dyDescent="0.35">
      <c r="A205" s="1" t="str">
        <f t="shared" si="3"/>
        <v/>
      </c>
      <c r="B20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205" s="1" t="s">
        <v>112</v>
      </c>
    </row>
    <row r="206" spans="1:8" x14ac:dyDescent="0.35">
      <c r="A206" s="1" t="str">
        <f t="shared" si="3"/>
        <v/>
      </c>
      <c r="B20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206" s="1" t="s">
        <v>112</v>
      </c>
    </row>
    <row r="207" spans="1:8" x14ac:dyDescent="0.35">
      <c r="A207" s="1" t="str">
        <f t="shared" si="3"/>
        <v/>
      </c>
      <c r="B20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207" s="1" t="s">
        <v>172</v>
      </c>
      <c r="D207" s="1" t="s">
        <v>110</v>
      </c>
      <c r="E207" s="1" t="s">
        <v>111</v>
      </c>
      <c r="F207" s="1" t="s">
        <v>112</v>
      </c>
      <c r="G207" s="1" t="s">
        <v>113</v>
      </c>
    </row>
    <row r="208" spans="1:8" x14ac:dyDescent="0.35">
      <c r="A208" s="1" t="str">
        <f t="shared" si="3"/>
        <v>2</v>
      </c>
      <c r="B20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208" s="1" t="s">
        <v>3257</v>
      </c>
      <c r="D208" s="1" t="s">
        <v>3258</v>
      </c>
      <c r="E208" s="1" t="s">
        <v>3259</v>
      </c>
      <c r="F208" s="1" t="s">
        <v>112</v>
      </c>
      <c r="G208" s="1">
        <v>444711</v>
      </c>
    </row>
    <row r="209" spans="1:7" x14ac:dyDescent="0.35">
      <c r="A209" s="1" t="str">
        <f t="shared" si="3"/>
        <v>2</v>
      </c>
      <c r="B20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209" s="1" t="s">
        <v>3260</v>
      </c>
      <c r="D209" s="1" t="s">
        <v>3261</v>
      </c>
      <c r="E209" s="1" t="s">
        <v>3262</v>
      </c>
      <c r="F209" s="1" t="s">
        <v>112</v>
      </c>
      <c r="G209" s="1">
        <v>432706</v>
      </c>
    </row>
    <row r="210" spans="1:7" x14ac:dyDescent="0.35">
      <c r="A210" s="1" t="str">
        <f t="shared" si="3"/>
        <v>2</v>
      </c>
      <c r="B21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210" s="1" t="s">
        <v>3263</v>
      </c>
      <c r="D210" s="1" t="s">
        <v>3264</v>
      </c>
      <c r="E210" s="1" t="s">
        <v>3265</v>
      </c>
      <c r="F210" s="1" t="s">
        <v>112</v>
      </c>
      <c r="G210" s="1">
        <v>455461</v>
      </c>
    </row>
    <row r="211" spans="1:7" x14ac:dyDescent="0.35">
      <c r="A211" s="1" t="str">
        <f t="shared" si="3"/>
        <v>2</v>
      </c>
      <c r="B21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211" s="1" t="s">
        <v>3266</v>
      </c>
      <c r="D211" s="1" t="s">
        <v>1063</v>
      </c>
      <c r="E211" s="1" t="s">
        <v>3267</v>
      </c>
      <c r="F211" s="1" t="s">
        <v>112</v>
      </c>
      <c r="G211" s="1">
        <v>61948</v>
      </c>
    </row>
    <row r="212" spans="1:7" x14ac:dyDescent="0.35">
      <c r="A212" s="1" t="str">
        <f t="shared" si="3"/>
        <v>2</v>
      </c>
      <c r="B21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212" s="1" t="s">
        <v>3268</v>
      </c>
      <c r="D212" s="1" t="s">
        <v>2356</v>
      </c>
      <c r="E212" s="1" t="s">
        <v>3269</v>
      </c>
      <c r="F212" s="1" t="s">
        <v>112</v>
      </c>
      <c r="G212" s="1">
        <v>71660</v>
      </c>
    </row>
    <row r="213" spans="1:7" x14ac:dyDescent="0.35">
      <c r="A213" s="1" t="str">
        <f t="shared" si="3"/>
        <v>2</v>
      </c>
      <c r="B21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213" s="1" t="s">
        <v>3270</v>
      </c>
      <c r="D213" s="1" t="s">
        <v>1147</v>
      </c>
      <c r="E213" s="1" t="s">
        <v>3271</v>
      </c>
      <c r="F213" s="1" t="s">
        <v>112</v>
      </c>
      <c r="G213" s="1">
        <v>372532</v>
      </c>
    </row>
    <row r="214" spans="1:7" x14ac:dyDescent="0.35">
      <c r="A214" s="1" t="str">
        <f t="shared" si="3"/>
        <v>2</v>
      </c>
      <c r="B21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214" s="1" t="s">
        <v>3272</v>
      </c>
      <c r="D214" s="1" t="s">
        <v>535</v>
      </c>
      <c r="E214" s="1" t="s">
        <v>3273</v>
      </c>
      <c r="F214" s="1" t="s">
        <v>112</v>
      </c>
      <c r="G214" s="1">
        <v>233084</v>
      </c>
    </row>
    <row r="215" spans="1:7" x14ac:dyDescent="0.35">
      <c r="A215" s="1" t="str">
        <f t="shared" si="3"/>
        <v>2</v>
      </c>
      <c r="B21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215" s="1" t="s">
        <v>3274</v>
      </c>
      <c r="D215" s="1" t="s">
        <v>1039</v>
      </c>
      <c r="E215" s="1" t="s">
        <v>3275</v>
      </c>
      <c r="F215" s="1" t="s">
        <v>112</v>
      </c>
      <c r="G215" s="1">
        <v>267389</v>
      </c>
    </row>
    <row r="216" spans="1:7" x14ac:dyDescent="0.35">
      <c r="A216" s="1" t="str">
        <f t="shared" si="3"/>
        <v>2</v>
      </c>
      <c r="B21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216" s="1" t="s">
        <v>3276</v>
      </c>
      <c r="D216" s="1" t="s">
        <v>3277</v>
      </c>
      <c r="E216" s="1" t="s">
        <v>3278</v>
      </c>
      <c r="F216" s="1" t="s">
        <v>112</v>
      </c>
      <c r="G216" s="1">
        <v>548707</v>
      </c>
    </row>
    <row r="217" spans="1:7" x14ac:dyDescent="0.35">
      <c r="A217" s="1" t="str">
        <f t="shared" si="3"/>
        <v>2</v>
      </c>
      <c r="B21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217" s="1" t="s">
        <v>3279</v>
      </c>
    </row>
    <row r="218" spans="1:7" x14ac:dyDescent="0.35">
      <c r="A218" s="1" t="str">
        <f t="shared" si="3"/>
        <v>2</v>
      </c>
      <c r="B21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218" s="1" t="s">
        <v>3280</v>
      </c>
      <c r="D218" s="1" t="s">
        <v>3281</v>
      </c>
      <c r="E218" s="1" t="s">
        <v>3282</v>
      </c>
      <c r="F218" s="1" t="s">
        <v>112</v>
      </c>
      <c r="G218" s="1">
        <v>486759</v>
      </c>
    </row>
    <row r="219" spans="1:7" x14ac:dyDescent="0.35">
      <c r="A219" s="1" t="str">
        <f t="shared" si="3"/>
        <v>2</v>
      </c>
      <c r="B21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219" s="1" t="s">
        <v>3283</v>
      </c>
      <c r="D219" s="1" t="s">
        <v>3284</v>
      </c>
      <c r="E219" s="1" t="s">
        <v>3285</v>
      </c>
      <c r="F219" s="1" t="s">
        <v>112</v>
      </c>
      <c r="G219" s="1">
        <v>446657</v>
      </c>
    </row>
    <row r="220" spans="1:7" x14ac:dyDescent="0.35">
      <c r="A220" s="1" t="str">
        <f t="shared" si="3"/>
        <v>2</v>
      </c>
      <c r="B22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220" s="1" t="s">
        <v>3286</v>
      </c>
      <c r="D220" s="1" t="s">
        <v>3287</v>
      </c>
      <c r="E220" s="1" t="s">
        <v>3288</v>
      </c>
      <c r="F220" s="1" t="s">
        <v>112</v>
      </c>
      <c r="G220" s="1">
        <v>298774</v>
      </c>
    </row>
    <row r="221" spans="1:7" x14ac:dyDescent="0.35">
      <c r="A221" s="1" t="str">
        <f t="shared" si="3"/>
        <v>2</v>
      </c>
      <c r="B22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221" s="1" t="s">
        <v>3289</v>
      </c>
      <c r="D221" s="1" t="s">
        <v>3290</v>
      </c>
      <c r="E221" s="1" t="s">
        <v>3291</v>
      </c>
      <c r="F221" s="1" t="s">
        <v>112</v>
      </c>
      <c r="G221" s="1">
        <v>498418</v>
      </c>
    </row>
    <row r="222" spans="1:7" x14ac:dyDescent="0.35">
      <c r="A222" s="1" t="str">
        <f t="shared" si="3"/>
        <v>2</v>
      </c>
      <c r="B22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222" s="1" t="s">
        <v>3292</v>
      </c>
      <c r="D222" s="1" t="s">
        <v>3293</v>
      </c>
      <c r="E222" s="1" t="s">
        <v>3294</v>
      </c>
      <c r="F222" s="1" t="s">
        <v>112</v>
      </c>
      <c r="G222" s="1">
        <v>696742</v>
      </c>
    </row>
    <row r="223" spans="1:7" x14ac:dyDescent="0.35">
      <c r="A223" s="1" t="str">
        <f t="shared" si="3"/>
        <v>2</v>
      </c>
      <c r="B22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223" s="1" t="s">
        <v>3295</v>
      </c>
      <c r="D223" s="1" t="s">
        <v>2699</v>
      </c>
      <c r="E223" s="1" t="s">
        <v>3296</v>
      </c>
      <c r="F223" s="1" t="s">
        <v>112</v>
      </c>
      <c r="G223" s="1">
        <v>330462</v>
      </c>
    </row>
    <row r="224" spans="1:7" x14ac:dyDescent="0.35">
      <c r="A224" s="1" t="str">
        <f t="shared" si="3"/>
        <v>2</v>
      </c>
      <c r="B22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224" s="1" t="s">
        <v>3297</v>
      </c>
      <c r="D224" s="1" t="s">
        <v>2649</v>
      </c>
      <c r="E224" s="1" t="s">
        <v>3298</v>
      </c>
      <c r="F224" s="1" t="s">
        <v>112</v>
      </c>
      <c r="G224" s="1">
        <v>203927</v>
      </c>
    </row>
    <row r="225" spans="1:7" x14ac:dyDescent="0.35">
      <c r="A225" s="1" t="str">
        <f t="shared" si="3"/>
        <v>2</v>
      </c>
      <c r="B22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225" s="1" t="s">
        <v>3299</v>
      </c>
      <c r="D225" s="1" t="s">
        <v>3300</v>
      </c>
      <c r="E225" s="1" t="s">
        <v>3301</v>
      </c>
      <c r="F225" s="1" t="s">
        <v>112</v>
      </c>
      <c r="G225" s="1">
        <v>323151</v>
      </c>
    </row>
    <row r="226" spans="1:7" x14ac:dyDescent="0.35">
      <c r="A226" s="1" t="str">
        <f t="shared" si="3"/>
        <v>2</v>
      </c>
      <c r="B22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226" s="1" t="s">
        <v>3302</v>
      </c>
      <c r="D226" s="1" t="s">
        <v>3303</v>
      </c>
      <c r="E226" s="1" t="s">
        <v>3304</v>
      </c>
      <c r="F226" s="1" t="s">
        <v>112</v>
      </c>
      <c r="G226" s="1">
        <v>182967</v>
      </c>
    </row>
    <row r="227" spans="1:7" x14ac:dyDescent="0.35">
      <c r="A227" s="1" t="str">
        <f t="shared" si="3"/>
        <v>2</v>
      </c>
      <c r="B22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227" s="1" t="s">
        <v>3305</v>
      </c>
    </row>
    <row r="228" spans="1:7" x14ac:dyDescent="0.35">
      <c r="A228" s="1" t="str">
        <f t="shared" si="3"/>
        <v>2</v>
      </c>
      <c r="B22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228" s="1" t="s">
        <v>3306</v>
      </c>
      <c r="D228" s="1" t="s">
        <v>3307</v>
      </c>
      <c r="E228" s="1" t="s">
        <v>3308</v>
      </c>
      <c r="F228" s="1" t="s">
        <v>112</v>
      </c>
      <c r="G228" s="1">
        <v>808461</v>
      </c>
    </row>
    <row r="229" spans="1:7" x14ac:dyDescent="0.35">
      <c r="A229" s="1" t="str">
        <f t="shared" si="3"/>
        <v>2</v>
      </c>
      <c r="B22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229" s="1" t="s">
        <v>3309</v>
      </c>
      <c r="D229" s="1" t="s">
        <v>3310</v>
      </c>
      <c r="E229" s="1" t="s">
        <v>3311</v>
      </c>
      <c r="F229" s="1" t="s">
        <v>112</v>
      </c>
      <c r="G229" s="1">
        <v>1151619</v>
      </c>
    </row>
    <row r="230" spans="1:7" x14ac:dyDescent="0.35">
      <c r="A230" s="1" t="str">
        <f t="shared" si="3"/>
        <v>2</v>
      </c>
      <c r="B23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230" s="1" t="s">
        <v>3312</v>
      </c>
      <c r="D230" s="1" t="s">
        <v>3313</v>
      </c>
      <c r="E230" s="1" t="s">
        <v>3314</v>
      </c>
      <c r="F230" s="1" t="s">
        <v>112</v>
      </c>
      <c r="G230" s="1">
        <v>857387</v>
      </c>
    </row>
    <row r="231" spans="1:7" x14ac:dyDescent="0.35">
      <c r="A231" s="1" t="str">
        <f t="shared" si="3"/>
        <v>2</v>
      </c>
      <c r="B23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231" s="1" t="s">
        <v>3315</v>
      </c>
      <c r="D231" s="1" t="s">
        <v>3316</v>
      </c>
      <c r="E231" s="1" t="s">
        <v>3317</v>
      </c>
      <c r="F231" s="1" t="s">
        <v>112</v>
      </c>
      <c r="G231" s="1">
        <v>583120</v>
      </c>
    </row>
    <row r="232" spans="1:7" x14ac:dyDescent="0.35">
      <c r="A232" s="1" t="str">
        <f t="shared" si="3"/>
        <v>2</v>
      </c>
      <c r="B23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232" s="1" t="s">
        <v>3318</v>
      </c>
      <c r="D232" s="1" t="s">
        <v>562</v>
      </c>
      <c r="E232" s="1" t="s">
        <v>3319</v>
      </c>
      <c r="F232" s="1" t="s">
        <v>112</v>
      </c>
      <c r="G232" s="1">
        <v>275067</v>
      </c>
    </row>
    <row r="233" spans="1:7" x14ac:dyDescent="0.35">
      <c r="A233" s="1" t="str">
        <f t="shared" si="3"/>
        <v>2</v>
      </c>
      <c r="B23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233" s="1" t="s">
        <v>3320</v>
      </c>
      <c r="D233" s="1" t="s">
        <v>3321</v>
      </c>
      <c r="E233" s="1" t="s">
        <v>3322</v>
      </c>
      <c r="F233" s="1" t="s">
        <v>112</v>
      </c>
      <c r="G233" s="1">
        <v>322372</v>
      </c>
    </row>
    <row r="234" spans="1:7" x14ac:dyDescent="0.35">
      <c r="A234" s="1" t="str">
        <f t="shared" si="3"/>
        <v>2</v>
      </c>
      <c r="B23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234" s="1" t="s">
        <v>3323</v>
      </c>
      <c r="D234" s="1" t="s">
        <v>3324</v>
      </c>
      <c r="E234" s="1" t="s">
        <v>3325</v>
      </c>
      <c r="F234" s="1" t="s">
        <v>112</v>
      </c>
      <c r="G234" s="1">
        <v>109750</v>
      </c>
    </row>
    <row r="235" spans="1:7" x14ac:dyDescent="0.35">
      <c r="A235" s="1" t="str">
        <f t="shared" si="3"/>
        <v>2</v>
      </c>
      <c r="B23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235" s="1" t="s">
        <v>3326</v>
      </c>
      <c r="D235" s="1" t="s">
        <v>3327</v>
      </c>
      <c r="E235" s="1" t="s">
        <v>3328</v>
      </c>
      <c r="F235" s="1" t="s">
        <v>112</v>
      </c>
      <c r="G235" s="1">
        <v>493248</v>
      </c>
    </row>
    <row r="236" spans="1:7" x14ac:dyDescent="0.35">
      <c r="A236" s="1" t="str">
        <f t="shared" si="3"/>
        <v>2</v>
      </c>
      <c r="B23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236" s="1" t="s">
        <v>3329</v>
      </c>
      <c r="D236" s="1" t="s">
        <v>3330</v>
      </c>
      <c r="E236" s="1" t="s">
        <v>3331</v>
      </c>
      <c r="F236" s="1" t="s">
        <v>112</v>
      </c>
      <c r="G236" s="1">
        <v>411011</v>
      </c>
    </row>
    <row r="237" spans="1:7" x14ac:dyDescent="0.35">
      <c r="A237" s="1" t="str">
        <f t="shared" si="3"/>
        <v>2</v>
      </c>
      <c r="B23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237" s="1" t="s">
        <v>3332</v>
      </c>
      <c r="D237" s="1" t="s">
        <v>3333</v>
      </c>
      <c r="E237" s="1" t="s">
        <v>3334</v>
      </c>
      <c r="F237" s="1" t="s">
        <v>112</v>
      </c>
      <c r="G237" s="1">
        <v>417846</v>
      </c>
    </row>
    <row r="238" spans="1:7" x14ac:dyDescent="0.35">
      <c r="A238" s="1" t="str">
        <f t="shared" si="3"/>
        <v>2</v>
      </c>
      <c r="B23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238" s="1" t="s">
        <v>3335</v>
      </c>
    </row>
    <row r="239" spans="1:7" x14ac:dyDescent="0.35">
      <c r="A239" s="1" t="str">
        <f t="shared" si="3"/>
        <v>2</v>
      </c>
      <c r="B23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239" s="1" t="s">
        <v>3336</v>
      </c>
    </row>
    <row r="240" spans="1:7" x14ac:dyDescent="0.35">
      <c r="A240" s="1" t="str">
        <f t="shared" si="3"/>
        <v/>
      </c>
      <c r="B24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240" s="1" t="s">
        <v>112</v>
      </c>
    </row>
    <row r="241" spans="1:8" x14ac:dyDescent="0.35">
      <c r="A241" s="1" t="str">
        <f t="shared" si="3"/>
        <v/>
      </c>
      <c r="B24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241" s="1" t="s">
        <v>226</v>
      </c>
      <c r="D241" s="1" t="s">
        <v>112</v>
      </c>
      <c r="E241" s="1" t="s">
        <v>227</v>
      </c>
      <c r="F241" s="1" t="s">
        <v>228</v>
      </c>
      <c r="G241" s="1" t="s">
        <v>229</v>
      </c>
      <c r="H241" s="1" t="s">
        <v>230</v>
      </c>
    </row>
    <row r="242" spans="1:8" x14ac:dyDescent="0.35">
      <c r="A242" s="1" t="str">
        <f t="shared" si="3"/>
        <v>2</v>
      </c>
      <c r="B24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 xml:space="preserve"> </v>
      </c>
      <c r="C242" s="1" t="s">
        <v>3337</v>
      </c>
      <c r="D242" s="1" t="s">
        <v>112</v>
      </c>
      <c r="E242" s="1" t="s">
        <v>3338</v>
      </c>
      <c r="F242" s="1" t="s">
        <v>3339</v>
      </c>
      <c r="G242" s="1" t="s">
        <v>3340</v>
      </c>
      <c r="H242" s="1" t="s">
        <v>3341</v>
      </c>
    </row>
    <row r="243" spans="1:8" x14ac:dyDescent="0.35">
      <c r="A243" s="1" t="str">
        <f t="shared" si="3"/>
        <v/>
      </c>
      <c r="B24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243" s="1" t="s">
        <v>112</v>
      </c>
    </row>
    <row r="244" spans="1:8" x14ac:dyDescent="0.35">
      <c r="A244" s="1" t="str">
        <f t="shared" si="3"/>
        <v/>
      </c>
      <c r="B24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244" s="1" t="s">
        <v>112</v>
      </c>
    </row>
    <row r="245" spans="1:8" x14ac:dyDescent="0.35">
      <c r="A245" s="1" t="str">
        <f t="shared" si="3"/>
        <v/>
      </c>
      <c r="B24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245" s="1" t="s">
        <v>112</v>
      </c>
    </row>
    <row r="246" spans="1:8" x14ac:dyDescent="0.35">
      <c r="A246" s="1" t="str">
        <f t="shared" si="3"/>
        <v/>
      </c>
      <c r="B24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246" s="1" t="s">
        <v>112</v>
      </c>
    </row>
    <row r="247" spans="1:8" x14ac:dyDescent="0.35">
      <c r="A247" s="1" t="str">
        <f t="shared" si="3"/>
        <v/>
      </c>
      <c r="B24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247" s="1" t="s">
        <v>112</v>
      </c>
    </row>
    <row r="248" spans="1:8" x14ac:dyDescent="0.35">
      <c r="A248" s="1" t="str">
        <f t="shared" si="3"/>
        <v/>
      </c>
      <c r="B24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248" s="1" t="s">
        <v>172</v>
      </c>
      <c r="D248" s="1" t="s">
        <v>110</v>
      </c>
      <c r="E248" s="1" t="s">
        <v>111</v>
      </c>
      <c r="F248" s="1" t="s">
        <v>112</v>
      </c>
      <c r="G248" s="1" t="s">
        <v>113</v>
      </c>
    </row>
    <row r="249" spans="1:8" x14ac:dyDescent="0.35">
      <c r="A249" s="1" t="str">
        <f t="shared" si="3"/>
        <v>3</v>
      </c>
      <c r="B24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249" s="1" t="s">
        <v>3342</v>
      </c>
      <c r="D249" s="1" t="s">
        <v>3343</v>
      </c>
      <c r="E249" s="1" t="s">
        <v>3344</v>
      </c>
      <c r="F249" s="1" t="s">
        <v>112</v>
      </c>
      <c r="G249" s="1">
        <v>523660</v>
      </c>
    </row>
    <row r="250" spans="1:8" x14ac:dyDescent="0.35">
      <c r="A250" s="1" t="str">
        <f t="shared" si="3"/>
        <v>3</v>
      </c>
      <c r="B25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250" s="1" t="s">
        <v>3345</v>
      </c>
      <c r="D250" s="1" t="s">
        <v>3287</v>
      </c>
      <c r="E250" s="1" t="s">
        <v>3346</v>
      </c>
      <c r="F250" s="1" t="s">
        <v>112</v>
      </c>
      <c r="G250" s="1">
        <v>318998</v>
      </c>
    </row>
    <row r="251" spans="1:8" x14ac:dyDescent="0.35">
      <c r="A251" s="1" t="str">
        <f t="shared" si="3"/>
        <v>3</v>
      </c>
      <c r="B25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251" s="1" t="s">
        <v>3347</v>
      </c>
      <c r="D251" s="1" t="s">
        <v>3348</v>
      </c>
      <c r="E251" s="1" t="s">
        <v>3349</v>
      </c>
      <c r="F251" s="1" t="s">
        <v>112</v>
      </c>
      <c r="G251" s="1">
        <v>589133</v>
      </c>
    </row>
    <row r="252" spans="1:8" x14ac:dyDescent="0.35">
      <c r="A252" s="1" t="str">
        <f t="shared" si="3"/>
        <v>3</v>
      </c>
      <c r="B25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252" s="1" t="s">
        <v>3350</v>
      </c>
      <c r="D252" s="1" t="s">
        <v>3351</v>
      </c>
      <c r="E252" s="1" t="s">
        <v>3352</v>
      </c>
      <c r="F252" s="1" t="s">
        <v>112</v>
      </c>
      <c r="G252" s="1">
        <v>456521</v>
      </c>
    </row>
    <row r="253" spans="1:8" x14ac:dyDescent="0.35">
      <c r="A253" s="1" t="str">
        <f t="shared" si="3"/>
        <v>3</v>
      </c>
      <c r="B25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253" s="1" t="s">
        <v>3353</v>
      </c>
      <c r="D253" s="1" t="s">
        <v>3354</v>
      </c>
      <c r="E253" s="1" t="s">
        <v>3355</v>
      </c>
      <c r="F253" s="1" t="s">
        <v>112</v>
      </c>
      <c r="G253" s="1">
        <v>379605</v>
      </c>
    </row>
    <row r="254" spans="1:8" x14ac:dyDescent="0.35">
      <c r="A254" s="1" t="str">
        <f t="shared" si="3"/>
        <v>3</v>
      </c>
      <c r="B25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254" s="1" t="s">
        <v>3356</v>
      </c>
      <c r="D254" s="1" t="s">
        <v>3357</v>
      </c>
      <c r="E254" s="1" t="s">
        <v>3358</v>
      </c>
      <c r="F254" s="1" t="s">
        <v>112</v>
      </c>
      <c r="G254" s="1">
        <v>401018</v>
      </c>
    </row>
    <row r="255" spans="1:8" x14ac:dyDescent="0.35">
      <c r="A255" s="1" t="str">
        <f t="shared" si="3"/>
        <v>3</v>
      </c>
      <c r="B25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255" s="1" t="s">
        <v>3359</v>
      </c>
      <c r="D255" s="1" t="s">
        <v>3360</v>
      </c>
      <c r="E255" s="1" t="s">
        <v>3361</v>
      </c>
      <c r="F255" s="1" t="s">
        <v>112</v>
      </c>
      <c r="G255" s="1">
        <v>509362</v>
      </c>
    </row>
    <row r="256" spans="1:8" x14ac:dyDescent="0.35">
      <c r="A256" s="1" t="str">
        <f t="shared" si="3"/>
        <v>3</v>
      </c>
      <c r="B25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256" s="1" t="s">
        <v>3362</v>
      </c>
      <c r="D256" s="1" t="s">
        <v>3363</v>
      </c>
      <c r="E256" s="1" t="s">
        <v>3364</v>
      </c>
      <c r="F256" s="1" t="s">
        <v>112</v>
      </c>
      <c r="G256" s="1">
        <v>459159</v>
      </c>
    </row>
    <row r="257" spans="1:7" x14ac:dyDescent="0.35">
      <c r="A257" s="1" t="str">
        <f t="shared" si="3"/>
        <v>3</v>
      </c>
      <c r="B25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257" s="1" t="s">
        <v>3365</v>
      </c>
      <c r="D257" s="1" t="s">
        <v>1451</v>
      </c>
      <c r="E257" s="1" t="s">
        <v>3366</v>
      </c>
      <c r="F257" s="1" t="s">
        <v>112</v>
      </c>
      <c r="G257" s="1">
        <v>3309</v>
      </c>
    </row>
    <row r="258" spans="1:7" x14ac:dyDescent="0.35">
      <c r="A258" s="1" t="str">
        <f t="shared" ref="A258:A321" si="4">IFERROR(LEFT(RIGHT(C258,LEN(C258)-SEARCH("@",C258)),SEARCH("/",RIGHT(C258,LEN(C258)-SEARCH("@",C258)-1))),"")</f>
        <v>3</v>
      </c>
      <c r="B25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258" s="1" t="s">
        <v>3367</v>
      </c>
      <c r="D258" s="1" t="s">
        <v>480</v>
      </c>
      <c r="E258" s="1" t="s">
        <v>3368</v>
      </c>
      <c r="F258" s="1" t="s">
        <v>112</v>
      </c>
      <c r="G258" s="1">
        <v>390117</v>
      </c>
    </row>
    <row r="259" spans="1:7" x14ac:dyDescent="0.35">
      <c r="A259" s="1" t="str">
        <f t="shared" si="4"/>
        <v>3</v>
      </c>
      <c r="B25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259" s="1" t="s">
        <v>3369</v>
      </c>
    </row>
    <row r="260" spans="1:7" x14ac:dyDescent="0.35">
      <c r="A260" s="1" t="str">
        <f t="shared" si="4"/>
        <v>3</v>
      </c>
      <c r="B26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260" s="1" t="s">
        <v>3370</v>
      </c>
    </row>
    <row r="261" spans="1:7" x14ac:dyDescent="0.35">
      <c r="A261" s="1" t="str">
        <f t="shared" si="4"/>
        <v>3</v>
      </c>
      <c r="B26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261" s="1" t="s">
        <v>3371</v>
      </c>
      <c r="D261" s="1" t="s">
        <v>3372</v>
      </c>
      <c r="E261" s="1" t="s">
        <v>3373</v>
      </c>
      <c r="F261" s="1" t="s">
        <v>112</v>
      </c>
      <c r="G261" s="1">
        <v>237821</v>
      </c>
    </row>
    <row r="262" spans="1:7" x14ac:dyDescent="0.35">
      <c r="A262" s="1" t="str">
        <f t="shared" si="4"/>
        <v>3</v>
      </c>
      <c r="B26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262" s="1" t="s">
        <v>3374</v>
      </c>
      <c r="D262" s="1" t="s">
        <v>2876</v>
      </c>
      <c r="E262" s="1" t="s">
        <v>3375</v>
      </c>
      <c r="F262" s="1" t="s">
        <v>112</v>
      </c>
      <c r="G262" s="1">
        <v>262284</v>
      </c>
    </row>
    <row r="263" spans="1:7" x14ac:dyDescent="0.35">
      <c r="A263" s="1" t="str">
        <f t="shared" si="4"/>
        <v>3</v>
      </c>
      <c r="B26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263" s="1" t="s">
        <v>3376</v>
      </c>
      <c r="D263" s="1" t="s">
        <v>1051</v>
      </c>
      <c r="E263" s="1" t="s">
        <v>204</v>
      </c>
      <c r="F263" s="1" t="s">
        <v>112</v>
      </c>
      <c r="G263" s="1">
        <v>12243</v>
      </c>
    </row>
    <row r="264" spans="1:7" x14ac:dyDescent="0.35">
      <c r="A264" s="1" t="str">
        <f t="shared" si="4"/>
        <v>3</v>
      </c>
      <c r="B26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264" s="1" t="s">
        <v>3377</v>
      </c>
      <c r="D264" s="1" t="s">
        <v>1102</v>
      </c>
      <c r="E264" s="1" t="s">
        <v>3378</v>
      </c>
      <c r="F264" s="1" t="s">
        <v>112</v>
      </c>
      <c r="G264" s="1">
        <v>222874</v>
      </c>
    </row>
    <row r="265" spans="1:7" x14ac:dyDescent="0.35">
      <c r="A265" s="1" t="str">
        <f t="shared" si="4"/>
        <v>3</v>
      </c>
      <c r="B26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265" s="1" t="s">
        <v>3379</v>
      </c>
      <c r="D265" s="1" t="s">
        <v>3380</v>
      </c>
      <c r="E265" s="1" t="s">
        <v>3381</v>
      </c>
      <c r="F265" s="1" t="s">
        <v>112</v>
      </c>
      <c r="G265" s="1">
        <v>331327</v>
      </c>
    </row>
    <row r="266" spans="1:7" x14ac:dyDescent="0.35">
      <c r="A266" s="1" t="str">
        <f t="shared" si="4"/>
        <v>3</v>
      </c>
      <c r="B26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266" s="1" t="s">
        <v>3382</v>
      </c>
      <c r="D266" s="1" t="s">
        <v>1929</v>
      </c>
      <c r="E266" s="1" t="s">
        <v>3383</v>
      </c>
      <c r="F266" s="1" t="s">
        <v>112</v>
      </c>
      <c r="G266" s="1">
        <v>348760</v>
      </c>
    </row>
    <row r="267" spans="1:7" x14ac:dyDescent="0.35">
      <c r="A267" s="1" t="str">
        <f t="shared" si="4"/>
        <v>3</v>
      </c>
      <c r="B26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267" s="1" t="s">
        <v>3384</v>
      </c>
      <c r="D267" s="1" t="s">
        <v>3385</v>
      </c>
      <c r="E267" s="1" t="s">
        <v>3386</v>
      </c>
      <c r="F267" s="1" t="s">
        <v>112</v>
      </c>
      <c r="G267" s="1">
        <v>500732</v>
      </c>
    </row>
    <row r="268" spans="1:7" x14ac:dyDescent="0.35">
      <c r="A268" s="1" t="str">
        <f t="shared" si="4"/>
        <v>3</v>
      </c>
      <c r="B26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268" s="1" t="s">
        <v>3387</v>
      </c>
      <c r="D268" s="1" t="s">
        <v>3388</v>
      </c>
      <c r="E268" s="1" t="s">
        <v>3389</v>
      </c>
      <c r="F268" s="1" t="s">
        <v>112</v>
      </c>
      <c r="G268" s="1">
        <v>375971</v>
      </c>
    </row>
    <row r="269" spans="1:7" x14ac:dyDescent="0.35">
      <c r="A269" s="1" t="str">
        <f t="shared" si="4"/>
        <v>3</v>
      </c>
      <c r="B26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269" s="1" t="s">
        <v>3390</v>
      </c>
      <c r="D269" s="1" t="s">
        <v>3391</v>
      </c>
      <c r="E269" s="1" t="s">
        <v>3392</v>
      </c>
      <c r="F269" s="1" t="s">
        <v>112</v>
      </c>
      <c r="G269" s="1">
        <v>491604</v>
      </c>
    </row>
    <row r="270" spans="1:7" x14ac:dyDescent="0.35">
      <c r="A270" s="1" t="str">
        <f t="shared" si="4"/>
        <v>3</v>
      </c>
      <c r="B27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270" s="1" t="s">
        <v>3393</v>
      </c>
      <c r="D270" s="1" t="s">
        <v>3394</v>
      </c>
      <c r="E270" s="1" t="s">
        <v>3395</v>
      </c>
      <c r="F270" s="1" t="s">
        <v>112</v>
      </c>
      <c r="G270" s="1">
        <v>327736</v>
      </c>
    </row>
    <row r="271" spans="1:7" x14ac:dyDescent="0.35">
      <c r="A271" s="1" t="str">
        <f t="shared" si="4"/>
        <v>3</v>
      </c>
      <c r="B27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271" s="1" t="s">
        <v>3396</v>
      </c>
      <c r="D271" s="1" t="s">
        <v>2382</v>
      </c>
      <c r="E271" s="1" t="s">
        <v>3397</v>
      </c>
      <c r="F271" s="1" t="s">
        <v>112</v>
      </c>
      <c r="G271" s="1">
        <v>396087</v>
      </c>
    </row>
    <row r="272" spans="1:7" x14ac:dyDescent="0.35">
      <c r="A272" s="1" t="str">
        <f t="shared" si="4"/>
        <v>3</v>
      </c>
      <c r="B27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272" s="1" t="s">
        <v>3398</v>
      </c>
      <c r="D272" s="1" t="s">
        <v>3399</v>
      </c>
      <c r="E272" s="1" t="s">
        <v>3400</v>
      </c>
      <c r="F272" s="1" t="s">
        <v>112</v>
      </c>
      <c r="G272" s="1">
        <v>195167</v>
      </c>
    </row>
    <row r="273" spans="1:8" x14ac:dyDescent="0.35">
      <c r="A273" s="1" t="str">
        <f t="shared" si="4"/>
        <v>3</v>
      </c>
      <c r="B27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273" s="1" t="s">
        <v>3401</v>
      </c>
      <c r="D273" s="1" t="s">
        <v>2375</v>
      </c>
      <c r="E273" s="1" t="s">
        <v>3402</v>
      </c>
      <c r="F273" s="1" t="s">
        <v>112</v>
      </c>
      <c r="G273" s="1">
        <v>33678</v>
      </c>
    </row>
    <row r="274" spans="1:8" x14ac:dyDescent="0.35">
      <c r="A274" s="1" t="str">
        <f t="shared" si="4"/>
        <v>3</v>
      </c>
      <c r="B27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274" s="1" t="s">
        <v>3403</v>
      </c>
      <c r="D274" s="1" t="s">
        <v>1051</v>
      </c>
      <c r="E274" s="1">
        <v>31</v>
      </c>
      <c r="F274" s="1" t="s">
        <v>112</v>
      </c>
      <c r="G274" s="1">
        <v>12069</v>
      </c>
    </row>
    <row r="275" spans="1:8" x14ac:dyDescent="0.35">
      <c r="A275" s="1" t="str">
        <f t="shared" si="4"/>
        <v>3</v>
      </c>
      <c r="B27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275" s="1" t="s">
        <v>3404</v>
      </c>
      <c r="D275" s="1" t="s">
        <v>215</v>
      </c>
      <c r="E275" s="1">
        <v>30</v>
      </c>
      <c r="F275" s="1" t="s">
        <v>112</v>
      </c>
      <c r="G275" s="1">
        <v>649</v>
      </c>
    </row>
    <row r="276" spans="1:8" x14ac:dyDescent="0.35">
      <c r="A276" s="1" t="str">
        <f t="shared" si="4"/>
        <v>3</v>
      </c>
      <c r="B27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276" s="1" t="s">
        <v>3405</v>
      </c>
      <c r="D276" s="1" t="s">
        <v>3197</v>
      </c>
      <c r="E276" s="1" t="s">
        <v>3406</v>
      </c>
      <c r="F276" s="1" t="s">
        <v>112</v>
      </c>
      <c r="G276" s="1">
        <v>391609</v>
      </c>
    </row>
    <row r="277" spans="1:8" x14ac:dyDescent="0.35">
      <c r="A277" s="1" t="str">
        <f t="shared" si="4"/>
        <v>3</v>
      </c>
      <c r="B27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277" s="1" t="s">
        <v>3407</v>
      </c>
      <c r="D277" s="1" t="s">
        <v>3408</v>
      </c>
      <c r="E277" s="1" t="s">
        <v>3409</v>
      </c>
      <c r="F277" s="1" t="s">
        <v>112</v>
      </c>
      <c r="G277" s="1">
        <v>355552</v>
      </c>
    </row>
    <row r="278" spans="1:8" x14ac:dyDescent="0.35">
      <c r="A278" s="1" t="str">
        <f t="shared" si="4"/>
        <v>3</v>
      </c>
      <c r="B27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278" s="1" t="s">
        <v>3410</v>
      </c>
      <c r="D278" s="1" t="s">
        <v>1195</v>
      </c>
      <c r="E278" s="1" t="s">
        <v>3411</v>
      </c>
      <c r="F278" s="1" t="s">
        <v>112</v>
      </c>
      <c r="G278" s="1">
        <v>413174</v>
      </c>
    </row>
    <row r="279" spans="1:8" x14ac:dyDescent="0.35">
      <c r="A279" s="1" t="str">
        <f t="shared" si="4"/>
        <v>3</v>
      </c>
      <c r="B27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279" s="1" t="s">
        <v>3412</v>
      </c>
      <c r="D279" s="1" t="s">
        <v>3413</v>
      </c>
      <c r="E279" s="1" t="s">
        <v>3414</v>
      </c>
      <c r="F279" s="1" t="s">
        <v>112</v>
      </c>
      <c r="G279" s="1">
        <v>515657</v>
      </c>
    </row>
    <row r="280" spans="1:8" x14ac:dyDescent="0.35">
      <c r="A280" s="1" t="str">
        <f t="shared" si="4"/>
        <v>3</v>
      </c>
      <c r="B28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280" s="1" t="s">
        <v>3415</v>
      </c>
      <c r="D280" s="1" t="s">
        <v>1045</v>
      </c>
      <c r="E280" s="1" t="s">
        <v>3416</v>
      </c>
      <c r="F280" s="1" t="s">
        <v>112</v>
      </c>
      <c r="G280" s="1">
        <v>15898</v>
      </c>
    </row>
    <row r="281" spans="1:8" x14ac:dyDescent="0.35">
      <c r="A281" s="1" t="str">
        <f t="shared" si="4"/>
        <v/>
      </c>
      <c r="B28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281" s="1" t="s">
        <v>112</v>
      </c>
    </row>
    <row r="282" spans="1:8" x14ac:dyDescent="0.35">
      <c r="A282" s="1" t="str">
        <f t="shared" si="4"/>
        <v/>
      </c>
      <c r="B28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282" s="1" t="s">
        <v>226</v>
      </c>
      <c r="D282" s="1" t="s">
        <v>112</v>
      </c>
      <c r="E282" s="1" t="s">
        <v>227</v>
      </c>
      <c r="F282" s="1" t="s">
        <v>228</v>
      </c>
      <c r="G282" s="1" t="s">
        <v>229</v>
      </c>
      <c r="H282" s="1" t="s">
        <v>230</v>
      </c>
    </row>
    <row r="283" spans="1:8" x14ac:dyDescent="0.35">
      <c r="A283" s="1" t="str">
        <f t="shared" si="4"/>
        <v>3</v>
      </c>
      <c r="B28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 xml:space="preserve"> </v>
      </c>
      <c r="C283" s="1" t="s">
        <v>3417</v>
      </c>
      <c r="D283" s="1" t="s">
        <v>112</v>
      </c>
      <c r="E283" s="1" t="s">
        <v>3418</v>
      </c>
      <c r="F283" s="1" t="s">
        <v>3419</v>
      </c>
      <c r="G283" s="1" t="s">
        <v>3420</v>
      </c>
      <c r="H283" s="1" t="s">
        <v>3421</v>
      </c>
    </row>
    <row r="284" spans="1:8" x14ac:dyDescent="0.35">
      <c r="A284" s="1" t="str">
        <f t="shared" si="4"/>
        <v/>
      </c>
      <c r="B28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284" s="1" t="s">
        <v>112</v>
      </c>
    </row>
    <row r="285" spans="1:8" x14ac:dyDescent="0.35">
      <c r="A285" s="1" t="str">
        <f t="shared" si="4"/>
        <v/>
      </c>
      <c r="B28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285" s="1" t="s">
        <v>112</v>
      </c>
    </row>
    <row r="286" spans="1:8" x14ac:dyDescent="0.35">
      <c r="A286" s="1" t="str">
        <f t="shared" si="4"/>
        <v/>
      </c>
      <c r="B28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286" s="1" t="s">
        <v>112</v>
      </c>
    </row>
    <row r="287" spans="1:8" x14ac:dyDescent="0.35">
      <c r="A287" s="1" t="str">
        <f t="shared" si="4"/>
        <v/>
      </c>
      <c r="B28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287" s="1" t="s">
        <v>112</v>
      </c>
    </row>
    <row r="288" spans="1:8" x14ac:dyDescent="0.35">
      <c r="A288" s="1" t="str">
        <f t="shared" si="4"/>
        <v/>
      </c>
      <c r="B28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288" s="1" t="s">
        <v>112</v>
      </c>
    </row>
    <row r="289" spans="1:7" x14ac:dyDescent="0.35">
      <c r="A289" s="1" t="str">
        <f t="shared" si="4"/>
        <v/>
      </c>
      <c r="B28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289" s="1" t="s">
        <v>172</v>
      </c>
      <c r="D289" s="1" t="s">
        <v>110</v>
      </c>
      <c r="E289" s="1" t="s">
        <v>111</v>
      </c>
      <c r="F289" s="1" t="s">
        <v>112</v>
      </c>
      <c r="G289" s="1" t="s">
        <v>113</v>
      </c>
    </row>
    <row r="290" spans="1:7" x14ac:dyDescent="0.35">
      <c r="A290" s="1" t="str">
        <f t="shared" si="4"/>
        <v>4</v>
      </c>
      <c r="B29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290" s="1" t="s">
        <v>3422</v>
      </c>
    </row>
    <row r="291" spans="1:7" x14ac:dyDescent="0.35">
      <c r="A291" s="1" t="str">
        <f t="shared" si="4"/>
        <v>4</v>
      </c>
      <c r="B29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291" s="1" t="s">
        <v>3423</v>
      </c>
    </row>
    <row r="292" spans="1:7" x14ac:dyDescent="0.35">
      <c r="A292" s="1" t="str">
        <f t="shared" si="4"/>
        <v>4</v>
      </c>
      <c r="B29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292" s="1" t="s">
        <v>3424</v>
      </c>
    </row>
    <row r="293" spans="1:7" x14ac:dyDescent="0.35">
      <c r="A293" s="1" t="str">
        <f t="shared" si="4"/>
        <v>4</v>
      </c>
      <c r="B29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293" s="1" t="s">
        <v>3425</v>
      </c>
      <c r="D293" s="1" t="s">
        <v>3426</v>
      </c>
      <c r="E293" s="1" t="s">
        <v>3427</v>
      </c>
      <c r="F293" s="1" t="s">
        <v>112</v>
      </c>
      <c r="G293" s="1">
        <v>617944</v>
      </c>
    </row>
    <row r="294" spans="1:7" x14ac:dyDescent="0.35">
      <c r="A294" s="1" t="str">
        <f t="shared" si="4"/>
        <v>4</v>
      </c>
      <c r="B29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294" s="1" t="s">
        <v>3428</v>
      </c>
      <c r="D294" s="1" t="s">
        <v>3429</v>
      </c>
      <c r="E294" s="1" t="s">
        <v>3430</v>
      </c>
      <c r="F294" s="1" t="s">
        <v>112</v>
      </c>
      <c r="G294" s="1">
        <v>581671</v>
      </c>
    </row>
    <row r="295" spans="1:7" x14ac:dyDescent="0.35">
      <c r="A295" s="1" t="str">
        <f t="shared" si="4"/>
        <v>4</v>
      </c>
      <c r="B29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295" s="1" t="s">
        <v>3431</v>
      </c>
    </row>
    <row r="296" spans="1:7" x14ac:dyDescent="0.35">
      <c r="A296" s="1" t="str">
        <f t="shared" si="4"/>
        <v>4</v>
      </c>
      <c r="B29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296" s="1" t="s">
        <v>3432</v>
      </c>
      <c r="D296" s="1" t="s">
        <v>3433</v>
      </c>
      <c r="E296" s="1" t="s">
        <v>3434</v>
      </c>
      <c r="F296" s="1" t="s">
        <v>112</v>
      </c>
      <c r="G296" s="1">
        <v>635032</v>
      </c>
    </row>
    <row r="297" spans="1:7" x14ac:dyDescent="0.35">
      <c r="A297" s="1" t="str">
        <f t="shared" si="4"/>
        <v>4</v>
      </c>
      <c r="B29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297" s="1" t="s">
        <v>3435</v>
      </c>
      <c r="D297" s="1" t="s">
        <v>3436</v>
      </c>
      <c r="E297" s="1" t="s">
        <v>3437</v>
      </c>
      <c r="F297" s="1" t="s">
        <v>112</v>
      </c>
      <c r="G297" s="1">
        <v>831691</v>
      </c>
    </row>
    <row r="298" spans="1:7" x14ac:dyDescent="0.35">
      <c r="A298" s="1" t="str">
        <f t="shared" si="4"/>
        <v>4</v>
      </c>
      <c r="B29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298" s="1" t="s">
        <v>3438</v>
      </c>
      <c r="D298" s="1" t="s">
        <v>3439</v>
      </c>
      <c r="E298" s="1" t="s">
        <v>3440</v>
      </c>
      <c r="F298" s="1" t="s">
        <v>112</v>
      </c>
      <c r="G298" s="1">
        <v>3285040</v>
      </c>
    </row>
    <row r="299" spans="1:7" x14ac:dyDescent="0.35">
      <c r="A299" s="1" t="str">
        <f t="shared" si="4"/>
        <v>4</v>
      </c>
      <c r="B29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299" s="1" t="s">
        <v>3441</v>
      </c>
      <c r="D299" s="1" t="s">
        <v>885</v>
      </c>
      <c r="E299" s="1" t="s">
        <v>3442</v>
      </c>
      <c r="F299" s="1" t="s">
        <v>112</v>
      </c>
      <c r="G299" s="1">
        <v>2859039</v>
      </c>
    </row>
    <row r="300" spans="1:7" x14ac:dyDescent="0.35">
      <c r="A300" s="1" t="str">
        <f t="shared" si="4"/>
        <v>4</v>
      </c>
      <c r="B30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300" s="1" t="s">
        <v>3443</v>
      </c>
      <c r="D300" s="1" t="s">
        <v>3444</v>
      </c>
      <c r="E300" s="1" t="s">
        <v>3445</v>
      </c>
      <c r="F300" s="1" t="s">
        <v>112</v>
      </c>
      <c r="G300" s="1">
        <v>2979280</v>
      </c>
    </row>
    <row r="301" spans="1:7" x14ac:dyDescent="0.35">
      <c r="A301" s="1" t="str">
        <f t="shared" si="4"/>
        <v>4</v>
      </c>
      <c r="B30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301" s="1" t="s">
        <v>3446</v>
      </c>
    </row>
    <row r="302" spans="1:7" x14ac:dyDescent="0.35">
      <c r="A302" s="1" t="str">
        <f t="shared" si="4"/>
        <v>4</v>
      </c>
      <c r="B30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302" s="1" t="s">
        <v>3447</v>
      </c>
      <c r="D302" s="1" t="s">
        <v>3448</v>
      </c>
      <c r="E302" s="1" t="s">
        <v>3449</v>
      </c>
      <c r="F302" s="1" t="s">
        <v>112</v>
      </c>
      <c r="G302" s="1">
        <v>617404</v>
      </c>
    </row>
    <row r="303" spans="1:7" x14ac:dyDescent="0.35">
      <c r="A303" s="1" t="str">
        <f t="shared" si="4"/>
        <v>4</v>
      </c>
      <c r="B30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303" s="1" t="s">
        <v>3450</v>
      </c>
      <c r="D303" s="1" t="s">
        <v>3451</v>
      </c>
      <c r="E303" s="1" t="s">
        <v>3452</v>
      </c>
      <c r="F303" s="1" t="s">
        <v>112</v>
      </c>
      <c r="G303" s="1">
        <v>1130486</v>
      </c>
    </row>
    <row r="304" spans="1:7" x14ac:dyDescent="0.35">
      <c r="A304" s="1" t="str">
        <f t="shared" si="4"/>
        <v>4</v>
      </c>
      <c r="B30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304" s="1" t="s">
        <v>3453</v>
      </c>
      <c r="D304" s="1" t="s">
        <v>3454</v>
      </c>
      <c r="E304" s="1" t="s">
        <v>3455</v>
      </c>
      <c r="F304" s="1" t="s">
        <v>112</v>
      </c>
      <c r="G304" s="1">
        <v>1189861</v>
      </c>
    </row>
    <row r="305" spans="1:7" x14ac:dyDescent="0.35">
      <c r="A305" s="1" t="str">
        <f t="shared" si="4"/>
        <v>4</v>
      </c>
      <c r="B30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305" s="1" t="s">
        <v>3456</v>
      </c>
      <c r="D305" s="1" t="s">
        <v>3457</v>
      </c>
      <c r="E305" s="1" t="s">
        <v>3458</v>
      </c>
      <c r="F305" s="1" t="s">
        <v>112</v>
      </c>
      <c r="G305" s="1">
        <v>1457747</v>
      </c>
    </row>
    <row r="306" spans="1:7" x14ac:dyDescent="0.35">
      <c r="A306" s="1" t="str">
        <f t="shared" si="4"/>
        <v>4</v>
      </c>
      <c r="B30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306" s="1" t="s">
        <v>3459</v>
      </c>
      <c r="D306" s="1" t="s">
        <v>3460</v>
      </c>
      <c r="E306" s="1" t="s">
        <v>3461</v>
      </c>
      <c r="F306" s="1" t="s">
        <v>112</v>
      </c>
      <c r="G306" s="1">
        <v>572089</v>
      </c>
    </row>
    <row r="307" spans="1:7" x14ac:dyDescent="0.35">
      <c r="A307" s="1" t="str">
        <f t="shared" si="4"/>
        <v>4</v>
      </c>
      <c r="B30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307" s="1" t="s">
        <v>3462</v>
      </c>
      <c r="D307" s="1" t="s">
        <v>3463</v>
      </c>
      <c r="E307" s="1" t="s">
        <v>3464</v>
      </c>
      <c r="F307" s="1" t="s">
        <v>112</v>
      </c>
      <c r="G307" s="1">
        <v>1000664</v>
      </c>
    </row>
    <row r="308" spans="1:7" x14ac:dyDescent="0.35">
      <c r="A308" s="1" t="str">
        <f t="shared" si="4"/>
        <v>4</v>
      </c>
      <c r="B30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308" s="1" t="s">
        <v>3465</v>
      </c>
      <c r="D308" s="1" t="s">
        <v>3466</v>
      </c>
      <c r="E308" s="1" t="s">
        <v>3467</v>
      </c>
      <c r="F308" s="1" t="s">
        <v>112</v>
      </c>
      <c r="G308" s="1">
        <v>1299567</v>
      </c>
    </row>
    <row r="309" spans="1:7" x14ac:dyDescent="0.35">
      <c r="A309" s="1" t="str">
        <f t="shared" si="4"/>
        <v>4</v>
      </c>
      <c r="B30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309" s="1" t="s">
        <v>3468</v>
      </c>
      <c r="D309" s="1" t="s">
        <v>3469</v>
      </c>
      <c r="E309" s="1" t="s">
        <v>3470</v>
      </c>
      <c r="F309" s="1" t="s">
        <v>112</v>
      </c>
      <c r="G309" s="1">
        <v>1263207</v>
      </c>
    </row>
    <row r="310" spans="1:7" x14ac:dyDescent="0.35">
      <c r="A310" s="1" t="str">
        <f t="shared" si="4"/>
        <v>4</v>
      </c>
      <c r="B31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310" s="1" t="s">
        <v>3471</v>
      </c>
      <c r="D310" s="1" t="s">
        <v>544</v>
      </c>
      <c r="E310" s="1" t="s">
        <v>653</v>
      </c>
      <c r="F310" s="1" t="s">
        <v>112</v>
      </c>
      <c r="G310" s="1">
        <v>9496</v>
      </c>
    </row>
    <row r="311" spans="1:7" x14ac:dyDescent="0.35">
      <c r="A311" s="1" t="str">
        <f t="shared" si="4"/>
        <v>4</v>
      </c>
      <c r="B31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311" s="1" t="s">
        <v>3472</v>
      </c>
    </row>
    <row r="312" spans="1:7" x14ac:dyDescent="0.35">
      <c r="A312" s="1" t="str">
        <f t="shared" si="4"/>
        <v>4</v>
      </c>
      <c r="B31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312" s="1" t="s">
        <v>3473</v>
      </c>
      <c r="D312" s="1" t="s">
        <v>590</v>
      </c>
      <c r="E312" s="1" t="s">
        <v>3474</v>
      </c>
      <c r="F312" s="1" t="s">
        <v>112</v>
      </c>
      <c r="G312" s="1">
        <v>181626</v>
      </c>
    </row>
    <row r="313" spans="1:7" x14ac:dyDescent="0.35">
      <c r="A313" s="1" t="str">
        <f t="shared" si="4"/>
        <v>4</v>
      </c>
      <c r="B31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313" s="1" t="s">
        <v>3475</v>
      </c>
    </row>
    <row r="314" spans="1:7" x14ac:dyDescent="0.35">
      <c r="A314" s="1" t="str">
        <f t="shared" si="4"/>
        <v>4</v>
      </c>
      <c r="B31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314" s="1" t="s">
        <v>3476</v>
      </c>
      <c r="D314" s="1" t="s">
        <v>2302</v>
      </c>
      <c r="E314" s="1" t="s">
        <v>3477</v>
      </c>
      <c r="F314" s="1" t="s">
        <v>112</v>
      </c>
      <c r="G314" s="1">
        <v>60888</v>
      </c>
    </row>
    <row r="315" spans="1:7" x14ac:dyDescent="0.35">
      <c r="A315" s="1" t="str">
        <f t="shared" si="4"/>
        <v>4</v>
      </c>
      <c r="B31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315" s="1" t="s">
        <v>3478</v>
      </c>
      <c r="D315" s="1" t="s">
        <v>279</v>
      </c>
      <c r="E315" s="1" t="s">
        <v>3479</v>
      </c>
      <c r="F315" s="1" t="s">
        <v>112</v>
      </c>
      <c r="G315" s="1">
        <v>141351</v>
      </c>
    </row>
    <row r="316" spans="1:7" x14ac:dyDescent="0.35">
      <c r="A316" s="1" t="str">
        <f t="shared" si="4"/>
        <v>4</v>
      </c>
      <c r="B31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316" s="1" t="s">
        <v>3480</v>
      </c>
      <c r="D316" s="1" t="s">
        <v>2766</v>
      </c>
      <c r="E316" s="1" t="s">
        <v>3481</v>
      </c>
      <c r="F316" s="1" t="s">
        <v>112</v>
      </c>
      <c r="G316" s="1">
        <v>282292</v>
      </c>
    </row>
    <row r="317" spans="1:7" x14ac:dyDescent="0.35">
      <c r="A317" s="1" t="str">
        <f t="shared" si="4"/>
        <v>4</v>
      </c>
      <c r="B31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317" s="1" t="s">
        <v>3482</v>
      </c>
      <c r="D317" s="1" t="s">
        <v>3483</v>
      </c>
      <c r="E317" s="1" t="s">
        <v>3484</v>
      </c>
      <c r="F317" s="1" t="s">
        <v>112</v>
      </c>
      <c r="G317" s="1">
        <v>453665</v>
      </c>
    </row>
    <row r="318" spans="1:7" x14ac:dyDescent="0.35">
      <c r="A318" s="1" t="str">
        <f t="shared" si="4"/>
        <v>4</v>
      </c>
      <c r="B31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318" s="1" t="s">
        <v>3485</v>
      </c>
      <c r="D318" s="1" t="s">
        <v>1976</v>
      </c>
      <c r="E318" s="1" t="s">
        <v>3486</v>
      </c>
      <c r="F318" s="1" t="s">
        <v>112</v>
      </c>
      <c r="G318" s="1">
        <v>48884</v>
      </c>
    </row>
    <row r="319" spans="1:7" x14ac:dyDescent="0.35">
      <c r="A319" s="1" t="str">
        <f t="shared" si="4"/>
        <v>4</v>
      </c>
      <c r="B31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319" s="1" t="s">
        <v>3487</v>
      </c>
      <c r="D319" s="1" t="s">
        <v>556</v>
      </c>
      <c r="E319" s="1" t="s">
        <v>3488</v>
      </c>
      <c r="F319" s="1" t="s">
        <v>112</v>
      </c>
      <c r="G319" s="1">
        <v>142736</v>
      </c>
    </row>
    <row r="320" spans="1:7" x14ac:dyDescent="0.35">
      <c r="A320" s="1" t="str">
        <f t="shared" si="4"/>
        <v>4</v>
      </c>
      <c r="B32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320" s="1" t="s">
        <v>3489</v>
      </c>
      <c r="D320" s="1" t="s">
        <v>3490</v>
      </c>
      <c r="E320" s="1" t="s">
        <v>3491</v>
      </c>
      <c r="F320" s="1" t="s">
        <v>112</v>
      </c>
      <c r="G320" s="1">
        <v>512412</v>
      </c>
    </row>
    <row r="321" spans="1:8" x14ac:dyDescent="0.35">
      <c r="A321" s="1" t="str">
        <f t="shared" si="4"/>
        <v>4</v>
      </c>
      <c r="B32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321" s="1" t="s">
        <v>3492</v>
      </c>
      <c r="D321" s="1" t="s">
        <v>3330</v>
      </c>
      <c r="E321" s="1" t="s">
        <v>3493</v>
      </c>
      <c r="F321" s="1" t="s">
        <v>112</v>
      </c>
      <c r="G321" s="1">
        <v>328017</v>
      </c>
    </row>
    <row r="322" spans="1:8" x14ac:dyDescent="0.35">
      <c r="A322" s="1" t="str">
        <f t="shared" ref="A322:A385" si="5">IFERROR(LEFT(RIGHT(C322,LEN(C322)-SEARCH("@",C322)),SEARCH("/",RIGHT(C322,LEN(C322)-SEARCH("@",C322)-1))),"")</f>
        <v/>
      </c>
      <c r="B32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322" s="1" t="s">
        <v>112</v>
      </c>
    </row>
    <row r="323" spans="1:8" x14ac:dyDescent="0.35">
      <c r="A323" s="1" t="str">
        <f t="shared" si="5"/>
        <v/>
      </c>
      <c r="B32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323" s="1" t="s">
        <v>226</v>
      </c>
      <c r="D323" s="1" t="s">
        <v>112</v>
      </c>
      <c r="E323" s="1" t="s">
        <v>227</v>
      </c>
      <c r="F323" s="1" t="s">
        <v>228</v>
      </c>
      <c r="G323" s="1" t="s">
        <v>229</v>
      </c>
      <c r="H323" s="1" t="s">
        <v>230</v>
      </c>
    </row>
    <row r="324" spans="1:8" x14ac:dyDescent="0.35">
      <c r="A324" s="1" t="str">
        <f t="shared" si="5"/>
        <v>4</v>
      </c>
      <c r="B32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 xml:space="preserve"> </v>
      </c>
      <c r="C324" s="1" t="s">
        <v>3494</v>
      </c>
      <c r="D324" s="1" t="s">
        <v>112</v>
      </c>
      <c r="E324" s="1" t="s">
        <v>3495</v>
      </c>
      <c r="F324" s="1" t="s">
        <v>3496</v>
      </c>
      <c r="G324" s="1" t="s">
        <v>3497</v>
      </c>
      <c r="H324" s="1" t="s">
        <v>3498</v>
      </c>
    </row>
    <row r="325" spans="1:8" x14ac:dyDescent="0.35">
      <c r="A325" s="1" t="str">
        <f t="shared" si="5"/>
        <v/>
      </c>
      <c r="B32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325" s="1" t="s">
        <v>112</v>
      </c>
    </row>
    <row r="326" spans="1:8" x14ac:dyDescent="0.35">
      <c r="A326" s="1" t="str">
        <f t="shared" si="5"/>
        <v/>
      </c>
      <c r="B32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326" s="1" t="s">
        <v>112</v>
      </c>
    </row>
    <row r="327" spans="1:8" x14ac:dyDescent="0.35">
      <c r="A327" s="1" t="str">
        <f t="shared" si="5"/>
        <v/>
      </c>
      <c r="B32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327" s="1" t="s">
        <v>112</v>
      </c>
    </row>
    <row r="328" spans="1:8" x14ac:dyDescent="0.35">
      <c r="A328" s="1" t="str">
        <f t="shared" si="5"/>
        <v/>
      </c>
      <c r="B32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328" s="1" t="s">
        <v>112</v>
      </c>
    </row>
    <row r="329" spans="1:8" x14ac:dyDescent="0.35">
      <c r="A329" s="1" t="str">
        <f t="shared" si="5"/>
        <v/>
      </c>
      <c r="B32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329" s="1" t="s">
        <v>112</v>
      </c>
    </row>
    <row r="330" spans="1:8" x14ac:dyDescent="0.35">
      <c r="A330" s="1" t="str">
        <f t="shared" si="5"/>
        <v/>
      </c>
      <c r="B33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330" s="1" t="s">
        <v>172</v>
      </c>
      <c r="D330" s="1" t="s">
        <v>110</v>
      </c>
      <c r="E330" s="1" t="s">
        <v>111</v>
      </c>
      <c r="F330" s="1" t="s">
        <v>112</v>
      </c>
      <c r="G330" s="1" t="s">
        <v>113</v>
      </c>
    </row>
    <row r="331" spans="1:8" x14ac:dyDescent="0.35">
      <c r="A331" s="1" t="str">
        <f t="shared" si="5"/>
        <v>5</v>
      </c>
      <c r="B33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331" s="1" t="s">
        <v>3499</v>
      </c>
      <c r="D331" s="1" t="s">
        <v>3500</v>
      </c>
      <c r="E331" s="1" t="s">
        <v>3501</v>
      </c>
      <c r="F331" s="1" t="s">
        <v>112</v>
      </c>
      <c r="G331" s="1">
        <v>1778021</v>
      </c>
    </row>
    <row r="332" spans="1:8" x14ac:dyDescent="0.35">
      <c r="A332" s="1" t="str">
        <f t="shared" si="5"/>
        <v>5</v>
      </c>
      <c r="B33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332" s="1" t="s">
        <v>3502</v>
      </c>
      <c r="D332" s="1" t="s">
        <v>3503</v>
      </c>
      <c r="E332" s="1" t="s">
        <v>3504</v>
      </c>
      <c r="F332" s="1" t="s">
        <v>112</v>
      </c>
      <c r="G332" s="1">
        <v>2439203</v>
      </c>
    </row>
    <row r="333" spans="1:8" x14ac:dyDescent="0.35">
      <c r="A333" s="1" t="str">
        <f t="shared" si="5"/>
        <v>5</v>
      </c>
      <c r="B33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333" s="1" t="s">
        <v>3505</v>
      </c>
    </row>
    <row r="334" spans="1:8" x14ac:dyDescent="0.35">
      <c r="A334" s="1" t="str">
        <f t="shared" si="5"/>
        <v>5</v>
      </c>
      <c r="B33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334" s="1" t="s">
        <v>3506</v>
      </c>
      <c r="D334" s="1" t="s">
        <v>3507</v>
      </c>
      <c r="E334" s="1" t="s">
        <v>3508</v>
      </c>
      <c r="F334" s="1" t="s">
        <v>112</v>
      </c>
      <c r="G334" s="1">
        <v>1553978</v>
      </c>
    </row>
    <row r="335" spans="1:8" x14ac:dyDescent="0.35">
      <c r="A335" s="1" t="str">
        <f t="shared" si="5"/>
        <v>5</v>
      </c>
      <c r="B33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335" s="1" t="s">
        <v>3509</v>
      </c>
      <c r="D335" s="1" t="s">
        <v>3510</v>
      </c>
      <c r="E335" s="1" t="s">
        <v>3511</v>
      </c>
      <c r="F335" s="1" t="s">
        <v>112</v>
      </c>
      <c r="G335" s="1">
        <v>2885514</v>
      </c>
    </row>
    <row r="336" spans="1:8" x14ac:dyDescent="0.35">
      <c r="A336" s="1" t="str">
        <f t="shared" si="5"/>
        <v>5</v>
      </c>
      <c r="B33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336" s="1" t="s">
        <v>3512</v>
      </c>
      <c r="D336" s="1" t="s">
        <v>3513</v>
      </c>
      <c r="E336" s="1" t="s">
        <v>3514</v>
      </c>
      <c r="F336" s="1" t="s">
        <v>112</v>
      </c>
      <c r="G336" s="1">
        <v>2544714</v>
      </c>
    </row>
    <row r="337" spans="1:7" x14ac:dyDescent="0.35">
      <c r="A337" s="1" t="str">
        <f t="shared" si="5"/>
        <v>5</v>
      </c>
      <c r="B33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337" s="1" t="s">
        <v>3515</v>
      </c>
      <c r="D337" s="1" t="s">
        <v>3516</v>
      </c>
      <c r="E337" s="1" t="s">
        <v>3517</v>
      </c>
      <c r="F337" s="1" t="s">
        <v>112</v>
      </c>
      <c r="G337" s="1">
        <v>2512464</v>
      </c>
    </row>
    <row r="338" spans="1:7" x14ac:dyDescent="0.35">
      <c r="A338" s="1" t="str">
        <f t="shared" si="5"/>
        <v>5</v>
      </c>
      <c r="B33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338" s="1" t="s">
        <v>3518</v>
      </c>
      <c r="D338" s="1" t="s">
        <v>3519</v>
      </c>
      <c r="E338" s="1" t="s">
        <v>3520</v>
      </c>
      <c r="F338" s="1" t="s">
        <v>112</v>
      </c>
      <c r="G338" s="1">
        <v>2562645</v>
      </c>
    </row>
    <row r="339" spans="1:7" x14ac:dyDescent="0.35">
      <c r="A339" s="1" t="str">
        <f t="shared" si="5"/>
        <v>5</v>
      </c>
      <c r="B33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339" s="1" t="s">
        <v>3521</v>
      </c>
      <c r="D339" s="1" t="s">
        <v>3522</v>
      </c>
      <c r="E339" s="1" t="s">
        <v>3523</v>
      </c>
      <c r="F339" s="1" t="s">
        <v>112</v>
      </c>
      <c r="G339" s="1">
        <v>2949842</v>
      </c>
    </row>
    <row r="340" spans="1:7" x14ac:dyDescent="0.35">
      <c r="A340" s="1" t="str">
        <f t="shared" si="5"/>
        <v>5</v>
      </c>
      <c r="B34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340" s="1" t="s">
        <v>3524</v>
      </c>
    </row>
    <row r="341" spans="1:7" x14ac:dyDescent="0.35">
      <c r="A341" s="1" t="str">
        <f t="shared" si="5"/>
        <v>5</v>
      </c>
      <c r="B34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341" s="1" t="s">
        <v>3525</v>
      </c>
    </row>
    <row r="342" spans="1:7" x14ac:dyDescent="0.35">
      <c r="A342" s="1" t="str">
        <f t="shared" si="5"/>
        <v>5</v>
      </c>
      <c r="B34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342" s="1" t="s">
        <v>3526</v>
      </c>
      <c r="D342" s="1" t="s">
        <v>1780</v>
      </c>
      <c r="E342" s="1" t="s">
        <v>3527</v>
      </c>
      <c r="F342" s="1" t="s">
        <v>112</v>
      </c>
      <c r="G342" s="1">
        <v>3308141</v>
      </c>
    </row>
    <row r="343" spans="1:7" x14ac:dyDescent="0.35">
      <c r="A343" s="1" t="str">
        <f t="shared" si="5"/>
        <v>5</v>
      </c>
      <c r="B34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343" s="1" t="s">
        <v>3528</v>
      </c>
      <c r="D343" s="1" t="s">
        <v>3529</v>
      </c>
      <c r="E343" s="1" t="s">
        <v>3530</v>
      </c>
      <c r="F343" s="1" t="s">
        <v>112</v>
      </c>
      <c r="G343" s="1">
        <v>2756990</v>
      </c>
    </row>
    <row r="344" spans="1:7" x14ac:dyDescent="0.35">
      <c r="A344" s="1" t="str">
        <f t="shared" si="5"/>
        <v>5</v>
      </c>
      <c r="B34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344" s="1" t="s">
        <v>3531</v>
      </c>
      <c r="D344" s="1" t="s">
        <v>3532</v>
      </c>
      <c r="E344" s="1" t="s">
        <v>3533</v>
      </c>
      <c r="F344" s="1" t="s">
        <v>112</v>
      </c>
      <c r="G344" s="1">
        <v>2220157</v>
      </c>
    </row>
    <row r="345" spans="1:7" x14ac:dyDescent="0.35">
      <c r="A345" s="1" t="str">
        <f t="shared" si="5"/>
        <v>5</v>
      </c>
      <c r="B34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345" s="1" t="s">
        <v>3534</v>
      </c>
      <c r="D345" s="1" t="s">
        <v>3535</v>
      </c>
      <c r="E345" s="1" t="s">
        <v>3536</v>
      </c>
      <c r="F345" s="1" t="s">
        <v>112</v>
      </c>
      <c r="G345" s="1">
        <v>2575061</v>
      </c>
    </row>
    <row r="346" spans="1:7" x14ac:dyDescent="0.35">
      <c r="A346" s="1" t="str">
        <f t="shared" si="5"/>
        <v>5</v>
      </c>
      <c r="B34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346" s="1" t="s">
        <v>3537</v>
      </c>
      <c r="D346" s="1" t="s">
        <v>3538</v>
      </c>
      <c r="E346" s="1" t="s">
        <v>3539</v>
      </c>
      <c r="F346" s="1" t="s">
        <v>112</v>
      </c>
      <c r="G346" s="1">
        <v>2163054</v>
      </c>
    </row>
    <row r="347" spans="1:7" x14ac:dyDescent="0.35">
      <c r="A347" s="1" t="str">
        <f t="shared" si="5"/>
        <v>5</v>
      </c>
      <c r="B34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347" s="1" t="s">
        <v>3540</v>
      </c>
      <c r="D347" s="1" t="s">
        <v>3541</v>
      </c>
      <c r="E347" s="1" t="s">
        <v>3542</v>
      </c>
      <c r="F347" s="1" t="s">
        <v>112</v>
      </c>
      <c r="G347" s="1">
        <v>2337543</v>
      </c>
    </row>
    <row r="348" spans="1:7" x14ac:dyDescent="0.35">
      <c r="A348" s="1" t="str">
        <f t="shared" si="5"/>
        <v>5</v>
      </c>
      <c r="B34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348" s="1" t="s">
        <v>3543</v>
      </c>
      <c r="D348" s="1" t="s">
        <v>823</v>
      </c>
      <c r="E348" s="1" t="s">
        <v>3544</v>
      </c>
      <c r="F348" s="1" t="s">
        <v>112</v>
      </c>
      <c r="G348" s="1">
        <v>2529703</v>
      </c>
    </row>
    <row r="349" spans="1:7" x14ac:dyDescent="0.35">
      <c r="A349" s="1" t="str">
        <f t="shared" si="5"/>
        <v>5</v>
      </c>
      <c r="B34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349" s="1" t="s">
        <v>3545</v>
      </c>
    </row>
    <row r="350" spans="1:7" x14ac:dyDescent="0.35">
      <c r="A350" s="1" t="str">
        <f t="shared" si="5"/>
        <v>5</v>
      </c>
      <c r="B35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350" s="1" t="s">
        <v>3546</v>
      </c>
      <c r="D350" s="1" t="s">
        <v>3547</v>
      </c>
      <c r="E350" s="1" t="s">
        <v>3548</v>
      </c>
      <c r="F350" s="1" t="s">
        <v>112</v>
      </c>
      <c r="G350" s="1">
        <v>1470443</v>
      </c>
    </row>
    <row r="351" spans="1:7" x14ac:dyDescent="0.35">
      <c r="A351" s="1" t="str">
        <f t="shared" si="5"/>
        <v>5</v>
      </c>
      <c r="B35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351" s="1" t="s">
        <v>3549</v>
      </c>
      <c r="D351" s="1" t="s">
        <v>3550</v>
      </c>
      <c r="E351" s="1" t="s">
        <v>3551</v>
      </c>
      <c r="F351" s="1" t="s">
        <v>112</v>
      </c>
      <c r="G351" s="1">
        <v>3708229</v>
      </c>
    </row>
    <row r="352" spans="1:7" x14ac:dyDescent="0.35">
      <c r="A352" s="1" t="str">
        <f t="shared" si="5"/>
        <v>5</v>
      </c>
      <c r="B35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352" s="1" t="s">
        <v>3552</v>
      </c>
      <c r="D352" s="1" t="s">
        <v>3553</v>
      </c>
      <c r="E352" s="1" t="s">
        <v>3554</v>
      </c>
      <c r="F352" s="1" t="s">
        <v>112</v>
      </c>
      <c r="G352" s="1">
        <v>3330723</v>
      </c>
    </row>
    <row r="353" spans="1:8" x14ac:dyDescent="0.35">
      <c r="A353" s="1" t="str">
        <f t="shared" si="5"/>
        <v>5</v>
      </c>
      <c r="B35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353" s="1" t="s">
        <v>3555</v>
      </c>
      <c r="D353" s="1" t="s">
        <v>3556</v>
      </c>
      <c r="E353" s="1" t="s">
        <v>3557</v>
      </c>
      <c r="F353" s="1" t="s">
        <v>112</v>
      </c>
      <c r="G353" s="1">
        <v>3557079</v>
      </c>
    </row>
    <row r="354" spans="1:8" x14ac:dyDescent="0.35">
      <c r="A354" s="1" t="str">
        <f t="shared" si="5"/>
        <v>5</v>
      </c>
      <c r="B35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354" s="1" t="s">
        <v>3558</v>
      </c>
      <c r="D354" s="1" t="s">
        <v>3559</v>
      </c>
      <c r="E354" s="1" t="s">
        <v>3560</v>
      </c>
      <c r="F354" s="1" t="s">
        <v>112</v>
      </c>
      <c r="G354" s="1">
        <v>3959114</v>
      </c>
    </row>
    <row r="355" spans="1:8" x14ac:dyDescent="0.35">
      <c r="A355" s="1" t="str">
        <f t="shared" si="5"/>
        <v>5</v>
      </c>
      <c r="B35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355" s="1" t="s">
        <v>3561</v>
      </c>
      <c r="D355" s="1" t="s">
        <v>3562</v>
      </c>
      <c r="E355" s="1" t="s">
        <v>3563</v>
      </c>
      <c r="F355" s="1" t="s">
        <v>112</v>
      </c>
      <c r="G355" s="1">
        <v>457234</v>
      </c>
    </row>
    <row r="356" spans="1:8" x14ac:dyDescent="0.35">
      <c r="A356" s="1" t="str">
        <f t="shared" si="5"/>
        <v>5</v>
      </c>
      <c r="B35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356" s="1" t="s">
        <v>3564</v>
      </c>
      <c r="D356" s="1" t="s">
        <v>3565</v>
      </c>
      <c r="E356" s="1" t="s">
        <v>3566</v>
      </c>
      <c r="F356" s="1" t="s">
        <v>112</v>
      </c>
      <c r="G356" s="1">
        <v>1338220</v>
      </c>
    </row>
    <row r="357" spans="1:8" x14ac:dyDescent="0.35">
      <c r="A357" s="1" t="str">
        <f t="shared" si="5"/>
        <v>5</v>
      </c>
      <c r="B35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357" s="1" t="s">
        <v>3567</v>
      </c>
      <c r="D357" s="1" t="s">
        <v>3568</v>
      </c>
      <c r="E357" s="1" t="s">
        <v>3569</v>
      </c>
      <c r="F357" s="1" t="s">
        <v>112</v>
      </c>
      <c r="G357" s="1">
        <v>1286892</v>
      </c>
    </row>
    <row r="358" spans="1:8" x14ac:dyDescent="0.35">
      <c r="A358" s="1" t="str">
        <f t="shared" si="5"/>
        <v>5</v>
      </c>
      <c r="B35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358" s="1" t="s">
        <v>3570</v>
      </c>
      <c r="D358" s="1" t="s">
        <v>2016</v>
      </c>
      <c r="E358" s="1" t="s">
        <v>3571</v>
      </c>
      <c r="F358" s="1" t="s">
        <v>112</v>
      </c>
      <c r="G358" s="1">
        <v>322523</v>
      </c>
    </row>
    <row r="359" spans="1:8" x14ac:dyDescent="0.35">
      <c r="A359" s="1" t="str">
        <f t="shared" si="5"/>
        <v>5</v>
      </c>
      <c r="B35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359" s="1" t="s">
        <v>3572</v>
      </c>
      <c r="D359" s="1" t="s">
        <v>2543</v>
      </c>
      <c r="E359" s="1" t="s">
        <v>3573</v>
      </c>
      <c r="F359" s="1" t="s">
        <v>112</v>
      </c>
      <c r="G359" s="1">
        <v>30520</v>
      </c>
    </row>
    <row r="360" spans="1:8" x14ac:dyDescent="0.35">
      <c r="A360" s="1" t="str">
        <f t="shared" si="5"/>
        <v>5</v>
      </c>
      <c r="B36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360" s="1" t="s">
        <v>3574</v>
      </c>
    </row>
    <row r="361" spans="1:8" x14ac:dyDescent="0.35">
      <c r="A361" s="1" t="str">
        <f t="shared" si="5"/>
        <v>5</v>
      </c>
      <c r="B36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361" s="1" t="s">
        <v>3575</v>
      </c>
    </row>
    <row r="362" spans="1:8" x14ac:dyDescent="0.35">
      <c r="A362" s="1" t="str">
        <f t="shared" si="5"/>
        <v>5</v>
      </c>
      <c r="B36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362" s="1" t="s">
        <v>3576</v>
      </c>
    </row>
    <row r="363" spans="1:8" x14ac:dyDescent="0.35">
      <c r="A363" s="1" t="str">
        <f t="shared" si="5"/>
        <v/>
      </c>
      <c r="B36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363" s="1" t="s">
        <v>112</v>
      </c>
    </row>
    <row r="364" spans="1:8" x14ac:dyDescent="0.35">
      <c r="A364" s="1" t="str">
        <f t="shared" si="5"/>
        <v/>
      </c>
      <c r="B36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364" s="1" t="s">
        <v>226</v>
      </c>
      <c r="D364" s="1" t="s">
        <v>112</v>
      </c>
      <c r="E364" s="1" t="s">
        <v>227</v>
      </c>
      <c r="F364" s="1" t="s">
        <v>228</v>
      </c>
      <c r="G364" s="1" t="s">
        <v>229</v>
      </c>
      <c r="H364" s="1" t="s">
        <v>230</v>
      </c>
    </row>
    <row r="365" spans="1:8" x14ac:dyDescent="0.35">
      <c r="A365" s="1" t="str">
        <f t="shared" si="5"/>
        <v>5</v>
      </c>
      <c r="B36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 xml:space="preserve"> </v>
      </c>
      <c r="C365" s="1" t="s">
        <v>3577</v>
      </c>
      <c r="D365" s="1" t="s">
        <v>112</v>
      </c>
      <c r="E365" s="1" t="s">
        <v>3578</v>
      </c>
      <c r="F365" s="1" t="s">
        <v>3579</v>
      </c>
      <c r="G365" s="1" t="s">
        <v>3580</v>
      </c>
      <c r="H365" s="1" t="s">
        <v>3581</v>
      </c>
    </row>
    <row r="366" spans="1:8" x14ac:dyDescent="0.35">
      <c r="A366" s="1" t="str">
        <f t="shared" si="5"/>
        <v/>
      </c>
      <c r="B36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366" s="1" t="s">
        <v>112</v>
      </c>
    </row>
    <row r="367" spans="1:8" x14ac:dyDescent="0.35">
      <c r="A367" s="1" t="str">
        <f t="shared" si="5"/>
        <v/>
      </c>
      <c r="B36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367" s="1" t="s">
        <v>112</v>
      </c>
    </row>
    <row r="368" spans="1:8" x14ac:dyDescent="0.35">
      <c r="A368" s="1" t="str">
        <f t="shared" si="5"/>
        <v/>
      </c>
      <c r="B36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368" s="1" t="s">
        <v>112</v>
      </c>
    </row>
    <row r="369" spans="1:7" x14ac:dyDescent="0.35">
      <c r="A369" s="1" t="str">
        <f t="shared" si="5"/>
        <v/>
      </c>
      <c r="B36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369" s="1" t="s">
        <v>112</v>
      </c>
    </row>
    <row r="370" spans="1:7" x14ac:dyDescent="0.35">
      <c r="A370" s="1" t="str">
        <f t="shared" si="5"/>
        <v/>
      </c>
      <c r="B37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370" s="1" t="s">
        <v>112</v>
      </c>
    </row>
    <row r="371" spans="1:7" x14ac:dyDescent="0.35">
      <c r="A371" s="1" t="str">
        <f t="shared" si="5"/>
        <v/>
      </c>
      <c r="B37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371" s="1" t="s">
        <v>172</v>
      </c>
      <c r="D371" s="1" t="s">
        <v>110</v>
      </c>
      <c r="E371" s="1" t="s">
        <v>111</v>
      </c>
      <c r="F371" s="1" t="s">
        <v>112</v>
      </c>
      <c r="G371" s="1" t="s">
        <v>113</v>
      </c>
    </row>
    <row r="372" spans="1:7" x14ac:dyDescent="0.35">
      <c r="A372" s="1" t="str">
        <f t="shared" si="5"/>
        <v>6</v>
      </c>
      <c r="B37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372" s="1" t="s">
        <v>3582</v>
      </c>
      <c r="D372" s="1" t="s">
        <v>3583</v>
      </c>
      <c r="E372" s="1" t="s">
        <v>3584</v>
      </c>
      <c r="F372" s="1" t="s">
        <v>112</v>
      </c>
      <c r="G372" s="1">
        <v>2440890</v>
      </c>
    </row>
    <row r="373" spans="1:7" x14ac:dyDescent="0.35">
      <c r="A373" s="1" t="str">
        <f t="shared" si="5"/>
        <v>6</v>
      </c>
      <c r="B37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373" s="1" t="s">
        <v>3585</v>
      </c>
      <c r="D373" s="1" t="s">
        <v>3586</v>
      </c>
      <c r="E373" s="1" t="s">
        <v>3587</v>
      </c>
      <c r="F373" s="1" t="s">
        <v>112</v>
      </c>
      <c r="G373" s="1">
        <v>2888370</v>
      </c>
    </row>
    <row r="374" spans="1:7" x14ac:dyDescent="0.35">
      <c r="A374" s="1" t="str">
        <f t="shared" si="5"/>
        <v>6</v>
      </c>
      <c r="B37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374" s="1" t="s">
        <v>3588</v>
      </c>
      <c r="D374" s="1" t="s">
        <v>3589</v>
      </c>
      <c r="E374" s="1" t="s">
        <v>3590</v>
      </c>
      <c r="F374" s="1" t="s">
        <v>112</v>
      </c>
      <c r="G374" s="1">
        <v>3012201</v>
      </c>
    </row>
    <row r="375" spans="1:7" x14ac:dyDescent="0.35">
      <c r="A375" s="1" t="str">
        <f t="shared" si="5"/>
        <v>6</v>
      </c>
      <c r="B37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375" s="1" t="s">
        <v>3591</v>
      </c>
      <c r="D375" s="1" t="s">
        <v>3592</v>
      </c>
      <c r="E375" s="1" t="s">
        <v>3593</v>
      </c>
      <c r="F375" s="1" t="s">
        <v>112</v>
      </c>
      <c r="G375" s="1">
        <v>2958732</v>
      </c>
    </row>
    <row r="376" spans="1:7" x14ac:dyDescent="0.35">
      <c r="A376" s="1" t="str">
        <f t="shared" si="5"/>
        <v>6</v>
      </c>
      <c r="B37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376" s="1" t="s">
        <v>3594</v>
      </c>
      <c r="D376" s="1" t="s">
        <v>741</v>
      </c>
      <c r="E376" s="1" t="s">
        <v>3595</v>
      </c>
      <c r="F376" s="1" t="s">
        <v>112</v>
      </c>
      <c r="G376" s="1">
        <v>2484842</v>
      </c>
    </row>
    <row r="377" spans="1:7" x14ac:dyDescent="0.35">
      <c r="A377" s="1" t="str">
        <f t="shared" si="5"/>
        <v>6</v>
      </c>
      <c r="B37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377" s="1" t="s">
        <v>3596</v>
      </c>
      <c r="D377" s="1" t="s">
        <v>3597</v>
      </c>
      <c r="E377" s="1" t="s">
        <v>3598</v>
      </c>
      <c r="F377" s="1" t="s">
        <v>112</v>
      </c>
      <c r="G377" s="1">
        <v>2465094</v>
      </c>
    </row>
    <row r="378" spans="1:7" x14ac:dyDescent="0.35">
      <c r="A378" s="1" t="str">
        <f t="shared" si="5"/>
        <v>6</v>
      </c>
      <c r="B37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378" s="1" t="s">
        <v>3599</v>
      </c>
      <c r="D378" s="1" t="s">
        <v>3600</v>
      </c>
      <c r="E378" s="1" t="s">
        <v>3601</v>
      </c>
      <c r="F378" s="1" t="s">
        <v>112</v>
      </c>
      <c r="G378" s="1">
        <v>2641508</v>
      </c>
    </row>
    <row r="379" spans="1:7" x14ac:dyDescent="0.35">
      <c r="A379" s="1" t="str">
        <f t="shared" si="5"/>
        <v>6</v>
      </c>
      <c r="B37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379" s="1" t="s">
        <v>3602</v>
      </c>
      <c r="D379" s="1" t="s">
        <v>3603</v>
      </c>
      <c r="E379" s="1" t="s">
        <v>3604</v>
      </c>
      <c r="F379" s="1" t="s">
        <v>112</v>
      </c>
      <c r="G379" s="1">
        <v>2728892</v>
      </c>
    </row>
    <row r="380" spans="1:7" x14ac:dyDescent="0.35">
      <c r="A380" s="1" t="str">
        <f t="shared" si="5"/>
        <v>6</v>
      </c>
      <c r="B38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380" s="1" t="s">
        <v>3605</v>
      </c>
    </row>
    <row r="381" spans="1:7" x14ac:dyDescent="0.35">
      <c r="A381" s="1" t="str">
        <f t="shared" si="5"/>
        <v>6</v>
      </c>
      <c r="B38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381" s="1" t="s">
        <v>3606</v>
      </c>
    </row>
    <row r="382" spans="1:7" x14ac:dyDescent="0.35">
      <c r="A382" s="1" t="str">
        <f t="shared" si="5"/>
        <v>6</v>
      </c>
      <c r="B38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382" s="1" t="s">
        <v>3607</v>
      </c>
      <c r="D382" s="1" t="s">
        <v>3608</v>
      </c>
      <c r="E382" s="1" t="s">
        <v>3609</v>
      </c>
      <c r="F382" s="1" t="s">
        <v>112</v>
      </c>
      <c r="G382" s="1">
        <v>3148469</v>
      </c>
    </row>
    <row r="383" spans="1:7" x14ac:dyDescent="0.35">
      <c r="A383" s="1" t="str">
        <f t="shared" si="5"/>
        <v>6</v>
      </c>
      <c r="B38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383" s="1" t="s">
        <v>3610</v>
      </c>
      <c r="D383" s="1" t="s">
        <v>3611</v>
      </c>
      <c r="E383" s="1" t="s">
        <v>3612</v>
      </c>
      <c r="F383" s="1" t="s">
        <v>112</v>
      </c>
      <c r="G383" s="1">
        <v>3430588</v>
      </c>
    </row>
    <row r="384" spans="1:7" x14ac:dyDescent="0.35">
      <c r="A384" s="1" t="str">
        <f t="shared" si="5"/>
        <v>6</v>
      </c>
      <c r="B38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384" s="1" t="s">
        <v>3613</v>
      </c>
      <c r="D384" s="1" t="s">
        <v>3614</v>
      </c>
      <c r="E384" s="1" t="s">
        <v>3615</v>
      </c>
      <c r="F384" s="1" t="s">
        <v>112</v>
      </c>
      <c r="G384" s="1">
        <v>3023665</v>
      </c>
    </row>
    <row r="385" spans="1:7" x14ac:dyDescent="0.35">
      <c r="A385" s="1" t="str">
        <f t="shared" si="5"/>
        <v>6</v>
      </c>
      <c r="B38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385" s="1" t="s">
        <v>3616</v>
      </c>
      <c r="D385" s="1" t="s">
        <v>3617</v>
      </c>
      <c r="E385" s="1" t="s">
        <v>3618</v>
      </c>
      <c r="F385" s="1" t="s">
        <v>112</v>
      </c>
      <c r="G385" s="1">
        <v>2896849</v>
      </c>
    </row>
    <row r="386" spans="1:7" x14ac:dyDescent="0.35">
      <c r="A386" s="1" t="str">
        <f t="shared" ref="A386:A449" si="6">IFERROR(LEFT(RIGHT(C386,LEN(C386)-SEARCH("@",C386)),SEARCH("/",RIGHT(C386,LEN(C386)-SEARCH("@",C386)-1))),"")</f>
        <v>6</v>
      </c>
      <c r="B38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386" s="1" t="s">
        <v>3619</v>
      </c>
      <c r="D386" s="1" t="s">
        <v>3620</v>
      </c>
      <c r="E386" s="1" t="s">
        <v>3621</v>
      </c>
      <c r="F386" s="1" t="s">
        <v>112</v>
      </c>
      <c r="G386" s="1">
        <v>3080486</v>
      </c>
    </row>
    <row r="387" spans="1:7" x14ac:dyDescent="0.35">
      <c r="A387" s="1" t="str">
        <f t="shared" si="6"/>
        <v>6</v>
      </c>
      <c r="B38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387" s="1" t="s">
        <v>3622</v>
      </c>
      <c r="D387" s="1" t="s">
        <v>3623</v>
      </c>
      <c r="E387" s="1" t="s">
        <v>3624</v>
      </c>
      <c r="F387" s="1" t="s">
        <v>112</v>
      </c>
      <c r="G387" s="1">
        <v>3003441</v>
      </c>
    </row>
    <row r="388" spans="1:7" x14ac:dyDescent="0.35">
      <c r="A388" s="1" t="str">
        <f t="shared" si="6"/>
        <v>6</v>
      </c>
      <c r="B38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388" s="1" t="s">
        <v>3625</v>
      </c>
      <c r="D388" s="1" t="s">
        <v>3626</v>
      </c>
      <c r="E388" s="1" t="s">
        <v>3627</v>
      </c>
      <c r="F388" s="1" t="s">
        <v>112</v>
      </c>
      <c r="G388" s="1">
        <v>2190589</v>
      </c>
    </row>
    <row r="389" spans="1:7" x14ac:dyDescent="0.35">
      <c r="A389" s="1" t="str">
        <f t="shared" si="6"/>
        <v>6</v>
      </c>
      <c r="B38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389" s="1" t="s">
        <v>3628</v>
      </c>
      <c r="D389" s="1" t="s">
        <v>3629</v>
      </c>
      <c r="E389" s="1" t="s">
        <v>3630</v>
      </c>
      <c r="F389" s="1" t="s">
        <v>112</v>
      </c>
      <c r="G389" s="1">
        <v>2578283</v>
      </c>
    </row>
    <row r="390" spans="1:7" x14ac:dyDescent="0.35">
      <c r="A390" s="1" t="str">
        <f t="shared" si="6"/>
        <v>6</v>
      </c>
      <c r="B39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390" s="1" t="s">
        <v>3631</v>
      </c>
      <c r="D390" s="1" t="s">
        <v>3632</v>
      </c>
      <c r="E390" s="1" t="s">
        <v>3633</v>
      </c>
      <c r="F390" s="1" t="s">
        <v>112</v>
      </c>
      <c r="G390" s="1">
        <v>2141403</v>
      </c>
    </row>
    <row r="391" spans="1:7" x14ac:dyDescent="0.35">
      <c r="A391" s="1" t="str">
        <f t="shared" si="6"/>
        <v>6</v>
      </c>
      <c r="B39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391" s="1" t="s">
        <v>3634</v>
      </c>
      <c r="D391" s="1" t="s">
        <v>3635</v>
      </c>
      <c r="E391" s="1" t="s">
        <v>3636</v>
      </c>
      <c r="F391" s="1" t="s">
        <v>112</v>
      </c>
      <c r="G391" s="1">
        <v>2453739</v>
      </c>
    </row>
    <row r="392" spans="1:7" x14ac:dyDescent="0.35">
      <c r="A392" s="1" t="str">
        <f t="shared" si="6"/>
        <v>6</v>
      </c>
      <c r="B39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392" s="1" t="s">
        <v>3637</v>
      </c>
      <c r="D392" s="1" t="s">
        <v>3638</v>
      </c>
      <c r="E392" s="1" t="s">
        <v>3639</v>
      </c>
      <c r="F392" s="1" t="s">
        <v>112</v>
      </c>
      <c r="G392" s="1">
        <v>3534584</v>
      </c>
    </row>
    <row r="393" spans="1:7" x14ac:dyDescent="0.35">
      <c r="A393" s="1" t="str">
        <f t="shared" si="6"/>
        <v>6</v>
      </c>
      <c r="B39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393" s="1" t="s">
        <v>3640</v>
      </c>
      <c r="D393" s="1" t="s">
        <v>3641</v>
      </c>
      <c r="E393" s="1" t="s">
        <v>3642</v>
      </c>
      <c r="F393" s="1" t="s">
        <v>112</v>
      </c>
      <c r="G393" s="1">
        <v>3203950</v>
      </c>
    </row>
    <row r="394" spans="1:7" x14ac:dyDescent="0.35">
      <c r="A394" s="1" t="str">
        <f t="shared" si="6"/>
        <v>6</v>
      </c>
      <c r="B39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394" s="1" t="s">
        <v>3643</v>
      </c>
      <c r="D394" s="1" t="s">
        <v>3644</v>
      </c>
      <c r="E394" s="1" t="s">
        <v>3645</v>
      </c>
      <c r="F394" s="1" t="s">
        <v>112</v>
      </c>
      <c r="G394" s="1">
        <v>3464222</v>
      </c>
    </row>
    <row r="395" spans="1:7" x14ac:dyDescent="0.35">
      <c r="A395" s="1" t="str">
        <f t="shared" si="6"/>
        <v>6</v>
      </c>
      <c r="B39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395" s="1" t="s">
        <v>3646</v>
      </c>
      <c r="D395" s="1" t="s">
        <v>3647</v>
      </c>
      <c r="E395" s="1" t="s">
        <v>3648</v>
      </c>
      <c r="F395" s="1" t="s">
        <v>112</v>
      </c>
      <c r="G395" s="1">
        <v>3952798</v>
      </c>
    </row>
    <row r="396" spans="1:7" x14ac:dyDescent="0.35">
      <c r="A396" s="1" t="str">
        <f t="shared" si="6"/>
        <v>6</v>
      </c>
      <c r="B39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396" s="1" t="s">
        <v>3649</v>
      </c>
      <c r="D396" s="1" t="s">
        <v>3650</v>
      </c>
      <c r="E396" s="1" t="s">
        <v>3651</v>
      </c>
      <c r="F396" s="1" t="s">
        <v>112</v>
      </c>
      <c r="G396" s="1">
        <v>2568377</v>
      </c>
    </row>
    <row r="397" spans="1:7" x14ac:dyDescent="0.35">
      <c r="A397" s="1" t="str">
        <f t="shared" si="6"/>
        <v>6</v>
      </c>
      <c r="B39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397" s="1" t="s">
        <v>3652</v>
      </c>
      <c r="D397" s="1" t="s">
        <v>3653</v>
      </c>
      <c r="E397" s="1" t="s">
        <v>3654</v>
      </c>
      <c r="F397" s="1" t="s">
        <v>112</v>
      </c>
      <c r="G397" s="1">
        <v>2878398</v>
      </c>
    </row>
    <row r="398" spans="1:7" x14ac:dyDescent="0.35">
      <c r="A398" s="1" t="str">
        <f t="shared" si="6"/>
        <v>6</v>
      </c>
      <c r="B39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398" s="1" t="s">
        <v>3655</v>
      </c>
      <c r="D398" s="1" t="s">
        <v>888</v>
      </c>
      <c r="E398" s="1" t="s">
        <v>3656</v>
      </c>
      <c r="F398" s="1" t="s">
        <v>112</v>
      </c>
      <c r="G398" s="1">
        <v>2841671</v>
      </c>
    </row>
    <row r="399" spans="1:7" x14ac:dyDescent="0.35">
      <c r="A399" s="1" t="str">
        <f t="shared" si="6"/>
        <v>6</v>
      </c>
      <c r="B39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399" s="1" t="s">
        <v>3657</v>
      </c>
      <c r="D399" s="1" t="s">
        <v>3658</v>
      </c>
      <c r="E399" s="1" t="s">
        <v>3659</v>
      </c>
      <c r="F399" s="1" t="s">
        <v>112</v>
      </c>
      <c r="G399" s="1">
        <v>3276691</v>
      </c>
    </row>
    <row r="400" spans="1:7" x14ac:dyDescent="0.35">
      <c r="A400" s="1" t="str">
        <f t="shared" si="6"/>
        <v>6</v>
      </c>
      <c r="B40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400" s="1" t="s">
        <v>3660</v>
      </c>
      <c r="D400" s="1" t="s">
        <v>3661</v>
      </c>
      <c r="E400" s="1" t="s">
        <v>3662</v>
      </c>
      <c r="F400" s="1" t="s">
        <v>112</v>
      </c>
      <c r="G400" s="1">
        <v>2709490</v>
      </c>
    </row>
    <row r="401" spans="1:8" x14ac:dyDescent="0.35">
      <c r="A401" s="1" t="str">
        <f t="shared" si="6"/>
        <v>6</v>
      </c>
      <c r="B40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401" s="1" t="s">
        <v>3663</v>
      </c>
      <c r="D401" s="1" t="s">
        <v>3664</v>
      </c>
      <c r="E401" s="1" t="s">
        <v>3665</v>
      </c>
      <c r="F401" s="1" t="s">
        <v>112</v>
      </c>
      <c r="G401" s="1">
        <v>2823761</v>
      </c>
    </row>
    <row r="402" spans="1:8" x14ac:dyDescent="0.35">
      <c r="A402" s="1" t="str">
        <f t="shared" si="6"/>
        <v>6</v>
      </c>
      <c r="B40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402" s="1" t="s">
        <v>3666</v>
      </c>
      <c r="D402" s="1" t="s">
        <v>3667</v>
      </c>
      <c r="E402" s="1" t="s">
        <v>3668</v>
      </c>
      <c r="F402" s="1" t="s">
        <v>112</v>
      </c>
      <c r="G402" s="1">
        <v>2403492</v>
      </c>
    </row>
    <row r="403" spans="1:8" x14ac:dyDescent="0.35">
      <c r="A403" s="1" t="str">
        <f t="shared" si="6"/>
        <v>6</v>
      </c>
      <c r="B40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403" s="1" t="s">
        <v>3669</v>
      </c>
      <c r="D403" s="1" t="s">
        <v>3670</v>
      </c>
      <c r="E403" s="1" t="s">
        <v>3671</v>
      </c>
      <c r="F403" s="1" t="s">
        <v>112</v>
      </c>
      <c r="G403" s="1">
        <v>2588212</v>
      </c>
    </row>
    <row r="404" spans="1:8" x14ac:dyDescent="0.35">
      <c r="A404" s="1" t="str">
        <f t="shared" si="6"/>
        <v/>
      </c>
      <c r="B40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404" s="1" t="s">
        <v>112</v>
      </c>
    </row>
    <row r="405" spans="1:8" x14ac:dyDescent="0.35">
      <c r="A405" s="1" t="str">
        <f t="shared" si="6"/>
        <v/>
      </c>
      <c r="B40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405" s="1" t="s">
        <v>226</v>
      </c>
      <c r="D405" s="1" t="s">
        <v>112</v>
      </c>
      <c r="E405" s="1" t="s">
        <v>227</v>
      </c>
      <c r="F405" s="1" t="s">
        <v>228</v>
      </c>
      <c r="G405" s="1" t="s">
        <v>229</v>
      </c>
      <c r="H405" s="1" t="s">
        <v>230</v>
      </c>
    </row>
    <row r="406" spans="1:8" x14ac:dyDescent="0.35">
      <c r="A406" s="1" t="str">
        <f t="shared" si="6"/>
        <v>6</v>
      </c>
      <c r="B40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 xml:space="preserve"> </v>
      </c>
      <c r="C406" s="1" t="s">
        <v>3672</v>
      </c>
      <c r="D406" s="1" t="s">
        <v>112</v>
      </c>
      <c r="E406" s="1" t="s">
        <v>3673</v>
      </c>
      <c r="F406" s="1" t="s">
        <v>3674</v>
      </c>
      <c r="G406" s="1" t="s">
        <v>3675</v>
      </c>
      <c r="H406" s="1" t="s">
        <v>3676</v>
      </c>
    </row>
    <row r="407" spans="1:8" x14ac:dyDescent="0.35">
      <c r="A407" s="1" t="str">
        <f t="shared" si="6"/>
        <v/>
      </c>
      <c r="B40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407" s="1" t="s">
        <v>112</v>
      </c>
    </row>
    <row r="408" spans="1:8" x14ac:dyDescent="0.35">
      <c r="A408" s="1" t="str">
        <f t="shared" si="6"/>
        <v/>
      </c>
      <c r="B40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408" s="1" t="s">
        <v>112</v>
      </c>
    </row>
    <row r="409" spans="1:8" x14ac:dyDescent="0.35">
      <c r="A409" s="1" t="str">
        <f t="shared" si="6"/>
        <v/>
      </c>
      <c r="B40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409" s="1" t="s">
        <v>112</v>
      </c>
    </row>
    <row r="410" spans="1:8" x14ac:dyDescent="0.35">
      <c r="A410" s="1" t="str">
        <f t="shared" si="6"/>
        <v/>
      </c>
      <c r="B41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410" s="1" t="s">
        <v>112</v>
      </c>
    </row>
    <row r="411" spans="1:8" x14ac:dyDescent="0.35">
      <c r="A411" s="1" t="str">
        <f t="shared" si="6"/>
        <v/>
      </c>
      <c r="B41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411" s="1" t="s">
        <v>112</v>
      </c>
    </row>
    <row r="412" spans="1:8" x14ac:dyDescent="0.35">
      <c r="A412" s="1" t="str">
        <f t="shared" si="6"/>
        <v/>
      </c>
      <c r="B41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412" s="1" t="s">
        <v>172</v>
      </c>
      <c r="D412" s="1" t="s">
        <v>110</v>
      </c>
      <c r="E412" s="1" t="s">
        <v>111</v>
      </c>
      <c r="F412" s="1" t="s">
        <v>112</v>
      </c>
      <c r="G412" s="1" t="s">
        <v>113</v>
      </c>
    </row>
    <row r="413" spans="1:8" x14ac:dyDescent="0.35">
      <c r="A413" s="1" t="str">
        <f t="shared" si="6"/>
        <v>7</v>
      </c>
      <c r="B41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413" s="1" t="s">
        <v>3677</v>
      </c>
      <c r="D413" s="1" t="s">
        <v>3678</v>
      </c>
      <c r="E413" s="1" t="s">
        <v>3679</v>
      </c>
      <c r="F413" s="1" t="s">
        <v>112</v>
      </c>
      <c r="G413" s="1">
        <v>5966260</v>
      </c>
    </row>
    <row r="414" spans="1:8" x14ac:dyDescent="0.35">
      <c r="A414" s="1" t="str">
        <f t="shared" si="6"/>
        <v>7</v>
      </c>
      <c r="B41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414" s="1" t="s">
        <v>3680</v>
      </c>
    </row>
    <row r="415" spans="1:8" x14ac:dyDescent="0.35">
      <c r="A415" s="1" t="str">
        <f t="shared" si="6"/>
        <v>7</v>
      </c>
      <c r="B41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415" s="1" t="s">
        <v>3681</v>
      </c>
    </row>
    <row r="416" spans="1:8" x14ac:dyDescent="0.35">
      <c r="A416" s="1" t="str">
        <f t="shared" si="6"/>
        <v>7</v>
      </c>
      <c r="B41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416" s="1" t="s">
        <v>3682</v>
      </c>
    </row>
    <row r="417" spans="1:7" x14ac:dyDescent="0.35">
      <c r="A417" s="1" t="str">
        <f t="shared" si="6"/>
        <v>7</v>
      </c>
      <c r="B41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417" s="1" t="s">
        <v>3683</v>
      </c>
      <c r="D417" s="1" t="s">
        <v>876</v>
      </c>
      <c r="E417" s="1" t="s">
        <v>3684</v>
      </c>
      <c r="F417" s="1" t="s">
        <v>112</v>
      </c>
      <c r="G417" s="1">
        <v>5347321</v>
      </c>
    </row>
    <row r="418" spans="1:7" x14ac:dyDescent="0.35">
      <c r="A418" s="1" t="str">
        <f t="shared" si="6"/>
        <v>7</v>
      </c>
      <c r="B41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418" s="1" t="s">
        <v>3685</v>
      </c>
      <c r="D418" s="1" t="s">
        <v>3686</v>
      </c>
      <c r="E418" s="1" t="s">
        <v>3687</v>
      </c>
      <c r="F418" s="1" t="s">
        <v>112</v>
      </c>
      <c r="G418" s="1">
        <v>5047358</v>
      </c>
    </row>
    <row r="419" spans="1:7" x14ac:dyDescent="0.35">
      <c r="A419" s="1" t="str">
        <f t="shared" si="6"/>
        <v>7</v>
      </c>
      <c r="B41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419" s="1" t="s">
        <v>3688</v>
      </c>
      <c r="D419" s="1" t="s">
        <v>3689</v>
      </c>
      <c r="E419" s="1" t="s">
        <v>3690</v>
      </c>
      <c r="F419" s="1" t="s">
        <v>112</v>
      </c>
      <c r="G419" s="1">
        <v>4712224</v>
      </c>
    </row>
    <row r="420" spans="1:7" x14ac:dyDescent="0.35">
      <c r="A420" s="1" t="str">
        <f t="shared" si="6"/>
        <v>7</v>
      </c>
      <c r="B42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420" s="1" t="s">
        <v>3691</v>
      </c>
      <c r="D420" s="1" t="s">
        <v>3692</v>
      </c>
      <c r="E420" s="1" t="s">
        <v>3693</v>
      </c>
      <c r="F420" s="1" t="s">
        <v>112</v>
      </c>
      <c r="G420" s="1">
        <v>5629851</v>
      </c>
    </row>
    <row r="421" spans="1:7" x14ac:dyDescent="0.35">
      <c r="A421" s="1" t="str">
        <f t="shared" si="6"/>
        <v>7</v>
      </c>
      <c r="B42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421" s="1" t="s">
        <v>3694</v>
      </c>
    </row>
    <row r="422" spans="1:7" x14ac:dyDescent="0.35">
      <c r="A422" s="1" t="str">
        <f t="shared" si="6"/>
        <v>7</v>
      </c>
      <c r="B42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422" s="1" t="s">
        <v>3695</v>
      </c>
    </row>
    <row r="423" spans="1:7" x14ac:dyDescent="0.35">
      <c r="A423" s="1" t="str">
        <f t="shared" si="6"/>
        <v>7</v>
      </c>
      <c r="B42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423" s="1" t="s">
        <v>3696</v>
      </c>
      <c r="D423" s="1" t="s">
        <v>3697</v>
      </c>
      <c r="E423" s="1" t="s">
        <v>3698</v>
      </c>
      <c r="F423" s="1" t="s">
        <v>112</v>
      </c>
      <c r="G423" s="1">
        <v>4759983</v>
      </c>
    </row>
    <row r="424" spans="1:7" x14ac:dyDescent="0.35">
      <c r="A424" s="1" t="str">
        <f t="shared" si="6"/>
        <v>7</v>
      </c>
      <c r="B42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424" s="1" t="s">
        <v>3699</v>
      </c>
      <c r="D424" s="1" t="s">
        <v>3700</v>
      </c>
      <c r="E424" s="1" t="s">
        <v>3701</v>
      </c>
      <c r="F424" s="1" t="s">
        <v>112</v>
      </c>
      <c r="G424" s="1">
        <v>4663297</v>
      </c>
    </row>
    <row r="425" spans="1:7" x14ac:dyDescent="0.35">
      <c r="A425" s="1" t="str">
        <f t="shared" si="6"/>
        <v>7</v>
      </c>
      <c r="B42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425" s="1" t="s">
        <v>3702</v>
      </c>
      <c r="D425" s="1" t="s">
        <v>3703</v>
      </c>
      <c r="E425" s="1" t="s">
        <v>3704</v>
      </c>
      <c r="F425" s="1" t="s">
        <v>112</v>
      </c>
      <c r="G425" s="1">
        <v>4752802</v>
      </c>
    </row>
    <row r="426" spans="1:7" x14ac:dyDescent="0.35">
      <c r="A426" s="1" t="str">
        <f t="shared" si="6"/>
        <v>7</v>
      </c>
      <c r="B42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426" s="1" t="s">
        <v>3705</v>
      </c>
      <c r="D426" s="1" t="s">
        <v>3706</v>
      </c>
      <c r="E426" s="1" t="s">
        <v>3707</v>
      </c>
      <c r="F426" s="1" t="s">
        <v>112</v>
      </c>
      <c r="G426" s="1">
        <v>4300758</v>
      </c>
    </row>
    <row r="427" spans="1:7" x14ac:dyDescent="0.35">
      <c r="A427" s="1" t="str">
        <f t="shared" si="6"/>
        <v>7</v>
      </c>
      <c r="B42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427" s="1" t="s">
        <v>3708</v>
      </c>
      <c r="D427" s="1" t="s">
        <v>3709</v>
      </c>
      <c r="E427" s="1" t="s">
        <v>3710</v>
      </c>
      <c r="F427" s="1" t="s">
        <v>112</v>
      </c>
      <c r="G427" s="1">
        <v>4341661</v>
      </c>
    </row>
    <row r="428" spans="1:7" x14ac:dyDescent="0.35">
      <c r="A428" s="1" t="str">
        <f t="shared" si="6"/>
        <v>7</v>
      </c>
      <c r="B42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428" s="1" t="s">
        <v>3711</v>
      </c>
      <c r="D428" s="1" t="s">
        <v>3712</v>
      </c>
      <c r="E428" s="1" t="s">
        <v>3713</v>
      </c>
      <c r="F428" s="1" t="s">
        <v>112</v>
      </c>
      <c r="G428" s="1">
        <v>4100855</v>
      </c>
    </row>
    <row r="429" spans="1:7" x14ac:dyDescent="0.35">
      <c r="A429" s="1" t="str">
        <f t="shared" si="6"/>
        <v>7</v>
      </c>
      <c r="B42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429" s="1" t="s">
        <v>3714</v>
      </c>
      <c r="D429" s="1" t="s">
        <v>3715</v>
      </c>
      <c r="E429" s="1" t="s">
        <v>3716</v>
      </c>
      <c r="F429" s="1" t="s">
        <v>112</v>
      </c>
      <c r="G429" s="1">
        <v>4490647</v>
      </c>
    </row>
    <row r="430" spans="1:7" x14ac:dyDescent="0.35">
      <c r="A430" s="1" t="str">
        <f t="shared" si="6"/>
        <v>7</v>
      </c>
      <c r="B43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430" s="1" t="s">
        <v>3717</v>
      </c>
      <c r="D430" s="1" t="s">
        <v>3718</v>
      </c>
      <c r="E430" s="1" t="s">
        <v>3719</v>
      </c>
      <c r="F430" s="1" t="s">
        <v>112</v>
      </c>
      <c r="G430" s="1">
        <v>4371942</v>
      </c>
    </row>
    <row r="431" spans="1:7" x14ac:dyDescent="0.35">
      <c r="A431" s="1" t="str">
        <f t="shared" si="6"/>
        <v>7</v>
      </c>
      <c r="B43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431" s="1" t="s">
        <v>3720</v>
      </c>
      <c r="D431" s="1" t="s">
        <v>3721</v>
      </c>
      <c r="E431" s="1" t="s">
        <v>3722</v>
      </c>
      <c r="F431" s="1" t="s">
        <v>112</v>
      </c>
      <c r="G431" s="1">
        <v>4945351</v>
      </c>
    </row>
    <row r="432" spans="1:7" x14ac:dyDescent="0.35">
      <c r="A432" s="1" t="str">
        <f t="shared" si="6"/>
        <v>7</v>
      </c>
      <c r="B43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432" s="1" t="s">
        <v>3723</v>
      </c>
      <c r="D432" s="1" t="s">
        <v>3724</v>
      </c>
      <c r="E432" s="1" t="s">
        <v>3725</v>
      </c>
      <c r="F432" s="1" t="s">
        <v>112</v>
      </c>
      <c r="G432" s="1">
        <v>4767012</v>
      </c>
    </row>
    <row r="433" spans="1:8" x14ac:dyDescent="0.35">
      <c r="A433" s="1" t="str">
        <f t="shared" si="6"/>
        <v>7</v>
      </c>
      <c r="B43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433" s="1" t="s">
        <v>3726</v>
      </c>
      <c r="D433" s="1" t="s">
        <v>3727</v>
      </c>
      <c r="E433" s="1" t="s">
        <v>3728</v>
      </c>
      <c r="F433" s="1" t="s">
        <v>112</v>
      </c>
      <c r="G433" s="1">
        <v>6431087</v>
      </c>
    </row>
    <row r="434" spans="1:8" x14ac:dyDescent="0.35">
      <c r="A434" s="1" t="str">
        <f t="shared" si="6"/>
        <v>7</v>
      </c>
      <c r="B43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434" s="1" t="s">
        <v>3729</v>
      </c>
      <c r="D434" s="1" t="s">
        <v>3730</v>
      </c>
      <c r="E434" s="1" t="s">
        <v>3731</v>
      </c>
      <c r="F434" s="1" t="s">
        <v>112</v>
      </c>
      <c r="G434" s="1">
        <v>6555545</v>
      </c>
    </row>
    <row r="435" spans="1:8" x14ac:dyDescent="0.35">
      <c r="A435" s="1" t="str">
        <f t="shared" si="6"/>
        <v>7</v>
      </c>
      <c r="B43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435" s="1" t="s">
        <v>3732</v>
      </c>
      <c r="D435" s="1" t="s">
        <v>3733</v>
      </c>
      <c r="E435" s="1" t="s">
        <v>3734</v>
      </c>
      <c r="F435" s="1" t="s">
        <v>112</v>
      </c>
      <c r="G435" s="1">
        <v>6486676</v>
      </c>
    </row>
    <row r="436" spans="1:8" x14ac:dyDescent="0.35">
      <c r="A436" s="1" t="str">
        <f t="shared" si="6"/>
        <v>7</v>
      </c>
      <c r="B43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436" s="1" t="s">
        <v>3735</v>
      </c>
      <c r="D436" s="1" t="s">
        <v>3736</v>
      </c>
      <c r="E436" s="1" t="s">
        <v>3737</v>
      </c>
      <c r="F436" s="1" t="s">
        <v>112</v>
      </c>
      <c r="G436" s="1">
        <v>6700357</v>
      </c>
    </row>
    <row r="437" spans="1:8" x14ac:dyDescent="0.35">
      <c r="A437" s="1" t="str">
        <f t="shared" si="6"/>
        <v>7</v>
      </c>
      <c r="B43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437" s="1" t="s">
        <v>3738</v>
      </c>
      <c r="D437" s="1" t="s">
        <v>3170</v>
      </c>
      <c r="E437" s="1" t="s">
        <v>3739</v>
      </c>
      <c r="F437" s="1" t="s">
        <v>112</v>
      </c>
      <c r="G437" s="1">
        <v>4671473</v>
      </c>
    </row>
    <row r="438" spans="1:8" x14ac:dyDescent="0.35">
      <c r="A438" s="1" t="str">
        <f t="shared" si="6"/>
        <v>7</v>
      </c>
      <c r="B43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438" s="1" t="s">
        <v>3740</v>
      </c>
      <c r="D438" s="1" t="s">
        <v>3741</v>
      </c>
      <c r="E438" s="1" t="s">
        <v>3742</v>
      </c>
      <c r="F438" s="1" t="s">
        <v>112</v>
      </c>
      <c r="G438" s="1">
        <v>4702469</v>
      </c>
    </row>
    <row r="439" spans="1:8" x14ac:dyDescent="0.35">
      <c r="A439" s="1" t="str">
        <f t="shared" si="6"/>
        <v>7</v>
      </c>
      <c r="B43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439" s="1" t="s">
        <v>3743</v>
      </c>
      <c r="D439" s="1" t="s">
        <v>3744</v>
      </c>
      <c r="E439" s="1" t="s">
        <v>3745</v>
      </c>
      <c r="F439" s="1" t="s">
        <v>112</v>
      </c>
      <c r="G439" s="1">
        <v>4538904</v>
      </c>
    </row>
    <row r="440" spans="1:8" x14ac:dyDescent="0.35">
      <c r="A440" s="1" t="str">
        <f t="shared" si="6"/>
        <v>7</v>
      </c>
      <c r="B44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440" s="1" t="s">
        <v>3746</v>
      </c>
      <c r="D440" s="1" t="s">
        <v>3747</v>
      </c>
      <c r="E440" s="1" t="s">
        <v>3748</v>
      </c>
      <c r="F440" s="1" t="s">
        <v>112</v>
      </c>
      <c r="G440" s="1">
        <v>4389419</v>
      </c>
    </row>
    <row r="441" spans="1:8" x14ac:dyDescent="0.35">
      <c r="A441" s="1" t="str">
        <f t="shared" si="6"/>
        <v>7</v>
      </c>
      <c r="B44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441" s="1" t="s">
        <v>3749</v>
      </c>
      <c r="D441" s="1" t="s">
        <v>3750</v>
      </c>
      <c r="E441" s="1" t="s">
        <v>3751</v>
      </c>
      <c r="F441" s="1" t="s">
        <v>112</v>
      </c>
      <c r="G441" s="1">
        <v>6199214</v>
      </c>
    </row>
    <row r="442" spans="1:8" x14ac:dyDescent="0.35">
      <c r="A442" s="1" t="str">
        <f t="shared" si="6"/>
        <v>7</v>
      </c>
      <c r="B44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442" s="1" t="s">
        <v>3752</v>
      </c>
      <c r="D442" s="1" t="s">
        <v>3753</v>
      </c>
      <c r="E442" s="1" t="s">
        <v>3754</v>
      </c>
      <c r="F442" s="1" t="s">
        <v>112</v>
      </c>
      <c r="G442" s="1">
        <v>5925272</v>
      </c>
    </row>
    <row r="443" spans="1:8" x14ac:dyDescent="0.35">
      <c r="A443" s="1" t="str">
        <f t="shared" si="6"/>
        <v>7</v>
      </c>
      <c r="B44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443" s="1" t="s">
        <v>3755</v>
      </c>
      <c r="D443" s="1" t="s">
        <v>3756</v>
      </c>
      <c r="E443" s="1" t="s">
        <v>3757</v>
      </c>
      <c r="F443" s="1" t="s">
        <v>112</v>
      </c>
      <c r="G443" s="1">
        <v>5345482</v>
      </c>
    </row>
    <row r="444" spans="1:8" x14ac:dyDescent="0.35">
      <c r="A444" s="1" t="str">
        <f t="shared" si="6"/>
        <v>7</v>
      </c>
      <c r="B44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444" s="1" t="s">
        <v>3758</v>
      </c>
      <c r="D444" s="1" t="s">
        <v>3759</v>
      </c>
      <c r="E444" s="1" t="s">
        <v>3760</v>
      </c>
      <c r="F444" s="1" t="s">
        <v>112</v>
      </c>
      <c r="G444" s="1">
        <v>6392261</v>
      </c>
    </row>
    <row r="445" spans="1:8" x14ac:dyDescent="0.35">
      <c r="A445" s="1" t="str">
        <f t="shared" si="6"/>
        <v/>
      </c>
      <c r="B44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445" s="1" t="s">
        <v>112</v>
      </c>
    </row>
    <row r="446" spans="1:8" x14ac:dyDescent="0.35">
      <c r="A446" s="1" t="str">
        <f t="shared" si="6"/>
        <v/>
      </c>
      <c r="B44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446" s="1" t="s">
        <v>226</v>
      </c>
      <c r="D446" s="1" t="s">
        <v>112</v>
      </c>
      <c r="E446" s="1" t="s">
        <v>227</v>
      </c>
      <c r="F446" s="1" t="s">
        <v>228</v>
      </c>
      <c r="G446" s="1" t="s">
        <v>229</v>
      </c>
      <c r="H446" s="1" t="s">
        <v>230</v>
      </c>
    </row>
    <row r="447" spans="1:8" x14ac:dyDescent="0.35">
      <c r="A447" s="1" t="str">
        <f t="shared" si="6"/>
        <v>7</v>
      </c>
      <c r="B44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 xml:space="preserve"> </v>
      </c>
      <c r="C447" s="1" t="s">
        <v>3761</v>
      </c>
      <c r="D447" s="1" t="s">
        <v>112</v>
      </c>
      <c r="E447" s="1" t="s">
        <v>3762</v>
      </c>
      <c r="F447" s="1" t="s">
        <v>3763</v>
      </c>
      <c r="G447" s="1" t="s">
        <v>3764</v>
      </c>
      <c r="H447" s="1" t="s">
        <v>3765</v>
      </c>
    </row>
    <row r="448" spans="1:8" x14ac:dyDescent="0.35">
      <c r="A448" s="1" t="str">
        <f t="shared" si="6"/>
        <v/>
      </c>
      <c r="B44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448" s="1" t="s">
        <v>112</v>
      </c>
    </row>
    <row r="449" spans="1:7" x14ac:dyDescent="0.35">
      <c r="A449" s="1" t="str">
        <f t="shared" si="6"/>
        <v/>
      </c>
      <c r="B44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449" s="1" t="s">
        <v>112</v>
      </c>
    </row>
    <row r="450" spans="1:7" x14ac:dyDescent="0.35">
      <c r="A450" s="1" t="str">
        <f t="shared" ref="A450:A513" si="7">IFERROR(LEFT(RIGHT(C450,LEN(C450)-SEARCH("@",C450)),SEARCH("/",RIGHT(C450,LEN(C450)-SEARCH("@",C450)-1))),"")</f>
        <v/>
      </c>
      <c r="B45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450" s="1" t="s">
        <v>112</v>
      </c>
    </row>
    <row r="451" spans="1:7" x14ac:dyDescent="0.35">
      <c r="A451" s="1" t="str">
        <f t="shared" si="7"/>
        <v/>
      </c>
      <c r="B45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451" s="1" t="s">
        <v>112</v>
      </c>
    </row>
    <row r="452" spans="1:7" x14ac:dyDescent="0.35">
      <c r="A452" s="1" t="str">
        <f t="shared" si="7"/>
        <v/>
      </c>
      <c r="B45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452" s="1" t="s">
        <v>112</v>
      </c>
    </row>
    <row r="453" spans="1:7" x14ac:dyDescent="0.35">
      <c r="A453" s="1" t="str">
        <f t="shared" si="7"/>
        <v/>
      </c>
      <c r="B45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453" s="1" t="s">
        <v>172</v>
      </c>
      <c r="D453" s="1" t="s">
        <v>110</v>
      </c>
      <c r="E453" s="1" t="s">
        <v>111</v>
      </c>
      <c r="F453" s="1" t="s">
        <v>112</v>
      </c>
      <c r="G453" s="1" t="s">
        <v>113</v>
      </c>
    </row>
    <row r="454" spans="1:7" x14ac:dyDescent="0.35">
      <c r="A454" s="1" t="str">
        <f t="shared" si="7"/>
        <v>10</v>
      </c>
      <c r="B45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454" s="1" t="s">
        <v>3766</v>
      </c>
      <c r="D454" s="1" t="s">
        <v>2813</v>
      </c>
      <c r="E454" s="1" t="s">
        <v>3767</v>
      </c>
      <c r="F454" s="1" t="s">
        <v>112</v>
      </c>
      <c r="G454" s="1">
        <v>335393</v>
      </c>
    </row>
    <row r="455" spans="1:7" x14ac:dyDescent="0.35">
      <c r="A455" s="1" t="str">
        <f t="shared" si="7"/>
        <v>10</v>
      </c>
      <c r="B45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455" s="1" t="s">
        <v>3768</v>
      </c>
    </row>
    <row r="456" spans="1:7" x14ac:dyDescent="0.35">
      <c r="A456" s="1" t="str">
        <f t="shared" si="7"/>
        <v>10</v>
      </c>
      <c r="B45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456" s="1" t="s">
        <v>3769</v>
      </c>
      <c r="D456" s="1" t="s">
        <v>1631</v>
      </c>
      <c r="E456" s="1" t="s">
        <v>3770</v>
      </c>
      <c r="F456" s="1" t="s">
        <v>112</v>
      </c>
      <c r="G456" s="1">
        <v>306106</v>
      </c>
    </row>
    <row r="457" spans="1:7" x14ac:dyDescent="0.35">
      <c r="A457" s="1" t="str">
        <f t="shared" si="7"/>
        <v>10</v>
      </c>
      <c r="B45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457" s="1" t="s">
        <v>3771</v>
      </c>
      <c r="D457" s="1" t="s">
        <v>1923</v>
      </c>
      <c r="E457" s="1" t="s">
        <v>3772</v>
      </c>
      <c r="F457" s="1" t="s">
        <v>112</v>
      </c>
      <c r="G457" s="1">
        <v>451502</v>
      </c>
    </row>
    <row r="458" spans="1:7" x14ac:dyDescent="0.35">
      <c r="A458" s="1" t="str">
        <f t="shared" si="7"/>
        <v>10</v>
      </c>
      <c r="B45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458" s="1" t="s">
        <v>3773</v>
      </c>
      <c r="D458" s="1" t="s">
        <v>3774</v>
      </c>
      <c r="E458" s="1" t="s">
        <v>3775</v>
      </c>
      <c r="F458" s="1" t="s">
        <v>112</v>
      </c>
      <c r="G458" s="1">
        <v>290641</v>
      </c>
    </row>
    <row r="459" spans="1:7" x14ac:dyDescent="0.35">
      <c r="A459" s="1" t="str">
        <f t="shared" si="7"/>
        <v>10</v>
      </c>
      <c r="B45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459" s="1" t="s">
        <v>3776</v>
      </c>
      <c r="D459" s="1" t="s">
        <v>711</v>
      </c>
      <c r="E459" s="1" t="s">
        <v>3777</v>
      </c>
      <c r="F459" s="1" t="s">
        <v>112</v>
      </c>
      <c r="G459" s="1">
        <v>178987</v>
      </c>
    </row>
    <row r="460" spans="1:7" x14ac:dyDescent="0.35">
      <c r="A460" s="1" t="str">
        <f t="shared" si="7"/>
        <v>10</v>
      </c>
      <c r="B46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460" s="1" t="s">
        <v>3778</v>
      </c>
      <c r="D460" s="1" t="s">
        <v>3779</v>
      </c>
      <c r="E460" s="1" t="s">
        <v>3780</v>
      </c>
      <c r="F460" s="1" t="s">
        <v>112</v>
      </c>
      <c r="G460" s="1">
        <v>605334</v>
      </c>
    </row>
    <row r="461" spans="1:7" x14ac:dyDescent="0.35">
      <c r="A461" s="1" t="str">
        <f t="shared" si="7"/>
        <v>10</v>
      </c>
      <c r="B46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461" s="1" t="s">
        <v>3781</v>
      </c>
      <c r="D461" s="1" t="s">
        <v>3782</v>
      </c>
      <c r="E461" s="1" t="s">
        <v>3783</v>
      </c>
      <c r="F461" s="1" t="s">
        <v>112</v>
      </c>
      <c r="G461" s="1">
        <v>442569</v>
      </c>
    </row>
    <row r="462" spans="1:7" x14ac:dyDescent="0.35">
      <c r="A462" s="1" t="str">
        <f t="shared" si="7"/>
        <v>10</v>
      </c>
      <c r="B46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462" s="1" t="s">
        <v>3784</v>
      </c>
      <c r="D462" s="1" t="s">
        <v>1367</v>
      </c>
      <c r="E462" s="1" t="s">
        <v>3785</v>
      </c>
      <c r="F462" s="1" t="s">
        <v>112</v>
      </c>
      <c r="G462" s="1">
        <v>221685</v>
      </c>
    </row>
    <row r="463" spans="1:7" x14ac:dyDescent="0.35">
      <c r="A463" s="1" t="str">
        <f t="shared" si="7"/>
        <v>10</v>
      </c>
      <c r="B46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463" s="1" t="s">
        <v>3786</v>
      </c>
      <c r="D463" s="1" t="s">
        <v>473</v>
      </c>
      <c r="E463" s="1" t="s">
        <v>3787</v>
      </c>
      <c r="F463" s="1" t="s">
        <v>112</v>
      </c>
      <c r="G463" s="1">
        <v>96340</v>
      </c>
    </row>
    <row r="464" spans="1:7" x14ac:dyDescent="0.35">
      <c r="A464" s="1" t="str">
        <f t="shared" si="7"/>
        <v>10</v>
      </c>
      <c r="B46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464" s="1" t="s">
        <v>3788</v>
      </c>
      <c r="D464" s="1" t="s">
        <v>1181</v>
      </c>
      <c r="E464" s="1" t="s">
        <v>3789</v>
      </c>
      <c r="F464" s="1" t="s">
        <v>112</v>
      </c>
      <c r="G464" s="1">
        <v>220300</v>
      </c>
    </row>
    <row r="465" spans="1:7" x14ac:dyDescent="0.35">
      <c r="A465" s="1" t="str">
        <f t="shared" si="7"/>
        <v>10</v>
      </c>
      <c r="B46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465" s="1" t="s">
        <v>3790</v>
      </c>
      <c r="D465" s="1" t="s">
        <v>2891</v>
      </c>
      <c r="E465" s="1" t="s">
        <v>3791</v>
      </c>
      <c r="F465" s="1" t="s">
        <v>112</v>
      </c>
      <c r="G465" s="1">
        <v>272407</v>
      </c>
    </row>
    <row r="466" spans="1:7" x14ac:dyDescent="0.35">
      <c r="A466" s="1" t="str">
        <f t="shared" si="7"/>
        <v>10</v>
      </c>
      <c r="B46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466" s="1" t="s">
        <v>3792</v>
      </c>
      <c r="D466" s="1" t="s">
        <v>500</v>
      </c>
      <c r="E466" s="1" t="s">
        <v>3793</v>
      </c>
      <c r="F466" s="1" t="s">
        <v>112</v>
      </c>
      <c r="G466" s="1">
        <v>170271</v>
      </c>
    </row>
    <row r="467" spans="1:7" x14ac:dyDescent="0.35">
      <c r="A467" s="1" t="str">
        <f t="shared" si="7"/>
        <v>10</v>
      </c>
      <c r="B46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467" s="1" t="s">
        <v>3794</v>
      </c>
      <c r="D467" s="1" t="s">
        <v>3795</v>
      </c>
      <c r="E467" s="1" t="s">
        <v>3796</v>
      </c>
      <c r="F467" s="1" t="s">
        <v>112</v>
      </c>
      <c r="G467" s="1">
        <v>323864</v>
      </c>
    </row>
    <row r="468" spans="1:7" x14ac:dyDescent="0.35">
      <c r="A468" s="1" t="str">
        <f t="shared" si="7"/>
        <v>10</v>
      </c>
      <c r="B46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468" s="1" t="s">
        <v>3797</v>
      </c>
      <c r="D468" s="1" t="s">
        <v>2568</v>
      </c>
      <c r="E468" s="1" t="s">
        <v>3798</v>
      </c>
      <c r="F468" s="1" t="s">
        <v>112</v>
      </c>
      <c r="G468" s="1">
        <v>214698</v>
      </c>
    </row>
    <row r="469" spans="1:7" x14ac:dyDescent="0.35">
      <c r="A469" s="1" t="str">
        <f t="shared" si="7"/>
        <v>10</v>
      </c>
      <c r="B46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469" s="1" t="s">
        <v>3799</v>
      </c>
      <c r="D469" s="1" t="s">
        <v>3800</v>
      </c>
      <c r="E469" s="1" t="s">
        <v>3801</v>
      </c>
      <c r="F469" s="1" t="s">
        <v>112</v>
      </c>
      <c r="G469" s="1">
        <v>300569</v>
      </c>
    </row>
    <row r="470" spans="1:7" x14ac:dyDescent="0.35">
      <c r="A470" s="1" t="str">
        <f t="shared" si="7"/>
        <v>10</v>
      </c>
      <c r="B47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470" s="1" t="s">
        <v>3802</v>
      </c>
      <c r="D470" s="1" t="s">
        <v>997</v>
      </c>
      <c r="E470" s="1">
        <v>31</v>
      </c>
      <c r="F470" s="1" t="s">
        <v>112</v>
      </c>
      <c r="G470" s="1">
        <v>5364</v>
      </c>
    </row>
    <row r="471" spans="1:7" x14ac:dyDescent="0.35">
      <c r="A471" s="1" t="str">
        <f t="shared" si="7"/>
        <v>10</v>
      </c>
      <c r="B47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471" s="1" t="s">
        <v>3803</v>
      </c>
    </row>
    <row r="472" spans="1:7" x14ac:dyDescent="0.35">
      <c r="A472" s="1" t="str">
        <f t="shared" si="7"/>
        <v>10</v>
      </c>
      <c r="B47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472" s="1" t="s">
        <v>3804</v>
      </c>
      <c r="D472" s="1" t="s">
        <v>1139</v>
      </c>
      <c r="E472" s="1">
        <v>31</v>
      </c>
      <c r="F472" s="1" t="s">
        <v>112</v>
      </c>
      <c r="G472" s="1">
        <v>2012</v>
      </c>
    </row>
    <row r="473" spans="1:7" x14ac:dyDescent="0.35">
      <c r="A473" s="1" t="str">
        <f t="shared" si="7"/>
        <v>10</v>
      </c>
      <c r="B47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473" s="1" t="s">
        <v>3805</v>
      </c>
      <c r="D473" s="1" t="s">
        <v>1102</v>
      </c>
      <c r="E473" s="1" t="s">
        <v>3806</v>
      </c>
      <c r="F473" s="1" t="s">
        <v>112</v>
      </c>
      <c r="G473" s="1">
        <v>186709</v>
      </c>
    </row>
    <row r="474" spans="1:7" x14ac:dyDescent="0.35">
      <c r="A474" s="1" t="str">
        <f t="shared" si="7"/>
        <v>10</v>
      </c>
      <c r="B47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474" s="1" t="s">
        <v>3807</v>
      </c>
      <c r="D474" s="1" t="s">
        <v>2559</v>
      </c>
      <c r="E474" s="1" t="s">
        <v>3808</v>
      </c>
      <c r="F474" s="1" t="s">
        <v>112</v>
      </c>
      <c r="G474" s="1">
        <v>168562</v>
      </c>
    </row>
    <row r="475" spans="1:7" x14ac:dyDescent="0.35">
      <c r="A475" s="1" t="str">
        <f t="shared" si="7"/>
        <v>10</v>
      </c>
      <c r="B47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475" s="1" t="s">
        <v>3809</v>
      </c>
      <c r="D475" s="1" t="s">
        <v>2036</v>
      </c>
      <c r="E475" s="1" t="s">
        <v>3810</v>
      </c>
      <c r="F475" s="1" t="s">
        <v>112</v>
      </c>
      <c r="G475" s="1">
        <v>128957</v>
      </c>
    </row>
    <row r="476" spans="1:7" x14ac:dyDescent="0.35">
      <c r="A476" s="1" t="str">
        <f t="shared" si="7"/>
        <v>10</v>
      </c>
      <c r="B47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476" s="1" t="s">
        <v>3811</v>
      </c>
      <c r="D476" s="1" t="s">
        <v>456</v>
      </c>
      <c r="E476" s="1" t="s">
        <v>3812</v>
      </c>
      <c r="F476" s="1" t="s">
        <v>112</v>
      </c>
      <c r="G476" s="1">
        <v>149765</v>
      </c>
    </row>
    <row r="477" spans="1:7" x14ac:dyDescent="0.35">
      <c r="A477" s="1" t="str">
        <f t="shared" si="7"/>
        <v>10</v>
      </c>
      <c r="B47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477" s="1" t="s">
        <v>3813</v>
      </c>
      <c r="D477" s="1" t="s">
        <v>3814</v>
      </c>
      <c r="E477" s="1" t="s">
        <v>3815</v>
      </c>
      <c r="F477" s="1" t="s">
        <v>112</v>
      </c>
      <c r="G477" s="1">
        <v>109880</v>
      </c>
    </row>
    <row r="478" spans="1:7" x14ac:dyDescent="0.35">
      <c r="A478" s="1" t="str">
        <f t="shared" si="7"/>
        <v>10</v>
      </c>
      <c r="B47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478" s="1" t="s">
        <v>3816</v>
      </c>
      <c r="D478" s="1" t="s">
        <v>565</v>
      </c>
      <c r="E478" s="1" t="s">
        <v>3817</v>
      </c>
      <c r="F478" s="1" t="s">
        <v>112</v>
      </c>
      <c r="G478" s="1">
        <v>230834</v>
      </c>
    </row>
    <row r="479" spans="1:7" x14ac:dyDescent="0.35">
      <c r="A479" s="1" t="str">
        <f t="shared" si="7"/>
        <v>10</v>
      </c>
      <c r="B47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479" s="1" t="s">
        <v>3818</v>
      </c>
      <c r="D479" s="1" t="s">
        <v>3819</v>
      </c>
      <c r="E479" s="1" t="s">
        <v>3820</v>
      </c>
      <c r="F479" s="1" t="s">
        <v>112</v>
      </c>
      <c r="G479" s="1">
        <v>284952</v>
      </c>
    </row>
    <row r="480" spans="1:7" x14ac:dyDescent="0.35">
      <c r="A480" s="1" t="str">
        <f t="shared" si="7"/>
        <v>10</v>
      </c>
      <c r="B48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480" s="1" t="s">
        <v>3821</v>
      </c>
      <c r="D480" s="1" t="s">
        <v>221</v>
      </c>
      <c r="E480" s="1" t="s">
        <v>3822</v>
      </c>
      <c r="F480" s="1" t="s">
        <v>112</v>
      </c>
      <c r="G480" s="1">
        <v>239789</v>
      </c>
    </row>
    <row r="481" spans="1:8" x14ac:dyDescent="0.35">
      <c r="A481" s="1" t="str">
        <f t="shared" si="7"/>
        <v>10</v>
      </c>
      <c r="B48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481" s="1" t="s">
        <v>3823</v>
      </c>
    </row>
    <row r="482" spans="1:8" x14ac:dyDescent="0.35">
      <c r="A482" s="1" t="str">
        <f t="shared" si="7"/>
        <v>10</v>
      </c>
      <c r="B48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482" s="1" t="s">
        <v>3824</v>
      </c>
      <c r="D482" s="1" t="s">
        <v>967</v>
      </c>
      <c r="E482" s="1" t="s">
        <v>3825</v>
      </c>
      <c r="F482" s="1" t="s">
        <v>112</v>
      </c>
      <c r="G482" s="1">
        <v>71162</v>
      </c>
    </row>
    <row r="483" spans="1:8" x14ac:dyDescent="0.35">
      <c r="A483" s="1" t="str">
        <f t="shared" si="7"/>
        <v>10</v>
      </c>
      <c r="B48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483" s="1" t="s">
        <v>3826</v>
      </c>
      <c r="D483" s="1" t="s">
        <v>1096</v>
      </c>
      <c r="E483" s="1" t="s">
        <v>3827</v>
      </c>
      <c r="F483" s="1" t="s">
        <v>112</v>
      </c>
      <c r="G483" s="1">
        <v>128092</v>
      </c>
    </row>
    <row r="484" spans="1:8" x14ac:dyDescent="0.35">
      <c r="A484" s="1" t="str">
        <f t="shared" si="7"/>
        <v>10</v>
      </c>
      <c r="B48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484" s="1" t="s">
        <v>3828</v>
      </c>
      <c r="D484" s="1" t="s">
        <v>1110</v>
      </c>
      <c r="E484" s="1" t="s">
        <v>3829</v>
      </c>
      <c r="F484" s="1" t="s">
        <v>112</v>
      </c>
      <c r="G484" s="1">
        <v>159520</v>
      </c>
    </row>
    <row r="485" spans="1:8" x14ac:dyDescent="0.35">
      <c r="A485" s="1" t="str">
        <f t="shared" si="7"/>
        <v>10</v>
      </c>
      <c r="B48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485" s="1" t="s">
        <v>3830</v>
      </c>
      <c r="D485" s="1" t="s">
        <v>3831</v>
      </c>
      <c r="E485" s="1" t="s">
        <v>3832</v>
      </c>
      <c r="F485" s="1" t="s">
        <v>112</v>
      </c>
      <c r="G485" s="1">
        <v>87558</v>
      </c>
    </row>
    <row r="486" spans="1:8" x14ac:dyDescent="0.35">
      <c r="A486" s="1" t="str">
        <f t="shared" si="7"/>
        <v/>
      </c>
      <c r="B48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486" s="1" t="s">
        <v>112</v>
      </c>
    </row>
    <row r="487" spans="1:8" x14ac:dyDescent="0.35">
      <c r="A487" s="1" t="str">
        <f t="shared" si="7"/>
        <v/>
      </c>
      <c r="B48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487" s="1" t="s">
        <v>226</v>
      </c>
      <c r="D487" s="1" t="s">
        <v>112</v>
      </c>
      <c r="E487" s="1" t="s">
        <v>227</v>
      </c>
      <c r="F487" s="1" t="s">
        <v>228</v>
      </c>
      <c r="G487" s="1" t="s">
        <v>229</v>
      </c>
      <c r="H487" s="1" t="s">
        <v>230</v>
      </c>
    </row>
    <row r="488" spans="1:8" x14ac:dyDescent="0.35">
      <c r="A488" s="1" t="str">
        <f t="shared" si="7"/>
        <v>10</v>
      </c>
      <c r="B48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 xml:space="preserve"> </v>
      </c>
      <c r="C488" s="1" t="s">
        <v>3833</v>
      </c>
      <c r="D488" s="1" t="s">
        <v>112</v>
      </c>
      <c r="E488" s="1" t="s">
        <v>3834</v>
      </c>
      <c r="F488" s="1" t="s">
        <v>3835</v>
      </c>
      <c r="G488" s="1" t="s">
        <v>3836</v>
      </c>
      <c r="H488" s="1" t="s">
        <v>3837</v>
      </c>
    </row>
    <row r="489" spans="1:8" x14ac:dyDescent="0.35">
      <c r="A489" s="1" t="str">
        <f t="shared" si="7"/>
        <v/>
      </c>
      <c r="B48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489" s="1" t="s">
        <v>112</v>
      </c>
    </row>
    <row r="490" spans="1:8" x14ac:dyDescent="0.35">
      <c r="A490" s="1" t="str">
        <f t="shared" si="7"/>
        <v/>
      </c>
      <c r="B49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490" s="1" t="s">
        <v>112</v>
      </c>
    </row>
    <row r="491" spans="1:8" x14ac:dyDescent="0.35">
      <c r="A491" s="1" t="str">
        <f t="shared" si="7"/>
        <v/>
      </c>
      <c r="B49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491" s="1" t="s">
        <v>112</v>
      </c>
    </row>
    <row r="492" spans="1:8" x14ac:dyDescent="0.35">
      <c r="A492" s="1" t="str">
        <f t="shared" si="7"/>
        <v/>
      </c>
      <c r="B49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492" s="1" t="s">
        <v>112</v>
      </c>
    </row>
    <row r="493" spans="1:8" x14ac:dyDescent="0.35">
      <c r="A493" s="1" t="str">
        <f t="shared" si="7"/>
        <v/>
      </c>
      <c r="B49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493" s="1" t="s">
        <v>112</v>
      </c>
    </row>
    <row r="494" spans="1:8" x14ac:dyDescent="0.35">
      <c r="A494" s="1" t="str">
        <f t="shared" si="7"/>
        <v/>
      </c>
      <c r="B49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494" s="1" t="s">
        <v>172</v>
      </c>
      <c r="D494" s="1" t="s">
        <v>110</v>
      </c>
      <c r="E494" s="1" t="s">
        <v>111</v>
      </c>
      <c r="F494" s="1" t="s">
        <v>112</v>
      </c>
      <c r="G494" s="1" t="s">
        <v>113</v>
      </c>
    </row>
    <row r="495" spans="1:8" x14ac:dyDescent="0.35">
      <c r="A495" s="1" t="str">
        <f t="shared" si="7"/>
        <v>11</v>
      </c>
      <c r="B49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495" s="1" t="s">
        <v>3838</v>
      </c>
      <c r="D495" s="1" t="s">
        <v>1497</v>
      </c>
      <c r="E495" s="1" t="s">
        <v>3839</v>
      </c>
      <c r="F495" s="1" t="s">
        <v>112</v>
      </c>
      <c r="G495" s="1">
        <v>301586</v>
      </c>
    </row>
    <row r="496" spans="1:8" x14ac:dyDescent="0.35">
      <c r="A496" s="1" t="str">
        <f t="shared" si="7"/>
        <v>11</v>
      </c>
      <c r="B49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496" s="1" t="s">
        <v>3840</v>
      </c>
      <c r="D496" s="1" t="s">
        <v>2372</v>
      </c>
      <c r="E496" s="1" t="s">
        <v>3841</v>
      </c>
      <c r="F496" s="1" t="s">
        <v>112</v>
      </c>
      <c r="G496" s="1">
        <v>41032</v>
      </c>
    </row>
    <row r="497" spans="1:7" x14ac:dyDescent="0.35">
      <c r="A497" s="1" t="str">
        <f t="shared" si="7"/>
        <v>11</v>
      </c>
      <c r="B49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497" s="1" t="s">
        <v>3842</v>
      </c>
      <c r="D497" s="1" t="s">
        <v>1315</v>
      </c>
      <c r="E497" s="1" t="s">
        <v>3843</v>
      </c>
      <c r="F497" s="1" t="s">
        <v>112</v>
      </c>
      <c r="G497" s="1">
        <v>8609</v>
      </c>
    </row>
    <row r="498" spans="1:7" x14ac:dyDescent="0.35">
      <c r="A498" s="1" t="str">
        <f t="shared" si="7"/>
        <v>11</v>
      </c>
      <c r="B49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498" s="1" t="s">
        <v>3844</v>
      </c>
      <c r="D498" s="1" t="s">
        <v>3845</v>
      </c>
      <c r="E498" s="1" t="s">
        <v>3846</v>
      </c>
      <c r="F498" s="1" t="s">
        <v>112</v>
      </c>
      <c r="G498" s="1">
        <v>210697</v>
      </c>
    </row>
    <row r="499" spans="1:7" x14ac:dyDescent="0.35">
      <c r="A499" s="1" t="str">
        <f t="shared" si="7"/>
        <v>11</v>
      </c>
      <c r="B49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499" s="1" t="s">
        <v>3847</v>
      </c>
      <c r="D499" s="1" t="s">
        <v>3372</v>
      </c>
      <c r="E499" s="1" t="s">
        <v>3848</v>
      </c>
      <c r="F499" s="1" t="s">
        <v>112</v>
      </c>
      <c r="G499" s="1">
        <v>224389</v>
      </c>
    </row>
    <row r="500" spans="1:7" x14ac:dyDescent="0.35">
      <c r="A500" s="1" t="str">
        <f t="shared" si="7"/>
        <v>11</v>
      </c>
      <c r="B50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500" s="1" t="s">
        <v>3849</v>
      </c>
      <c r="D500" s="1" t="s">
        <v>626</v>
      </c>
      <c r="E500" s="1" t="s">
        <v>3850</v>
      </c>
      <c r="F500" s="1" t="s">
        <v>112</v>
      </c>
      <c r="G500" s="1">
        <v>232716</v>
      </c>
    </row>
    <row r="501" spans="1:7" x14ac:dyDescent="0.35">
      <c r="A501" s="1" t="str">
        <f t="shared" si="7"/>
        <v>11</v>
      </c>
      <c r="B50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501" s="1" t="s">
        <v>3851</v>
      </c>
      <c r="D501" s="1" t="s">
        <v>1617</v>
      </c>
      <c r="E501" s="1" t="s">
        <v>3852</v>
      </c>
      <c r="F501" s="1" t="s">
        <v>112</v>
      </c>
      <c r="G501" s="1">
        <v>296330</v>
      </c>
    </row>
    <row r="502" spans="1:7" x14ac:dyDescent="0.35">
      <c r="A502" s="1" t="str">
        <f t="shared" si="7"/>
        <v>11</v>
      </c>
      <c r="B50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502" s="1" t="s">
        <v>3853</v>
      </c>
      <c r="D502" s="1" t="s">
        <v>954</v>
      </c>
      <c r="E502" s="1" t="s">
        <v>1163</v>
      </c>
      <c r="F502" s="1" t="s">
        <v>112</v>
      </c>
      <c r="G502" s="1">
        <v>1319</v>
      </c>
    </row>
    <row r="503" spans="1:7" x14ac:dyDescent="0.35">
      <c r="A503" s="1" t="str">
        <f t="shared" si="7"/>
        <v>11</v>
      </c>
      <c r="B50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503" s="1" t="s">
        <v>3854</v>
      </c>
      <c r="D503" s="1" t="s">
        <v>3855</v>
      </c>
      <c r="E503" s="1" t="s">
        <v>3856</v>
      </c>
      <c r="F503" s="1" t="s">
        <v>112</v>
      </c>
      <c r="G503" s="1">
        <v>82799</v>
      </c>
    </row>
    <row r="504" spans="1:7" x14ac:dyDescent="0.35">
      <c r="A504" s="1" t="str">
        <f t="shared" si="7"/>
        <v>11</v>
      </c>
      <c r="B50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504" s="1" t="s">
        <v>3857</v>
      </c>
      <c r="D504" s="1" t="s">
        <v>2036</v>
      </c>
      <c r="E504" s="1" t="s">
        <v>3858</v>
      </c>
      <c r="F504" s="1" t="s">
        <v>112</v>
      </c>
      <c r="G504" s="1">
        <v>115742</v>
      </c>
    </row>
    <row r="505" spans="1:7" x14ac:dyDescent="0.35">
      <c r="A505" s="1" t="str">
        <f t="shared" si="7"/>
        <v>11</v>
      </c>
      <c r="B50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505" s="1" t="s">
        <v>3859</v>
      </c>
      <c r="D505" s="1" t="s">
        <v>3860</v>
      </c>
      <c r="E505" s="1" t="s">
        <v>1016</v>
      </c>
      <c r="F505" s="1" t="s">
        <v>112</v>
      </c>
      <c r="G505" s="1">
        <v>21327</v>
      </c>
    </row>
    <row r="506" spans="1:7" x14ac:dyDescent="0.35">
      <c r="A506" s="1" t="str">
        <f t="shared" si="7"/>
        <v>11</v>
      </c>
      <c r="B50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506" s="1" t="s">
        <v>3861</v>
      </c>
      <c r="D506" s="1" t="s">
        <v>2063</v>
      </c>
      <c r="E506" s="1" t="s">
        <v>3862</v>
      </c>
      <c r="F506" s="1" t="s">
        <v>112</v>
      </c>
      <c r="G506" s="1">
        <v>126492</v>
      </c>
    </row>
    <row r="507" spans="1:7" x14ac:dyDescent="0.35">
      <c r="A507" s="1" t="str">
        <f t="shared" si="7"/>
        <v>11</v>
      </c>
      <c r="B50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507" s="1" t="s">
        <v>3863</v>
      </c>
      <c r="D507" s="1" t="s">
        <v>1309</v>
      </c>
      <c r="E507" s="1" t="s">
        <v>2823</v>
      </c>
      <c r="F507" s="1" t="s">
        <v>112</v>
      </c>
      <c r="G507" s="1">
        <v>206371</v>
      </c>
    </row>
    <row r="508" spans="1:7" x14ac:dyDescent="0.35">
      <c r="A508" s="1" t="str">
        <f t="shared" si="7"/>
        <v>11</v>
      </c>
      <c r="B50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508" s="1" t="s">
        <v>3864</v>
      </c>
      <c r="D508" s="1" t="s">
        <v>645</v>
      </c>
      <c r="E508" s="1" t="s">
        <v>3865</v>
      </c>
      <c r="F508" s="1" t="s">
        <v>112</v>
      </c>
      <c r="G508" s="1">
        <v>138302</v>
      </c>
    </row>
    <row r="509" spans="1:7" x14ac:dyDescent="0.35">
      <c r="A509" s="1" t="str">
        <f t="shared" si="7"/>
        <v>11</v>
      </c>
      <c r="B50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509" s="1" t="s">
        <v>3866</v>
      </c>
      <c r="D509" s="1" t="s">
        <v>500</v>
      </c>
      <c r="E509" s="1" t="s">
        <v>3867</v>
      </c>
      <c r="F509" s="1" t="s">
        <v>112</v>
      </c>
      <c r="G509" s="1">
        <v>165188</v>
      </c>
    </row>
    <row r="510" spans="1:7" x14ac:dyDescent="0.35">
      <c r="A510" s="1" t="str">
        <f t="shared" si="7"/>
        <v>11</v>
      </c>
      <c r="B51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510" s="1" t="s">
        <v>3868</v>
      </c>
      <c r="D510" s="1" t="s">
        <v>1513</v>
      </c>
      <c r="E510" s="1" t="s">
        <v>3869</v>
      </c>
      <c r="F510" s="1" t="s">
        <v>112</v>
      </c>
      <c r="G510" s="1">
        <v>191360</v>
      </c>
    </row>
    <row r="511" spans="1:7" x14ac:dyDescent="0.35">
      <c r="A511" s="1" t="str">
        <f t="shared" si="7"/>
        <v>11</v>
      </c>
      <c r="B51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511" s="1" t="s">
        <v>3870</v>
      </c>
      <c r="D511" s="1" t="s">
        <v>3871</v>
      </c>
      <c r="E511" s="1" t="s">
        <v>1140</v>
      </c>
      <c r="F511" s="1" t="s">
        <v>112</v>
      </c>
      <c r="G511" s="1">
        <v>10274</v>
      </c>
    </row>
    <row r="512" spans="1:7" x14ac:dyDescent="0.35">
      <c r="A512" s="1" t="str">
        <f t="shared" si="7"/>
        <v>11</v>
      </c>
      <c r="B51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512" s="1" t="s">
        <v>3872</v>
      </c>
      <c r="D512" s="1" t="s">
        <v>3394</v>
      </c>
      <c r="E512" s="1" t="s">
        <v>3873</v>
      </c>
      <c r="F512" s="1" t="s">
        <v>112</v>
      </c>
      <c r="G512" s="1">
        <v>335198</v>
      </c>
    </row>
    <row r="513" spans="1:8" x14ac:dyDescent="0.35">
      <c r="A513" s="1" t="str">
        <f t="shared" si="7"/>
        <v>11</v>
      </c>
      <c r="B51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513" s="1" t="s">
        <v>3874</v>
      </c>
      <c r="D513" s="1" t="s">
        <v>1291</v>
      </c>
      <c r="E513" s="1" t="s">
        <v>3875</v>
      </c>
      <c r="F513" s="1" t="s">
        <v>112</v>
      </c>
      <c r="G513" s="1">
        <v>425871</v>
      </c>
    </row>
    <row r="514" spans="1:8" x14ac:dyDescent="0.35">
      <c r="A514" s="1" t="str">
        <f t="shared" ref="A514:A577" si="8">IFERROR(LEFT(RIGHT(C514,LEN(C514)-SEARCH("@",C514)),SEARCH("/",RIGHT(C514,LEN(C514)-SEARCH("@",C514)-1))),"")</f>
        <v>11</v>
      </c>
      <c r="B51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514" s="1" t="s">
        <v>3876</v>
      </c>
      <c r="D514" s="1" t="s">
        <v>535</v>
      </c>
      <c r="E514" s="1" t="s">
        <v>3877</v>
      </c>
      <c r="F514" s="1" t="s">
        <v>112</v>
      </c>
      <c r="G514" s="1">
        <v>232219</v>
      </c>
    </row>
    <row r="515" spans="1:8" x14ac:dyDescent="0.35">
      <c r="A515" s="1" t="str">
        <f t="shared" si="8"/>
        <v>11</v>
      </c>
      <c r="B51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515" s="1" t="s">
        <v>3878</v>
      </c>
      <c r="D515" s="1" t="s">
        <v>224</v>
      </c>
      <c r="E515" s="1" t="s">
        <v>3879</v>
      </c>
      <c r="F515" s="1" t="s">
        <v>112</v>
      </c>
      <c r="G515" s="1">
        <v>281924</v>
      </c>
    </row>
    <row r="516" spans="1:8" x14ac:dyDescent="0.35">
      <c r="A516" s="1" t="str">
        <f t="shared" si="8"/>
        <v>11</v>
      </c>
      <c r="B51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516" s="1" t="s">
        <v>3880</v>
      </c>
      <c r="D516" s="1" t="s">
        <v>1988</v>
      </c>
      <c r="E516" s="1" t="s">
        <v>3881</v>
      </c>
      <c r="F516" s="1" t="s">
        <v>112</v>
      </c>
      <c r="G516" s="1">
        <v>210632</v>
      </c>
    </row>
    <row r="517" spans="1:8" x14ac:dyDescent="0.35">
      <c r="A517" s="1" t="str">
        <f t="shared" si="8"/>
        <v>11</v>
      </c>
      <c r="B51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517" s="1" t="s">
        <v>3882</v>
      </c>
      <c r="D517" s="1" t="s">
        <v>480</v>
      </c>
      <c r="E517" s="1" t="s">
        <v>3883</v>
      </c>
      <c r="F517" s="1" t="s">
        <v>112</v>
      </c>
      <c r="G517" s="1">
        <v>363555</v>
      </c>
    </row>
    <row r="518" spans="1:8" x14ac:dyDescent="0.35">
      <c r="A518" s="1" t="str">
        <f t="shared" si="8"/>
        <v>11</v>
      </c>
      <c r="B51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518" s="1" t="s">
        <v>3884</v>
      </c>
      <c r="D518" s="1" t="s">
        <v>1383</v>
      </c>
      <c r="E518" s="1" t="s">
        <v>3885</v>
      </c>
      <c r="F518" s="1" t="s">
        <v>112</v>
      </c>
      <c r="G518" s="1">
        <v>361219</v>
      </c>
    </row>
    <row r="519" spans="1:8" x14ac:dyDescent="0.35">
      <c r="A519" s="1" t="str">
        <f t="shared" si="8"/>
        <v>11</v>
      </c>
      <c r="B51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519" s="1" t="s">
        <v>3886</v>
      </c>
      <c r="D519" s="1" t="s">
        <v>3887</v>
      </c>
      <c r="E519" s="1" t="s">
        <v>3888</v>
      </c>
      <c r="F519" s="1" t="s">
        <v>112</v>
      </c>
      <c r="G519" s="1">
        <v>372813</v>
      </c>
    </row>
    <row r="520" spans="1:8" x14ac:dyDescent="0.35">
      <c r="A520" s="1" t="str">
        <f t="shared" si="8"/>
        <v>11</v>
      </c>
      <c r="B52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520" s="1" t="s">
        <v>3889</v>
      </c>
      <c r="D520" s="1" t="s">
        <v>273</v>
      </c>
      <c r="E520" s="1" t="s">
        <v>3890</v>
      </c>
      <c r="F520" s="1" t="s">
        <v>112</v>
      </c>
      <c r="G520" s="1">
        <v>326136</v>
      </c>
    </row>
    <row r="521" spans="1:8" x14ac:dyDescent="0.35">
      <c r="A521" s="1" t="str">
        <f t="shared" si="8"/>
        <v>11</v>
      </c>
      <c r="B52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521" s="1" t="s">
        <v>3891</v>
      </c>
      <c r="D521" s="1" t="s">
        <v>1383</v>
      </c>
      <c r="E521" s="1" t="s">
        <v>3892</v>
      </c>
      <c r="F521" s="1" t="s">
        <v>112</v>
      </c>
      <c r="G521" s="1">
        <v>415359</v>
      </c>
    </row>
    <row r="522" spans="1:8" x14ac:dyDescent="0.35">
      <c r="A522" s="1" t="str">
        <f t="shared" si="8"/>
        <v>11</v>
      </c>
      <c r="B52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522" s="1" t="s">
        <v>3893</v>
      </c>
      <c r="D522" s="1" t="s">
        <v>3894</v>
      </c>
      <c r="E522" s="1" t="s">
        <v>3895</v>
      </c>
      <c r="F522" s="1" t="s">
        <v>112</v>
      </c>
      <c r="G522" s="1">
        <v>339979</v>
      </c>
    </row>
    <row r="523" spans="1:8" x14ac:dyDescent="0.35">
      <c r="A523" s="1" t="str">
        <f t="shared" si="8"/>
        <v>11</v>
      </c>
      <c r="B52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523" s="1" t="s">
        <v>3896</v>
      </c>
    </row>
    <row r="524" spans="1:8" x14ac:dyDescent="0.35">
      <c r="A524" s="1" t="str">
        <f t="shared" si="8"/>
        <v>11</v>
      </c>
      <c r="B52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524" s="1" t="s">
        <v>3897</v>
      </c>
      <c r="D524" s="1">
        <v>0</v>
      </c>
      <c r="E524" s="1">
        <v>0</v>
      </c>
      <c r="F524" s="1" t="s">
        <v>112</v>
      </c>
      <c r="G524" s="1">
        <v>0</v>
      </c>
    </row>
    <row r="525" spans="1:8" x14ac:dyDescent="0.35">
      <c r="A525" s="1" t="str">
        <f t="shared" si="8"/>
        <v>11</v>
      </c>
      <c r="B52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525" s="1" t="s">
        <v>3898</v>
      </c>
      <c r="D525" s="1" t="s">
        <v>1294</v>
      </c>
      <c r="E525" s="1" t="s">
        <v>3899</v>
      </c>
      <c r="F525" s="1" t="s">
        <v>112</v>
      </c>
      <c r="G525" s="1">
        <v>112173</v>
      </c>
    </row>
    <row r="526" spans="1:8" x14ac:dyDescent="0.35">
      <c r="A526" s="1" t="str">
        <f t="shared" si="8"/>
        <v>11</v>
      </c>
      <c r="B52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526" s="1" t="s">
        <v>3900</v>
      </c>
      <c r="D526" s="1" t="s">
        <v>2475</v>
      </c>
      <c r="E526" s="1" t="s">
        <v>3901</v>
      </c>
      <c r="F526" s="1" t="s">
        <v>112</v>
      </c>
      <c r="G526" s="1">
        <v>212903</v>
      </c>
    </row>
    <row r="527" spans="1:8" x14ac:dyDescent="0.35">
      <c r="A527" s="1" t="str">
        <f t="shared" si="8"/>
        <v/>
      </c>
      <c r="B52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527" s="1" t="s">
        <v>112</v>
      </c>
    </row>
    <row r="528" spans="1:8" x14ac:dyDescent="0.35">
      <c r="A528" s="1" t="str">
        <f t="shared" si="8"/>
        <v/>
      </c>
      <c r="B52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528" s="1" t="s">
        <v>226</v>
      </c>
      <c r="D528" s="1" t="s">
        <v>112</v>
      </c>
      <c r="E528" s="1" t="s">
        <v>227</v>
      </c>
      <c r="F528" s="1" t="s">
        <v>228</v>
      </c>
      <c r="G528" s="1" t="s">
        <v>229</v>
      </c>
      <c r="H528" s="1" t="s">
        <v>230</v>
      </c>
    </row>
    <row r="529" spans="1:8" x14ac:dyDescent="0.35">
      <c r="A529" s="1" t="str">
        <f t="shared" si="8"/>
        <v>11</v>
      </c>
      <c r="B52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 xml:space="preserve"> </v>
      </c>
      <c r="C529" s="1" t="s">
        <v>3902</v>
      </c>
      <c r="D529" s="1" t="s">
        <v>112</v>
      </c>
      <c r="E529" s="1" t="s">
        <v>3903</v>
      </c>
      <c r="F529" s="1" t="s">
        <v>3904</v>
      </c>
      <c r="G529" s="1" t="s">
        <v>3905</v>
      </c>
      <c r="H529" s="1" t="s">
        <v>3906</v>
      </c>
    </row>
    <row r="530" spans="1:8" x14ac:dyDescent="0.35">
      <c r="A530" s="1" t="str">
        <f t="shared" si="8"/>
        <v/>
      </c>
      <c r="B53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530" s="1" t="s">
        <v>112</v>
      </c>
    </row>
    <row r="531" spans="1:8" x14ac:dyDescent="0.35">
      <c r="A531" s="1" t="str">
        <f t="shared" si="8"/>
        <v/>
      </c>
      <c r="B53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531" s="1" t="s">
        <v>112</v>
      </c>
    </row>
    <row r="532" spans="1:8" x14ac:dyDescent="0.35">
      <c r="A532" s="1" t="str">
        <f t="shared" si="8"/>
        <v/>
      </c>
      <c r="B53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532" s="1" t="s">
        <v>112</v>
      </c>
    </row>
    <row r="533" spans="1:8" x14ac:dyDescent="0.35">
      <c r="A533" s="1" t="str">
        <f t="shared" si="8"/>
        <v/>
      </c>
      <c r="B53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533" s="1" t="s">
        <v>112</v>
      </c>
    </row>
    <row r="534" spans="1:8" x14ac:dyDescent="0.35">
      <c r="A534" s="1" t="str">
        <f t="shared" si="8"/>
        <v/>
      </c>
      <c r="B53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534" s="1" t="s">
        <v>112</v>
      </c>
    </row>
    <row r="535" spans="1:8" x14ac:dyDescent="0.35">
      <c r="A535" s="1" t="str">
        <f t="shared" si="8"/>
        <v/>
      </c>
      <c r="B53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535" s="1" t="s">
        <v>172</v>
      </c>
      <c r="D535" s="1" t="s">
        <v>110</v>
      </c>
      <c r="E535" s="1" t="s">
        <v>111</v>
      </c>
      <c r="F535" s="1" t="s">
        <v>112</v>
      </c>
      <c r="G535" s="1" t="s">
        <v>113</v>
      </c>
    </row>
    <row r="536" spans="1:8" x14ac:dyDescent="0.35">
      <c r="A536" s="1" t="str">
        <f t="shared" si="8"/>
        <v>12</v>
      </c>
      <c r="B53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536" s="1" t="s">
        <v>3907</v>
      </c>
      <c r="D536" s="1" t="s">
        <v>3261</v>
      </c>
      <c r="E536" s="1" t="s">
        <v>3908</v>
      </c>
      <c r="F536" s="1" t="s">
        <v>112</v>
      </c>
      <c r="G536" s="1">
        <v>462858</v>
      </c>
    </row>
    <row r="537" spans="1:8" x14ac:dyDescent="0.35">
      <c r="A537" s="1" t="str">
        <f t="shared" si="8"/>
        <v>12</v>
      </c>
      <c r="B53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537" s="1" t="s">
        <v>3909</v>
      </c>
      <c r="D537" s="1" t="s">
        <v>1507</v>
      </c>
      <c r="E537" s="1" t="s">
        <v>3910</v>
      </c>
      <c r="F537" s="1" t="s">
        <v>112</v>
      </c>
      <c r="G537" s="1">
        <v>277317</v>
      </c>
    </row>
    <row r="538" spans="1:8" x14ac:dyDescent="0.35">
      <c r="A538" s="1" t="str">
        <f t="shared" si="8"/>
        <v>12</v>
      </c>
      <c r="B53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538" s="1" t="s">
        <v>3911</v>
      </c>
      <c r="D538" s="1" t="s">
        <v>3912</v>
      </c>
      <c r="E538" s="1" t="s">
        <v>3913</v>
      </c>
      <c r="F538" s="1" t="s">
        <v>112</v>
      </c>
      <c r="G538" s="1">
        <v>392821</v>
      </c>
    </row>
    <row r="539" spans="1:8" x14ac:dyDescent="0.35">
      <c r="A539" s="1" t="str">
        <f t="shared" si="8"/>
        <v>12</v>
      </c>
      <c r="B53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539" s="1" t="s">
        <v>3914</v>
      </c>
      <c r="D539" s="1" t="s">
        <v>1497</v>
      </c>
      <c r="E539" s="1" t="s">
        <v>3915</v>
      </c>
      <c r="F539" s="1" t="s">
        <v>112</v>
      </c>
      <c r="G539" s="1">
        <v>319365</v>
      </c>
    </row>
    <row r="540" spans="1:8" x14ac:dyDescent="0.35">
      <c r="A540" s="1" t="str">
        <f t="shared" si="8"/>
        <v>12</v>
      </c>
      <c r="B54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540" s="1" t="s">
        <v>3916</v>
      </c>
      <c r="D540" s="1" t="s">
        <v>3917</v>
      </c>
      <c r="E540" s="1" t="s">
        <v>3918</v>
      </c>
      <c r="F540" s="1" t="s">
        <v>112</v>
      </c>
      <c r="G540" s="1">
        <v>133024</v>
      </c>
    </row>
    <row r="541" spans="1:8" x14ac:dyDescent="0.35">
      <c r="A541" s="1" t="str">
        <f t="shared" si="8"/>
        <v>12</v>
      </c>
      <c r="B54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541" s="1" t="s">
        <v>3919</v>
      </c>
      <c r="D541" s="1" t="s">
        <v>1216</v>
      </c>
      <c r="E541" s="1" t="s">
        <v>3920</v>
      </c>
      <c r="F541" s="1" t="s">
        <v>112</v>
      </c>
      <c r="G541" s="1">
        <v>212600</v>
      </c>
    </row>
    <row r="542" spans="1:8" x14ac:dyDescent="0.35">
      <c r="A542" s="1" t="str">
        <f t="shared" si="8"/>
        <v>12</v>
      </c>
      <c r="B54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542" s="1" t="s">
        <v>3921</v>
      </c>
      <c r="D542" s="1" t="s">
        <v>1167</v>
      </c>
      <c r="E542" s="1" t="s">
        <v>3922</v>
      </c>
      <c r="F542" s="1" t="s">
        <v>112</v>
      </c>
      <c r="G542" s="1">
        <v>36403</v>
      </c>
    </row>
    <row r="543" spans="1:8" x14ac:dyDescent="0.35">
      <c r="A543" s="1" t="str">
        <f t="shared" si="8"/>
        <v>12</v>
      </c>
      <c r="B54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543" s="1" t="s">
        <v>3923</v>
      </c>
      <c r="D543" s="1" t="s">
        <v>1083</v>
      </c>
      <c r="E543" s="1" t="s">
        <v>3924</v>
      </c>
      <c r="F543" s="1" t="s">
        <v>112</v>
      </c>
      <c r="G543" s="1">
        <v>207928</v>
      </c>
    </row>
    <row r="544" spans="1:8" x14ac:dyDescent="0.35">
      <c r="A544" s="1" t="str">
        <f t="shared" si="8"/>
        <v>12</v>
      </c>
      <c r="B54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544" s="1" t="s">
        <v>3925</v>
      </c>
      <c r="D544" s="1">
        <v>0</v>
      </c>
      <c r="E544" s="1">
        <v>0</v>
      </c>
      <c r="F544" s="1" t="s">
        <v>112</v>
      </c>
      <c r="G544" s="1">
        <v>0</v>
      </c>
    </row>
    <row r="545" spans="1:7" x14ac:dyDescent="0.35">
      <c r="A545" s="1" t="str">
        <f t="shared" si="8"/>
        <v>12</v>
      </c>
      <c r="B54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545" s="1" t="s">
        <v>3926</v>
      </c>
      <c r="D545" s="1">
        <v>0</v>
      </c>
      <c r="E545" s="1">
        <v>0</v>
      </c>
      <c r="F545" s="1" t="s">
        <v>112</v>
      </c>
      <c r="G545" s="1">
        <v>0</v>
      </c>
    </row>
    <row r="546" spans="1:7" x14ac:dyDescent="0.35">
      <c r="A546" s="1" t="str">
        <f t="shared" si="8"/>
        <v>12</v>
      </c>
      <c r="B54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546" s="1" t="s">
        <v>3927</v>
      </c>
      <c r="D546" s="1" t="s">
        <v>649</v>
      </c>
      <c r="E546" s="1" t="s">
        <v>3928</v>
      </c>
      <c r="F546" s="1" t="s">
        <v>112</v>
      </c>
      <c r="G546" s="1">
        <v>68761</v>
      </c>
    </row>
    <row r="547" spans="1:7" x14ac:dyDescent="0.35">
      <c r="A547" s="1" t="str">
        <f t="shared" si="8"/>
        <v>12</v>
      </c>
      <c r="B54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547" s="1" t="s">
        <v>3929</v>
      </c>
      <c r="D547" s="1" t="s">
        <v>1451</v>
      </c>
      <c r="E547" s="1" t="s">
        <v>3930</v>
      </c>
      <c r="F547" s="1" t="s">
        <v>112</v>
      </c>
      <c r="G547" s="1">
        <v>3374</v>
      </c>
    </row>
    <row r="548" spans="1:7" x14ac:dyDescent="0.35">
      <c r="A548" s="1" t="str">
        <f t="shared" si="8"/>
        <v>12</v>
      </c>
      <c r="B54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548" s="1" t="s">
        <v>3931</v>
      </c>
      <c r="D548" s="1" t="s">
        <v>3932</v>
      </c>
      <c r="E548" s="1" t="s">
        <v>3933</v>
      </c>
      <c r="F548" s="1" t="s">
        <v>112</v>
      </c>
      <c r="G548" s="1">
        <v>198130</v>
      </c>
    </row>
    <row r="549" spans="1:7" x14ac:dyDescent="0.35">
      <c r="A549" s="1" t="str">
        <f t="shared" si="8"/>
        <v>12</v>
      </c>
      <c r="B54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549" s="1" t="s">
        <v>3934</v>
      </c>
    </row>
    <row r="550" spans="1:7" x14ac:dyDescent="0.35">
      <c r="A550" s="1" t="str">
        <f t="shared" si="8"/>
        <v>12</v>
      </c>
      <c r="B55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550" s="1" t="s">
        <v>3935</v>
      </c>
      <c r="D550" s="1" t="s">
        <v>224</v>
      </c>
      <c r="E550" s="1" t="s">
        <v>3936</v>
      </c>
      <c r="F550" s="1" t="s">
        <v>112</v>
      </c>
      <c r="G550" s="1">
        <v>338854</v>
      </c>
    </row>
    <row r="551" spans="1:7" x14ac:dyDescent="0.35">
      <c r="A551" s="1" t="str">
        <f t="shared" si="8"/>
        <v>12</v>
      </c>
      <c r="B55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551" s="1" t="s">
        <v>3937</v>
      </c>
      <c r="D551" s="1" t="s">
        <v>1294</v>
      </c>
      <c r="E551" s="1" t="s">
        <v>3938</v>
      </c>
      <c r="F551" s="1" t="s">
        <v>112</v>
      </c>
      <c r="G551" s="1">
        <v>126816</v>
      </c>
    </row>
    <row r="552" spans="1:7" x14ac:dyDescent="0.35">
      <c r="A552" s="1" t="str">
        <f t="shared" si="8"/>
        <v>12</v>
      </c>
      <c r="B55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552" s="1" t="s">
        <v>3939</v>
      </c>
      <c r="D552" s="1" t="s">
        <v>1102</v>
      </c>
      <c r="E552" s="1" t="s">
        <v>3940</v>
      </c>
      <c r="F552" s="1" t="s">
        <v>112</v>
      </c>
      <c r="G552" s="1">
        <v>184936</v>
      </c>
    </row>
    <row r="553" spans="1:7" x14ac:dyDescent="0.35">
      <c r="A553" s="1" t="str">
        <f t="shared" si="8"/>
        <v>12</v>
      </c>
      <c r="B55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553" s="1" t="s">
        <v>3941</v>
      </c>
      <c r="D553" s="1" t="s">
        <v>2475</v>
      </c>
      <c r="E553" s="1" t="s">
        <v>3942</v>
      </c>
      <c r="F553" s="1" t="s">
        <v>112</v>
      </c>
      <c r="G553" s="1">
        <v>227936</v>
      </c>
    </row>
    <row r="554" spans="1:7" x14ac:dyDescent="0.35">
      <c r="A554" s="1" t="str">
        <f t="shared" si="8"/>
        <v>12</v>
      </c>
      <c r="B55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554" s="1" t="s">
        <v>3943</v>
      </c>
      <c r="D554" s="1" t="s">
        <v>2656</v>
      </c>
      <c r="E554" s="1" t="s">
        <v>3944</v>
      </c>
      <c r="F554" s="1" t="s">
        <v>112</v>
      </c>
      <c r="G554" s="1">
        <v>416397</v>
      </c>
    </row>
    <row r="555" spans="1:7" x14ac:dyDescent="0.35">
      <c r="A555" s="1" t="str">
        <f t="shared" si="8"/>
        <v>12</v>
      </c>
      <c r="B55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555" s="1" t="s">
        <v>3945</v>
      </c>
      <c r="D555" s="1" t="s">
        <v>1036</v>
      </c>
      <c r="E555" s="1" t="s">
        <v>3946</v>
      </c>
      <c r="F555" s="1" t="s">
        <v>112</v>
      </c>
      <c r="G555" s="1">
        <v>12545</v>
      </c>
    </row>
    <row r="556" spans="1:7" x14ac:dyDescent="0.35">
      <c r="A556" s="1" t="str">
        <f t="shared" si="8"/>
        <v>12</v>
      </c>
      <c r="B55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556" s="1" t="s">
        <v>3947</v>
      </c>
      <c r="D556" s="1" t="s">
        <v>623</v>
      </c>
      <c r="E556" s="1" t="s">
        <v>3948</v>
      </c>
      <c r="F556" s="1" t="s">
        <v>112</v>
      </c>
      <c r="G556" s="1">
        <v>49857</v>
      </c>
    </row>
    <row r="557" spans="1:7" x14ac:dyDescent="0.35">
      <c r="A557" s="1" t="str">
        <f t="shared" si="8"/>
        <v>12</v>
      </c>
      <c r="B55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557" s="1" t="s">
        <v>3949</v>
      </c>
      <c r="D557" s="1" t="s">
        <v>3950</v>
      </c>
      <c r="E557" s="1" t="s">
        <v>3951</v>
      </c>
      <c r="F557" s="1" t="s">
        <v>112</v>
      </c>
      <c r="G557" s="1">
        <v>107825</v>
      </c>
    </row>
    <row r="558" spans="1:7" x14ac:dyDescent="0.35">
      <c r="A558" s="1" t="str">
        <f t="shared" si="8"/>
        <v>12</v>
      </c>
      <c r="B55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558" s="1" t="s">
        <v>3952</v>
      </c>
      <c r="D558" s="1" t="s">
        <v>2495</v>
      </c>
      <c r="E558" s="1" t="s">
        <v>3953</v>
      </c>
      <c r="F558" s="1" t="s">
        <v>112</v>
      </c>
      <c r="G558" s="1">
        <v>184849</v>
      </c>
    </row>
    <row r="559" spans="1:7" x14ac:dyDescent="0.35">
      <c r="A559" s="1" t="str">
        <f t="shared" si="8"/>
        <v>12</v>
      </c>
      <c r="B55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559" s="1" t="s">
        <v>3954</v>
      </c>
      <c r="D559" s="1" t="s">
        <v>3955</v>
      </c>
      <c r="E559" s="1" t="s">
        <v>3956</v>
      </c>
      <c r="F559" s="1" t="s">
        <v>112</v>
      </c>
      <c r="G559" s="1">
        <v>11680</v>
      </c>
    </row>
    <row r="560" spans="1:7" x14ac:dyDescent="0.35">
      <c r="A560" s="1" t="str">
        <f t="shared" si="8"/>
        <v>12</v>
      </c>
      <c r="B56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560" s="1" t="s">
        <v>3957</v>
      </c>
      <c r="D560" s="1" t="s">
        <v>1249</v>
      </c>
      <c r="E560" s="1" t="s">
        <v>3958</v>
      </c>
      <c r="F560" s="1" t="s">
        <v>112</v>
      </c>
      <c r="G560" s="1">
        <v>251015</v>
      </c>
    </row>
    <row r="561" spans="1:8" x14ac:dyDescent="0.35">
      <c r="A561" s="1" t="str">
        <f t="shared" si="8"/>
        <v>12</v>
      </c>
      <c r="B56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561" s="1" t="s">
        <v>3959</v>
      </c>
      <c r="D561" s="1" t="s">
        <v>1249</v>
      </c>
      <c r="E561" s="1" t="s">
        <v>3960</v>
      </c>
      <c r="F561" s="1" t="s">
        <v>112</v>
      </c>
      <c r="G561" s="1">
        <v>272731</v>
      </c>
    </row>
    <row r="562" spans="1:8" x14ac:dyDescent="0.35">
      <c r="A562" s="1" t="str">
        <f t="shared" si="8"/>
        <v>12</v>
      </c>
      <c r="B56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562" s="1" t="s">
        <v>3961</v>
      </c>
      <c r="D562" s="1" t="s">
        <v>3962</v>
      </c>
      <c r="E562" s="1" t="s">
        <v>3963</v>
      </c>
      <c r="F562" s="1" t="s">
        <v>112</v>
      </c>
      <c r="G562" s="1">
        <v>392669</v>
      </c>
    </row>
    <row r="563" spans="1:8" x14ac:dyDescent="0.35">
      <c r="A563" s="1" t="str">
        <f t="shared" si="8"/>
        <v>12</v>
      </c>
      <c r="B56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563" s="1" t="s">
        <v>3964</v>
      </c>
      <c r="D563" s="1" t="s">
        <v>2402</v>
      </c>
      <c r="E563" s="1" t="s">
        <v>3965</v>
      </c>
      <c r="F563" s="1" t="s">
        <v>112</v>
      </c>
      <c r="G563" s="1">
        <v>274851</v>
      </c>
    </row>
    <row r="564" spans="1:8" x14ac:dyDescent="0.35">
      <c r="A564" s="1" t="str">
        <f t="shared" si="8"/>
        <v>12</v>
      </c>
      <c r="B56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564" s="1" t="s">
        <v>3966</v>
      </c>
      <c r="D564" s="1" t="s">
        <v>3967</v>
      </c>
      <c r="E564" s="1" t="s">
        <v>3968</v>
      </c>
      <c r="F564" s="1" t="s">
        <v>112</v>
      </c>
      <c r="G564" s="1">
        <v>292306</v>
      </c>
    </row>
    <row r="565" spans="1:8" x14ac:dyDescent="0.35">
      <c r="A565" s="1" t="str">
        <f t="shared" si="8"/>
        <v>12</v>
      </c>
      <c r="B56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565" s="1" t="s">
        <v>3969</v>
      </c>
      <c r="D565" s="1" t="s">
        <v>1377</v>
      </c>
      <c r="E565" s="1" t="s">
        <v>3970</v>
      </c>
      <c r="F565" s="1" t="s">
        <v>112</v>
      </c>
      <c r="G565" s="1">
        <v>286877</v>
      </c>
    </row>
    <row r="566" spans="1:8" x14ac:dyDescent="0.35">
      <c r="A566" s="1" t="str">
        <f t="shared" si="8"/>
        <v>12</v>
      </c>
      <c r="B56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566" s="1" t="s">
        <v>3971</v>
      </c>
      <c r="D566" s="1" t="s">
        <v>2876</v>
      </c>
      <c r="E566" s="1" t="s">
        <v>3972</v>
      </c>
      <c r="F566" s="1" t="s">
        <v>112</v>
      </c>
      <c r="G566" s="1">
        <v>240200</v>
      </c>
    </row>
    <row r="567" spans="1:8" x14ac:dyDescent="0.35">
      <c r="A567" s="1" t="str">
        <f t="shared" si="8"/>
        <v>12</v>
      </c>
      <c r="B56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567" s="1" t="s">
        <v>3973</v>
      </c>
      <c r="D567" s="1" t="s">
        <v>994</v>
      </c>
      <c r="E567" s="1" t="s">
        <v>3974</v>
      </c>
      <c r="F567" s="1" t="s">
        <v>112</v>
      </c>
      <c r="G567" s="1">
        <v>333165</v>
      </c>
    </row>
    <row r="568" spans="1:8" x14ac:dyDescent="0.35">
      <c r="A568" s="1" t="str">
        <f t="shared" si="8"/>
        <v/>
      </c>
      <c r="B56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568" s="1" t="s">
        <v>112</v>
      </c>
    </row>
    <row r="569" spans="1:8" x14ac:dyDescent="0.35">
      <c r="A569" s="1" t="str">
        <f t="shared" si="8"/>
        <v/>
      </c>
      <c r="B56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569" s="1" t="s">
        <v>226</v>
      </c>
      <c r="D569" s="1" t="s">
        <v>112</v>
      </c>
      <c r="E569" s="1" t="s">
        <v>227</v>
      </c>
      <c r="F569" s="1" t="s">
        <v>228</v>
      </c>
      <c r="G569" s="1" t="s">
        <v>229</v>
      </c>
      <c r="H569" s="1" t="s">
        <v>230</v>
      </c>
    </row>
    <row r="570" spans="1:8" x14ac:dyDescent="0.35">
      <c r="A570" s="1" t="str">
        <f t="shared" si="8"/>
        <v>12</v>
      </c>
      <c r="B57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 xml:space="preserve"> </v>
      </c>
      <c r="C570" s="1" t="s">
        <v>3975</v>
      </c>
      <c r="D570" s="1" t="s">
        <v>112</v>
      </c>
      <c r="E570" s="1" t="s">
        <v>3976</v>
      </c>
      <c r="F570" s="1" t="s">
        <v>3977</v>
      </c>
      <c r="G570" s="1" t="s">
        <v>3978</v>
      </c>
      <c r="H570" s="1" t="s">
        <v>3979</v>
      </c>
    </row>
    <row r="571" spans="1:8" x14ac:dyDescent="0.35">
      <c r="A571" s="1" t="str">
        <f t="shared" si="8"/>
        <v/>
      </c>
      <c r="B57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571" s="1" t="s">
        <v>112</v>
      </c>
    </row>
    <row r="572" spans="1:8" x14ac:dyDescent="0.35">
      <c r="A572" s="1" t="str">
        <f t="shared" si="8"/>
        <v/>
      </c>
      <c r="B57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572" s="1" t="s">
        <v>112</v>
      </c>
    </row>
    <row r="573" spans="1:8" x14ac:dyDescent="0.35">
      <c r="A573" s="1" t="str">
        <f t="shared" si="8"/>
        <v/>
      </c>
      <c r="B57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573" s="1" t="s">
        <v>112</v>
      </c>
    </row>
    <row r="574" spans="1:8" x14ac:dyDescent="0.35">
      <c r="A574" s="1" t="str">
        <f t="shared" si="8"/>
        <v/>
      </c>
      <c r="B57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574" s="1" t="s">
        <v>112</v>
      </c>
    </row>
    <row r="575" spans="1:8" x14ac:dyDescent="0.35">
      <c r="A575" s="1" t="str">
        <f t="shared" si="8"/>
        <v/>
      </c>
      <c r="B57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575" s="1" t="s">
        <v>112</v>
      </c>
    </row>
    <row r="576" spans="1:8" x14ac:dyDescent="0.35">
      <c r="A576" s="1" t="str">
        <f t="shared" si="8"/>
        <v/>
      </c>
      <c r="B57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576" s="1" t="s">
        <v>172</v>
      </c>
      <c r="D576" s="1" t="s">
        <v>110</v>
      </c>
      <c r="E576" s="1" t="s">
        <v>111</v>
      </c>
      <c r="F576" s="1" t="s">
        <v>112</v>
      </c>
      <c r="G576" s="1" t="s">
        <v>113</v>
      </c>
    </row>
    <row r="577" spans="1:7" x14ac:dyDescent="0.35">
      <c r="A577" s="1" t="str">
        <f t="shared" si="8"/>
        <v>17</v>
      </c>
      <c r="B57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577" s="1" t="s">
        <v>3980</v>
      </c>
      <c r="D577" s="1" t="s">
        <v>3981</v>
      </c>
      <c r="E577" s="1" t="s">
        <v>3982</v>
      </c>
      <c r="F577" s="1" t="s">
        <v>112</v>
      </c>
      <c r="G577" s="1">
        <v>247100</v>
      </c>
    </row>
    <row r="578" spans="1:7" x14ac:dyDescent="0.35">
      <c r="A578" s="1" t="str">
        <f t="shared" ref="A578:A641" si="9">IFERROR(LEFT(RIGHT(C578,LEN(C578)-SEARCH("@",C578)),SEARCH("/",RIGHT(C578,LEN(C578)-SEARCH("@",C578)-1))),"")</f>
        <v>17</v>
      </c>
      <c r="B57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578" s="1" t="s">
        <v>3983</v>
      </c>
      <c r="D578" s="1" t="s">
        <v>2704</v>
      </c>
      <c r="E578" s="1" t="s">
        <v>3984</v>
      </c>
      <c r="F578" s="1" t="s">
        <v>112</v>
      </c>
      <c r="G578" s="1">
        <v>290057</v>
      </c>
    </row>
    <row r="579" spans="1:7" x14ac:dyDescent="0.35">
      <c r="A579" s="1" t="str">
        <f t="shared" si="9"/>
        <v>17</v>
      </c>
      <c r="B57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579" s="1" t="s">
        <v>3985</v>
      </c>
      <c r="D579" s="1" t="s">
        <v>3986</v>
      </c>
      <c r="E579" s="1" t="s">
        <v>3987</v>
      </c>
      <c r="F579" s="1" t="s">
        <v>112</v>
      </c>
      <c r="G579" s="1">
        <v>358537</v>
      </c>
    </row>
    <row r="580" spans="1:7" x14ac:dyDescent="0.35">
      <c r="A580" s="1" t="str">
        <f t="shared" si="9"/>
        <v>17</v>
      </c>
      <c r="B58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580" s="1" t="s">
        <v>3988</v>
      </c>
      <c r="D580" s="1" t="s">
        <v>1472</v>
      </c>
      <c r="E580" s="1" t="s">
        <v>3989</v>
      </c>
      <c r="F580" s="1" t="s">
        <v>112</v>
      </c>
      <c r="G580" s="1">
        <v>178165</v>
      </c>
    </row>
    <row r="581" spans="1:7" x14ac:dyDescent="0.35">
      <c r="A581" s="1" t="str">
        <f t="shared" si="9"/>
        <v>17</v>
      </c>
      <c r="B58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581" s="1" t="s">
        <v>3990</v>
      </c>
      <c r="D581" s="1" t="s">
        <v>2396</v>
      </c>
      <c r="E581" s="1" t="s">
        <v>3991</v>
      </c>
      <c r="F581" s="1" t="s">
        <v>112</v>
      </c>
      <c r="G581" s="1">
        <v>45488</v>
      </c>
    </row>
    <row r="582" spans="1:7" x14ac:dyDescent="0.35">
      <c r="A582" s="1" t="str">
        <f t="shared" si="9"/>
        <v>17</v>
      </c>
      <c r="B58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582" s="1" t="s">
        <v>3992</v>
      </c>
      <c r="D582" s="1" t="s">
        <v>544</v>
      </c>
      <c r="E582" s="1" t="s">
        <v>3993</v>
      </c>
      <c r="F582" s="1" t="s">
        <v>112</v>
      </c>
      <c r="G582" s="1">
        <v>9366</v>
      </c>
    </row>
    <row r="583" spans="1:7" x14ac:dyDescent="0.35">
      <c r="A583" s="1" t="str">
        <f t="shared" si="9"/>
        <v>17</v>
      </c>
      <c r="B58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583" s="1" t="s">
        <v>3994</v>
      </c>
      <c r="D583" s="1" t="s">
        <v>544</v>
      </c>
      <c r="E583" s="1" t="s">
        <v>2636</v>
      </c>
      <c r="F583" s="1" t="s">
        <v>112</v>
      </c>
      <c r="G583" s="1">
        <v>9582</v>
      </c>
    </row>
    <row r="584" spans="1:7" x14ac:dyDescent="0.35">
      <c r="A584" s="1" t="str">
        <f t="shared" si="9"/>
        <v>17</v>
      </c>
      <c r="B58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584" s="1" t="s">
        <v>3995</v>
      </c>
      <c r="D584" s="1">
        <v>0</v>
      </c>
      <c r="E584" s="1">
        <v>0</v>
      </c>
      <c r="F584" s="1" t="s">
        <v>112</v>
      </c>
      <c r="G584" s="1">
        <v>0</v>
      </c>
    </row>
    <row r="585" spans="1:7" x14ac:dyDescent="0.35">
      <c r="A585" s="1" t="str">
        <f t="shared" si="9"/>
        <v>17</v>
      </c>
      <c r="B58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585" s="1" t="s">
        <v>3996</v>
      </c>
      <c r="D585" s="1" t="s">
        <v>1857</v>
      </c>
      <c r="E585" s="1" t="s">
        <v>3997</v>
      </c>
      <c r="F585" s="1" t="s">
        <v>112</v>
      </c>
      <c r="G585" s="1">
        <v>186342</v>
      </c>
    </row>
    <row r="586" spans="1:7" x14ac:dyDescent="0.35">
      <c r="A586" s="1" t="str">
        <f t="shared" si="9"/>
        <v>17</v>
      </c>
      <c r="B58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586" s="1" t="s">
        <v>3998</v>
      </c>
      <c r="D586" s="1" t="s">
        <v>1447</v>
      </c>
      <c r="E586" s="1" t="s">
        <v>3999</v>
      </c>
      <c r="F586" s="1" t="s">
        <v>112</v>
      </c>
      <c r="G586" s="1">
        <v>19943</v>
      </c>
    </row>
    <row r="587" spans="1:7" x14ac:dyDescent="0.35">
      <c r="A587" s="1" t="str">
        <f t="shared" si="9"/>
        <v>17</v>
      </c>
      <c r="B58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587" s="1" t="s">
        <v>4000</v>
      </c>
      <c r="D587" s="1" t="s">
        <v>559</v>
      </c>
      <c r="E587" s="1" t="s">
        <v>4001</v>
      </c>
      <c r="F587" s="1" t="s">
        <v>112</v>
      </c>
      <c r="G587" s="1">
        <v>222983</v>
      </c>
    </row>
    <row r="588" spans="1:7" x14ac:dyDescent="0.35">
      <c r="A588" s="1" t="str">
        <f t="shared" si="9"/>
        <v>17</v>
      </c>
      <c r="B58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588" s="1" t="s">
        <v>4002</v>
      </c>
      <c r="D588" s="1" t="s">
        <v>1886</v>
      </c>
      <c r="E588" s="1" t="s">
        <v>4003</v>
      </c>
      <c r="F588" s="1" t="s">
        <v>112</v>
      </c>
      <c r="G588" s="1">
        <v>155000</v>
      </c>
    </row>
    <row r="589" spans="1:7" x14ac:dyDescent="0.35">
      <c r="A589" s="1" t="str">
        <f t="shared" si="9"/>
        <v>17</v>
      </c>
      <c r="B58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589" s="1" t="s">
        <v>4004</v>
      </c>
      <c r="D589" s="1" t="s">
        <v>1167</v>
      </c>
      <c r="E589" s="1" t="s">
        <v>4005</v>
      </c>
      <c r="F589" s="1" t="s">
        <v>112</v>
      </c>
      <c r="G589" s="1">
        <v>35949</v>
      </c>
    </row>
    <row r="590" spans="1:7" x14ac:dyDescent="0.35">
      <c r="A590" s="1" t="str">
        <f t="shared" si="9"/>
        <v>17</v>
      </c>
      <c r="B59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590" s="1" t="s">
        <v>4006</v>
      </c>
      <c r="D590" s="1" t="s">
        <v>1935</v>
      </c>
      <c r="E590" s="1" t="s">
        <v>4007</v>
      </c>
      <c r="F590" s="1" t="s">
        <v>112</v>
      </c>
      <c r="G590" s="1">
        <v>137977</v>
      </c>
    </row>
    <row r="591" spans="1:7" x14ac:dyDescent="0.35">
      <c r="A591" s="1" t="str">
        <f t="shared" si="9"/>
        <v>17</v>
      </c>
      <c r="B59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591" s="1" t="s">
        <v>4008</v>
      </c>
      <c r="D591" s="1" t="s">
        <v>151</v>
      </c>
      <c r="E591" s="1" t="s">
        <v>4009</v>
      </c>
      <c r="F591" s="1" t="s">
        <v>112</v>
      </c>
      <c r="G591" s="1">
        <v>123052</v>
      </c>
    </row>
    <row r="592" spans="1:7" x14ac:dyDescent="0.35">
      <c r="A592" s="1" t="str">
        <f t="shared" si="9"/>
        <v>17</v>
      </c>
      <c r="B59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592" s="1" t="s">
        <v>4010</v>
      </c>
      <c r="D592" s="1" t="s">
        <v>550</v>
      </c>
      <c r="E592" s="1" t="s">
        <v>4011</v>
      </c>
      <c r="F592" s="1" t="s">
        <v>112</v>
      </c>
      <c r="G592" s="1">
        <v>219738</v>
      </c>
    </row>
    <row r="593" spans="1:7" x14ac:dyDescent="0.35">
      <c r="A593" s="1" t="str">
        <f t="shared" si="9"/>
        <v>17</v>
      </c>
      <c r="B59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593" s="1" t="s">
        <v>4012</v>
      </c>
      <c r="D593" s="1" t="s">
        <v>4013</v>
      </c>
      <c r="E593" s="1" t="s">
        <v>4014</v>
      </c>
      <c r="F593" s="1" t="s">
        <v>112</v>
      </c>
      <c r="G593" s="1">
        <v>32250</v>
      </c>
    </row>
    <row r="594" spans="1:7" x14ac:dyDescent="0.35">
      <c r="A594" s="1" t="str">
        <f t="shared" si="9"/>
        <v>17</v>
      </c>
      <c r="B59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594" s="1" t="s">
        <v>4015</v>
      </c>
      <c r="D594" s="1" t="s">
        <v>2010</v>
      </c>
      <c r="E594" s="1" t="s">
        <v>4016</v>
      </c>
      <c r="F594" s="1" t="s">
        <v>112</v>
      </c>
      <c r="G594" s="1">
        <v>299509</v>
      </c>
    </row>
    <row r="595" spans="1:7" x14ac:dyDescent="0.35">
      <c r="A595" s="1" t="str">
        <f t="shared" si="9"/>
        <v>17</v>
      </c>
      <c r="B59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595" s="1" t="s">
        <v>4017</v>
      </c>
      <c r="D595" s="1" t="s">
        <v>4018</v>
      </c>
      <c r="E595" s="1" t="s">
        <v>4019</v>
      </c>
      <c r="F595" s="1" t="s">
        <v>112</v>
      </c>
      <c r="G595" s="1">
        <v>329056</v>
      </c>
    </row>
    <row r="596" spans="1:7" x14ac:dyDescent="0.35">
      <c r="A596" s="1" t="str">
        <f t="shared" si="9"/>
        <v>17</v>
      </c>
      <c r="B59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596" s="1" t="s">
        <v>4020</v>
      </c>
      <c r="D596" s="1" t="s">
        <v>4021</v>
      </c>
      <c r="E596" s="1" t="s">
        <v>4022</v>
      </c>
      <c r="F596" s="1" t="s">
        <v>112</v>
      </c>
      <c r="G596" s="1">
        <v>326914</v>
      </c>
    </row>
    <row r="597" spans="1:7" x14ac:dyDescent="0.35">
      <c r="A597" s="1" t="str">
        <f t="shared" si="9"/>
        <v>17</v>
      </c>
      <c r="B59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597" s="1" t="s">
        <v>4023</v>
      </c>
      <c r="D597" s="1" t="s">
        <v>587</v>
      </c>
      <c r="E597" s="1" t="s">
        <v>4024</v>
      </c>
      <c r="F597" s="1" t="s">
        <v>112</v>
      </c>
      <c r="G597" s="1">
        <v>232521</v>
      </c>
    </row>
    <row r="598" spans="1:7" x14ac:dyDescent="0.35">
      <c r="A598" s="1" t="str">
        <f t="shared" si="9"/>
        <v>17</v>
      </c>
      <c r="B59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598" s="1" t="s">
        <v>4025</v>
      </c>
      <c r="D598" s="1" t="s">
        <v>2328</v>
      </c>
      <c r="E598" s="1" t="s">
        <v>4026</v>
      </c>
      <c r="F598" s="1" t="s">
        <v>112</v>
      </c>
      <c r="G598" s="1">
        <v>329250</v>
      </c>
    </row>
    <row r="599" spans="1:7" x14ac:dyDescent="0.35">
      <c r="A599" s="1" t="str">
        <f t="shared" si="9"/>
        <v>17</v>
      </c>
      <c r="B59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599" s="1" t="s">
        <v>4027</v>
      </c>
      <c r="D599" s="1" t="s">
        <v>538</v>
      </c>
      <c r="E599" s="1" t="s">
        <v>4028</v>
      </c>
      <c r="F599" s="1" t="s">
        <v>112</v>
      </c>
      <c r="G599" s="1">
        <v>169384</v>
      </c>
    </row>
    <row r="600" spans="1:7" x14ac:dyDescent="0.35">
      <c r="A600" s="1" t="str">
        <f t="shared" si="9"/>
        <v>17</v>
      </c>
      <c r="B60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600" s="1" t="s">
        <v>4029</v>
      </c>
      <c r="D600" s="1" t="s">
        <v>518</v>
      </c>
      <c r="E600" s="1" t="s">
        <v>4030</v>
      </c>
      <c r="F600" s="1" t="s">
        <v>112</v>
      </c>
      <c r="G600" s="1">
        <v>142649</v>
      </c>
    </row>
    <row r="601" spans="1:7" x14ac:dyDescent="0.35">
      <c r="A601" s="1" t="str">
        <f t="shared" si="9"/>
        <v>17</v>
      </c>
      <c r="B60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601" s="1" t="s">
        <v>4031</v>
      </c>
      <c r="D601" s="1" t="s">
        <v>3220</v>
      </c>
      <c r="E601" s="1" t="s">
        <v>4032</v>
      </c>
      <c r="F601" s="1" t="s">
        <v>112</v>
      </c>
      <c r="G601" s="1">
        <v>326136</v>
      </c>
    </row>
    <row r="602" spans="1:7" x14ac:dyDescent="0.35">
      <c r="A602" s="1" t="str">
        <f t="shared" si="9"/>
        <v>17</v>
      </c>
      <c r="B60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602" s="1" t="s">
        <v>4033</v>
      </c>
    </row>
    <row r="603" spans="1:7" x14ac:dyDescent="0.35">
      <c r="A603" s="1" t="str">
        <f t="shared" si="9"/>
        <v>17</v>
      </c>
      <c r="B60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603" s="1" t="s">
        <v>4034</v>
      </c>
      <c r="D603" s="1" t="s">
        <v>1623</v>
      </c>
      <c r="E603" s="1" t="s">
        <v>4035</v>
      </c>
      <c r="F603" s="1" t="s">
        <v>112</v>
      </c>
      <c r="G603" s="1">
        <v>68394</v>
      </c>
    </row>
    <row r="604" spans="1:7" x14ac:dyDescent="0.35">
      <c r="A604" s="1" t="str">
        <f t="shared" si="9"/>
        <v>17</v>
      </c>
      <c r="B60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604" s="1" t="s">
        <v>4036</v>
      </c>
    </row>
    <row r="605" spans="1:7" x14ac:dyDescent="0.35">
      <c r="A605" s="1" t="str">
        <f t="shared" si="9"/>
        <v>17</v>
      </c>
      <c r="B60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605" s="1" t="s">
        <v>4037</v>
      </c>
      <c r="D605" s="1">
        <v>0</v>
      </c>
      <c r="E605" s="1">
        <v>0</v>
      </c>
      <c r="F605" s="1" t="s">
        <v>112</v>
      </c>
      <c r="G605" s="1">
        <v>0</v>
      </c>
    </row>
    <row r="606" spans="1:7" x14ac:dyDescent="0.35">
      <c r="A606" s="1" t="str">
        <f t="shared" si="9"/>
        <v>17</v>
      </c>
      <c r="B60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606" s="1" t="s">
        <v>4038</v>
      </c>
      <c r="D606" s="1" t="s">
        <v>4039</v>
      </c>
      <c r="E606" s="1" t="s">
        <v>4040</v>
      </c>
      <c r="F606" s="1" t="s">
        <v>112</v>
      </c>
      <c r="G606" s="1">
        <v>346900</v>
      </c>
    </row>
    <row r="607" spans="1:7" x14ac:dyDescent="0.35">
      <c r="A607" s="1" t="str">
        <f t="shared" si="9"/>
        <v>17</v>
      </c>
      <c r="B60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607" s="1" t="s">
        <v>4041</v>
      </c>
      <c r="D607" s="1" t="s">
        <v>4042</v>
      </c>
      <c r="E607" s="1" t="s">
        <v>4043</v>
      </c>
      <c r="F607" s="1" t="s">
        <v>112</v>
      </c>
      <c r="G607" s="1">
        <v>412179</v>
      </c>
    </row>
    <row r="608" spans="1:7" x14ac:dyDescent="0.35">
      <c r="A608" s="1" t="str">
        <f t="shared" si="9"/>
        <v>17</v>
      </c>
      <c r="B60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608" s="1" t="s">
        <v>4044</v>
      </c>
      <c r="D608" s="1" t="s">
        <v>207</v>
      </c>
      <c r="E608" s="1" t="s">
        <v>4045</v>
      </c>
      <c r="F608" s="1" t="s">
        <v>112</v>
      </c>
      <c r="G608" s="1">
        <v>147105</v>
      </c>
    </row>
    <row r="609" spans="1:8" x14ac:dyDescent="0.35">
      <c r="A609" s="1" t="str">
        <f t="shared" si="9"/>
        <v/>
      </c>
      <c r="B60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609" s="1" t="s">
        <v>112</v>
      </c>
    </row>
    <row r="610" spans="1:8" x14ac:dyDescent="0.35">
      <c r="A610" s="1" t="str">
        <f t="shared" si="9"/>
        <v/>
      </c>
      <c r="B61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610" s="1" t="s">
        <v>226</v>
      </c>
      <c r="D610" s="1" t="s">
        <v>112</v>
      </c>
      <c r="E610" s="1" t="s">
        <v>227</v>
      </c>
      <c r="F610" s="1" t="s">
        <v>228</v>
      </c>
      <c r="G610" s="1" t="s">
        <v>229</v>
      </c>
      <c r="H610" s="1" t="s">
        <v>230</v>
      </c>
    </row>
    <row r="611" spans="1:8" x14ac:dyDescent="0.35">
      <c r="A611" s="1" t="str">
        <f t="shared" si="9"/>
        <v>17</v>
      </c>
      <c r="B61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 xml:space="preserve"> </v>
      </c>
      <c r="C611" s="1" t="s">
        <v>4046</v>
      </c>
      <c r="D611" s="1" t="s">
        <v>112</v>
      </c>
      <c r="E611" s="1" t="s">
        <v>4047</v>
      </c>
      <c r="F611" s="1" t="s">
        <v>4048</v>
      </c>
      <c r="G611" s="1" t="s">
        <v>4049</v>
      </c>
      <c r="H611" s="1" t="s">
        <v>4050</v>
      </c>
    </row>
    <row r="612" spans="1:8" x14ac:dyDescent="0.35">
      <c r="A612" s="1" t="str">
        <f t="shared" si="9"/>
        <v/>
      </c>
      <c r="B61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612" s="1" t="s">
        <v>112</v>
      </c>
    </row>
    <row r="613" spans="1:8" x14ac:dyDescent="0.35">
      <c r="A613" s="1" t="str">
        <f t="shared" si="9"/>
        <v/>
      </c>
      <c r="B61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613" s="1" t="s">
        <v>112</v>
      </c>
    </row>
    <row r="614" spans="1:8" x14ac:dyDescent="0.35">
      <c r="A614" s="1" t="str">
        <f t="shared" si="9"/>
        <v/>
      </c>
      <c r="B61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614" s="1" t="s">
        <v>112</v>
      </c>
    </row>
    <row r="615" spans="1:8" x14ac:dyDescent="0.35">
      <c r="A615" s="1" t="str">
        <f t="shared" si="9"/>
        <v/>
      </c>
      <c r="B61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615" s="1" t="s">
        <v>112</v>
      </c>
    </row>
    <row r="616" spans="1:8" x14ac:dyDescent="0.35">
      <c r="A616" s="1" t="str">
        <f t="shared" si="9"/>
        <v/>
      </c>
      <c r="B61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616" s="1" t="s">
        <v>112</v>
      </c>
    </row>
    <row r="617" spans="1:8" x14ac:dyDescent="0.35">
      <c r="A617" s="1" t="str">
        <f t="shared" si="9"/>
        <v/>
      </c>
      <c r="B61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617" s="1" t="s">
        <v>172</v>
      </c>
      <c r="D617" s="1" t="s">
        <v>110</v>
      </c>
      <c r="E617" s="1" t="s">
        <v>111</v>
      </c>
      <c r="F617" s="1" t="s">
        <v>112</v>
      </c>
      <c r="G617" s="1" t="s">
        <v>113</v>
      </c>
    </row>
    <row r="618" spans="1:8" x14ac:dyDescent="0.35">
      <c r="A618" s="1" t="str">
        <f t="shared" si="9"/>
        <v>18</v>
      </c>
      <c r="B61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618" s="1" t="s">
        <v>4051</v>
      </c>
    </row>
    <row r="619" spans="1:8" x14ac:dyDescent="0.35">
      <c r="A619" s="1" t="str">
        <f t="shared" si="9"/>
        <v>18</v>
      </c>
      <c r="B61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619" s="1" t="s">
        <v>4052</v>
      </c>
      <c r="D619" s="1" t="s">
        <v>2475</v>
      </c>
      <c r="E619" s="1" t="s">
        <v>4053</v>
      </c>
      <c r="F619" s="1" t="s">
        <v>112</v>
      </c>
      <c r="G619" s="1">
        <v>242752</v>
      </c>
    </row>
    <row r="620" spans="1:8" x14ac:dyDescent="0.35">
      <c r="A620" s="1" t="str">
        <f t="shared" si="9"/>
        <v>18</v>
      </c>
      <c r="B62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620" s="1" t="s">
        <v>4054</v>
      </c>
      <c r="D620" s="1" t="s">
        <v>188</v>
      </c>
      <c r="E620" s="1" t="s">
        <v>4055</v>
      </c>
      <c r="F620" s="1" t="s">
        <v>112</v>
      </c>
      <c r="G620" s="1">
        <v>211692</v>
      </c>
    </row>
    <row r="621" spans="1:8" x14ac:dyDescent="0.35">
      <c r="A621" s="1" t="str">
        <f t="shared" si="9"/>
        <v>18</v>
      </c>
      <c r="B62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621" s="1" t="s">
        <v>4056</v>
      </c>
      <c r="D621" s="1" t="s">
        <v>4057</v>
      </c>
      <c r="E621" s="1" t="s">
        <v>4058</v>
      </c>
      <c r="F621" s="1" t="s">
        <v>112</v>
      </c>
      <c r="G621" s="1">
        <v>266177</v>
      </c>
    </row>
    <row r="622" spans="1:8" x14ac:dyDescent="0.35">
      <c r="A622" s="1" t="str">
        <f t="shared" si="9"/>
        <v>18</v>
      </c>
      <c r="B62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622" s="1" t="s">
        <v>4059</v>
      </c>
      <c r="D622" s="1" t="s">
        <v>1102</v>
      </c>
      <c r="E622" s="1" t="s">
        <v>4060</v>
      </c>
      <c r="F622" s="1" t="s">
        <v>112</v>
      </c>
      <c r="G622" s="1">
        <v>200639</v>
      </c>
    </row>
    <row r="623" spans="1:8" x14ac:dyDescent="0.35">
      <c r="A623" s="1" t="str">
        <f t="shared" si="9"/>
        <v>18</v>
      </c>
      <c r="B62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623" s="1" t="s">
        <v>4061</v>
      </c>
      <c r="D623" s="1" t="s">
        <v>638</v>
      </c>
      <c r="E623" s="1" t="s">
        <v>4062</v>
      </c>
      <c r="F623" s="1" t="s">
        <v>112</v>
      </c>
      <c r="G623" s="1">
        <v>106765</v>
      </c>
    </row>
    <row r="624" spans="1:8" x14ac:dyDescent="0.35">
      <c r="A624" s="1" t="str">
        <f t="shared" si="9"/>
        <v>18</v>
      </c>
      <c r="B62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624" s="1" t="s">
        <v>4063</v>
      </c>
      <c r="D624" s="1" t="s">
        <v>2036</v>
      </c>
      <c r="E624" s="1" t="s">
        <v>4064</v>
      </c>
      <c r="F624" s="1" t="s">
        <v>112</v>
      </c>
      <c r="G624" s="1">
        <v>111935</v>
      </c>
    </row>
    <row r="625" spans="1:7" x14ac:dyDescent="0.35">
      <c r="A625" s="1" t="str">
        <f t="shared" si="9"/>
        <v>18</v>
      </c>
      <c r="B62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625" s="1" t="s">
        <v>4065</v>
      </c>
      <c r="D625" s="1" t="s">
        <v>4066</v>
      </c>
      <c r="E625" s="1" t="s">
        <v>4067</v>
      </c>
      <c r="F625" s="1" t="s">
        <v>112</v>
      </c>
      <c r="G625" s="1">
        <v>146240</v>
      </c>
    </row>
    <row r="626" spans="1:7" x14ac:dyDescent="0.35">
      <c r="A626" s="1" t="str">
        <f t="shared" si="9"/>
        <v>18</v>
      </c>
      <c r="B62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626" s="1" t="s">
        <v>4068</v>
      </c>
      <c r="D626" s="1" t="s">
        <v>978</v>
      </c>
      <c r="E626" s="1" t="s">
        <v>4069</v>
      </c>
      <c r="F626" s="1" t="s">
        <v>112</v>
      </c>
      <c r="G626" s="1">
        <v>280994</v>
      </c>
    </row>
    <row r="627" spans="1:7" x14ac:dyDescent="0.35">
      <c r="A627" s="1" t="str">
        <f t="shared" si="9"/>
        <v>18</v>
      </c>
      <c r="B62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627" s="1" t="s">
        <v>4070</v>
      </c>
      <c r="D627" s="1" t="s">
        <v>4071</v>
      </c>
      <c r="E627" s="1" t="s">
        <v>4072</v>
      </c>
      <c r="F627" s="1" t="s">
        <v>112</v>
      </c>
      <c r="G627" s="1">
        <v>291073</v>
      </c>
    </row>
    <row r="628" spans="1:7" x14ac:dyDescent="0.35">
      <c r="A628" s="1" t="str">
        <f t="shared" si="9"/>
        <v>18</v>
      </c>
      <c r="B62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628" s="1" t="s">
        <v>4073</v>
      </c>
      <c r="D628" s="1" t="s">
        <v>4074</v>
      </c>
      <c r="E628" s="1" t="s">
        <v>1121</v>
      </c>
      <c r="F628" s="1" t="s">
        <v>112</v>
      </c>
      <c r="G628" s="1">
        <v>89526</v>
      </c>
    </row>
    <row r="629" spans="1:7" x14ac:dyDescent="0.35">
      <c r="A629" s="1" t="str">
        <f t="shared" si="9"/>
        <v>18</v>
      </c>
      <c r="B62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629" s="1" t="s">
        <v>4075</v>
      </c>
      <c r="D629" s="1" t="s">
        <v>2063</v>
      </c>
      <c r="E629" s="1" t="s">
        <v>4076</v>
      </c>
      <c r="F629" s="1" t="s">
        <v>112</v>
      </c>
      <c r="G629" s="1">
        <v>132721</v>
      </c>
    </row>
    <row r="630" spans="1:7" x14ac:dyDescent="0.35">
      <c r="A630" s="1" t="str">
        <f t="shared" si="9"/>
        <v>18</v>
      </c>
      <c r="B63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630" s="1" t="s">
        <v>4077</v>
      </c>
      <c r="D630" s="1" t="s">
        <v>2546</v>
      </c>
      <c r="E630" s="1" t="s">
        <v>4078</v>
      </c>
      <c r="F630" s="1" t="s">
        <v>112</v>
      </c>
      <c r="G630" s="1">
        <v>238297</v>
      </c>
    </row>
    <row r="631" spans="1:7" x14ac:dyDescent="0.35">
      <c r="A631" s="1" t="str">
        <f t="shared" si="9"/>
        <v>18</v>
      </c>
      <c r="B63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631" s="1" t="s">
        <v>4079</v>
      </c>
      <c r="D631" s="1" t="s">
        <v>4080</v>
      </c>
      <c r="E631" s="1" t="s">
        <v>4081</v>
      </c>
      <c r="F631" s="1" t="s">
        <v>112</v>
      </c>
      <c r="G631" s="1">
        <v>178252</v>
      </c>
    </row>
    <row r="632" spans="1:7" x14ac:dyDescent="0.35">
      <c r="A632" s="1" t="str">
        <f t="shared" si="9"/>
        <v>18</v>
      </c>
      <c r="B63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632" s="1" t="s">
        <v>4082</v>
      </c>
      <c r="D632" s="1" t="s">
        <v>556</v>
      </c>
      <c r="E632" s="1" t="s">
        <v>4083</v>
      </c>
      <c r="F632" s="1" t="s">
        <v>112</v>
      </c>
      <c r="G632" s="1">
        <v>162138</v>
      </c>
    </row>
    <row r="633" spans="1:7" x14ac:dyDescent="0.35">
      <c r="A633" s="1" t="str">
        <f t="shared" si="9"/>
        <v>18</v>
      </c>
      <c r="B63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633" s="1" t="s">
        <v>4084</v>
      </c>
      <c r="D633" s="1" t="s">
        <v>4085</v>
      </c>
      <c r="E633" s="1" t="s">
        <v>4086</v>
      </c>
      <c r="F633" s="1" t="s">
        <v>112</v>
      </c>
      <c r="G633" s="1">
        <v>236458</v>
      </c>
    </row>
    <row r="634" spans="1:7" x14ac:dyDescent="0.35">
      <c r="A634" s="1" t="str">
        <f t="shared" si="9"/>
        <v>18</v>
      </c>
      <c r="B63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634" s="1" t="s">
        <v>4087</v>
      </c>
      <c r="D634" s="1" t="s">
        <v>580</v>
      </c>
      <c r="E634" s="1" t="s">
        <v>4088</v>
      </c>
      <c r="F634" s="1" t="s">
        <v>112</v>
      </c>
      <c r="G634" s="1">
        <v>4045</v>
      </c>
    </row>
    <row r="635" spans="1:7" x14ac:dyDescent="0.35">
      <c r="A635" s="1" t="str">
        <f t="shared" si="9"/>
        <v>18</v>
      </c>
      <c r="B63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635" s="1" t="s">
        <v>4089</v>
      </c>
      <c r="D635" s="1" t="s">
        <v>988</v>
      </c>
      <c r="E635" s="1" t="s">
        <v>4090</v>
      </c>
      <c r="F635" s="1" t="s">
        <v>112</v>
      </c>
      <c r="G635" s="1">
        <v>13605</v>
      </c>
    </row>
    <row r="636" spans="1:7" x14ac:dyDescent="0.35">
      <c r="A636" s="1" t="str">
        <f t="shared" si="9"/>
        <v>18</v>
      </c>
      <c r="B63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636" s="1" t="s">
        <v>4091</v>
      </c>
      <c r="D636" s="1" t="s">
        <v>991</v>
      </c>
      <c r="E636" s="1" t="s">
        <v>4092</v>
      </c>
      <c r="F636" s="1" t="s">
        <v>112</v>
      </c>
      <c r="G636" s="1">
        <v>8025</v>
      </c>
    </row>
    <row r="637" spans="1:7" x14ac:dyDescent="0.35">
      <c r="A637" s="1" t="str">
        <f t="shared" si="9"/>
        <v>18</v>
      </c>
      <c r="B63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637" s="1" t="s">
        <v>4093</v>
      </c>
      <c r="D637" s="1" t="s">
        <v>215</v>
      </c>
      <c r="E637" s="1">
        <v>30</v>
      </c>
      <c r="F637" s="1" t="s">
        <v>112</v>
      </c>
      <c r="G637" s="1">
        <v>649</v>
      </c>
    </row>
    <row r="638" spans="1:7" x14ac:dyDescent="0.35">
      <c r="A638" s="1" t="str">
        <f t="shared" si="9"/>
        <v>18</v>
      </c>
      <c r="B63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638" s="1" t="s">
        <v>4094</v>
      </c>
      <c r="D638" s="1" t="s">
        <v>3819</v>
      </c>
      <c r="E638" s="1" t="s">
        <v>4095</v>
      </c>
      <c r="F638" s="1" t="s">
        <v>112</v>
      </c>
      <c r="G638" s="1">
        <v>279956</v>
      </c>
    </row>
    <row r="639" spans="1:7" x14ac:dyDescent="0.35">
      <c r="A639" s="1" t="str">
        <f t="shared" si="9"/>
        <v>18</v>
      </c>
      <c r="B63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639" s="1" t="s">
        <v>4096</v>
      </c>
      <c r="D639" s="1" t="s">
        <v>1039</v>
      </c>
      <c r="E639" s="1" t="s">
        <v>4097</v>
      </c>
      <c r="F639" s="1" t="s">
        <v>112</v>
      </c>
      <c r="G639" s="1">
        <v>253870</v>
      </c>
    </row>
    <row r="640" spans="1:7" x14ac:dyDescent="0.35">
      <c r="A640" s="1" t="str">
        <f t="shared" si="9"/>
        <v>18</v>
      </c>
      <c r="B64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640" s="1" t="s">
        <v>4098</v>
      </c>
      <c r="D640" s="1" t="s">
        <v>568</v>
      </c>
      <c r="E640" s="1" t="s">
        <v>4099</v>
      </c>
      <c r="F640" s="1" t="s">
        <v>112</v>
      </c>
      <c r="G640" s="1">
        <v>247641</v>
      </c>
    </row>
    <row r="641" spans="1:8" x14ac:dyDescent="0.35">
      <c r="A641" s="1" t="str">
        <f t="shared" si="9"/>
        <v>18</v>
      </c>
      <c r="B64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641" s="1" t="s">
        <v>4100</v>
      </c>
    </row>
    <row r="642" spans="1:8" x14ac:dyDescent="0.35">
      <c r="A642" s="1" t="str">
        <f t="shared" ref="A642:A705" si="10">IFERROR(LEFT(RIGHT(C642,LEN(C642)-SEARCH("@",C642)),SEARCH("/",RIGHT(C642,LEN(C642)-SEARCH("@",C642)-1))),"")</f>
        <v>18</v>
      </c>
      <c r="B64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642" s="1" t="s">
        <v>4101</v>
      </c>
    </row>
    <row r="643" spans="1:8" x14ac:dyDescent="0.35">
      <c r="A643" s="1" t="str">
        <f t="shared" si="10"/>
        <v>18</v>
      </c>
      <c r="B64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643" s="1" t="s">
        <v>4102</v>
      </c>
      <c r="D643" s="1" t="s">
        <v>4103</v>
      </c>
      <c r="E643" s="1" t="s">
        <v>4104</v>
      </c>
      <c r="F643" s="1" t="s">
        <v>112</v>
      </c>
      <c r="G643" s="1">
        <v>342444</v>
      </c>
    </row>
    <row r="644" spans="1:8" x14ac:dyDescent="0.35">
      <c r="A644" s="1" t="str">
        <f t="shared" si="10"/>
        <v>18</v>
      </c>
      <c r="B64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644" s="1" t="s">
        <v>4105</v>
      </c>
      <c r="D644" s="1" t="s">
        <v>1093</v>
      </c>
      <c r="E644" s="1" t="s">
        <v>4106</v>
      </c>
      <c r="F644" s="1" t="s">
        <v>112</v>
      </c>
      <c r="G644" s="1">
        <v>111307</v>
      </c>
    </row>
    <row r="645" spans="1:8" x14ac:dyDescent="0.35">
      <c r="A645" s="1" t="str">
        <f t="shared" si="10"/>
        <v>18</v>
      </c>
      <c r="B64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645" s="1" t="s">
        <v>4107</v>
      </c>
      <c r="D645" s="1" t="s">
        <v>1402</v>
      </c>
      <c r="E645" s="1" t="s">
        <v>4108</v>
      </c>
      <c r="F645" s="1" t="s">
        <v>112</v>
      </c>
      <c r="G645" s="1">
        <v>214136</v>
      </c>
    </row>
    <row r="646" spans="1:8" x14ac:dyDescent="0.35">
      <c r="A646" s="1" t="str">
        <f t="shared" si="10"/>
        <v>18</v>
      </c>
      <c r="B64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646" s="1" t="s">
        <v>4109</v>
      </c>
      <c r="D646" s="1" t="s">
        <v>4110</v>
      </c>
      <c r="E646" s="1" t="s">
        <v>4111</v>
      </c>
      <c r="F646" s="1" t="s">
        <v>112</v>
      </c>
      <c r="G646" s="1">
        <v>328277</v>
      </c>
    </row>
    <row r="647" spans="1:8" x14ac:dyDescent="0.35">
      <c r="A647" s="1" t="str">
        <f t="shared" si="10"/>
        <v>18</v>
      </c>
      <c r="B64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647" s="1" t="s">
        <v>4112</v>
      </c>
      <c r="D647" s="1" t="s">
        <v>1982</v>
      </c>
      <c r="E647" s="1">
        <v>37</v>
      </c>
      <c r="F647" s="1" t="s">
        <v>112</v>
      </c>
      <c r="G647" s="1">
        <v>364139</v>
      </c>
    </row>
    <row r="648" spans="1:8" x14ac:dyDescent="0.35">
      <c r="A648" s="1" t="str">
        <f t="shared" si="10"/>
        <v>18</v>
      </c>
      <c r="B64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648" s="1" t="s">
        <v>4113</v>
      </c>
      <c r="D648" s="1" t="s">
        <v>2718</v>
      </c>
      <c r="E648" s="1" t="s">
        <v>4114</v>
      </c>
      <c r="F648" s="1" t="s">
        <v>112</v>
      </c>
      <c r="G648" s="1">
        <v>463594</v>
      </c>
    </row>
    <row r="649" spans="1:8" x14ac:dyDescent="0.35">
      <c r="A649" s="1" t="str">
        <f t="shared" si="10"/>
        <v>18</v>
      </c>
      <c r="B64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649" s="1" t="s">
        <v>4115</v>
      </c>
      <c r="D649" s="1" t="s">
        <v>556</v>
      </c>
      <c r="E649" s="1" t="s">
        <v>698</v>
      </c>
      <c r="F649" s="1" t="s">
        <v>112</v>
      </c>
      <c r="G649" s="1">
        <v>163825</v>
      </c>
    </row>
    <row r="650" spans="1:8" x14ac:dyDescent="0.35">
      <c r="A650" s="1" t="str">
        <f t="shared" si="10"/>
        <v/>
      </c>
      <c r="B65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650" s="1" t="s">
        <v>112</v>
      </c>
    </row>
    <row r="651" spans="1:8" x14ac:dyDescent="0.35">
      <c r="A651" s="1" t="str">
        <f t="shared" si="10"/>
        <v/>
      </c>
      <c r="B65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651" s="1" t="s">
        <v>226</v>
      </c>
      <c r="D651" s="1" t="s">
        <v>112</v>
      </c>
      <c r="E651" s="1" t="s">
        <v>227</v>
      </c>
      <c r="F651" s="1" t="s">
        <v>228</v>
      </c>
      <c r="G651" s="1" t="s">
        <v>229</v>
      </c>
      <c r="H651" s="1" t="s">
        <v>230</v>
      </c>
    </row>
    <row r="652" spans="1:8" x14ac:dyDescent="0.35">
      <c r="A652" s="1" t="str">
        <f t="shared" si="10"/>
        <v>18</v>
      </c>
      <c r="B65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 xml:space="preserve"> </v>
      </c>
      <c r="C652" s="1" t="s">
        <v>4116</v>
      </c>
      <c r="D652" s="1" t="s">
        <v>112</v>
      </c>
      <c r="E652" s="1" t="s">
        <v>4117</v>
      </c>
      <c r="F652" s="1" t="s">
        <v>4118</v>
      </c>
      <c r="G652" s="1" t="s">
        <v>4119</v>
      </c>
      <c r="H652" s="1" t="s">
        <v>4120</v>
      </c>
    </row>
    <row r="653" spans="1:8" x14ac:dyDescent="0.35">
      <c r="A653" s="1" t="str">
        <f t="shared" si="10"/>
        <v/>
      </c>
      <c r="B65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653" s="1" t="s">
        <v>112</v>
      </c>
    </row>
    <row r="654" spans="1:8" x14ac:dyDescent="0.35">
      <c r="A654" s="1" t="str">
        <f t="shared" si="10"/>
        <v/>
      </c>
      <c r="B65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654" s="1" t="s">
        <v>112</v>
      </c>
    </row>
    <row r="655" spans="1:8" x14ac:dyDescent="0.35">
      <c r="A655" s="1" t="str">
        <f t="shared" si="10"/>
        <v/>
      </c>
      <c r="B65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655" s="1" t="s">
        <v>112</v>
      </c>
    </row>
    <row r="656" spans="1:8" x14ac:dyDescent="0.35">
      <c r="A656" s="1" t="str">
        <f t="shared" si="10"/>
        <v/>
      </c>
      <c r="B65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656" s="1" t="s">
        <v>112</v>
      </c>
    </row>
    <row r="657" spans="1:7" x14ac:dyDescent="0.35">
      <c r="A657" s="1" t="str">
        <f t="shared" si="10"/>
        <v/>
      </c>
      <c r="B65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657" s="1" t="s">
        <v>112</v>
      </c>
    </row>
    <row r="658" spans="1:7" x14ac:dyDescent="0.35">
      <c r="A658" s="1" t="str">
        <f t="shared" si="10"/>
        <v/>
      </c>
      <c r="B65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658" s="1" t="s">
        <v>172</v>
      </c>
      <c r="D658" s="1" t="s">
        <v>110</v>
      </c>
      <c r="E658" s="1" t="s">
        <v>111</v>
      </c>
      <c r="F658" s="1" t="s">
        <v>112</v>
      </c>
      <c r="G658" s="1" t="s">
        <v>113</v>
      </c>
    </row>
    <row r="659" spans="1:7" x14ac:dyDescent="0.35">
      <c r="A659" s="1" t="str">
        <f t="shared" si="10"/>
        <v>19</v>
      </c>
      <c r="B65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659" s="1" t="s">
        <v>4121</v>
      </c>
      <c r="D659" s="1">
        <v>0</v>
      </c>
      <c r="E659" s="1">
        <v>0</v>
      </c>
      <c r="F659" s="1" t="s">
        <v>112</v>
      </c>
      <c r="G659" s="1">
        <v>0</v>
      </c>
    </row>
    <row r="660" spans="1:7" x14ac:dyDescent="0.35">
      <c r="A660" s="1" t="str">
        <f t="shared" si="10"/>
        <v>19</v>
      </c>
      <c r="B66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660" s="1" t="s">
        <v>4122</v>
      </c>
      <c r="D660" s="1" t="s">
        <v>4123</v>
      </c>
      <c r="E660" s="1" t="s">
        <v>4124</v>
      </c>
      <c r="F660" s="1" t="s">
        <v>112</v>
      </c>
      <c r="G660" s="1">
        <v>176327</v>
      </c>
    </row>
    <row r="661" spans="1:7" x14ac:dyDescent="0.35">
      <c r="A661" s="1" t="str">
        <f t="shared" si="10"/>
        <v>19</v>
      </c>
      <c r="B66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661" s="1" t="s">
        <v>4125</v>
      </c>
      <c r="D661" s="1" t="s">
        <v>4126</v>
      </c>
      <c r="E661" s="1" t="s">
        <v>4127</v>
      </c>
      <c r="F661" s="1" t="s">
        <v>112</v>
      </c>
      <c r="G661" s="1">
        <v>22625</v>
      </c>
    </row>
    <row r="662" spans="1:7" x14ac:dyDescent="0.35">
      <c r="A662" s="1" t="str">
        <f t="shared" si="10"/>
        <v>19</v>
      </c>
      <c r="B66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662" s="1" t="s">
        <v>4128</v>
      </c>
    </row>
    <row r="663" spans="1:7" x14ac:dyDescent="0.35">
      <c r="A663" s="1" t="str">
        <f t="shared" si="10"/>
        <v>19</v>
      </c>
      <c r="B66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663" s="1" t="s">
        <v>4129</v>
      </c>
      <c r="D663" s="1" t="s">
        <v>623</v>
      </c>
      <c r="E663" s="1">
        <v>33</v>
      </c>
      <c r="F663" s="1" t="s">
        <v>112</v>
      </c>
      <c r="G663" s="1">
        <v>52106</v>
      </c>
    </row>
    <row r="664" spans="1:7" x14ac:dyDescent="0.35">
      <c r="A664" s="1" t="str">
        <f t="shared" si="10"/>
        <v>19</v>
      </c>
      <c r="B66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664" s="1" t="s">
        <v>4130</v>
      </c>
      <c r="D664" s="1" t="s">
        <v>1015</v>
      </c>
      <c r="E664" s="1" t="s">
        <v>4131</v>
      </c>
      <c r="F664" s="1" t="s">
        <v>112</v>
      </c>
      <c r="G664" s="1">
        <v>11118</v>
      </c>
    </row>
    <row r="665" spans="1:7" x14ac:dyDescent="0.35">
      <c r="A665" s="1" t="str">
        <f t="shared" si="10"/>
        <v>19</v>
      </c>
      <c r="B66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665" s="1" t="s">
        <v>4132</v>
      </c>
      <c r="D665" s="1">
        <v>0</v>
      </c>
      <c r="E665" s="1">
        <v>0</v>
      </c>
      <c r="F665" s="1" t="s">
        <v>112</v>
      </c>
      <c r="G665" s="1">
        <v>0</v>
      </c>
    </row>
    <row r="666" spans="1:7" x14ac:dyDescent="0.35">
      <c r="A666" s="1" t="str">
        <f t="shared" si="10"/>
        <v>19</v>
      </c>
      <c r="B66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666" s="1" t="s">
        <v>4133</v>
      </c>
      <c r="D666" s="1" t="s">
        <v>462</v>
      </c>
      <c r="E666" s="1" t="s">
        <v>4134</v>
      </c>
      <c r="F666" s="1" t="s">
        <v>112</v>
      </c>
      <c r="G666" s="1">
        <v>7116</v>
      </c>
    </row>
    <row r="667" spans="1:7" x14ac:dyDescent="0.35">
      <c r="A667" s="1" t="str">
        <f t="shared" si="10"/>
        <v>19</v>
      </c>
      <c r="B66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667" s="1" t="s">
        <v>4135</v>
      </c>
      <c r="D667" s="1" t="s">
        <v>626</v>
      </c>
      <c r="E667" s="1" t="s">
        <v>4136</v>
      </c>
      <c r="F667" s="1" t="s">
        <v>112</v>
      </c>
      <c r="G667" s="1">
        <v>196097</v>
      </c>
    </row>
    <row r="668" spans="1:7" x14ac:dyDescent="0.35">
      <c r="A668" s="1" t="str">
        <f t="shared" si="10"/>
        <v>19</v>
      </c>
      <c r="B66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668" s="1" t="s">
        <v>4137</v>
      </c>
      <c r="D668" s="1" t="s">
        <v>1107</v>
      </c>
      <c r="E668" s="1" t="s">
        <v>4138</v>
      </c>
      <c r="F668" s="1" t="s">
        <v>112</v>
      </c>
      <c r="G668" s="1">
        <v>217034</v>
      </c>
    </row>
    <row r="669" spans="1:7" x14ac:dyDescent="0.35">
      <c r="A669" s="1" t="str">
        <f t="shared" si="10"/>
        <v>19</v>
      </c>
      <c r="B66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669" s="1" t="s">
        <v>4139</v>
      </c>
      <c r="D669" s="1" t="s">
        <v>149</v>
      </c>
      <c r="E669" s="1" t="s">
        <v>4140</v>
      </c>
      <c r="F669" s="1" t="s">
        <v>112</v>
      </c>
      <c r="G669" s="1">
        <v>175267</v>
      </c>
    </row>
    <row r="670" spans="1:7" x14ac:dyDescent="0.35">
      <c r="A670" s="1" t="str">
        <f t="shared" si="10"/>
        <v>19</v>
      </c>
      <c r="B67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670" s="1" t="s">
        <v>4141</v>
      </c>
      <c r="D670" s="1" t="s">
        <v>1219</v>
      </c>
      <c r="E670" s="1" t="s">
        <v>4142</v>
      </c>
      <c r="F670" s="1" t="s">
        <v>112</v>
      </c>
      <c r="G670" s="1">
        <v>268622</v>
      </c>
    </row>
    <row r="671" spans="1:7" x14ac:dyDescent="0.35">
      <c r="A671" s="1" t="str">
        <f t="shared" si="10"/>
        <v>19</v>
      </c>
      <c r="B67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671" s="1" t="s">
        <v>4143</v>
      </c>
      <c r="D671" s="1" t="s">
        <v>1294</v>
      </c>
      <c r="E671" s="1" t="s">
        <v>4144</v>
      </c>
      <c r="F671" s="1" t="s">
        <v>112</v>
      </c>
      <c r="G671" s="1">
        <v>113341</v>
      </c>
    </row>
    <row r="672" spans="1:7" x14ac:dyDescent="0.35">
      <c r="A672" s="1" t="str">
        <f t="shared" si="10"/>
        <v>19</v>
      </c>
      <c r="B67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672" s="1" t="s">
        <v>4145</v>
      </c>
      <c r="D672" s="1" t="s">
        <v>3845</v>
      </c>
      <c r="E672" s="1" t="s">
        <v>4146</v>
      </c>
      <c r="F672" s="1" t="s">
        <v>112</v>
      </c>
      <c r="G672" s="1">
        <v>207734</v>
      </c>
    </row>
    <row r="673" spans="1:7" x14ac:dyDescent="0.35">
      <c r="A673" s="1" t="str">
        <f t="shared" si="10"/>
        <v>19</v>
      </c>
      <c r="B67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673" s="1" t="s">
        <v>4147</v>
      </c>
      <c r="D673" s="1" t="s">
        <v>4148</v>
      </c>
      <c r="E673" s="1" t="s">
        <v>4149</v>
      </c>
      <c r="F673" s="1" t="s">
        <v>112</v>
      </c>
      <c r="G673" s="1">
        <v>94371</v>
      </c>
    </row>
    <row r="674" spans="1:7" x14ac:dyDescent="0.35">
      <c r="A674" s="1" t="str">
        <f t="shared" si="10"/>
        <v>19</v>
      </c>
      <c r="B67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674" s="1" t="s">
        <v>4150</v>
      </c>
      <c r="D674" s="1" t="s">
        <v>4151</v>
      </c>
      <c r="E674" s="1" t="s">
        <v>4152</v>
      </c>
      <c r="F674" s="1" t="s">
        <v>112</v>
      </c>
      <c r="G674" s="1">
        <v>266718</v>
      </c>
    </row>
    <row r="675" spans="1:7" x14ac:dyDescent="0.35">
      <c r="A675" s="1" t="str">
        <f t="shared" si="10"/>
        <v>19</v>
      </c>
      <c r="B67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675" s="1" t="s">
        <v>4153</v>
      </c>
      <c r="D675" s="1" t="s">
        <v>4154</v>
      </c>
      <c r="E675" s="1" t="s">
        <v>4155</v>
      </c>
      <c r="F675" s="1" t="s">
        <v>112</v>
      </c>
      <c r="G675" s="1">
        <v>618009</v>
      </c>
    </row>
    <row r="676" spans="1:7" x14ac:dyDescent="0.35">
      <c r="A676" s="1" t="str">
        <f t="shared" si="10"/>
        <v>19</v>
      </c>
      <c r="B67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676" s="1" t="s">
        <v>4156</v>
      </c>
      <c r="D676" s="1" t="s">
        <v>1261</v>
      </c>
      <c r="E676" s="1" t="s">
        <v>4157</v>
      </c>
      <c r="F676" s="1" t="s">
        <v>112</v>
      </c>
      <c r="G676" s="1">
        <v>346230</v>
      </c>
    </row>
    <row r="677" spans="1:7" x14ac:dyDescent="0.35">
      <c r="A677" s="1" t="str">
        <f t="shared" si="10"/>
        <v>19</v>
      </c>
      <c r="B67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677" s="1" t="s">
        <v>4158</v>
      </c>
      <c r="D677" s="1" t="s">
        <v>2631</v>
      </c>
      <c r="E677" s="1" t="s">
        <v>4159</v>
      </c>
      <c r="F677" s="1" t="s">
        <v>112</v>
      </c>
      <c r="G677" s="1">
        <v>39496</v>
      </c>
    </row>
    <row r="678" spans="1:7" x14ac:dyDescent="0.35">
      <c r="A678" s="1" t="str">
        <f t="shared" si="10"/>
        <v>19</v>
      </c>
      <c r="B67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678" s="1" t="s">
        <v>4160</v>
      </c>
      <c r="D678" s="1" t="s">
        <v>1434</v>
      </c>
      <c r="E678" s="1" t="s">
        <v>4161</v>
      </c>
      <c r="F678" s="1" t="s">
        <v>112</v>
      </c>
      <c r="G678" s="1">
        <v>315234</v>
      </c>
    </row>
    <row r="679" spans="1:7" x14ac:dyDescent="0.35">
      <c r="A679" s="1" t="str">
        <f t="shared" si="10"/>
        <v>19</v>
      </c>
      <c r="B67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679" s="1" t="s">
        <v>4162</v>
      </c>
      <c r="D679" s="1" t="s">
        <v>1258</v>
      </c>
      <c r="E679" s="1" t="s">
        <v>4163</v>
      </c>
      <c r="F679" s="1" t="s">
        <v>112</v>
      </c>
      <c r="G679" s="1">
        <v>398228</v>
      </c>
    </row>
    <row r="680" spans="1:7" x14ac:dyDescent="0.35">
      <c r="A680" s="1" t="str">
        <f t="shared" si="10"/>
        <v>19</v>
      </c>
      <c r="B68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680" s="1" t="s">
        <v>4164</v>
      </c>
      <c r="D680" s="1" t="s">
        <v>1273</v>
      </c>
      <c r="E680" s="1" t="s">
        <v>4165</v>
      </c>
      <c r="F680" s="1" t="s">
        <v>112</v>
      </c>
      <c r="G680" s="1">
        <v>401235</v>
      </c>
    </row>
    <row r="681" spans="1:7" x14ac:dyDescent="0.35">
      <c r="A681" s="1" t="str">
        <f t="shared" si="10"/>
        <v>19</v>
      </c>
      <c r="B68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681" s="1" t="s">
        <v>4166</v>
      </c>
      <c r="D681" s="1" t="s">
        <v>4167</v>
      </c>
      <c r="E681" s="1" t="s">
        <v>4168</v>
      </c>
      <c r="F681" s="1" t="s">
        <v>112</v>
      </c>
      <c r="G681" s="1">
        <v>316013</v>
      </c>
    </row>
    <row r="682" spans="1:7" x14ac:dyDescent="0.35">
      <c r="A682" s="1" t="str">
        <f t="shared" si="10"/>
        <v>19</v>
      </c>
      <c r="B68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682" s="1" t="s">
        <v>4169</v>
      </c>
      <c r="D682" s="1" t="s">
        <v>3330</v>
      </c>
      <c r="E682" s="1" t="s">
        <v>4170</v>
      </c>
      <c r="F682" s="1" t="s">
        <v>112</v>
      </c>
      <c r="G682" s="1">
        <v>382330</v>
      </c>
    </row>
    <row r="683" spans="1:7" x14ac:dyDescent="0.35">
      <c r="A683" s="1" t="str">
        <f t="shared" si="10"/>
        <v>19</v>
      </c>
      <c r="B68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683" s="1" t="s">
        <v>4171</v>
      </c>
      <c r="D683" s="1" t="s">
        <v>2010</v>
      </c>
      <c r="E683" s="1" t="s">
        <v>4172</v>
      </c>
      <c r="F683" s="1" t="s">
        <v>112</v>
      </c>
      <c r="G683" s="1">
        <v>272666</v>
      </c>
    </row>
    <row r="684" spans="1:7" x14ac:dyDescent="0.35">
      <c r="A684" s="1" t="str">
        <f t="shared" si="10"/>
        <v>19</v>
      </c>
      <c r="B68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684" s="1" t="s">
        <v>4173</v>
      </c>
      <c r="D684" s="1" t="s">
        <v>4174</v>
      </c>
      <c r="E684" s="1" t="s">
        <v>4175</v>
      </c>
      <c r="F684" s="1" t="s">
        <v>112</v>
      </c>
      <c r="G684" s="1">
        <v>209356</v>
      </c>
    </row>
    <row r="685" spans="1:7" x14ac:dyDescent="0.35">
      <c r="A685" s="1" t="str">
        <f t="shared" si="10"/>
        <v>19</v>
      </c>
      <c r="B68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685" s="1" t="s">
        <v>4176</v>
      </c>
      <c r="D685" s="1" t="s">
        <v>518</v>
      </c>
      <c r="E685" s="1" t="s">
        <v>4177</v>
      </c>
      <c r="F685" s="1" t="s">
        <v>112</v>
      </c>
      <c r="G685" s="1">
        <v>154913</v>
      </c>
    </row>
    <row r="686" spans="1:7" x14ac:dyDescent="0.35">
      <c r="A686" s="1" t="str">
        <f t="shared" si="10"/>
        <v>19</v>
      </c>
      <c r="B68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686" s="1" t="s">
        <v>4178</v>
      </c>
      <c r="D686" s="1" t="s">
        <v>4179</v>
      </c>
      <c r="E686" s="1" t="s">
        <v>4180</v>
      </c>
      <c r="F686" s="1" t="s">
        <v>112</v>
      </c>
      <c r="G686" s="1">
        <v>69843</v>
      </c>
    </row>
    <row r="687" spans="1:7" x14ac:dyDescent="0.35">
      <c r="A687" s="1" t="str">
        <f t="shared" si="10"/>
        <v>19</v>
      </c>
      <c r="B68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687" s="1" t="s">
        <v>4181</v>
      </c>
      <c r="D687" s="1" t="s">
        <v>4182</v>
      </c>
      <c r="E687" s="1" t="s">
        <v>4183</v>
      </c>
      <c r="F687" s="1" t="s">
        <v>112</v>
      </c>
      <c r="G687" s="1">
        <v>497877</v>
      </c>
    </row>
    <row r="688" spans="1:7" x14ac:dyDescent="0.35">
      <c r="A688" s="1" t="str">
        <f t="shared" si="10"/>
        <v>19</v>
      </c>
      <c r="B68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688" s="1" t="s">
        <v>4184</v>
      </c>
      <c r="D688" s="1" t="s">
        <v>4185</v>
      </c>
      <c r="E688" s="1" t="s">
        <v>4186</v>
      </c>
      <c r="F688" s="1" t="s">
        <v>112</v>
      </c>
      <c r="G688" s="1">
        <v>500235</v>
      </c>
    </row>
    <row r="689" spans="1:8" x14ac:dyDescent="0.35">
      <c r="A689" s="1" t="str">
        <f t="shared" si="10"/>
        <v>19</v>
      </c>
      <c r="B68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689" s="1" t="s">
        <v>4187</v>
      </c>
      <c r="D689" s="1" t="s">
        <v>2328</v>
      </c>
      <c r="E689" s="1" t="s">
        <v>4188</v>
      </c>
      <c r="F689" s="1" t="s">
        <v>112</v>
      </c>
      <c r="G689" s="1">
        <v>391133</v>
      </c>
    </row>
    <row r="690" spans="1:8" x14ac:dyDescent="0.35">
      <c r="A690" s="1" t="str">
        <f t="shared" si="10"/>
        <v>19</v>
      </c>
      <c r="B69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690" s="1" t="s">
        <v>4189</v>
      </c>
      <c r="D690" s="1" t="s">
        <v>2967</v>
      </c>
      <c r="E690" s="1" t="s">
        <v>4190</v>
      </c>
      <c r="F690" s="1" t="s">
        <v>112</v>
      </c>
      <c r="G690" s="1">
        <v>445230</v>
      </c>
    </row>
    <row r="691" spans="1:8" x14ac:dyDescent="0.35">
      <c r="A691" s="1" t="str">
        <f t="shared" si="10"/>
        <v/>
      </c>
      <c r="B69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691" s="1" t="s">
        <v>112</v>
      </c>
    </row>
    <row r="692" spans="1:8" x14ac:dyDescent="0.35">
      <c r="A692" s="1" t="str">
        <f t="shared" si="10"/>
        <v/>
      </c>
      <c r="B69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692" s="1" t="s">
        <v>226</v>
      </c>
      <c r="D692" s="1" t="s">
        <v>112</v>
      </c>
      <c r="E692" s="1" t="s">
        <v>227</v>
      </c>
      <c r="F692" s="1" t="s">
        <v>228</v>
      </c>
      <c r="G692" s="1" t="s">
        <v>229</v>
      </c>
      <c r="H692" s="1" t="s">
        <v>230</v>
      </c>
    </row>
    <row r="693" spans="1:8" x14ac:dyDescent="0.35">
      <c r="A693" s="1" t="str">
        <f t="shared" si="10"/>
        <v>19</v>
      </c>
      <c r="B69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 xml:space="preserve"> </v>
      </c>
      <c r="C693" s="1" t="s">
        <v>4191</v>
      </c>
      <c r="D693" s="1" t="s">
        <v>112</v>
      </c>
      <c r="E693" s="1" t="s">
        <v>4192</v>
      </c>
      <c r="F693" s="1" t="s">
        <v>4193</v>
      </c>
      <c r="G693" s="1" t="s">
        <v>4194</v>
      </c>
      <c r="H693" s="1" t="s">
        <v>4195</v>
      </c>
    </row>
    <row r="694" spans="1:8" x14ac:dyDescent="0.35">
      <c r="A694" s="1" t="str">
        <f t="shared" si="10"/>
        <v/>
      </c>
      <c r="B69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694" s="1" t="s">
        <v>112</v>
      </c>
    </row>
    <row r="695" spans="1:8" x14ac:dyDescent="0.35">
      <c r="A695" s="1" t="str">
        <f t="shared" si="10"/>
        <v/>
      </c>
      <c r="B69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695" s="1" t="s">
        <v>112</v>
      </c>
    </row>
    <row r="696" spans="1:8" x14ac:dyDescent="0.35">
      <c r="A696" s="1" t="str">
        <f t="shared" si="10"/>
        <v/>
      </c>
      <c r="B69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696" s="1" t="s">
        <v>112</v>
      </c>
    </row>
    <row r="697" spans="1:8" x14ac:dyDescent="0.35">
      <c r="A697" s="1" t="str">
        <f t="shared" si="10"/>
        <v/>
      </c>
      <c r="B69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697" s="1" t="s">
        <v>112</v>
      </c>
    </row>
    <row r="698" spans="1:8" x14ac:dyDescent="0.35">
      <c r="A698" s="1" t="str">
        <f t="shared" si="10"/>
        <v/>
      </c>
      <c r="B69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698" s="1" t="s">
        <v>112</v>
      </c>
    </row>
    <row r="699" spans="1:8" x14ac:dyDescent="0.35">
      <c r="A699" s="1" t="str">
        <f t="shared" si="10"/>
        <v/>
      </c>
      <c r="B69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699" s="1" t="s">
        <v>172</v>
      </c>
      <c r="D699" s="1" t="s">
        <v>110</v>
      </c>
      <c r="E699" s="1" t="s">
        <v>111</v>
      </c>
      <c r="F699" s="1" t="s">
        <v>112</v>
      </c>
      <c r="G699" s="1" t="s">
        <v>113</v>
      </c>
    </row>
    <row r="700" spans="1:8" x14ac:dyDescent="0.35">
      <c r="A700" s="1" t="str">
        <f t="shared" si="10"/>
        <v>20</v>
      </c>
      <c r="B70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700" s="1" t="s">
        <v>4196</v>
      </c>
      <c r="D700" s="1">
        <v>0</v>
      </c>
      <c r="E700" s="1">
        <v>0</v>
      </c>
      <c r="F700" s="1" t="s">
        <v>112</v>
      </c>
      <c r="G700" s="1">
        <v>0</v>
      </c>
    </row>
    <row r="701" spans="1:8" x14ac:dyDescent="0.35">
      <c r="A701" s="1" t="str">
        <f t="shared" si="10"/>
        <v>20</v>
      </c>
      <c r="B70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701" s="1" t="s">
        <v>4197</v>
      </c>
    </row>
    <row r="702" spans="1:8" x14ac:dyDescent="0.35">
      <c r="A702" s="1" t="str">
        <f t="shared" si="10"/>
        <v>20</v>
      </c>
      <c r="B70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702" s="1" t="s">
        <v>4198</v>
      </c>
      <c r="D702" s="1">
        <v>0</v>
      </c>
      <c r="E702" s="1">
        <v>0</v>
      </c>
      <c r="F702" s="1" t="s">
        <v>112</v>
      </c>
      <c r="G702" s="1">
        <v>0</v>
      </c>
    </row>
    <row r="703" spans="1:8" x14ac:dyDescent="0.35">
      <c r="A703" s="1" t="str">
        <f t="shared" si="10"/>
        <v>20</v>
      </c>
      <c r="B70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703" s="1" t="s">
        <v>4199</v>
      </c>
      <c r="D703" s="1" t="s">
        <v>638</v>
      </c>
      <c r="E703" s="1" t="s">
        <v>4200</v>
      </c>
      <c r="F703" s="1" t="s">
        <v>112</v>
      </c>
      <c r="G703" s="1">
        <v>98135</v>
      </c>
    </row>
    <row r="704" spans="1:8" x14ac:dyDescent="0.35">
      <c r="A704" s="1" t="str">
        <f t="shared" si="10"/>
        <v>20</v>
      </c>
      <c r="B70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704" s="1" t="s">
        <v>4201</v>
      </c>
      <c r="D704" s="1" t="s">
        <v>2756</v>
      </c>
      <c r="E704" s="1" t="s">
        <v>4202</v>
      </c>
      <c r="F704" s="1" t="s">
        <v>112</v>
      </c>
      <c r="G704" s="1">
        <v>436881</v>
      </c>
    </row>
    <row r="705" spans="1:8" x14ac:dyDescent="0.35">
      <c r="A705" s="1" t="str">
        <f t="shared" si="10"/>
        <v>20</v>
      </c>
      <c r="B70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705" s="1" t="s">
        <v>4203</v>
      </c>
      <c r="D705" s="1" t="s">
        <v>2054</v>
      </c>
      <c r="E705" s="1" t="s">
        <v>4204</v>
      </c>
      <c r="F705" s="1" t="s">
        <v>112</v>
      </c>
      <c r="G705" s="1">
        <v>274397</v>
      </c>
    </row>
    <row r="706" spans="1:8" x14ac:dyDescent="0.35">
      <c r="A706" s="1" t="str">
        <f t="shared" ref="A706:A769" si="11">IFERROR(LEFT(RIGHT(C706,LEN(C706)-SEARCH("@",C706)),SEARCH("/",RIGHT(C706,LEN(C706)-SEARCH("@",C706)-1))),"")</f>
        <v>20</v>
      </c>
      <c r="B70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706" s="1" t="s">
        <v>4205</v>
      </c>
      <c r="D706" s="1" t="s">
        <v>221</v>
      </c>
      <c r="E706" s="1" t="s">
        <v>4206</v>
      </c>
      <c r="F706" s="1" t="s">
        <v>112</v>
      </c>
      <c r="G706" s="1">
        <v>253156</v>
      </c>
    </row>
    <row r="707" spans="1:8" x14ac:dyDescent="0.35">
      <c r="A707" s="1" t="str">
        <f t="shared" si="11"/>
        <v>20</v>
      </c>
      <c r="B70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707" s="1" t="s">
        <v>4207</v>
      </c>
      <c r="D707" s="1" t="s">
        <v>1397</v>
      </c>
      <c r="E707" s="1" t="s">
        <v>4208</v>
      </c>
      <c r="F707" s="1" t="s">
        <v>112</v>
      </c>
      <c r="G707" s="1">
        <v>229234</v>
      </c>
    </row>
    <row r="708" spans="1:8" x14ac:dyDescent="0.35">
      <c r="A708" s="1" t="str">
        <f t="shared" si="11"/>
        <v>20</v>
      </c>
      <c r="B70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708" s="1" t="s">
        <v>4209</v>
      </c>
      <c r="D708" s="1" t="s">
        <v>182</v>
      </c>
      <c r="E708" s="1" t="s">
        <v>4210</v>
      </c>
      <c r="F708" s="1" t="s">
        <v>112</v>
      </c>
      <c r="G708" s="1">
        <v>271174</v>
      </c>
    </row>
    <row r="709" spans="1:8" x14ac:dyDescent="0.35">
      <c r="A709" s="1" t="str">
        <f t="shared" si="11"/>
        <v>20</v>
      </c>
      <c r="B70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709" s="1" t="s">
        <v>4211</v>
      </c>
      <c r="D709" s="1" t="s">
        <v>1945</v>
      </c>
      <c r="E709" s="1" t="s">
        <v>4212</v>
      </c>
      <c r="F709" s="1" t="s">
        <v>112</v>
      </c>
      <c r="G709" s="1">
        <v>329640</v>
      </c>
    </row>
    <row r="710" spans="1:8" x14ac:dyDescent="0.35">
      <c r="A710" s="1" t="str">
        <f t="shared" si="11"/>
        <v/>
      </c>
      <c r="B71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710" s="1" t="s">
        <v>112</v>
      </c>
    </row>
    <row r="711" spans="1:8" x14ac:dyDescent="0.35">
      <c r="A711" s="1" t="str">
        <f t="shared" si="11"/>
        <v/>
      </c>
      <c r="B71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711" s="1" t="s">
        <v>226</v>
      </c>
      <c r="D711" s="1" t="s">
        <v>112</v>
      </c>
      <c r="E711" s="1" t="s">
        <v>227</v>
      </c>
      <c r="F711" s="1" t="s">
        <v>228</v>
      </c>
      <c r="G711" s="1" t="s">
        <v>229</v>
      </c>
      <c r="H711" s="1" t="s">
        <v>230</v>
      </c>
    </row>
    <row r="712" spans="1:8" x14ac:dyDescent="0.35">
      <c r="A712" s="1" t="str">
        <f t="shared" si="11"/>
        <v>20</v>
      </c>
      <c r="B71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 xml:space="preserve"> </v>
      </c>
      <c r="C712" s="1" t="s">
        <v>4213</v>
      </c>
      <c r="D712" s="1" t="s">
        <v>112</v>
      </c>
      <c r="E712" s="1" t="s">
        <v>4214</v>
      </c>
      <c r="F712" s="1" t="s">
        <v>4215</v>
      </c>
      <c r="G712" s="1" t="s">
        <v>4216</v>
      </c>
      <c r="H712" s="1" t="s">
        <v>4217</v>
      </c>
    </row>
    <row r="713" spans="1:8" x14ac:dyDescent="0.35">
      <c r="A713" s="1" t="str">
        <f t="shared" si="11"/>
        <v/>
      </c>
      <c r="B71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713" s="1" t="s">
        <v>112</v>
      </c>
    </row>
    <row r="714" spans="1:8" x14ac:dyDescent="0.35">
      <c r="A714" s="1" t="str">
        <f t="shared" si="11"/>
        <v/>
      </c>
      <c r="B71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714" s="1" t="s">
        <v>112</v>
      </c>
    </row>
    <row r="715" spans="1:8" x14ac:dyDescent="0.35">
      <c r="A715" s="1" t="str">
        <f t="shared" si="11"/>
        <v/>
      </c>
      <c r="B71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715" s="1" t="s">
        <v>112</v>
      </c>
    </row>
    <row r="716" spans="1:8" x14ac:dyDescent="0.35">
      <c r="A716" s="1" t="str">
        <f t="shared" si="11"/>
        <v/>
      </c>
      <c r="B71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716" s="1" t="s">
        <v>112</v>
      </c>
    </row>
    <row r="717" spans="1:8" x14ac:dyDescent="0.35">
      <c r="A717" s="1" t="str">
        <f t="shared" si="11"/>
        <v/>
      </c>
      <c r="B71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717" s="1" t="s">
        <v>112</v>
      </c>
    </row>
    <row r="718" spans="1:8" x14ac:dyDescent="0.35">
      <c r="A718" s="1" t="str">
        <f t="shared" si="11"/>
        <v/>
      </c>
      <c r="B71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718" s="1" t="s">
        <v>172</v>
      </c>
      <c r="D718" s="1" t="s">
        <v>110</v>
      </c>
      <c r="E718" s="1" t="s">
        <v>111</v>
      </c>
      <c r="F718" s="1" t="s">
        <v>112</v>
      </c>
      <c r="G718" s="1" t="s">
        <v>113</v>
      </c>
    </row>
    <row r="719" spans="1:8" x14ac:dyDescent="0.35">
      <c r="A719" s="1" t="str">
        <f t="shared" si="11"/>
        <v>21</v>
      </c>
      <c r="B71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719" s="1" t="s">
        <v>4218</v>
      </c>
      <c r="D719" s="1" t="s">
        <v>550</v>
      </c>
      <c r="E719" s="1" t="s">
        <v>4219</v>
      </c>
      <c r="F719" s="1" t="s">
        <v>112</v>
      </c>
      <c r="G719" s="1">
        <v>228044</v>
      </c>
    </row>
    <row r="720" spans="1:8" x14ac:dyDescent="0.35">
      <c r="A720" s="1" t="str">
        <f t="shared" si="11"/>
        <v>21</v>
      </c>
      <c r="B72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720" s="1" t="s">
        <v>4220</v>
      </c>
      <c r="D720" s="1" t="s">
        <v>3184</v>
      </c>
      <c r="E720" s="1" t="s">
        <v>4221</v>
      </c>
      <c r="F720" s="1" t="s">
        <v>112</v>
      </c>
      <c r="G720" s="1">
        <v>86758</v>
      </c>
    </row>
    <row r="721" spans="1:7" x14ac:dyDescent="0.35">
      <c r="A721" s="1" t="str">
        <f t="shared" si="11"/>
        <v>21</v>
      </c>
      <c r="B72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721" s="1" t="s">
        <v>4222</v>
      </c>
      <c r="D721" s="1" t="s">
        <v>4223</v>
      </c>
      <c r="E721" s="1" t="s">
        <v>4224</v>
      </c>
      <c r="F721" s="1" t="s">
        <v>112</v>
      </c>
      <c r="G721" s="1">
        <v>466989</v>
      </c>
    </row>
    <row r="722" spans="1:7" x14ac:dyDescent="0.35">
      <c r="A722" s="1" t="str">
        <f t="shared" si="11"/>
        <v>21</v>
      </c>
      <c r="B72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722" s="1" t="s">
        <v>4225</v>
      </c>
      <c r="D722" s="1" t="s">
        <v>1139</v>
      </c>
      <c r="E722" s="1">
        <v>30</v>
      </c>
      <c r="F722" s="1" t="s">
        <v>112</v>
      </c>
      <c r="G722" s="1">
        <v>1947</v>
      </c>
    </row>
    <row r="723" spans="1:7" x14ac:dyDescent="0.35">
      <c r="A723" s="1" t="str">
        <f t="shared" si="11"/>
        <v>21</v>
      </c>
      <c r="B72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723" s="1" t="s">
        <v>4226</v>
      </c>
      <c r="D723" s="1" t="s">
        <v>1216</v>
      </c>
      <c r="E723" s="1" t="s">
        <v>4227</v>
      </c>
      <c r="F723" s="1" t="s">
        <v>112</v>
      </c>
      <c r="G723" s="1">
        <v>197914</v>
      </c>
    </row>
    <row r="724" spans="1:7" x14ac:dyDescent="0.35">
      <c r="A724" s="1" t="str">
        <f t="shared" si="11"/>
        <v>21</v>
      </c>
      <c r="B72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724" s="1" t="s">
        <v>4228</v>
      </c>
      <c r="D724" s="1" t="s">
        <v>194</v>
      </c>
      <c r="E724" s="1" t="s">
        <v>4229</v>
      </c>
      <c r="F724" s="1" t="s">
        <v>112</v>
      </c>
      <c r="G724" s="1">
        <v>300266</v>
      </c>
    </row>
    <row r="725" spans="1:7" x14ac:dyDescent="0.35">
      <c r="A725" s="1" t="str">
        <f t="shared" si="11"/>
        <v>21</v>
      </c>
      <c r="B72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725" s="1" t="s">
        <v>4230</v>
      </c>
      <c r="D725" s="1" t="s">
        <v>3981</v>
      </c>
      <c r="E725" s="1" t="s">
        <v>4231</v>
      </c>
      <c r="F725" s="1" t="s">
        <v>112</v>
      </c>
      <c r="G725" s="1">
        <v>281016</v>
      </c>
    </row>
    <row r="726" spans="1:7" x14ac:dyDescent="0.35">
      <c r="A726" s="1" t="str">
        <f t="shared" si="11"/>
        <v>21</v>
      </c>
      <c r="B72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726" s="1" t="s">
        <v>4232</v>
      </c>
      <c r="D726" s="1" t="s">
        <v>1083</v>
      </c>
      <c r="E726" s="1" t="s">
        <v>4233</v>
      </c>
      <c r="F726" s="1" t="s">
        <v>112</v>
      </c>
      <c r="G726" s="1">
        <v>219370</v>
      </c>
    </row>
    <row r="727" spans="1:7" x14ac:dyDescent="0.35">
      <c r="A727" s="1" t="str">
        <f t="shared" si="11"/>
        <v>21</v>
      </c>
      <c r="B72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727" s="1" t="s">
        <v>4234</v>
      </c>
      <c r="D727" s="1" t="s">
        <v>711</v>
      </c>
      <c r="E727" s="1" t="s">
        <v>4235</v>
      </c>
      <c r="F727" s="1" t="s">
        <v>112</v>
      </c>
      <c r="G727" s="1">
        <v>166702</v>
      </c>
    </row>
    <row r="728" spans="1:7" x14ac:dyDescent="0.35">
      <c r="A728" s="1" t="str">
        <f t="shared" si="11"/>
        <v>21</v>
      </c>
      <c r="B72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728" s="1" t="s">
        <v>4236</v>
      </c>
      <c r="D728" s="1" t="s">
        <v>200</v>
      </c>
      <c r="E728" s="1" t="s">
        <v>204</v>
      </c>
      <c r="F728" s="1" t="s">
        <v>112</v>
      </c>
      <c r="G728" s="1">
        <v>55091</v>
      </c>
    </row>
    <row r="729" spans="1:7" x14ac:dyDescent="0.35">
      <c r="A729" s="1" t="str">
        <f t="shared" si="11"/>
        <v>21</v>
      </c>
      <c r="B72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729" s="1" t="s">
        <v>4237</v>
      </c>
      <c r="D729" s="1" t="s">
        <v>2822</v>
      </c>
      <c r="E729" s="1" t="s">
        <v>4238</v>
      </c>
      <c r="F729" s="1" t="s">
        <v>112</v>
      </c>
      <c r="G729" s="1">
        <v>137069</v>
      </c>
    </row>
    <row r="730" spans="1:7" x14ac:dyDescent="0.35">
      <c r="A730" s="1" t="str">
        <f t="shared" si="11"/>
        <v>21</v>
      </c>
      <c r="B73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730" s="1" t="s">
        <v>4239</v>
      </c>
      <c r="D730" s="1">
        <v>0</v>
      </c>
      <c r="E730" s="1">
        <v>0</v>
      </c>
      <c r="F730" s="1" t="s">
        <v>112</v>
      </c>
      <c r="G730" s="1">
        <v>0</v>
      </c>
    </row>
    <row r="731" spans="1:7" x14ac:dyDescent="0.35">
      <c r="A731" s="1" t="str">
        <f t="shared" si="11"/>
        <v>21</v>
      </c>
      <c r="B73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731" s="1" t="s">
        <v>4240</v>
      </c>
      <c r="D731" s="1">
        <v>0</v>
      </c>
      <c r="E731" s="1">
        <v>0</v>
      </c>
      <c r="F731" s="1" t="s">
        <v>112</v>
      </c>
      <c r="G731" s="1">
        <v>0</v>
      </c>
    </row>
    <row r="732" spans="1:7" x14ac:dyDescent="0.35">
      <c r="A732" s="1" t="str">
        <f t="shared" si="11"/>
        <v>21</v>
      </c>
      <c r="B73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732" s="1" t="s">
        <v>4241</v>
      </c>
      <c r="D732" s="1" t="s">
        <v>4242</v>
      </c>
      <c r="E732" s="1" t="s">
        <v>4243</v>
      </c>
      <c r="F732" s="1" t="s">
        <v>112</v>
      </c>
      <c r="G732" s="1">
        <v>57773</v>
      </c>
    </row>
    <row r="733" spans="1:7" x14ac:dyDescent="0.35">
      <c r="A733" s="1" t="str">
        <f t="shared" si="11"/>
        <v>21</v>
      </c>
      <c r="B73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733" s="1" t="s">
        <v>4244</v>
      </c>
      <c r="D733" s="1" t="s">
        <v>4245</v>
      </c>
      <c r="E733" s="1" t="s">
        <v>4246</v>
      </c>
      <c r="F733" s="1" t="s">
        <v>112</v>
      </c>
      <c r="G733" s="1">
        <v>23382</v>
      </c>
    </row>
    <row r="734" spans="1:7" x14ac:dyDescent="0.35">
      <c r="A734" s="1" t="str">
        <f t="shared" si="11"/>
        <v>21</v>
      </c>
      <c r="B73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734" s="1" t="s">
        <v>4247</v>
      </c>
      <c r="D734" s="1">
        <v>0</v>
      </c>
      <c r="E734" s="1">
        <v>0</v>
      </c>
      <c r="F734" s="1" t="s">
        <v>112</v>
      </c>
      <c r="G734" s="1">
        <v>0</v>
      </c>
    </row>
    <row r="735" spans="1:7" x14ac:dyDescent="0.35">
      <c r="A735" s="1" t="str">
        <f t="shared" si="11"/>
        <v>21</v>
      </c>
      <c r="B73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735" s="1" t="s">
        <v>4248</v>
      </c>
      <c r="D735" s="1" t="s">
        <v>2806</v>
      </c>
      <c r="E735" s="1" t="s">
        <v>4249</v>
      </c>
      <c r="F735" s="1" t="s">
        <v>112</v>
      </c>
      <c r="G735" s="1">
        <v>167372</v>
      </c>
    </row>
    <row r="736" spans="1:7" x14ac:dyDescent="0.35">
      <c r="A736" s="1" t="str">
        <f t="shared" si="11"/>
        <v>21</v>
      </c>
      <c r="B73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736" s="1" t="s">
        <v>4250</v>
      </c>
      <c r="D736" s="1" t="s">
        <v>1060</v>
      </c>
      <c r="E736" s="1" t="s">
        <v>4251</v>
      </c>
      <c r="F736" s="1" t="s">
        <v>112</v>
      </c>
      <c r="G736" s="1">
        <v>259429</v>
      </c>
    </row>
    <row r="737" spans="1:8" x14ac:dyDescent="0.35">
      <c r="A737" s="1" t="str">
        <f t="shared" si="11"/>
        <v>21</v>
      </c>
      <c r="B73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737" s="1" t="s">
        <v>4252</v>
      </c>
      <c r="D737" s="1" t="s">
        <v>4057</v>
      </c>
      <c r="E737" s="1" t="s">
        <v>4253</v>
      </c>
      <c r="F737" s="1" t="s">
        <v>112</v>
      </c>
      <c r="G737" s="1">
        <v>239248</v>
      </c>
    </row>
    <row r="738" spans="1:8" x14ac:dyDescent="0.35">
      <c r="A738" s="1" t="str">
        <f t="shared" si="11"/>
        <v>21</v>
      </c>
      <c r="B73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738" s="1" t="s">
        <v>4254</v>
      </c>
      <c r="D738" s="1" t="s">
        <v>4255</v>
      </c>
      <c r="E738" s="1" t="s">
        <v>4256</v>
      </c>
      <c r="F738" s="1" t="s">
        <v>112</v>
      </c>
      <c r="G738" s="1">
        <v>370044</v>
      </c>
    </row>
    <row r="739" spans="1:8" x14ac:dyDescent="0.35">
      <c r="A739" s="1" t="str">
        <f t="shared" si="11"/>
        <v>21</v>
      </c>
      <c r="B73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739" s="1" t="s">
        <v>4257</v>
      </c>
    </row>
    <row r="740" spans="1:8" x14ac:dyDescent="0.35">
      <c r="A740" s="1" t="str">
        <f t="shared" si="11"/>
        <v>21</v>
      </c>
      <c r="B74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740" s="1" t="s">
        <v>4258</v>
      </c>
      <c r="D740" s="1" t="s">
        <v>4071</v>
      </c>
      <c r="E740" s="1" t="s">
        <v>4259</v>
      </c>
      <c r="F740" s="1" t="s">
        <v>112</v>
      </c>
      <c r="G740" s="1">
        <v>362841</v>
      </c>
    </row>
    <row r="741" spans="1:8" x14ac:dyDescent="0.35">
      <c r="A741" s="1" t="str">
        <f t="shared" si="11"/>
        <v>21</v>
      </c>
      <c r="B74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741" s="1" t="s">
        <v>4260</v>
      </c>
      <c r="D741" s="1" t="s">
        <v>3244</v>
      </c>
      <c r="E741" s="1" t="s">
        <v>4261</v>
      </c>
      <c r="F741" s="1" t="s">
        <v>112</v>
      </c>
      <c r="G741" s="1">
        <v>263582</v>
      </c>
    </row>
    <row r="742" spans="1:8" x14ac:dyDescent="0.35">
      <c r="A742" s="1" t="str">
        <f t="shared" si="11"/>
        <v>21</v>
      </c>
      <c r="B74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742" s="1" t="s">
        <v>4262</v>
      </c>
      <c r="D742" s="1" t="s">
        <v>3800</v>
      </c>
      <c r="E742" s="1" t="s">
        <v>4263</v>
      </c>
      <c r="F742" s="1" t="s">
        <v>112</v>
      </c>
      <c r="G742" s="1">
        <v>321593</v>
      </c>
    </row>
    <row r="743" spans="1:8" x14ac:dyDescent="0.35">
      <c r="A743" s="1" t="str">
        <f t="shared" si="11"/>
        <v>21</v>
      </c>
      <c r="B74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743" s="1" t="s">
        <v>4264</v>
      </c>
      <c r="D743" s="1" t="s">
        <v>1120</v>
      </c>
      <c r="E743" s="1" t="s">
        <v>4265</v>
      </c>
      <c r="F743" s="1" t="s">
        <v>112</v>
      </c>
      <c r="G743" s="1">
        <v>131445</v>
      </c>
    </row>
    <row r="744" spans="1:8" x14ac:dyDescent="0.35">
      <c r="A744" s="1" t="str">
        <f t="shared" si="11"/>
        <v>21</v>
      </c>
      <c r="B74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744" s="1" t="s">
        <v>4266</v>
      </c>
      <c r="D744" s="1" t="s">
        <v>4267</v>
      </c>
      <c r="E744" s="1" t="s">
        <v>4268</v>
      </c>
      <c r="F744" s="1" t="s">
        <v>112</v>
      </c>
      <c r="G744" s="1">
        <v>67572</v>
      </c>
    </row>
    <row r="745" spans="1:8" x14ac:dyDescent="0.35">
      <c r="A745" s="1" t="str">
        <f t="shared" si="11"/>
        <v>21</v>
      </c>
      <c r="B74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745" s="1" t="s">
        <v>4269</v>
      </c>
      <c r="D745" s="1" t="s">
        <v>1419</v>
      </c>
      <c r="E745" s="1" t="s">
        <v>4270</v>
      </c>
      <c r="F745" s="1" t="s">
        <v>112</v>
      </c>
      <c r="G745" s="1">
        <v>82323</v>
      </c>
    </row>
    <row r="746" spans="1:8" x14ac:dyDescent="0.35">
      <c r="A746" s="1" t="str">
        <f t="shared" si="11"/>
        <v>21</v>
      </c>
      <c r="B74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746" s="1" t="s">
        <v>4271</v>
      </c>
      <c r="D746" s="1" t="s">
        <v>3239</v>
      </c>
      <c r="E746" s="1" t="s">
        <v>4272</v>
      </c>
      <c r="F746" s="1" t="s">
        <v>112</v>
      </c>
      <c r="G746" s="1">
        <v>151690</v>
      </c>
    </row>
    <row r="747" spans="1:8" x14ac:dyDescent="0.35">
      <c r="A747" s="1" t="str">
        <f t="shared" si="11"/>
        <v>21</v>
      </c>
      <c r="B74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747" s="1" t="s">
        <v>4273</v>
      </c>
    </row>
    <row r="748" spans="1:8" x14ac:dyDescent="0.35">
      <c r="A748" s="1" t="str">
        <f t="shared" si="11"/>
        <v>21</v>
      </c>
      <c r="B74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748" s="1" t="s">
        <v>4274</v>
      </c>
      <c r="D748" s="1">
        <v>0</v>
      </c>
      <c r="E748" s="1">
        <v>0</v>
      </c>
      <c r="F748" s="1" t="s">
        <v>112</v>
      </c>
      <c r="G748" s="1">
        <v>0</v>
      </c>
    </row>
    <row r="749" spans="1:8" x14ac:dyDescent="0.35">
      <c r="A749" s="1" t="str">
        <f t="shared" si="11"/>
        <v>21</v>
      </c>
      <c r="B74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749" s="1" t="s">
        <v>4275</v>
      </c>
      <c r="D749" s="1">
        <v>0</v>
      </c>
      <c r="E749" s="1">
        <v>0</v>
      </c>
      <c r="F749" s="1" t="s">
        <v>112</v>
      </c>
      <c r="G749" s="1">
        <v>0</v>
      </c>
    </row>
    <row r="750" spans="1:8" x14ac:dyDescent="0.35">
      <c r="A750" s="1" t="str">
        <f t="shared" si="11"/>
        <v>21</v>
      </c>
      <c r="B75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750" s="1" t="s">
        <v>4276</v>
      </c>
      <c r="D750" s="1" t="s">
        <v>4277</v>
      </c>
      <c r="E750" s="1" t="s">
        <v>4278</v>
      </c>
      <c r="F750" s="1" t="s">
        <v>112</v>
      </c>
      <c r="G750" s="1">
        <v>156211</v>
      </c>
    </row>
    <row r="751" spans="1:8" x14ac:dyDescent="0.35">
      <c r="A751" s="1" t="str">
        <f t="shared" si="11"/>
        <v/>
      </c>
      <c r="B75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751" s="1" t="s">
        <v>112</v>
      </c>
    </row>
    <row r="752" spans="1:8" x14ac:dyDescent="0.35">
      <c r="A752" s="1" t="str">
        <f t="shared" si="11"/>
        <v/>
      </c>
      <c r="B75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752" s="1" t="s">
        <v>226</v>
      </c>
      <c r="D752" s="1" t="s">
        <v>112</v>
      </c>
      <c r="E752" s="1" t="s">
        <v>227</v>
      </c>
      <c r="F752" s="1" t="s">
        <v>228</v>
      </c>
      <c r="G752" s="1" t="s">
        <v>229</v>
      </c>
      <c r="H752" s="1" t="s">
        <v>230</v>
      </c>
    </row>
    <row r="753" spans="1:8" x14ac:dyDescent="0.35">
      <c r="A753" s="1" t="str">
        <f t="shared" si="11"/>
        <v>21</v>
      </c>
      <c r="B75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 xml:space="preserve"> </v>
      </c>
      <c r="C753" s="1" t="s">
        <v>4279</v>
      </c>
      <c r="D753" s="1" t="s">
        <v>112</v>
      </c>
      <c r="E753" s="1" t="s">
        <v>4280</v>
      </c>
      <c r="F753" s="1" t="s">
        <v>4281</v>
      </c>
      <c r="G753" s="1" t="s">
        <v>4282</v>
      </c>
      <c r="H753" s="1" t="s">
        <v>4283</v>
      </c>
    </row>
    <row r="754" spans="1:8" x14ac:dyDescent="0.35">
      <c r="A754" s="1" t="str">
        <f t="shared" si="11"/>
        <v/>
      </c>
      <c r="B75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754" s="1" t="s">
        <v>112</v>
      </c>
    </row>
    <row r="755" spans="1:8" x14ac:dyDescent="0.35">
      <c r="A755" s="1" t="str">
        <f t="shared" si="11"/>
        <v/>
      </c>
      <c r="B75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755" s="1" t="s">
        <v>112</v>
      </c>
    </row>
    <row r="756" spans="1:8" x14ac:dyDescent="0.35">
      <c r="A756" s="1" t="str">
        <f t="shared" si="11"/>
        <v/>
      </c>
      <c r="B75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756" s="1" t="s">
        <v>112</v>
      </c>
    </row>
    <row r="757" spans="1:8" x14ac:dyDescent="0.35">
      <c r="A757" s="1" t="str">
        <f t="shared" si="11"/>
        <v/>
      </c>
      <c r="B75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757" s="1" t="s">
        <v>112</v>
      </c>
    </row>
    <row r="758" spans="1:8" x14ac:dyDescent="0.35">
      <c r="A758" s="1" t="str">
        <f t="shared" si="11"/>
        <v/>
      </c>
      <c r="B75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758" s="1" t="s">
        <v>112</v>
      </c>
    </row>
    <row r="759" spans="1:8" x14ac:dyDescent="0.35">
      <c r="A759" s="1" t="str">
        <f t="shared" si="11"/>
        <v/>
      </c>
      <c r="B75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759" s="1" t="s">
        <v>172</v>
      </c>
      <c r="D759" s="1" t="s">
        <v>110</v>
      </c>
      <c r="E759" s="1" t="s">
        <v>111</v>
      </c>
      <c r="F759" s="1" t="s">
        <v>112</v>
      </c>
      <c r="G759" s="1" t="s">
        <v>113</v>
      </c>
    </row>
    <row r="760" spans="1:8" x14ac:dyDescent="0.35">
      <c r="A760" s="1" t="str">
        <f t="shared" si="11"/>
        <v>9</v>
      </c>
      <c r="B76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760" s="1" t="s">
        <v>4284</v>
      </c>
      <c r="D760" s="1" t="s">
        <v>4285</v>
      </c>
      <c r="E760" s="1" t="s">
        <v>4286</v>
      </c>
      <c r="F760" s="1" t="s">
        <v>112</v>
      </c>
      <c r="G760" s="1">
        <v>238989</v>
      </c>
    </row>
    <row r="761" spans="1:8" x14ac:dyDescent="0.35">
      <c r="A761" s="1" t="str">
        <f t="shared" si="11"/>
        <v>9</v>
      </c>
      <c r="B76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761" s="1" t="s">
        <v>4287</v>
      </c>
      <c r="D761" s="1" t="s">
        <v>1976</v>
      </c>
      <c r="E761" s="1" t="s">
        <v>4288</v>
      </c>
      <c r="F761" s="1" t="s">
        <v>112</v>
      </c>
      <c r="G761" s="1">
        <v>53274</v>
      </c>
    </row>
    <row r="762" spans="1:8" x14ac:dyDescent="0.35">
      <c r="A762" s="1" t="str">
        <f t="shared" si="11"/>
        <v>9</v>
      </c>
      <c r="B76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762" s="1" t="s">
        <v>4289</v>
      </c>
      <c r="D762" s="1" t="s">
        <v>512</v>
      </c>
      <c r="E762" s="1" t="s">
        <v>4290</v>
      </c>
      <c r="F762" s="1" t="s">
        <v>112</v>
      </c>
      <c r="G762" s="1">
        <v>151712</v>
      </c>
    </row>
    <row r="763" spans="1:8" x14ac:dyDescent="0.35">
      <c r="A763" s="1" t="str">
        <f t="shared" si="11"/>
        <v>9</v>
      </c>
      <c r="B76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763" s="1" t="s">
        <v>4291</v>
      </c>
    </row>
    <row r="764" spans="1:8" x14ac:dyDescent="0.35">
      <c r="A764" s="1" t="str">
        <f t="shared" si="11"/>
        <v>9</v>
      </c>
      <c r="B76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764" s="1" t="s">
        <v>4292</v>
      </c>
      <c r="D764" s="1" t="s">
        <v>1486</v>
      </c>
      <c r="E764" s="1" t="s">
        <v>4293</v>
      </c>
      <c r="F764" s="1" t="s">
        <v>112</v>
      </c>
      <c r="G764" s="1">
        <v>270763</v>
      </c>
    </row>
    <row r="765" spans="1:8" x14ac:dyDescent="0.35">
      <c r="A765" s="1" t="str">
        <f t="shared" si="11"/>
        <v>9</v>
      </c>
      <c r="B76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765" s="1" t="s">
        <v>4294</v>
      </c>
      <c r="D765" s="1" t="s">
        <v>3330</v>
      </c>
      <c r="E765" s="1" t="s">
        <v>4295</v>
      </c>
      <c r="F765" s="1" t="s">
        <v>112</v>
      </c>
      <c r="G765" s="1">
        <v>382892</v>
      </c>
    </row>
    <row r="766" spans="1:8" x14ac:dyDescent="0.35">
      <c r="A766" s="1" t="str">
        <f t="shared" si="11"/>
        <v>9</v>
      </c>
      <c r="B76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766" s="1" t="s">
        <v>4296</v>
      </c>
      <c r="D766" s="1" t="s">
        <v>3887</v>
      </c>
      <c r="E766" s="1" t="s">
        <v>4297</v>
      </c>
      <c r="F766" s="1" t="s">
        <v>112</v>
      </c>
      <c r="G766" s="1">
        <v>354341</v>
      </c>
    </row>
    <row r="767" spans="1:8" x14ac:dyDescent="0.35">
      <c r="A767" s="1" t="str">
        <f t="shared" si="11"/>
        <v>9</v>
      </c>
      <c r="B76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767" s="1" t="s">
        <v>4298</v>
      </c>
      <c r="D767" s="1" t="s">
        <v>3233</v>
      </c>
      <c r="E767" s="1" t="s">
        <v>4299</v>
      </c>
      <c r="F767" s="1" t="s">
        <v>112</v>
      </c>
      <c r="G767" s="1">
        <v>456758</v>
      </c>
    </row>
    <row r="768" spans="1:8" x14ac:dyDescent="0.35">
      <c r="A768" s="1" t="str">
        <f t="shared" si="11"/>
        <v>9</v>
      </c>
      <c r="B76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768" s="1" t="s">
        <v>4300</v>
      </c>
      <c r="D768" s="1" t="s">
        <v>1178</v>
      </c>
      <c r="E768" s="1" t="s">
        <v>4301</v>
      </c>
      <c r="F768" s="1" t="s">
        <v>112</v>
      </c>
      <c r="G768" s="1">
        <v>75359</v>
      </c>
    </row>
    <row r="769" spans="1:7" x14ac:dyDescent="0.35">
      <c r="A769" s="1" t="str">
        <f t="shared" si="11"/>
        <v>9</v>
      </c>
      <c r="B76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769" s="1" t="s">
        <v>4302</v>
      </c>
      <c r="D769" s="1" t="s">
        <v>1152</v>
      </c>
      <c r="E769" s="1" t="s">
        <v>4303</v>
      </c>
      <c r="F769" s="1" t="s">
        <v>112</v>
      </c>
      <c r="G769" s="1">
        <v>89915</v>
      </c>
    </row>
    <row r="770" spans="1:7" x14ac:dyDescent="0.35">
      <c r="A770" s="1" t="str">
        <f t="shared" ref="A770:A833" si="12">IFERROR(LEFT(RIGHT(C770,LEN(C770)-SEARCH("@",C770)),SEARCH("/",RIGHT(C770,LEN(C770)-SEARCH("@",C770)-1))),"")</f>
        <v>9</v>
      </c>
      <c r="B77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770" s="1" t="s">
        <v>4304</v>
      </c>
      <c r="D770" s="1" t="s">
        <v>2000</v>
      </c>
      <c r="E770" s="1" t="s">
        <v>4305</v>
      </c>
      <c r="F770" s="1" t="s">
        <v>112</v>
      </c>
      <c r="G770" s="1">
        <v>117861</v>
      </c>
    </row>
    <row r="771" spans="1:7" x14ac:dyDescent="0.35">
      <c r="A771" s="1" t="str">
        <f t="shared" si="12"/>
        <v>9</v>
      </c>
      <c r="B77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771" s="1" t="s">
        <v>4306</v>
      </c>
      <c r="D771" s="1" t="s">
        <v>1036</v>
      </c>
      <c r="E771" s="1" t="s">
        <v>4307</v>
      </c>
      <c r="F771" s="1" t="s">
        <v>112</v>
      </c>
      <c r="G771" s="1">
        <v>13129</v>
      </c>
    </row>
    <row r="772" spans="1:7" x14ac:dyDescent="0.35">
      <c r="A772" s="1" t="str">
        <f t="shared" si="12"/>
        <v>9</v>
      </c>
      <c r="B77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772" s="1" t="s">
        <v>4308</v>
      </c>
      <c r="D772" s="1" t="s">
        <v>4309</v>
      </c>
      <c r="E772" s="1" t="s">
        <v>4310</v>
      </c>
      <c r="F772" s="1" t="s">
        <v>112</v>
      </c>
      <c r="G772" s="1">
        <v>562269</v>
      </c>
    </row>
    <row r="773" spans="1:7" x14ac:dyDescent="0.35">
      <c r="A773" s="1" t="str">
        <f t="shared" si="12"/>
        <v>9</v>
      </c>
      <c r="B77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773" s="1" t="s">
        <v>4311</v>
      </c>
      <c r="D773" s="1" t="s">
        <v>4312</v>
      </c>
      <c r="E773" s="1" t="s">
        <v>4313</v>
      </c>
      <c r="F773" s="1" t="s">
        <v>112</v>
      </c>
      <c r="G773" s="1">
        <v>284520</v>
      </c>
    </row>
    <row r="774" spans="1:7" x14ac:dyDescent="0.35">
      <c r="A774" s="1" t="str">
        <f t="shared" si="12"/>
        <v>9</v>
      </c>
      <c r="B77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774" s="1" t="s">
        <v>4314</v>
      </c>
      <c r="D774" s="1" t="s">
        <v>2562</v>
      </c>
      <c r="E774" s="1" t="s">
        <v>4315</v>
      </c>
      <c r="F774" s="1" t="s">
        <v>112</v>
      </c>
      <c r="G774" s="1">
        <v>276928</v>
      </c>
    </row>
    <row r="775" spans="1:7" x14ac:dyDescent="0.35">
      <c r="A775" s="1" t="str">
        <f t="shared" si="12"/>
        <v>9</v>
      </c>
      <c r="B77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775" s="1" t="s">
        <v>4316</v>
      </c>
      <c r="D775" s="1" t="s">
        <v>4317</v>
      </c>
      <c r="E775" s="1" t="s">
        <v>4318</v>
      </c>
      <c r="F775" s="1" t="s">
        <v>112</v>
      </c>
      <c r="G775" s="1">
        <v>560063</v>
      </c>
    </row>
    <row r="776" spans="1:7" x14ac:dyDescent="0.35">
      <c r="A776" s="1" t="str">
        <f t="shared" si="12"/>
        <v>9</v>
      </c>
      <c r="B77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776" s="1" t="s">
        <v>4319</v>
      </c>
      <c r="D776" s="1" t="s">
        <v>1083</v>
      </c>
      <c r="E776" s="1" t="s">
        <v>4320</v>
      </c>
      <c r="F776" s="1" t="s">
        <v>112</v>
      </c>
      <c r="G776" s="1">
        <v>207971</v>
      </c>
    </row>
    <row r="777" spans="1:7" x14ac:dyDescent="0.35">
      <c r="A777" s="1" t="str">
        <f t="shared" si="12"/>
        <v>9</v>
      </c>
      <c r="B77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777" s="1" t="s">
        <v>4321</v>
      </c>
      <c r="D777" s="1" t="s">
        <v>1054</v>
      </c>
      <c r="E777" s="1" t="s">
        <v>4322</v>
      </c>
      <c r="F777" s="1" t="s">
        <v>112</v>
      </c>
      <c r="G777" s="1">
        <v>196313</v>
      </c>
    </row>
    <row r="778" spans="1:7" x14ac:dyDescent="0.35">
      <c r="A778" s="1" t="str">
        <f t="shared" si="12"/>
        <v>9</v>
      </c>
      <c r="B77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778" s="1" t="s">
        <v>4323</v>
      </c>
      <c r="D778" s="1" t="s">
        <v>584</v>
      </c>
      <c r="E778" s="1" t="s">
        <v>4324</v>
      </c>
      <c r="F778" s="1" t="s">
        <v>112</v>
      </c>
      <c r="G778" s="1">
        <v>133456</v>
      </c>
    </row>
    <row r="779" spans="1:7" x14ac:dyDescent="0.35">
      <c r="A779" s="1" t="str">
        <f t="shared" si="12"/>
        <v>9</v>
      </c>
      <c r="B77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779" s="1" t="s">
        <v>4325</v>
      </c>
      <c r="D779" s="1" t="s">
        <v>1238</v>
      </c>
      <c r="E779" s="1" t="s">
        <v>4326</v>
      </c>
      <c r="F779" s="1" t="s">
        <v>112</v>
      </c>
      <c r="G779" s="1">
        <v>106679</v>
      </c>
    </row>
    <row r="780" spans="1:7" x14ac:dyDescent="0.35">
      <c r="A780" s="1" t="str">
        <f t="shared" si="12"/>
        <v>9</v>
      </c>
      <c r="B78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780" s="1" t="s">
        <v>4327</v>
      </c>
      <c r="D780" s="1" t="s">
        <v>1539</v>
      </c>
      <c r="E780" s="1" t="s">
        <v>4328</v>
      </c>
      <c r="F780" s="1" t="s">
        <v>112</v>
      </c>
      <c r="G780" s="1">
        <v>76721</v>
      </c>
    </row>
    <row r="781" spans="1:7" x14ac:dyDescent="0.35">
      <c r="A781" s="1" t="str">
        <f t="shared" si="12"/>
        <v>9</v>
      </c>
      <c r="B78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781" s="1" t="s">
        <v>4329</v>
      </c>
      <c r="D781" s="1" t="s">
        <v>1238</v>
      </c>
      <c r="E781" s="1" t="s">
        <v>4330</v>
      </c>
      <c r="F781" s="1" t="s">
        <v>112</v>
      </c>
      <c r="G781" s="1">
        <v>113708</v>
      </c>
    </row>
    <row r="782" spans="1:7" x14ac:dyDescent="0.35">
      <c r="A782" s="1" t="str">
        <f t="shared" si="12"/>
        <v>9</v>
      </c>
      <c r="B78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782" s="1" t="s">
        <v>4331</v>
      </c>
    </row>
    <row r="783" spans="1:7" x14ac:dyDescent="0.35">
      <c r="A783" s="1" t="str">
        <f t="shared" si="12"/>
        <v>9</v>
      </c>
      <c r="B78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783" s="1" t="s">
        <v>4332</v>
      </c>
      <c r="D783" s="1" t="s">
        <v>2883</v>
      </c>
      <c r="E783" s="1" t="s">
        <v>4333</v>
      </c>
      <c r="F783" s="1" t="s">
        <v>112</v>
      </c>
      <c r="G783" s="1">
        <v>231224</v>
      </c>
    </row>
    <row r="784" spans="1:7" x14ac:dyDescent="0.35">
      <c r="A784" s="1" t="str">
        <f t="shared" si="12"/>
        <v>9</v>
      </c>
      <c r="B78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784" s="1" t="s">
        <v>4334</v>
      </c>
      <c r="D784" s="1" t="s">
        <v>1157</v>
      </c>
      <c r="E784" s="1" t="s">
        <v>4335</v>
      </c>
      <c r="F784" s="1" t="s">
        <v>112</v>
      </c>
      <c r="G784" s="1">
        <v>477761</v>
      </c>
    </row>
    <row r="785" spans="1:8" x14ac:dyDescent="0.35">
      <c r="A785" s="1" t="str">
        <f t="shared" si="12"/>
        <v>9</v>
      </c>
      <c r="B78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785" s="1" t="s">
        <v>4336</v>
      </c>
      <c r="D785" s="1" t="s">
        <v>2704</v>
      </c>
      <c r="E785" s="1" t="s">
        <v>4337</v>
      </c>
      <c r="F785" s="1" t="s">
        <v>112</v>
      </c>
      <c r="G785" s="1">
        <v>367578</v>
      </c>
    </row>
    <row r="786" spans="1:8" x14ac:dyDescent="0.35">
      <c r="A786" s="1" t="str">
        <f t="shared" si="12"/>
        <v>9</v>
      </c>
      <c r="B78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786" s="1" t="s">
        <v>4338</v>
      </c>
      <c r="D786" s="1" t="s">
        <v>4339</v>
      </c>
      <c r="E786" s="1" t="s">
        <v>4340</v>
      </c>
      <c r="F786" s="1" t="s">
        <v>112</v>
      </c>
      <c r="G786" s="1">
        <v>560409</v>
      </c>
    </row>
    <row r="787" spans="1:8" x14ac:dyDescent="0.35">
      <c r="A787" s="1" t="str">
        <f t="shared" si="12"/>
        <v>9</v>
      </c>
      <c r="B78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787" s="1" t="s">
        <v>4341</v>
      </c>
      <c r="D787" s="1" t="s">
        <v>1147</v>
      </c>
      <c r="E787" s="1" t="s">
        <v>4342</v>
      </c>
      <c r="F787" s="1" t="s">
        <v>112</v>
      </c>
      <c r="G787" s="1">
        <v>409497</v>
      </c>
    </row>
    <row r="788" spans="1:8" x14ac:dyDescent="0.35">
      <c r="A788" s="1" t="str">
        <f t="shared" si="12"/>
        <v>9</v>
      </c>
      <c r="B78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788" s="1" t="s">
        <v>4343</v>
      </c>
      <c r="D788" s="1" t="s">
        <v>4344</v>
      </c>
      <c r="E788" s="1" t="s">
        <v>4345</v>
      </c>
      <c r="F788" s="1" t="s">
        <v>112</v>
      </c>
      <c r="G788" s="1">
        <v>335999</v>
      </c>
    </row>
    <row r="789" spans="1:8" x14ac:dyDescent="0.35">
      <c r="A789" s="1" t="str">
        <f t="shared" si="12"/>
        <v>9</v>
      </c>
      <c r="B78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789" s="1" t="s">
        <v>4346</v>
      </c>
      <c r="D789" s="1" t="s">
        <v>1323</v>
      </c>
      <c r="E789" s="1" t="s">
        <v>4347</v>
      </c>
      <c r="F789" s="1" t="s">
        <v>112</v>
      </c>
      <c r="G789" s="1">
        <v>255600</v>
      </c>
    </row>
    <row r="790" spans="1:8" x14ac:dyDescent="0.35">
      <c r="A790" s="1" t="str">
        <f t="shared" si="12"/>
        <v>9</v>
      </c>
      <c r="B79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790" s="1" t="s">
        <v>4348</v>
      </c>
      <c r="D790" s="1" t="s">
        <v>2766</v>
      </c>
      <c r="E790" s="1" t="s">
        <v>1759</v>
      </c>
      <c r="F790" s="1" t="s">
        <v>112</v>
      </c>
      <c r="G790" s="1">
        <v>298406</v>
      </c>
    </row>
    <row r="791" spans="1:8" x14ac:dyDescent="0.35">
      <c r="A791" s="1" t="str">
        <f t="shared" si="12"/>
        <v>9</v>
      </c>
      <c r="B79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791" s="1" t="s">
        <v>4349</v>
      </c>
    </row>
    <row r="792" spans="1:8" x14ac:dyDescent="0.35">
      <c r="A792" s="1" t="str">
        <f t="shared" si="12"/>
        <v/>
      </c>
      <c r="B79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792" s="1" t="s">
        <v>112</v>
      </c>
    </row>
    <row r="793" spans="1:8" x14ac:dyDescent="0.35">
      <c r="A793" s="1" t="str">
        <f t="shared" si="12"/>
        <v/>
      </c>
      <c r="B79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793" s="1" t="s">
        <v>226</v>
      </c>
      <c r="D793" s="1" t="s">
        <v>112</v>
      </c>
      <c r="E793" s="1" t="s">
        <v>227</v>
      </c>
      <c r="F793" s="1" t="s">
        <v>228</v>
      </c>
      <c r="G793" s="1" t="s">
        <v>229</v>
      </c>
      <c r="H793" s="1" t="s">
        <v>230</v>
      </c>
    </row>
    <row r="794" spans="1:8" x14ac:dyDescent="0.35">
      <c r="A794" s="1" t="str">
        <f t="shared" si="12"/>
        <v>9</v>
      </c>
      <c r="B79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 xml:space="preserve"> </v>
      </c>
      <c r="C794" s="1" t="s">
        <v>4350</v>
      </c>
      <c r="D794" s="1" t="s">
        <v>112</v>
      </c>
      <c r="E794" s="1" t="s">
        <v>4351</v>
      </c>
      <c r="F794" s="1" t="s">
        <v>4352</v>
      </c>
      <c r="G794" s="1" t="s">
        <v>4353</v>
      </c>
      <c r="H794" s="1" t="s">
        <v>4354</v>
      </c>
    </row>
    <row r="795" spans="1:8" x14ac:dyDescent="0.35">
      <c r="A795" s="1" t="str">
        <f t="shared" si="12"/>
        <v/>
      </c>
      <c r="B79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96" spans="1:8" x14ac:dyDescent="0.35">
      <c r="A796" s="1" t="str">
        <f t="shared" si="12"/>
        <v/>
      </c>
      <c r="B79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97" spans="1:8" x14ac:dyDescent="0.35">
      <c r="A797" s="1" t="str">
        <f t="shared" si="12"/>
        <v/>
      </c>
      <c r="B79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98" spans="1:8" x14ac:dyDescent="0.35">
      <c r="A798" s="1" t="str">
        <f t="shared" si="12"/>
        <v/>
      </c>
      <c r="B79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99" spans="1:8" x14ac:dyDescent="0.35">
      <c r="A799" s="1" t="str">
        <f t="shared" si="12"/>
        <v/>
      </c>
      <c r="B79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00" spans="1:8" x14ac:dyDescent="0.35">
      <c r="A800" s="1" t="str">
        <f t="shared" si="12"/>
        <v/>
      </c>
      <c r="B80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01" spans="1:2" x14ac:dyDescent="0.35">
      <c r="A801" s="1" t="str">
        <f t="shared" si="12"/>
        <v/>
      </c>
      <c r="B80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02" spans="1:2" x14ac:dyDescent="0.35">
      <c r="A802" s="1" t="str">
        <f t="shared" si="12"/>
        <v/>
      </c>
      <c r="B80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03" spans="1:2" x14ac:dyDescent="0.35">
      <c r="A803" s="1" t="str">
        <f t="shared" si="12"/>
        <v/>
      </c>
      <c r="B80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04" spans="1:2" x14ac:dyDescent="0.35">
      <c r="A804" s="1" t="str">
        <f t="shared" si="12"/>
        <v/>
      </c>
      <c r="B80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05" spans="1:2" x14ac:dyDescent="0.35">
      <c r="A805" s="1" t="str">
        <f t="shared" si="12"/>
        <v/>
      </c>
      <c r="B80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06" spans="1:2" x14ac:dyDescent="0.35">
      <c r="A806" s="1" t="str">
        <f t="shared" si="12"/>
        <v/>
      </c>
      <c r="B80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07" spans="1:2" x14ac:dyDescent="0.35">
      <c r="A807" s="1" t="str">
        <f t="shared" si="12"/>
        <v/>
      </c>
      <c r="B80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08" spans="1:2" x14ac:dyDescent="0.35">
      <c r="A808" s="1" t="str">
        <f t="shared" si="12"/>
        <v/>
      </c>
      <c r="B80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09" spans="1:2" x14ac:dyDescent="0.35">
      <c r="A809" s="1" t="str">
        <f t="shared" si="12"/>
        <v/>
      </c>
      <c r="B80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10" spans="1:2" x14ac:dyDescent="0.35">
      <c r="A810" s="1" t="str">
        <f t="shared" si="12"/>
        <v/>
      </c>
      <c r="B81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11" spans="1:2" x14ac:dyDescent="0.35">
      <c r="A811" s="1" t="str">
        <f t="shared" si="12"/>
        <v/>
      </c>
      <c r="B81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12" spans="1:2" x14ac:dyDescent="0.35">
      <c r="A812" s="1" t="str">
        <f t="shared" si="12"/>
        <v/>
      </c>
      <c r="B81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13" spans="1:2" x14ac:dyDescent="0.35">
      <c r="A813" s="1" t="str">
        <f t="shared" si="12"/>
        <v/>
      </c>
      <c r="B81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14" spans="1:2" x14ac:dyDescent="0.35">
      <c r="A814" s="1" t="str">
        <f t="shared" si="12"/>
        <v/>
      </c>
      <c r="B81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15" spans="1:2" x14ac:dyDescent="0.35">
      <c r="A815" s="1" t="str">
        <f t="shared" si="12"/>
        <v/>
      </c>
      <c r="B81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16" spans="1:2" x14ac:dyDescent="0.35">
      <c r="A816" s="1" t="str">
        <f t="shared" si="12"/>
        <v/>
      </c>
      <c r="B81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17" spans="1:2" x14ac:dyDescent="0.35">
      <c r="A817" s="1" t="str">
        <f t="shared" si="12"/>
        <v/>
      </c>
      <c r="B81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18" spans="1:2" x14ac:dyDescent="0.35">
      <c r="A818" s="1" t="str">
        <f t="shared" si="12"/>
        <v/>
      </c>
      <c r="B81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19" spans="1:2" x14ac:dyDescent="0.35">
      <c r="A819" s="1" t="str">
        <f t="shared" si="12"/>
        <v/>
      </c>
      <c r="B81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20" spans="1:2" x14ac:dyDescent="0.35">
      <c r="A820" s="1" t="str">
        <f t="shared" si="12"/>
        <v/>
      </c>
      <c r="B82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21" spans="1:2" x14ac:dyDescent="0.35">
      <c r="A821" s="1" t="str">
        <f t="shared" si="12"/>
        <v/>
      </c>
      <c r="B82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22" spans="1:2" x14ac:dyDescent="0.35">
      <c r="A822" s="1" t="str">
        <f t="shared" si="12"/>
        <v/>
      </c>
      <c r="B82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23" spans="1:2" x14ac:dyDescent="0.35">
      <c r="A823" s="1" t="str">
        <f t="shared" si="12"/>
        <v/>
      </c>
      <c r="B82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24" spans="1:2" x14ac:dyDescent="0.35">
      <c r="A824" s="1" t="str">
        <f t="shared" si="12"/>
        <v/>
      </c>
      <c r="B82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25" spans="1:2" x14ac:dyDescent="0.35">
      <c r="A825" s="1" t="str">
        <f t="shared" si="12"/>
        <v/>
      </c>
      <c r="B82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26" spans="1:2" x14ac:dyDescent="0.35">
      <c r="A826" s="1" t="str">
        <f t="shared" si="12"/>
        <v/>
      </c>
      <c r="B82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27" spans="1:2" x14ac:dyDescent="0.35">
      <c r="A827" s="1" t="str">
        <f t="shared" si="12"/>
        <v/>
      </c>
      <c r="B82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28" spans="1:2" x14ac:dyDescent="0.35">
      <c r="A828" s="1" t="str">
        <f t="shared" si="12"/>
        <v/>
      </c>
      <c r="B82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29" spans="1:2" x14ac:dyDescent="0.35">
      <c r="A829" s="1" t="str">
        <f t="shared" si="12"/>
        <v/>
      </c>
      <c r="B82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30" spans="1:2" x14ac:dyDescent="0.35">
      <c r="A830" s="1" t="str">
        <f t="shared" si="12"/>
        <v/>
      </c>
      <c r="B83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31" spans="1:2" x14ac:dyDescent="0.35">
      <c r="A831" s="1" t="str">
        <f t="shared" si="12"/>
        <v/>
      </c>
      <c r="B83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32" spans="1:2" x14ac:dyDescent="0.35">
      <c r="A832" s="1" t="str">
        <f t="shared" si="12"/>
        <v/>
      </c>
      <c r="B83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33" spans="1:2" x14ac:dyDescent="0.35">
      <c r="A833" s="1" t="str">
        <f t="shared" si="12"/>
        <v/>
      </c>
      <c r="B83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34" spans="1:2" x14ac:dyDescent="0.35">
      <c r="A834" s="1" t="str">
        <f t="shared" ref="A834:A897" si="13">IFERROR(LEFT(RIGHT(C834,LEN(C834)-SEARCH("@",C834)),SEARCH("/",RIGHT(C834,LEN(C834)-SEARCH("@",C834)-1))),"")</f>
        <v/>
      </c>
      <c r="B83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35" spans="1:2" x14ac:dyDescent="0.35">
      <c r="A835" s="1" t="str">
        <f t="shared" si="13"/>
        <v/>
      </c>
      <c r="B83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36" spans="1:2" x14ac:dyDescent="0.35">
      <c r="A836" s="1" t="str">
        <f t="shared" si="13"/>
        <v/>
      </c>
      <c r="B83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37" spans="1:2" x14ac:dyDescent="0.35">
      <c r="A837" s="1" t="str">
        <f t="shared" si="13"/>
        <v/>
      </c>
      <c r="B83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38" spans="1:2" x14ac:dyDescent="0.35">
      <c r="A838" s="1" t="str">
        <f t="shared" si="13"/>
        <v/>
      </c>
      <c r="B83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39" spans="1:2" x14ac:dyDescent="0.35">
      <c r="A839" s="1" t="str">
        <f t="shared" si="13"/>
        <v/>
      </c>
      <c r="B83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40" spans="1:2" x14ac:dyDescent="0.35">
      <c r="A840" s="1" t="str">
        <f t="shared" si="13"/>
        <v/>
      </c>
      <c r="B84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41" spans="1:2" x14ac:dyDescent="0.35">
      <c r="A841" s="1" t="str">
        <f t="shared" si="13"/>
        <v/>
      </c>
      <c r="B84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42" spans="1:2" x14ac:dyDescent="0.35">
      <c r="A842" s="1" t="str">
        <f t="shared" si="13"/>
        <v/>
      </c>
      <c r="B84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43" spans="1:2" x14ac:dyDescent="0.35">
      <c r="A843" s="1" t="str">
        <f t="shared" si="13"/>
        <v/>
      </c>
      <c r="B84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44" spans="1:2" x14ac:dyDescent="0.35">
      <c r="A844" s="1" t="str">
        <f t="shared" si="13"/>
        <v/>
      </c>
      <c r="B84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45" spans="1:2" x14ac:dyDescent="0.35">
      <c r="A845" s="1" t="str">
        <f t="shared" si="13"/>
        <v/>
      </c>
      <c r="B84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46" spans="1:2" x14ac:dyDescent="0.35">
      <c r="A846" s="1" t="str">
        <f t="shared" si="13"/>
        <v/>
      </c>
      <c r="B84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47" spans="1:2" x14ac:dyDescent="0.35">
      <c r="A847" s="1" t="str">
        <f t="shared" si="13"/>
        <v/>
      </c>
      <c r="B84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48" spans="1:2" x14ac:dyDescent="0.35">
      <c r="A848" s="1" t="str">
        <f t="shared" si="13"/>
        <v/>
      </c>
      <c r="B84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49" spans="1:2" x14ac:dyDescent="0.35">
      <c r="A849" s="1" t="str">
        <f t="shared" si="13"/>
        <v/>
      </c>
      <c r="B84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50" spans="1:2" x14ac:dyDescent="0.35">
      <c r="A850" s="1" t="str">
        <f t="shared" si="13"/>
        <v/>
      </c>
      <c r="B85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51" spans="1:2" x14ac:dyDescent="0.35">
      <c r="A851" s="1" t="str">
        <f t="shared" si="13"/>
        <v/>
      </c>
      <c r="B85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52" spans="1:2" x14ac:dyDescent="0.35">
      <c r="A852" s="1" t="str">
        <f t="shared" si="13"/>
        <v/>
      </c>
      <c r="B85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53" spans="1:2" x14ac:dyDescent="0.35">
      <c r="A853" s="1" t="str">
        <f t="shared" si="13"/>
        <v/>
      </c>
      <c r="B85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54" spans="1:2" x14ac:dyDescent="0.35">
      <c r="A854" s="1" t="str">
        <f t="shared" si="13"/>
        <v/>
      </c>
      <c r="B85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55" spans="1:2" x14ac:dyDescent="0.35">
      <c r="A855" s="1" t="str">
        <f t="shared" si="13"/>
        <v/>
      </c>
      <c r="B85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56" spans="1:2" x14ac:dyDescent="0.35">
      <c r="A856" s="1" t="str">
        <f t="shared" si="13"/>
        <v/>
      </c>
      <c r="B85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57" spans="1:2" x14ac:dyDescent="0.35">
      <c r="A857" s="1" t="str">
        <f t="shared" si="13"/>
        <v/>
      </c>
      <c r="B85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58" spans="1:2" x14ac:dyDescent="0.35">
      <c r="A858" s="1" t="str">
        <f t="shared" si="13"/>
        <v/>
      </c>
      <c r="B85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59" spans="1:2" x14ac:dyDescent="0.35">
      <c r="A859" s="1" t="str">
        <f t="shared" si="13"/>
        <v/>
      </c>
      <c r="B85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60" spans="1:2" x14ac:dyDescent="0.35">
      <c r="A860" s="1" t="str">
        <f t="shared" si="13"/>
        <v/>
      </c>
      <c r="B86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61" spans="1:2" x14ac:dyDescent="0.35">
      <c r="A861" s="1" t="str">
        <f t="shared" si="13"/>
        <v/>
      </c>
      <c r="B86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62" spans="1:2" x14ac:dyDescent="0.35">
      <c r="A862" s="1" t="str">
        <f t="shared" si="13"/>
        <v/>
      </c>
      <c r="B86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63" spans="1:2" x14ac:dyDescent="0.35">
      <c r="A863" s="1" t="str">
        <f t="shared" si="13"/>
        <v/>
      </c>
      <c r="B86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64" spans="1:2" x14ac:dyDescent="0.35">
      <c r="A864" s="1" t="str">
        <f t="shared" si="13"/>
        <v/>
      </c>
      <c r="B86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65" spans="1:2" x14ac:dyDescent="0.35">
      <c r="A865" s="1" t="str">
        <f t="shared" si="13"/>
        <v/>
      </c>
      <c r="B86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66" spans="1:2" x14ac:dyDescent="0.35">
      <c r="A866" s="1" t="str">
        <f t="shared" si="13"/>
        <v/>
      </c>
      <c r="B86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67" spans="1:2" x14ac:dyDescent="0.35">
      <c r="A867" s="1" t="str">
        <f t="shared" si="13"/>
        <v/>
      </c>
      <c r="B86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68" spans="1:2" x14ac:dyDescent="0.35">
      <c r="A868" s="1" t="str">
        <f t="shared" si="13"/>
        <v/>
      </c>
      <c r="B86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69" spans="1:2" x14ac:dyDescent="0.35">
      <c r="A869" s="1" t="str">
        <f t="shared" si="13"/>
        <v/>
      </c>
      <c r="B86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70" spans="1:2" x14ac:dyDescent="0.35">
      <c r="A870" s="1" t="str">
        <f t="shared" si="13"/>
        <v/>
      </c>
      <c r="B87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71" spans="1:2" x14ac:dyDescent="0.35">
      <c r="A871" s="1" t="str">
        <f t="shared" si="13"/>
        <v/>
      </c>
      <c r="B87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72" spans="1:2" x14ac:dyDescent="0.35">
      <c r="A872" s="1" t="str">
        <f t="shared" si="13"/>
        <v/>
      </c>
      <c r="B87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73" spans="1:2" x14ac:dyDescent="0.35">
      <c r="A873" s="1" t="str">
        <f t="shared" si="13"/>
        <v/>
      </c>
      <c r="B87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74" spans="1:2" x14ac:dyDescent="0.35">
      <c r="A874" s="1" t="str">
        <f t="shared" si="13"/>
        <v/>
      </c>
      <c r="B87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75" spans="1:2" x14ac:dyDescent="0.35">
      <c r="A875" s="1" t="str">
        <f t="shared" si="13"/>
        <v/>
      </c>
      <c r="B87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76" spans="1:2" x14ac:dyDescent="0.35">
      <c r="A876" s="1" t="str">
        <f t="shared" si="13"/>
        <v/>
      </c>
      <c r="B87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77" spans="1:2" x14ac:dyDescent="0.35">
      <c r="A877" s="1" t="str">
        <f t="shared" si="13"/>
        <v/>
      </c>
      <c r="B87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78" spans="1:2" x14ac:dyDescent="0.35">
      <c r="A878" s="1" t="str">
        <f t="shared" si="13"/>
        <v/>
      </c>
      <c r="B87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79" spans="1:2" x14ac:dyDescent="0.35">
      <c r="A879" s="1" t="str">
        <f t="shared" si="13"/>
        <v/>
      </c>
      <c r="B87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80" spans="1:2" x14ac:dyDescent="0.35">
      <c r="A880" s="1" t="str">
        <f t="shared" si="13"/>
        <v/>
      </c>
      <c r="B88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81" spans="1:2" x14ac:dyDescent="0.35">
      <c r="A881" s="1" t="str">
        <f t="shared" si="13"/>
        <v/>
      </c>
      <c r="B88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82" spans="1:2" x14ac:dyDescent="0.35">
      <c r="A882" s="1" t="str">
        <f t="shared" si="13"/>
        <v/>
      </c>
      <c r="B88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83" spans="1:2" x14ac:dyDescent="0.35">
      <c r="A883" s="1" t="str">
        <f t="shared" si="13"/>
        <v/>
      </c>
      <c r="B88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84" spans="1:2" x14ac:dyDescent="0.35">
      <c r="A884" s="1" t="str">
        <f t="shared" si="13"/>
        <v/>
      </c>
      <c r="B88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85" spans="1:2" x14ac:dyDescent="0.35">
      <c r="A885" s="1" t="str">
        <f t="shared" si="13"/>
        <v/>
      </c>
      <c r="B88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86" spans="1:2" x14ac:dyDescent="0.35">
      <c r="A886" s="1" t="str">
        <f t="shared" si="13"/>
        <v/>
      </c>
      <c r="B88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87" spans="1:2" x14ac:dyDescent="0.35">
      <c r="A887" s="1" t="str">
        <f t="shared" si="13"/>
        <v/>
      </c>
      <c r="B88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88" spans="1:2" x14ac:dyDescent="0.35">
      <c r="A888" s="1" t="str">
        <f t="shared" si="13"/>
        <v/>
      </c>
      <c r="B88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89" spans="1:2" x14ac:dyDescent="0.35">
      <c r="A889" s="1" t="str">
        <f t="shared" si="13"/>
        <v/>
      </c>
      <c r="B88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90" spans="1:2" x14ac:dyDescent="0.35">
      <c r="A890" s="1" t="str">
        <f t="shared" si="13"/>
        <v/>
      </c>
      <c r="B89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91" spans="1:2" x14ac:dyDescent="0.35">
      <c r="A891" s="1" t="str">
        <f t="shared" si="13"/>
        <v/>
      </c>
      <c r="B89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92" spans="1:2" x14ac:dyDescent="0.35">
      <c r="A892" s="1" t="str">
        <f t="shared" si="13"/>
        <v/>
      </c>
      <c r="B89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93" spans="1:2" x14ac:dyDescent="0.35">
      <c r="A893" s="1" t="str">
        <f t="shared" si="13"/>
        <v/>
      </c>
      <c r="B89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94" spans="1:2" x14ac:dyDescent="0.35">
      <c r="A894" s="1" t="str">
        <f t="shared" si="13"/>
        <v/>
      </c>
      <c r="B89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95" spans="1:2" x14ac:dyDescent="0.35">
      <c r="A895" s="1" t="str">
        <f t="shared" si="13"/>
        <v/>
      </c>
      <c r="B89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96" spans="1:2" x14ac:dyDescent="0.35">
      <c r="A896" s="1" t="str">
        <f t="shared" si="13"/>
        <v/>
      </c>
      <c r="B89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97" spans="1:2" x14ac:dyDescent="0.35">
      <c r="A897" s="1" t="str">
        <f t="shared" si="13"/>
        <v/>
      </c>
      <c r="B89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98" spans="1:2" x14ac:dyDescent="0.35">
      <c r="A898" s="1" t="str">
        <f t="shared" ref="A898:A961" si="14">IFERROR(LEFT(RIGHT(C898,LEN(C898)-SEARCH("@",C898)),SEARCH("/",RIGHT(C898,LEN(C898)-SEARCH("@",C898)-1))),"")</f>
        <v/>
      </c>
      <c r="B89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99" spans="1:2" x14ac:dyDescent="0.35">
      <c r="A899" s="1" t="str">
        <f t="shared" si="14"/>
        <v/>
      </c>
      <c r="B89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00" spans="1:2" x14ac:dyDescent="0.35">
      <c r="A900" s="1" t="str">
        <f t="shared" si="14"/>
        <v/>
      </c>
      <c r="B90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01" spans="1:2" x14ac:dyDescent="0.35">
      <c r="A901" s="1" t="str">
        <f t="shared" si="14"/>
        <v/>
      </c>
      <c r="B90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02" spans="1:2" x14ac:dyDescent="0.35">
      <c r="A902" s="1" t="str">
        <f t="shared" si="14"/>
        <v/>
      </c>
      <c r="B90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03" spans="1:2" x14ac:dyDescent="0.35">
      <c r="A903" s="1" t="str">
        <f t="shared" si="14"/>
        <v/>
      </c>
      <c r="B90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04" spans="1:2" x14ac:dyDescent="0.35">
      <c r="A904" s="1" t="str">
        <f t="shared" si="14"/>
        <v/>
      </c>
      <c r="B90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05" spans="1:2" x14ac:dyDescent="0.35">
      <c r="A905" s="1" t="str">
        <f t="shared" si="14"/>
        <v/>
      </c>
      <c r="B90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06" spans="1:2" x14ac:dyDescent="0.35">
      <c r="A906" s="1" t="str">
        <f t="shared" si="14"/>
        <v/>
      </c>
      <c r="B90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07" spans="1:2" x14ac:dyDescent="0.35">
      <c r="A907" s="1" t="str">
        <f t="shared" si="14"/>
        <v/>
      </c>
      <c r="B90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08" spans="1:2" x14ac:dyDescent="0.35">
      <c r="A908" s="1" t="str">
        <f t="shared" si="14"/>
        <v/>
      </c>
      <c r="B90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09" spans="1:2" x14ac:dyDescent="0.35">
      <c r="A909" s="1" t="str">
        <f t="shared" si="14"/>
        <v/>
      </c>
      <c r="B90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10" spans="1:2" x14ac:dyDescent="0.35">
      <c r="A910" s="1" t="str">
        <f t="shared" si="14"/>
        <v/>
      </c>
      <c r="B91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11" spans="1:2" x14ac:dyDescent="0.35">
      <c r="A911" s="1" t="str">
        <f t="shared" si="14"/>
        <v/>
      </c>
      <c r="B91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12" spans="1:2" x14ac:dyDescent="0.35">
      <c r="A912" s="1" t="str">
        <f t="shared" si="14"/>
        <v/>
      </c>
      <c r="B91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13" spans="1:2" x14ac:dyDescent="0.35">
      <c r="A913" s="1" t="str">
        <f t="shared" si="14"/>
        <v/>
      </c>
      <c r="B91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14" spans="1:2" x14ac:dyDescent="0.35">
      <c r="A914" s="1" t="str">
        <f t="shared" si="14"/>
        <v/>
      </c>
      <c r="B91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15" spans="1:2" x14ac:dyDescent="0.35">
      <c r="A915" s="1" t="str">
        <f t="shared" si="14"/>
        <v/>
      </c>
      <c r="B91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16" spans="1:2" x14ac:dyDescent="0.35">
      <c r="A916" s="1" t="str">
        <f t="shared" si="14"/>
        <v/>
      </c>
      <c r="B91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17" spans="1:2" x14ac:dyDescent="0.35">
      <c r="A917" s="1" t="str">
        <f t="shared" si="14"/>
        <v/>
      </c>
      <c r="B91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18" spans="1:2" x14ac:dyDescent="0.35">
      <c r="A918" s="1" t="str">
        <f t="shared" si="14"/>
        <v/>
      </c>
      <c r="B91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19" spans="1:2" x14ac:dyDescent="0.35">
      <c r="A919" s="1" t="str">
        <f t="shared" si="14"/>
        <v/>
      </c>
      <c r="B91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20" spans="1:2" x14ac:dyDescent="0.35">
      <c r="A920" s="1" t="str">
        <f t="shared" si="14"/>
        <v/>
      </c>
      <c r="B92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21" spans="1:2" x14ac:dyDescent="0.35">
      <c r="A921" s="1" t="str">
        <f t="shared" si="14"/>
        <v/>
      </c>
      <c r="B92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22" spans="1:2" x14ac:dyDescent="0.35">
      <c r="A922" s="1" t="str">
        <f t="shared" si="14"/>
        <v/>
      </c>
      <c r="B92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23" spans="1:2" x14ac:dyDescent="0.35">
      <c r="A923" s="1" t="str">
        <f t="shared" si="14"/>
        <v/>
      </c>
      <c r="B92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24" spans="1:2" x14ac:dyDescent="0.35">
      <c r="A924" s="1" t="str">
        <f t="shared" si="14"/>
        <v/>
      </c>
      <c r="B92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25" spans="1:2" x14ac:dyDescent="0.35">
      <c r="A925" s="1" t="str">
        <f t="shared" si="14"/>
        <v/>
      </c>
      <c r="B92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26" spans="1:2" x14ac:dyDescent="0.35">
      <c r="A926" s="1" t="str">
        <f t="shared" si="14"/>
        <v/>
      </c>
      <c r="B92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27" spans="1:2" x14ac:dyDescent="0.35">
      <c r="A927" s="1" t="str">
        <f t="shared" si="14"/>
        <v/>
      </c>
      <c r="B92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28" spans="1:2" x14ac:dyDescent="0.35">
      <c r="A928" s="1" t="str">
        <f t="shared" si="14"/>
        <v/>
      </c>
      <c r="B92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29" spans="1:2" x14ac:dyDescent="0.35">
      <c r="A929" s="1" t="str">
        <f t="shared" si="14"/>
        <v/>
      </c>
      <c r="B92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30" spans="1:2" x14ac:dyDescent="0.35">
      <c r="A930" s="1" t="str">
        <f t="shared" si="14"/>
        <v/>
      </c>
      <c r="B93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31" spans="1:2" x14ac:dyDescent="0.35">
      <c r="A931" s="1" t="str">
        <f t="shared" si="14"/>
        <v/>
      </c>
      <c r="B93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32" spans="1:2" x14ac:dyDescent="0.35">
      <c r="A932" s="1" t="str">
        <f t="shared" si="14"/>
        <v/>
      </c>
      <c r="B93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33" spans="1:2" x14ac:dyDescent="0.35">
      <c r="A933" s="1" t="str">
        <f t="shared" si="14"/>
        <v/>
      </c>
      <c r="B93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34" spans="1:2" x14ac:dyDescent="0.35">
      <c r="A934" s="1" t="str">
        <f t="shared" si="14"/>
        <v/>
      </c>
      <c r="B93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35" spans="1:2" x14ac:dyDescent="0.35">
      <c r="A935" s="1" t="str">
        <f t="shared" si="14"/>
        <v/>
      </c>
      <c r="B93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36" spans="1:2" x14ac:dyDescent="0.35">
      <c r="A936" s="1" t="str">
        <f t="shared" si="14"/>
        <v/>
      </c>
      <c r="B93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37" spans="1:2" x14ac:dyDescent="0.35">
      <c r="A937" s="1" t="str">
        <f t="shared" si="14"/>
        <v/>
      </c>
      <c r="B93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38" spans="1:2" x14ac:dyDescent="0.35">
      <c r="A938" s="1" t="str">
        <f t="shared" si="14"/>
        <v/>
      </c>
      <c r="B93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39" spans="1:2" x14ac:dyDescent="0.35">
      <c r="A939" s="1" t="str">
        <f t="shared" si="14"/>
        <v/>
      </c>
      <c r="B93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40" spans="1:2" x14ac:dyDescent="0.35">
      <c r="A940" s="1" t="str">
        <f t="shared" si="14"/>
        <v/>
      </c>
      <c r="B94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41" spans="1:2" x14ac:dyDescent="0.35">
      <c r="A941" s="1" t="str">
        <f t="shared" si="14"/>
        <v/>
      </c>
      <c r="B94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42" spans="1:2" x14ac:dyDescent="0.35">
      <c r="A942" s="1" t="str">
        <f t="shared" si="14"/>
        <v/>
      </c>
      <c r="B94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43" spans="1:2" x14ac:dyDescent="0.35">
      <c r="A943" s="1" t="str">
        <f t="shared" si="14"/>
        <v/>
      </c>
      <c r="B94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44" spans="1:2" x14ac:dyDescent="0.35">
      <c r="A944" s="1" t="str">
        <f t="shared" si="14"/>
        <v/>
      </c>
      <c r="B94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45" spans="1:2" x14ac:dyDescent="0.35">
      <c r="A945" s="1" t="str">
        <f t="shared" si="14"/>
        <v/>
      </c>
      <c r="B94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46" spans="1:2" x14ac:dyDescent="0.35">
      <c r="A946" s="1" t="str">
        <f t="shared" si="14"/>
        <v/>
      </c>
      <c r="B94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47" spans="1:2" x14ac:dyDescent="0.35">
      <c r="A947" s="1" t="str">
        <f t="shared" si="14"/>
        <v/>
      </c>
      <c r="B94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48" spans="1:2" x14ac:dyDescent="0.35">
      <c r="A948" s="1" t="str">
        <f t="shared" si="14"/>
        <v/>
      </c>
      <c r="B94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49" spans="1:2" x14ac:dyDescent="0.35">
      <c r="A949" s="1" t="str">
        <f t="shared" si="14"/>
        <v/>
      </c>
      <c r="B94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50" spans="1:2" x14ac:dyDescent="0.35">
      <c r="A950" s="1" t="str">
        <f t="shared" si="14"/>
        <v/>
      </c>
      <c r="B95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51" spans="1:2" x14ac:dyDescent="0.35">
      <c r="A951" s="1" t="str">
        <f t="shared" si="14"/>
        <v/>
      </c>
      <c r="B95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52" spans="1:2" x14ac:dyDescent="0.35">
      <c r="A952" s="1" t="str">
        <f t="shared" si="14"/>
        <v/>
      </c>
      <c r="B95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53" spans="1:2" x14ac:dyDescent="0.35">
      <c r="A953" s="1" t="str">
        <f t="shared" si="14"/>
        <v/>
      </c>
      <c r="B95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54" spans="1:2" x14ac:dyDescent="0.35">
      <c r="A954" s="1" t="str">
        <f t="shared" si="14"/>
        <v/>
      </c>
      <c r="B95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55" spans="1:2" x14ac:dyDescent="0.35">
      <c r="A955" s="1" t="str">
        <f t="shared" si="14"/>
        <v/>
      </c>
      <c r="B95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56" spans="1:2" x14ac:dyDescent="0.35">
      <c r="A956" s="1" t="str">
        <f t="shared" si="14"/>
        <v/>
      </c>
      <c r="B95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57" spans="1:2" x14ac:dyDescent="0.35">
      <c r="A957" s="1" t="str">
        <f t="shared" si="14"/>
        <v/>
      </c>
      <c r="B95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58" spans="1:2" x14ac:dyDescent="0.35">
      <c r="A958" s="1" t="str">
        <f t="shared" si="14"/>
        <v/>
      </c>
      <c r="B95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59" spans="1:2" x14ac:dyDescent="0.35">
      <c r="A959" s="1" t="str">
        <f t="shared" si="14"/>
        <v/>
      </c>
      <c r="B95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60" spans="1:2" x14ac:dyDescent="0.35">
      <c r="A960" s="1" t="str">
        <f t="shared" si="14"/>
        <v/>
      </c>
      <c r="B96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61" spans="1:2" x14ac:dyDescent="0.35">
      <c r="A961" s="1" t="str">
        <f t="shared" si="14"/>
        <v/>
      </c>
      <c r="B96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62" spans="1:2" x14ac:dyDescent="0.35">
      <c r="A962" s="1" t="str">
        <f t="shared" ref="A962:A1010" si="15">IFERROR(LEFT(RIGHT(C962,LEN(C962)-SEARCH("@",C962)),SEARCH("/",RIGHT(C962,LEN(C962)-SEARCH("@",C962)-1))),"")</f>
        <v/>
      </c>
      <c r="B96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63" spans="1:2" x14ac:dyDescent="0.35">
      <c r="A963" s="1" t="str">
        <f t="shared" si="15"/>
        <v/>
      </c>
      <c r="B96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64" spans="1:2" x14ac:dyDescent="0.35">
      <c r="A964" s="1" t="str">
        <f t="shared" si="15"/>
        <v/>
      </c>
      <c r="B96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65" spans="1:2" x14ac:dyDescent="0.35">
      <c r="A965" s="1" t="str">
        <f t="shared" si="15"/>
        <v/>
      </c>
      <c r="B96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66" spans="1:2" x14ac:dyDescent="0.35">
      <c r="A966" s="1" t="str">
        <f t="shared" si="15"/>
        <v/>
      </c>
      <c r="B96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67" spans="1:2" x14ac:dyDescent="0.35">
      <c r="A967" s="1" t="str">
        <f t="shared" si="15"/>
        <v/>
      </c>
      <c r="B96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68" spans="1:2" x14ac:dyDescent="0.35">
      <c r="A968" s="1" t="str">
        <f t="shared" si="15"/>
        <v/>
      </c>
      <c r="B96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69" spans="1:2" x14ac:dyDescent="0.35">
      <c r="A969" s="1" t="str">
        <f t="shared" si="15"/>
        <v/>
      </c>
      <c r="B96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70" spans="1:2" x14ac:dyDescent="0.35">
      <c r="A970" s="1" t="str">
        <f t="shared" si="15"/>
        <v/>
      </c>
      <c r="B97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71" spans="1:2" x14ac:dyDescent="0.35">
      <c r="A971" s="1" t="str">
        <f t="shared" si="15"/>
        <v/>
      </c>
      <c r="B97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72" spans="1:2" x14ac:dyDescent="0.35">
      <c r="A972" s="1" t="str">
        <f t="shared" si="15"/>
        <v/>
      </c>
      <c r="B97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73" spans="1:2" x14ac:dyDescent="0.35">
      <c r="A973" s="1" t="str">
        <f t="shared" si="15"/>
        <v/>
      </c>
      <c r="B97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74" spans="1:2" x14ac:dyDescent="0.35">
      <c r="A974" s="1" t="str">
        <f t="shared" si="15"/>
        <v/>
      </c>
      <c r="B97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75" spans="1:2" x14ac:dyDescent="0.35">
      <c r="A975" s="1" t="str">
        <f t="shared" si="15"/>
        <v/>
      </c>
      <c r="B97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76" spans="1:2" x14ac:dyDescent="0.35">
      <c r="A976" s="1" t="str">
        <f t="shared" si="15"/>
        <v/>
      </c>
      <c r="B97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77" spans="1:2" x14ac:dyDescent="0.35">
      <c r="A977" s="1" t="str">
        <f t="shared" si="15"/>
        <v/>
      </c>
      <c r="B97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78" spans="1:2" x14ac:dyDescent="0.35">
      <c r="A978" s="1" t="str">
        <f t="shared" si="15"/>
        <v/>
      </c>
      <c r="B97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79" spans="1:2" x14ac:dyDescent="0.35">
      <c r="A979" s="1" t="str">
        <f t="shared" si="15"/>
        <v/>
      </c>
      <c r="B97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80" spans="1:2" x14ac:dyDescent="0.35">
      <c r="A980" s="1" t="str">
        <f t="shared" si="15"/>
        <v/>
      </c>
      <c r="B98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81" spans="1:2" x14ac:dyDescent="0.35">
      <c r="A981" s="1" t="str">
        <f t="shared" si="15"/>
        <v/>
      </c>
      <c r="B98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82" spans="1:2" x14ac:dyDescent="0.35">
      <c r="A982" s="1" t="str">
        <f t="shared" si="15"/>
        <v/>
      </c>
      <c r="B98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83" spans="1:2" x14ac:dyDescent="0.35">
      <c r="A983" s="1" t="str">
        <f t="shared" si="15"/>
        <v/>
      </c>
      <c r="B98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84" spans="1:2" x14ac:dyDescent="0.35">
      <c r="A984" s="1" t="str">
        <f t="shared" si="15"/>
        <v/>
      </c>
      <c r="B98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85" spans="1:2" x14ac:dyDescent="0.35">
      <c r="A985" s="1" t="str">
        <f t="shared" si="15"/>
        <v/>
      </c>
      <c r="B98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86" spans="1:2" x14ac:dyDescent="0.35">
      <c r="A986" s="1" t="str">
        <f t="shared" si="15"/>
        <v/>
      </c>
      <c r="B98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87" spans="1:2" x14ac:dyDescent="0.35">
      <c r="A987" s="1" t="str">
        <f t="shared" si="15"/>
        <v/>
      </c>
      <c r="B98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88" spans="1:2" x14ac:dyDescent="0.35">
      <c r="A988" s="1" t="str">
        <f t="shared" si="15"/>
        <v/>
      </c>
      <c r="B98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89" spans="1:2" x14ac:dyDescent="0.35">
      <c r="A989" s="1" t="str">
        <f t="shared" si="15"/>
        <v/>
      </c>
      <c r="B98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90" spans="1:2" x14ac:dyDescent="0.35">
      <c r="A990" s="1" t="str">
        <f t="shared" si="15"/>
        <v/>
      </c>
      <c r="B99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91" spans="1:2" x14ac:dyDescent="0.35">
      <c r="A991" s="1" t="str">
        <f t="shared" si="15"/>
        <v/>
      </c>
      <c r="B99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92" spans="1:2" x14ac:dyDescent="0.35">
      <c r="A992" s="1" t="str">
        <f t="shared" si="15"/>
        <v/>
      </c>
      <c r="B99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93" spans="1:2" x14ac:dyDescent="0.35">
      <c r="A993" s="1" t="str">
        <f t="shared" si="15"/>
        <v/>
      </c>
      <c r="B99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94" spans="1:2" x14ac:dyDescent="0.35">
      <c r="A994" s="1" t="str">
        <f t="shared" si="15"/>
        <v/>
      </c>
      <c r="B99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95" spans="1:2" x14ac:dyDescent="0.35">
      <c r="A995" s="1" t="str">
        <f t="shared" si="15"/>
        <v/>
      </c>
      <c r="B99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96" spans="1:2" x14ac:dyDescent="0.35">
      <c r="A996" s="1" t="str">
        <f t="shared" si="15"/>
        <v/>
      </c>
      <c r="B99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97" spans="1:2" x14ac:dyDescent="0.35">
      <c r="A997" s="1" t="str">
        <f t="shared" si="15"/>
        <v/>
      </c>
      <c r="B99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98" spans="1:2" x14ac:dyDescent="0.35">
      <c r="A998" s="1" t="str">
        <f t="shared" si="15"/>
        <v/>
      </c>
      <c r="B99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99" spans="1:2" x14ac:dyDescent="0.35">
      <c r="A999" s="1" t="str">
        <f t="shared" si="15"/>
        <v/>
      </c>
      <c r="B99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00" spans="1:2" x14ac:dyDescent="0.35">
      <c r="A1000" s="1" t="str">
        <f t="shared" si="15"/>
        <v/>
      </c>
      <c r="B100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01" spans="1:2" x14ac:dyDescent="0.35">
      <c r="A1001" s="1" t="str">
        <f t="shared" si="15"/>
        <v/>
      </c>
      <c r="B100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02" spans="1:2" x14ac:dyDescent="0.35">
      <c r="A1002" s="1" t="str">
        <f t="shared" si="15"/>
        <v/>
      </c>
      <c r="B100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03" spans="1:2" x14ac:dyDescent="0.35">
      <c r="A1003" s="1" t="str">
        <f t="shared" si="15"/>
        <v/>
      </c>
      <c r="B100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04" spans="1:2" x14ac:dyDescent="0.35">
      <c r="A1004" s="1" t="str">
        <f t="shared" si="15"/>
        <v/>
      </c>
      <c r="B100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05" spans="1:2" x14ac:dyDescent="0.35">
      <c r="A1005" s="1" t="str">
        <f t="shared" si="15"/>
        <v/>
      </c>
      <c r="B100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06" spans="1:2" x14ac:dyDescent="0.35">
      <c r="A1006" s="1" t="str">
        <f t="shared" si="15"/>
        <v/>
      </c>
      <c r="B100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07" spans="1:2" x14ac:dyDescent="0.35">
      <c r="A1007" s="1" t="str">
        <f t="shared" si="15"/>
        <v/>
      </c>
      <c r="B100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08" spans="1:2" x14ac:dyDescent="0.35">
      <c r="A1008" s="1" t="str">
        <f t="shared" si="15"/>
        <v/>
      </c>
      <c r="B100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09" spans="1:2" x14ac:dyDescent="0.35">
      <c r="A1009" s="1" t="str">
        <f t="shared" si="15"/>
        <v/>
      </c>
      <c r="B100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10" spans="1:2" x14ac:dyDescent="0.35">
      <c r="A1010" s="1" t="str">
        <f t="shared" si="15"/>
        <v/>
      </c>
      <c r="B101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11" spans="1:2" x14ac:dyDescent="0.35">
      <c r="A1011" s="1" t="str">
        <f t="shared" ref="A1011:A1074" si="16">IFERROR(LEFT(RIGHT(C1011,LEN(C1011)-SEARCH("@",C1011)),SEARCH("/",RIGHT(C1011,LEN(C1011)-SEARCH("@",C1011)-1))),"")</f>
        <v/>
      </c>
      <c r="B101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12" spans="1:2" x14ac:dyDescent="0.35">
      <c r="A1012" s="1" t="str">
        <f t="shared" si="16"/>
        <v/>
      </c>
      <c r="B101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13" spans="1:2" x14ac:dyDescent="0.35">
      <c r="A1013" s="1" t="str">
        <f t="shared" si="16"/>
        <v/>
      </c>
      <c r="B101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14" spans="1:2" x14ac:dyDescent="0.35">
      <c r="A1014" s="1" t="str">
        <f t="shared" si="16"/>
        <v/>
      </c>
      <c r="B101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15" spans="1:2" x14ac:dyDescent="0.35">
      <c r="A1015" s="1" t="str">
        <f t="shared" si="16"/>
        <v/>
      </c>
      <c r="B101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16" spans="1:2" x14ac:dyDescent="0.35">
      <c r="A1016" s="1" t="str">
        <f t="shared" si="16"/>
        <v/>
      </c>
      <c r="B101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17" spans="1:2" x14ac:dyDescent="0.35">
      <c r="A1017" s="1" t="str">
        <f t="shared" si="16"/>
        <v/>
      </c>
      <c r="B101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18" spans="1:2" x14ac:dyDescent="0.35">
      <c r="A1018" s="1" t="str">
        <f t="shared" si="16"/>
        <v/>
      </c>
      <c r="B101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19" spans="1:2" x14ac:dyDescent="0.35">
      <c r="A1019" s="1" t="str">
        <f t="shared" si="16"/>
        <v/>
      </c>
      <c r="B101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20" spans="1:2" x14ac:dyDescent="0.35">
      <c r="A1020" s="1" t="str">
        <f t="shared" si="16"/>
        <v/>
      </c>
      <c r="B102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21" spans="1:2" x14ac:dyDescent="0.35">
      <c r="A1021" s="1" t="str">
        <f t="shared" si="16"/>
        <v/>
      </c>
      <c r="B102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22" spans="1:2" x14ac:dyDescent="0.35">
      <c r="A1022" s="1" t="str">
        <f t="shared" si="16"/>
        <v/>
      </c>
      <c r="B102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23" spans="1:2" x14ac:dyDescent="0.35">
      <c r="A1023" s="1" t="str">
        <f t="shared" si="16"/>
        <v/>
      </c>
      <c r="B102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24" spans="1:2" x14ac:dyDescent="0.35">
      <c r="A1024" s="1" t="str">
        <f t="shared" si="16"/>
        <v/>
      </c>
      <c r="B102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25" spans="1:2" x14ac:dyDescent="0.35">
      <c r="A1025" s="1" t="str">
        <f t="shared" si="16"/>
        <v/>
      </c>
      <c r="B102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26" spans="1:2" x14ac:dyDescent="0.35">
      <c r="A1026" s="1" t="str">
        <f t="shared" si="16"/>
        <v/>
      </c>
      <c r="B102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27" spans="1:2" x14ac:dyDescent="0.35">
      <c r="A1027" s="1" t="str">
        <f t="shared" si="16"/>
        <v/>
      </c>
      <c r="B102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28" spans="1:2" x14ac:dyDescent="0.35">
      <c r="A1028" s="1" t="str">
        <f t="shared" si="16"/>
        <v/>
      </c>
      <c r="B102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29" spans="1:2" x14ac:dyDescent="0.35">
      <c r="A1029" s="1" t="str">
        <f t="shared" si="16"/>
        <v/>
      </c>
      <c r="B102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30" spans="1:2" x14ac:dyDescent="0.35">
      <c r="A1030" s="1" t="str">
        <f t="shared" si="16"/>
        <v/>
      </c>
      <c r="B103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31" spans="1:2" x14ac:dyDescent="0.35">
      <c r="A1031" s="1" t="str">
        <f t="shared" si="16"/>
        <v/>
      </c>
      <c r="B103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32" spans="1:2" x14ac:dyDescent="0.35">
      <c r="A1032" s="1" t="str">
        <f t="shared" si="16"/>
        <v/>
      </c>
      <c r="B103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33" spans="1:2" x14ac:dyDescent="0.35">
      <c r="A1033" s="1" t="str">
        <f t="shared" si="16"/>
        <v/>
      </c>
      <c r="B103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34" spans="1:2" x14ac:dyDescent="0.35">
      <c r="A1034" s="1" t="str">
        <f t="shared" si="16"/>
        <v/>
      </c>
      <c r="B103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35" spans="1:2" x14ac:dyDescent="0.35">
      <c r="A1035" s="1" t="str">
        <f t="shared" si="16"/>
        <v/>
      </c>
      <c r="B103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36" spans="1:2" x14ac:dyDescent="0.35">
      <c r="A1036" s="1" t="str">
        <f t="shared" si="16"/>
        <v/>
      </c>
      <c r="B103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37" spans="1:2" x14ac:dyDescent="0.35">
      <c r="A1037" s="1" t="str">
        <f t="shared" si="16"/>
        <v/>
      </c>
      <c r="B103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38" spans="1:2" x14ac:dyDescent="0.35">
      <c r="A1038" s="1" t="str">
        <f t="shared" si="16"/>
        <v/>
      </c>
      <c r="B103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39" spans="1:2" x14ac:dyDescent="0.35">
      <c r="A1039" s="1" t="str">
        <f t="shared" si="16"/>
        <v/>
      </c>
      <c r="B103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40" spans="1:2" x14ac:dyDescent="0.35">
      <c r="A1040" s="1" t="str">
        <f t="shared" si="16"/>
        <v/>
      </c>
      <c r="B104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41" spans="1:2" x14ac:dyDescent="0.35">
      <c r="A1041" s="1" t="str">
        <f t="shared" si="16"/>
        <v/>
      </c>
      <c r="B104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42" spans="1:2" x14ac:dyDescent="0.35">
      <c r="A1042" s="1" t="str">
        <f t="shared" si="16"/>
        <v/>
      </c>
      <c r="B104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43" spans="1:2" x14ac:dyDescent="0.35">
      <c r="A1043" s="1" t="str">
        <f t="shared" si="16"/>
        <v/>
      </c>
      <c r="B104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44" spans="1:2" x14ac:dyDescent="0.35">
      <c r="A1044" s="1" t="str">
        <f t="shared" si="16"/>
        <v/>
      </c>
      <c r="B104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45" spans="1:2" x14ac:dyDescent="0.35">
      <c r="A1045" s="1" t="str">
        <f t="shared" si="16"/>
        <v/>
      </c>
      <c r="B104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46" spans="1:2" x14ac:dyDescent="0.35">
      <c r="A1046" s="1" t="str">
        <f t="shared" si="16"/>
        <v/>
      </c>
      <c r="B104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47" spans="1:2" x14ac:dyDescent="0.35">
      <c r="A1047" s="1" t="str">
        <f t="shared" si="16"/>
        <v/>
      </c>
      <c r="B104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48" spans="1:2" x14ac:dyDescent="0.35">
      <c r="A1048" s="1" t="str">
        <f t="shared" si="16"/>
        <v/>
      </c>
      <c r="B104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49" spans="1:2" x14ac:dyDescent="0.35">
      <c r="A1049" s="1" t="str">
        <f t="shared" si="16"/>
        <v/>
      </c>
      <c r="B104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50" spans="1:2" x14ac:dyDescent="0.35">
      <c r="A1050" s="1" t="str">
        <f t="shared" si="16"/>
        <v/>
      </c>
      <c r="B105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51" spans="1:2" x14ac:dyDescent="0.35">
      <c r="A1051" s="1" t="str">
        <f t="shared" si="16"/>
        <v/>
      </c>
      <c r="B105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52" spans="1:2" x14ac:dyDescent="0.35">
      <c r="A1052" s="1" t="str">
        <f t="shared" si="16"/>
        <v/>
      </c>
      <c r="B105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53" spans="1:2" x14ac:dyDescent="0.35">
      <c r="A1053" s="1" t="str">
        <f t="shared" si="16"/>
        <v/>
      </c>
      <c r="B105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54" spans="1:2" x14ac:dyDescent="0.35">
      <c r="A1054" s="1" t="str">
        <f t="shared" si="16"/>
        <v/>
      </c>
      <c r="B105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55" spans="1:2" x14ac:dyDescent="0.35">
      <c r="A1055" s="1" t="str">
        <f t="shared" si="16"/>
        <v/>
      </c>
      <c r="B105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56" spans="1:2" x14ac:dyDescent="0.35">
      <c r="A1056" s="1" t="str">
        <f t="shared" si="16"/>
        <v/>
      </c>
      <c r="B105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57" spans="1:2" x14ac:dyDescent="0.35">
      <c r="A1057" s="1" t="str">
        <f t="shared" si="16"/>
        <v/>
      </c>
      <c r="B105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58" spans="1:2" x14ac:dyDescent="0.35">
      <c r="A1058" s="1" t="str">
        <f t="shared" si="16"/>
        <v/>
      </c>
      <c r="B105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59" spans="1:2" x14ac:dyDescent="0.35">
      <c r="A1059" s="1" t="str">
        <f t="shared" si="16"/>
        <v/>
      </c>
      <c r="B105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60" spans="1:2" x14ac:dyDescent="0.35">
      <c r="A1060" s="1" t="str">
        <f t="shared" si="16"/>
        <v/>
      </c>
      <c r="B106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61" spans="1:2" x14ac:dyDescent="0.35">
      <c r="A1061" s="1" t="str">
        <f t="shared" si="16"/>
        <v/>
      </c>
      <c r="B106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62" spans="1:2" x14ac:dyDescent="0.35">
      <c r="A1062" s="1" t="str">
        <f t="shared" si="16"/>
        <v/>
      </c>
      <c r="B106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63" spans="1:2" x14ac:dyDescent="0.35">
      <c r="A1063" s="1" t="str">
        <f t="shared" si="16"/>
        <v/>
      </c>
      <c r="B106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64" spans="1:2" x14ac:dyDescent="0.35">
      <c r="A1064" s="1" t="str">
        <f t="shared" si="16"/>
        <v/>
      </c>
      <c r="B106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65" spans="1:2" x14ac:dyDescent="0.35">
      <c r="A1065" s="1" t="str">
        <f t="shared" si="16"/>
        <v/>
      </c>
      <c r="B106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66" spans="1:2" x14ac:dyDescent="0.35">
      <c r="A1066" s="1" t="str">
        <f t="shared" si="16"/>
        <v/>
      </c>
      <c r="B106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67" spans="1:2" x14ac:dyDescent="0.35">
      <c r="A1067" s="1" t="str">
        <f t="shared" si="16"/>
        <v/>
      </c>
      <c r="B106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68" spans="1:2" x14ac:dyDescent="0.35">
      <c r="A1068" s="1" t="str">
        <f t="shared" si="16"/>
        <v/>
      </c>
      <c r="B106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69" spans="1:2" x14ac:dyDescent="0.35">
      <c r="A1069" s="1" t="str">
        <f t="shared" si="16"/>
        <v/>
      </c>
      <c r="B106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70" spans="1:2" x14ac:dyDescent="0.35">
      <c r="A1070" s="1" t="str">
        <f t="shared" si="16"/>
        <v/>
      </c>
      <c r="B107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71" spans="1:2" x14ac:dyDescent="0.35">
      <c r="A1071" s="1" t="str">
        <f t="shared" si="16"/>
        <v/>
      </c>
      <c r="B107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72" spans="1:2" x14ac:dyDescent="0.35">
      <c r="A1072" s="1" t="str">
        <f t="shared" si="16"/>
        <v/>
      </c>
      <c r="B107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73" spans="1:2" x14ac:dyDescent="0.35">
      <c r="A1073" s="1" t="str">
        <f t="shared" si="16"/>
        <v/>
      </c>
      <c r="B107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74" spans="1:2" x14ac:dyDescent="0.35">
      <c r="A1074" s="1" t="str">
        <f t="shared" si="16"/>
        <v/>
      </c>
      <c r="B107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75" spans="1:2" x14ac:dyDescent="0.35">
      <c r="A1075" s="1" t="str">
        <f t="shared" ref="A1075:A1138" si="17">IFERROR(LEFT(RIGHT(C1075,LEN(C1075)-SEARCH("@",C1075)),SEARCH("/",RIGHT(C1075,LEN(C1075)-SEARCH("@",C1075)-1))),"")</f>
        <v/>
      </c>
      <c r="B107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76" spans="1:2" x14ac:dyDescent="0.35">
      <c r="A1076" s="1" t="str">
        <f t="shared" si="17"/>
        <v/>
      </c>
      <c r="B107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77" spans="1:2" x14ac:dyDescent="0.35">
      <c r="A1077" s="1" t="str">
        <f t="shared" si="17"/>
        <v/>
      </c>
      <c r="B107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78" spans="1:2" x14ac:dyDescent="0.35">
      <c r="A1078" s="1" t="str">
        <f t="shared" si="17"/>
        <v/>
      </c>
      <c r="B107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79" spans="1:2" x14ac:dyDescent="0.35">
      <c r="A1079" s="1" t="str">
        <f t="shared" si="17"/>
        <v/>
      </c>
      <c r="B107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80" spans="1:2" x14ac:dyDescent="0.35">
      <c r="A1080" s="1" t="str">
        <f t="shared" si="17"/>
        <v/>
      </c>
      <c r="B108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81" spans="1:2" x14ac:dyDescent="0.35">
      <c r="A1081" s="1" t="str">
        <f t="shared" si="17"/>
        <v/>
      </c>
      <c r="B108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82" spans="1:2" x14ac:dyDescent="0.35">
      <c r="A1082" s="1" t="str">
        <f t="shared" si="17"/>
        <v/>
      </c>
      <c r="B108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83" spans="1:2" x14ac:dyDescent="0.35">
      <c r="A1083" s="1" t="str">
        <f t="shared" si="17"/>
        <v/>
      </c>
      <c r="B108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84" spans="1:2" x14ac:dyDescent="0.35">
      <c r="A1084" s="1" t="str">
        <f t="shared" si="17"/>
        <v/>
      </c>
      <c r="B108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85" spans="1:2" x14ac:dyDescent="0.35">
      <c r="A1085" s="1" t="str">
        <f t="shared" si="17"/>
        <v/>
      </c>
      <c r="B108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86" spans="1:2" x14ac:dyDescent="0.35">
      <c r="A1086" s="1" t="str">
        <f t="shared" si="17"/>
        <v/>
      </c>
      <c r="B108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87" spans="1:2" x14ac:dyDescent="0.35">
      <c r="A1087" s="1" t="str">
        <f t="shared" si="17"/>
        <v/>
      </c>
      <c r="B108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88" spans="1:2" x14ac:dyDescent="0.35">
      <c r="A1088" s="1" t="str">
        <f t="shared" si="17"/>
        <v/>
      </c>
      <c r="B108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89" spans="1:2" x14ac:dyDescent="0.35">
      <c r="A1089" s="1" t="str">
        <f t="shared" si="17"/>
        <v/>
      </c>
      <c r="B108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90" spans="1:2" x14ac:dyDescent="0.35">
      <c r="A1090" s="1" t="str">
        <f t="shared" si="17"/>
        <v/>
      </c>
      <c r="B109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91" spans="1:2" x14ac:dyDescent="0.35">
      <c r="A1091" s="1" t="str">
        <f t="shared" si="17"/>
        <v/>
      </c>
      <c r="B109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92" spans="1:2" x14ac:dyDescent="0.35">
      <c r="A1092" s="1" t="str">
        <f t="shared" si="17"/>
        <v/>
      </c>
      <c r="B109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93" spans="1:2" x14ac:dyDescent="0.35">
      <c r="A1093" s="1" t="str">
        <f t="shared" si="17"/>
        <v/>
      </c>
      <c r="B109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94" spans="1:2" x14ac:dyDescent="0.35">
      <c r="A1094" s="1" t="str">
        <f t="shared" si="17"/>
        <v/>
      </c>
      <c r="B109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95" spans="1:2" x14ac:dyDescent="0.35">
      <c r="A1095" s="1" t="str">
        <f t="shared" si="17"/>
        <v/>
      </c>
      <c r="B109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96" spans="1:2" x14ac:dyDescent="0.35">
      <c r="A1096" s="1" t="str">
        <f t="shared" si="17"/>
        <v/>
      </c>
      <c r="B109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97" spans="1:2" x14ac:dyDescent="0.35">
      <c r="A1097" s="1" t="str">
        <f t="shared" si="17"/>
        <v/>
      </c>
      <c r="B109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98" spans="1:2" x14ac:dyDescent="0.35">
      <c r="A1098" s="1" t="str">
        <f t="shared" si="17"/>
        <v/>
      </c>
      <c r="B109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99" spans="1:2" x14ac:dyDescent="0.35">
      <c r="A1099" s="1" t="str">
        <f t="shared" si="17"/>
        <v/>
      </c>
      <c r="B109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00" spans="1:2" x14ac:dyDescent="0.35">
      <c r="A1100" s="1" t="str">
        <f t="shared" si="17"/>
        <v/>
      </c>
      <c r="B110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01" spans="1:2" x14ac:dyDescent="0.35">
      <c r="A1101" s="1" t="str">
        <f t="shared" si="17"/>
        <v/>
      </c>
      <c r="B110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02" spans="1:2" x14ac:dyDescent="0.35">
      <c r="A1102" s="1" t="str">
        <f t="shared" si="17"/>
        <v/>
      </c>
      <c r="B110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03" spans="1:2" x14ac:dyDescent="0.35">
      <c r="A1103" s="1" t="str">
        <f t="shared" si="17"/>
        <v/>
      </c>
      <c r="B110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04" spans="1:2" x14ac:dyDescent="0.35">
      <c r="A1104" s="1" t="str">
        <f t="shared" si="17"/>
        <v/>
      </c>
      <c r="B110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05" spans="1:2" x14ac:dyDescent="0.35">
      <c r="A1105" s="1" t="str">
        <f t="shared" si="17"/>
        <v/>
      </c>
      <c r="B110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06" spans="1:2" x14ac:dyDescent="0.35">
      <c r="A1106" s="1" t="str">
        <f t="shared" si="17"/>
        <v/>
      </c>
      <c r="B110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07" spans="1:2" x14ac:dyDescent="0.35">
      <c r="A1107" s="1" t="str">
        <f t="shared" si="17"/>
        <v/>
      </c>
      <c r="B110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08" spans="1:2" x14ac:dyDescent="0.35">
      <c r="A1108" s="1" t="str">
        <f t="shared" si="17"/>
        <v/>
      </c>
      <c r="B110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09" spans="1:2" x14ac:dyDescent="0.35">
      <c r="A1109" s="1" t="str">
        <f t="shared" si="17"/>
        <v/>
      </c>
      <c r="B110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10" spans="1:2" x14ac:dyDescent="0.35">
      <c r="A1110" s="1" t="str">
        <f t="shared" si="17"/>
        <v/>
      </c>
      <c r="B111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11" spans="1:2" x14ac:dyDescent="0.35">
      <c r="A1111" s="1" t="str">
        <f t="shared" si="17"/>
        <v/>
      </c>
      <c r="B111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12" spans="1:2" x14ac:dyDescent="0.35">
      <c r="A1112" s="1" t="str">
        <f t="shared" si="17"/>
        <v/>
      </c>
      <c r="B111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13" spans="1:2" x14ac:dyDescent="0.35">
      <c r="A1113" s="1" t="str">
        <f t="shared" si="17"/>
        <v/>
      </c>
      <c r="B111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14" spans="1:2" x14ac:dyDescent="0.35">
      <c r="A1114" s="1" t="str">
        <f t="shared" si="17"/>
        <v/>
      </c>
      <c r="B111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15" spans="1:2" x14ac:dyDescent="0.35">
      <c r="A1115" s="1" t="str">
        <f t="shared" si="17"/>
        <v/>
      </c>
      <c r="B111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16" spans="1:2" x14ac:dyDescent="0.35">
      <c r="A1116" s="1" t="str">
        <f t="shared" si="17"/>
        <v/>
      </c>
      <c r="B111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17" spans="1:2" x14ac:dyDescent="0.35">
      <c r="A1117" s="1" t="str">
        <f t="shared" si="17"/>
        <v/>
      </c>
      <c r="B111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18" spans="1:2" x14ac:dyDescent="0.35">
      <c r="A1118" s="1" t="str">
        <f t="shared" si="17"/>
        <v/>
      </c>
      <c r="B111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19" spans="1:2" x14ac:dyDescent="0.35">
      <c r="A1119" s="1" t="str">
        <f t="shared" si="17"/>
        <v/>
      </c>
      <c r="B111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20" spans="1:2" x14ac:dyDescent="0.35">
      <c r="A1120" s="1" t="str">
        <f t="shared" si="17"/>
        <v/>
      </c>
      <c r="B112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21" spans="1:2" x14ac:dyDescent="0.35">
      <c r="A1121" s="1" t="str">
        <f t="shared" si="17"/>
        <v/>
      </c>
      <c r="B112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22" spans="1:2" x14ac:dyDescent="0.35">
      <c r="A1122" s="1" t="str">
        <f t="shared" si="17"/>
        <v/>
      </c>
      <c r="B112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23" spans="1:2" x14ac:dyDescent="0.35">
      <c r="A1123" s="1" t="str">
        <f t="shared" si="17"/>
        <v/>
      </c>
      <c r="B112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24" spans="1:2" x14ac:dyDescent="0.35">
      <c r="A1124" s="1" t="str">
        <f t="shared" si="17"/>
        <v/>
      </c>
      <c r="B112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25" spans="1:2" x14ac:dyDescent="0.35">
      <c r="A1125" s="1" t="str">
        <f t="shared" si="17"/>
        <v/>
      </c>
      <c r="B112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26" spans="1:2" x14ac:dyDescent="0.35">
      <c r="A1126" s="1" t="str">
        <f t="shared" si="17"/>
        <v/>
      </c>
      <c r="B112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27" spans="1:2" x14ac:dyDescent="0.35">
      <c r="A1127" s="1" t="str">
        <f t="shared" si="17"/>
        <v/>
      </c>
      <c r="B112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28" spans="1:2" x14ac:dyDescent="0.35">
      <c r="A1128" s="1" t="str">
        <f t="shared" si="17"/>
        <v/>
      </c>
      <c r="B112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29" spans="1:2" x14ac:dyDescent="0.35">
      <c r="A1129" s="1" t="str">
        <f t="shared" si="17"/>
        <v/>
      </c>
      <c r="B112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30" spans="1:2" x14ac:dyDescent="0.35">
      <c r="A1130" s="1" t="str">
        <f t="shared" si="17"/>
        <v/>
      </c>
      <c r="B113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31" spans="1:2" x14ac:dyDescent="0.35">
      <c r="A1131" s="1" t="str">
        <f t="shared" si="17"/>
        <v/>
      </c>
      <c r="B113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32" spans="1:2" x14ac:dyDescent="0.35">
      <c r="A1132" s="1" t="str">
        <f t="shared" si="17"/>
        <v/>
      </c>
      <c r="B113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33" spans="1:2" x14ac:dyDescent="0.35">
      <c r="A1133" s="1" t="str">
        <f t="shared" si="17"/>
        <v/>
      </c>
      <c r="B113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34" spans="1:2" x14ac:dyDescent="0.35">
      <c r="A1134" s="1" t="str">
        <f t="shared" si="17"/>
        <v/>
      </c>
      <c r="B113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35" spans="1:2" x14ac:dyDescent="0.35">
      <c r="A1135" s="1" t="str">
        <f t="shared" si="17"/>
        <v/>
      </c>
      <c r="B113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36" spans="1:2" x14ac:dyDescent="0.35">
      <c r="A1136" s="1" t="str">
        <f t="shared" si="17"/>
        <v/>
      </c>
      <c r="B113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37" spans="1:2" x14ac:dyDescent="0.35">
      <c r="A1137" s="1" t="str">
        <f t="shared" si="17"/>
        <v/>
      </c>
      <c r="B113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38" spans="1:2" x14ac:dyDescent="0.35">
      <c r="A1138" s="1" t="str">
        <f t="shared" si="17"/>
        <v/>
      </c>
      <c r="B113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39" spans="1:2" x14ac:dyDescent="0.35">
      <c r="A1139" s="1" t="str">
        <f t="shared" ref="A1139:A1202" si="18">IFERROR(LEFT(RIGHT(C1139,LEN(C1139)-SEARCH("@",C1139)),SEARCH("/",RIGHT(C1139,LEN(C1139)-SEARCH("@",C1139)-1))),"")</f>
        <v/>
      </c>
      <c r="B113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40" spans="1:2" x14ac:dyDescent="0.35">
      <c r="A1140" s="1" t="str">
        <f t="shared" si="18"/>
        <v/>
      </c>
      <c r="B114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41" spans="1:2" x14ac:dyDescent="0.35">
      <c r="A1141" s="1" t="str">
        <f t="shared" si="18"/>
        <v/>
      </c>
      <c r="B114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42" spans="1:2" x14ac:dyDescent="0.35">
      <c r="A1142" s="1" t="str">
        <f t="shared" si="18"/>
        <v/>
      </c>
      <c r="B114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43" spans="1:2" x14ac:dyDescent="0.35">
      <c r="A1143" s="1" t="str">
        <f t="shared" si="18"/>
        <v/>
      </c>
      <c r="B114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44" spans="1:2" x14ac:dyDescent="0.35">
      <c r="A1144" s="1" t="str">
        <f t="shared" si="18"/>
        <v/>
      </c>
      <c r="B114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45" spans="1:2" x14ac:dyDescent="0.35">
      <c r="A1145" s="1" t="str">
        <f t="shared" si="18"/>
        <v/>
      </c>
      <c r="B114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46" spans="1:2" x14ac:dyDescent="0.35">
      <c r="A1146" s="1" t="str">
        <f t="shared" si="18"/>
        <v/>
      </c>
      <c r="B114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47" spans="1:2" x14ac:dyDescent="0.35">
      <c r="A1147" s="1" t="str">
        <f t="shared" si="18"/>
        <v/>
      </c>
      <c r="B114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48" spans="1:2" x14ac:dyDescent="0.35">
      <c r="A1148" s="1" t="str">
        <f t="shared" si="18"/>
        <v/>
      </c>
      <c r="B114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49" spans="1:2" x14ac:dyDescent="0.35">
      <c r="A1149" s="1" t="str">
        <f t="shared" si="18"/>
        <v/>
      </c>
      <c r="B114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50" spans="1:2" x14ac:dyDescent="0.35">
      <c r="A1150" s="1" t="str">
        <f t="shared" si="18"/>
        <v/>
      </c>
      <c r="B115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51" spans="1:2" x14ac:dyDescent="0.35">
      <c r="A1151" s="1" t="str">
        <f t="shared" si="18"/>
        <v/>
      </c>
      <c r="B115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52" spans="1:2" x14ac:dyDescent="0.35">
      <c r="A1152" s="1" t="str">
        <f t="shared" si="18"/>
        <v/>
      </c>
      <c r="B115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53" spans="1:2" x14ac:dyDescent="0.35">
      <c r="A1153" s="1" t="str">
        <f t="shared" si="18"/>
        <v/>
      </c>
      <c r="B115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54" spans="1:2" x14ac:dyDescent="0.35">
      <c r="A1154" s="1" t="str">
        <f t="shared" si="18"/>
        <v/>
      </c>
      <c r="B115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55" spans="1:2" x14ac:dyDescent="0.35">
      <c r="A1155" s="1" t="str">
        <f t="shared" si="18"/>
        <v/>
      </c>
      <c r="B115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56" spans="1:2" x14ac:dyDescent="0.35">
      <c r="A1156" s="1" t="str">
        <f t="shared" si="18"/>
        <v/>
      </c>
      <c r="B115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57" spans="1:2" x14ac:dyDescent="0.35">
      <c r="A1157" s="1" t="str">
        <f t="shared" si="18"/>
        <v/>
      </c>
      <c r="B115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58" spans="1:2" x14ac:dyDescent="0.35">
      <c r="A1158" s="1" t="str">
        <f t="shared" si="18"/>
        <v/>
      </c>
      <c r="B115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59" spans="1:2" x14ac:dyDescent="0.35">
      <c r="A1159" s="1" t="str">
        <f t="shared" si="18"/>
        <v/>
      </c>
      <c r="B115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60" spans="1:2" x14ac:dyDescent="0.35">
      <c r="A1160" s="1" t="str">
        <f t="shared" si="18"/>
        <v/>
      </c>
      <c r="B116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61" spans="1:2" x14ac:dyDescent="0.35">
      <c r="A1161" s="1" t="str">
        <f t="shared" si="18"/>
        <v/>
      </c>
      <c r="B116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62" spans="1:2" x14ac:dyDescent="0.35">
      <c r="A1162" s="1" t="str">
        <f t="shared" si="18"/>
        <v/>
      </c>
      <c r="B116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63" spans="1:2" x14ac:dyDescent="0.35">
      <c r="A1163" s="1" t="str">
        <f t="shared" si="18"/>
        <v/>
      </c>
      <c r="B116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64" spans="1:2" x14ac:dyDescent="0.35">
      <c r="A1164" s="1" t="str">
        <f t="shared" si="18"/>
        <v/>
      </c>
      <c r="B116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65" spans="1:2" x14ac:dyDescent="0.35">
      <c r="A1165" s="1" t="str">
        <f t="shared" si="18"/>
        <v/>
      </c>
      <c r="B116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66" spans="1:2" x14ac:dyDescent="0.35">
      <c r="A1166" s="1" t="str">
        <f t="shared" si="18"/>
        <v/>
      </c>
      <c r="B116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67" spans="1:2" x14ac:dyDescent="0.35">
      <c r="A1167" s="1" t="str">
        <f t="shared" si="18"/>
        <v/>
      </c>
      <c r="B116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68" spans="1:2" x14ac:dyDescent="0.35">
      <c r="A1168" s="1" t="str">
        <f t="shared" si="18"/>
        <v/>
      </c>
      <c r="B116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69" spans="1:2" x14ac:dyDescent="0.35">
      <c r="A1169" s="1" t="str">
        <f t="shared" si="18"/>
        <v/>
      </c>
      <c r="B116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70" spans="1:2" x14ac:dyDescent="0.35">
      <c r="A1170" s="1" t="str">
        <f t="shared" si="18"/>
        <v/>
      </c>
      <c r="B117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71" spans="1:2" x14ac:dyDescent="0.35">
      <c r="A1171" s="1" t="str">
        <f t="shared" si="18"/>
        <v/>
      </c>
      <c r="B117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72" spans="1:2" x14ac:dyDescent="0.35">
      <c r="A1172" s="1" t="str">
        <f t="shared" si="18"/>
        <v/>
      </c>
      <c r="B117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73" spans="1:2" x14ac:dyDescent="0.35">
      <c r="A1173" s="1" t="str">
        <f t="shared" si="18"/>
        <v/>
      </c>
      <c r="B117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74" spans="1:2" x14ac:dyDescent="0.35">
      <c r="A1174" s="1" t="str">
        <f t="shared" si="18"/>
        <v/>
      </c>
      <c r="B117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75" spans="1:2" x14ac:dyDescent="0.35">
      <c r="A1175" s="1" t="str">
        <f t="shared" si="18"/>
        <v/>
      </c>
      <c r="B117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76" spans="1:2" x14ac:dyDescent="0.35">
      <c r="A1176" s="1" t="str">
        <f t="shared" si="18"/>
        <v/>
      </c>
      <c r="B117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77" spans="1:2" x14ac:dyDescent="0.35">
      <c r="A1177" s="1" t="str">
        <f t="shared" si="18"/>
        <v/>
      </c>
      <c r="B117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78" spans="1:2" x14ac:dyDescent="0.35">
      <c r="A1178" s="1" t="str">
        <f t="shared" si="18"/>
        <v/>
      </c>
      <c r="B117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79" spans="1:2" x14ac:dyDescent="0.35">
      <c r="A1179" s="1" t="str">
        <f t="shared" si="18"/>
        <v/>
      </c>
      <c r="B117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80" spans="1:2" x14ac:dyDescent="0.35">
      <c r="A1180" s="1" t="str">
        <f t="shared" si="18"/>
        <v/>
      </c>
      <c r="B118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81" spans="1:2" x14ac:dyDescent="0.35">
      <c r="A1181" s="1" t="str">
        <f t="shared" si="18"/>
        <v/>
      </c>
      <c r="B118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82" spans="1:2" x14ac:dyDescent="0.35">
      <c r="A1182" s="1" t="str">
        <f t="shared" si="18"/>
        <v/>
      </c>
      <c r="B118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83" spans="1:2" x14ac:dyDescent="0.35">
      <c r="A1183" s="1" t="str">
        <f t="shared" si="18"/>
        <v/>
      </c>
      <c r="B118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84" spans="1:2" x14ac:dyDescent="0.35">
      <c r="A1184" s="1" t="str">
        <f t="shared" si="18"/>
        <v/>
      </c>
      <c r="B118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85" spans="1:2" x14ac:dyDescent="0.35">
      <c r="A1185" s="1" t="str">
        <f t="shared" si="18"/>
        <v/>
      </c>
      <c r="B118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86" spans="1:2" x14ac:dyDescent="0.35">
      <c r="A1186" s="1" t="str">
        <f t="shared" si="18"/>
        <v/>
      </c>
      <c r="B118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87" spans="1:2" x14ac:dyDescent="0.35">
      <c r="A1187" s="1" t="str">
        <f t="shared" si="18"/>
        <v/>
      </c>
      <c r="B118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88" spans="1:2" x14ac:dyDescent="0.35">
      <c r="A1188" s="1" t="str">
        <f t="shared" si="18"/>
        <v/>
      </c>
      <c r="B118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89" spans="1:2" x14ac:dyDescent="0.35">
      <c r="A1189" s="1" t="str">
        <f t="shared" si="18"/>
        <v/>
      </c>
      <c r="B118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90" spans="1:2" x14ac:dyDescent="0.35">
      <c r="A1190" s="1" t="str">
        <f t="shared" si="18"/>
        <v/>
      </c>
      <c r="B119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91" spans="1:2" x14ac:dyDescent="0.35">
      <c r="A1191" s="1" t="str">
        <f t="shared" si="18"/>
        <v/>
      </c>
      <c r="B119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92" spans="1:2" x14ac:dyDescent="0.35">
      <c r="A1192" s="1" t="str">
        <f t="shared" si="18"/>
        <v/>
      </c>
      <c r="B119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93" spans="1:2" x14ac:dyDescent="0.35">
      <c r="A1193" s="1" t="str">
        <f t="shared" si="18"/>
        <v/>
      </c>
      <c r="B119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94" spans="1:2" x14ac:dyDescent="0.35">
      <c r="A1194" s="1" t="str">
        <f t="shared" si="18"/>
        <v/>
      </c>
      <c r="B119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95" spans="1:2" x14ac:dyDescent="0.35">
      <c r="A1195" s="1" t="str">
        <f t="shared" si="18"/>
        <v/>
      </c>
      <c r="B119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96" spans="1:2" x14ac:dyDescent="0.35">
      <c r="A1196" s="1" t="str">
        <f t="shared" si="18"/>
        <v/>
      </c>
      <c r="B119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97" spans="1:2" x14ac:dyDescent="0.35">
      <c r="A1197" s="1" t="str">
        <f t="shared" si="18"/>
        <v/>
      </c>
      <c r="B119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98" spans="1:2" x14ac:dyDescent="0.35">
      <c r="A1198" s="1" t="str">
        <f t="shared" si="18"/>
        <v/>
      </c>
      <c r="B119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99" spans="1:2" x14ac:dyDescent="0.35">
      <c r="A1199" s="1" t="str">
        <f t="shared" si="18"/>
        <v/>
      </c>
      <c r="B119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00" spans="1:2" x14ac:dyDescent="0.35">
      <c r="A1200" s="1" t="str">
        <f t="shared" si="18"/>
        <v/>
      </c>
      <c r="B120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01" spans="1:2" x14ac:dyDescent="0.35">
      <c r="A1201" s="1" t="str">
        <f t="shared" si="18"/>
        <v/>
      </c>
      <c r="B120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02" spans="1:2" x14ac:dyDescent="0.35">
      <c r="A1202" s="1" t="str">
        <f t="shared" si="18"/>
        <v/>
      </c>
      <c r="B120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03" spans="1:2" x14ac:dyDescent="0.35">
      <c r="A1203" s="1" t="str">
        <f t="shared" ref="A1203:A1266" si="19">IFERROR(LEFT(RIGHT(C1203,LEN(C1203)-SEARCH("@",C1203)),SEARCH("/",RIGHT(C1203,LEN(C1203)-SEARCH("@",C1203)-1))),"")</f>
        <v/>
      </c>
      <c r="B120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04" spans="1:2" x14ac:dyDescent="0.35">
      <c r="A1204" s="1" t="str">
        <f t="shared" si="19"/>
        <v/>
      </c>
      <c r="B120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05" spans="1:2" x14ac:dyDescent="0.35">
      <c r="A1205" s="1" t="str">
        <f t="shared" si="19"/>
        <v/>
      </c>
      <c r="B120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06" spans="1:2" x14ac:dyDescent="0.35">
      <c r="A1206" s="1" t="str">
        <f t="shared" si="19"/>
        <v/>
      </c>
      <c r="B120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07" spans="1:2" x14ac:dyDescent="0.35">
      <c r="A1207" s="1" t="str">
        <f t="shared" si="19"/>
        <v/>
      </c>
      <c r="B120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08" spans="1:2" x14ac:dyDescent="0.35">
      <c r="A1208" s="1" t="str">
        <f t="shared" si="19"/>
        <v/>
      </c>
      <c r="B120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09" spans="1:2" x14ac:dyDescent="0.35">
      <c r="A1209" s="1" t="str">
        <f t="shared" si="19"/>
        <v/>
      </c>
      <c r="B120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10" spans="1:2" x14ac:dyDescent="0.35">
      <c r="A1210" s="1" t="str">
        <f t="shared" si="19"/>
        <v/>
      </c>
      <c r="B121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11" spans="1:2" x14ac:dyDescent="0.35">
      <c r="A1211" s="1" t="str">
        <f t="shared" si="19"/>
        <v/>
      </c>
      <c r="B121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12" spans="1:2" x14ac:dyDescent="0.35">
      <c r="A1212" s="1" t="str">
        <f t="shared" si="19"/>
        <v/>
      </c>
      <c r="B121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13" spans="1:2" x14ac:dyDescent="0.35">
      <c r="A1213" s="1" t="str">
        <f t="shared" si="19"/>
        <v/>
      </c>
      <c r="B121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14" spans="1:2" x14ac:dyDescent="0.35">
      <c r="A1214" s="1" t="str">
        <f t="shared" si="19"/>
        <v/>
      </c>
      <c r="B121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15" spans="1:2" x14ac:dyDescent="0.35">
      <c r="A1215" s="1" t="str">
        <f t="shared" si="19"/>
        <v/>
      </c>
      <c r="B121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16" spans="1:2" x14ac:dyDescent="0.35">
      <c r="A1216" s="1" t="str">
        <f t="shared" si="19"/>
        <v/>
      </c>
      <c r="B121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17" spans="1:2" x14ac:dyDescent="0.35">
      <c r="A1217" s="1" t="str">
        <f t="shared" si="19"/>
        <v/>
      </c>
      <c r="B121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18" spans="1:2" x14ac:dyDescent="0.35">
      <c r="A1218" s="1" t="str">
        <f t="shared" si="19"/>
        <v/>
      </c>
      <c r="B121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19" spans="1:2" x14ac:dyDescent="0.35">
      <c r="A1219" s="1" t="str">
        <f t="shared" si="19"/>
        <v/>
      </c>
      <c r="B121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20" spans="1:2" x14ac:dyDescent="0.35">
      <c r="A1220" s="1" t="str">
        <f t="shared" si="19"/>
        <v/>
      </c>
      <c r="B122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21" spans="1:2" x14ac:dyDescent="0.35">
      <c r="A1221" s="1" t="str">
        <f t="shared" si="19"/>
        <v/>
      </c>
      <c r="B122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22" spans="1:2" x14ac:dyDescent="0.35">
      <c r="A1222" s="1" t="str">
        <f t="shared" si="19"/>
        <v/>
      </c>
      <c r="B122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23" spans="1:2" x14ac:dyDescent="0.35">
      <c r="A1223" s="1" t="str">
        <f t="shared" si="19"/>
        <v/>
      </c>
      <c r="B122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24" spans="1:2" x14ac:dyDescent="0.35">
      <c r="A1224" s="1" t="str">
        <f t="shared" si="19"/>
        <v/>
      </c>
      <c r="B122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25" spans="1:2" x14ac:dyDescent="0.35">
      <c r="A1225" s="1" t="str">
        <f t="shared" si="19"/>
        <v/>
      </c>
      <c r="B122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26" spans="1:2" x14ac:dyDescent="0.35">
      <c r="A1226" s="1" t="str">
        <f t="shared" si="19"/>
        <v/>
      </c>
      <c r="B122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27" spans="1:2" x14ac:dyDescent="0.35">
      <c r="A1227" s="1" t="str">
        <f t="shared" si="19"/>
        <v/>
      </c>
      <c r="B122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28" spans="1:2" x14ac:dyDescent="0.35">
      <c r="A1228" s="1" t="str">
        <f t="shared" si="19"/>
        <v/>
      </c>
      <c r="B122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29" spans="1:2" x14ac:dyDescent="0.35">
      <c r="A1229" s="1" t="str">
        <f t="shared" si="19"/>
        <v/>
      </c>
      <c r="B122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30" spans="1:2" x14ac:dyDescent="0.35">
      <c r="A1230" s="1" t="str">
        <f t="shared" si="19"/>
        <v/>
      </c>
      <c r="B123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31" spans="1:2" x14ac:dyDescent="0.35">
      <c r="A1231" s="1" t="str">
        <f t="shared" si="19"/>
        <v/>
      </c>
      <c r="B123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32" spans="1:2" x14ac:dyDescent="0.35">
      <c r="A1232" s="1" t="str">
        <f t="shared" si="19"/>
        <v/>
      </c>
      <c r="B123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33" spans="1:2" x14ac:dyDescent="0.35">
      <c r="A1233" s="1" t="str">
        <f t="shared" si="19"/>
        <v/>
      </c>
      <c r="B123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34" spans="1:2" x14ac:dyDescent="0.35">
      <c r="A1234" s="1" t="str">
        <f t="shared" si="19"/>
        <v/>
      </c>
      <c r="B123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35" spans="1:2" x14ac:dyDescent="0.35">
      <c r="A1235" s="1" t="str">
        <f t="shared" si="19"/>
        <v/>
      </c>
      <c r="B123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36" spans="1:2" x14ac:dyDescent="0.35">
      <c r="A1236" s="1" t="str">
        <f t="shared" si="19"/>
        <v/>
      </c>
      <c r="B123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37" spans="1:2" x14ac:dyDescent="0.35">
      <c r="A1237" s="1" t="str">
        <f t="shared" si="19"/>
        <v/>
      </c>
      <c r="B123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38" spans="1:2" x14ac:dyDescent="0.35">
      <c r="A1238" s="1" t="str">
        <f t="shared" si="19"/>
        <v/>
      </c>
      <c r="B123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39" spans="1:2" x14ac:dyDescent="0.35">
      <c r="A1239" s="1" t="str">
        <f t="shared" si="19"/>
        <v/>
      </c>
      <c r="B123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40" spans="1:2" x14ac:dyDescent="0.35">
      <c r="A1240" s="1" t="str">
        <f t="shared" si="19"/>
        <v/>
      </c>
      <c r="B124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41" spans="1:2" x14ac:dyDescent="0.35">
      <c r="A1241" s="1" t="str">
        <f t="shared" si="19"/>
        <v/>
      </c>
      <c r="B124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42" spans="1:2" x14ac:dyDescent="0.35">
      <c r="A1242" s="1" t="str">
        <f t="shared" si="19"/>
        <v/>
      </c>
      <c r="B124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43" spans="1:2" x14ac:dyDescent="0.35">
      <c r="A1243" s="1" t="str">
        <f t="shared" si="19"/>
        <v/>
      </c>
      <c r="B124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44" spans="1:2" x14ac:dyDescent="0.35">
      <c r="A1244" s="1" t="str">
        <f t="shared" si="19"/>
        <v/>
      </c>
      <c r="B124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45" spans="1:2" x14ac:dyDescent="0.35">
      <c r="A1245" s="1" t="str">
        <f t="shared" si="19"/>
        <v/>
      </c>
      <c r="B124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46" spans="1:2" x14ac:dyDescent="0.35">
      <c r="A1246" s="1" t="str">
        <f t="shared" si="19"/>
        <v/>
      </c>
      <c r="B124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47" spans="1:2" x14ac:dyDescent="0.35">
      <c r="A1247" s="1" t="str">
        <f t="shared" si="19"/>
        <v/>
      </c>
      <c r="B124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48" spans="1:2" x14ac:dyDescent="0.35">
      <c r="A1248" s="1" t="str">
        <f t="shared" si="19"/>
        <v/>
      </c>
      <c r="B124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49" spans="1:2" x14ac:dyDescent="0.35">
      <c r="A1249" s="1" t="str">
        <f t="shared" si="19"/>
        <v/>
      </c>
      <c r="B124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50" spans="1:2" x14ac:dyDescent="0.35">
      <c r="A1250" s="1" t="str">
        <f t="shared" si="19"/>
        <v/>
      </c>
      <c r="B125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51" spans="1:2" x14ac:dyDescent="0.35">
      <c r="A1251" s="1" t="str">
        <f t="shared" si="19"/>
        <v/>
      </c>
      <c r="B125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52" spans="1:2" x14ac:dyDescent="0.35">
      <c r="A1252" s="1" t="str">
        <f t="shared" si="19"/>
        <v/>
      </c>
      <c r="B125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53" spans="1:2" x14ac:dyDescent="0.35">
      <c r="A1253" s="1" t="str">
        <f t="shared" si="19"/>
        <v/>
      </c>
      <c r="B125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54" spans="1:2" x14ac:dyDescent="0.35">
      <c r="A1254" s="1" t="str">
        <f t="shared" si="19"/>
        <v/>
      </c>
      <c r="B125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55" spans="1:2" x14ac:dyDescent="0.35">
      <c r="A1255" s="1" t="str">
        <f t="shared" si="19"/>
        <v/>
      </c>
      <c r="B125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56" spans="1:2" x14ac:dyDescent="0.35">
      <c r="A1256" s="1" t="str">
        <f t="shared" si="19"/>
        <v/>
      </c>
      <c r="B125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57" spans="1:2" x14ac:dyDescent="0.35">
      <c r="A1257" s="1" t="str">
        <f t="shared" si="19"/>
        <v/>
      </c>
      <c r="B125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58" spans="1:2" x14ac:dyDescent="0.35">
      <c r="A1258" s="1" t="str">
        <f t="shared" si="19"/>
        <v/>
      </c>
      <c r="B125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59" spans="1:2" x14ac:dyDescent="0.35">
      <c r="A1259" s="1" t="str">
        <f t="shared" si="19"/>
        <v/>
      </c>
      <c r="B125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60" spans="1:2" x14ac:dyDescent="0.35">
      <c r="A1260" s="1" t="str">
        <f t="shared" si="19"/>
        <v/>
      </c>
      <c r="B126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61" spans="1:2" x14ac:dyDescent="0.35">
      <c r="A1261" s="1" t="str">
        <f t="shared" si="19"/>
        <v/>
      </c>
      <c r="B126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62" spans="1:2" x14ac:dyDescent="0.35">
      <c r="A1262" s="1" t="str">
        <f t="shared" si="19"/>
        <v/>
      </c>
      <c r="B126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63" spans="1:2" x14ac:dyDescent="0.35">
      <c r="A1263" s="1" t="str">
        <f t="shared" si="19"/>
        <v/>
      </c>
      <c r="B126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64" spans="1:2" x14ac:dyDescent="0.35">
      <c r="A1264" s="1" t="str">
        <f t="shared" si="19"/>
        <v/>
      </c>
      <c r="B126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65" spans="1:2" x14ac:dyDescent="0.35">
      <c r="A1265" s="1" t="str">
        <f t="shared" si="19"/>
        <v/>
      </c>
      <c r="B126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66" spans="1:2" x14ac:dyDescent="0.35">
      <c r="A1266" s="1" t="str">
        <f t="shared" si="19"/>
        <v/>
      </c>
      <c r="B126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67" spans="1:2" x14ac:dyDescent="0.35">
      <c r="A1267" s="1" t="str">
        <f t="shared" ref="A1267:A1330" si="20">IFERROR(LEFT(RIGHT(C1267,LEN(C1267)-SEARCH("@",C1267)),SEARCH("/",RIGHT(C1267,LEN(C1267)-SEARCH("@",C1267)-1))),"")</f>
        <v/>
      </c>
      <c r="B126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68" spans="1:2" x14ac:dyDescent="0.35">
      <c r="A1268" s="1" t="str">
        <f t="shared" si="20"/>
        <v/>
      </c>
      <c r="B126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69" spans="1:2" x14ac:dyDescent="0.35">
      <c r="A1269" s="1" t="str">
        <f t="shared" si="20"/>
        <v/>
      </c>
      <c r="B126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70" spans="1:2" x14ac:dyDescent="0.35">
      <c r="A1270" s="1" t="str">
        <f t="shared" si="20"/>
        <v/>
      </c>
      <c r="B127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71" spans="1:2" x14ac:dyDescent="0.35">
      <c r="A1271" s="1" t="str">
        <f t="shared" si="20"/>
        <v/>
      </c>
      <c r="B127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72" spans="1:2" x14ac:dyDescent="0.35">
      <c r="A1272" s="1" t="str">
        <f t="shared" si="20"/>
        <v/>
      </c>
      <c r="B127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73" spans="1:2" x14ac:dyDescent="0.35">
      <c r="A1273" s="1" t="str">
        <f t="shared" si="20"/>
        <v/>
      </c>
      <c r="B127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74" spans="1:2" x14ac:dyDescent="0.35">
      <c r="A1274" s="1" t="str">
        <f t="shared" si="20"/>
        <v/>
      </c>
      <c r="B127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75" spans="1:2" x14ac:dyDescent="0.35">
      <c r="A1275" s="1" t="str">
        <f t="shared" si="20"/>
        <v/>
      </c>
      <c r="B127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76" spans="1:2" x14ac:dyDescent="0.35">
      <c r="A1276" s="1" t="str">
        <f t="shared" si="20"/>
        <v/>
      </c>
      <c r="B127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77" spans="1:2" x14ac:dyDescent="0.35">
      <c r="A1277" s="1" t="str">
        <f t="shared" si="20"/>
        <v/>
      </c>
      <c r="B127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78" spans="1:2" x14ac:dyDescent="0.35">
      <c r="A1278" s="1" t="str">
        <f t="shared" si="20"/>
        <v/>
      </c>
      <c r="B127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79" spans="1:2" x14ac:dyDescent="0.35">
      <c r="A1279" s="1" t="str">
        <f t="shared" si="20"/>
        <v/>
      </c>
      <c r="B127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80" spans="1:2" x14ac:dyDescent="0.35">
      <c r="A1280" s="1" t="str">
        <f t="shared" si="20"/>
        <v/>
      </c>
      <c r="B128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81" spans="1:2" x14ac:dyDescent="0.35">
      <c r="A1281" s="1" t="str">
        <f t="shared" si="20"/>
        <v/>
      </c>
      <c r="B128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82" spans="1:2" x14ac:dyDescent="0.35">
      <c r="A1282" s="1" t="str">
        <f t="shared" si="20"/>
        <v/>
      </c>
      <c r="B128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83" spans="1:2" x14ac:dyDescent="0.35">
      <c r="A1283" s="1" t="str">
        <f t="shared" si="20"/>
        <v/>
      </c>
      <c r="B128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84" spans="1:2" x14ac:dyDescent="0.35">
      <c r="A1284" s="1" t="str">
        <f t="shared" si="20"/>
        <v/>
      </c>
      <c r="B128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85" spans="1:2" x14ac:dyDescent="0.35">
      <c r="A1285" s="1" t="str">
        <f t="shared" si="20"/>
        <v/>
      </c>
      <c r="B128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86" spans="1:2" x14ac:dyDescent="0.35">
      <c r="A1286" s="1" t="str">
        <f t="shared" si="20"/>
        <v/>
      </c>
      <c r="B128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87" spans="1:2" x14ac:dyDescent="0.35">
      <c r="A1287" s="1" t="str">
        <f t="shared" si="20"/>
        <v/>
      </c>
      <c r="B128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88" spans="1:2" x14ac:dyDescent="0.35">
      <c r="A1288" s="1" t="str">
        <f t="shared" si="20"/>
        <v/>
      </c>
      <c r="B128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89" spans="1:2" x14ac:dyDescent="0.35">
      <c r="A1289" s="1" t="str">
        <f t="shared" si="20"/>
        <v/>
      </c>
      <c r="B128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90" spans="1:2" x14ac:dyDescent="0.35">
      <c r="A1290" s="1" t="str">
        <f t="shared" si="20"/>
        <v/>
      </c>
      <c r="B129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91" spans="1:2" x14ac:dyDescent="0.35">
      <c r="A1291" s="1" t="str">
        <f t="shared" si="20"/>
        <v/>
      </c>
      <c r="B129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92" spans="1:2" x14ac:dyDescent="0.35">
      <c r="A1292" s="1" t="str">
        <f t="shared" si="20"/>
        <v/>
      </c>
      <c r="B129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93" spans="1:2" x14ac:dyDescent="0.35">
      <c r="A1293" s="1" t="str">
        <f t="shared" si="20"/>
        <v/>
      </c>
      <c r="B129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94" spans="1:2" x14ac:dyDescent="0.35">
      <c r="A1294" s="1" t="str">
        <f t="shared" si="20"/>
        <v/>
      </c>
      <c r="B129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95" spans="1:2" x14ac:dyDescent="0.35">
      <c r="A1295" s="1" t="str">
        <f t="shared" si="20"/>
        <v/>
      </c>
      <c r="B129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96" spans="1:2" x14ac:dyDescent="0.35">
      <c r="A1296" s="1" t="str">
        <f t="shared" si="20"/>
        <v/>
      </c>
      <c r="B129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97" spans="1:2" x14ac:dyDescent="0.35">
      <c r="A1297" s="1" t="str">
        <f t="shared" si="20"/>
        <v/>
      </c>
      <c r="B129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98" spans="1:2" x14ac:dyDescent="0.35">
      <c r="A1298" s="1" t="str">
        <f t="shared" si="20"/>
        <v/>
      </c>
      <c r="B129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99" spans="1:2" x14ac:dyDescent="0.35">
      <c r="A1299" s="1" t="str">
        <f t="shared" si="20"/>
        <v/>
      </c>
      <c r="B129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00" spans="1:2" x14ac:dyDescent="0.35">
      <c r="A1300" s="1" t="str">
        <f t="shared" si="20"/>
        <v/>
      </c>
      <c r="B130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01" spans="1:2" x14ac:dyDescent="0.35">
      <c r="A1301" s="1" t="str">
        <f t="shared" si="20"/>
        <v/>
      </c>
      <c r="B130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02" spans="1:2" x14ac:dyDescent="0.35">
      <c r="A1302" s="1" t="str">
        <f t="shared" si="20"/>
        <v/>
      </c>
      <c r="B130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03" spans="1:2" x14ac:dyDescent="0.35">
      <c r="A1303" s="1" t="str">
        <f t="shared" si="20"/>
        <v/>
      </c>
      <c r="B130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04" spans="1:2" x14ac:dyDescent="0.35">
      <c r="A1304" s="1" t="str">
        <f t="shared" si="20"/>
        <v/>
      </c>
      <c r="B130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05" spans="1:2" x14ac:dyDescent="0.35">
      <c r="A1305" s="1" t="str">
        <f t="shared" si="20"/>
        <v/>
      </c>
      <c r="B130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06" spans="1:2" x14ac:dyDescent="0.35">
      <c r="A1306" s="1" t="str">
        <f t="shared" si="20"/>
        <v/>
      </c>
      <c r="B130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07" spans="1:2" x14ac:dyDescent="0.35">
      <c r="A1307" s="1" t="str">
        <f t="shared" si="20"/>
        <v/>
      </c>
      <c r="B130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08" spans="1:2" x14ac:dyDescent="0.35">
      <c r="A1308" s="1" t="str">
        <f t="shared" si="20"/>
        <v/>
      </c>
      <c r="B130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09" spans="1:2" x14ac:dyDescent="0.35">
      <c r="A1309" s="1" t="str">
        <f t="shared" si="20"/>
        <v/>
      </c>
      <c r="B130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10" spans="1:2" x14ac:dyDescent="0.35">
      <c r="A1310" s="1" t="str">
        <f t="shared" si="20"/>
        <v/>
      </c>
      <c r="B131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11" spans="1:2" x14ac:dyDescent="0.35">
      <c r="A1311" s="1" t="str">
        <f t="shared" si="20"/>
        <v/>
      </c>
      <c r="B131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12" spans="1:2" x14ac:dyDescent="0.35">
      <c r="A1312" s="1" t="str">
        <f t="shared" si="20"/>
        <v/>
      </c>
      <c r="B131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13" spans="1:2" x14ac:dyDescent="0.35">
      <c r="A1313" s="1" t="str">
        <f t="shared" si="20"/>
        <v/>
      </c>
      <c r="B131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14" spans="1:2" x14ac:dyDescent="0.35">
      <c r="A1314" s="1" t="str">
        <f t="shared" si="20"/>
        <v/>
      </c>
      <c r="B131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15" spans="1:2" x14ac:dyDescent="0.35">
      <c r="A1315" s="1" t="str">
        <f t="shared" si="20"/>
        <v/>
      </c>
      <c r="B131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16" spans="1:2" x14ac:dyDescent="0.35">
      <c r="A1316" s="1" t="str">
        <f t="shared" si="20"/>
        <v/>
      </c>
      <c r="B131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17" spans="1:2" x14ac:dyDescent="0.35">
      <c r="A1317" s="1" t="str">
        <f t="shared" si="20"/>
        <v/>
      </c>
      <c r="B131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18" spans="1:2" x14ac:dyDescent="0.35">
      <c r="A1318" s="1" t="str">
        <f t="shared" si="20"/>
        <v/>
      </c>
      <c r="B131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19" spans="1:2" x14ac:dyDescent="0.35">
      <c r="A1319" s="1" t="str">
        <f t="shared" si="20"/>
        <v/>
      </c>
      <c r="B131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20" spans="1:2" x14ac:dyDescent="0.35">
      <c r="A1320" s="1" t="str">
        <f t="shared" si="20"/>
        <v/>
      </c>
      <c r="B132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21" spans="1:2" x14ac:dyDescent="0.35">
      <c r="A1321" s="1" t="str">
        <f t="shared" si="20"/>
        <v/>
      </c>
      <c r="B132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22" spans="1:2" x14ac:dyDescent="0.35">
      <c r="A1322" s="1" t="str">
        <f t="shared" si="20"/>
        <v/>
      </c>
      <c r="B132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23" spans="1:2" x14ac:dyDescent="0.35">
      <c r="A1323" s="1" t="str">
        <f t="shared" si="20"/>
        <v/>
      </c>
      <c r="B132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24" spans="1:2" x14ac:dyDescent="0.35">
      <c r="A1324" s="1" t="str">
        <f t="shared" si="20"/>
        <v/>
      </c>
      <c r="B132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25" spans="1:2" x14ac:dyDescent="0.35">
      <c r="A1325" s="1" t="str">
        <f t="shared" si="20"/>
        <v/>
      </c>
      <c r="B132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26" spans="1:2" x14ac:dyDescent="0.35">
      <c r="A1326" s="1" t="str">
        <f t="shared" si="20"/>
        <v/>
      </c>
      <c r="B132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27" spans="1:2" x14ac:dyDescent="0.35">
      <c r="A1327" s="1" t="str">
        <f t="shared" si="20"/>
        <v/>
      </c>
      <c r="B132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28" spans="1:2" x14ac:dyDescent="0.35">
      <c r="A1328" s="1" t="str">
        <f t="shared" si="20"/>
        <v/>
      </c>
      <c r="B132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29" spans="1:2" x14ac:dyDescent="0.35">
      <c r="A1329" s="1" t="str">
        <f t="shared" si="20"/>
        <v/>
      </c>
      <c r="B132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30" spans="1:2" x14ac:dyDescent="0.35">
      <c r="A1330" s="1" t="str">
        <f t="shared" si="20"/>
        <v/>
      </c>
      <c r="B133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31" spans="1:2" x14ac:dyDescent="0.35">
      <c r="A1331" s="1" t="str">
        <f t="shared" ref="A1331:A1394" si="21">IFERROR(LEFT(RIGHT(C1331,LEN(C1331)-SEARCH("@",C1331)),SEARCH("/",RIGHT(C1331,LEN(C1331)-SEARCH("@",C1331)-1))),"")</f>
        <v/>
      </c>
      <c r="B133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32" spans="1:2" x14ac:dyDescent="0.35">
      <c r="A1332" s="1" t="str">
        <f t="shared" si="21"/>
        <v/>
      </c>
      <c r="B133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33" spans="1:2" x14ac:dyDescent="0.35">
      <c r="A1333" s="1" t="str">
        <f t="shared" si="21"/>
        <v/>
      </c>
      <c r="B133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34" spans="1:2" x14ac:dyDescent="0.35">
      <c r="A1334" s="1" t="str">
        <f t="shared" si="21"/>
        <v/>
      </c>
      <c r="B133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35" spans="1:2" x14ac:dyDescent="0.35">
      <c r="A1335" s="1" t="str">
        <f t="shared" si="21"/>
        <v/>
      </c>
      <c r="B133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36" spans="1:2" x14ac:dyDescent="0.35">
      <c r="A1336" s="1" t="str">
        <f t="shared" si="21"/>
        <v/>
      </c>
      <c r="B133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37" spans="1:2" x14ac:dyDescent="0.35">
      <c r="A1337" s="1" t="str">
        <f t="shared" si="21"/>
        <v/>
      </c>
      <c r="B133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38" spans="1:2" x14ac:dyDescent="0.35">
      <c r="A1338" s="1" t="str">
        <f t="shared" si="21"/>
        <v/>
      </c>
      <c r="B133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39" spans="1:2" x14ac:dyDescent="0.35">
      <c r="A1339" s="1" t="str">
        <f t="shared" si="21"/>
        <v/>
      </c>
      <c r="B133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40" spans="1:2" x14ac:dyDescent="0.35">
      <c r="A1340" s="1" t="str">
        <f t="shared" si="21"/>
        <v/>
      </c>
      <c r="B134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41" spans="1:2" x14ac:dyDescent="0.35">
      <c r="A1341" s="1" t="str">
        <f t="shared" si="21"/>
        <v/>
      </c>
      <c r="B134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42" spans="1:2" x14ac:dyDescent="0.35">
      <c r="A1342" s="1" t="str">
        <f t="shared" si="21"/>
        <v/>
      </c>
      <c r="B134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43" spans="1:2" x14ac:dyDescent="0.35">
      <c r="A1343" s="1" t="str">
        <f t="shared" si="21"/>
        <v/>
      </c>
      <c r="B134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44" spans="1:2" x14ac:dyDescent="0.35">
      <c r="A1344" s="1" t="str">
        <f t="shared" si="21"/>
        <v/>
      </c>
      <c r="B134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45" spans="1:2" x14ac:dyDescent="0.35">
      <c r="A1345" s="1" t="str">
        <f t="shared" si="21"/>
        <v/>
      </c>
      <c r="B134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46" spans="1:2" x14ac:dyDescent="0.35">
      <c r="A1346" s="1" t="str">
        <f t="shared" si="21"/>
        <v/>
      </c>
      <c r="B134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47" spans="1:2" x14ac:dyDescent="0.35">
      <c r="A1347" s="1" t="str">
        <f t="shared" si="21"/>
        <v/>
      </c>
      <c r="B134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48" spans="1:2" x14ac:dyDescent="0.35">
      <c r="A1348" s="1" t="str">
        <f t="shared" si="21"/>
        <v/>
      </c>
      <c r="B134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49" spans="1:2" x14ac:dyDescent="0.35">
      <c r="A1349" s="1" t="str">
        <f t="shared" si="21"/>
        <v/>
      </c>
      <c r="B134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50" spans="1:2" x14ac:dyDescent="0.35">
      <c r="A1350" s="1" t="str">
        <f t="shared" si="21"/>
        <v/>
      </c>
      <c r="B135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51" spans="1:2" x14ac:dyDescent="0.35">
      <c r="A1351" s="1" t="str">
        <f t="shared" si="21"/>
        <v/>
      </c>
      <c r="B135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52" spans="1:2" x14ac:dyDescent="0.35">
      <c r="A1352" s="1" t="str">
        <f t="shared" si="21"/>
        <v/>
      </c>
      <c r="B135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53" spans="1:2" x14ac:dyDescent="0.35">
      <c r="A1353" s="1" t="str">
        <f t="shared" si="21"/>
        <v/>
      </c>
      <c r="B135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54" spans="1:2" x14ac:dyDescent="0.35">
      <c r="A1354" s="1" t="str">
        <f t="shared" si="21"/>
        <v/>
      </c>
      <c r="B135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55" spans="1:2" x14ac:dyDescent="0.35">
      <c r="A1355" s="1" t="str">
        <f t="shared" si="21"/>
        <v/>
      </c>
      <c r="B135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56" spans="1:2" x14ac:dyDescent="0.35">
      <c r="A1356" s="1" t="str">
        <f t="shared" si="21"/>
        <v/>
      </c>
      <c r="B135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57" spans="1:2" x14ac:dyDescent="0.35">
      <c r="A1357" s="1" t="str">
        <f t="shared" si="21"/>
        <v/>
      </c>
      <c r="B135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58" spans="1:2" x14ac:dyDescent="0.35">
      <c r="A1358" s="1" t="str">
        <f t="shared" si="21"/>
        <v/>
      </c>
      <c r="B135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59" spans="1:2" x14ac:dyDescent="0.35">
      <c r="A1359" s="1" t="str">
        <f t="shared" si="21"/>
        <v/>
      </c>
      <c r="B135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60" spans="1:2" x14ac:dyDescent="0.35">
      <c r="A1360" s="1" t="str">
        <f t="shared" si="21"/>
        <v/>
      </c>
      <c r="B136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61" spans="1:2" x14ac:dyDescent="0.35">
      <c r="A1361" s="1" t="str">
        <f t="shared" si="21"/>
        <v/>
      </c>
      <c r="B136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62" spans="1:2" x14ac:dyDescent="0.35">
      <c r="A1362" s="1" t="str">
        <f t="shared" si="21"/>
        <v/>
      </c>
      <c r="B136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63" spans="1:2" x14ac:dyDescent="0.35">
      <c r="A1363" s="1" t="str">
        <f t="shared" si="21"/>
        <v/>
      </c>
      <c r="B136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64" spans="1:2" x14ac:dyDescent="0.35">
      <c r="A1364" s="1" t="str">
        <f t="shared" si="21"/>
        <v/>
      </c>
      <c r="B136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65" spans="1:2" x14ac:dyDescent="0.35">
      <c r="A1365" s="1" t="str">
        <f t="shared" si="21"/>
        <v/>
      </c>
      <c r="B136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66" spans="1:2" x14ac:dyDescent="0.35">
      <c r="A1366" s="1" t="str">
        <f t="shared" si="21"/>
        <v/>
      </c>
      <c r="B136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67" spans="1:2" x14ac:dyDescent="0.35">
      <c r="A1367" s="1" t="str">
        <f t="shared" si="21"/>
        <v/>
      </c>
      <c r="B136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68" spans="1:2" x14ac:dyDescent="0.35">
      <c r="A1368" s="1" t="str">
        <f t="shared" si="21"/>
        <v/>
      </c>
      <c r="B136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69" spans="1:2" x14ac:dyDescent="0.35">
      <c r="A1369" s="1" t="str">
        <f t="shared" si="21"/>
        <v/>
      </c>
      <c r="B136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70" spans="1:2" x14ac:dyDescent="0.35">
      <c r="A1370" s="1" t="str">
        <f t="shared" si="21"/>
        <v/>
      </c>
      <c r="B137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71" spans="1:2" x14ac:dyDescent="0.35">
      <c r="A1371" s="1" t="str">
        <f t="shared" si="21"/>
        <v/>
      </c>
      <c r="B137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72" spans="1:2" x14ac:dyDescent="0.35">
      <c r="A1372" s="1" t="str">
        <f t="shared" si="21"/>
        <v/>
      </c>
      <c r="B137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73" spans="1:2" x14ac:dyDescent="0.35">
      <c r="A1373" s="1" t="str">
        <f t="shared" si="21"/>
        <v/>
      </c>
      <c r="B137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74" spans="1:2" x14ac:dyDescent="0.35">
      <c r="A1374" s="1" t="str">
        <f t="shared" si="21"/>
        <v/>
      </c>
      <c r="B137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75" spans="1:2" x14ac:dyDescent="0.35">
      <c r="A1375" s="1" t="str">
        <f t="shared" si="21"/>
        <v/>
      </c>
      <c r="B137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76" spans="1:2" x14ac:dyDescent="0.35">
      <c r="A1376" s="1" t="str">
        <f t="shared" si="21"/>
        <v/>
      </c>
      <c r="B137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77" spans="1:2" x14ac:dyDescent="0.35">
      <c r="A1377" s="1" t="str">
        <f t="shared" si="21"/>
        <v/>
      </c>
      <c r="B137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78" spans="1:2" x14ac:dyDescent="0.35">
      <c r="A1378" s="1" t="str">
        <f t="shared" si="21"/>
        <v/>
      </c>
      <c r="B137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79" spans="1:2" x14ac:dyDescent="0.35">
      <c r="A1379" s="1" t="str">
        <f t="shared" si="21"/>
        <v/>
      </c>
      <c r="B137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80" spans="1:2" x14ac:dyDescent="0.35">
      <c r="A1380" s="1" t="str">
        <f t="shared" si="21"/>
        <v/>
      </c>
      <c r="B138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81" spans="1:2" x14ac:dyDescent="0.35">
      <c r="A1381" s="1" t="str">
        <f t="shared" si="21"/>
        <v/>
      </c>
      <c r="B138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82" spans="1:2" x14ac:dyDescent="0.35">
      <c r="A1382" s="1" t="str">
        <f t="shared" si="21"/>
        <v/>
      </c>
      <c r="B138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83" spans="1:2" x14ac:dyDescent="0.35">
      <c r="A1383" s="1" t="str">
        <f t="shared" si="21"/>
        <v/>
      </c>
      <c r="B138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84" spans="1:2" x14ac:dyDescent="0.35">
      <c r="A1384" s="1" t="str">
        <f t="shared" si="21"/>
        <v/>
      </c>
      <c r="B138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85" spans="1:2" x14ac:dyDescent="0.35">
      <c r="A1385" s="1" t="str">
        <f t="shared" si="21"/>
        <v/>
      </c>
      <c r="B138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86" spans="1:2" x14ac:dyDescent="0.35">
      <c r="A1386" s="1" t="str">
        <f t="shared" si="21"/>
        <v/>
      </c>
      <c r="B138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87" spans="1:2" x14ac:dyDescent="0.35">
      <c r="A1387" s="1" t="str">
        <f t="shared" si="21"/>
        <v/>
      </c>
      <c r="B138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88" spans="1:2" x14ac:dyDescent="0.35">
      <c r="A1388" s="1" t="str">
        <f t="shared" si="21"/>
        <v/>
      </c>
      <c r="B138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89" spans="1:2" x14ac:dyDescent="0.35">
      <c r="A1389" s="1" t="str">
        <f t="shared" si="21"/>
        <v/>
      </c>
      <c r="B138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90" spans="1:2" x14ac:dyDescent="0.35">
      <c r="A1390" s="1" t="str">
        <f t="shared" si="21"/>
        <v/>
      </c>
      <c r="B139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91" spans="1:2" x14ac:dyDescent="0.35">
      <c r="A1391" s="1" t="str">
        <f t="shared" si="21"/>
        <v/>
      </c>
      <c r="B139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92" spans="1:2" x14ac:dyDescent="0.35">
      <c r="A1392" s="1" t="str">
        <f t="shared" si="21"/>
        <v/>
      </c>
      <c r="B139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93" spans="1:2" x14ac:dyDescent="0.35">
      <c r="A1393" s="1" t="str">
        <f t="shared" si="21"/>
        <v/>
      </c>
      <c r="B139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94" spans="1:2" x14ac:dyDescent="0.35">
      <c r="A1394" s="1" t="str">
        <f t="shared" si="21"/>
        <v/>
      </c>
      <c r="B139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95" spans="1:2" x14ac:dyDescent="0.35">
      <c r="A1395" s="1" t="str">
        <f t="shared" ref="A1395:A1458" si="22">IFERROR(LEFT(RIGHT(C1395,LEN(C1395)-SEARCH("@",C1395)),SEARCH("/",RIGHT(C1395,LEN(C1395)-SEARCH("@",C1395)-1))),"")</f>
        <v/>
      </c>
      <c r="B139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96" spans="1:2" x14ac:dyDescent="0.35">
      <c r="A1396" s="1" t="str">
        <f t="shared" si="22"/>
        <v/>
      </c>
      <c r="B139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97" spans="1:2" x14ac:dyDescent="0.35">
      <c r="A1397" s="1" t="str">
        <f t="shared" si="22"/>
        <v/>
      </c>
      <c r="B139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98" spans="1:2" x14ac:dyDescent="0.35">
      <c r="A1398" s="1" t="str">
        <f t="shared" si="22"/>
        <v/>
      </c>
      <c r="B139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99" spans="1:2" x14ac:dyDescent="0.35">
      <c r="A1399" s="1" t="str">
        <f t="shared" si="22"/>
        <v/>
      </c>
      <c r="B139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00" spans="1:2" x14ac:dyDescent="0.35">
      <c r="A1400" s="1" t="str">
        <f t="shared" si="22"/>
        <v/>
      </c>
      <c r="B140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01" spans="1:2" x14ac:dyDescent="0.35">
      <c r="A1401" s="1" t="str">
        <f t="shared" si="22"/>
        <v/>
      </c>
      <c r="B140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02" spans="1:2" x14ac:dyDescent="0.35">
      <c r="A1402" s="1" t="str">
        <f t="shared" si="22"/>
        <v/>
      </c>
      <c r="B140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03" spans="1:2" x14ac:dyDescent="0.35">
      <c r="A1403" s="1" t="str">
        <f t="shared" si="22"/>
        <v/>
      </c>
      <c r="B140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04" spans="1:2" x14ac:dyDescent="0.35">
      <c r="A1404" s="1" t="str">
        <f t="shared" si="22"/>
        <v/>
      </c>
      <c r="B140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05" spans="1:2" x14ac:dyDescent="0.35">
      <c r="A1405" s="1" t="str">
        <f t="shared" si="22"/>
        <v/>
      </c>
      <c r="B140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06" spans="1:2" x14ac:dyDescent="0.35">
      <c r="A1406" s="1" t="str">
        <f t="shared" si="22"/>
        <v/>
      </c>
      <c r="B140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07" spans="1:2" x14ac:dyDescent="0.35">
      <c r="A1407" s="1" t="str">
        <f t="shared" si="22"/>
        <v/>
      </c>
      <c r="B140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08" spans="1:2" x14ac:dyDescent="0.35">
      <c r="A1408" s="1" t="str">
        <f t="shared" si="22"/>
        <v/>
      </c>
      <c r="B140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09" spans="1:2" x14ac:dyDescent="0.35">
      <c r="A1409" s="1" t="str">
        <f t="shared" si="22"/>
        <v/>
      </c>
      <c r="B140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10" spans="1:2" x14ac:dyDescent="0.35">
      <c r="A1410" s="1" t="str">
        <f t="shared" si="22"/>
        <v/>
      </c>
      <c r="B141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11" spans="1:2" x14ac:dyDescent="0.35">
      <c r="A1411" s="1" t="str">
        <f t="shared" si="22"/>
        <v/>
      </c>
      <c r="B141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12" spans="1:2" x14ac:dyDescent="0.35">
      <c r="A1412" s="1" t="str">
        <f t="shared" si="22"/>
        <v/>
      </c>
      <c r="B141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13" spans="1:2" x14ac:dyDescent="0.35">
      <c r="A1413" s="1" t="str">
        <f t="shared" si="22"/>
        <v/>
      </c>
      <c r="B141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14" spans="1:2" x14ac:dyDescent="0.35">
      <c r="A1414" s="1" t="str">
        <f t="shared" si="22"/>
        <v/>
      </c>
      <c r="B141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15" spans="1:2" x14ac:dyDescent="0.35">
      <c r="A1415" s="1" t="str">
        <f t="shared" si="22"/>
        <v/>
      </c>
      <c r="B141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16" spans="1:2" x14ac:dyDescent="0.35">
      <c r="A1416" s="1" t="str">
        <f t="shared" si="22"/>
        <v/>
      </c>
      <c r="B141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17" spans="1:2" x14ac:dyDescent="0.35">
      <c r="A1417" s="1" t="str">
        <f t="shared" si="22"/>
        <v/>
      </c>
      <c r="B141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18" spans="1:2" x14ac:dyDescent="0.35">
      <c r="A1418" s="1" t="str">
        <f t="shared" si="22"/>
        <v/>
      </c>
      <c r="B141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19" spans="1:2" x14ac:dyDescent="0.35">
      <c r="A1419" s="1" t="str">
        <f t="shared" si="22"/>
        <v/>
      </c>
      <c r="B141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20" spans="1:2" x14ac:dyDescent="0.35">
      <c r="A1420" s="1" t="str">
        <f t="shared" si="22"/>
        <v/>
      </c>
      <c r="B142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21" spans="1:2" x14ac:dyDescent="0.35">
      <c r="A1421" s="1" t="str">
        <f t="shared" si="22"/>
        <v/>
      </c>
      <c r="B142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22" spans="1:2" x14ac:dyDescent="0.35">
      <c r="A1422" s="1" t="str">
        <f t="shared" si="22"/>
        <v/>
      </c>
      <c r="B142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23" spans="1:2" x14ac:dyDescent="0.35">
      <c r="A1423" s="1" t="str">
        <f t="shared" si="22"/>
        <v/>
      </c>
      <c r="B142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24" spans="1:2" x14ac:dyDescent="0.35">
      <c r="A1424" s="1" t="str">
        <f t="shared" si="22"/>
        <v/>
      </c>
      <c r="B142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25" spans="1:2" x14ac:dyDescent="0.35">
      <c r="A1425" s="1" t="str">
        <f t="shared" si="22"/>
        <v/>
      </c>
      <c r="B142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26" spans="1:2" x14ac:dyDescent="0.35">
      <c r="A1426" s="1" t="str">
        <f t="shared" si="22"/>
        <v/>
      </c>
      <c r="B142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27" spans="1:2" x14ac:dyDescent="0.35">
      <c r="A1427" s="1" t="str">
        <f t="shared" si="22"/>
        <v/>
      </c>
      <c r="B142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28" spans="1:2" x14ac:dyDescent="0.35">
      <c r="A1428" s="1" t="str">
        <f t="shared" si="22"/>
        <v/>
      </c>
      <c r="B142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29" spans="1:2" x14ac:dyDescent="0.35">
      <c r="A1429" s="1" t="str">
        <f t="shared" si="22"/>
        <v/>
      </c>
      <c r="B142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30" spans="1:2" x14ac:dyDescent="0.35">
      <c r="A1430" s="1" t="str">
        <f t="shared" si="22"/>
        <v/>
      </c>
      <c r="B143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31" spans="1:2" x14ac:dyDescent="0.35">
      <c r="A1431" s="1" t="str">
        <f t="shared" si="22"/>
        <v/>
      </c>
      <c r="B143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32" spans="1:2" x14ac:dyDescent="0.35">
      <c r="A1432" s="1" t="str">
        <f t="shared" si="22"/>
        <v/>
      </c>
      <c r="B143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33" spans="1:2" x14ac:dyDescent="0.35">
      <c r="A1433" s="1" t="str">
        <f t="shared" si="22"/>
        <v/>
      </c>
      <c r="B143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34" spans="1:2" x14ac:dyDescent="0.35">
      <c r="A1434" s="1" t="str">
        <f t="shared" si="22"/>
        <v/>
      </c>
      <c r="B143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35" spans="1:2" x14ac:dyDescent="0.35">
      <c r="A1435" s="1" t="str">
        <f t="shared" si="22"/>
        <v/>
      </c>
      <c r="B143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36" spans="1:2" x14ac:dyDescent="0.35">
      <c r="A1436" s="1" t="str">
        <f t="shared" si="22"/>
        <v/>
      </c>
      <c r="B143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37" spans="1:2" x14ac:dyDescent="0.35">
      <c r="A1437" s="1" t="str">
        <f t="shared" si="22"/>
        <v/>
      </c>
      <c r="B143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38" spans="1:2" x14ac:dyDescent="0.35">
      <c r="A1438" s="1" t="str">
        <f t="shared" si="22"/>
        <v/>
      </c>
      <c r="B143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39" spans="1:2" x14ac:dyDescent="0.35">
      <c r="A1439" s="1" t="str">
        <f t="shared" si="22"/>
        <v/>
      </c>
      <c r="B143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40" spans="1:2" x14ac:dyDescent="0.35">
      <c r="A1440" s="1" t="str">
        <f t="shared" si="22"/>
        <v/>
      </c>
      <c r="B144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41" spans="1:2" x14ac:dyDescent="0.35">
      <c r="A1441" s="1" t="str">
        <f t="shared" si="22"/>
        <v/>
      </c>
      <c r="B144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42" spans="1:2" x14ac:dyDescent="0.35">
      <c r="A1442" s="1" t="str">
        <f t="shared" si="22"/>
        <v/>
      </c>
      <c r="B144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43" spans="1:2" x14ac:dyDescent="0.35">
      <c r="A1443" s="1" t="str">
        <f t="shared" si="22"/>
        <v/>
      </c>
      <c r="B144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44" spans="1:2" x14ac:dyDescent="0.35">
      <c r="A1444" s="1" t="str">
        <f t="shared" si="22"/>
        <v/>
      </c>
      <c r="B144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45" spans="1:2" x14ac:dyDescent="0.35">
      <c r="A1445" s="1" t="str">
        <f t="shared" si="22"/>
        <v/>
      </c>
      <c r="B144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46" spans="1:2" x14ac:dyDescent="0.35">
      <c r="A1446" s="1" t="str">
        <f t="shared" si="22"/>
        <v/>
      </c>
      <c r="B144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47" spans="1:2" x14ac:dyDescent="0.35">
      <c r="A1447" s="1" t="str">
        <f t="shared" si="22"/>
        <v/>
      </c>
      <c r="B144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48" spans="1:2" x14ac:dyDescent="0.35">
      <c r="A1448" s="1" t="str">
        <f t="shared" si="22"/>
        <v/>
      </c>
      <c r="B144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49" spans="1:2" x14ac:dyDescent="0.35">
      <c r="A1449" s="1" t="str">
        <f t="shared" si="22"/>
        <v/>
      </c>
      <c r="B144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50" spans="1:2" x14ac:dyDescent="0.35">
      <c r="A1450" s="1" t="str">
        <f t="shared" si="22"/>
        <v/>
      </c>
      <c r="B145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51" spans="1:2" x14ac:dyDescent="0.35">
      <c r="A1451" s="1" t="str">
        <f t="shared" si="22"/>
        <v/>
      </c>
      <c r="B145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52" spans="1:2" x14ac:dyDescent="0.35">
      <c r="A1452" s="1" t="str">
        <f t="shared" si="22"/>
        <v/>
      </c>
      <c r="B145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53" spans="1:2" x14ac:dyDescent="0.35">
      <c r="A1453" s="1" t="str">
        <f t="shared" si="22"/>
        <v/>
      </c>
      <c r="B145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54" spans="1:2" x14ac:dyDescent="0.35">
      <c r="A1454" s="1" t="str">
        <f t="shared" si="22"/>
        <v/>
      </c>
      <c r="B145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55" spans="1:2" x14ac:dyDescent="0.35">
      <c r="A1455" s="1" t="str">
        <f t="shared" si="22"/>
        <v/>
      </c>
      <c r="B145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56" spans="1:2" x14ac:dyDescent="0.35">
      <c r="A1456" s="1" t="str">
        <f t="shared" si="22"/>
        <v/>
      </c>
      <c r="B145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57" spans="1:2" x14ac:dyDescent="0.35">
      <c r="A1457" s="1" t="str">
        <f t="shared" si="22"/>
        <v/>
      </c>
      <c r="B145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58" spans="1:2" x14ac:dyDescent="0.35">
      <c r="A1458" s="1" t="str">
        <f t="shared" si="22"/>
        <v/>
      </c>
      <c r="B145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59" spans="1:2" x14ac:dyDescent="0.35">
      <c r="A1459" s="1" t="str">
        <f t="shared" ref="A1459:A1522" si="23">IFERROR(LEFT(RIGHT(C1459,LEN(C1459)-SEARCH("@",C1459)),SEARCH("/",RIGHT(C1459,LEN(C1459)-SEARCH("@",C1459)-1))),"")</f>
        <v/>
      </c>
      <c r="B145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60" spans="1:2" x14ac:dyDescent="0.35">
      <c r="A1460" s="1" t="str">
        <f t="shared" si="23"/>
        <v/>
      </c>
      <c r="B146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61" spans="1:2" x14ac:dyDescent="0.35">
      <c r="A1461" s="1" t="str">
        <f t="shared" si="23"/>
        <v/>
      </c>
      <c r="B146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62" spans="1:2" x14ac:dyDescent="0.35">
      <c r="A1462" s="1" t="str">
        <f t="shared" si="23"/>
        <v/>
      </c>
      <c r="B146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63" spans="1:2" x14ac:dyDescent="0.35">
      <c r="A1463" s="1" t="str">
        <f t="shared" si="23"/>
        <v/>
      </c>
      <c r="B146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64" spans="1:2" x14ac:dyDescent="0.35">
      <c r="A1464" s="1" t="str">
        <f t="shared" si="23"/>
        <v/>
      </c>
      <c r="B146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65" spans="1:2" x14ac:dyDescent="0.35">
      <c r="A1465" s="1" t="str">
        <f t="shared" si="23"/>
        <v/>
      </c>
      <c r="B146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66" spans="1:2" x14ac:dyDescent="0.35">
      <c r="A1466" s="1" t="str">
        <f t="shared" si="23"/>
        <v/>
      </c>
      <c r="B146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67" spans="1:2" x14ac:dyDescent="0.35">
      <c r="A1467" s="1" t="str">
        <f t="shared" si="23"/>
        <v/>
      </c>
      <c r="B146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68" spans="1:2" x14ac:dyDescent="0.35">
      <c r="A1468" s="1" t="str">
        <f t="shared" si="23"/>
        <v/>
      </c>
      <c r="B146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69" spans="1:2" x14ac:dyDescent="0.35">
      <c r="A1469" s="1" t="str">
        <f t="shared" si="23"/>
        <v/>
      </c>
      <c r="B146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70" spans="1:2" x14ac:dyDescent="0.35">
      <c r="A1470" s="1" t="str">
        <f t="shared" si="23"/>
        <v/>
      </c>
      <c r="B147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71" spans="1:2" x14ac:dyDescent="0.35">
      <c r="A1471" s="1" t="str">
        <f t="shared" si="23"/>
        <v/>
      </c>
      <c r="B147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72" spans="1:2" x14ac:dyDescent="0.35">
      <c r="A1472" s="1" t="str">
        <f t="shared" si="23"/>
        <v/>
      </c>
      <c r="B147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73" spans="1:2" x14ac:dyDescent="0.35">
      <c r="A1473" s="1" t="str">
        <f t="shared" si="23"/>
        <v/>
      </c>
      <c r="B147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74" spans="1:2" x14ac:dyDescent="0.35">
      <c r="A1474" s="1" t="str">
        <f t="shared" si="23"/>
        <v/>
      </c>
      <c r="B147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75" spans="1:2" x14ac:dyDescent="0.35">
      <c r="A1475" s="1" t="str">
        <f t="shared" si="23"/>
        <v/>
      </c>
      <c r="B147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76" spans="1:2" x14ac:dyDescent="0.35">
      <c r="A1476" s="1" t="str">
        <f t="shared" si="23"/>
        <v/>
      </c>
      <c r="B147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77" spans="1:2" x14ac:dyDescent="0.35">
      <c r="A1477" s="1" t="str">
        <f t="shared" si="23"/>
        <v/>
      </c>
      <c r="B147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78" spans="1:2" x14ac:dyDescent="0.35">
      <c r="A1478" s="1" t="str">
        <f t="shared" si="23"/>
        <v/>
      </c>
      <c r="B147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79" spans="1:2" x14ac:dyDescent="0.35">
      <c r="A1479" s="1" t="str">
        <f t="shared" si="23"/>
        <v/>
      </c>
      <c r="B147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80" spans="1:2" x14ac:dyDescent="0.35">
      <c r="A1480" s="1" t="str">
        <f t="shared" si="23"/>
        <v/>
      </c>
      <c r="B148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81" spans="1:2" x14ac:dyDescent="0.35">
      <c r="A1481" s="1" t="str">
        <f t="shared" si="23"/>
        <v/>
      </c>
      <c r="B148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82" spans="1:2" x14ac:dyDescent="0.35">
      <c r="A1482" s="1" t="str">
        <f t="shared" si="23"/>
        <v/>
      </c>
      <c r="B148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83" spans="1:2" x14ac:dyDescent="0.35">
      <c r="A1483" s="1" t="str">
        <f t="shared" si="23"/>
        <v/>
      </c>
      <c r="B148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84" spans="1:2" x14ac:dyDescent="0.35">
      <c r="A1484" s="1" t="str">
        <f t="shared" si="23"/>
        <v/>
      </c>
      <c r="B148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85" spans="1:2" x14ac:dyDescent="0.35">
      <c r="A1485" s="1" t="str">
        <f t="shared" si="23"/>
        <v/>
      </c>
      <c r="B148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86" spans="1:2" x14ac:dyDescent="0.35">
      <c r="A1486" s="1" t="str">
        <f t="shared" si="23"/>
        <v/>
      </c>
      <c r="B148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87" spans="1:2" x14ac:dyDescent="0.35">
      <c r="A1487" s="1" t="str">
        <f t="shared" si="23"/>
        <v/>
      </c>
      <c r="B148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88" spans="1:2" x14ac:dyDescent="0.35">
      <c r="A1488" s="1" t="str">
        <f t="shared" si="23"/>
        <v/>
      </c>
      <c r="B148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89" spans="1:2" x14ac:dyDescent="0.35">
      <c r="A1489" s="1" t="str">
        <f t="shared" si="23"/>
        <v/>
      </c>
      <c r="B148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90" spans="1:2" x14ac:dyDescent="0.35">
      <c r="A1490" s="1" t="str">
        <f t="shared" si="23"/>
        <v/>
      </c>
      <c r="B149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91" spans="1:2" x14ac:dyDescent="0.35">
      <c r="A1491" s="1" t="str">
        <f t="shared" si="23"/>
        <v/>
      </c>
      <c r="B149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92" spans="1:2" x14ac:dyDescent="0.35">
      <c r="A1492" s="1" t="str">
        <f t="shared" si="23"/>
        <v/>
      </c>
      <c r="B149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93" spans="1:2" x14ac:dyDescent="0.35">
      <c r="A1493" s="1" t="str">
        <f t="shared" si="23"/>
        <v/>
      </c>
      <c r="B149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94" spans="1:2" x14ac:dyDescent="0.35">
      <c r="A1494" s="1" t="str">
        <f t="shared" si="23"/>
        <v/>
      </c>
      <c r="B149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95" spans="1:2" x14ac:dyDescent="0.35">
      <c r="A1495" s="1" t="str">
        <f t="shared" si="23"/>
        <v/>
      </c>
      <c r="B149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96" spans="1:2" x14ac:dyDescent="0.35">
      <c r="A1496" s="1" t="str">
        <f t="shared" si="23"/>
        <v/>
      </c>
      <c r="B149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97" spans="1:2" x14ac:dyDescent="0.35">
      <c r="A1497" s="1" t="str">
        <f t="shared" si="23"/>
        <v/>
      </c>
      <c r="B149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98" spans="1:2" x14ac:dyDescent="0.35">
      <c r="A1498" s="1" t="str">
        <f t="shared" si="23"/>
        <v/>
      </c>
      <c r="B149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99" spans="1:2" x14ac:dyDescent="0.35">
      <c r="A1499" s="1" t="str">
        <f t="shared" si="23"/>
        <v/>
      </c>
      <c r="B149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00" spans="1:2" x14ac:dyDescent="0.35">
      <c r="A1500" s="1" t="str">
        <f t="shared" si="23"/>
        <v/>
      </c>
      <c r="B150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01" spans="1:2" x14ac:dyDescent="0.35">
      <c r="A1501" s="1" t="str">
        <f t="shared" si="23"/>
        <v/>
      </c>
      <c r="B150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02" spans="1:2" x14ac:dyDescent="0.35">
      <c r="A1502" s="1" t="str">
        <f t="shared" si="23"/>
        <v/>
      </c>
      <c r="B150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03" spans="1:2" x14ac:dyDescent="0.35">
      <c r="A1503" s="1" t="str">
        <f t="shared" si="23"/>
        <v/>
      </c>
      <c r="B150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04" spans="1:2" x14ac:dyDescent="0.35">
      <c r="A1504" s="1" t="str">
        <f t="shared" si="23"/>
        <v/>
      </c>
      <c r="B150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05" spans="1:2" x14ac:dyDescent="0.35">
      <c r="A1505" s="1" t="str">
        <f t="shared" si="23"/>
        <v/>
      </c>
      <c r="B150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06" spans="1:2" x14ac:dyDescent="0.35">
      <c r="A1506" s="1" t="str">
        <f t="shared" si="23"/>
        <v/>
      </c>
      <c r="B150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07" spans="1:2" x14ac:dyDescent="0.35">
      <c r="A1507" s="1" t="str">
        <f t="shared" si="23"/>
        <v/>
      </c>
      <c r="B150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08" spans="1:2" x14ac:dyDescent="0.35">
      <c r="A1508" s="1" t="str">
        <f t="shared" si="23"/>
        <v/>
      </c>
      <c r="B150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09" spans="1:2" x14ac:dyDescent="0.35">
      <c r="A1509" s="1" t="str">
        <f t="shared" si="23"/>
        <v/>
      </c>
      <c r="B150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10" spans="1:2" x14ac:dyDescent="0.35">
      <c r="A1510" s="1" t="str">
        <f t="shared" si="23"/>
        <v/>
      </c>
      <c r="B151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11" spans="1:2" x14ac:dyDescent="0.35">
      <c r="A1511" s="1" t="str">
        <f t="shared" si="23"/>
        <v/>
      </c>
      <c r="B151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12" spans="1:2" x14ac:dyDescent="0.35">
      <c r="A1512" s="1" t="str">
        <f t="shared" si="23"/>
        <v/>
      </c>
      <c r="B151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13" spans="1:2" x14ac:dyDescent="0.35">
      <c r="A1513" s="1" t="str">
        <f t="shared" si="23"/>
        <v/>
      </c>
      <c r="B151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14" spans="1:2" x14ac:dyDescent="0.35">
      <c r="A1514" s="1" t="str">
        <f t="shared" si="23"/>
        <v/>
      </c>
      <c r="B151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15" spans="1:2" x14ac:dyDescent="0.35">
      <c r="A1515" s="1" t="str">
        <f t="shared" si="23"/>
        <v/>
      </c>
      <c r="B151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16" spans="1:2" x14ac:dyDescent="0.35">
      <c r="A1516" s="1" t="str">
        <f t="shared" si="23"/>
        <v/>
      </c>
      <c r="B151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17" spans="1:2" x14ac:dyDescent="0.35">
      <c r="A1517" s="1" t="str">
        <f t="shared" si="23"/>
        <v/>
      </c>
      <c r="B151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18" spans="1:2" x14ac:dyDescent="0.35">
      <c r="A1518" s="1" t="str">
        <f t="shared" si="23"/>
        <v/>
      </c>
      <c r="B151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19" spans="1:2" x14ac:dyDescent="0.35">
      <c r="A1519" s="1" t="str">
        <f t="shared" si="23"/>
        <v/>
      </c>
      <c r="B151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20" spans="1:2" x14ac:dyDescent="0.35">
      <c r="A1520" s="1" t="str">
        <f t="shared" si="23"/>
        <v/>
      </c>
      <c r="B152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21" spans="1:2" x14ac:dyDescent="0.35">
      <c r="A1521" s="1" t="str">
        <f t="shared" si="23"/>
        <v/>
      </c>
      <c r="B152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22" spans="1:2" x14ac:dyDescent="0.35">
      <c r="A1522" s="1" t="str">
        <f t="shared" si="23"/>
        <v/>
      </c>
      <c r="B152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23" spans="1:2" x14ac:dyDescent="0.35">
      <c r="A1523" s="1" t="str">
        <f t="shared" ref="A1523:A1586" si="24">IFERROR(LEFT(RIGHT(C1523,LEN(C1523)-SEARCH("@",C1523)),SEARCH("/",RIGHT(C1523,LEN(C1523)-SEARCH("@",C1523)-1))),"")</f>
        <v/>
      </c>
      <c r="B152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24" spans="1:2" x14ac:dyDescent="0.35">
      <c r="A1524" s="1" t="str">
        <f t="shared" si="24"/>
        <v/>
      </c>
      <c r="B152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25" spans="1:2" x14ac:dyDescent="0.35">
      <c r="A1525" s="1" t="str">
        <f t="shared" si="24"/>
        <v/>
      </c>
      <c r="B152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26" spans="1:2" x14ac:dyDescent="0.35">
      <c r="A1526" s="1" t="str">
        <f t="shared" si="24"/>
        <v/>
      </c>
      <c r="B152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27" spans="1:2" x14ac:dyDescent="0.35">
      <c r="A1527" s="1" t="str">
        <f t="shared" si="24"/>
        <v/>
      </c>
      <c r="B152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28" spans="1:2" x14ac:dyDescent="0.35">
      <c r="A1528" s="1" t="str">
        <f t="shared" si="24"/>
        <v/>
      </c>
      <c r="B152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29" spans="1:2" x14ac:dyDescent="0.35">
      <c r="A1529" s="1" t="str">
        <f t="shared" si="24"/>
        <v/>
      </c>
      <c r="B152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30" spans="1:2" x14ac:dyDescent="0.35">
      <c r="A1530" s="1" t="str">
        <f t="shared" si="24"/>
        <v/>
      </c>
      <c r="B153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31" spans="1:2" x14ac:dyDescent="0.35">
      <c r="A1531" s="1" t="str">
        <f t="shared" si="24"/>
        <v/>
      </c>
      <c r="B153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32" spans="1:2" x14ac:dyDescent="0.35">
      <c r="A1532" s="1" t="str">
        <f t="shared" si="24"/>
        <v/>
      </c>
      <c r="B153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33" spans="1:2" x14ac:dyDescent="0.35">
      <c r="A1533" s="1" t="str">
        <f t="shared" si="24"/>
        <v/>
      </c>
      <c r="B153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34" spans="1:2" x14ac:dyDescent="0.35">
      <c r="A1534" s="1" t="str">
        <f t="shared" si="24"/>
        <v/>
      </c>
      <c r="B153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35" spans="1:2" x14ac:dyDescent="0.35">
      <c r="A1535" s="1" t="str">
        <f t="shared" si="24"/>
        <v/>
      </c>
      <c r="B153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36" spans="1:2" x14ac:dyDescent="0.35">
      <c r="A1536" s="1" t="str">
        <f t="shared" si="24"/>
        <v/>
      </c>
      <c r="B153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37" spans="1:2" x14ac:dyDescent="0.35">
      <c r="A1537" s="1" t="str">
        <f t="shared" si="24"/>
        <v/>
      </c>
      <c r="B153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38" spans="1:2" x14ac:dyDescent="0.35">
      <c r="A1538" s="1" t="str">
        <f t="shared" si="24"/>
        <v/>
      </c>
      <c r="B153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39" spans="1:2" x14ac:dyDescent="0.35">
      <c r="A1539" s="1" t="str">
        <f t="shared" si="24"/>
        <v/>
      </c>
      <c r="B153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40" spans="1:2" x14ac:dyDescent="0.35">
      <c r="A1540" s="1" t="str">
        <f t="shared" si="24"/>
        <v/>
      </c>
      <c r="B154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41" spans="1:2" x14ac:dyDescent="0.35">
      <c r="A1541" s="1" t="str">
        <f t="shared" si="24"/>
        <v/>
      </c>
      <c r="B154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42" spans="1:2" x14ac:dyDescent="0.35">
      <c r="A1542" s="1" t="str">
        <f t="shared" si="24"/>
        <v/>
      </c>
      <c r="B154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43" spans="1:2" x14ac:dyDescent="0.35">
      <c r="A1543" s="1" t="str">
        <f t="shared" si="24"/>
        <v/>
      </c>
      <c r="B154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44" spans="1:2" x14ac:dyDescent="0.35">
      <c r="A1544" s="1" t="str">
        <f t="shared" si="24"/>
        <v/>
      </c>
      <c r="B154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45" spans="1:2" x14ac:dyDescent="0.35">
      <c r="A1545" s="1" t="str">
        <f t="shared" si="24"/>
        <v/>
      </c>
      <c r="B154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46" spans="1:2" x14ac:dyDescent="0.35">
      <c r="A1546" s="1" t="str">
        <f t="shared" si="24"/>
        <v/>
      </c>
      <c r="B154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47" spans="1:2" x14ac:dyDescent="0.35">
      <c r="A1547" s="1" t="str">
        <f t="shared" si="24"/>
        <v/>
      </c>
      <c r="B154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48" spans="1:2" x14ac:dyDescent="0.35">
      <c r="A1548" s="1" t="str">
        <f t="shared" si="24"/>
        <v/>
      </c>
      <c r="B154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49" spans="1:2" x14ac:dyDescent="0.35">
      <c r="A1549" s="1" t="str">
        <f t="shared" si="24"/>
        <v/>
      </c>
      <c r="B154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50" spans="1:2" x14ac:dyDescent="0.35">
      <c r="A1550" s="1" t="str">
        <f t="shared" si="24"/>
        <v/>
      </c>
      <c r="B155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51" spans="1:2" x14ac:dyDescent="0.35">
      <c r="A1551" s="1" t="str">
        <f t="shared" si="24"/>
        <v/>
      </c>
      <c r="B155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52" spans="1:2" x14ac:dyDescent="0.35">
      <c r="A1552" s="1" t="str">
        <f t="shared" si="24"/>
        <v/>
      </c>
      <c r="B155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53" spans="1:2" x14ac:dyDescent="0.35">
      <c r="A1553" s="1" t="str">
        <f t="shared" si="24"/>
        <v/>
      </c>
      <c r="B155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54" spans="1:2" x14ac:dyDescent="0.35">
      <c r="A1554" s="1" t="str">
        <f t="shared" si="24"/>
        <v/>
      </c>
      <c r="B155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55" spans="1:2" x14ac:dyDescent="0.35">
      <c r="A1555" s="1" t="str">
        <f t="shared" si="24"/>
        <v/>
      </c>
      <c r="B155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56" spans="1:2" x14ac:dyDescent="0.35">
      <c r="A1556" s="1" t="str">
        <f t="shared" si="24"/>
        <v/>
      </c>
      <c r="B155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57" spans="1:2" x14ac:dyDescent="0.35">
      <c r="A1557" s="1" t="str">
        <f t="shared" si="24"/>
        <v/>
      </c>
      <c r="B155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58" spans="1:2" x14ac:dyDescent="0.35">
      <c r="A1558" s="1" t="str">
        <f t="shared" si="24"/>
        <v/>
      </c>
      <c r="B155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59" spans="1:2" x14ac:dyDescent="0.35">
      <c r="A1559" s="1" t="str">
        <f t="shared" si="24"/>
        <v/>
      </c>
      <c r="B155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60" spans="1:2" x14ac:dyDescent="0.35">
      <c r="A1560" s="1" t="str">
        <f t="shared" si="24"/>
        <v/>
      </c>
      <c r="B156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61" spans="1:2" x14ac:dyDescent="0.35">
      <c r="A1561" s="1" t="str">
        <f t="shared" si="24"/>
        <v/>
      </c>
      <c r="B156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62" spans="1:2" x14ac:dyDescent="0.35">
      <c r="A1562" s="1" t="str">
        <f t="shared" si="24"/>
        <v/>
      </c>
      <c r="B156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63" spans="1:2" x14ac:dyDescent="0.35">
      <c r="A1563" s="1" t="str">
        <f t="shared" si="24"/>
        <v/>
      </c>
      <c r="B156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64" spans="1:2" x14ac:dyDescent="0.35">
      <c r="A1564" s="1" t="str">
        <f t="shared" si="24"/>
        <v/>
      </c>
      <c r="B156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65" spans="1:2" x14ac:dyDescent="0.35">
      <c r="A1565" s="1" t="str">
        <f t="shared" si="24"/>
        <v/>
      </c>
      <c r="B156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66" spans="1:2" x14ac:dyDescent="0.35">
      <c r="A1566" s="1" t="str">
        <f t="shared" si="24"/>
        <v/>
      </c>
      <c r="B156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67" spans="1:2" x14ac:dyDescent="0.35">
      <c r="A1567" s="1" t="str">
        <f t="shared" si="24"/>
        <v/>
      </c>
      <c r="B156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68" spans="1:2" x14ac:dyDescent="0.35">
      <c r="A1568" s="1" t="str">
        <f t="shared" si="24"/>
        <v/>
      </c>
      <c r="B156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69" spans="1:2" x14ac:dyDescent="0.35">
      <c r="A1569" s="1" t="str">
        <f t="shared" si="24"/>
        <v/>
      </c>
      <c r="B156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70" spans="1:2" x14ac:dyDescent="0.35">
      <c r="A1570" s="1" t="str">
        <f t="shared" si="24"/>
        <v/>
      </c>
      <c r="B157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71" spans="1:2" x14ac:dyDescent="0.35">
      <c r="A1571" s="1" t="str">
        <f t="shared" si="24"/>
        <v/>
      </c>
      <c r="B157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72" spans="1:2" x14ac:dyDescent="0.35">
      <c r="A1572" s="1" t="str">
        <f t="shared" si="24"/>
        <v/>
      </c>
      <c r="B157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73" spans="1:2" x14ac:dyDescent="0.35">
      <c r="A1573" s="1" t="str">
        <f t="shared" si="24"/>
        <v/>
      </c>
      <c r="B157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74" spans="1:2" x14ac:dyDescent="0.35">
      <c r="A1574" s="1" t="str">
        <f t="shared" si="24"/>
        <v/>
      </c>
      <c r="B157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75" spans="1:2" x14ac:dyDescent="0.35">
      <c r="A1575" s="1" t="str">
        <f t="shared" si="24"/>
        <v/>
      </c>
      <c r="B157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76" spans="1:2" x14ac:dyDescent="0.35">
      <c r="A1576" s="1" t="str">
        <f t="shared" si="24"/>
        <v/>
      </c>
      <c r="B157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77" spans="1:2" x14ac:dyDescent="0.35">
      <c r="A1577" s="1" t="str">
        <f t="shared" si="24"/>
        <v/>
      </c>
      <c r="B157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78" spans="1:2" x14ac:dyDescent="0.35">
      <c r="A1578" s="1" t="str">
        <f t="shared" si="24"/>
        <v/>
      </c>
      <c r="B157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79" spans="1:2" x14ac:dyDescent="0.35">
      <c r="A1579" s="1" t="str">
        <f t="shared" si="24"/>
        <v/>
      </c>
      <c r="B157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80" spans="1:2" x14ac:dyDescent="0.35">
      <c r="A1580" s="1" t="str">
        <f t="shared" si="24"/>
        <v/>
      </c>
      <c r="B158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81" spans="1:2" x14ac:dyDescent="0.35">
      <c r="A1581" s="1" t="str">
        <f t="shared" si="24"/>
        <v/>
      </c>
      <c r="B158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82" spans="1:2" x14ac:dyDescent="0.35">
      <c r="A1582" s="1" t="str">
        <f t="shared" si="24"/>
        <v/>
      </c>
      <c r="B158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83" spans="1:2" x14ac:dyDescent="0.35">
      <c r="A1583" s="1" t="str">
        <f t="shared" si="24"/>
        <v/>
      </c>
      <c r="B158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84" spans="1:2" x14ac:dyDescent="0.35">
      <c r="A1584" s="1" t="str">
        <f t="shared" si="24"/>
        <v/>
      </c>
      <c r="B158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85" spans="1:2" x14ac:dyDescent="0.35">
      <c r="A1585" s="1" t="str">
        <f t="shared" si="24"/>
        <v/>
      </c>
      <c r="B158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86" spans="1:2" x14ac:dyDescent="0.35">
      <c r="A1586" s="1" t="str">
        <f t="shared" si="24"/>
        <v/>
      </c>
      <c r="B158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87" spans="1:2" x14ac:dyDescent="0.35">
      <c r="A1587" s="1" t="str">
        <f t="shared" ref="A1587:A1650" si="25">IFERROR(LEFT(RIGHT(C1587,LEN(C1587)-SEARCH("@",C1587)),SEARCH("/",RIGHT(C1587,LEN(C1587)-SEARCH("@",C1587)-1))),"")</f>
        <v/>
      </c>
      <c r="B158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88" spans="1:2" x14ac:dyDescent="0.35">
      <c r="A1588" s="1" t="str">
        <f t="shared" si="25"/>
        <v/>
      </c>
      <c r="B158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89" spans="1:2" x14ac:dyDescent="0.35">
      <c r="A1589" s="1" t="str">
        <f t="shared" si="25"/>
        <v/>
      </c>
      <c r="B158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90" spans="1:2" x14ac:dyDescent="0.35">
      <c r="A1590" s="1" t="str">
        <f t="shared" si="25"/>
        <v/>
      </c>
      <c r="B159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91" spans="1:2" x14ac:dyDescent="0.35">
      <c r="A1591" s="1" t="str">
        <f t="shared" si="25"/>
        <v/>
      </c>
      <c r="B159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92" spans="1:2" x14ac:dyDescent="0.35">
      <c r="A1592" s="1" t="str">
        <f t="shared" si="25"/>
        <v/>
      </c>
      <c r="B159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93" spans="1:2" x14ac:dyDescent="0.35">
      <c r="A1593" s="1" t="str">
        <f t="shared" si="25"/>
        <v/>
      </c>
      <c r="B159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94" spans="1:2" x14ac:dyDescent="0.35">
      <c r="A1594" s="1" t="str">
        <f t="shared" si="25"/>
        <v/>
      </c>
      <c r="B159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95" spans="1:2" x14ac:dyDescent="0.35">
      <c r="A1595" s="1" t="str">
        <f t="shared" si="25"/>
        <v/>
      </c>
      <c r="B159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96" spans="1:2" x14ac:dyDescent="0.35">
      <c r="A1596" s="1" t="str">
        <f t="shared" si="25"/>
        <v/>
      </c>
      <c r="B159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97" spans="1:2" x14ac:dyDescent="0.35">
      <c r="A1597" s="1" t="str">
        <f t="shared" si="25"/>
        <v/>
      </c>
      <c r="B159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98" spans="1:2" x14ac:dyDescent="0.35">
      <c r="A1598" s="1" t="str">
        <f t="shared" si="25"/>
        <v/>
      </c>
      <c r="B159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99" spans="1:2" x14ac:dyDescent="0.35">
      <c r="A1599" s="1" t="str">
        <f t="shared" si="25"/>
        <v/>
      </c>
      <c r="B159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00" spans="1:2" x14ac:dyDescent="0.35">
      <c r="A1600" s="1" t="str">
        <f t="shared" si="25"/>
        <v/>
      </c>
      <c r="B160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01" spans="1:2" x14ac:dyDescent="0.35">
      <c r="A1601" s="1" t="str">
        <f t="shared" si="25"/>
        <v/>
      </c>
      <c r="B160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02" spans="1:2" x14ac:dyDescent="0.35">
      <c r="A1602" s="1" t="str">
        <f t="shared" si="25"/>
        <v/>
      </c>
      <c r="B160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03" spans="1:2" x14ac:dyDescent="0.35">
      <c r="A1603" s="1" t="str">
        <f t="shared" si="25"/>
        <v/>
      </c>
      <c r="B160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04" spans="1:2" x14ac:dyDescent="0.35">
      <c r="A1604" s="1" t="str">
        <f t="shared" si="25"/>
        <v/>
      </c>
      <c r="B160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05" spans="1:2" x14ac:dyDescent="0.35">
      <c r="A1605" s="1" t="str">
        <f t="shared" si="25"/>
        <v/>
      </c>
      <c r="B160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06" spans="1:2" x14ac:dyDescent="0.35">
      <c r="A1606" s="1" t="str">
        <f t="shared" si="25"/>
        <v/>
      </c>
      <c r="B160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07" spans="1:2" x14ac:dyDescent="0.35">
      <c r="A1607" s="1" t="str">
        <f t="shared" si="25"/>
        <v/>
      </c>
      <c r="B160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08" spans="1:2" x14ac:dyDescent="0.35">
      <c r="A1608" s="1" t="str">
        <f t="shared" si="25"/>
        <v/>
      </c>
      <c r="B160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09" spans="1:2" x14ac:dyDescent="0.35">
      <c r="A1609" s="1" t="str">
        <f t="shared" si="25"/>
        <v/>
      </c>
      <c r="B160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10" spans="1:2" x14ac:dyDescent="0.35">
      <c r="A1610" s="1" t="str">
        <f t="shared" si="25"/>
        <v/>
      </c>
      <c r="B161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11" spans="1:2" x14ac:dyDescent="0.35">
      <c r="A1611" s="1" t="str">
        <f t="shared" si="25"/>
        <v/>
      </c>
      <c r="B161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12" spans="1:2" x14ac:dyDescent="0.35">
      <c r="A1612" s="1" t="str">
        <f t="shared" si="25"/>
        <v/>
      </c>
      <c r="B161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13" spans="1:2" x14ac:dyDescent="0.35">
      <c r="A1613" s="1" t="str">
        <f t="shared" si="25"/>
        <v/>
      </c>
      <c r="B161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14" spans="1:2" x14ac:dyDescent="0.35">
      <c r="A1614" s="1" t="str">
        <f t="shared" si="25"/>
        <v/>
      </c>
      <c r="B161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15" spans="1:2" x14ac:dyDescent="0.35">
      <c r="A1615" s="1" t="str">
        <f t="shared" si="25"/>
        <v/>
      </c>
      <c r="B161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16" spans="1:2" x14ac:dyDescent="0.35">
      <c r="A1616" s="1" t="str">
        <f t="shared" si="25"/>
        <v/>
      </c>
      <c r="B161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17" spans="1:2" x14ac:dyDescent="0.35">
      <c r="A1617" s="1" t="str">
        <f t="shared" si="25"/>
        <v/>
      </c>
      <c r="B161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18" spans="1:2" x14ac:dyDescent="0.35">
      <c r="A1618" s="1" t="str">
        <f t="shared" si="25"/>
        <v/>
      </c>
      <c r="B161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19" spans="1:2" x14ac:dyDescent="0.35">
      <c r="A1619" s="1" t="str">
        <f t="shared" si="25"/>
        <v/>
      </c>
      <c r="B161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20" spans="1:2" x14ac:dyDescent="0.35">
      <c r="A1620" s="1" t="str">
        <f t="shared" si="25"/>
        <v/>
      </c>
      <c r="B162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21" spans="1:2" x14ac:dyDescent="0.35">
      <c r="A1621" s="1" t="str">
        <f t="shared" si="25"/>
        <v/>
      </c>
      <c r="B162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22" spans="1:2" x14ac:dyDescent="0.35">
      <c r="A1622" s="1" t="str">
        <f t="shared" si="25"/>
        <v/>
      </c>
      <c r="B162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23" spans="1:2" x14ac:dyDescent="0.35">
      <c r="A1623" s="1" t="str">
        <f t="shared" si="25"/>
        <v/>
      </c>
      <c r="B162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24" spans="1:2" x14ac:dyDescent="0.35">
      <c r="A1624" s="1" t="str">
        <f t="shared" si="25"/>
        <v/>
      </c>
      <c r="B162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25" spans="1:2" x14ac:dyDescent="0.35">
      <c r="A1625" s="1" t="str">
        <f t="shared" si="25"/>
        <v/>
      </c>
      <c r="B162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26" spans="1:2" x14ac:dyDescent="0.35">
      <c r="A1626" s="1" t="str">
        <f t="shared" si="25"/>
        <v/>
      </c>
      <c r="B162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27" spans="1:2" x14ac:dyDescent="0.35">
      <c r="A1627" s="1" t="str">
        <f t="shared" si="25"/>
        <v/>
      </c>
      <c r="B162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28" spans="1:2" x14ac:dyDescent="0.35">
      <c r="A1628" s="1" t="str">
        <f t="shared" si="25"/>
        <v/>
      </c>
      <c r="B162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29" spans="1:2" x14ac:dyDescent="0.35">
      <c r="A1629" s="1" t="str">
        <f t="shared" si="25"/>
        <v/>
      </c>
      <c r="B162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30" spans="1:2" x14ac:dyDescent="0.35">
      <c r="A1630" s="1" t="str">
        <f t="shared" si="25"/>
        <v/>
      </c>
      <c r="B163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31" spans="1:2" x14ac:dyDescent="0.35">
      <c r="A1631" s="1" t="str">
        <f t="shared" si="25"/>
        <v/>
      </c>
      <c r="B163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32" spans="1:2" x14ac:dyDescent="0.35">
      <c r="A1632" s="1" t="str">
        <f t="shared" si="25"/>
        <v/>
      </c>
      <c r="B163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33" spans="1:2" x14ac:dyDescent="0.35">
      <c r="A1633" s="1" t="str">
        <f t="shared" si="25"/>
        <v/>
      </c>
      <c r="B163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34" spans="1:2" x14ac:dyDescent="0.35">
      <c r="A1634" s="1" t="str">
        <f t="shared" si="25"/>
        <v/>
      </c>
      <c r="B163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35" spans="1:2" x14ac:dyDescent="0.35">
      <c r="A1635" s="1" t="str">
        <f t="shared" si="25"/>
        <v/>
      </c>
      <c r="B163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36" spans="1:2" x14ac:dyDescent="0.35">
      <c r="A1636" s="1" t="str">
        <f t="shared" si="25"/>
        <v/>
      </c>
      <c r="B163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37" spans="1:2" x14ac:dyDescent="0.35">
      <c r="A1637" s="1" t="str">
        <f t="shared" si="25"/>
        <v/>
      </c>
      <c r="B163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38" spans="1:2" x14ac:dyDescent="0.35">
      <c r="A1638" s="1" t="str">
        <f t="shared" si="25"/>
        <v/>
      </c>
      <c r="B163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39" spans="1:2" x14ac:dyDescent="0.35">
      <c r="A1639" s="1" t="str">
        <f t="shared" si="25"/>
        <v/>
      </c>
      <c r="B163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40" spans="1:2" x14ac:dyDescent="0.35">
      <c r="A1640" s="1" t="str">
        <f t="shared" si="25"/>
        <v/>
      </c>
      <c r="B164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41" spans="1:2" x14ac:dyDescent="0.35">
      <c r="A1641" s="1" t="str">
        <f t="shared" si="25"/>
        <v/>
      </c>
      <c r="B164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42" spans="1:2" x14ac:dyDescent="0.35">
      <c r="A1642" s="1" t="str">
        <f t="shared" si="25"/>
        <v/>
      </c>
      <c r="B164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43" spans="1:2" x14ac:dyDescent="0.35">
      <c r="A1643" s="1" t="str">
        <f t="shared" si="25"/>
        <v/>
      </c>
      <c r="B164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44" spans="1:2" x14ac:dyDescent="0.35">
      <c r="A1644" s="1" t="str">
        <f t="shared" si="25"/>
        <v/>
      </c>
      <c r="B164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45" spans="1:2" x14ac:dyDescent="0.35">
      <c r="A1645" s="1" t="str">
        <f t="shared" si="25"/>
        <v/>
      </c>
      <c r="B164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46" spans="1:2" x14ac:dyDescent="0.35">
      <c r="A1646" s="1" t="str">
        <f t="shared" si="25"/>
        <v/>
      </c>
      <c r="B164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47" spans="1:2" x14ac:dyDescent="0.35">
      <c r="A1647" s="1" t="str">
        <f t="shared" si="25"/>
        <v/>
      </c>
      <c r="B164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48" spans="1:2" x14ac:dyDescent="0.35">
      <c r="A1648" s="1" t="str">
        <f t="shared" si="25"/>
        <v/>
      </c>
      <c r="B164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49" spans="1:2" x14ac:dyDescent="0.35">
      <c r="A1649" s="1" t="str">
        <f t="shared" si="25"/>
        <v/>
      </c>
      <c r="B164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50" spans="1:2" x14ac:dyDescent="0.35">
      <c r="A1650" s="1" t="str">
        <f t="shared" si="25"/>
        <v/>
      </c>
      <c r="B165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51" spans="1:2" x14ac:dyDescent="0.35">
      <c r="A1651" s="1" t="str">
        <f t="shared" ref="A1651:A1711" si="26">IFERROR(LEFT(RIGHT(C1651,LEN(C1651)-SEARCH("@",C1651)),SEARCH("/",RIGHT(C1651,LEN(C1651)-SEARCH("@",C1651)-1))),"")</f>
        <v/>
      </c>
      <c r="B165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52" spans="1:2" x14ac:dyDescent="0.35">
      <c r="A1652" s="1" t="str">
        <f t="shared" si="26"/>
        <v/>
      </c>
      <c r="B165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53" spans="1:2" x14ac:dyDescent="0.35">
      <c r="A1653" s="1" t="str">
        <f t="shared" si="26"/>
        <v/>
      </c>
      <c r="B165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54" spans="1:2" x14ac:dyDescent="0.35">
      <c r="A1654" s="1" t="str">
        <f t="shared" si="26"/>
        <v/>
      </c>
      <c r="B165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55" spans="1:2" x14ac:dyDescent="0.35">
      <c r="A1655" s="1" t="str">
        <f t="shared" si="26"/>
        <v/>
      </c>
      <c r="B165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56" spans="1:2" x14ac:dyDescent="0.35">
      <c r="A1656" s="1" t="str">
        <f t="shared" si="26"/>
        <v/>
      </c>
      <c r="B165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57" spans="1:2" x14ac:dyDescent="0.35">
      <c r="A1657" s="1" t="str">
        <f t="shared" si="26"/>
        <v/>
      </c>
      <c r="B165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58" spans="1:2" x14ac:dyDescent="0.35">
      <c r="A1658" s="1" t="str">
        <f t="shared" si="26"/>
        <v/>
      </c>
      <c r="B165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59" spans="1:2" x14ac:dyDescent="0.35">
      <c r="A1659" s="1" t="str">
        <f t="shared" si="26"/>
        <v/>
      </c>
      <c r="B165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60" spans="1:2" x14ac:dyDescent="0.35">
      <c r="A1660" s="1" t="str">
        <f t="shared" si="26"/>
        <v/>
      </c>
      <c r="B166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61" spans="1:2" x14ac:dyDescent="0.35">
      <c r="A1661" s="1" t="str">
        <f t="shared" si="26"/>
        <v/>
      </c>
      <c r="B166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62" spans="1:2" x14ac:dyDescent="0.35">
      <c r="A1662" s="1" t="str">
        <f t="shared" si="26"/>
        <v/>
      </c>
      <c r="B166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63" spans="1:2" x14ac:dyDescent="0.35">
      <c r="A1663" s="1" t="str">
        <f t="shared" si="26"/>
        <v/>
      </c>
      <c r="B166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64" spans="1:2" x14ac:dyDescent="0.35">
      <c r="A1664" s="1" t="str">
        <f t="shared" si="26"/>
        <v/>
      </c>
      <c r="B166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65" spans="1:2" x14ac:dyDescent="0.35">
      <c r="A1665" s="1" t="str">
        <f t="shared" si="26"/>
        <v/>
      </c>
      <c r="B166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66" spans="1:2" x14ac:dyDescent="0.35">
      <c r="A1666" s="1" t="str">
        <f t="shared" si="26"/>
        <v/>
      </c>
      <c r="B166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67" spans="1:2" x14ac:dyDescent="0.35">
      <c r="A1667" s="1" t="str">
        <f t="shared" si="26"/>
        <v/>
      </c>
      <c r="B166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68" spans="1:2" x14ac:dyDescent="0.35">
      <c r="A1668" s="1" t="str">
        <f t="shared" si="26"/>
        <v/>
      </c>
      <c r="B166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69" spans="1:2" x14ac:dyDescent="0.35">
      <c r="A1669" s="1" t="str">
        <f t="shared" si="26"/>
        <v/>
      </c>
      <c r="B166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70" spans="1:2" x14ac:dyDescent="0.35">
      <c r="A1670" s="1" t="str">
        <f t="shared" si="26"/>
        <v/>
      </c>
      <c r="B167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71" spans="1:2" x14ac:dyDescent="0.35">
      <c r="A1671" s="1" t="str">
        <f t="shared" si="26"/>
        <v/>
      </c>
      <c r="B167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72" spans="1:2" x14ac:dyDescent="0.35">
      <c r="A1672" s="1" t="str">
        <f t="shared" si="26"/>
        <v/>
      </c>
      <c r="B167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73" spans="1:2" x14ac:dyDescent="0.35">
      <c r="A1673" s="1" t="str">
        <f t="shared" si="26"/>
        <v/>
      </c>
      <c r="B167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74" spans="1:2" x14ac:dyDescent="0.35">
      <c r="A1674" s="1" t="str">
        <f t="shared" si="26"/>
        <v/>
      </c>
      <c r="B167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75" spans="1:2" x14ac:dyDescent="0.35">
      <c r="A1675" s="1" t="str">
        <f t="shared" si="26"/>
        <v/>
      </c>
      <c r="B167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76" spans="1:2" x14ac:dyDescent="0.35">
      <c r="A1676" s="1" t="str">
        <f t="shared" si="26"/>
        <v/>
      </c>
      <c r="B167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77" spans="1:2" x14ac:dyDescent="0.35">
      <c r="A1677" s="1" t="str">
        <f t="shared" si="26"/>
        <v/>
      </c>
      <c r="B167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78" spans="1:2" x14ac:dyDescent="0.35">
      <c r="A1678" s="1" t="str">
        <f t="shared" si="26"/>
        <v/>
      </c>
      <c r="B167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79" spans="1:2" x14ac:dyDescent="0.35">
      <c r="A1679" s="1" t="str">
        <f t="shared" si="26"/>
        <v/>
      </c>
      <c r="B167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80" spans="1:2" x14ac:dyDescent="0.35">
      <c r="A1680" s="1" t="str">
        <f t="shared" si="26"/>
        <v/>
      </c>
      <c r="B168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81" spans="1:2" x14ac:dyDescent="0.35">
      <c r="A1681" s="1" t="str">
        <f t="shared" si="26"/>
        <v/>
      </c>
      <c r="B168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82" spans="1:2" x14ac:dyDescent="0.35">
      <c r="A1682" s="1" t="str">
        <f t="shared" si="26"/>
        <v/>
      </c>
      <c r="B168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83" spans="1:2" x14ac:dyDescent="0.35">
      <c r="A1683" s="1" t="str">
        <f t="shared" si="26"/>
        <v/>
      </c>
      <c r="B168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84" spans="1:2" x14ac:dyDescent="0.35">
      <c r="A1684" s="1" t="str">
        <f t="shared" si="26"/>
        <v/>
      </c>
      <c r="B168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85" spans="1:2" x14ac:dyDescent="0.35">
      <c r="A1685" s="1" t="str">
        <f t="shared" si="26"/>
        <v/>
      </c>
      <c r="B168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86" spans="1:2" x14ac:dyDescent="0.35">
      <c r="A1686" s="1" t="str">
        <f t="shared" si="26"/>
        <v/>
      </c>
      <c r="B168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87" spans="1:2" x14ac:dyDescent="0.35">
      <c r="A1687" s="1" t="str">
        <f t="shared" si="26"/>
        <v/>
      </c>
      <c r="B168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88" spans="1:2" x14ac:dyDescent="0.35">
      <c r="A1688" s="1" t="str">
        <f t="shared" si="26"/>
        <v/>
      </c>
      <c r="B168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89" spans="1:2" x14ac:dyDescent="0.35">
      <c r="A1689" s="1" t="str">
        <f t="shared" si="26"/>
        <v/>
      </c>
      <c r="B168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90" spans="1:2" x14ac:dyDescent="0.35">
      <c r="A1690" s="1" t="str">
        <f t="shared" si="26"/>
        <v/>
      </c>
      <c r="B169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91" spans="1:2" x14ac:dyDescent="0.35">
      <c r="A1691" s="1" t="str">
        <f t="shared" si="26"/>
        <v/>
      </c>
      <c r="B169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92" spans="1:2" x14ac:dyDescent="0.35">
      <c r="A1692" s="1" t="str">
        <f t="shared" si="26"/>
        <v/>
      </c>
      <c r="B169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93" spans="1:2" x14ac:dyDescent="0.35">
      <c r="A1693" s="1" t="str">
        <f t="shared" si="26"/>
        <v/>
      </c>
      <c r="B169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94" spans="1:2" x14ac:dyDescent="0.35">
      <c r="A1694" s="1" t="str">
        <f t="shared" si="26"/>
        <v/>
      </c>
      <c r="B169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95" spans="1:2" x14ac:dyDescent="0.35">
      <c r="A1695" s="1" t="str">
        <f t="shared" si="26"/>
        <v/>
      </c>
      <c r="B169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96" spans="1:2" x14ac:dyDescent="0.35">
      <c r="A1696" s="1" t="str">
        <f t="shared" si="26"/>
        <v/>
      </c>
      <c r="B169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97" spans="1:2" x14ac:dyDescent="0.35">
      <c r="A1697" s="1" t="str">
        <f t="shared" si="26"/>
        <v/>
      </c>
      <c r="B169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98" spans="1:2" x14ac:dyDescent="0.35">
      <c r="A1698" s="1" t="str">
        <f t="shared" si="26"/>
        <v/>
      </c>
      <c r="B169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99" spans="1:2" x14ac:dyDescent="0.35">
      <c r="A1699" s="1" t="str">
        <f t="shared" si="26"/>
        <v/>
      </c>
      <c r="B169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700" spans="1:2" x14ac:dyDescent="0.35">
      <c r="A1700" s="1" t="str">
        <f t="shared" si="26"/>
        <v/>
      </c>
      <c r="B170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701" spans="1:2" x14ac:dyDescent="0.35">
      <c r="A1701" s="1" t="str">
        <f t="shared" si="26"/>
        <v/>
      </c>
      <c r="B170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702" spans="1:2" x14ac:dyDescent="0.35">
      <c r="A1702" s="1" t="str">
        <f t="shared" si="26"/>
        <v/>
      </c>
      <c r="B170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703" spans="1:2" x14ac:dyDescent="0.35">
      <c r="A1703" s="1" t="str">
        <f t="shared" si="26"/>
        <v/>
      </c>
      <c r="B170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704" spans="1:2" x14ac:dyDescent="0.35">
      <c r="A1704" s="1" t="str">
        <f t="shared" si="26"/>
        <v/>
      </c>
      <c r="B170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705" spans="1:2" x14ac:dyDescent="0.35">
      <c r="A1705" s="1" t="str">
        <f t="shared" si="26"/>
        <v/>
      </c>
      <c r="B170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706" spans="1:2" x14ac:dyDescent="0.35">
      <c r="A1706" s="1" t="str">
        <f t="shared" si="26"/>
        <v/>
      </c>
      <c r="B170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707" spans="1:2" x14ac:dyDescent="0.35">
      <c r="A1707" s="1" t="str">
        <f t="shared" si="26"/>
        <v/>
      </c>
      <c r="B170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708" spans="1:2" x14ac:dyDescent="0.35">
      <c r="A1708" s="1" t="str">
        <f t="shared" si="26"/>
        <v/>
      </c>
      <c r="B170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709" spans="1:2" x14ac:dyDescent="0.35">
      <c r="A1709" s="1" t="str">
        <f t="shared" si="26"/>
        <v/>
      </c>
      <c r="B170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710" spans="1:2" x14ac:dyDescent="0.35">
      <c r="A1710" s="1" t="str">
        <f t="shared" si="26"/>
        <v/>
      </c>
      <c r="B171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711" spans="1:2" x14ac:dyDescent="0.35">
      <c r="A1711" s="1" t="str">
        <f t="shared" si="26"/>
        <v/>
      </c>
      <c r="B171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sheetData>
  <conditionalFormatting sqref="A1:J10 EO1:XFD10 A11:K13 M15:XFD18 K1:L4 A14:J18 K5 A19:XFD1048576 AH11:XFD14">
    <cfRule type="containsText" dxfId="24" priority="1" operator="containsText" text="ERREUR">
      <formula>NOT(ISERROR(SEARCH("ERREUR",A1)))</formula>
    </cfRule>
    <cfRule type="containsText" dxfId="23" priority="2" operator="containsText" text="OK">
      <formula>NOT(ISERROR(SEARCH("OK",A1)))</formula>
    </cfRule>
  </conditionalFormatting>
  <pageMargins left="0.7" right="0.7" top="0.75" bottom="0.75" header="0.3" footer="0.3"/>
  <tableParts count="1">
    <tablePart r:id="rId2"/>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V74"/>
  <sheetViews>
    <sheetView showGridLines="0" topLeftCell="M1" zoomScale="70" zoomScaleNormal="70" zoomScaleSheetLayoutView="40" zoomScalePageLayoutView="30" workbookViewId="0">
      <selection activeCell="R5" sqref="R5:V12"/>
    </sheetView>
  </sheetViews>
  <sheetFormatPr baseColWidth="10" defaultColWidth="9.1796875" defaultRowHeight="14.5" x14ac:dyDescent="0.35"/>
  <cols>
    <col min="1" max="1" width="33.54296875" style="1" customWidth="1"/>
    <col min="2" max="2" width="14.81640625" style="1" customWidth="1"/>
    <col min="3" max="5" width="25.81640625" style="1" bestFit="1" customWidth="1"/>
    <col min="6" max="8" width="26.453125" style="1" bestFit="1" customWidth="1"/>
    <col min="9" max="9" width="26.453125" style="1" customWidth="1"/>
    <col min="10" max="10" width="25.81640625" style="1" bestFit="1" customWidth="1"/>
    <col min="11" max="11" width="26.453125" style="1" bestFit="1" customWidth="1"/>
    <col min="12" max="13" width="26.453125" style="1" customWidth="1"/>
    <col min="14" max="14" width="11.7265625" style="1" customWidth="1"/>
    <col min="15" max="15" width="14.81640625" style="1" customWidth="1"/>
    <col min="16" max="16" width="17.7265625" style="1" customWidth="1"/>
    <col min="17" max="18" width="25.81640625" style="1" bestFit="1" customWidth="1"/>
    <col min="19" max="22" width="25.81640625" style="1" customWidth="1"/>
    <col min="23" max="16384" width="9.1796875" style="1"/>
  </cols>
  <sheetData>
    <row r="1" spans="1:22" ht="26.5" thickBot="1" x14ac:dyDescent="0.65">
      <c r="A1" s="216" t="s">
        <v>43</v>
      </c>
      <c r="B1" s="217"/>
      <c r="C1" s="217"/>
      <c r="D1" s="217"/>
      <c r="E1" s="217"/>
      <c r="F1" s="217"/>
      <c r="G1" s="217"/>
      <c r="H1" s="217"/>
      <c r="I1" s="217"/>
      <c r="J1" s="217"/>
      <c r="K1" s="217"/>
      <c r="L1" s="217"/>
      <c r="M1" s="217"/>
      <c r="N1" s="217"/>
      <c r="O1" s="217"/>
      <c r="P1" s="217"/>
      <c r="Q1" s="217"/>
      <c r="R1" s="217"/>
      <c r="S1" s="217"/>
      <c r="T1" s="217"/>
      <c r="U1" s="217"/>
      <c r="V1" s="217"/>
    </row>
    <row r="2" spans="1:22" ht="15" thickBot="1" x14ac:dyDescent="0.4"/>
    <row r="3" spans="1:22" ht="15" thickBot="1" x14ac:dyDescent="0.4">
      <c r="A3" s="154" t="s">
        <v>22</v>
      </c>
      <c r="B3" s="224" t="s">
        <v>6</v>
      </c>
      <c r="C3" s="225"/>
      <c r="D3" s="225"/>
      <c r="E3" s="225"/>
      <c r="F3" s="225"/>
      <c r="G3" s="225"/>
      <c r="H3" s="225"/>
      <c r="I3" s="225"/>
      <c r="J3" s="225"/>
      <c r="K3" s="225"/>
      <c r="L3" s="225"/>
      <c r="M3" s="225"/>
      <c r="O3" s="224" t="s">
        <v>3</v>
      </c>
      <c r="P3" s="225"/>
      <c r="Q3" s="225"/>
      <c r="R3" s="225"/>
      <c r="S3" s="225"/>
      <c r="T3" s="225"/>
      <c r="U3" s="225"/>
      <c r="V3" s="225"/>
    </row>
    <row r="4" spans="1:22" x14ac:dyDescent="0.35">
      <c r="A4" s="34" t="s">
        <v>41</v>
      </c>
      <c r="B4" s="35" t="str">
        <f>'Page de garde'!A7</f>
        <v>Témoin solvant</v>
      </c>
      <c r="C4" s="35" t="str">
        <f>'Page de garde'!A9</f>
        <v>EE2-33,8ng/L</v>
      </c>
      <c r="D4" s="35" t="str">
        <f>'Page de garde'!A10</f>
        <v>EE2-50,6ng/L</v>
      </c>
      <c r="E4" s="35" t="str">
        <f>'Page de garde'!A11</f>
        <v>EE2-76ng/L</v>
      </c>
      <c r="F4" s="35" t="str">
        <f>'Page de garde'!A12</f>
        <v>EE2-114ng/L</v>
      </c>
      <c r="G4" s="35" t="str">
        <f>'Page de garde'!A13</f>
        <v>EE2-170,9ng/L</v>
      </c>
      <c r="H4" s="35" t="str">
        <f>'Page de garde'!A14</f>
        <v>EE2-488ng/L</v>
      </c>
      <c r="I4" s="35" t="str">
        <f>'Page de garde'!A15</f>
        <v>FAD-5.4µg/L</v>
      </c>
      <c r="J4" s="35" t="str">
        <f>'Page de garde'!A16</f>
        <v>FAD-11µg/L</v>
      </c>
      <c r="K4" s="35" t="str">
        <f>'Page de garde'!A17</f>
        <v>FAD-22µg/L</v>
      </c>
      <c r="L4" s="35" t="str">
        <f>'Page de garde'!A18</f>
        <v>FAD-44µg/L</v>
      </c>
      <c r="M4" s="35" t="str">
        <f>'Page de garde'!A19</f>
        <v>FAD-87µg/L</v>
      </c>
      <c r="N4" s="3"/>
      <c r="O4" s="36" t="str">
        <f>'Page de garde'!A36</f>
        <v>Testo -30µg/L</v>
      </c>
      <c r="P4" s="36" t="str">
        <f>'Page de garde'!A37</f>
        <v>Testo 30µg/L + EE2 -64ng/L</v>
      </c>
      <c r="Q4" s="36" t="str">
        <f>'Page de garde'!A38</f>
        <v>Testo 30µg/L + FAD-10mg/L</v>
      </c>
      <c r="R4" s="36" t="str">
        <f>'Page de garde'!A39</f>
        <v>FAD-5,4µg/L + Testostérone</v>
      </c>
      <c r="S4" s="36" t="str">
        <f>'Page de garde'!A40</f>
        <v>FAD-11µg/L + Testostérone</v>
      </c>
      <c r="T4" s="36" t="str">
        <f>'Page de garde'!A41</f>
        <v>FAD-22µg/L + Testostérone</v>
      </c>
      <c r="U4" s="36" t="str">
        <f>'Page de garde'!A42</f>
        <v>FAD-44µg/L + Testostérone</v>
      </c>
      <c r="V4" s="36" t="str">
        <f>'Page de garde'!A43</f>
        <v>FAD-87µg/L + Testostérone</v>
      </c>
    </row>
    <row r="5" spans="1:22" x14ac:dyDescent="0.35">
      <c r="A5" s="226" t="s">
        <v>33</v>
      </c>
      <c r="B5" s="32">
        <v>276639.33333333331</v>
      </c>
      <c r="C5" s="32">
        <v>348706.5</v>
      </c>
      <c r="D5" s="32">
        <v>472078</v>
      </c>
      <c r="E5" s="32">
        <v>617944</v>
      </c>
      <c r="F5" s="32">
        <v>1923734</v>
      </c>
      <c r="G5" s="32">
        <v>2825048.25</v>
      </c>
      <c r="H5" s="32">
        <v>5966260</v>
      </c>
      <c r="I5" s="32">
        <v>195934.5</v>
      </c>
      <c r="J5" s="32">
        <v>147991.66666666666</v>
      </c>
      <c r="K5" s="13">
        <v>364333.66666666669</v>
      </c>
      <c r="L5" s="13">
        <v>140481</v>
      </c>
      <c r="M5" s="13">
        <v>363090.25</v>
      </c>
      <c r="N5" s="3"/>
      <c r="O5" s="32">
        <v>224334.25</v>
      </c>
      <c r="P5" s="13">
        <v>2147113.3333333335</v>
      </c>
      <c r="Q5" s="13">
        <v>132672.25</v>
      </c>
      <c r="R5" s="32">
        <v>268464.75</v>
      </c>
      <c r="S5" s="32">
        <v>240207</v>
      </c>
      <c r="T5" s="32">
        <v>66317.333333333328</v>
      </c>
      <c r="U5" s="32">
        <v>32711.666666666668</v>
      </c>
      <c r="V5" s="32">
        <v>195934.5</v>
      </c>
    </row>
    <row r="6" spans="1:22" ht="16.5" x14ac:dyDescent="0.35">
      <c r="A6" s="226"/>
      <c r="B6" s="14">
        <v>148175.5</v>
      </c>
      <c r="C6" s="13">
        <v>236166.25</v>
      </c>
      <c r="D6" s="32">
        <v>437286</v>
      </c>
      <c r="E6" s="32">
        <v>682798</v>
      </c>
      <c r="F6" s="32">
        <v>2626334.25</v>
      </c>
      <c r="G6" s="32">
        <v>2580084</v>
      </c>
      <c r="H6" s="32">
        <v>5184188.5</v>
      </c>
      <c r="I6" s="32">
        <v>249641.5</v>
      </c>
      <c r="J6" s="32">
        <v>366188.5</v>
      </c>
      <c r="K6" s="13">
        <v>379382.75</v>
      </c>
      <c r="L6" s="13">
        <v>188688.5</v>
      </c>
      <c r="M6" s="13">
        <v>147488.75</v>
      </c>
      <c r="N6" s="3"/>
      <c r="O6" s="32">
        <v>2383625.25</v>
      </c>
      <c r="P6" s="13">
        <v>3481558.5</v>
      </c>
      <c r="Q6" s="13">
        <v>284384.5</v>
      </c>
      <c r="R6" s="32">
        <v>16109</v>
      </c>
      <c r="S6" s="32">
        <v>141394.75</v>
      </c>
      <c r="T6" s="32">
        <v>17585</v>
      </c>
      <c r="U6" s="32">
        <v>298417</v>
      </c>
      <c r="V6" s="32">
        <v>249641.5</v>
      </c>
    </row>
    <row r="7" spans="1:22" ht="16.5" x14ac:dyDescent="0.35">
      <c r="A7" s="226"/>
      <c r="B7" s="14">
        <v>98891.75</v>
      </c>
      <c r="C7" s="13">
        <v>494041</v>
      </c>
      <c r="D7" s="32">
        <v>196713</v>
      </c>
      <c r="E7" s="32">
        <v>3041119.6666666665</v>
      </c>
      <c r="F7" s="32">
        <v>3128991.5</v>
      </c>
      <c r="G7" s="32">
        <v>3289528.5</v>
      </c>
      <c r="H7" s="32">
        <v>4711640</v>
      </c>
      <c r="I7" s="32">
        <v>89715.5</v>
      </c>
      <c r="J7" s="32">
        <v>74066</v>
      </c>
      <c r="K7" s="13">
        <v>202683</v>
      </c>
      <c r="L7" s="13">
        <v>86590</v>
      </c>
      <c r="M7" s="13">
        <v>18033.75</v>
      </c>
      <c r="N7" s="3"/>
      <c r="O7" s="32">
        <v>1803982.25</v>
      </c>
      <c r="P7" s="13">
        <v>3323087.25</v>
      </c>
      <c r="Q7" s="13">
        <v>169421.5</v>
      </c>
      <c r="R7" s="32">
        <v>146067</v>
      </c>
      <c r="S7" s="32">
        <v>198578.5</v>
      </c>
      <c r="T7" s="32">
        <v>214255</v>
      </c>
      <c r="U7" s="32">
        <v>300407</v>
      </c>
      <c r="V7" s="32">
        <v>89715.5</v>
      </c>
    </row>
    <row r="8" spans="1:22" ht="16.5" x14ac:dyDescent="0.35">
      <c r="A8" s="226"/>
      <c r="B8" s="14">
        <v>346446</v>
      </c>
      <c r="C8" s="13">
        <v>456099</v>
      </c>
      <c r="D8" s="32">
        <v>183805.5</v>
      </c>
      <c r="E8" s="32">
        <v>1098874.5</v>
      </c>
      <c r="F8" s="32">
        <v>2428815.5</v>
      </c>
      <c r="G8" s="32">
        <v>3001110.25</v>
      </c>
      <c r="H8" s="32">
        <v>4374019</v>
      </c>
      <c r="I8" s="32">
        <v>20288.75</v>
      </c>
      <c r="J8" s="32">
        <v>420945</v>
      </c>
      <c r="K8" s="13">
        <v>252350.5</v>
      </c>
      <c r="L8" s="13">
        <v>175305.25</v>
      </c>
      <c r="M8" s="13">
        <v>221266.66666666666</v>
      </c>
      <c r="N8" s="3"/>
      <c r="O8" s="32">
        <v>2453299</v>
      </c>
      <c r="P8" s="13">
        <v>3442078.5</v>
      </c>
      <c r="Q8" s="13">
        <v>237615.5</v>
      </c>
      <c r="R8" s="32">
        <v>129179</v>
      </c>
      <c r="S8" s="32">
        <v>203786.25</v>
      </c>
      <c r="T8" s="32">
        <v>170541</v>
      </c>
      <c r="U8" s="32"/>
      <c r="V8" s="32">
        <v>20288.75</v>
      </c>
    </row>
    <row r="9" spans="1:22" ht="16.5" x14ac:dyDescent="0.35">
      <c r="A9" s="226"/>
      <c r="B9" s="14">
        <v>264349.75</v>
      </c>
      <c r="C9" s="13">
        <v>236681.66666666666</v>
      </c>
      <c r="D9" s="32">
        <v>389197.5</v>
      </c>
      <c r="E9" s="32">
        <v>1033881.75</v>
      </c>
      <c r="F9" s="32">
        <v>2112563</v>
      </c>
      <c r="G9" s="32">
        <v>2341003.5</v>
      </c>
      <c r="H9" s="32">
        <v>4643738</v>
      </c>
      <c r="I9" s="32">
        <v>259023.25</v>
      </c>
      <c r="J9" s="32">
        <v>161104.75</v>
      </c>
      <c r="K9" s="13">
        <v>64695</v>
      </c>
      <c r="L9" s="13">
        <v>250890.5</v>
      </c>
      <c r="M9" s="13">
        <v>210453.5</v>
      </c>
      <c r="N9" s="3"/>
      <c r="O9" s="32">
        <v>637750.33333333337</v>
      </c>
      <c r="P9" s="13">
        <v>4822331</v>
      </c>
      <c r="Q9" s="13">
        <v>413942</v>
      </c>
      <c r="R9" s="32">
        <v>246932.25</v>
      </c>
      <c r="S9" s="32">
        <v>6581</v>
      </c>
      <c r="T9" s="32">
        <v>329742.25</v>
      </c>
      <c r="U9" s="32"/>
      <c r="V9" s="32">
        <v>259023.25</v>
      </c>
    </row>
    <row r="10" spans="1:22" ht="16.5" x14ac:dyDescent="0.35">
      <c r="A10" s="226"/>
      <c r="B10" s="14">
        <v>317667.75</v>
      </c>
      <c r="C10" s="13">
        <v>850146.75</v>
      </c>
      <c r="D10" s="32">
        <v>352648.5</v>
      </c>
      <c r="E10" s="32">
        <v>95561</v>
      </c>
      <c r="F10" s="32">
        <v>3638786.25</v>
      </c>
      <c r="G10" s="32">
        <v>3538888.5</v>
      </c>
      <c r="H10" s="32">
        <v>6543416.25</v>
      </c>
      <c r="I10" s="32">
        <v>316005.33333333331</v>
      </c>
      <c r="J10" s="32">
        <v>140551</v>
      </c>
      <c r="K10" s="13">
        <v>139291</v>
      </c>
      <c r="L10" s="13">
        <v>304332.5</v>
      </c>
      <c r="M10" s="13">
        <v>88552.75</v>
      </c>
      <c r="N10" s="3"/>
      <c r="O10" s="32">
        <v>3376023</v>
      </c>
      <c r="P10" s="13">
        <v>3322741</v>
      </c>
      <c r="Q10" s="13">
        <v>528953.75</v>
      </c>
      <c r="R10" s="32">
        <v>218451</v>
      </c>
      <c r="S10" s="32">
        <v>260489</v>
      </c>
      <c r="T10" s="32">
        <v>374451.5</v>
      </c>
      <c r="U10" s="32"/>
      <c r="V10" s="32">
        <v>316005.33333333331</v>
      </c>
    </row>
    <row r="11" spans="1:22" ht="16.5" x14ac:dyDescent="0.35">
      <c r="A11" s="226"/>
      <c r="B11" s="14">
        <v>298157.25</v>
      </c>
      <c r="C11" s="13">
        <v>300109.25</v>
      </c>
      <c r="D11" s="32">
        <v>109501.25</v>
      </c>
      <c r="E11" s="32">
        <v>234549</v>
      </c>
      <c r="F11" s="32">
        <v>851217.25</v>
      </c>
      <c r="G11" s="32">
        <v>2891284.25</v>
      </c>
      <c r="H11" s="32">
        <v>4575566.25</v>
      </c>
      <c r="I11" s="32">
        <v>108257.5</v>
      </c>
      <c r="J11" s="32">
        <v>453811.25</v>
      </c>
      <c r="K11" s="13">
        <v>251858.33333333334</v>
      </c>
      <c r="L11" s="13">
        <v>363571.75</v>
      </c>
      <c r="M11" s="13">
        <v>297816.5</v>
      </c>
      <c r="N11" s="3"/>
      <c r="O11" s="32">
        <v>2218340.25</v>
      </c>
      <c r="P11" s="13">
        <v>2581312</v>
      </c>
      <c r="Q11" s="13">
        <v>226775</v>
      </c>
      <c r="R11" s="32">
        <v>197265</v>
      </c>
      <c r="S11" s="32">
        <v>222629</v>
      </c>
      <c r="T11" s="32">
        <v>176694.5</v>
      </c>
      <c r="U11" s="32"/>
      <c r="V11" s="32">
        <v>108257.5</v>
      </c>
    </row>
    <row r="12" spans="1:22" ht="16.5" x14ac:dyDescent="0.35">
      <c r="A12" s="226"/>
      <c r="B12" s="14">
        <v>184454.5</v>
      </c>
      <c r="C12" s="13">
        <v>414428.5</v>
      </c>
      <c r="D12" s="32">
        <v>325070.25</v>
      </c>
      <c r="E12" s="32">
        <v>258012.25</v>
      </c>
      <c r="F12" s="32">
        <v>30520</v>
      </c>
      <c r="G12" s="32">
        <v>2631238.75</v>
      </c>
      <c r="H12" s="32">
        <v>5965557.25</v>
      </c>
      <c r="I12" s="32">
        <v>52070.333333333336</v>
      </c>
      <c r="J12" s="32">
        <v>296668.33333333331</v>
      </c>
      <c r="K12" s="13">
        <v>111583</v>
      </c>
      <c r="L12" s="13">
        <v>108358.66666666667</v>
      </c>
      <c r="M12" s="13">
        <v>288137</v>
      </c>
      <c r="N12" s="3"/>
      <c r="O12" s="32">
        <v>3870334.5</v>
      </c>
      <c r="P12" s="13">
        <v>4275689.5</v>
      </c>
      <c r="Q12" s="13">
        <v>126767.25</v>
      </c>
      <c r="R12" s="32">
        <v>226546</v>
      </c>
      <c r="S12" s="32">
        <v>329958.75</v>
      </c>
      <c r="T12" s="32">
        <v>458618.75</v>
      </c>
      <c r="U12" s="32"/>
      <c r="V12" s="32">
        <v>52070.333333333336</v>
      </c>
    </row>
    <row r="13" spans="1:22" ht="16.5" x14ac:dyDescent="0.35">
      <c r="A13" s="226"/>
      <c r="B13" s="14"/>
      <c r="C13" s="13"/>
      <c r="D13" s="32"/>
      <c r="E13" s="32"/>
      <c r="F13" s="32"/>
      <c r="G13" s="32"/>
      <c r="H13" s="32"/>
      <c r="I13" s="32"/>
      <c r="J13" s="32"/>
      <c r="K13" s="13"/>
      <c r="L13" s="13"/>
      <c r="M13" s="13"/>
      <c r="N13" s="3"/>
      <c r="O13" s="32">
        <v>696807.5</v>
      </c>
      <c r="P13" s="13"/>
      <c r="Q13" s="13"/>
      <c r="R13" s="32"/>
      <c r="S13" s="32"/>
      <c r="T13" s="32"/>
      <c r="U13" s="32"/>
      <c r="V13" s="32"/>
    </row>
    <row r="14" spans="1:22" ht="16.5" x14ac:dyDescent="0.35">
      <c r="A14" s="226"/>
      <c r="B14" s="14"/>
      <c r="C14" s="32"/>
      <c r="D14" s="32"/>
      <c r="E14" s="32"/>
      <c r="F14" s="32"/>
      <c r="G14" s="32"/>
      <c r="H14" s="32"/>
      <c r="I14" s="32"/>
      <c r="J14" s="32"/>
      <c r="K14" s="13"/>
      <c r="L14" s="13"/>
      <c r="M14" s="13"/>
      <c r="N14" s="3"/>
      <c r="O14" s="32">
        <v>393037</v>
      </c>
      <c r="P14" s="13"/>
      <c r="Q14" s="13"/>
      <c r="R14" s="32"/>
      <c r="S14" s="32"/>
      <c r="T14" s="32"/>
      <c r="U14" s="32"/>
      <c r="V14" s="32"/>
    </row>
    <row r="15" spans="1:22" ht="16.5" x14ac:dyDescent="0.35">
      <c r="A15" s="226"/>
      <c r="B15" s="14"/>
      <c r="C15" s="32"/>
      <c r="D15" s="32"/>
      <c r="E15" s="32"/>
      <c r="F15" s="32"/>
      <c r="G15" s="32"/>
      <c r="H15" s="32"/>
      <c r="I15" s="32"/>
      <c r="J15" s="32"/>
      <c r="K15" s="13"/>
      <c r="L15" s="13"/>
      <c r="M15" s="13"/>
      <c r="N15" s="3"/>
      <c r="O15" s="32">
        <v>2433074.6666666665</v>
      </c>
      <c r="P15" s="13"/>
      <c r="Q15" s="13"/>
      <c r="R15" s="32"/>
      <c r="S15" s="32"/>
      <c r="T15" s="32"/>
      <c r="U15" s="32"/>
      <c r="V15" s="32"/>
    </row>
    <row r="16" spans="1:22" ht="16.5" x14ac:dyDescent="0.35">
      <c r="A16" s="226"/>
      <c r="B16" s="14"/>
      <c r="C16" s="32"/>
      <c r="D16" s="32"/>
      <c r="E16" s="32"/>
      <c r="F16" s="32"/>
      <c r="G16" s="32"/>
      <c r="H16" s="32"/>
      <c r="I16" s="32"/>
      <c r="J16" s="32"/>
      <c r="K16" s="13"/>
      <c r="L16" s="13"/>
      <c r="M16" s="13"/>
      <c r="N16" s="3"/>
      <c r="O16" s="32">
        <v>1107436.3333333333</v>
      </c>
      <c r="P16" s="13"/>
      <c r="Q16" s="13"/>
      <c r="R16" s="32"/>
      <c r="S16" s="32"/>
      <c r="T16" s="32"/>
      <c r="U16" s="32"/>
      <c r="V16" s="32"/>
    </row>
    <row r="17" spans="1:22" ht="16.5" x14ac:dyDescent="0.35">
      <c r="A17" s="226"/>
      <c r="B17" s="14"/>
      <c r="C17" s="32"/>
      <c r="D17" s="32"/>
      <c r="E17" s="32"/>
      <c r="F17" s="32"/>
      <c r="G17" s="32"/>
      <c r="H17" s="32"/>
      <c r="I17" s="32"/>
      <c r="J17" s="32"/>
      <c r="K17" s="13"/>
      <c r="L17" s="13"/>
      <c r="M17" s="13"/>
      <c r="N17" s="3"/>
      <c r="O17" s="32">
        <v>2085300.25</v>
      </c>
      <c r="P17" s="13"/>
      <c r="Q17" s="13"/>
      <c r="R17" s="32"/>
      <c r="S17" s="32"/>
      <c r="T17" s="32"/>
      <c r="U17" s="32"/>
      <c r="V17" s="32"/>
    </row>
    <row r="18" spans="1:22" ht="16.5" x14ac:dyDescent="0.35">
      <c r="A18" s="226"/>
      <c r="B18" s="14"/>
      <c r="C18" s="32"/>
      <c r="D18" s="32"/>
      <c r="E18" s="32"/>
      <c r="F18" s="32"/>
      <c r="G18" s="32"/>
      <c r="H18" s="32"/>
      <c r="I18" s="32"/>
      <c r="J18" s="32"/>
      <c r="K18" s="13"/>
      <c r="L18" s="13"/>
      <c r="M18" s="13"/>
      <c r="N18" s="3"/>
      <c r="O18" s="32">
        <v>2051422.25</v>
      </c>
      <c r="P18" s="13"/>
      <c r="Q18" s="13"/>
      <c r="R18" s="32"/>
      <c r="S18" s="32"/>
      <c r="T18" s="32"/>
      <c r="U18" s="32"/>
      <c r="V18" s="32"/>
    </row>
    <row r="19" spans="1:22" ht="16.5" x14ac:dyDescent="0.35">
      <c r="A19" s="226"/>
      <c r="B19" s="14"/>
      <c r="C19" s="32"/>
      <c r="D19" s="32"/>
      <c r="E19" s="32"/>
      <c r="F19" s="32"/>
      <c r="G19" s="32"/>
      <c r="H19" s="32"/>
      <c r="I19" s="32"/>
      <c r="J19" s="32"/>
      <c r="K19" s="13"/>
      <c r="L19" s="13"/>
      <c r="M19" s="13"/>
      <c r="N19" s="3"/>
      <c r="O19" s="32">
        <v>2543243</v>
      </c>
      <c r="P19" s="13"/>
      <c r="Q19" s="13"/>
      <c r="R19" s="32"/>
      <c r="S19" s="32"/>
      <c r="T19" s="32"/>
      <c r="U19" s="32"/>
      <c r="V19" s="32"/>
    </row>
    <row r="20" spans="1:22" ht="16.5" x14ac:dyDescent="0.35">
      <c r="A20" s="226"/>
      <c r="B20" s="14"/>
      <c r="C20" s="32"/>
      <c r="D20" s="32"/>
      <c r="E20" s="32"/>
      <c r="F20" s="32"/>
      <c r="G20" s="32"/>
      <c r="H20" s="32"/>
      <c r="I20" s="32"/>
      <c r="J20" s="32"/>
      <c r="K20" s="13"/>
      <c r="L20" s="13"/>
      <c r="M20" s="13"/>
      <c r="N20" s="3"/>
      <c r="O20" s="32">
        <v>2277946.75</v>
      </c>
      <c r="P20" s="13"/>
      <c r="Q20" s="13"/>
      <c r="R20" s="32"/>
      <c r="S20" s="32"/>
      <c r="T20" s="32"/>
      <c r="U20" s="32"/>
      <c r="V20" s="32"/>
    </row>
    <row r="21" spans="1:22" x14ac:dyDescent="0.35">
      <c r="A21" s="3"/>
      <c r="B21" s="7"/>
      <c r="C21" s="7"/>
      <c r="D21" s="7"/>
      <c r="E21" s="7"/>
      <c r="F21" s="7"/>
      <c r="G21" s="7"/>
      <c r="H21" s="7"/>
      <c r="I21" s="7"/>
      <c r="J21" s="7"/>
      <c r="N21" s="3"/>
      <c r="O21" s="7"/>
      <c r="R21" s="7"/>
      <c r="S21" s="7"/>
      <c r="T21" s="7"/>
      <c r="U21" s="7"/>
      <c r="V21" s="7"/>
    </row>
    <row r="22" spans="1:22" x14ac:dyDescent="0.35">
      <c r="A22" s="3" t="str">
        <f>A4</f>
        <v>Noms des groupes</v>
      </c>
      <c r="B22" s="3" t="str">
        <f t="shared" ref="B22:V22" si="0">B4</f>
        <v>Témoin solvant</v>
      </c>
      <c r="C22" s="3" t="str">
        <f t="shared" si="0"/>
        <v>EE2-33,8ng/L</v>
      </c>
      <c r="D22" s="3" t="str">
        <f t="shared" si="0"/>
        <v>EE2-50,6ng/L</v>
      </c>
      <c r="E22" s="3" t="str">
        <f t="shared" si="0"/>
        <v>EE2-76ng/L</v>
      </c>
      <c r="F22" s="3" t="str">
        <f t="shared" si="0"/>
        <v>EE2-114ng/L</v>
      </c>
      <c r="G22" s="3" t="str">
        <f t="shared" si="0"/>
        <v>EE2-170,9ng/L</v>
      </c>
      <c r="H22" s="3" t="str">
        <f t="shared" si="0"/>
        <v>EE2-488ng/L</v>
      </c>
      <c r="I22" s="3" t="str">
        <f t="shared" si="0"/>
        <v>FAD-5.4µg/L</v>
      </c>
      <c r="J22" s="3" t="str">
        <f t="shared" si="0"/>
        <v>FAD-11µg/L</v>
      </c>
      <c r="K22" s="3" t="str">
        <f t="shared" si="0"/>
        <v>FAD-22µg/L</v>
      </c>
      <c r="L22" s="3" t="str">
        <f t="shared" si="0"/>
        <v>FAD-44µg/L</v>
      </c>
      <c r="M22" s="3" t="str">
        <f t="shared" si="0"/>
        <v>FAD-87µg/L</v>
      </c>
      <c r="N22" s="3" t="s">
        <v>41</v>
      </c>
      <c r="O22" s="3" t="str">
        <f t="shared" si="0"/>
        <v>Testo -30µg/L</v>
      </c>
      <c r="P22" s="3" t="str">
        <f t="shared" si="0"/>
        <v>Testo 30µg/L + EE2 -64ng/L</v>
      </c>
      <c r="Q22" s="3" t="str">
        <f t="shared" si="0"/>
        <v>Testo 30µg/L + FAD-10mg/L</v>
      </c>
      <c r="R22" s="3" t="str">
        <f t="shared" si="0"/>
        <v>FAD-5,4µg/L + Testostérone</v>
      </c>
      <c r="S22" s="3" t="str">
        <f t="shared" si="0"/>
        <v>FAD-11µg/L + Testostérone</v>
      </c>
      <c r="T22" s="3" t="str">
        <f t="shared" si="0"/>
        <v>FAD-22µg/L + Testostérone</v>
      </c>
      <c r="U22" s="3" t="str">
        <f t="shared" si="0"/>
        <v>FAD-44µg/L + Testostérone</v>
      </c>
      <c r="V22" s="3" t="str">
        <f t="shared" si="0"/>
        <v>FAD-87µg/L + Testostérone</v>
      </c>
    </row>
    <row r="23" spans="1:22" x14ac:dyDescent="0.35">
      <c r="A23" s="5" t="s">
        <v>0</v>
      </c>
      <c r="B23" s="5">
        <f t="shared" ref="B23:J23" si="1">AVERAGE(B5:B20)</f>
        <v>241847.72916666666</v>
      </c>
      <c r="C23" s="5">
        <f t="shared" si="1"/>
        <v>417047.36458333337</v>
      </c>
      <c r="D23" s="5">
        <f t="shared" si="1"/>
        <v>308287.5</v>
      </c>
      <c r="E23" s="5">
        <f t="shared" si="1"/>
        <v>882842.52083333326</v>
      </c>
      <c r="F23" s="5">
        <f t="shared" si="1"/>
        <v>2092620.21875</v>
      </c>
      <c r="G23" s="5">
        <f t="shared" si="1"/>
        <v>2887273.25</v>
      </c>
      <c r="H23" s="5">
        <f t="shared" si="1"/>
        <v>5245548.15625</v>
      </c>
      <c r="I23" s="5">
        <f t="shared" si="1"/>
        <v>161367.08333333331</v>
      </c>
      <c r="J23" s="5">
        <f t="shared" si="1"/>
        <v>257665.81249999997</v>
      </c>
      <c r="K23" s="5"/>
      <c r="L23" s="5">
        <f>AVERAGE(L5:L20)</f>
        <v>202277.27083333334</v>
      </c>
      <c r="M23" s="5"/>
      <c r="N23" s="5" t="s">
        <v>0</v>
      </c>
      <c r="O23" s="5">
        <f>AVERAGE(O5:O20)</f>
        <v>1909747.2864583333</v>
      </c>
      <c r="P23" s="5">
        <f>AVERAGE(P5:P20)</f>
        <v>3424488.885416667</v>
      </c>
      <c r="Q23" s="5">
        <f>AVERAGE(Q5:Q20)</f>
        <v>265066.46875</v>
      </c>
      <c r="R23" s="5">
        <f>AVERAGE(R5:R20)</f>
        <v>181126.75</v>
      </c>
      <c r="S23" s="5">
        <f>AVERAGE(S5:S20)</f>
        <v>200453.03125</v>
      </c>
      <c r="T23" s="5">
        <f t="shared" ref="T23:V23" si="2">AVERAGE(T5:T20)</f>
        <v>226025.66666666666</v>
      </c>
      <c r="U23" s="5">
        <f t="shared" si="2"/>
        <v>210511.88888888891</v>
      </c>
      <c r="V23" s="5">
        <f t="shared" si="2"/>
        <v>161367.08333333331</v>
      </c>
    </row>
    <row r="24" spans="1:22" x14ac:dyDescent="0.35">
      <c r="A24" s="3" t="s">
        <v>1</v>
      </c>
      <c r="B24" s="3">
        <f t="shared" ref="B24:J24" si="3">STDEV(B5:B20)</f>
        <v>87897.59778106591</v>
      </c>
      <c r="C24" s="3">
        <f t="shared" si="3"/>
        <v>199510.02310502323</v>
      </c>
      <c r="D24" s="3">
        <f t="shared" si="3"/>
        <v>130780.37127422831</v>
      </c>
      <c r="E24" s="3">
        <f t="shared" si="3"/>
        <v>946296.6530640315</v>
      </c>
      <c r="F24" s="3">
        <f t="shared" si="3"/>
        <v>1176242.9095263325</v>
      </c>
      <c r="G24" s="3">
        <f t="shared" si="3"/>
        <v>389429.6492071083</v>
      </c>
      <c r="H24" s="3">
        <f t="shared" si="3"/>
        <v>809032.70827096351</v>
      </c>
      <c r="I24" s="3">
        <f t="shared" si="3"/>
        <v>108391.12187986156</v>
      </c>
      <c r="J24" s="3">
        <f t="shared" si="3"/>
        <v>145016.61164385348</v>
      </c>
      <c r="K24" s="3"/>
      <c r="L24" s="3">
        <f>STDEV(L5:L20)</f>
        <v>96901.715590665292</v>
      </c>
      <c r="M24" s="3"/>
      <c r="N24" s="3" t="s">
        <v>1</v>
      </c>
      <c r="O24" s="3">
        <f>STDEV(O5:O20)</f>
        <v>1044218.0623251108</v>
      </c>
      <c r="P24" s="3">
        <f>STDEV(P5:P20)</f>
        <v>848977.69481323927</v>
      </c>
      <c r="Q24" s="3">
        <f>STDEV(Q5:Q20)</f>
        <v>141520.44916279751</v>
      </c>
      <c r="R24" s="3">
        <f>STDEV(R5:R20)</f>
        <v>81795.348899489909</v>
      </c>
      <c r="S24" s="3">
        <f>STDEV(S5:S20)</f>
        <v>95271.843879898064</v>
      </c>
      <c r="T24" s="3">
        <f t="shared" ref="T24:V24" si="4">STDEV(T5:T20)</f>
        <v>151888.9745663309</v>
      </c>
      <c r="U24" s="3">
        <f t="shared" si="4"/>
        <v>153982.72400403782</v>
      </c>
      <c r="V24" s="3">
        <f t="shared" si="4"/>
        <v>108391.12187986156</v>
      </c>
    </row>
    <row r="25" spans="1:22" ht="15" thickBot="1" x14ac:dyDescent="0.4"/>
    <row r="26" spans="1:22" ht="15" thickBot="1" x14ac:dyDescent="0.4">
      <c r="B26" s="224" t="s">
        <v>6</v>
      </c>
      <c r="C26" s="225"/>
      <c r="D26" s="225"/>
      <c r="E26" s="225"/>
      <c r="F26" s="225"/>
      <c r="G26" s="225"/>
      <c r="H26" s="225"/>
      <c r="I26" s="225"/>
      <c r="J26" s="225"/>
      <c r="K26" s="225"/>
      <c r="L26" s="225"/>
      <c r="M26" s="225"/>
      <c r="O26" s="224" t="s">
        <v>3</v>
      </c>
      <c r="P26" s="225"/>
      <c r="Q26" s="225"/>
      <c r="R26" s="225"/>
      <c r="S26" s="225"/>
      <c r="T26" s="225"/>
      <c r="U26" s="225"/>
      <c r="V26" s="225"/>
    </row>
    <row r="27" spans="1:22" x14ac:dyDescent="0.35">
      <c r="A27" s="34" t="s">
        <v>41</v>
      </c>
      <c r="B27" s="35" t="str">
        <f>B4</f>
        <v>Témoin solvant</v>
      </c>
      <c r="C27" s="35" t="str">
        <f t="shared" ref="C27:M27" si="5">C4</f>
        <v>EE2-33,8ng/L</v>
      </c>
      <c r="D27" s="35" t="str">
        <f t="shared" si="5"/>
        <v>EE2-50,6ng/L</v>
      </c>
      <c r="E27" s="35" t="str">
        <f t="shared" si="5"/>
        <v>EE2-76ng/L</v>
      </c>
      <c r="F27" s="35" t="str">
        <f t="shared" si="5"/>
        <v>EE2-114ng/L</v>
      </c>
      <c r="G27" s="35" t="str">
        <f t="shared" si="5"/>
        <v>EE2-170,9ng/L</v>
      </c>
      <c r="H27" s="35" t="str">
        <f t="shared" si="5"/>
        <v>EE2-488ng/L</v>
      </c>
      <c r="I27" s="35" t="str">
        <f t="shared" si="5"/>
        <v>FAD-5.4µg/L</v>
      </c>
      <c r="J27" s="35" t="str">
        <f t="shared" si="5"/>
        <v>FAD-11µg/L</v>
      </c>
      <c r="K27" s="35" t="str">
        <f t="shared" si="5"/>
        <v>FAD-22µg/L</v>
      </c>
      <c r="L27" s="35" t="str">
        <f t="shared" si="5"/>
        <v>FAD-44µg/L</v>
      </c>
      <c r="M27" s="35" t="str">
        <f t="shared" si="5"/>
        <v>FAD-87µg/L</v>
      </c>
      <c r="N27" s="3"/>
      <c r="O27" s="36" t="str">
        <f>O4</f>
        <v>Testo -30µg/L</v>
      </c>
      <c r="P27" s="36" t="str">
        <f t="shared" ref="P27:V27" si="6">P4</f>
        <v>Testo 30µg/L + EE2 -64ng/L</v>
      </c>
      <c r="Q27" s="36" t="str">
        <f t="shared" si="6"/>
        <v>Testo 30µg/L + FAD-10mg/L</v>
      </c>
      <c r="R27" s="36" t="str">
        <f t="shared" si="6"/>
        <v>FAD-5,4µg/L + Testostérone</v>
      </c>
      <c r="S27" s="36" t="str">
        <f t="shared" si="6"/>
        <v>FAD-11µg/L + Testostérone</v>
      </c>
      <c r="T27" s="36" t="str">
        <f t="shared" si="6"/>
        <v>FAD-22µg/L + Testostérone</v>
      </c>
      <c r="U27" s="36" t="str">
        <f t="shared" si="6"/>
        <v>FAD-44µg/L + Testostérone</v>
      </c>
      <c r="V27" s="36" t="str">
        <f t="shared" si="6"/>
        <v>FAD-87µg/L + Testostérone</v>
      </c>
    </row>
    <row r="28" spans="1:22" x14ac:dyDescent="0.35">
      <c r="A28" s="227" t="s">
        <v>34</v>
      </c>
      <c r="B28" s="11">
        <f t="shared" ref="B28:M28" si="7">IF(B5="","",(B5/$O$23))</f>
        <v>0.14485651336956043</v>
      </c>
      <c r="C28" s="11">
        <f t="shared" si="7"/>
        <v>0.18259300718614116</v>
      </c>
      <c r="D28" s="11">
        <f t="shared" si="7"/>
        <v>0.24719396296432428</v>
      </c>
      <c r="E28" s="11">
        <f t="shared" si="7"/>
        <v>0.32357370233314492</v>
      </c>
      <c r="F28" s="11">
        <f t="shared" si="7"/>
        <v>1.0073238556959048</v>
      </c>
      <c r="G28" s="11">
        <f t="shared" si="7"/>
        <v>1.4792785778683377</v>
      </c>
      <c r="H28" s="11">
        <f t="shared" si="7"/>
        <v>3.1241096883894808</v>
      </c>
      <c r="I28" s="11">
        <f t="shared" si="7"/>
        <v>0.10259708255083565</v>
      </c>
      <c r="J28" s="11">
        <f t="shared" si="7"/>
        <v>7.7492801124027427E-2</v>
      </c>
      <c r="K28" s="11">
        <f t="shared" si="7"/>
        <v>0.1907758525172884</v>
      </c>
      <c r="L28" s="11">
        <f t="shared" si="7"/>
        <v>7.3559994558507785E-2</v>
      </c>
      <c r="M28" s="11">
        <f t="shared" si="7"/>
        <v>0.19012476288072572</v>
      </c>
      <c r="N28" s="6"/>
      <c r="O28" s="11">
        <f t="shared" ref="O28:V39" si="8">IF(O5="","",(O5/$O$23))</f>
        <v>0.11746802919460229</v>
      </c>
      <c r="P28" s="11">
        <f t="shared" si="8"/>
        <v>1.1242918623621665</v>
      </c>
      <c r="Q28" s="11">
        <f t="shared" si="8"/>
        <v>6.9471102768808482E-2</v>
      </c>
      <c r="R28" s="11">
        <f t="shared" si="8"/>
        <v>0.14057606045765017</v>
      </c>
      <c r="S28" s="11">
        <f t="shared" si="8"/>
        <v>0.12577946920163921</v>
      </c>
      <c r="T28" s="11">
        <f t="shared" si="8"/>
        <v>3.4725711513548072E-2</v>
      </c>
      <c r="U28" s="11">
        <f t="shared" si="8"/>
        <v>1.7128793374190963E-2</v>
      </c>
      <c r="V28" s="11">
        <f t="shared" si="8"/>
        <v>0.10259708255083565</v>
      </c>
    </row>
    <row r="29" spans="1:22" x14ac:dyDescent="0.35">
      <c r="A29" s="227"/>
      <c r="B29" s="11">
        <f t="shared" ref="B29:M29" si="9">IF(B6="","",(B6/$O$23))</f>
        <v>7.7589061678833227E-2</v>
      </c>
      <c r="C29" s="11">
        <f t="shared" si="9"/>
        <v>0.12366361333492208</v>
      </c>
      <c r="D29" s="11">
        <f t="shared" si="9"/>
        <v>0.22897584570519597</v>
      </c>
      <c r="E29" s="11">
        <f t="shared" si="9"/>
        <v>0.35753316935784907</v>
      </c>
      <c r="F29" s="11">
        <f t="shared" si="9"/>
        <v>1.3752260671466079</v>
      </c>
      <c r="G29" s="11">
        <f t="shared" si="9"/>
        <v>1.3510080722695097</v>
      </c>
      <c r="H29" s="11">
        <f t="shared" si="9"/>
        <v>2.7145939867332851</v>
      </c>
      <c r="I29" s="11">
        <f t="shared" si="9"/>
        <v>0.13071965163671756</v>
      </c>
      <c r="J29" s="11">
        <f t="shared" si="9"/>
        <v>0.19174709795195172</v>
      </c>
      <c r="K29" s="11">
        <f t="shared" si="9"/>
        <v>0.19865599636670953</v>
      </c>
      <c r="L29" s="11">
        <f t="shared" si="9"/>
        <v>9.8802863257330148E-2</v>
      </c>
      <c r="M29" s="11">
        <f t="shared" si="9"/>
        <v>7.7229459125725999E-2</v>
      </c>
      <c r="N29" s="6"/>
      <c r="O29" s="11">
        <f t="shared" si="8"/>
        <v>1.2481364769578929</v>
      </c>
      <c r="P29" s="11">
        <f t="shared" si="8"/>
        <v>1.8230467060679132</v>
      </c>
      <c r="Q29" s="11">
        <f t="shared" si="8"/>
        <v>0.14891211105077523</v>
      </c>
      <c r="R29" s="11">
        <f t="shared" si="8"/>
        <v>8.43514747434174E-3</v>
      </c>
      <c r="S29" s="11">
        <f t="shared" si="8"/>
        <v>7.4038461006125877E-2</v>
      </c>
      <c r="T29" s="11">
        <f t="shared" si="8"/>
        <v>9.2080246034080011E-3</v>
      </c>
      <c r="U29" s="11">
        <f t="shared" si="8"/>
        <v>0.15625994188656273</v>
      </c>
      <c r="V29" s="11">
        <f t="shared" si="8"/>
        <v>0.13071965163671756</v>
      </c>
    </row>
    <row r="30" spans="1:22" x14ac:dyDescent="0.35">
      <c r="A30" s="227"/>
      <c r="B30" s="11">
        <f t="shared" ref="B30:M30" si="10">IF(B7="","",(B7/$O$23))</f>
        <v>5.1782636740066716E-2</v>
      </c>
      <c r="C30" s="11">
        <f t="shared" si="10"/>
        <v>0.25869443748036919</v>
      </c>
      <c r="D30" s="11">
        <f t="shared" si="10"/>
        <v>0.1030047281097639</v>
      </c>
      <c r="E30" s="11">
        <f t="shared" si="10"/>
        <v>1.5924199438484279</v>
      </c>
      <c r="F30" s="11">
        <f t="shared" si="10"/>
        <v>1.6384322272308505</v>
      </c>
      <c r="G30" s="11">
        <f t="shared" si="10"/>
        <v>1.7224941348656138</v>
      </c>
      <c r="H30" s="11">
        <f t="shared" si="10"/>
        <v>2.4671536560933336</v>
      </c>
      <c r="I30" s="11">
        <f t="shared" si="10"/>
        <v>4.6977681621100401E-2</v>
      </c>
      <c r="J30" s="11">
        <f t="shared" si="10"/>
        <v>3.8783141897982203E-2</v>
      </c>
      <c r="K30" s="11">
        <f t="shared" si="10"/>
        <v>0.10613079617245061</v>
      </c>
      <c r="L30" s="11">
        <f t="shared" si="10"/>
        <v>4.5341077646238202E-2</v>
      </c>
      <c r="M30" s="11">
        <f t="shared" si="10"/>
        <v>9.4430033376007409E-3</v>
      </c>
      <c r="N30" s="6"/>
      <c r="O30" s="11">
        <f t="shared" si="8"/>
        <v>0.94461830776862798</v>
      </c>
      <c r="P30" s="11">
        <f t="shared" si="8"/>
        <v>1.7400664860546735</v>
      </c>
      <c r="Q30" s="11">
        <f t="shared" si="8"/>
        <v>8.8714093849661002E-2</v>
      </c>
      <c r="R30" s="11">
        <f t="shared" si="8"/>
        <v>7.6484988896559372E-2</v>
      </c>
      <c r="S30" s="11">
        <f t="shared" si="8"/>
        <v>0.10398155892566709</v>
      </c>
      <c r="T30" s="11">
        <f t="shared" si="8"/>
        <v>0.11219023664504869</v>
      </c>
      <c r="U30" s="11">
        <f t="shared" si="8"/>
        <v>0.15730196457412496</v>
      </c>
      <c r="V30" s="11">
        <f t="shared" si="8"/>
        <v>4.6977681621100401E-2</v>
      </c>
    </row>
    <row r="31" spans="1:22" x14ac:dyDescent="0.35">
      <c r="A31" s="227"/>
      <c r="B31" s="11">
        <f t="shared" ref="B31:M31" si="11">IF(B8="","",(B8/$O$23))</f>
        <v>0.18140934272119921</v>
      </c>
      <c r="C31" s="11">
        <f t="shared" si="11"/>
        <v>0.23882688732384338</v>
      </c>
      <c r="D31" s="11">
        <f t="shared" si="11"/>
        <v>9.624598045161839E-2</v>
      </c>
      <c r="E31" s="11">
        <f t="shared" si="11"/>
        <v>0.57540309536864742</v>
      </c>
      <c r="F31" s="11">
        <f t="shared" si="11"/>
        <v>1.2717994245742796</v>
      </c>
      <c r="G31" s="11">
        <f t="shared" si="11"/>
        <v>1.57146983335456</v>
      </c>
      <c r="H31" s="11">
        <f t="shared" si="11"/>
        <v>2.2903653436323039</v>
      </c>
      <c r="I31" s="11">
        <f t="shared" si="11"/>
        <v>1.0623787840340864E-2</v>
      </c>
      <c r="J31" s="11">
        <f t="shared" si="11"/>
        <v>0.22041921618888718</v>
      </c>
      <c r="K31" s="11">
        <f t="shared" si="11"/>
        <v>0.13213816392847944</v>
      </c>
      <c r="L31" s="11">
        <f t="shared" si="11"/>
        <v>9.1794998868728481E-2</v>
      </c>
      <c r="M31" s="11">
        <f t="shared" si="11"/>
        <v>0.11586175209444093</v>
      </c>
      <c r="N31" s="6"/>
      <c r="O31" s="11">
        <f t="shared" si="8"/>
        <v>1.2846197072229881</v>
      </c>
      <c r="P31" s="11">
        <f t="shared" si="8"/>
        <v>1.8023738137538645</v>
      </c>
      <c r="Q31" s="11">
        <f t="shared" si="8"/>
        <v>0.12442248337509774</v>
      </c>
      <c r="R31" s="11">
        <f t="shared" si="8"/>
        <v>6.7641934048543767E-2</v>
      </c>
      <c r="S31" s="11">
        <f t="shared" si="8"/>
        <v>0.10670849040865817</v>
      </c>
      <c r="T31" s="11">
        <f t="shared" si="8"/>
        <v>8.9300297065101161E-2</v>
      </c>
      <c r="U31" s="11" t="str">
        <f t="shared" si="8"/>
        <v/>
      </c>
      <c r="V31" s="11">
        <f t="shared" si="8"/>
        <v>1.0623787840340864E-2</v>
      </c>
    </row>
    <row r="32" spans="1:22" x14ac:dyDescent="0.35">
      <c r="A32" s="227"/>
      <c r="B32" s="11">
        <f t="shared" ref="B32:M32" si="12">IF(B9="","",(B9/$O$23))</f>
        <v>0.13842132510120866</v>
      </c>
      <c r="C32" s="11">
        <f t="shared" si="12"/>
        <v>0.12393350070186397</v>
      </c>
      <c r="D32" s="11">
        <f t="shared" si="12"/>
        <v>0.20379528891583085</v>
      </c>
      <c r="E32" s="11">
        <f t="shared" si="12"/>
        <v>0.54137097475203411</v>
      </c>
      <c r="F32" s="11">
        <f t="shared" si="12"/>
        <v>1.1062002888967539</v>
      </c>
      <c r="G32" s="11">
        <f t="shared" si="12"/>
        <v>1.2258184716897493</v>
      </c>
      <c r="H32" s="11">
        <f t="shared" si="12"/>
        <v>2.4315981663793385</v>
      </c>
      <c r="I32" s="11">
        <f t="shared" si="12"/>
        <v>0.13563221261613315</v>
      </c>
      <c r="J32" s="11">
        <f t="shared" si="12"/>
        <v>8.435919827841315E-2</v>
      </c>
      <c r="K32" s="11">
        <f t="shared" si="12"/>
        <v>3.3876209935597416E-2</v>
      </c>
      <c r="L32" s="11">
        <f t="shared" si="12"/>
        <v>0.13137366487127297</v>
      </c>
      <c r="M32" s="11">
        <f t="shared" si="12"/>
        <v>0.11019965913411008</v>
      </c>
      <c r="N32" s="6"/>
      <c r="O32" s="11">
        <f t="shared" si="8"/>
        <v>0.33394488257975474</v>
      </c>
      <c r="P32" s="11">
        <f t="shared" si="8"/>
        <v>2.5251147281078823</v>
      </c>
      <c r="Q32" s="11">
        <f t="shared" si="8"/>
        <v>0.21675223886175232</v>
      </c>
      <c r="R32" s="11">
        <f t="shared" si="8"/>
        <v>0.12930100843758291</v>
      </c>
      <c r="S32" s="11">
        <f t="shared" si="8"/>
        <v>3.4460056818327012E-3</v>
      </c>
      <c r="T32" s="11">
        <f t="shared" si="8"/>
        <v>0.1726627666069441</v>
      </c>
      <c r="U32" s="11" t="str">
        <f t="shared" si="8"/>
        <v/>
      </c>
      <c r="V32" s="11">
        <f t="shared" si="8"/>
        <v>0.13563221261613315</v>
      </c>
    </row>
    <row r="33" spans="1:22" x14ac:dyDescent="0.35">
      <c r="A33" s="227"/>
      <c r="B33" s="11">
        <f t="shared" ref="B33:M33" si="13">IF(B10="","",(B10/$O$23))</f>
        <v>0.16634020231499927</v>
      </c>
      <c r="C33" s="11">
        <f t="shared" si="13"/>
        <v>0.44516191017954798</v>
      </c>
      <c r="D33" s="11">
        <f t="shared" si="13"/>
        <v>0.18465715464059859</v>
      </c>
      <c r="E33" s="11">
        <f t="shared" si="13"/>
        <v>5.0038557812128064E-2</v>
      </c>
      <c r="F33" s="11">
        <f t="shared" si="13"/>
        <v>1.9053757928087993</v>
      </c>
      <c r="G33" s="11">
        <f t="shared" si="13"/>
        <v>1.853066384800548</v>
      </c>
      <c r="H33" s="11">
        <f t="shared" si="13"/>
        <v>3.4263257219414114</v>
      </c>
      <c r="I33" s="11">
        <f t="shared" si="13"/>
        <v>0.16546971192160817</v>
      </c>
      <c r="J33" s="11">
        <f t="shared" si="13"/>
        <v>7.3596648622894389E-2</v>
      </c>
      <c r="K33" s="11">
        <f t="shared" si="13"/>
        <v>7.2936875463935388E-2</v>
      </c>
      <c r="L33" s="11">
        <f t="shared" si="13"/>
        <v>0.15935747214197699</v>
      </c>
      <c r="M33" s="11">
        <f t="shared" si="13"/>
        <v>4.6368831430164223E-2</v>
      </c>
      <c r="N33" s="6"/>
      <c r="O33" s="11">
        <f t="shared" si="8"/>
        <v>1.7677852058954386</v>
      </c>
      <c r="P33" s="11">
        <f t="shared" si="8"/>
        <v>1.7398851793433325</v>
      </c>
      <c r="Q33" s="11">
        <f t="shared" si="8"/>
        <v>0.27697578300056441</v>
      </c>
      <c r="R33" s="11">
        <f t="shared" si="8"/>
        <v>0.11438738599028042</v>
      </c>
      <c r="S33" s="11">
        <f t="shared" si="8"/>
        <v>0.13639972254291424</v>
      </c>
      <c r="T33" s="11">
        <f t="shared" si="8"/>
        <v>0.19607384843804557</v>
      </c>
      <c r="U33" s="11" t="str">
        <f t="shared" si="8"/>
        <v/>
      </c>
      <c r="V33" s="11">
        <f t="shared" si="8"/>
        <v>0.16546971192160817</v>
      </c>
    </row>
    <row r="34" spans="1:22" x14ac:dyDescent="0.35">
      <c r="A34" s="227"/>
      <c r="B34" s="11">
        <f t="shared" ref="B34:M34" si="14">IF(B11="","",(B11/$O$23))</f>
        <v>0.15612392912621384</v>
      </c>
      <c r="C34" s="11">
        <f t="shared" si="14"/>
        <v>0.15714605389310904</v>
      </c>
      <c r="D34" s="11">
        <f t="shared" si="14"/>
        <v>5.7338083827348896E-2</v>
      </c>
      <c r="E34" s="11">
        <f t="shared" si="14"/>
        <v>0.12281677354021855</v>
      </c>
      <c r="F34" s="11">
        <f t="shared" si="14"/>
        <v>0.44572245554991752</v>
      </c>
      <c r="G34" s="11">
        <f t="shared" si="14"/>
        <v>1.5139617008499318</v>
      </c>
      <c r="H34" s="11">
        <f t="shared" si="14"/>
        <v>2.3959014276100814</v>
      </c>
      <c r="I34" s="11">
        <f t="shared" si="14"/>
        <v>5.6686819647622497E-2</v>
      </c>
      <c r="J34" s="11">
        <f t="shared" si="14"/>
        <v>0.23762895395526523</v>
      </c>
      <c r="K34" s="11">
        <f t="shared" si="14"/>
        <v>0.13188045094720879</v>
      </c>
      <c r="L34" s="11">
        <f t="shared" si="14"/>
        <v>0.19037689048075648</v>
      </c>
      <c r="M34" s="11">
        <f t="shared" si="14"/>
        <v>0.15594550237707472</v>
      </c>
      <c r="N34" s="6"/>
      <c r="O34" s="11">
        <f t="shared" si="8"/>
        <v>1.1615883764987351</v>
      </c>
      <c r="P34" s="11">
        <f t="shared" si="8"/>
        <v>1.3516510892847491</v>
      </c>
      <c r="Q34" s="11">
        <f t="shared" si="8"/>
        <v>0.11874607787533975</v>
      </c>
      <c r="R34" s="11">
        <f t="shared" si="8"/>
        <v>0.10329377158892689</v>
      </c>
      <c r="S34" s="11">
        <f t="shared" si="8"/>
        <v>0.11657511000466989</v>
      </c>
      <c r="T34" s="11">
        <f t="shared" si="8"/>
        <v>9.2522451139429918E-2</v>
      </c>
      <c r="U34" s="11" t="str">
        <f t="shared" si="8"/>
        <v/>
      </c>
      <c r="V34" s="11">
        <f t="shared" si="8"/>
        <v>5.6686819647622497E-2</v>
      </c>
    </row>
    <row r="35" spans="1:22" x14ac:dyDescent="0.35">
      <c r="A35" s="227"/>
      <c r="B35" s="11">
        <f t="shared" ref="B35:M35" si="15">IF(B12="","",(B12/$O$23))</f>
        <v>9.6585815991431401E-2</v>
      </c>
      <c r="C35" s="11">
        <f t="shared" si="15"/>
        <v>0.21700698460923928</v>
      </c>
      <c r="D35" s="11">
        <f t="shared" si="15"/>
        <v>0.1702163696238834</v>
      </c>
      <c r="E35" s="11">
        <f t="shared" si="15"/>
        <v>0.13510282320049224</v>
      </c>
      <c r="F35" s="11">
        <f t="shared" si="15"/>
        <v>1.5981172072562534E-2</v>
      </c>
      <c r="G35" s="11">
        <f t="shared" si="15"/>
        <v>1.3777942079863812</v>
      </c>
      <c r="H35" s="11">
        <f t="shared" si="15"/>
        <v>3.123741707764514</v>
      </c>
      <c r="I35" s="11">
        <f t="shared" si="15"/>
        <v>2.7265562151890195E-2</v>
      </c>
      <c r="J35" s="11">
        <f t="shared" si="15"/>
        <v>0.15534428844955242</v>
      </c>
      <c r="K35" s="11">
        <f t="shared" si="15"/>
        <v>5.8428149520732157E-2</v>
      </c>
      <c r="L35" s="11">
        <f t="shared" si="15"/>
        <v>5.6739793497819345E-2</v>
      </c>
      <c r="M35" s="11">
        <f t="shared" si="15"/>
        <v>0.15087703071664324</v>
      </c>
      <c r="N35" s="6"/>
      <c r="O35" s="11">
        <f t="shared" si="8"/>
        <v>2.0266212851531877</v>
      </c>
      <c r="P35" s="11">
        <f t="shared" si="8"/>
        <v>2.238877117573685</v>
      </c>
      <c r="Q35" s="11">
        <f t="shared" si="8"/>
        <v>6.6379070623052192E-2</v>
      </c>
      <c r="R35" s="11">
        <f t="shared" si="8"/>
        <v>0.11862616672184641</v>
      </c>
      <c r="S35" s="11">
        <f t="shared" si="8"/>
        <v>0.17277613239179698</v>
      </c>
      <c r="T35" s="11">
        <f t="shared" si="8"/>
        <v>0.24014630273438858</v>
      </c>
      <c r="U35" s="11" t="str">
        <f t="shared" si="8"/>
        <v/>
      </c>
      <c r="V35" s="11">
        <f t="shared" si="8"/>
        <v>2.7265562151890195E-2</v>
      </c>
    </row>
    <row r="36" spans="1:22" x14ac:dyDescent="0.35">
      <c r="A36" s="227"/>
      <c r="B36" s="11" t="str">
        <f t="shared" ref="B36:M36" si="16">IF(B13="","",(B13/$O$23))</f>
        <v/>
      </c>
      <c r="C36" s="11" t="str">
        <f t="shared" si="16"/>
        <v/>
      </c>
      <c r="D36" s="11" t="str">
        <f t="shared" si="16"/>
        <v/>
      </c>
      <c r="E36" s="11" t="str">
        <f t="shared" si="16"/>
        <v/>
      </c>
      <c r="F36" s="11" t="str">
        <f t="shared" si="16"/>
        <v/>
      </c>
      <c r="G36" s="11" t="str">
        <f t="shared" si="16"/>
        <v/>
      </c>
      <c r="H36" s="11" t="str">
        <f t="shared" si="16"/>
        <v/>
      </c>
      <c r="I36" s="11" t="str">
        <f t="shared" si="16"/>
        <v/>
      </c>
      <c r="J36" s="11" t="str">
        <f t="shared" si="16"/>
        <v/>
      </c>
      <c r="K36" s="11" t="str">
        <f t="shared" si="16"/>
        <v/>
      </c>
      <c r="L36" s="11" t="str">
        <f t="shared" si="16"/>
        <v/>
      </c>
      <c r="M36" s="11" t="str">
        <f t="shared" si="16"/>
        <v/>
      </c>
      <c r="N36" s="6"/>
      <c r="O36" s="11">
        <f t="shared" si="8"/>
        <v>0.36486895671533809</v>
      </c>
      <c r="P36" s="11" t="str">
        <f t="shared" si="8"/>
        <v/>
      </c>
      <c r="Q36" s="11" t="str">
        <f t="shared" si="8"/>
        <v/>
      </c>
      <c r="R36" s="11" t="str">
        <f t="shared" si="8"/>
        <v/>
      </c>
      <c r="S36" s="11" t="str">
        <f t="shared" si="8"/>
        <v/>
      </c>
      <c r="T36" s="11" t="str">
        <f t="shared" si="8"/>
        <v/>
      </c>
      <c r="U36" s="11" t="str">
        <f t="shared" si="8"/>
        <v/>
      </c>
      <c r="V36" s="11" t="str">
        <f t="shared" si="8"/>
        <v/>
      </c>
    </row>
    <row r="37" spans="1:22" x14ac:dyDescent="0.35">
      <c r="A37" s="227"/>
      <c r="B37" s="11" t="str">
        <f t="shared" ref="B37:M37" si="17">IF(B14="","",(B14/$O$23))</f>
        <v/>
      </c>
      <c r="C37" s="11" t="str">
        <f t="shared" si="17"/>
        <v/>
      </c>
      <c r="D37" s="11" t="str">
        <f t="shared" si="17"/>
        <v/>
      </c>
      <c r="E37" s="11" t="str">
        <f t="shared" si="17"/>
        <v/>
      </c>
      <c r="F37" s="11" t="str">
        <f t="shared" si="17"/>
        <v/>
      </c>
      <c r="G37" s="11" t="str">
        <f t="shared" si="17"/>
        <v/>
      </c>
      <c r="H37" s="11" t="str">
        <f t="shared" si="17"/>
        <v/>
      </c>
      <c r="I37" s="11" t="str">
        <f t="shared" si="17"/>
        <v/>
      </c>
      <c r="J37" s="11" t="str">
        <f t="shared" si="17"/>
        <v/>
      </c>
      <c r="K37" s="11" t="str">
        <f t="shared" si="17"/>
        <v/>
      </c>
      <c r="L37" s="11" t="str">
        <f t="shared" si="17"/>
        <v/>
      </c>
      <c r="M37" s="11" t="str">
        <f t="shared" si="17"/>
        <v/>
      </c>
      <c r="N37" s="6"/>
      <c r="O37" s="11">
        <f t="shared" si="8"/>
        <v>0.20580576434743647</v>
      </c>
      <c r="P37" s="11" t="str">
        <f t="shared" si="8"/>
        <v/>
      </c>
      <c r="Q37" s="11" t="str">
        <f t="shared" si="8"/>
        <v/>
      </c>
      <c r="R37" s="11" t="str">
        <f t="shared" si="8"/>
        <v/>
      </c>
      <c r="S37" s="11" t="str">
        <f t="shared" si="8"/>
        <v/>
      </c>
      <c r="T37" s="11" t="str">
        <f t="shared" si="8"/>
        <v/>
      </c>
      <c r="U37" s="11" t="str">
        <f t="shared" si="8"/>
        <v/>
      </c>
      <c r="V37" s="11" t="str">
        <f t="shared" si="8"/>
        <v/>
      </c>
    </row>
    <row r="38" spans="1:22" x14ac:dyDescent="0.35">
      <c r="A38" s="227"/>
      <c r="B38" s="11" t="str">
        <f t="shared" ref="B38:M38" si="18">IF(B15="","",(B15/$O$23))</f>
        <v/>
      </c>
      <c r="C38" s="11" t="str">
        <f t="shared" si="18"/>
        <v/>
      </c>
      <c r="D38" s="11" t="str">
        <f t="shared" si="18"/>
        <v/>
      </c>
      <c r="E38" s="11" t="str">
        <f t="shared" si="18"/>
        <v/>
      </c>
      <c r="F38" s="11" t="str">
        <f t="shared" si="18"/>
        <v/>
      </c>
      <c r="G38" s="11" t="str">
        <f t="shared" si="18"/>
        <v/>
      </c>
      <c r="H38" s="11" t="str">
        <f t="shared" si="18"/>
        <v/>
      </c>
      <c r="I38" s="11" t="str">
        <f t="shared" si="18"/>
        <v/>
      </c>
      <c r="J38" s="11" t="str">
        <f t="shared" si="18"/>
        <v/>
      </c>
      <c r="K38" s="11" t="str">
        <f t="shared" si="18"/>
        <v/>
      </c>
      <c r="L38" s="11" t="str">
        <f t="shared" si="18"/>
        <v/>
      </c>
      <c r="M38" s="11" t="str">
        <f t="shared" si="18"/>
        <v/>
      </c>
      <c r="N38" s="6"/>
      <c r="O38" s="11">
        <f t="shared" si="8"/>
        <v>1.2740296498490411</v>
      </c>
      <c r="P38" s="11" t="str">
        <f t="shared" si="8"/>
        <v/>
      </c>
      <c r="Q38" s="11" t="str">
        <f t="shared" si="8"/>
        <v/>
      </c>
      <c r="R38" s="11" t="str">
        <f t="shared" si="8"/>
        <v/>
      </c>
      <c r="S38" s="11" t="str">
        <f t="shared" si="8"/>
        <v/>
      </c>
      <c r="T38" s="11" t="str">
        <f t="shared" si="8"/>
        <v/>
      </c>
      <c r="U38" s="11" t="str">
        <f t="shared" si="8"/>
        <v/>
      </c>
      <c r="V38" s="11" t="str">
        <f t="shared" si="8"/>
        <v/>
      </c>
    </row>
    <row r="39" spans="1:22" x14ac:dyDescent="0.35">
      <c r="A39" s="227"/>
      <c r="B39" s="11" t="str">
        <f t="shared" ref="B39:M39" si="19">IF(B16="","",(B16/$O$23))</f>
        <v/>
      </c>
      <c r="C39" s="11" t="str">
        <f t="shared" si="19"/>
        <v/>
      </c>
      <c r="D39" s="11" t="str">
        <f t="shared" si="19"/>
        <v/>
      </c>
      <c r="E39" s="11" t="str">
        <f t="shared" si="19"/>
        <v/>
      </c>
      <c r="F39" s="11" t="str">
        <f t="shared" si="19"/>
        <v/>
      </c>
      <c r="G39" s="11" t="str">
        <f t="shared" si="19"/>
        <v/>
      </c>
      <c r="H39" s="11" t="str">
        <f t="shared" si="19"/>
        <v/>
      </c>
      <c r="I39" s="11" t="str">
        <f t="shared" si="19"/>
        <v/>
      </c>
      <c r="J39" s="11" t="str">
        <f t="shared" si="19"/>
        <v/>
      </c>
      <c r="K39" s="11" t="str">
        <f t="shared" si="19"/>
        <v/>
      </c>
      <c r="L39" s="11" t="str">
        <f t="shared" si="19"/>
        <v/>
      </c>
      <c r="M39" s="11" t="str">
        <f t="shared" si="19"/>
        <v/>
      </c>
      <c r="N39" s="6"/>
      <c r="O39" s="11">
        <f t="shared" si="8"/>
        <v>0.57988632380103933</v>
      </c>
      <c r="P39" s="11" t="str">
        <f t="shared" si="8"/>
        <v/>
      </c>
      <c r="Q39" s="11" t="str">
        <f t="shared" ref="Q39:V39" si="20">IF(Q16="","",(Q16/$O$23))</f>
        <v/>
      </c>
      <c r="R39" s="11" t="str">
        <f t="shared" si="20"/>
        <v/>
      </c>
      <c r="S39" s="11" t="str">
        <f t="shared" si="20"/>
        <v/>
      </c>
      <c r="T39" s="11" t="str">
        <f t="shared" si="20"/>
        <v/>
      </c>
      <c r="U39" s="11" t="str">
        <f t="shared" si="20"/>
        <v/>
      </c>
      <c r="V39" s="11" t="str">
        <f t="shared" si="20"/>
        <v/>
      </c>
    </row>
    <row r="40" spans="1:22" x14ac:dyDescent="0.35">
      <c r="A40" s="227"/>
      <c r="B40" s="11" t="str">
        <f t="shared" ref="B40:M40" si="21">IF(B17="","",(B17/$O$23))</f>
        <v/>
      </c>
      <c r="C40" s="11" t="str">
        <f t="shared" si="21"/>
        <v/>
      </c>
      <c r="D40" s="11" t="str">
        <f t="shared" si="21"/>
        <v/>
      </c>
      <c r="E40" s="11" t="str">
        <f t="shared" si="21"/>
        <v/>
      </c>
      <c r="F40" s="11" t="str">
        <f t="shared" si="21"/>
        <v/>
      </c>
      <c r="G40" s="11" t="str">
        <f t="shared" si="21"/>
        <v/>
      </c>
      <c r="H40" s="11" t="str">
        <f t="shared" si="21"/>
        <v/>
      </c>
      <c r="I40" s="11" t="str">
        <f t="shared" si="21"/>
        <v/>
      </c>
      <c r="J40" s="11" t="str">
        <f t="shared" si="21"/>
        <v/>
      </c>
      <c r="K40" s="11" t="str">
        <f t="shared" si="21"/>
        <v/>
      </c>
      <c r="L40" s="11" t="str">
        <f t="shared" si="21"/>
        <v/>
      </c>
      <c r="M40" s="11" t="str">
        <f t="shared" si="21"/>
        <v/>
      </c>
      <c r="N40" s="6"/>
      <c r="O40" s="11">
        <f t="shared" ref="O40:V43" si="22">IF(O17="","",(O17/$O$23))</f>
        <v>1.0919247089845241</v>
      </c>
      <c r="P40" s="11" t="str">
        <f t="shared" si="22"/>
        <v/>
      </c>
      <c r="Q40" s="11" t="str">
        <f t="shared" si="22"/>
        <v/>
      </c>
      <c r="R40" s="11" t="str">
        <f t="shared" si="22"/>
        <v/>
      </c>
      <c r="S40" s="11" t="str">
        <f t="shared" si="22"/>
        <v/>
      </c>
      <c r="T40" s="11" t="str">
        <f t="shared" si="22"/>
        <v/>
      </c>
      <c r="U40" s="11" t="str">
        <f t="shared" si="22"/>
        <v/>
      </c>
      <c r="V40" s="11" t="str">
        <f t="shared" si="22"/>
        <v/>
      </c>
    </row>
    <row r="41" spans="1:22" x14ac:dyDescent="0.35">
      <c r="A41" s="227"/>
      <c r="B41" s="11" t="str">
        <f t="shared" ref="B41:M41" si="23">IF(B18="","",(B18/$O$23))</f>
        <v/>
      </c>
      <c r="C41" s="11" t="str">
        <f t="shared" si="23"/>
        <v/>
      </c>
      <c r="D41" s="11" t="str">
        <f t="shared" si="23"/>
        <v/>
      </c>
      <c r="E41" s="11" t="str">
        <f t="shared" si="23"/>
        <v/>
      </c>
      <c r="F41" s="11" t="str">
        <f t="shared" si="23"/>
        <v/>
      </c>
      <c r="G41" s="11" t="str">
        <f t="shared" si="23"/>
        <v/>
      </c>
      <c r="H41" s="11" t="str">
        <f t="shared" si="23"/>
        <v/>
      </c>
      <c r="I41" s="11" t="str">
        <f t="shared" si="23"/>
        <v/>
      </c>
      <c r="J41" s="11" t="str">
        <f t="shared" si="23"/>
        <v/>
      </c>
      <c r="K41" s="11" t="str">
        <f t="shared" si="23"/>
        <v/>
      </c>
      <c r="L41" s="11" t="str">
        <f t="shared" si="23"/>
        <v/>
      </c>
      <c r="M41" s="11" t="str">
        <f t="shared" si="23"/>
        <v/>
      </c>
      <c r="N41" s="6"/>
      <c r="O41" s="11">
        <f t="shared" si="22"/>
        <v>1.0741851890803866</v>
      </c>
      <c r="P41" s="11" t="str">
        <f t="shared" si="22"/>
        <v/>
      </c>
      <c r="Q41" s="11" t="str">
        <f t="shared" si="22"/>
        <v/>
      </c>
      <c r="R41" s="11" t="str">
        <f t="shared" si="22"/>
        <v/>
      </c>
      <c r="S41" s="11" t="str">
        <f t="shared" si="22"/>
        <v/>
      </c>
      <c r="T41" s="11" t="str">
        <f t="shared" si="22"/>
        <v/>
      </c>
      <c r="U41" s="11" t="str">
        <f t="shared" si="22"/>
        <v/>
      </c>
      <c r="V41" s="11" t="str">
        <f t="shared" si="22"/>
        <v/>
      </c>
    </row>
    <row r="42" spans="1:22" x14ac:dyDescent="0.35">
      <c r="A42" s="227"/>
      <c r="B42" s="11" t="str">
        <f t="shared" ref="B42:M42" si="24">IF(B19="","",(B19/$O$23))</f>
        <v/>
      </c>
      <c r="C42" s="11" t="str">
        <f t="shared" si="24"/>
        <v/>
      </c>
      <c r="D42" s="11" t="str">
        <f t="shared" si="24"/>
        <v/>
      </c>
      <c r="E42" s="11" t="str">
        <f t="shared" si="24"/>
        <v/>
      </c>
      <c r="F42" s="11" t="str">
        <f t="shared" si="24"/>
        <v/>
      </c>
      <c r="G42" s="11" t="str">
        <f t="shared" si="24"/>
        <v/>
      </c>
      <c r="H42" s="11" t="str">
        <f t="shared" si="24"/>
        <v/>
      </c>
      <c r="I42" s="11" t="str">
        <f t="shared" si="24"/>
        <v/>
      </c>
      <c r="J42" s="11" t="str">
        <f t="shared" si="24"/>
        <v/>
      </c>
      <c r="K42" s="11" t="str">
        <f t="shared" si="24"/>
        <v/>
      </c>
      <c r="L42" s="11" t="str">
        <f t="shared" si="24"/>
        <v/>
      </c>
      <c r="M42" s="11" t="str">
        <f t="shared" si="24"/>
        <v/>
      </c>
      <c r="N42" s="6"/>
      <c r="O42" s="11">
        <f t="shared" si="22"/>
        <v>1.3317170381828363</v>
      </c>
      <c r="P42" s="11" t="str">
        <f t="shared" si="22"/>
        <v/>
      </c>
      <c r="Q42" s="11" t="str">
        <f t="shared" si="22"/>
        <v/>
      </c>
      <c r="R42" s="11" t="str">
        <f t="shared" si="22"/>
        <v/>
      </c>
      <c r="S42" s="11" t="str">
        <f t="shared" si="22"/>
        <v/>
      </c>
      <c r="T42" s="11" t="str">
        <f t="shared" si="22"/>
        <v/>
      </c>
      <c r="U42" s="11" t="str">
        <f t="shared" si="22"/>
        <v/>
      </c>
      <c r="V42" s="11" t="str">
        <f t="shared" si="22"/>
        <v/>
      </c>
    </row>
    <row r="43" spans="1:22" x14ac:dyDescent="0.35">
      <c r="A43" s="227"/>
      <c r="B43" s="11" t="str">
        <f t="shared" ref="B43:M43" si="25">IF(B20="","",(B20/$O$23))</f>
        <v/>
      </c>
      <c r="C43" s="11" t="str">
        <f t="shared" si="25"/>
        <v/>
      </c>
      <c r="D43" s="11" t="str">
        <f t="shared" si="25"/>
        <v/>
      </c>
      <c r="E43" s="11" t="str">
        <f t="shared" si="25"/>
        <v/>
      </c>
      <c r="F43" s="11" t="str">
        <f t="shared" si="25"/>
        <v/>
      </c>
      <c r="G43" s="11" t="str">
        <f t="shared" si="25"/>
        <v/>
      </c>
      <c r="H43" s="11" t="str">
        <f t="shared" si="25"/>
        <v/>
      </c>
      <c r="I43" s="11" t="str">
        <f t="shared" si="25"/>
        <v/>
      </c>
      <c r="J43" s="11" t="str">
        <f t="shared" si="25"/>
        <v/>
      </c>
      <c r="K43" s="11" t="str">
        <f t="shared" si="25"/>
        <v/>
      </c>
      <c r="L43" s="11" t="str">
        <f t="shared" si="25"/>
        <v/>
      </c>
      <c r="M43" s="11" t="str">
        <f t="shared" si="25"/>
        <v/>
      </c>
      <c r="N43" s="6"/>
      <c r="O43" s="11">
        <f t="shared" si="22"/>
        <v>1.1928000977681714</v>
      </c>
      <c r="P43" s="11" t="str">
        <f t="shared" si="22"/>
        <v/>
      </c>
      <c r="Q43" s="11" t="str">
        <f t="shared" si="22"/>
        <v/>
      </c>
      <c r="R43" s="11" t="str">
        <f t="shared" si="22"/>
        <v/>
      </c>
      <c r="S43" s="11" t="str">
        <f t="shared" si="22"/>
        <v/>
      </c>
      <c r="T43" s="11" t="str">
        <f t="shared" si="22"/>
        <v/>
      </c>
      <c r="U43" s="11" t="str">
        <f t="shared" si="22"/>
        <v/>
      </c>
      <c r="V43" s="11" t="str">
        <f t="shared" si="22"/>
        <v/>
      </c>
    </row>
    <row r="44" spans="1:22" x14ac:dyDescent="0.35">
      <c r="A44" s="7"/>
      <c r="B44" s="3"/>
      <c r="C44" s="3"/>
      <c r="D44" s="3"/>
      <c r="E44" s="3"/>
      <c r="F44" s="3"/>
      <c r="G44" s="3"/>
      <c r="H44" s="3"/>
      <c r="I44" s="3"/>
      <c r="J44" s="3"/>
      <c r="K44" s="3"/>
      <c r="L44" s="3"/>
      <c r="M44" s="3"/>
      <c r="N44" s="7"/>
      <c r="O44" s="3"/>
      <c r="P44" s="3"/>
      <c r="Q44" s="3"/>
      <c r="R44" s="3"/>
      <c r="S44" s="3"/>
      <c r="T44" s="3"/>
      <c r="U44" s="3"/>
      <c r="V44" s="3"/>
    </row>
    <row r="45" spans="1:22" x14ac:dyDescent="0.35">
      <c r="A45" s="7" t="str">
        <f>A4</f>
        <v>Noms des groupes</v>
      </c>
      <c r="B45" s="7" t="str">
        <f t="shared" ref="B45:V45" si="26">B4</f>
        <v>Témoin solvant</v>
      </c>
      <c r="C45" s="7" t="str">
        <f t="shared" si="26"/>
        <v>EE2-33,8ng/L</v>
      </c>
      <c r="D45" s="7" t="str">
        <f t="shared" si="26"/>
        <v>EE2-50,6ng/L</v>
      </c>
      <c r="E45" s="7" t="str">
        <f t="shared" si="26"/>
        <v>EE2-76ng/L</v>
      </c>
      <c r="F45" s="7" t="str">
        <f t="shared" si="26"/>
        <v>EE2-114ng/L</v>
      </c>
      <c r="G45" s="7" t="str">
        <f t="shared" si="26"/>
        <v>EE2-170,9ng/L</v>
      </c>
      <c r="H45" s="7" t="str">
        <f t="shared" si="26"/>
        <v>EE2-488ng/L</v>
      </c>
      <c r="I45" s="7" t="str">
        <f t="shared" si="26"/>
        <v>FAD-5.4µg/L</v>
      </c>
      <c r="J45" s="7" t="str">
        <f t="shared" si="26"/>
        <v>FAD-11µg/L</v>
      </c>
      <c r="K45" s="7" t="str">
        <f t="shared" si="26"/>
        <v>FAD-22µg/L</v>
      </c>
      <c r="L45" s="7" t="str">
        <f t="shared" si="26"/>
        <v>FAD-44µg/L</v>
      </c>
      <c r="M45" s="7" t="str">
        <f t="shared" si="26"/>
        <v>FAD-87µg/L</v>
      </c>
      <c r="N45" s="7"/>
      <c r="O45" s="7" t="str">
        <f t="shared" si="26"/>
        <v>Testo -30µg/L</v>
      </c>
      <c r="P45" s="7" t="str">
        <f t="shared" si="26"/>
        <v>Testo 30µg/L + EE2 -64ng/L</v>
      </c>
      <c r="Q45" s="7" t="str">
        <f t="shared" si="26"/>
        <v>Testo 30µg/L + FAD-10mg/L</v>
      </c>
      <c r="R45" s="7" t="str">
        <f t="shared" si="26"/>
        <v>FAD-5,4µg/L + Testostérone</v>
      </c>
      <c r="S45" s="7" t="str">
        <f t="shared" si="26"/>
        <v>FAD-11µg/L + Testostérone</v>
      </c>
      <c r="T45" s="7" t="str">
        <f t="shared" si="26"/>
        <v>FAD-22µg/L + Testostérone</v>
      </c>
      <c r="U45" s="7" t="str">
        <f t="shared" si="26"/>
        <v>FAD-44µg/L + Testostérone</v>
      </c>
      <c r="V45" s="7" t="str">
        <f t="shared" si="26"/>
        <v>FAD-87µg/L + Testostérone</v>
      </c>
    </row>
    <row r="46" spans="1:22" x14ac:dyDescent="0.35">
      <c r="A46" s="8" t="s">
        <v>0</v>
      </c>
      <c r="B46" s="10">
        <f t="shared" ref="B46:H46" si="27">AVERAGE(B28:B43)</f>
        <v>0.12663860338043909</v>
      </c>
      <c r="C46" s="10">
        <f t="shared" si="27"/>
        <v>0.21837829933862951</v>
      </c>
      <c r="D46" s="10">
        <f t="shared" si="27"/>
        <v>0.16142842677982053</v>
      </c>
      <c r="E46" s="10">
        <f t="shared" si="27"/>
        <v>0.4622823800266177</v>
      </c>
      <c r="F46" s="10">
        <f t="shared" si="27"/>
        <v>1.0957576604969597</v>
      </c>
      <c r="G46" s="10">
        <f t="shared" si="27"/>
        <v>1.5118614229605791</v>
      </c>
      <c r="H46" s="10">
        <f t="shared" si="27"/>
        <v>2.7467237123179684</v>
      </c>
      <c r="I46" s="10">
        <f>AVERAGE(I28:I43)</f>
        <v>8.4496563748281059E-2</v>
      </c>
      <c r="J46" s="9">
        <f>AVERAGE(J28:J43)</f>
        <v>0.13492141830862173</v>
      </c>
      <c r="K46" s="9">
        <f t="shared" ref="K46:M46" si="28">AVERAGE(K28:K43)</f>
        <v>0.11560281185655021</v>
      </c>
      <c r="L46" s="9">
        <f t="shared" si="28"/>
        <v>0.10591834441532878</v>
      </c>
      <c r="M46" s="9">
        <f t="shared" si="28"/>
        <v>0.10700625013706071</v>
      </c>
      <c r="N46" s="8" t="s">
        <v>0</v>
      </c>
      <c r="O46" s="10">
        <f t="shared" ref="O46:V46" si="29">AVERAGE(O28:O43)</f>
        <v>1</v>
      </c>
      <c r="P46" s="10">
        <f t="shared" si="29"/>
        <v>1.7931633728185332</v>
      </c>
      <c r="Q46" s="10">
        <f t="shared" si="29"/>
        <v>0.13879662017563141</v>
      </c>
      <c r="R46" s="10">
        <f t="shared" si="29"/>
        <v>9.4843307951966466E-2</v>
      </c>
      <c r="S46" s="10">
        <f t="shared" si="29"/>
        <v>0.10496311877041302</v>
      </c>
      <c r="T46" s="10">
        <f t="shared" si="29"/>
        <v>0.11835370484323926</v>
      </c>
      <c r="U46" s="10">
        <f t="shared" si="29"/>
        <v>0.11023023327829289</v>
      </c>
      <c r="V46" s="10">
        <f t="shared" si="29"/>
        <v>8.4496563748281059E-2</v>
      </c>
    </row>
    <row r="47" spans="1:22" x14ac:dyDescent="0.35">
      <c r="A47" s="8" t="s">
        <v>1</v>
      </c>
      <c r="B47" s="8">
        <f t="shared" ref="B47:M47" si="30">STDEV(B28:B43)</f>
        <v>4.6025774407080819E-2</v>
      </c>
      <c r="C47" s="8">
        <f t="shared" si="30"/>
        <v>0.10446933189522628</v>
      </c>
      <c r="D47" s="8">
        <f t="shared" si="30"/>
        <v>6.8480459274150002E-2</v>
      </c>
      <c r="E47" s="8">
        <f t="shared" si="30"/>
        <v>0.49550883500348303</v>
      </c>
      <c r="F47" s="8">
        <f t="shared" si="30"/>
        <v>0.61591547628676002</v>
      </c>
      <c r="G47" s="8">
        <f t="shared" si="30"/>
        <v>0.20391684908703886</v>
      </c>
      <c r="H47" s="8">
        <f t="shared" si="30"/>
        <v>0.42363338542626383</v>
      </c>
      <c r="I47" s="8">
        <f t="shared" si="30"/>
        <v>5.6756788004592572E-2</v>
      </c>
      <c r="J47" s="8">
        <f t="shared" si="30"/>
        <v>7.5934974576028727E-2</v>
      </c>
      <c r="K47" s="8">
        <f t="shared" si="30"/>
        <v>5.9696228148503359E-2</v>
      </c>
      <c r="L47" s="8">
        <f t="shared" si="30"/>
        <v>5.0740596034762081E-2</v>
      </c>
      <c r="M47" s="8">
        <f t="shared" si="30"/>
        <v>6.0236606918707927E-2</v>
      </c>
      <c r="N47" s="8" t="s">
        <v>1</v>
      </c>
      <c r="O47" s="8">
        <f t="shared" ref="O47:V47" si="31">STDEV(O28:O43)</f>
        <v>0.546783372716102</v>
      </c>
      <c r="P47" s="8">
        <f t="shared" si="31"/>
        <v>0.44454975840687722</v>
      </c>
      <c r="Q47" s="8">
        <f t="shared" si="31"/>
        <v>7.4104280794790464E-2</v>
      </c>
      <c r="R47" s="8">
        <f t="shared" si="31"/>
        <v>4.2830456929817705E-2</v>
      </c>
      <c r="S47" s="8">
        <f t="shared" si="31"/>
        <v>4.988714714007092E-2</v>
      </c>
      <c r="T47" s="8">
        <f t="shared" si="31"/>
        <v>7.9533546476723754E-2</v>
      </c>
      <c r="U47" s="8">
        <f t="shared" si="31"/>
        <v>8.0629895429568679E-2</v>
      </c>
      <c r="V47" s="8">
        <f t="shared" si="31"/>
        <v>5.6756788004592572E-2</v>
      </c>
    </row>
    <row r="48" spans="1:22" x14ac:dyDescent="0.35">
      <c r="A48" s="8" t="s">
        <v>2</v>
      </c>
      <c r="B48" s="8">
        <f t="shared" ref="B48:M48" si="32" xml:space="preserve"> B47/SQRT(COUNT(B28:B43))</f>
        <v>1.6272568596304545E-2</v>
      </c>
      <c r="C48" s="8">
        <f t="shared" si="32"/>
        <v>3.6935486504571284E-2</v>
      </c>
      <c r="D48" s="8">
        <f t="shared" si="32"/>
        <v>2.4211498565760329E-2</v>
      </c>
      <c r="E48" s="8">
        <f t="shared" si="32"/>
        <v>0.17518882868440447</v>
      </c>
      <c r="F48" s="8">
        <f t="shared" si="32"/>
        <v>0.2177590049600551</v>
      </c>
      <c r="G48" s="8">
        <f t="shared" si="32"/>
        <v>7.2095493393819501E-2</v>
      </c>
      <c r="H48" s="8">
        <f t="shared" si="32"/>
        <v>0.14977701978596272</v>
      </c>
      <c r="I48" s="8">
        <f t="shared" si="32"/>
        <v>2.0066554838207351E-2</v>
      </c>
      <c r="J48" s="8">
        <f t="shared" si="32"/>
        <v>2.6847067725968995E-2</v>
      </c>
      <c r="K48" s="8">
        <f t="shared" si="32"/>
        <v>2.1105803867532989E-2</v>
      </c>
      <c r="L48" s="8">
        <f t="shared" si="32"/>
        <v>1.7939509768813755E-2</v>
      </c>
      <c r="M48" s="8">
        <f t="shared" si="32"/>
        <v>2.1296856613943441E-2</v>
      </c>
      <c r="N48" s="8" t="s">
        <v>2</v>
      </c>
      <c r="O48" s="8">
        <f t="shared" ref="O48:V48" si="33" xml:space="preserve"> O47/SQRT(COUNT(O28:O43))</f>
        <v>0.1366958431790255</v>
      </c>
      <c r="P48" s="8">
        <f t="shared" si="33"/>
        <v>0.15717207437217215</v>
      </c>
      <c r="Q48" s="8">
        <f t="shared" si="33"/>
        <v>2.6199819732474188E-2</v>
      </c>
      <c r="R48" s="8">
        <f t="shared" si="33"/>
        <v>1.5142853268196227E-2</v>
      </c>
      <c r="S48" s="8">
        <f t="shared" si="33"/>
        <v>1.7637770018397614E-2</v>
      </c>
      <c r="T48" s="8">
        <f t="shared" si="33"/>
        <v>2.8119355022753405E-2</v>
      </c>
      <c r="U48" s="8">
        <f t="shared" si="33"/>
        <v>4.6551691830992857E-2</v>
      </c>
      <c r="V48" s="8">
        <f t="shared" si="33"/>
        <v>2.0066554838207351E-2</v>
      </c>
    </row>
    <row r="49" spans="1:22" ht="15" thickBot="1" x14ac:dyDescent="0.4">
      <c r="A49" s="8"/>
      <c r="B49" s="8"/>
      <c r="C49" s="8"/>
      <c r="D49" s="8"/>
      <c r="E49" s="8"/>
      <c r="F49" s="8"/>
      <c r="G49" s="8"/>
      <c r="H49" s="8"/>
      <c r="I49" s="8"/>
      <c r="J49" s="8"/>
      <c r="K49" s="8"/>
      <c r="L49" s="8"/>
      <c r="M49" s="8"/>
      <c r="N49" s="8"/>
      <c r="O49" s="8"/>
      <c r="P49" s="8"/>
      <c r="Q49" s="8"/>
      <c r="R49" s="8"/>
      <c r="S49" s="8"/>
      <c r="T49" s="8"/>
      <c r="U49" s="8"/>
      <c r="V49" s="8"/>
    </row>
    <row r="50" spans="1:22" ht="26.5" thickBot="1" x14ac:dyDescent="0.65">
      <c r="A50" s="218" t="s">
        <v>44</v>
      </c>
      <c r="B50" s="219"/>
      <c r="C50" s="219"/>
      <c r="D50" s="219"/>
      <c r="E50" s="219"/>
      <c r="F50" s="219"/>
      <c r="G50" s="219"/>
      <c r="H50" s="219"/>
      <c r="I50" s="219"/>
      <c r="J50" s="219"/>
      <c r="K50" s="219"/>
      <c r="L50" s="219"/>
      <c r="M50" s="219"/>
      <c r="N50" s="219"/>
      <c r="O50" s="219"/>
      <c r="P50" s="219"/>
      <c r="Q50" s="219"/>
      <c r="R50" s="219"/>
      <c r="S50" s="219"/>
      <c r="T50" s="219"/>
      <c r="U50" s="219"/>
      <c r="V50" s="219"/>
    </row>
    <row r="51" spans="1:22" ht="15" thickBot="1" x14ac:dyDescent="0.4"/>
    <row r="52" spans="1:22" x14ac:dyDescent="0.35">
      <c r="A52" s="45" t="str">
        <f t="shared" ref="A52:H52" si="34">A27</f>
        <v>Noms des groupes</v>
      </c>
      <c r="B52" s="46" t="str">
        <f t="shared" si="34"/>
        <v>Témoin solvant</v>
      </c>
      <c r="C52" s="46" t="str">
        <f t="shared" si="34"/>
        <v>EE2-33,8ng/L</v>
      </c>
      <c r="D52" s="46" t="str">
        <f t="shared" si="34"/>
        <v>EE2-50,6ng/L</v>
      </c>
      <c r="E52" s="46" t="str">
        <f t="shared" si="34"/>
        <v>EE2-76ng/L</v>
      </c>
      <c r="F52" s="46" t="str">
        <f t="shared" si="34"/>
        <v>EE2-114ng/L</v>
      </c>
      <c r="G52" s="46" t="str">
        <f t="shared" si="34"/>
        <v>EE2-170,9ng/L</v>
      </c>
      <c r="H52" s="46" t="str">
        <f t="shared" si="34"/>
        <v>EE2-488ng/L</v>
      </c>
      <c r="I52" s="46" t="str">
        <f>I4</f>
        <v>FAD-5.4µg/L</v>
      </c>
      <c r="J52" s="46" t="str">
        <f>J4</f>
        <v>FAD-11µg/L</v>
      </c>
      <c r="K52" s="46" t="str">
        <f t="shared" ref="K52:M52" si="35">K4</f>
        <v>FAD-22µg/L</v>
      </c>
      <c r="L52" s="46" t="str">
        <f t="shared" si="35"/>
        <v>FAD-44µg/L</v>
      </c>
      <c r="M52" s="46" t="str">
        <f t="shared" si="35"/>
        <v>FAD-87µg/L</v>
      </c>
      <c r="N52" s="47"/>
      <c r="O52" s="46" t="str">
        <f>O27</f>
        <v>Testo -30µg/L</v>
      </c>
      <c r="P52" s="46" t="str">
        <f>P27</f>
        <v>Testo 30µg/L + EE2 -64ng/L</v>
      </c>
      <c r="Q52" s="46" t="str">
        <f>Q27</f>
        <v>Testo 30µg/L + FAD-10mg/L</v>
      </c>
      <c r="R52" s="46" t="str">
        <f>R27</f>
        <v>FAD-5,4µg/L + Testostérone</v>
      </c>
      <c r="S52" s="46" t="str">
        <f t="shared" ref="S52:V52" si="36">S27</f>
        <v>FAD-11µg/L + Testostérone</v>
      </c>
      <c r="T52" s="46" t="str">
        <f t="shared" si="36"/>
        <v>FAD-22µg/L + Testostérone</v>
      </c>
      <c r="U52" s="46" t="str">
        <f t="shared" si="36"/>
        <v>FAD-44µg/L + Testostérone</v>
      </c>
      <c r="V52" s="46" t="str">
        <f t="shared" si="36"/>
        <v>FAD-87µg/L + Testostérone</v>
      </c>
    </row>
    <row r="53" spans="1:22" s="3" customFormat="1" x14ac:dyDescent="0.35">
      <c r="A53" s="61" t="s">
        <v>32</v>
      </c>
      <c r="B53" s="142">
        <f t="shared" ref="B53:V53" si="37">B46</f>
        <v>0.12663860338043909</v>
      </c>
      <c r="C53" s="142">
        <f t="shared" si="37"/>
        <v>0.21837829933862951</v>
      </c>
      <c r="D53" s="142">
        <f t="shared" si="37"/>
        <v>0.16142842677982053</v>
      </c>
      <c r="E53" s="142">
        <f t="shared" si="37"/>
        <v>0.4622823800266177</v>
      </c>
      <c r="F53" s="142">
        <f t="shared" si="37"/>
        <v>1.0957576604969597</v>
      </c>
      <c r="G53" s="142">
        <f t="shared" si="37"/>
        <v>1.5118614229605791</v>
      </c>
      <c r="H53" s="142">
        <f t="shared" si="37"/>
        <v>2.7467237123179684</v>
      </c>
      <c r="I53" s="142">
        <f t="shared" si="37"/>
        <v>8.4496563748281059E-2</v>
      </c>
      <c r="J53" s="142">
        <f t="shared" si="37"/>
        <v>0.13492141830862173</v>
      </c>
      <c r="K53" s="142">
        <f t="shared" si="37"/>
        <v>0.11560281185655021</v>
      </c>
      <c r="L53" s="142">
        <f t="shared" si="37"/>
        <v>0.10591834441532878</v>
      </c>
      <c r="M53" s="142">
        <f t="shared" si="37"/>
        <v>0.10700625013706071</v>
      </c>
      <c r="N53" s="142"/>
      <c r="O53" s="142">
        <f t="shared" si="37"/>
        <v>1</v>
      </c>
      <c r="P53" s="142">
        <f t="shared" si="37"/>
        <v>1.7931633728185332</v>
      </c>
      <c r="Q53" s="142">
        <f t="shared" si="37"/>
        <v>0.13879662017563141</v>
      </c>
      <c r="R53" s="142">
        <f t="shared" si="37"/>
        <v>9.4843307951966466E-2</v>
      </c>
      <c r="S53" s="142">
        <f t="shared" si="37"/>
        <v>0.10496311877041302</v>
      </c>
      <c r="T53" s="142">
        <f t="shared" si="37"/>
        <v>0.11835370484323926</v>
      </c>
      <c r="U53" s="142">
        <f t="shared" si="37"/>
        <v>0.11023023327829289</v>
      </c>
      <c r="V53" s="142">
        <f t="shared" si="37"/>
        <v>8.4496563748281059E-2</v>
      </c>
    </row>
    <row r="54" spans="1:22" s="3" customFormat="1" x14ac:dyDescent="0.35">
      <c r="A54" s="61" t="s">
        <v>2</v>
      </c>
      <c r="B54" s="142">
        <f t="shared" ref="B54:V54" si="38">B48</f>
        <v>1.6272568596304545E-2</v>
      </c>
      <c r="C54" s="142">
        <f t="shared" si="38"/>
        <v>3.6935486504571284E-2</v>
      </c>
      <c r="D54" s="142">
        <f t="shared" si="38"/>
        <v>2.4211498565760329E-2</v>
      </c>
      <c r="E54" s="142">
        <f t="shared" si="38"/>
        <v>0.17518882868440447</v>
      </c>
      <c r="F54" s="142">
        <f t="shared" si="38"/>
        <v>0.2177590049600551</v>
      </c>
      <c r="G54" s="142">
        <f t="shared" si="38"/>
        <v>7.2095493393819501E-2</v>
      </c>
      <c r="H54" s="142">
        <f t="shared" si="38"/>
        <v>0.14977701978596272</v>
      </c>
      <c r="I54" s="142">
        <f t="shared" si="38"/>
        <v>2.0066554838207351E-2</v>
      </c>
      <c r="J54" s="142">
        <f t="shared" si="38"/>
        <v>2.6847067725968995E-2</v>
      </c>
      <c r="K54" s="142">
        <f t="shared" si="38"/>
        <v>2.1105803867532989E-2</v>
      </c>
      <c r="L54" s="142">
        <f t="shared" si="38"/>
        <v>1.7939509768813755E-2</v>
      </c>
      <c r="M54" s="142">
        <f t="shared" si="38"/>
        <v>2.1296856613943441E-2</v>
      </c>
      <c r="N54" s="142"/>
      <c r="O54" s="142">
        <f t="shared" si="38"/>
        <v>0.1366958431790255</v>
      </c>
      <c r="P54" s="142">
        <f t="shared" si="38"/>
        <v>0.15717207437217215</v>
      </c>
      <c r="Q54" s="142">
        <f t="shared" si="38"/>
        <v>2.6199819732474188E-2</v>
      </c>
      <c r="R54" s="142">
        <f t="shared" si="38"/>
        <v>1.5142853268196227E-2</v>
      </c>
      <c r="S54" s="142">
        <f t="shared" si="38"/>
        <v>1.7637770018397614E-2</v>
      </c>
      <c r="T54" s="142">
        <f t="shared" si="38"/>
        <v>2.8119355022753405E-2</v>
      </c>
      <c r="U54" s="142">
        <f t="shared" si="38"/>
        <v>4.6551691830992857E-2</v>
      </c>
      <c r="V54" s="142">
        <f t="shared" si="38"/>
        <v>2.0066554838207351E-2</v>
      </c>
    </row>
    <row r="55" spans="1:22" s="3" customFormat="1" x14ac:dyDescent="0.35">
      <c r="A55" s="61" t="s">
        <v>79</v>
      </c>
      <c r="B55" s="142">
        <f>(B53*100/$B53)-100</f>
        <v>0</v>
      </c>
      <c r="C55" s="142">
        <f t="shared" ref="C55:M55" si="39">(C53*100/$B53)-100</f>
        <v>72.442125473061537</v>
      </c>
      <c r="D55" s="142">
        <f t="shared" si="39"/>
        <v>27.47173647743746</v>
      </c>
      <c r="E55" s="142">
        <f t="shared" si="39"/>
        <v>265.04064928595301</v>
      </c>
      <c r="F55" s="142">
        <f t="shared" si="39"/>
        <v>765.26353832658674</v>
      </c>
      <c r="G55" s="142">
        <f t="shared" si="39"/>
        <v>1093.8393053962761</v>
      </c>
      <c r="H55" s="142">
        <f t="shared" si="39"/>
        <v>2068.9466236977105</v>
      </c>
      <c r="I55" s="142">
        <f t="shared" si="39"/>
        <v>-33.277403972592609</v>
      </c>
      <c r="J55" s="142">
        <f t="shared" si="39"/>
        <v>6.540513482527885</v>
      </c>
      <c r="K55" s="142">
        <f t="shared" si="39"/>
        <v>-8.7143976870432738</v>
      </c>
      <c r="L55" s="142">
        <f t="shared" si="39"/>
        <v>-16.3617241599419</v>
      </c>
      <c r="M55" s="142">
        <f t="shared" si="39"/>
        <v>-15.502660894324762</v>
      </c>
      <c r="N55" s="142"/>
      <c r="O55" s="142">
        <f>(O53*100/$O53)-100</f>
        <v>0</v>
      </c>
      <c r="P55" s="142">
        <f t="shared" ref="P55:V55" si="40">(P53*100/$O53)-100</f>
        <v>79.316337281853322</v>
      </c>
      <c r="Q55" s="142">
        <f t="shared" si="40"/>
        <v>-86.120337982436865</v>
      </c>
      <c r="R55" s="142">
        <f t="shared" si="40"/>
        <v>-90.515669204803359</v>
      </c>
      <c r="S55" s="142">
        <f t="shared" si="40"/>
        <v>-89.503688122958692</v>
      </c>
      <c r="T55" s="142">
        <f t="shared" si="40"/>
        <v>-88.164629515676069</v>
      </c>
      <c r="U55" s="142">
        <f t="shared" si="40"/>
        <v>-88.976976672170707</v>
      </c>
      <c r="V55" s="142">
        <f t="shared" si="40"/>
        <v>-91.550343625171891</v>
      </c>
    </row>
    <row r="56" spans="1:22" s="3" customFormat="1" x14ac:dyDescent="0.35">
      <c r="A56" s="61" t="s">
        <v>81</v>
      </c>
      <c r="B56" s="142">
        <f>[1]!SWTEST(B28:B43)</f>
        <v>0.49613902193553028</v>
      </c>
      <c r="C56" s="142">
        <f>[1]!SWTEST(C28:C43)</f>
        <v>7.6196616214963764E-2</v>
      </c>
      <c r="D56" s="142">
        <f>[1]!SWTEST(D28:D43)</f>
        <v>0.57565743526382407</v>
      </c>
      <c r="E56" s="142">
        <f>[1]!SWTEST(E28:E43)</f>
        <v>1.3129769614778297E-2</v>
      </c>
      <c r="F56" s="142">
        <f>[1]!SWTEST(F28:F43)</f>
        <v>0.78219880002005771</v>
      </c>
      <c r="G56" s="142">
        <f>[1]!SWTEST(G28:G43)</f>
        <v>0.93815423517799634</v>
      </c>
      <c r="H56" s="142">
        <f>[1]!SWTEST(H28:H43)</f>
        <v>0.19832424490218648</v>
      </c>
      <c r="I56" s="142">
        <f>[1]!SWTEST(I28:I43)</f>
        <v>0.56548644112847379</v>
      </c>
      <c r="J56" s="142">
        <f>[1]!SWTEST(J28:J43)</f>
        <v>0.29903114256055718</v>
      </c>
      <c r="K56" s="142">
        <f>[1]!SWTEST(K28:K43)</f>
        <v>0.64215781038991149</v>
      </c>
      <c r="L56" s="142">
        <f>[1]!SWTEST(L28:L43)</f>
        <v>0.69446937860230995</v>
      </c>
      <c r="M56" s="142">
        <f>[1]!SWTEST(M28:M43)</f>
        <v>0.91994687321379887</v>
      </c>
      <c r="N56" s="142"/>
      <c r="O56" s="142">
        <f>[1]!SWTEST(O28:O43)</f>
        <v>0.30047561213548069</v>
      </c>
      <c r="P56" s="142">
        <f>[1]!SWTEST(P28:P43)</f>
        <v>0.70972935696322281</v>
      </c>
      <c r="Q56" s="142">
        <f>[1]!SWTEST(Q28:Q43)</f>
        <v>0.22958518485588286</v>
      </c>
      <c r="R56" s="142">
        <f>[1]!SWTEST(R28:R43)</f>
        <v>0.28483115999416797</v>
      </c>
      <c r="S56" s="142">
        <f>[1]!SWTEST(S28:S43)</f>
        <v>0.42458252872527968</v>
      </c>
      <c r="T56" s="142">
        <f>[1]!SWTEST(T28:T43)</f>
        <v>0.83632120321324122</v>
      </c>
      <c r="U56" s="142">
        <f>[1]!SWTEST(U28:U43)</f>
        <v>1.2340286583700368E-2</v>
      </c>
      <c r="V56" s="142">
        <f>[1]!SWTEST(V28:V43)</f>
        <v>0.56548644112847379</v>
      </c>
    </row>
    <row r="57" spans="1:22" s="3" customFormat="1" x14ac:dyDescent="0.35">
      <c r="A57" s="61" t="s">
        <v>85</v>
      </c>
      <c r="B57" s="142" t="str">
        <f>IF(B56&gt;0.05,"Oui","Non")</f>
        <v>Oui</v>
      </c>
      <c r="C57" s="142" t="str">
        <f t="shared" ref="C57:V57" si="41">IF(C56&gt;0.05,"Oui","Non")</f>
        <v>Oui</v>
      </c>
      <c r="D57" s="142" t="str">
        <f t="shared" si="41"/>
        <v>Oui</v>
      </c>
      <c r="E57" s="142" t="str">
        <f t="shared" si="41"/>
        <v>Non</v>
      </c>
      <c r="F57" s="142" t="str">
        <f t="shared" si="41"/>
        <v>Oui</v>
      </c>
      <c r="G57" s="142" t="str">
        <f t="shared" si="41"/>
        <v>Oui</v>
      </c>
      <c r="H57" s="142" t="str">
        <f t="shared" si="41"/>
        <v>Oui</v>
      </c>
      <c r="I57" s="142" t="str">
        <f t="shared" si="41"/>
        <v>Oui</v>
      </c>
      <c r="J57" s="142" t="str">
        <f t="shared" si="41"/>
        <v>Oui</v>
      </c>
      <c r="K57" s="142" t="str">
        <f t="shared" si="41"/>
        <v>Oui</v>
      </c>
      <c r="L57" s="142" t="str">
        <f t="shared" si="41"/>
        <v>Oui</v>
      </c>
      <c r="M57" s="142" t="str">
        <f t="shared" si="41"/>
        <v>Oui</v>
      </c>
      <c r="N57" s="142"/>
      <c r="O57" s="142" t="str">
        <f t="shared" si="41"/>
        <v>Oui</v>
      </c>
      <c r="P57" s="142" t="str">
        <f t="shared" si="41"/>
        <v>Oui</v>
      </c>
      <c r="Q57" s="142" t="str">
        <f t="shared" si="41"/>
        <v>Oui</v>
      </c>
      <c r="R57" s="142" t="str">
        <f t="shared" si="41"/>
        <v>Oui</v>
      </c>
      <c r="S57" s="142" t="str">
        <f t="shared" si="41"/>
        <v>Oui</v>
      </c>
      <c r="T57" s="142" t="str">
        <f t="shared" si="41"/>
        <v>Oui</v>
      </c>
      <c r="U57" s="142" t="str">
        <f t="shared" si="41"/>
        <v>Non</v>
      </c>
      <c r="V57" s="142" t="str">
        <f t="shared" si="41"/>
        <v>Oui</v>
      </c>
    </row>
    <row r="58" spans="1:22" s="3" customFormat="1" x14ac:dyDescent="0.35">
      <c r="A58" s="61"/>
      <c r="B58" s="142"/>
      <c r="C58" s="142"/>
      <c r="D58" s="142"/>
      <c r="E58" s="142"/>
      <c r="F58" s="142"/>
      <c r="G58" s="142"/>
      <c r="H58" s="142"/>
      <c r="I58" s="142"/>
      <c r="J58" s="142"/>
      <c r="K58" s="142"/>
      <c r="L58" s="142"/>
      <c r="M58" s="142"/>
      <c r="N58" s="149"/>
      <c r="O58" s="150"/>
      <c r="P58" s="142"/>
      <c r="Q58" s="142"/>
      <c r="R58" s="142"/>
      <c r="S58" s="142"/>
      <c r="T58" s="142"/>
      <c r="U58" s="142"/>
      <c r="V58" s="142"/>
    </row>
    <row r="59" spans="1:22" s="3" customFormat="1" x14ac:dyDescent="0.35">
      <c r="A59" s="61" t="s">
        <v>82</v>
      </c>
      <c r="B59" s="151"/>
      <c r="C59" s="151" t="str">
        <f t="shared" ref="C59:O59" si="42">IF($B57="Non",IF(C57="Non","MW",IF(C57="Oui","MW","")),IF($B57="Oui",IF(C57="Oui","T-Test Welch",IF(C57="Non","MW",""))))</f>
        <v>T-Test Welch</v>
      </c>
      <c r="D59" s="151" t="str">
        <f t="shared" si="42"/>
        <v>T-Test Welch</v>
      </c>
      <c r="E59" s="151" t="str">
        <f t="shared" si="42"/>
        <v>MW</v>
      </c>
      <c r="F59" s="151" t="str">
        <f t="shared" si="42"/>
        <v>T-Test Welch</v>
      </c>
      <c r="G59" s="151" t="str">
        <f t="shared" si="42"/>
        <v>T-Test Welch</v>
      </c>
      <c r="H59" s="151" t="str">
        <f t="shared" si="42"/>
        <v>T-Test Welch</v>
      </c>
      <c r="I59" s="151" t="str">
        <f t="shared" si="42"/>
        <v>T-Test Welch</v>
      </c>
      <c r="J59" s="151" t="str">
        <f t="shared" si="42"/>
        <v>T-Test Welch</v>
      </c>
      <c r="K59" s="151" t="str">
        <f t="shared" si="42"/>
        <v>T-Test Welch</v>
      </c>
      <c r="L59" s="151" t="str">
        <f t="shared" si="42"/>
        <v>T-Test Welch</v>
      </c>
      <c r="M59" s="151" t="str">
        <f t="shared" si="42"/>
        <v>T-Test Welch</v>
      </c>
      <c r="N59" s="151"/>
      <c r="O59" s="151" t="str">
        <f t="shared" si="42"/>
        <v>T-Test Welch</v>
      </c>
      <c r="P59" s="151" t="str">
        <f>IF($O57="Non",IF(P57="Non","MW",IF(P57="Oui","MW","")),IF($O57="Oui",IF(P57="Oui","T-Test Welch",IF(P57="Non","MW",""))))</f>
        <v>T-Test Welch</v>
      </c>
      <c r="Q59" s="151" t="str">
        <f t="shared" ref="Q59:V59" si="43">IF($O57="Non",IF(Q57="Non","MW",IF(Q57="Oui","MW","")),IF($O57="Oui",IF(Q57="Oui","T-Test Welch",IF(Q57="Non","MW",""))))</f>
        <v>T-Test Welch</v>
      </c>
      <c r="R59" s="151" t="str">
        <f t="shared" si="43"/>
        <v>T-Test Welch</v>
      </c>
      <c r="S59" s="151" t="str">
        <f t="shared" si="43"/>
        <v>T-Test Welch</v>
      </c>
      <c r="T59" s="151" t="str">
        <f t="shared" si="43"/>
        <v>T-Test Welch</v>
      </c>
      <c r="U59" s="151" t="str">
        <f t="shared" si="43"/>
        <v>MW</v>
      </c>
      <c r="V59" s="151" t="str">
        <f t="shared" si="43"/>
        <v>T-Test Welch</v>
      </c>
    </row>
    <row r="60" spans="1:22" s="3" customFormat="1" x14ac:dyDescent="0.35">
      <c r="A60" s="61" t="s">
        <v>83</v>
      </c>
      <c r="B60" s="152"/>
      <c r="C60" s="152">
        <f>IF(C59="MW",[1]!MTEST($B28:$B43,C28:C43,2), IF(C59="T-Test Welch",_xlfn.T.TEST($B28:$B43,C28:C43,2,3),""))</f>
        <v>4.7327625800299346E-2</v>
      </c>
      <c r="D60" s="152">
        <f>IF(D59="MW",[1]!MTEST($B28:$B43,D28:D43,2), IF(D59="T-Test Welch",_xlfn.T.TEST($B28:$B43,D28:D43,2,3),""))</f>
        <v>0.25561691398308267</v>
      </c>
      <c r="E60" s="152">
        <f>IF(E59="MW",[1]!MTEST($B28:$B43,E28:E43,2), IF(E59="T-Test Welch",_xlfn.T.TEST($B28:$B43,E28:E43,2,3),""))</f>
        <v>0.14148212148279327</v>
      </c>
      <c r="F60" s="152">
        <f>IF(F59="MW",[1]!MTEST($B28:$B43,F28:F43,2), IF(F59="T-Test Welch",_xlfn.T.TEST($B28:$B43,F28:F43,2,3),""))</f>
        <v>2.9340641231554686E-3</v>
      </c>
      <c r="G60" s="152">
        <f>IF(G59="MW",[1]!MTEST($B28:$B43,G28:G43,2), IF(G59="T-Test Welch",_xlfn.T.TEST($B28:$B43,G28:G43,2,3),""))</f>
        <v>1.0399374257668527E-7</v>
      </c>
      <c r="H60" s="152">
        <f>IF(H59="MW",[1]!MTEST($B28:$B43,H28:H43,2), IF(H59="T-Test Welch",_xlfn.T.TEST($B28:$B43,H28:H43,2,3),""))</f>
        <v>4.0135040485520942E-7</v>
      </c>
      <c r="I60" s="152">
        <f>IF(I59="MW",[1]!MTEST($B28:$B43,I28:I43,2), IF(I59="T-Test Welch",_xlfn.T.TEST($B28:$B43,I28:I43,2,3),""))</f>
        <v>0.12607503307703077</v>
      </c>
      <c r="J60" s="152">
        <f>IF(J59="MW",[1]!MTEST($B28:$B43,J28:J43,2), IF(J59="T-Test Welch",_xlfn.T.TEST($B28:$B43,J28:J43,2,3),""))</f>
        <v>0.79656089463475332</v>
      </c>
      <c r="K60" s="152">
        <f>IF(K59="MW",[1]!MTEST($B28:$B43,K28:K43,2), IF(K59="T-Test Welch",_xlfn.T.TEST($B28:$B43,K28:K43,2,3),""))</f>
        <v>0.68548140955329784</v>
      </c>
      <c r="L60" s="152">
        <f>IF(L59="MW",[1]!MTEST($B28:$B43,L28:L43,2), IF(L59="T-Test Welch",_xlfn.T.TEST($B28:$B43,L28:L43,2,3),""))</f>
        <v>0.40681615930203108</v>
      </c>
      <c r="M60" s="152">
        <f>IF(M59="MW",[1]!MTEST($B28:$B43,M28:M43,2), IF(M59="T-Test Welch",_xlfn.T.TEST($B28:$B43,M28:M43,2,3),""))</f>
        <v>0.47677405480376212</v>
      </c>
      <c r="N60" s="152"/>
      <c r="O60" s="152">
        <f>IF(O59="MW",[1]!MTEST($B28:$B43,O28:O43,2), IF(O59="T-Test Welch",_xlfn.T.TEST($B28:$B43,O28:O43,2,3),""))</f>
        <v>1.1570546622052289E-5</v>
      </c>
      <c r="P60" s="152">
        <f>IF(P59="MW",[1]!MTEST($O28:$O43,P28:P43,2), IF(P59="T-Test Welch",_xlfn.T.TEST($O28:$O43,P28:P43,2,3),""))</f>
        <v>1.4012048736136858E-3</v>
      </c>
      <c r="Q60" s="152">
        <f>IF(Q59="MW",[1]!MTEST($O28:$O43,Q28:Q43,2), IF(Q59="T-Test Welch",_xlfn.T.TEST($O28:$O43,Q28:Q43,2,3),""))</f>
        <v>1.2753568658130743E-5</v>
      </c>
      <c r="R60" s="152">
        <f>IF(R59="MW",[1]!MTEST($O28:$O43,R28:R43,2), IF(R59="T-Test Welch",_xlfn.T.TEST($O28:$O43,R28:R43,2,3),""))</f>
        <v>7.7281199371355723E-6</v>
      </c>
      <c r="S60" s="152">
        <f>IF(S59="MW",[1]!MTEST($O28:$O43,S28:S43,2), IF(S59="T-Test Welch",_xlfn.T.TEST($O28:$O43,S28:S43,2,3),""))</f>
        <v>8.6597211037898848E-6</v>
      </c>
      <c r="T60" s="152">
        <f>IF(T59="MW",[1]!MTEST($O28:$O43,T28:T43,2), IF(T59="T-Test Welch",_xlfn.T.TEST($O28:$O43,T28:T43,2,3),""))</f>
        <v>9.568534118629466E-6</v>
      </c>
      <c r="U60" s="152">
        <f>IF(U59="MW",[1]!MTEST($O28:$O43,U28:U43,2), IF(U59="T-Test Welch",_xlfn.T.TEST($O28:$O43,U28:U43,2,3),""))</f>
        <v>1.390629689534606E-2</v>
      </c>
      <c r="V60" s="152">
        <f>IF(V59="MW",[1]!MTEST($O28:$O43,V28:V43,2), IF(V59="T-Test Welch",_xlfn.T.TEST($O28:$O43,V28:V43,2,3),""))</f>
        <v>6.5368145143834016E-6</v>
      </c>
    </row>
    <row r="61" spans="1:22" s="3" customFormat="1" ht="15" thickBot="1" x14ac:dyDescent="0.4">
      <c r="A61" s="62" t="s">
        <v>84</v>
      </c>
      <c r="B61" s="143"/>
      <c r="C61" s="143" t="str">
        <f t="shared" ref="C61:O61" si="44">IF(C60&gt;0.05,"NS",IF(C60&gt;0.01,"*",IF(C60&gt;0.001,"**","***")))</f>
        <v>*</v>
      </c>
      <c r="D61" s="143" t="str">
        <f t="shared" si="44"/>
        <v>NS</v>
      </c>
      <c r="E61" s="143" t="str">
        <f t="shared" si="44"/>
        <v>NS</v>
      </c>
      <c r="F61" s="143" t="str">
        <f t="shared" si="44"/>
        <v>**</v>
      </c>
      <c r="G61" s="143" t="str">
        <f t="shared" si="44"/>
        <v>***</v>
      </c>
      <c r="H61" s="143" t="str">
        <f t="shared" si="44"/>
        <v>***</v>
      </c>
      <c r="I61" s="143" t="str">
        <f t="shared" si="44"/>
        <v>NS</v>
      </c>
      <c r="J61" s="143" t="str">
        <f t="shared" si="44"/>
        <v>NS</v>
      </c>
      <c r="K61" s="143" t="str">
        <f t="shared" si="44"/>
        <v>NS</v>
      </c>
      <c r="L61" s="143" t="str">
        <f t="shared" si="44"/>
        <v>NS</v>
      </c>
      <c r="M61" s="143" t="str">
        <f t="shared" si="44"/>
        <v>NS</v>
      </c>
      <c r="N61" s="143"/>
      <c r="O61" s="143" t="str">
        <f t="shared" si="44"/>
        <v>***</v>
      </c>
      <c r="P61" s="143" t="str">
        <f>IF(P60&gt;0.05,"NS",IF(P60&gt;0.01,"*",IF(P60&gt;0.001,"**","***")))</f>
        <v>**</v>
      </c>
      <c r="Q61" s="143" t="str">
        <f t="shared" ref="Q61:V61" si="45">IF(Q60&gt;0.05,"NS",IF(Q60&gt;0.01,"*",IF(Q60&gt;0.001,"**","***")))</f>
        <v>***</v>
      </c>
      <c r="R61" s="143" t="str">
        <f t="shared" si="45"/>
        <v>***</v>
      </c>
      <c r="S61" s="143" t="str">
        <f t="shared" si="45"/>
        <v>***</v>
      </c>
      <c r="T61" s="143" t="str">
        <f t="shared" si="45"/>
        <v>***</v>
      </c>
      <c r="U61" s="143" t="str">
        <f t="shared" si="45"/>
        <v>*</v>
      </c>
      <c r="V61" s="143" t="str">
        <f t="shared" si="45"/>
        <v>***</v>
      </c>
    </row>
    <row r="63" spans="1:22" x14ac:dyDescent="0.35">
      <c r="A63" s="2" t="s">
        <v>39</v>
      </c>
    </row>
    <row r="64" spans="1:22" x14ac:dyDescent="0.35">
      <c r="A64" s="1" t="s">
        <v>23</v>
      </c>
      <c r="B64" s="1">
        <f>B46+(3*B47)</f>
        <v>0.26471592660168153</v>
      </c>
    </row>
    <row r="65" spans="1:22" x14ac:dyDescent="0.35">
      <c r="A65" s="1" t="s">
        <v>24</v>
      </c>
      <c r="B65" s="1">
        <f>B46+(10*B47)</f>
        <v>0.5868963474512473</v>
      </c>
    </row>
    <row r="66" spans="1:22" ht="15" thickBot="1" x14ac:dyDescent="0.4"/>
    <row r="67" spans="1:22" ht="26.5" thickBot="1" x14ac:dyDescent="0.65">
      <c r="A67" s="218" t="s">
        <v>45</v>
      </c>
      <c r="B67" s="219"/>
      <c r="C67" s="219"/>
      <c r="D67" s="219"/>
      <c r="E67" s="219"/>
      <c r="F67" s="219"/>
      <c r="G67" s="219"/>
      <c r="H67" s="219"/>
      <c r="I67" s="219"/>
      <c r="J67" s="219"/>
      <c r="K67" s="219"/>
      <c r="L67" s="219"/>
      <c r="M67" s="219"/>
      <c r="N67" s="219"/>
      <c r="O67" s="219"/>
      <c r="P67" s="219"/>
      <c r="Q67" s="219"/>
      <c r="R67" s="219"/>
      <c r="S67" s="219"/>
      <c r="T67" s="219"/>
      <c r="U67" s="219"/>
      <c r="V67" s="219"/>
    </row>
    <row r="68" spans="1:22" ht="16.5" x14ac:dyDescent="0.35">
      <c r="A68" s="12"/>
      <c r="B68" s="12"/>
      <c r="C68" s="12"/>
      <c r="D68" s="12"/>
      <c r="E68" s="12"/>
      <c r="F68" s="12"/>
      <c r="N68" s="12"/>
      <c r="O68" s="12"/>
      <c r="P68" s="12"/>
      <c r="Q68" s="12"/>
      <c r="R68" s="12"/>
      <c r="S68" s="12"/>
      <c r="T68" s="12"/>
      <c r="U68" s="12"/>
      <c r="V68" s="12"/>
    </row>
    <row r="69" spans="1:22" ht="16.5" x14ac:dyDescent="0.35">
      <c r="A69" s="12"/>
      <c r="B69" s="12"/>
      <c r="C69" s="12"/>
      <c r="D69" s="12"/>
      <c r="E69" s="12"/>
      <c r="F69" s="12"/>
      <c r="N69" s="12"/>
      <c r="O69" s="12"/>
      <c r="P69" s="12"/>
      <c r="Q69" s="12"/>
      <c r="R69" s="12"/>
      <c r="S69" s="12"/>
      <c r="T69" s="12"/>
      <c r="U69" s="12"/>
      <c r="V69" s="12"/>
    </row>
    <row r="70" spans="1:22" ht="16.5" x14ac:dyDescent="0.35">
      <c r="A70" s="12"/>
      <c r="B70" s="12"/>
      <c r="C70" s="12"/>
      <c r="D70" s="12"/>
      <c r="E70" s="12"/>
      <c r="F70" s="12"/>
      <c r="N70" s="12"/>
      <c r="O70" s="12"/>
      <c r="P70" s="12"/>
      <c r="Q70" s="12"/>
      <c r="R70" s="12"/>
      <c r="S70" s="12"/>
      <c r="T70" s="12"/>
      <c r="U70" s="12"/>
      <c r="V70" s="12"/>
    </row>
    <row r="71" spans="1:22" ht="16.5" x14ac:dyDescent="0.35">
      <c r="A71" s="12"/>
      <c r="B71" s="12"/>
      <c r="C71" s="12"/>
      <c r="D71" s="12"/>
      <c r="E71" s="12"/>
      <c r="F71" s="12"/>
      <c r="N71" s="12"/>
      <c r="O71" s="12"/>
      <c r="P71" s="12"/>
      <c r="Q71" s="12"/>
      <c r="R71" s="12"/>
      <c r="S71" s="12"/>
      <c r="T71" s="12"/>
      <c r="U71" s="12"/>
      <c r="V71" s="12"/>
    </row>
    <row r="72" spans="1:22" ht="16.5" x14ac:dyDescent="0.35">
      <c r="A72" s="12"/>
      <c r="B72" s="12"/>
      <c r="C72" s="12"/>
      <c r="D72" s="12"/>
      <c r="E72" s="12"/>
      <c r="F72" s="12"/>
      <c r="N72" s="12"/>
      <c r="O72" s="12"/>
      <c r="P72" s="12"/>
      <c r="Q72" s="12"/>
      <c r="R72" s="12"/>
      <c r="S72" s="12"/>
      <c r="T72" s="12"/>
      <c r="U72" s="12"/>
      <c r="V72" s="12"/>
    </row>
    <row r="73" spans="1:22" ht="16.5" x14ac:dyDescent="0.35">
      <c r="A73" s="12"/>
      <c r="B73" s="12"/>
      <c r="C73" s="12"/>
      <c r="D73" s="12"/>
      <c r="E73" s="12"/>
      <c r="F73" s="12"/>
      <c r="N73" s="12"/>
      <c r="O73" s="12"/>
      <c r="P73" s="12"/>
      <c r="Q73" s="12"/>
      <c r="R73" s="12"/>
      <c r="S73" s="12"/>
      <c r="T73" s="12"/>
      <c r="U73" s="12"/>
      <c r="V73" s="12"/>
    </row>
    <row r="74" spans="1:22" ht="16.5" x14ac:dyDescent="0.35">
      <c r="A74" s="12"/>
      <c r="B74" s="12"/>
      <c r="C74" s="12"/>
      <c r="D74" s="12"/>
      <c r="E74" s="12"/>
      <c r="F74" s="12"/>
      <c r="N74" s="12"/>
      <c r="O74" s="12"/>
      <c r="P74" s="12"/>
      <c r="Q74" s="12"/>
      <c r="R74" s="12"/>
      <c r="S74" s="12"/>
      <c r="T74" s="12"/>
      <c r="U74" s="12"/>
      <c r="V74" s="12"/>
    </row>
  </sheetData>
  <protectedRanges>
    <protectedRange sqref="O51:V51" name="Plage2"/>
    <protectedRange sqref="R5:V20" name="Plage1"/>
    <protectedRange sqref="B51:J51" name="Plage2_1"/>
    <protectedRange sqref="O5:O20 B5:J20" name="Plage1_1"/>
  </protectedRanges>
  <mergeCells count="9">
    <mergeCell ref="A28:A43"/>
    <mergeCell ref="A50:V50"/>
    <mergeCell ref="A67:V67"/>
    <mergeCell ref="A1:V1"/>
    <mergeCell ref="B3:M3"/>
    <mergeCell ref="O3:V3"/>
    <mergeCell ref="A5:A20"/>
    <mergeCell ref="B26:M26"/>
    <mergeCell ref="O26:V26"/>
  </mergeCells>
  <pageMargins left="0.7" right="0.7" top="0.75" bottom="0.75" header="0.3" footer="0.3"/>
  <pageSetup paperSize="9" scale="21" orientation="landscape" r:id="rId1"/>
  <headerFooter>
    <oddHeader>&amp;C&amp;"-,Gras"&amp;14Données brutes et normalisées R1&amp;R&amp;"-,Gras"&amp;14Page : &amp;P/&amp;P</oddHeader>
  </headerFooter>
  <colBreaks count="1" manualBreakCount="1">
    <brk id="14" max="1048575" man="1"/>
  </colBreaks>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Y112"/>
  <sheetViews>
    <sheetView showGridLines="0" tabSelected="1" topLeftCell="E73" zoomScale="70" zoomScaleNormal="70" workbookViewId="0">
      <selection activeCell="B94" sqref="B94:V94"/>
    </sheetView>
  </sheetViews>
  <sheetFormatPr baseColWidth="10" defaultRowHeight="14.5" x14ac:dyDescent="0.35"/>
  <cols>
    <col min="1" max="1" width="42.81640625" customWidth="1"/>
    <col min="2" max="2" width="14" bestFit="1" customWidth="1"/>
    <col min="3" max="13" width="22.7265625" bestFit="1" customWidth="1"/>
    <col min="14" max="14" width="8.453125" customWidth="1"/>
    <col min="15" max="15" width="22.7265625" customWidth="1"/>
    <col min="18" max="22" width="29.1796875" customWidth="1"/>
  </cols>
  <sheetData>
    <row r="1" spans="1:22" s="1" customFormat="1" ht="21.5" thickBot="1" x14ac:dyDescent="0.4">
      <c r="A1" s="37" t="s">
        <v>8</v>
      </c>
      <c r="B1" s="55" t="e">
        <f>'Page de garde'!#REF!</f>
        <v>#REF!</v>
      </c>
      <c r="C1" s="38"/>
      <c r="D1" s="38"/>
      <c r="E1" s="38"/>
      <c r="F1" s="38"/>
      <c r="G1" s="38"/>
      <c r="H1" s="56"/>
      <c r="I1" s="55"/>
      <c r="J1" s="57"/>
      <c r="K1" s="57"/>
      <c r="L1" s="57"/>
      <c r="M1" s="57"/>
      <c r="N1" s="57"/>
      <c r="O1" s="57"/>
      <c r="P1" s="57"/>
      <c r="Q1" s="57"/>
      <c r="R1" s="57"/>
      <c r="S1" s="57"/>
      <c r="T1" s="57"/>
      <c r="U1" s="57"/>
      <c r="V1" s="57"/>
    </row>
    <row r="2" spans="1:22" ht="15" thickBot="1" x14ac:dyDescent="0.4">
      <c r="A2" s="1"/>
      <c r="B2" s="1"/>
      <c r="C2" s="1"/>
      <c r="D2" s="1"/>
      <c r="E2" s="1"/>
      <c r="F2" s="1"/>
      <c r="G2" s="1"/>
      <c r="H2" s="1"/>
      <c r="I2" s="1"/>
      <c r="J2" s="1"/>
      <c r="K2" s="1"/>
      <c r="L2" s="1"/>
      <c r="M2" s="1"/>
    </row>
    <row r="3" spans="1:22" s="33" customFormat="1" ht="15" thickBot="1" x14ac:dyDescent="0.4">
      <c r="B3" s="224" t="s">
        <v>6</v>
      </c>
      <c r="C3" s="225"/>
      <c r="D3" s="225"/>
      <c r="E3" s="225"/>
      <c r="F3" s="225"/>
      <c r="G3" s="225"/>
      <c r="H3" s="225"/>
      <c r="I3" s="225"/>
      <c r="J3" s="225"/>
      <c r="K3" s="225"/>
      <c r="L3" s="225"/>
      <c r="M3" s="225"/>
      <c r="N3" s="72"/>
      <c r="O3" s="224" t="s">
        <v>3</v>
      </c>
      <c r="P3" s="225"/>
      <c r="Q3" s="225"/>
      <c r="R3" s="225"/>
      <c r="S3" s="225"/>
      <c r="T3" s="225"/>
      <c r="U3" s="225"/>
      <c r="V3" s="225"/>
    </row>
    <row r="4" spans="1:22" x14ac:dyDescent="0.35">
      <c r="A4" s="34" t="s">
        <v>41</v>
      </c>
      <c r="B4" s="35" t="str">
        <f>'R1'!B4</f>
        <v>Témoin solvant</v>
      </c>
      <c r="C4" s="35" t="str">
        <f>'R1'!C4</f>
        <v>EE2-33,8ng/L</v>
      </c>
      <c r="D4" s="35" t="str">
        <f>'R1'!D4</f>
        <v>EE2-50,6ng/L</v>
      </c>
      <c r="E4" s="35" t="str">
        <f>'R1'!E4</f>
        <v>EE2-76ng/L</v>
      </c>
      <c r="F4" s="35" t="str">
        <f>'R1'!F4</f>
        <v>EE2-114ng/L</v>
      </c>
      <c r="G4" s="35" t="str">
        <f>'R1'!G4</f>
        <v>EE2-170,9ng/L</v>
      </c>
      <c r="H4" s="35" t="str">
        <f>'R1'!H4</f>
        <v>EE2-488ng/L</v>
      </c>
      <c r="I4" s="35" t="str">
        <f>'R1'!I4</f>
        <v>FAD-5.4µg/L</v>
      </c>
      <c r="J4" s="35" t="str">
        <f>'R1'!J4</f>
        <v>FAD-11µg/L</v>
      </c>
      <c r="K4" s="35" t="str">
        <f>'R1'!K4</f>
        <v>FAD-22µg/L</v>
      </c>
      <c r="L4" s="35" t="str">
        <f>'R1'!L4</f>
        <v>FAD-44µg/L</v>
      </c>
      <c r="M4" s="35" t="str">
        <f>'R1'!M4</f>
        <v>FAD-87µg/L</v>
      </c>
      <c r="O4" s="35" t="str">
        <f>'R1'!O4</f>
        <v>Testo -30µg/L</v>
      </c>
      <c r="P4" s="35" t="str">
        <f>'R1'!P4</f>
        <v>Testo 30µg/L + EE2 -64ng/L</v>
      </c>
      <c r="Q4" s="35" t="str">
        <f>'R1'!Q4</f>
        <v>Testo 30µg/L + FAD-10mg/L</v>
      </c>
      <c r="R4" s="35" t="str">
        <f>'R1'!R4</f>
        <v>FAD-5,4µg/L + Testostérone</v>
      </c>
      <c r="S4" s="35" t="str">
        <f>'R1'!S4</f>
        <v>FAD-11µg/L + Testostérone</v>
      </c>
      <c r="T4" s="35" t="str">
        <f>'R1'!T4</f>
        <v>FAD-22µg/L + Testostérone</v>
      </c>
      <c r="U4" s="35" t="str">
        <f>'R1'!U4</f>
        <v>FAD-44µg/L + Testostérone</v>
      </c>
      <c r="V4" s="35" t="str">
        <f>'R1'!V4</f>
        <v>FAD-87µg/L + Testostérone</v>
      </c>
    </row>
    <row r="5" spans="1:22" s="1" customFormat="1" x14ac:dyDescent="0.35">
      <c r="A5" s="34"/>
      <c r="B5" s="35"/>
      <c r="C5" s="196" t="s">
        <v>165</v>
      </c>
      <c r="D5" s="35"/>
      <c r="E5" s="35"/>
      <c r="F5" s="35"/>
      <c r="G5" s="35"/>
      <c r="H5" s="35"/>
      <c r="I5" s="35"/>
      <c r="J5" s="35"/>
      <c r="K5" s="35"/>
      <c r="L5" s="35"/>
      <c r="M5" s="35"/>
      <c r="O5" s="35"/>
      <c r="P5" s="35"/>
      <c r="Q5" s="35"/>
      <c r="R5" s="35"/>
      <c r="S5" s="35"/>
      <c r="T5" s="35"/>
      <c r="U5" s="35"/>
      <c r="V5" s="35"/>
    </row>
    <row r="6" spans="1:22" s="1" customFormat="1" x14ac:dyDescent="0.35">
      <c r="A6" s="71" t="s">
        <v>4</v>
      </c>
      <c r="B6" s="53" t="str">
        <f>'R1'!B28</f>
        <v/>
      </c>
      <c r="C6" s="53">
        <f>'R1'!C28</f>
        <v>5.3698171345605727E-2</v>
      </c>
      <c r="D6" s="53">
        <f>'R1'!D28</f>
        <v>0.10625810498335699</v>
      </c>
      <c r="E6" s="53">
        <f>'R1'!E28</f>
        <v>0.15911688753043685</v>
      </c>
      <c r="F6" s="53">
        <f>'R1'!F28</f>
        <v>0.48458435816733281</v>
      </c>
      <c r="G6" s="53">
        <f>'R1'!G28</f>
        <v>1.2088998605756596</v>
      </c>
      <c r="H6" s="53">
        <f>'R1'!H28</f>
        <v>2.3685926110909943</v>
      </c>
      <c r="I6" s="53">
        <f>'R1'!I28</f>
        <v>6.6236955540045243E-3</v>
      </c>
      <c r="J6" s="53">
        <f>'R1'!J28</f>
        <v>0.12445476713566178</v>
      </c>
      <c r="K6" s="53" t="str">
        <f>'R1'!K28</f>
        <v/>
      </c>
      <c r="L6" s="53">
        <f>'R1'!L28</f>
        <v>2.8414872263604347E-2</v>
      </c>
      <c r="M6" s="53">
        <f>'R1'!M28</f>
        <v>9.4693276765741408E-2</v>
      </c>
      <c r="N6"/>
      <c r="O6" s="53">
        <f>'R1'!O28</f>
        <v>0.41121553144215744</v>
      </c>
      <c r="P6" s="53">
        <f>'R1'!P28</f>
        <v>2.2276479705708079</v>
      </c>
      <c r="Q6" s="53">
        <f>'R1'!Q28</f>
        <v>3.3888406435727984E-2</v>
      </c>
      <c r="R6" s="53">
        <f>'R1'!R28</f>
        <v>0.12298531626040701</v>
      </c>
      <c r="S6" s="53">
        <f>'R1'!S28</f>
        <v>0.13956887565513887</v>
      </c>
      <c r="T6" s="53">
        <f>'R1'!T28</f>
        <v>6.3531322491719056E-2</v>
      </c>
      <c r="U6" s="53">
        <f>'R1'!U28</f>
        <v>0.12574848576752731</v>
      </c>
      <c r="V6" s="53">
        <f>'R1'!V28</f>
        <v>0.15368025996839496</v>
      </c>
    </row>
    <row r="7" spans="1:22" s="1" customFormat="1" x14ac:dyDescent="0.35">
      <c r="A7" s="228" t="s">
        <v>34</v>
      </c>
      <c r="B7" s="53">
        <f>'R1'!B29</f>
        <v>0.15599742728752738</v>
      </c>
      <c r="C7" s="53">
        <f>'R1'!C29</f>
        <v>0.1239882297312951</v>
      </c>
      <c r="D7" s="53">
        <f>'R1'!D29</f>
        <v>0.76358735303464542</v>
      </c>
      <c r="E7" s="53">
        <f>'R1'!E29</f>
        <v>0.23362338416946543</v>
      </c>
      <c r="F7" s="53">
        <f>'R1'!F29</f>
        <v>1.2847452154696537</v>
      </c>
      <c r="G7" s="53">
        <f>'R1'!G29</f>
        <v>1.3792047503715441</v>
      </c>
      <c r="H7" s="53">
        <f>'R1'!H29</f>
        <v>1.9887435343956454</v>
      </c>
      <c r="I7" s="53">
        <f>'R1'!I29</f>
        <v>5.2576399663787729E-2</v>
      </c>
      <c r="J7" s="53">
        <f>'R1'!J29</f>
        <v>0.10217642317298291</v>
      </c>
      <c r="K7" s="53">
        <f>'R1'!K29</f>
        <v>6.2237793124520609E-2</v>
      </c>
      <c r="L7" s="53">
        <f>'R1'!L29</f>
        <v>7.5014483005487076E-2</v>
      </c>
      <c r="M7" s="53">
        <f>'R1'!M29</f>
        <v>7.4527126487740944E-2</v>
      </c>
      <c r="N7"/>
      <c r="O7" s="53">
        <f>'R1'!O29</f>
        <v>1.1280929324340092</v>
      </c>
      <c r="P7" s="53">
        <f>'R1'!P29</f>
        <v>2.2217694100111207</v>
      </c>
      <c r="Q7" s="53">
        <f>'R1'!Q29</f>
        <v>5.3652937090172208E-2</v>
      </c>
      <c r="R7" s="53">
        <f>'R1'!R29</f>
        <v>0.15343875825319339</v>
      </c>
      <c r="S7" s="53">
        <f>'R1'!S29</f>
        <v>0.26097799576805469</v>
      </c>
      <c r="T7" s="53">
        <f>'R1'!T29</f>
        <v>0.19347580592854033</v>
      </c>
      <c r="U7" s="53">
        <f>'R1'!U29</f>
        <v>0.13377643051897553</v>
      </c>
      <c r="V7" s="53">
        <f>'R1'!V29</f>
        <v>4.3054304998030035E-2</v>
      </c>
    </row>
    <row r="8" spans="1:22" s="1" customFormat="1" x14ac:dyDescent="0.35">
      <c r="A8" s="229"/>
      <c r="B8" s="53">
        <f>'R1'!B30</f>
        <v>0.1417961422574055</v>
      </c>
      <c r="C8" s="53">
        <f>'R1'!C30</f>
        <v>7.8485975529176272E-2</v>
      </c>
      <c r="D8" s="53">
        <f>'R1'!D30</f>
        <v>4.4757308472468789E-2</v>
      </c>
      <c r="E8" s="53">
        <f>'R1'!E30</f>
        <v>0.57603931647923479</v>
      </c>
      <c r="F8" s="53">
        <f>'R1'!F30</f>
        <v>0.56751199690368059</v>
      </c>
      <c r="G8" s="53">
        <f>'R1'!G30</f>
        <v>1.9532584912283808</v>
      </c>
      <c r="H8" s="53">
        <f>'R1'!H30</f>
        <v>2.2093673695386506</v>
      </c>
      <c r="I8" s="53">
        <f>'R1'!I30</f>
        <v>0.26626321159642785</v>
      </c>
      <c r="J8" s="53">
        <f>'R1'!J30</f>
        <v>0.2067193171108741</v>
      </c>
      <c r="K8" s="53">
        <f>'R1'!K30</f>
        <v>0.11758956986645568</v>
      </c>
      <c r="L8" s="53">
        <f>'R1'!L30</f>
        <v>9.3211145157791872E-2</v>
      </c>
      <c r="M8" s="53">
        <f>'R1'!M30</f>
        <v>0.12779926306773637</v>
      </c>
      <c r="N8"/>
      <c r="O8" s="53">
        <f>'R1'!O30</f>
        <v>1.9112360571953031</v>
      </c>
      <c r="P8" s="53">
        <f>'R1'!P30</f>
        <v>2.5458243984375546</v>
      </c>
      <c r="Q8" s="53">
        <f>'R1'!Q30</f>
        <v>3.3626464136481127E-2</v>
      </c>
      <c r="R8" s="53">
        <f>'R1'!R30</f>
        <v>1.2330403795977963E-2</v>
      </c>
      <c r="S8" s="53">
        <f>'R1'!S30</f>
        <v>8.27065776051914E-2</v>
      </c>
      <c r="T8" s="53">
        <f>'R1'!T30</f>
        <v>3.3839197622285655E-2</v>
      </c>
      <c r="U8" s="53">
        <f>'R1'!U30</f>
        <v>2.1181176687582032E-2</v>
      </c>
      <c r="V8" s="53">
        <f>'R1'!V30</f>
        <v>0.2433627546730377</v>
      </c>
    </row>
    <row r="9" spans="1:22" s="1" customFormat="1" x14ac:dyDescent="0.35">
      <c r="A9" s="229"/>
      <c r="B9" s="53">
        <f>'R1'!B31</f>
        <v>8.2767899357327215E-2</v>
      </c>
      <c r="C9" s="53">
        <f>'R1'!C31</f>
        <v>9.7493258250609907E-2</v>
      </c>
      <c r="D9" s="53">
        <f>'R1'!D31</f>
        <v>0.10889853635387209</v>
      </c>
      <c r="E9" s="53">
        <f>'R1'!E31</f>
        <v>0.39565930066036781</v>
      </c>
      <c r="F9" s="53">
        <f>'R1'!F31</f>
        <v>1.9853988491989036</v>
      </c>
      <c r="G9" s="53">
        <f>'R1'!G31</f>
        <v>2.0227218415482389</v>
      </c>
      <c r="H9" s="53">
        <f>'R1'!H31</f>
        <v>2.1338309892136742</v>
      </c>
      <c r="I9" s="53">
        <f>'R1'!I31</f>
        <v>4.2184255323436254E-3</v>
      </c>
      <c r="J9" s="53">
        <f>'R1'!J31</f>
        <v>0</v>
      </c>
      <c r="K9" s="53">
        <f>'R1'!K31</f>
        <v>4.6595257654539764E-2</v>
      </c>
      <c r="L9" s="53">
        <f>'R1'!L31</f>
        <v>7.7482872793621121E-2</v>
      </c>
      <c r="M9" s="53">
        <f>'R1'!M31</f>
        <v>8.8462305395940077E-2</v>
      </c>
      <c r="N9"/>
      <c r="O9" s="53">
        <f>'R1'!O31</f>
        <v>0.96441154892746217</v>
      </c>
      <c r="P9" s="53">
        <f>'R1'!P31</f>
        <v>1.2519028748489094</v>
      </c>
      <c r="Q9" s="53">
        <f>'R1'!Q31</f>
        <v>0.10156244859295631</v>
      </c>
      <c r="R9" s="53">
        <f>'R1'!R31</f>
        <v>0.1104705686786874</v>
      </c>
      <c r="S9" s="53">
        <f>'R1'!S31</f>
        <v>6.7055903754525845E-2</v>
      </c>
      <c r="T9" s="53">
        <f>'R1'!T31</f>
        <v>0.11631032998162222</v>
      </c>
      <c r="U9" s="53">
        <f>'R1'!U31</f>
        <v>0.16950694995945037</v>
      </c>
      <c r="V9" s="53">
        <f>'R1'!V31</f>
        <v>6.2450337345658059E-2</v>
      </c>
    </row>
    <row r="10" spans="1:22" s="1" customFormat="1" x14ac:dyDescent="0.35">
      <c r="A10" s="229"/>
      <c r="B10" s="53">
        <f>'R1'!B32</f>
        <v>1.3546240017337655E-2</v>
      </c>
      <c r="C10" s="53">
        <f>'R1'!C32</f>
        <v>0.14778125882466225</v>
      </c>
      <c r="D10" s="53">
        <f>'R1'!D32</f>
        <v>3.2353091456327331E-2</v>
      </c>
      <c r="E10" s="53">
        <f>'R1'!E32</f>
        <v>0.45398347899888658</v>
      </c>
      <c r="F10" s="53">
        <f>'R1'!F32</f>
        <v>0.85948397455371883</v>
      </c>
      <c r="G10" s="53">
        <f>'R1'!G32</f>
        <v>1.55392726676188</v>
      </c>
      <c r="H10" s="53">
        <f>'R1'!H32</f>
        <v>2.8172660805901191</v>
      </c>
      <c r="I10" s="53">
        <f>'R1'!I32</f>
        <v>0.12699697014395933</v>
      </c>
      <c r="J10" s="53">
        <f>'R1'!J32</f>
        <v>3.6614763965100078E-2</v>
      </c>
      <c r="K10" s="53">
        <f>'R1'!K32</f>
        <v>0.12759883178529241</v>
      </c>
      <c r="L10" s="53">
        <f>'R1'!L32</f>
        <v>1.3845278191333342E-2</v>
      </c>
      <c r="M10" s="53">
        <f>'R1'!M32</f>
        <v>8.6484962786560357E-2</v>
      </c>
      <c r="N10"/>
      <c r="O10" s="53">
        <f>'R1'!O32</f>
        <v>0.1094265847750417</v>
      </c>
      <c r="P10" s="53">
        <f>'R1'!P32</f>
        <v>2.670242448227802</v>
      </c>
      <c r="Q10" s="53">
        <f>'R1'!Q32</f>
        <v>8.6706118550050199E-2</v>
      </c>
      <c r="R10" s="53">
        <f>'R1'!R32</f>
        <v>8.2399590315178101E-2</v>
      </c>
      <c r="S10" s="53">
        <f>'R1'!S32</f>
        <v>0.18570194899265491</v>
      </c>
      <c r="T10" s="53">
        <f>'R1'!T32</f>
        <v>8.4974536110881502E-2</v>
      </c>
      <c r="U10" s="53">
        <f>'R1'!U32</f>
        <v>0.12055941639003376</v>
      </c>
      <c r="V10" s="53" t="str">
        <f>'R1'!V32</f>
        <v/>
      </c>
    </row>
    <row r="11" spans="1:22" s="1" customFormat="1" x14ac:dyDescent="0.35">
      <c r="A11" s="229"/>
      <c r="B11" s="53">
        <f>'R1'!B33</f>
        <v>3.4723442146910879E-2</v>
      </c>
      <c r="C11" s="53">
        <f>'R1'!C33</f>
        <v>0.12213778908119645</v>
      </c>
      <c r="D11" s="53" t="str">
        <f>'R1'!D33</f>
        <v/>
      </c>
      <c r="E11" s="53">
        <f>'R1'!E33</f>
        <v>9.2588842932413498E-2</v>
      </c>
      <c r="F11" s="53">
        <f>'R1'!F33</f>
        <v>1.1539286950792342</v>
      </c>
      <c r="G11" s="53">
        <f>'R1'!G33</f>
        <v>2.3314581263500762</v>
      </c>
      <c r="H11" s="53">
        <f>'R1'!H33</f>
        <v>2.7923147517341866</v>
      </c>
      <c r="I11" s="53">
        <f>'R1'!I33</f>
        <v>2.8370773596173337E-3</v>
      </c>
      <c r="J11" s="53">
        <f>'R1'!J33</f>
        <v>0.18398058684550883</v>
      </c>
      <c r="K11" s="53">
        <f>'R1'!K33</f>
        <v>2.3461437396632711E-2</v>
      </c>
      <c r="L11" s="53">
        <f>'R1'!L33</f>
        <v>0.14819044903490194</v>
      </c>
      <c r="M11" s="53">
        <f>'R1'!M33</f>
        <v>6.5575948690247812E-2</v>
      </c>
      <c r="N11"/>
      <c r="O11" s="53">
        <f>'R1'!O33</f>
        <v>0.78150163230365799</v>
      </c>
      <c r="P11" s="53">
        <f>'R1'!P33</f>
        <v>1.8542528190230876</v>
      </c>
      <c r="Q11" s="53">
        <f>'R1'!Q33</f>
        <v>0.15124461296766675</v>
      </c>
      <c r="R11" s="53">
        <f>'R1'!R33</f>
        <v>7.937419461181032E-2</v>
      </c>
      <c r="S11" s="53">
        <f>'R1'!S33</f>
        <v>8.8309001015600519E-2</v>
      </c>
      <c r="T11" s="53">
        <f>'R1'!T33</f>
        <v>0</v>
      </c>
      <c r="U11" s="53">
        <f>'R1'!U33</f>
        <v>5.3982446875568725E-2</v>
      </c>
      <c r="V11" s="53">
        <f>'R1'!V33</f>
        <v>7.2613471438835619E-2</v>
      </c>
    </row>
    <row r="12" spans="1:22" s="1" customFormat="1" x14ac:dyDescent="0.35">
      <c r="A12" s="229"/>
      <c r="B12" s="53">
        <f>'R1'!B34</f>
        <v>2.4982936055336095E-4</v>
      </c>
      <c r="C12" s="53">
        <f>'R1'!C34</f>
        <v>4.8585186364280691E-2</v>
      </c>
      <c r="D12" s="53">
        <f>'R1'!D34</f>
        <v>8.2051343327740084E-2</v>
      </c>
      <c r="E12" s="53">
        <f>'R1'!E34</f>
        <v>0.56454811221711565</v>
      </c>
      <c r="F12" s="53">
        <f>'R1'!F34</f>
        <v>1.3477648609339061</v>
      </c>
      <c r="G12" s="53">
        <f>'R1'!G34</f>
        <v>2.1249927077900979</v>
      </c>
      <c r="H12" s="53">
        <f>'R1'!H34</f>
        <v>2.342805867994544</v>
      </c>
      <c r="I12" s="53">
        <f>'R1'!I34</f>
        <v>0.16146869028364597</v>
      </c>
      <c r="J12" s="53">
        <f>'R1'!J34</f>
        <v>6.8767234874316366E-2</v>
      </c>
      <c r="K12" s="53">
        <f>'R1'!K34</f>
        <v>6.6147054823179452E-2</v>
      </c>
      <c r="L12" s="53">
        <f>'R1'!L34</f>
        <v>6.4648835718527642E-2</v>
      </c>
      <c r="M12" s="53">
        <f>'R1'!M34</f>
        <v>0.10628668394808696</v>
      </c>
      <c r="N12"/>
      <c r="O12" s="53">
        <f>'R1'!O34</f>
        <v>0.97535407491969939</v>
      </c>
      <c r="P12" s="53">
        <f>'R1'!P34</f>
        <v>2.7262984787959637</v>
      </c>
      <c r="Q12" s="53">
        <f>'R1'!Q34</f>
        <v>4.0282713213224422E-2</v>
      </c>
      <c r="R12" s="53">
        <f>'R1'!R34</f>
        <v>0.14014830943342227</v>
      </c>
      <c r="S12" s="53">
        <f>'R1'!S34</f>
        <v>0.26497772597758057</v>
      </c>
      <c r="T12" s="53">
        <f>'R1'!T34</f>
        <v>0.14274568309217536</v>
      </c>
      <c r="U12" s="53">
        <f>'R1'!U34</f>
        <v>0.18536600420857746</v>
      </c>
      <c r="V12" s="53">
        <f>'R1'!V34</f>
        <v>0.18013633755999398</v>
      </c>
    </row>
    <row r="13" spans="1:22" s="1" customFormat="1" x14ac:dyDescent="0.35">
      <c r="A13" s="229"/>
      <c r="B13" s="53">
        <f>'R1'!B35</f>
        <v>0.10764995734510655</v>
      </c>
      <c r="C13" s="53">
        <f>'R1'!C35</f>
        <v>0.11498169201867935</v>
      </c>
      <c r="D13" s="53">
        <f>'R1'!D35</f>
        <v>3.4723442146910879E-2</v>
      </c>
      <c r="E13" s="53">
        <f>'R1'!E35</f>
        <v>4.2462758281053122E-2</v>
      </c>
      <c r="F13" s="53">
        <f>'R1'!F35</f>
        <v>1.5241207314011931</v>
      </c>
      <c r="G13" s="53" t="str">
        <f>'R1'!G35</f>
        <v/>
      </c>
      <c r="H13" s="53">
        <f>'R1'!H35</f>
        <v>1.173099691737697</v>
      </c>
      <c r="I13" s="53" t="str">
        <f>'R1'!I35</f>
        <v/>
      </c>
      <c r="J13" s="53">
        <f>'R1'!J35</f>
        <v>4.4290771068102093E-2</v>
      </c>
      <c r="K13" s="53">
        <f>'R1'!K35</f>
        <v>0.12269630911376687</v>
      </c>
      <c r="L13" s="53">
        <f>'R1'!L35</f>
        <v>2.7993190585337006E-2</v>
      </c>
      <c r="M13" s="53">
        <f>'R1'!M35</f>
        <v>0.12853625968136878</v>
      </c>
      <c r="N13"/>
      <c r="O13" s="53" t="str">
        <f>'R1'!O35</f>
        <v/>
      </c>
      <c r="P13" s="53">
        <f>'R1'!P35</f>
        <v>1.3829550297498507</v>
      </c>
      <c r="Q13" s="53">
        <f>'R1'!Q35</f>
        <v>7.8170849858478289E-2</v>
      </c>
      <c r="R13" s="53">
        <f>'R1'!R35</f>
        <v>4.404889082356634E-2</v>
      </c>
      <c r="S13" s="53">
        <f>'R1'!S35</f>
        <v>0.23614931041639359</v>
      </c>
      <c r="T13" s="53">
        <f>'R1'!T35</f>
        <v>0.20743133078845119</v>
      </c>
      <c r="U13" s="53">
        <f>'R1'!U35</f>
        <v>4.8470681240693732E-3</v>
      </c>
      <c r="V13" s="53">
        <f>'R1'!V35</f>
        <v>4.3893504531888825E-2</v>
      </c>
    </row>
    <row r="14" spans="1:22" s="1" customFormat="1" x14ac:dyDescent="0.35">
      <c r="A14" s="229"/>
      <c r="B14" s="53" t="str">
        <f>'R1'!B36</f>
        <v/>
      </c>
      <c r="C14" s="53" t="str">
        <f>'R1'!C36</f>
        <v/>
      </c>
      <c r="D14" s="53" t="str">
        <f>'R1'!D36</f>
        <v/>
      </c>
      <c r="E14" s="53" t="str">
        <f>'R1'!E36</f>
        <v/>
      </c>
      <c r="F14" s="53" t="str">
        <f>'R1'!F36</f>
        <v/>
      </c>
      <c r="G14" s="53" t="str">
        <f>'R1'!G36</f>
        <v/>
      </c>
      <c r="H14" s="53" t="str">
        <f>'R1'!H36</f>
        <v/>
      </c>
      <c r="I14" s="53" t="str">
        <f>'R1'!I36</f>
        <v/>
      </c>
      <c r="J14" s="53" t="str">
        <f>'R1'!J36</f>
        <v/>
      </c>
      <c r="K14" s="53" t="str">
        <f>'R1'!K36</f>
        <v/>
      </c>
      <c r="L14" s="53" t="str">
        <f>'R1'!L36</f>
        <v/>
      </c>
      <c r="M14" s="53" t="str">
        <f>'R1'!M36</f>
        <v/>
      </c>
      <c r="N14"/>
      <c r="O14" s="53">
        <f>'R1'!O36</f>
        <v>1.5442414581590931</v>
      </c>
      <c r="P14" s="53" t="str">
        <f>'R1'!P36</f>
        <v/>
      </c>
      <c r="Q14" s="53" t="str">
        <f>'R1'!Q36</f>
        <v/>
      </c>
      <c r="R14" s="53" t="str">
        <f>'R1'!R36</f>
        <v/>
      </c>
      <c r="S14" s="53" t="str">
        <f>'R1'!S36</f>
        <v/>
      </c>
      <c r="T14" s="53" t="str">
        <f>'R1'!T36</f>
        <v/>
      </c>
      <c r="U14" s="53" t="str">
        <f>'R1'!U36</f>
        <v/>
      </c>
      <c r="V14" s="53" t="str">
        <f>'R1'!V36</f>
        <v/>
      </c>
    </row>
    <row r="15" spans="1:22" s="1" customFormat="1" x14ac:dyDescent="0.35">
      <c r="A15" s="229"/>
      <c r="B15" s="53" t="str">
        <f>'R1'!B37</f>
        <v/>
      </c>
      <c r="C15" s="53" t="str">
        <f>'R1'!C37</f>
        <v/>
      </c>
      <c r="D15" s="53" t="str">
        <f>'R1'!D37</f>
        <v/>
      </c>
      <c r="E15" s="53" t="str">
        <f>'R1'!E37</f>
        <v/>
      </c>
      <c r="F15" s="53" t="str">
        <f>'R1'!F37</f>
        <v/>
      </c>
      <c r="G15" s="53" t="str">
        <f>'R1'!G37</f>
        <v/>
      </c>
      <c r="H15" s="53" t="str">
        <f>'R1'!H37</f>
        <v/>
      </c>
      <c r="I15" s="53" t="str">
        <f>'R1'!I37</f>
        <v/>
      </c>
      <c r="J15" s="53" t="str">
        <f>'R1'!J37</f>
        <v/>
      </c>
      <c r="K15" s="53" t="str">
        <f>'R1'!K37</f>
        <v/>
      </c>
      <c r="L15" s="53" t="str">
        <f>'R1'!L37</f>
        <v/>
      </c>
      <c r="M15" s="53" t="str">
        <f>'R1'!M37</f>
        <v/>
      </c>
      <c r="N15"/>
      <c r="O15" s="53">
        <f>'R1'!O37</f>
        <v>1.3142161845755973</v>
      </c>
      <c r="P15" s="53" t="str">
        <f>'R1'!P37</f>
        <v/>
      </c>
      <c r="Q15" s="53" t="str">
        <f>'R1'!Q37</f>
        <v/>
      </c>
      <c r="R15" s="53" t="str">
        <f>'R1'!R37</f>
        <v/>
      </c>
      <c r="S15" s="53" t="str">
        <f>'R1'!S37</f>
        <v/>
      </c>
      <c r="T15" s="53" t="str">
        <f>'R1'!T37</f>
        <v/>
      </c>
      <c r="U15" s="53" t="str">
        <f>'R1'!U37</f>
        <v/>
      </c>
      <c r="V15" s="53" t="str">
        <f>'R1'!V37</f>
        <v/>
      </c>
    </row>
    <row r="16" spans="1:22" s="1" customFormat="1" x14ac:dyDescent="0.35">
      <c r="A16" s="229"/>
      <c r="B16" s="53" t="str">
        <f>'R1'!B38</f>
        <v/>
      </c>
      <c r="C16" s="53" t="str">
        <f>'R1'!C38</f>
        <v/>
      </c>
      <c r="D16" s="53" t="str">
        <f>'R1'!D38</f>
        <v/>
      </c>
      <c r="E16" s="53" t="str">
        <f>'R1'!E38</f>
        <v/>
      </c>
      <c r="F16" s="53" t="str">
        <f>'R1'!F38</f>
        <v/>
      </c>
      <c r="G16" s="53" t="str">
        <f>'R1'!G38</f>
        <v/>
      </c>
      <c r="H16" s="53" t="str">
        <f>'R1'!H38</f>
        <v/>
      </c>
      <c r="I16" s="53" t="str">
        <f>'R1'!I38</f>
        <v/>
      </c>
      <c r="J16" s="53" t="str">
        <f>'R1'!J38</f>
        <v/>
      </c>
      <c r="K16" s="53" t="str">
        <f>'R1'!K38</f>
        <v/>
      </c>
      <c r="L16" s="53" t="str">
        <f>'R1'!L38</f>
        <v/>
      </c>
      <c r="M16" s="53" t="str">
        <f>'R1'!M38</f>
        <v/>
      </c>
      <c r="N16"/>
      <c r="O16" s="53">
        <f>'R1'!O38</f>
        <v>1.4519923453040986</v>
      </c>
      <c r="P16" s="53" t="str">
        <f>'R1'!P38</f>
        <v/>
      </c>
      <c r="Q16" s="53" t="str">
        <f>'R1'!Q38</f>
        <v/>
      </c>
      <c r="R16" s="53" t="str">
        <f>'R1'!R38</f>
        <v/>
      </c>
      <c r="S16" s="53" t="str">
        <f>'R1'!S38</f>
        <v/>
      </c>
      <c r="T16" s="53" t="str">
        <f>'R1'!T38</f>
        <v/>
      </c>
      <c r="U16" s="53" t="str">
        <f>'R1'!U38</f>
        <v/>
      </c>
      <c r="V16" s="53" t="str">
        <f>'R1'!V38</f>
        <v/>
      </c>
    </row>
    <row r="17" spans="1:22" s="1" customFormat="1" x14ac:dyDescent="0.35">
      <c r="A17" s="229"/>
      <c r="B17" s="53" t="str">
        <f>'R1'!B39</f>
        <v/>
      </c>
      <c r="C17" s="53" t="str">
        <f>'R1'!C39</f>
        <v/>
      </c>
      <c r="D17" s="53" t="str">
        <f>'R1'!D39</f>
        <v/>
      </c>
      <c r="E17" s="53" t="str">
        <f>'R1'!E39</f>
        <v/>
      </c>
      <c r="F17" s="53" t="str">
        <f>'R1'!F39</f>
        <v/>
      </c>
      <c r="G17" s="53" t="str">
        <f>'R1'!G39</f>
        <v/>
      </c>
      <c r="H17" s="53" t="str">
        <f>'R1'!H39</f>
        <v/>
      </c>
      <c r="I17" s="53" t="str">
        <f>'R1'!I39</f>
        <v/>
      </c>
      <c r="J17" s="53" t="str">
        <f>'R1'!J39</f>
        <v/>
      </c>
      <c r="K17" s="53" t="str">
        <f>'R1'!K39</f>
        <v/>
      </c>
      <c r="L17" s="53" t="str">
        <f>'R1'!L39</f>
        <v/>
      </c>
      <c r="M17" s="53" t="str">
        <f>'R1'!M39</f>
        <v/>
      </c>
      <c r="N17"/>
      <c r="O17" s="53">
        <f>'R1'!O39</f>
        <v>1.4934908947386827</v>
      </c>
      <c r="P17" s="53" t="str">
        <f>'R1'!P39</f>
        <v/>
      </c>
      <c r="Q17" s="53" t="str">
        <f>'R1'!Q39</f>
        <v/>
      </c>
      <c r="R17" s="53" t="str">
        <f>'R1'!R39</f>
        <v/>
      </c>
      <c r="S17" s="53" t="str">
        <f>'R1'!S39</f>
        <v/>
      </c>
      <c r="T17" s="53" t="str">
        <f>'R1'!T39</f>
        <v/>
      </c>
      <c r="U17" s="53" t="str">
        <f>'R1'!U39</f>
        <v/>
      </c>
      <c r="V17" s="53" t="str">
        <f>'R1'!V39</f>
        <v/>
      </c>
    </row>
    <row r="18" spans="1:22" s="1" customFormat="1" x14ac:dyDescent="0.35">
      <c r="A18" s="229"/>
      <c r="B18" s="53" t="str">
        <f>'R1'!B40</f>
        <v/>
      </c>
      <c r="C18" s="53" t="str">
        <f>'R1'!C40</f>
        <v/>
      </c>
      <c r="D18" s="53" t="str">
        <f>'R1'!D40</f>
        <v/>
      </c>
      <c r="E18" s="53" t="str">
        <f>'R1'!E40</f>
        <v/>
      </c>
      <c r="F18" s="53" t="str">
        <f>'R1'!F40</f>
        <v/>
      </c>
      <c r="G18" s="53" t="str">
        <f>'R1'!G40</f>
        <v/>
      </c>
      <c r="H18" s="53" t="str">
        <f>'R1'!H40</f>
        <v/>
      </c>
      <c r="I18" s="53" t="str">
        <f>'R1'!I40</f>
        <v/>
      </c>
      <c r="J18" s="53" t="str">
        <f>'R1'!J40</f>
        <v/>
      </c>
      <c r="K18" s="53" t="str">
        <f>'R1'!K40</f>
        <v/>
      </c>
      <c r="L18" s="53" t="str">
        <f>'R1'!L40</f>
        <v/>
      </c>
      <c r="M18" s="53" t="str">
        <f>'R1'!M40</f>
        <v/>
      </c>
      <c r="N18"/>
      <c r="O18" s="53">
        <f>'R1'!O40</f>
        <v>1.2453752311134509</v>
      </c>
      <c r="P18" s="53" t="str">
        <f>'R1'!P40</f>
        <v/>
      </c>
      <c r="Q18" s="53" t="str">
        <f>'R1'!Q40</f>
        <v/>
      </c>
      <c r="R18" s="53" t="str">
        <f>'R1'!R40</f>
        <v/>
      </c>
      <c r="S18" s="53" t="str">
        <f>'R1'!S40</f>
        <v/>
      </c>
      <c r="T18" s="53" t="str">
        <f>'R1'!T40</f>
        <v/>
      </c>
      <c r="U18" s="53" t="str">
        <f>'R1'!U40</f>
        <v/>
      </c>
      <c r="V18" s="53" t="str">
        <f>'R1'!V40</f>
        <v/>
      </c>
    </row>
    <row r="19" spans="1:22" s="1" customFormat="1" x14ac:dyDescent="0.35">
      <c r="A19" s="229"/>
      <c r="B19" s="53" t="str">
        <f>'R1'!B41</f>
        <v/>
      </c>
      <c r="C19" s="53" t="str">
        <f>'R1'!C41</f>
        <v/>
      </c>
      <c r="D19" s="53" t="str">
        <f>'R1'!D41</f>
        <v/>
      </c>
      <c r="E19" s="53" t="str">
        <f>'R1'!E41</f>
        <v/>
      </c>
      <c r="F19" s="53" t="str">
        <f>'R1'!F41</f>
        <v/>
      </c>
      <c r="G19" s="53" t="str">
        <f>'R1'!G41</f>
        <v/>
      </c>
      <c r="H19" s="53" t="str">
        <f>'R1'!H41</f>
        <v/>
      </c>
      <c r="I19" s="53" t="str">
        <f>'R1'!I41</f>
        <v/>
      </c>
      <c r="J19" s="53" t="str">
        <f>'R1'!J41</f>
        <v/>
      </c>
      <c r="K19" s="53" t="str">
        <f>'R1'!K41</f>
        <v/>
      </c>
      <c r="L19" s="53" t="str">
        <f>'R1'!L41</f>
        <v/>
      </c>
      <c r="M19" s="53" t="str">
        <f>'R1'!M41</f>
        <v/>
      </c>
      <c r="N19"/>
      <c r="O19" s="53">
        <f>'R1'!O41</f>
        <v>0.80343191854356599</v>
      </c>
      <c r="P19" s="53" t="str">
        <f>'R1'!P41</f>
        <v/>
      </c>
      <c r="Q19" s="53" t="str">
        <f>'R1'!Q41</f>
        <v/>
      </c>
      <c r="R19" s="53" t="str">
        <f>'R1'!R41</f>
        <v/>
      </c>
      <c r="S19" s="53" t="str">
        <f>'R1'!S41</f>
        <v/>
      </c>
      <c r="T19" s="53" t="str">
        <f>'R1'!T41</f>
        <v/>
      </c>
      <c r="U19" s="53" t="str">
        <f>'R1'!U41</f>
        <v/>
      </c>
      <c r="V19" s="53" t="str">
        <f>'R1'!V41</f>
        <v/>
      </c>
    </row>
    <row r="20" spans="1:22" s="1" customFormat="1" x14ac:dyDescent="0.35">
      <c r="A20" s="229"/>
      <c r="B20" s="53" t="str">
        <f>'R1'!B42</f>
        <v/>
      </c>
      <c r="C20" s="53" t="str">
        <f>'R1'!C42</f>
        <v/>
      </c>
      <c r="D20" s="53" t="str">
        <f>'R1'!D42</f>
        <v/>
      </c>
      <c r="E20" s="53" t="str">
        <f>'R1'!E42</f>
        <v/>
      </c>
      <c r="F20" s="53" t="str">
        <f>'R1'!F42</f>
        <v/>
      </c>
      <c r="G20" s="53" t="str">
        <f>'R1'!G42</f>
        <v/>
      </c>
      <c r="H20" s="53" t="str">
        <f>'R1'!H42</f>
        <v/>
      </c>
      <c r="I20" s="53" t="str">
        <f>'R1'!I42</f>
        <v/>
      </c>
      <c r="J20" s="53" t="str">
        <f>'R1'!J42</f>
        <v/>
      </c>
      <c r="K20" s="53" t="str">
        <f>'R1'!K42</f>
        <v/>
      </c>
      <c r="L20" s="53" t="str">
        <f>'R1'!L42</f>
        <v/>
      </c>
      <c r="M20" s="53" t="str">
        <f>'R1'!M42</f>
        <v/>
      </c>
      <c r="N20"/>
      <c r="O20" s="53">
        <f>'R1'!O42</f>
        <v>0.17703949444480127</v>
      </c>
      <c r="P20" s="53" t="str">
        <f>'R1'!P42</f>
        <v/>
      </c>
      <c r="Q20" s="53" t="str">
        <f>'R1'!Q42</f>
        <v/>
      </c>
      <c r="R20" s="53" t="str">
        <f>'R1'!R42</f>
        <v/>
      </c>
      <c r="S20" s="53" t="str">
        <f>'R1'!S42</f>
        <v/>
      </c>
      <c r="T20" s="53" t="str">
        <f>'R1'!T42</f>
        <v/>
      </c>
      <c r="U20" s="53" t="str">
        <f>'R1'!U42</f>
        <v/>
      </c>
      <c r="V20" s="53" t="str">
        <f>'R1'!V42</f>
        <v/>
      </c>
    </row>
    <row r="21" spans="1:22" s="1" customFormat="1" x14ac:dyDescent="0.35">
      <c r="A21" s="230"/>
      <c r="B21" s="53" t="str">
        <f>'R1'!B43</f>
        <v/>
      </c>
      <c r="C21" s="53" t="str">
        <f>'R1'!C43</f>
        <v/>
      </c>
      <c r="D21" s="53" t="str">
        <f>'R1'!D43</f>
        <v/>
      </c>
      <c r="E21" s="53" t="str">
        <f>'R1'!E43</f>
        <v/>
      </c>
      <c r="F21" s="53" t="str">
        <f>'R1'!F43</f>
        <v/>
      </c>
      <c r="G21" s="53" t="str">
        <f>'R1'!G43</f>
        <v/>
      </c>
      <c r="H21" s="53" t="str">
        <f>'R1'!H43</f>
        <v/>
      </c>
      <c r="I21" s="53" t="str">
        <f>'R1'!I43</f>
        <v/>
      </c>
      <c r="J21" s="53" t="str">
        <f>'R1'!J43</f>
        <v/>
      </c>
      <c r="K21" s="53" t="str">
        <f>'R1'!K43</f>
        <v/>
      </c>
      <c r="L21" s="53" t="str">
        <f>'R1'!L43</f>
        <v/>
      </c>
      <c r="M21" s="53" t="str">
        <f>'R1'!M43</f>
        <v/>
      </c>
      <c r="N21"/>
      <c r="O21" s="53">
        <f>'R1'!O43</f>
        <v>0.68897411112338047</v>
      </c>
      <c r="P21" s="53" t="str">
        <f>'R1'!P43</f>
        <v/>
      </c>
      <c r="Q21" s="53" t="str">
        <f>'R1'!Q43</f>
        <v/>
      </c>
      <c r="R21" s="53" t="str">
        <f>'R1'!R43</f>
        <v/>
      </c>
      <c r="S21" s="53" t="str">
        <f>'R1'!S43</f>
        <v/>
      </c>
      <c r="T21" s="53" t="str">
        <f>'R1'!T43</f>
        <v/>
      </c>
      <c r="U21" s="53" t="str">
        <f>'R1'!U43</f>
        <v/>
      </c>
      <c r="V21" s="53" t="str">
        <f>'R1'!V43</f>
        <v/>
      </c>
    </row>
    <row r="22" spans="1:22" x14ac:dyDescent="0.35">
      <c r="A22" s="39" t="s">
        <v>5</v>
      </c>
      <c r="B22" s="54">
        <f>'R2'!B28</f>
        <v>9.9955237952721196E-2</v>
      </c>
      <c r="C22" s="54">
        <f>'R2'!C28</f>
        <v>0.23045360425970771</v>
      </c>
      <c r="D22" s="54">
        <f>'R2'!D28</f>
        <v>1.7007281095573763E-3</v>
      </c>
      <c r="E22" s="54">
        <f>'R2'!E28</f>
        <v>0.2545820352283758</v>
      </c>
      <c r="F22" s="54">
        <f>'R2'!F28</f>
        <v>1.0635622005493026</v>
      </c>
      <c r="G22" s="54" t="str">
        <f>'R2'!G28</f>
        <v/>
      </c>
      <c r="H22" s="54">
        <f>'R2'!H28</f>
        <v>1.700482981836245</v>
      </c>
      <c r="I22" s="54">
        <f>'R2'!I28</f>
        <v>0.26930107295002631</v>
      </c>
      <c r="J22" s="54" t="str">
        <f>'R2'!J28</f>
        <v/>
      </c>
      <c r="K22" s="54" t="str">
        <f>'R2'!K28</f>
        <v/>
      </c>
      <c r="L22" s="54">
        <f>'R2'!L28</f>
        <v>5.3519937090368903E-2</v>
      </c>
      <c r="M22" s="54">
        <f>'R2'!M28</f>
        <v>2.42795133872403E-3</v>
      </c>
      <c r="O22" s="54">
        <f>'R2'!O28</f>
        <v>0.25939936367129479</v>
      </c>
      <c r="P22" s="54">
        <f>'R2'!P28</f>
        <v>1.6033660822173763</v>
      </c>
      <c r="Q22" s="54">
        <f>'R2'!Q28</f>
        <v>7.8086449376391738E-3</v>
      </c>
      <c r="R22" s="54" t="str">
        <f>'R2'!R28</f>
        <v/>
      </c>
      <c r="S22" s="54">
        <f>'R2'!S28</f>
        <v>3.1055555739024341E-3</v>
      </c>
      <c r="T22" s="54">
        <f>'R2'!T28</f>
        <v>0.33527241028263594</v>
      </c>
      <c r="U22" s="54">
        <f>'R2'!U28</f>
        <v>9.4728099479719871E-2</v>
      </c>
      <c r="V22" s="54">
        <f>'R2'!V28</f>
        <v>1.0076447264205115E-2</v>
      </c>
    </row>
    <row r="23" spans="1:22" x14ac:dyDescent="0.35">
      <c r="A23" s="228" t="s">
        <v>34</v>
      </c>
      <c r="B23" s="54">
        <f>'R2'!B29</f>
        <v>1.2616989210550324E-2</v>
      </c>
      <c r="C23" s="54">
        <f>'R2'!C29</f>
        <v>0.11355809558037028</v>
      </c>
      <c r="D23" s="54">
        <f>'R2'!D29</f>
        <v>1.8264900049515143E-2</v>
      </c>
      <c r="E23" s="54">
        <f>'R2'!E29</f>
        <v>0.10035120082169055</v>
      </c>
      <c r="F23" s="54">
        <f>'R2'!F29</f>
        <v>0.20925599087946845</v>
      </c>
      <c r="G23" s="54">
        <f>'R2'!G29</f>
        <v>1.0532681550390364</v>
      </c>
      <c r="H23" s="54">
        <f>'R2'!H29</f>
        <v>1.7273321326928834</v>
      </c>
      <c r="I23" s="54">
        <f>'R2'!I29</f>
        <v>5.7264605088498729E-3</v>
      </c>
      <c r="J23" s="54">
        <f>'R2'!J29</f>
        <v>0.13898461547980406</v>
      </c>
      <c r="K23" s="54">
        <f>'R2'!K29</f>
        <v>3.240450001744908E-2</v>
      </c>
      <c r="L23" s="54">
        <f>'R2'!L29</f>
        <v>1.9618130353998668E-2</v>
      </c>
      <c r="M23" s="54">
        <f>'R2'!M29</f>
        <v>0.15295112593382551</v>
      </c>
      <c r="O23" s="54">
        <f>'R2'!O29</f>
        <v>1.63168781271952</v>
      </c>
      <c r="P23" s="54">
        <f>'R2'!P29</f>
        <v>1.5661337035390175</v>
      </c>
      <c r="Q23" s="54">
        <f>'R2'!Q29</f>
        <v>4.5779044333889768E-2</v>
      </c>
      <c r="R23" s="54">
        <f>'R2'!R29</f>
        <v>9.9919630967002057E-2</v>
      </c>
      <c r="S23" s="54">
        <f>'R2'!S29</f>
        <v>0.26843809808780544</v>
      </c>
      <c r="T23" s="54">
        <f>'R2'!T29</f>
        <v>0</v>
      </c>
      <c r="U23" s="54">
        <f>'R2'!U29</f>
        <v>0.23661138735251191</v>
      </c>
      <c r="V23" s="54">
        <f>'R2'!V29</f>
        <v>0.11020279656496554</v>
      </c>
    </row>
    <row r="24" spans="1:22" x14ac:dyDescent="0.35">
      <c r="A24" s="229"/>
      <c r="B24" s="54">
        <f>'R2'!B30</f>
        <v>0.16094522392208521</v>
      </c>
      <c r="C24" s="54">
        <f>'R2'!C30</f>
        <v>2.2549112789583638E-2</v>
      </c>
      <c r="D24" s="54">
        <f>'R2'!D30</f>
        <v>3.7314307714944171E-2</v>
      </c>
      <c r="E24" s="54">
        <f>'R2'!E30</f>
        <v>0.12788479707048581</v>
      </c>
      <c r="F24" s="54">
        <f>'R2'!F30</f>
        <v>0.71537863130604329</v>
      </c>
      <c r="G24" s="54">
        <f>'R2'!G30</f>
        <v>1.2875797597166974</v>
      </c>
      <c r="H24" s="54" t="str">
        <f>'R2'!H30</f>
        <v/>
      </c>
      <c r="I24" s="54">
        <f>'R2'!I30</f>
        <v>0.11564407149375004</v>
      </c>
      <c r="J24" s="54">
        <f>'R2'!J30</f>
        <v>0.26020167478006828</v>
      </c>
      <c r="K24" s="54">
        <f>'R2'!K30</f>
        <v>9.9377448670565666E-2</v>
      </c>
      <c r="L24" s="54">
        <f>'R2'!L30</f>
        <v>0.2417173631657745</v>
      </c>
      <c r="M24" s="54">
        <f>'R2'!M30</f>
        <v>0.14756688812105404</v>
      </c>
      <c r="O24" s="54">
        <f>'R2'!O30</f>
        <v>1.4222714255571591</v>
      </c>
      <c r="P24" s="54">
        <f>'R2'!P30</f>
        <v>1.4962152659005785</v>
      </c>
      <c r="Q24" s="54">
        <f>'R2'!Q30</f>
        <v>7.2048757436811578E-2</v>
      </c>
      <c r="R24" s="54">
        <f>'R2'!R30</f>
        <v>0.15530811057184543</v>
      </c>
      <c r="S24" s="54">
        <f>'R2'!S30</f>
        <v>1.4490724410442144E-2</v>
      </c>
      <c r="T24" s="54">
        <f>'R2'!T30</f>
        <v>1.5774224367892345E-2</v>
      </c>
      <c r="U24" s="54">
        <f>'R2'!U30</f>
        <v>1.630915338946002E-2</v>
      </c>
      <c r="V24" s="54">
        <f>'R2'!V30</f>
        <v>0.1425251202750952</v>
      </c>
    </row>
    <row r="25" spans="1:22" x14ac:dyDescent="0.35">
      <c r="A25" s="229"/>
      <c r="B25" s="54">
        <f>'R2'!B31</f>
        <v>0.12237774812641455</v>
      </c>
      <c r="C25" s="54">
        <f>'R2'!C31</f>
        <v>0.17211279451256351</v>
      </c>
      <c r="D25" s="54">
        <f>'R2'!D31</f>
        <v>0.19485428393332416</v>
      </c>
      <c r="E25" s="54">
        <f>'R2'!E31</f>
        <v>0.10054357745286759</v>
      </c>
      <c r="F25" s="54">
        <f>'R2'!F31</f>
        <v>1.5980888302089185</v>
      </c>
      <c r="G25" s="54">
        <f>'R2'!G31</f>
        <v>0.82885842448726266</v>
      </c>
      <c r="H25" s="54">
        <f>'R2'!H31</f>
        <v>2.6184642079541161</v>
      </c>
      <c r="I25" s="54">
        <f>'R2'!I31</f>
        <v>3.867990155613573E-2</v>
      </c>
      <c r="J25" s="54">
        <f>'R2'!J31</f>
        <v>5.6194417351051164E-2</v>
      </c>
      <c r="K25" s="54">
        <f>'R2'!K31</f>
        <v>0.1151233193276076</v>
      </c>
      <c r="L25" s="54">
        <f>'R2'!L31</f>
        <v>1.657670032382191E-2</v>
      </c>
      <c r="M25" s="54">
        <f>'R2'!M31</f>
        <v>0.13783645503751785</v>
      </c>
      <c r="O25" s="54">
        <f>'R2'!O31</f>
        <v>0.57389476809249884</v>
      </c>
      <c r="P25" s="54">
        <f>'R2'!P31</f>
        <v>1.3743101345707232</v>
      </c>
      <c r="Q25" s="54">
        <f>'R2'!Q31</f>
        <v>2.929515295895618E-2</v>
      </c>
      <c r="R25" s="54">
        <f>'R2'!R31</f>
        <v>5.420174492802804E-4</v>
      </c>
      <c r="S25" s="54">
        <f>'R2'!S31</f>
        <v>7.3790697335395741E-2</v>
      </c>
      <c r="T25" s="54">
        <f>'R2'!T31</f>
        <v>6.5614608086793744E-2</v>
      </c>
      <c r="U25" s="54" t="str">
        <f>'R2'!U31</f>
        <v/>
      </c>
      <c r="V25" s="54">
        <f>'R2'!V31</f>
        <v>0.17939376370350371</v>
      </c>
    </row>
    <row r="26" spans="1:22" x14ac:dyDescent="0.35">
      <c r="A26" s="229"/>
      <c r="B26" s="54">
        <f>'R2'!B32</f>
        <v>0.10500417664997073</v>
      </c>
      <c r="C26" s="54" t="str">
        <f>'R2'!C32</f>
        <v/>
      </c>
      <c r="D26" s="54">
        <f>'R2'!D32</f>
        <v>7.2207505248142762E-2</v>
      </c>
      <c r="E26" s="54">
        <f>'R2'!E32</f>
        <v>8.5336097607671593E-2</v>
      </c>
      <c r="F26" s="54">
        <f>'R2'!F32</f>
        <v>0.64495757468863368</v>
      </c>
      <c r="G26" s="54">
        <f>'R2'!G32</f>
        <v>1.2895340227523475</v>
      </c>
      <c r="H26" s="54">
        <f>'R2'!H32</f>
        <v>1.8205663872439604</v>
      </c>
      <c r="I26" s="54" t="str">
        <f>'R2'!I32</f>
        <v/>
      </c>
      <c r="J26" s="54">
        <f>'R2'!J32</f>
        <v>0.16626517134397489</v>
      </c>
      <c r="K26" s="54">
        <f>'R2'!K32</f>
        <v>3.8049031489713697E-2</v>
      </c>
      <c r="L26" s="54">
        <f>'R2'!L32</f>
        <v>0.20989411422075921</v>
      </c>
      <c r="M26" s="54">
        <f>'R2'!M32</f>
        <v>7.2485602400495508E-2</v>
      </c>
      <c r="O26" s="54">
        <f>'R2'!O32</f>
        <v>1.1289951470700665</v>
      </c>
      <c r="P26" s="54">
        <f>'R2'!P32</f>
        <v>1.6836281843600702</v>
      </c>
      <c r="Q26" s="54">
        <f>'R2'!Q32</f>
        <v>3.5545662577070654E-2</v>
      </c>
      <c r="R26" s="54">
        <f>'R2'!R32</f>
        <v>6.3289933491370839E-2</v>
      </c>
      <c r="S26" s="54">
        <f>'R2'!S32</f>
        <v>6.3960202028102486E-2</v>
      </c>
      <c r="T26" s="54">
        <f>'R2'!T32</f>
        <v>4.6055410591103386E-2</v>
      </c>
      <c r="U26" s="54">
        <f>'R2'!U32</f>
        <v>7.847944499655117E-2</v>
      </c>
      <c r="V26" s="54" t="str">
        <f>'R2'!V32</f>
        <v/>
      </c>
    </row>
    <row r="27" spans="1:22" x14ac:dyDescent="0.35">
      <c r="A27" s="229"/>
      <c r="B27" s="54">
        <f>'R2'!B33</f>
        <v>2.5055778645348824E-2</v>
      </c>
      <c r="C27" s="54">
        <f>'R2'!C33</f>
        <v>7.1979191936934375E-2</v>
      </c>
      <c r="D27" s="54">
        <f>'R2'!D33</f>
        <v>5.4015632488783084E-2</v>
      </c>
      <c r="E27" s="54">
        <f>'R2'!E33</f>
        <v>0.86843690789133843</v>
      </c>
      <c r="F27" s="54">
        <f>'R2'!F33</f>
        <v>0.94234514124903856</v>
      </c>
      <c r="G27" s="54">
        <f>'R2'!G33</f>
        <v>0.97094513375069091</v>
      </c>
      <c r="H27" s="54">
        <f>'R2'!H33</f>
        <v>2.56501911147262</v>
      </c>
      <c r="I27" s="54">
        <f>'R2'!I33</f>
        <v>0.21201223532957986</v>
      </c>
      <c r="J27" s="54">
        <f>'R2'!J33</f>
        <v>7.9224718989311549E-2</v>
      </c>
      <c r="K27" s="54">
        <f>'R2'!K33</f>
        <v>0.16448960262554485</v>
      </c>
      <c r="L27" s="54">
        <f>'R2'!L33</f>
        <v>0.18277758127691501</v>
      </c>
      <c r="M27" s="54">
        <f>'R2'!M33</f>
        <v>1.7059207949747513E-3</v>
      </c>
      <c r="O27" s="54">
        <f>'R2'!O33</f>
        <v>1.6754900099573727E-2</v>
      </c>
      <c r="P27" s="54">
        <f>'R2'!P33</f>
        <v>2.3196540104365071</v>
      </c>
      <c r="Q27" s="54">
        <f>'R2'!Q33</f>
        <v>4.2274064100739729E-2</v>
      </c>
      <c r="R27" s="54">
        <f>'R2'!R33</f>
        <v>0.1861951100937502</v>
      </c>
      <c r="S27" s="54">
        <f>'R2'!S33</f>
        <v>4.9451674124800768E-2</v>
      </c>
      <c r="T27" s="54" t="str">
        <f>'R2'!T33</f>
        <v/>
      </c>
      <c r="U27" s="54">
        <f>'R2'!U33</f>
        <v>8.2551334599553661E-2</v>
      </c>
      <c r="V27" s="54">
        <f>'R2'!V33</f>
        <v>0.20113347695660128</v>
      </c>
    </row>
    <row r="28" spans="1:22" x14ac:dyDescent="0.35">
      <c r="A28" s="229"/>
      <c r="B28" s="54">
        <f>'R2'!B34</f>
        <v>9.3501471791126625E-2</v>
      </c>
      <c r="C28" s="54">
        <f>'R2'!C34</f>
        <v>5.8586844127634104E-2</v>
      </c>
      <c r="D28" s="54">
        <f>'R2'!D34</f>
        <v>0.24802144810962379</v>
      </c>
      <c r="E28" s="54">
        <f>'R2'!E34</f>
        <v>7.3787070697961379E-2</v>
      </c>
      <c r="F28" s="54">
        <f>'R2'!F34</f>
        <v>0.12004384209024964</v>
      </c>
      <c r="G28" s="54">
        <f>'R2'!G34</f>
        <v>1.2998813138940366</v>
      </c>
      <c r="H28" s="54">
        <f>'R2'!H34</f>
        <v>2.3356067642744631</v>
      </c>
      <c r="I28" s="54">
        <f>'R2'!I34</f>
        <v>0.13921276394385637</v>
      </c>
      <c r="J28" s="54">
        <f>'R2'!J34</f>
        <v>6.4477327556810585E-2</v>
      </c>
      <c r="K28" s="54">
        <f>'R2'!K34</f>
        <v>0.11582952454437058</v>
      </c>
      <c r="L28" s="54">
        <f>'R2'!L34</f>
        <v>0.10628058817970833</v>
      </c>
      <c r="M28" s="54">
        <f>'R2'!M34</f>
        <v>2.7434028566506553E-2</v>
      </c>
      <c r="O28" s="54">
        <f>'R2'!O34</f>
        <v>1.74643330236533</v>
      </c>
      <c r="P28" s="54" t="str">
        <f>'R2'!P34</f>
        <v/>
      </c>
      <c r="Q28" s="54">
        <f>'R2'!Q34</f>
        <v>0.16473538973530061</v>
      </c>
      <c r="R28" s="54">
        <f>'R2'!R34</f>
        <v>8.2376761461236195E-2</v>
      </c>
      <c r="S28" s="54">
        <f>'R2'!S34</f>
        <v>8.5271972063945919E-2</v>
      </c>
      <c r="T28" s="54">
        <f>'R2'!T34</f>
        <v>5.1922732994846815E-2</v>
      </c>
      <c r="U28" s="54">
        <f>'R2'!U34</f>
        <v>0.20518047463903158</v>
      </c>
      <c r="V28" s="54">
        <f>'R2'!V34</f>
        <v>0.17127850305550527</v>
      </c>
    </row>
    <row r="29" spans="1:22" x14ac:dyDescent="0.35">
      <c r="A29" s="229"/>
      <c r="B29" s="54">
        <f>'R2'!B35</f>
        <v>0.1396156503933822</v>
      </c>
      <c r="C29" s="54">
        <f>'R2'!C35</f>
        <v>0.12754240952725129</v>
      </c>
      <c r="D29" s="54">
        <f>'R2'!D35</f>
        <v>0.20530163729877035</v>
      </c>
      <c r="E29" s="54">
        <f>'R2'!E35</f>
        <v>0.21754236287550613</v>
      </c>
      <c r="F29" s="54">
        <f>'R2'!F35</f>
        <v>0.564595575169339</v>
      </c>
      <c r="G29" s="54">
        <f>'R2'!G35</f>
        <v>1.7302845452587623</v>
      </c>
      <c r="H29" s="54">
        <f>'R2'!H35</f>
        <v>2.3932628813587162</v>
      </c>
      <c r="I29" s="54">
        <f>'R2'!I35</f>
        <v>0.10970017758599486</v>
      </c>
      <c r="J29" s="54">
        <f>'R2'!J35</f>
        <v>0.22156446863736426</v>
      </c>
      <c r="K29" s="54">
        <f>'R2'!K35</f>
        <v>0.11291618075448907</v>
      </c>
      <c r="L29" s="54">
        <f>'R2'!L35</f>
        <v>9.1538636703358892E-2</v>
      </c>
      <c r="M29" s="54">
        <f>'R2'!M35</f>
        <v>9.7298890879210717E-2</v>
      </c>
      <c r="O29" s="54">
        <f>'R2'!O35</f>
        <v>1.1426301498931564</v>
      </c>
      <c r="P29" s="54">
        <f>'R2'!P35</f>
        <v>0.61394026348982611</v>
      </c>
      <c r="Q29" s="54" t="str">
        <f>'R2'!Q35</f>
        <v/>
      </c>
      <c r="R29" s="54">
        <f>'R2'!R35</f>
        <v>5.7798874721441976E-2</v>
      </c>
      <c r="S29" s="54">
        <f>'R2'!S35</f>
        <v>0.12112078856109761</v>
      </c>
      <c r="T29" s="54">
        <f>'R2'!T35</f>
        <v>1.6184199245130808E-2</v>
      </c>
      <c r="U29" s="54">
        <f>'R2'!U35</f>
        <v>3.1716263140701757E-2</v>
      </c>
      <c r="V29" s="54">
        <f>'R2'!V35</f>
        <v>0.20370064171865779</v>
      </c>
    </row>
    <row r="30" spans="1:22" x14ac:dyDescent="0.35">
      <c r="A30" s="229"/>
      <c r="B30" s="54" t="str">
        <f>'R2'!B36</f>
        <v/>
      </c>
      <c r="C30" s="54" t="str">
        <f>'R2'!C36</f>
        <v/>
      </c>
      <c r="D30" s="54" t="str">
        <f>'R2'!D36</f>
        <v/>
      </c>
      <c r="E30" s="54" t="str">
        <f>'R2'!E36</f>
        <v/>
      </c>
      <c r="F30" s="54" t="str">
        <f>'R2'!F36</f>
        <v/>
      </c>
      <c r="G30" s="54" t="str">
        <f>'R2'!G36</f>
        <v/>
      </c>
      <c r="H30" s="54" t="str">
        <f>'R2'!H36</f>
        <v/>
      </c>
      <c r="I30" s="54" t="str">
        <f>'R2'!I36</f>
        <v/>
      </c>
      <c r="J30" s="54" t="str">
        <f>'R2'!J36</f>
        <v/>
      </c>
      <c r="K30" s="54" t="str">
        <f>'R2'!K36</f>
        <v/>
      </c>
      <c r="L30" s="54" t="str">
        <f>'R2'!L36</f>
        <v/>
      </c>
      <c r="M30" s="54" t="str">
        <f>'R2'!M36</f>
        <v/>
      </c>
      <c r="O30" s="54">
        <f>'R2'!O36</f>
        <v>0.87751504077815867</v>
      </c>
      <c r="P30" s="54" t="str">
        <f>'R2'!P36</f>
        <v/>
      </c>
      <c r="Q30" s="54" t="str">
        <f>'R2'!Q36</f>
        <v/>
      </c>
      <c r="R30" s="54" t="str">
        <f>'R2'!R36</f>
        <v/>
      </c>
      <c r="S30" s="54" t="str">
        <f>'R2'!S36</f>
        <v/>
      </c>
      <c r="T30" s="54" t="str">
        <f>'R2'!T36</f>
        <v/>
      </c>
      <c r="U30" s="54" t="str">
        <f>'R2'!U36</f>
        <v/>
      </c>
      <c r="V30" s="54" t="str">
        <f>'R2'!V36</f>
        <v/>
      </c>
    </row>
    <row r="31" spans="1:22" s="1" customFormat="1" x14ac:dyDescent="0.35">
      <c r="A31" s="229"/>
      <c r="B31" s="54" t="str">
        <f>'R2'!B37</f>
        <v/>
      </c>
      <c r="C31" s="54" t="str">
        <f>'R2'!C37</f>
        <v/>
      </c>
      <c r="D31" s="54" t="str">
        <f>'R2'!D37</f>
        <v/>
      </c>
      <c r="E31" s="54" t="str">
        <f>'R2'!E37</f>
        <v/>
      </c>
      <c r="F31" s="54" t="str">
        <f>'R2'!F37</f>
        <v/>
      </c>
      <c r="G31" s="54" t="str">
        <f>'R2'!G37</f>
        <v/>
      </c>
      <c r="H31" s="54" t="str">
        <f>'R2'!H37</f>
        <v/>
      </c>
      <c r="I31" s="54" t="str">
        <f>'R2'!I37</f>
        <v/>
      </c>
      <c r="J31" s="54" t="str">
        <f>'R2'!J37</f>
        <v/>
      </c>
      <c r="K31" s="54" t="str">
        <f>'R2'!K37</f>
        <v/>
      </c>
      <c r="L31" s="54" t="str">
        <f>'R2'!L37</f>
        <v/>
      </c>
      <c r="M31" s="54" t="str">
        <f>'R2'!M37</f>
        <v/>
      </c>
      <c r="N31"/>
      <c r="O31" s="54">
        <f>'R2'!O37</f>
        <v>1.63148455617604</v>
      </c>
      <c r="P31" s="54" t="str">
        <f>'R2'!P37</f>
        <v/>
      </c>
      <c r="Q31" s="54" t="str">
        <f>'R2'!Q37</f>
        <v/>
      </c>
      <c r="R31" s="54" t="str">
        <f>'R2'!R37</f>
        <v/>
      </c>
      <c r="S31" s="54" t="str">
        <f>'R2'!S37</f>
        <v/>
      </c>
      <c r="T31" s="54" t="str">
        <f>'R2'!T37</f>
        <v/>
      </c>
      <c r="U31" s="54" t="str">
        <f>'R2'!U37</f>
        <v/>
      </c>
      <c r="V31" s="54" t="str">
        <f>'R2'!V37</f>
        <v/>
      </c>
    </row>
    <row r="32" spans="1:22" s="1" customFormat="1" x14ac:dyDescent="0.35">
      <c r="A32" s="229"/>
      <c r="B32" s="54" t="str">
        <f>'R2'!B38</f>
        <v/>
      </c>
      <c r="C32" s="54" t="str">
        <f>'R2'!C38</f>
        <v/>
      </c>
      <c r="D32" s="54" t="str">
        <f>'R2'!D38</f>
        <v/>
      </c>
      <c r="E32" s="54" t="str">
        <f>'R2'!E38</f>
        <v/>
      </c>
      <c r="F32" s="54" t="str">
        <f>'R2'!F38</f>
        <v/>
      </c>
      <c r="G32" s="54" t="str">
        <f>'R2'!G38</f>
        <v/>
      </c>
      <c r="H32" s="54" t="str">
        <f>'R2'!H38</f>
        <v/>
      </c>
      <c r="I32" s="54" t="str">
        <f>'R2'!I38</f>
        <v/>
      </c>
      <c r="J32" s="54" t="str">
        <f>'R2'!J38</f>
        <v/>
      </c>
      <c r="K32" s="54" t="str">
        <f>'R2'!K38</f>
        <v/>
      </c>
      <c r="L32" s="54" t="str">
        <f>'R2'!L38</f>
        <v/>
      </c>
      <c r="M32" s="54" t="str">
        <f>'R2'!M38</f>
        <v/>
      </c>
      <c r="N32"/>
      <c r="O32" s="54" t="str">
        <f>'R2'!O38</f>
        <v/>
      </c>
      <c r="P32" s="54" t="str">
        <f>'R2'!P38</f>
        <v/>
      </c>
      <c r="Q32" s="54" t="str">
        <f>'R2'!Q38</f>
        <v/>
      </c>
      <c r="R32" s="54" t="str">
        <f>'R2'!R38</f>
        <v/>
      </c>
      <c r="S32" s="54" t="str">
        <f>'R2'!S38</f>
        <v/>
      </c>
      <c r="T32" s="54" t="str">
        <f>'R2'!T38</f>
        <v/>
      </c>
      <c r="U32" s="54" t="str">
        <f>'R2'!U38</f>
        <v/>
      </c>
      <c r="V32" s="54" t="str">
        <f>'R2'!V38</f>
        <v/>
      </c>
    </row>
    <row r="33" spans="1:22" s="1" customFormat="1" x14ac:dyDescent="0.35">
      <c r="A33" s="229"/>
      <c r="B33" s="54" t="str">
        <f>'R2'!B39</f>
        <v/>
      </c>
      <c r="C33" s="54" t="str">
        <f>'R2'!C39</f>
        <v/>
      </c>
      <c r="D33" s="54" t="str">
        <f>'R2'!D39</f>
        <v/>
      </c>
      <c r="E33" s="54" t="str">
        <f>'R2'!E39</f>
        <v/>
      </c>
      <c r="F33" s="54" t="str">
        <f>'R2'!F39</f>
        <v/>
      </c>
      <c r="G33" s="54" t="str">
        <f>'R2'!G39</f>
        <v/>
      </c>
      <c r="H33" s="54" t="str">
        <f>'R2'!H39</f>
        <v/>
      </c>
      <c r="I33" s="54" t="str">
        <f>'R2'!I39</f>
        <v/>
      </c>
      <c r="J33" s="54" t="str">
        <f>'R2'!J39</f>
        <v/>
      </c>
      <c r="K33" s="54" t="str">
        <f>'R2'!K39</f>
        <v/>
      </c>
      <c r="L33" s="54" t="str">
        <f>'R2'!L39</f>
        <v/>
      </c>
      <c r="M33" s="54" t="str">
        <f>'R2'!M39</f>
        <v/>
      </c>
      <c r="N33"/>
      <c r="O33" s="54">
        <f>'R2'!O39</f>
        <v>1.0573509245543418</v>
      </c>
      <c r="P33" s="54" t="str">
        <f>'R2'!P39</f>
        <v/>
      </c>
      <c r="Q33" s="54" t="str">
        <f>'R2'!Q39</f>
        <v/>
      </c>
      <c r="R33" s="54" t="str">
        <f>'R2'!R39</f>
        <v/>
      </c>
      <c r="S33" s="54" t="str">
        <f>'R2'!S39</f>
        <v/>
      </c>
      <c r="T33" s="54" t="str">
        <f>'R2'!T39</f>
        <v/>
      </c>
      <c r="U33" s="54" t="str">
        <f>'R2'!U39</f>
        <v/>
      </c>
      <c r="V33" s="54" t="str">
        <f>'R2'!V39</f>
        <v/>
      </c>
    </row>
    <row r="34" spans="1:22" s="1" customFormat="1" x14ac:dyDescent="0.35">
      <c r="A34" s="229"/>
      <c r="B34" s="54" t="str">
        <f>'R2'!B40</f>
        <v/>
      </c>
      <c r="C34" s="54" t="str">
        <f>'R2'!C40</f>
        <v/>
      </c>
      <c r="D34" s="54" t="str">
        <f>'R2'!D40</f>
        <v/>
      </c>
      <c r="E34" s="54" t="str">
        <f>'R2'!E40</f>
        <v/>
      </c>
      <c r="F34" s="54" t="str">
        <f>'R2'!F40</f>
        <v/>
      </c>
      <c r="G34" s="54" t="str">
        <f>'R2'!G40</f>
        <v/>
      </c>
      <c r="H34" s="54" t="str">
        <f>'R2'!H40</f>
        <v/>
      </c>
      <c r="I34" s="54" t="str">
        <f>'R2'!I40</f>
        <v/>
      </c>
      <c r="J34" s="54" t="str">
        <f>'R2'!J40</f>
        <v/>
      </c>
      <c r="K34" s="54" t="str">
        <f>'R2'!K40</f>
        <v/>
      </c>
      <c r="L34" s="54" t="str">
        <f>'R2'!L40</f>
        <v/>
      </c>
      <c r="M34" s="54" t="str">
        <f>'R2'!M40</f>
        <v/>
      </c>
      <c r="N34"/>
      <c r="O34" s="54">
        <f>'R2'!O40</f>
        <v>1.2188203624328477</v>
      </c>
      <c r="P34" s="54" t="str">
        <f>'R2'!P40</f>
        <v/>
      </c>
      <c r="Q34" s="54" t="str">
        <f>'R2'!Q40</f>
        <v/>
      </c>
      <c r="R34" s="54" t="str">
        <f>'R2'!R40</f>
        <v/>
      </c>
      <c r="S34" s="54" t="str">
        <f>'R2'!S40</f>
        <v/>
      </c>
      <c r="T34" s="54" t="str">
        <f>'R2'!T40</f>
        <v/>
      </c>
      <c r="U34" s="54" t="str">
        <f>'R2'!U40</f>
        <v/>
      </c>
      <c r="V34" s="54" t="str">
        <f>'R2'!V40</f>
        <v/>
      </c>
    </row>
    <row r="35" spans="1:22" s="1" customFormat="1" x14ac:dyDescent="0.35">
      <c r="A35" s="229"/>
      <c r="B35" s="54" t="str">
        <f>'R2'!B41</f>
        <v/>
      </c>
      <c r="C35" s="54" t="str">
        <f>'R2'!C41</f>
        <v/>
      </c>
      <c r="D35" s="54" t="str">
        <f>'R2'!D41</f>
        <v/>
      </c>
      <c r="E35" s="54" t="str">
        <f>'R2'!E41</f>
        <v/>
      </c>
      <c r="F35" s="54" t="str">
        <f>'R2'!F41</f>
        <v/>
      </c>
      <c r="G35" s="54" t="str">
        <f>'R2'!G41</f>
        <v/>
      </c>
      <c r="H35" s="54" t="str">
        <f>'R2'!H41</f>
        <v/>
      </c>
      <c r="I35" s="54" t="str">
        <f>'R2'!I41</f>
        <v/>
      </c>
      <c r="J35" s="54" t="str">
        <f>'R2'!J41</f>
        <v/>
      </c>
      <c r="K35" s="54" t="str">
        <f>'R2'!K41</f>
        <v/>
      </c>
      <c r="L35" s="54" t="str">
        <f>'R2'!L41</f>
        <v/>
      </c>
      <c r="M35" s="54" t="str">
        <f>'R2'!M41</f>
        <v/>
      </c>
      <c r="N35"/>
      <c r="O35" s="54">
        <f>'R2'!O41</f>
        <v>1.1697216260692722</v>
      </c>
      <c r="P35" s="54" t="str">
        <f>'R2'!P41</f>
        <v/>
      </c>
      <c r="Q35" s="54" t="str">
        <f>'R2'!Q41</f>
        <v/>
      </c>
      <c r="R35" s="54" t="str">
        <f>'R2'!R41</f>
        <v/>
      </c>
      <c r="S35" s="54" t="str">
        <f>'R2'!S41</f>
        <v/>
      </c>
      <c r="T35" s="54" t="str">
        <f>'R2'!T41</f>
        <v/>
      </c>
      <c r="U35" s="54" t="str">
        <f>'R2'!U41</f>
        <v/>
      </c>
      <c r="V35" s="54" t="str">
        <f>'R2'!V41</f>
        <v/>
      </c>
    </row>
    <row r="36" spans="1:22" x14ac:dyDescent="0.35">
      <c r="A36" s="229"/>
      <c r="B36" s="54" t="str">
        <f>'R2'!B42</f>
        <v/>
      </c>
      <c r="C36" s="54" t="str">
        <f>'R2'!C42</f>
        <v/>
      </c>
      <c r="D36" s="54" t="str">
        <f>'R2'!D42</f>
        <v/>
      </c>
      <c r="E36" s="54" t="str">
        <f>'R2'!E42</f>
        <v/>
      </c>
      <c r="F36" s="54" t="str">
        <f>'R2'!F42</f>
        <v/>
      </c>
      <c r="G36" s="54" t="str">
        <f>'R2'!G42</f>
        <v/>
      </c>
      <c r="H36" s="54" t="str">
        <f>'R2'!H42</f>
        <v/>
      </c>
      <c r="I36" s="54" t="str">
        <f>'R2'!I42</f>
        <v/>
      </c>
      <c r="J36" s="54" t="str">
        <f>'R2'!J42</f>
        <v/>
      </c>
      <c r="K36" s="54" t="str">
        <f>'R2'!K42</f>
        <v/>
      </c>
      <c r="L36" s="54" t="str">
        <f>'R2'!L42</f>
        <v/>
      </c>
      <c r="M36" s="54" t="str">
        <f>'R2'!M42</f>
        <v/>
      </c>
      <c r="O36" s="54">
        <f>'R2'!O42</f>
        <v>0.27109823664590638</v>
      </c>
      <c r="P36" s="54" t="str">
        <f>'R2'!P42</f>
        <v/>
      </c>
      <c r="Q36" s="54" t="str">
        <f>'R2'!Q42</f>
        <v/>
      </c>
      <c r="R36" s="54" t="str">
        <f>'R2'!R42</f>
        <v/>
      </c>
      <c r="S36" s="54" t="str">
        <f>'R2'!S42</f>
        <v/>
      </c>
      <c r="T36" s="54" t="str">
        <f>'R2'!T42</f>
        <v/>
      </c>
      <c r="U36" s="54" t="str">
        <f>'R2'!U42</f>
        <v/>
      </c>
      <c r="V36" s="54" t="str">
        <f>'R2'!V42</f>
        <v/>
      </c>
    </row>
    <row r="37" spans="1:22" x14ac:dyDescent="0.35">
      <c r="A37" s="230"/>
      <c r="B37" s="54" t="str">
        <f>'R2'!B43</f>
        <v/>
      </c>
      <c r="C37" s="54" t="str">
        <f>'R2'!C43</f>
        <v/>
      </c>
      <c r="D37" s="54" t="str">
        <f>'R2'!D43</f>
        <v/>
      </c>
      <c r="E37" s="54" t="str">
        <f>'R2'!E43</f>
        <v/>
      </c>
      <c r="F37" s="54" t="str">
        <f>'R2'!F43</f>
        <v/>
      </c>
      <c r="G37" s="54" t="str">
        <f>'R2'!G43</f>
        <v/>
      </c>
      <c r="H37" s="54" t="str">
        <f>'R2'!H43</f>
        <v/>
      </c>
      <c r="I37" s="54" t="str">
        <f>'R2'!I43</f>
        <v/>
      </c>
      <c r="J37" s="54" t="str">
        <f>'R2'!J43</f>
        <v/>
      </c>
      <c r="K37" s="54" t="str">
        <f>'R2'!K43</f>
        <v/>
      </c>
      <c r="L37" s="54" t="str">
        <f>'R2'!L43</f>
        <v/>
      </c>
      <c r="M37" s="54" t="str">
        <f>'R2'!M43</f>
        <v/>
      </c>
      <c r="O37" s="54">
        <f>'R2'!O43</f>
        <v>0.8519423838748359</v>
      </c>
      <c r="P37" s="54" t="str">
        <f>'R2'!P43</f>
        <v/>
      </c>
      <c r="Q37" s="54" t="str">
        <f>'R2'!Q43</f>
        <v/>
      </c>
      <c r="R37" s="54" t="str">
        <f>'R2'!R43</f>
        <v/>
      </c>
      <c r="S37" s="54" t="str">
        <f>'R2'!S43</f>
        <v/>
      </c>
      <c r="T37" s="54" t="str">
        <f>'R2'!T43</f>
        <v/>
      </c>
      <c r="U37" s="54" t="str">
        <f>'R2'!U43</f>
        <v/>
      </c>
      <c r="V37" s="54" t="str">
        <f>'R2'!V43</f>
        <v/>
      </c>
    </row>
    <row r="38" spans="1:22" s="1" customFormat="1" x14ac:dyDescent="0.35">
      <c r="A38" s="155" t="s">
        <v>116</v>
      </c>
      <c r="B38" s="156">
        <f>'R3'!B28</f>
        <v>0.14485651336956043</v>
      </c>
      <c r="C38" s="156">
        <f>'R3'!C28</f>
        <v>0.18259300718614116</v>
      </c>
      <c r="D38" s="156">
        <f>'R3'!D28</f>
        <v>0.24719396296432428</v>
      </c>
      <c r="E38" s="156">
        <f>'R3'!E28</f>
        <v>0.32357370233314492</v>
      </c>
      <c r="F38" s="156">
        <f>'R3'!F28</f>
        <v>1.0073238556959048</v>
      </c>
      <c r="G38" s="156">
        <f>'R3'!G28</f>
        <v>1.4792785778683377</v>
      </c>
      <c r="H38" s="156">
        <f>'R3'!H28</f>
        <v>3.1241096883894808</v>
      </c>
      <c r="I38" s="156">
        <f>'R3'!I28</f>
        <v>0.10259708255083565</v>
      </c>
      <c r="J38" s="156">
        <f>'R3'!J28</f>
        <v>7.7492801124027427E-2</v>
      </c>
      <c r="K38" s="156">
        <f>'R3'!K28</f>
        <v>0.1907758525172884</v>
      </c>
      <c r="L38" s="156">
        <f>'R3'!L28</f>
        <v>7.3559994558507785E-2</v>
      </c>
      <c r="M38" s="156">
        <f>'R3'!M28</f>
        <v>0.19012476288072572</v>
      </c>
      <c r="N38"/>
      <c r="O38" s="156">
        <f>'R3'!O28</f>
        <v>0.11746802919460229</v>
      </c>
      <c r="P38" s="156">
        <f>'R3'!P28</f>
        <v>1.1242918623621665</v>
      </c>
      <c r="Q38" s="156">
        <f>'R3'!Q28</f>
        <v>6.9471102768808482E-2</v>
      </c>
      <c r="R38" s="156">
        <f>'R3'!R28</f>
        <v>0.14057606045765017</v>
      </c>
      <c r="S38" s="156">
        <f>'R3'!S28</f>
        <v>0.12577946920163921</v>
      </c>
      <c r="T38" s="156">
        <f>'R3'!T28</f>
        <v>3.4725711513548072E-2</v>
      </c>
      <c r="U38" s="156">
        <f>'R3'!U28</f>
        <v>1.7128793374190963E-2</v>
      </c>
      <c r="V38" s="156">
        <f>'R3'!V28</f>
        <v>0.10259708255083565</v>
      </c>
    </row>
    <row r="39" spans="1:22" s="1" customFormat="1" x14ac:dyDescent="0.35">
      <c r="A39" s="228" t="s">
        <v>34</v>
      </c>
      <c r="B39" s="156">
        <f>'R3'!B29</f>
        <v>7.7589061678833227E-2</v>
      </c>
      <c r="C39" s="156">
        <f>'R3'!C29</f>
        <v>0.12366361333492208</v>
      </c>
      <c r="D39" s="156">
        <f>'R3'!D29</f>
        <v>0.22897584570519597</v>
      </c>
      <c r="E39" s="156">
        <f>'R3'!E29</f>
        <v>0.35753316935784907</v>
      </c>
      <c r="F39" s="156">
        <f>'R3'!F29</f>
        <v>1.3752260671466079</v>
      </c>
      <c r="G39" s="156">
        <f>'R3'!G29</f>
        <v>1.3510080722695097</v>
      </c>
      <c r="H39" s="156">
        <f>'R3'!H29</f>
        <v>2.7145939867332851</v>
      </c>
      <c r="I39" s="156">
        <f>'R3'!I29</f>
        <v>0.13071965163671756</v>
      </c>
      <c r="J39" s="156">
        <f>'R3'!J29</f>
        <v>0.19174709795195172</v>
      </c>
      <c r="K39" s="156">
        <f>'R3'!K29</f>
        <v>0.19865599636670953</v>
      </c>
      <c r="L39" s="156">
        <f>'R3'!L29</f>
        <v>9.8802863257330148E-2</v>
      </c>
      <c r="M39" s="156">
        <f>'R3'!M29</f>
        <v>7.7229459125725999E-2</v>
      </c>
      <c r="N39"/>
      <c r="O39" s="156">
        <f>'R3'!O29</f>
        <v>1.2481364769578929</v>
      </c>
      <c r="P39" s="156">
        <f>'R3'!P29</f>
        <v>1.8230467060679132</v>
      </c>
      <c r="Q39" s="156">
        <f>'R3'!Q29</f>
        <v>0.14891211105077523</v>
      </c>
      <c r="R39" s="156">
        <f>'R3'!R29</f>
        <v>8.43514747434174E-3</v>
      </c>
      <c r="S39" s="156">
        <f>'R3'!S29</f>
        <v>7.4038461006125877E-2</v>
      </c>
      <c r="T39" s="156">
        <f>'R3'!T29</f>
        <v>9.2080246034080011E-3</v>
      </c>
      <c r="U39" s="156">
        <f>'R3'!U29</f>
        <v>0.15625994188656273</v>
      </c>
      <c r="V39" s="156">
        <f>'R3'!V29</f>
        <v>0.13071965163671756</v>
      </c>
    </row>
    <row r="40" spans="1:22" s="1" customFormat="1" x14ac:dyDescent="0.35">
      <c r="A40" s="229"/>
      <c r="B40" s="156">
        <f>'R3'!B30</f>
        <v>5.1782636740066716E-2</v>
      </c>
      <c r="C40" s="156">
        <f>'R3'!C30</f>
        <v>0.25869443748036919</v>
      </c>
      <c r="D40" s="156">
        <f>'R3'!D30</f>
        <v>0.1030047281097639</v>
      </c>
      <c r="E40" s="156">
        <f>'R3'!E30</f>
        <v>1.5924199438484279</v>
      </c>
      <c r="F40" s="156">
        <f>'R3'!F30</f>
        <v>1.6384322272308505</v>
      </c>
      <c r="G40" s="156">
        <f>'R3'!G30</f>
        <v>1.7224941348656138</v>
      </c>
      <c r="H40" s="156">
        <f>'R3'!H30</f>
        <v>2.4671536560933336</v>
      </c>
      <c r="I40" s="156">
        <f>'R3'!I30</f>
        <v>4.6977681621100401E-2</v>
      </c>
      <c r="J40" s="156">
        <f>'R3'!J30</f>
        <v>3.8783141897982203E-2</v>
      </c>
      <c r="K40" s="156">
        <f>'R3'!K30</f>
        <v>0.10613079617245061</v>
      </c>
      <c r="L40" s="156">
        <f>'R3'!L30</f>
        <v>4.5341077646238202E-2</v>
      </c>
      <c r="M40" s="156">
        <f>'R3'!M30</f>
        <v>9.4430033376007409E-3</v>
      </c>
      <c r="N40"/>
      <c r="O40" s="156">
        <f>'R3'!O30</f>
        <v>0.94461830776862798</v>
      </c>
      <c r="P40" s="156">
        <f>'R3'!P30</f>
        <v>1.7400664860546735</v>
      </c>
      <c r="Q40" s="156">
        <f>'R3'!Q30</f>
        <v>8.8714093849661002E-2</v>
      </c>
      <c r="R40" s="156">
        <f>'R3'!R30</f>
        <v>7.6484988896559372E-2</v>
      </c>
      <c r="S40" s="156">
        <f>'R3'!S30</f>
        <v>0.10398155892566709</v>
      </c>
      <c r="T40" s="156">
        <f>'R3'!T30</f>
        <v>0.11219023664504869</v>
      </c>
      <c r="U40" s="156">
        <f>'R3'!U30</f>
        <v>0.15730196457412496</v>
      </c>
      <c r="V40" s="156">
        <f>'R3'!V30</f>
        <v>4.6977681621100401E-2</v>
      </c>
    </row>
    <row r="41" spans="1:22" s="1" customFormat="1" x14ac:dyDescent="0.35">
      <c r="A41" s="229"/>
      <c r="B41" s="156">
        <f>'R3'!B31</f>
        <v>0.18140934272119921</v>
      </c>
      <c r="C41" s="156">
        <f>'R3'!C31</f>
        <v>0.23882688732384338</v>
      </c>
      <c r="D41" s="156">
        <f>'R3'!D31</f>
        <v>9.624598045161839E-2</v>
      </c>
      <c r="E41" s="156">
        <f>'R3'!E31</f>
        <v>0.57540309536864742</v>
      </c>
      <c r="F41" s="156">
        <f>'R3'!F31</f>
        <v>1.2717994245742796</v>
      </c>
      <c r="G41" s="156">
        <f>'R3'!G31</f>
        <v>1.57146983335456</v>
      </c>
      <c r="H41" s="156">
        <f>'R3'!H31</f>
        <v>2.2903653436323039</v>
      </c>
      <c r="I41" s="156">
        <f>'R3'!I31</f>
        <v>1.0623787840340864E-2</v>
      </c>
      <c r="J41" s="156">
        <f>'R3'!J31</f>
        <v>0.22041921618888718</v>
      </c>
      <c r="K41" s="156">
        <f>'R3'!K31</f>
        <v>0.13213816392847944</v>
      </c>
      <c r="L41" s="156">
        <f>'R3'!L31</f>
        <v>9.1794998868728481E-2</v>
      </c>
      <c r="M41" s="156">
        <f>'R3'!M31</f>
        <v>0.11586175209444093</v>
      </c>
      <c r="N41"/>
      <c r="O41" s="156">
        <f>'R3'!O31</f>
        <v>1.2846197072229881</v>
      </c>
      <c r="P41" s="156">
        <f>'R3'!P31</f>
        <v>1.8023738137538645</v>
      </c>
      <c r="Q41" s="156">
        <f>'R3'!Q31</f>
        <v>0.12442248337509774</v>
      </c>
      <c r="R41" s="156">
        <f>'R3'!R31</f>
        <v>6.7641934048543767E-2</v>
      </c>
      <c r="S41" s="156">
        <f>'R3'!S31</f>
        <v>0.10670849040865817</v>
      </c>
      <c r="T41" s="156">
        <f>'R3'!T31</f>
        <v>8.9300297065101161E-2</v>
      </c>
      <c r="U41" s="156" t="str">
        <f>'R3'!U31</f>
        <v/>
      </c>
      <c r="V41" s="156">
        <f>'R3'!V31</f>
        <v>1.0623787840340864E-2</v>
      </c>
    </row>
    <row r="42" spans="1:22" s="1" customFormat="1" x14ac:dyDescent="0.35">
      <c r="A42" s="229"/>
      <c r="B42" s="156">
        <f>'R3'!B32</f>
        <v>0.13842132510120866</v>
      </c>
      <c r="C42" s="156">
        <f>'R3'!C32</f>
        <v>0.12393350070186397</v>
      </c>
      <c r="D42" s="156">
        <f>'R3'!D32</f>
        <v>0.20379528891583085</v>
      </c>
      <c r="E42" s="156">
        <f>'R3'!E32</f>
        <v>0.54137097475203411</v>
      </c>
      <c r="F42" s="156">
        <f>'R3'!F32</f>
        <v>1.1062002888967539</v>
      </c>
      <c r="G42" s="156">
        <f>'R3'!G32</f>
        <v>1.2258184716897493</v>
      </c>
      <c r="H42" s="156">
        <f>'R3'!H32</f>
        <v>2.4315981663793385</v>
      </c>
      <c r="I42" s="156">
        <f>'R3'!I32</f>
        <v>0.13563221261613315</v>
      </c>
      <c r="J42" s="156">
        <f>'R3'!J32</f>
        <v>8.435919827841315E-2</v>
      </c>
      <c r="K42" s="156">
        <f>'R3'!K32</f>
        <v>3.3876209935597416E-2</v>
      </c>
      <c r="L42" s="156">
        <f>'R3'!L32</f>
        <v>0.13137366487127297</v>
      </c>
      <c r="M42" s="156">
        <f>'R3'!M32</f>
        <v>0.11019965913411008</v>
      </c>
      <c r="N42"/>
      <c r="O42" s="156">
        <f>'R3'!O32</f>
        <v>0.33394488257975474</v>
      </c>
      <c r="P42" s="156">
        <f>'R3'!P32</f>
        <v>2.5251147281078823</v>
      </c>
      <c r="Q42" s="156">
        <f>'R3'!Q32</f>
        <v>0.21675223886175232</v>
      </c>
      <c r="R42" s="156">
        <f>'R3'!R32</f>
        <v>0.12930100843758291</v>
      </c>
      <c r="S42" s="156">
        <f>'R3'!S32</f>
        <v>3.4460056818327012E-3</v>
      </c>
      <c r="T42" s="156">
        <f>'R3'!T32</f>
        <v>0.1726627666069441</v>
      </c>
      <c r="U42" s="156" t="str">
        <f>'R3'!U32</f>
        <v/>
      </c>
      <c r="V42" s="156">
        <f>'R3'!V32</f>
        <v>0.13563221261613315</v>
      </c>
    </row>
    <row r="43" spans="1:22" s="1" customFormat="1" x14ac:dyDescent="0.35">
      <c r="A43" s="229"/>
      <c r="B43" s="156">
        <f>'R3'!B33</f>
        <v>0.16634020231499927</v>
      </c>
      <c r="C43" s="156">
        <f>'R3'!C33</f>
        <v>0.44516191017954798</v>
      </c>
      <c r="D43" s="156">
        <f>'R3'!D33</f>
        <v>0.18465715464059859</v>
      </c>
      <c r="E43" s="156">
        <f>'R3'!E33</f>
        <v>5.0038557812128064E-2</v>
      </c>
      <c r="F43" s="156">
        <f>'R3'!F33</f>
        <v>1.9053757928087993</v>
      </c>
      <c r="G43" s="156">
        <f>'R3'!G33</f>
        <v>1.853066384800548</v>
      </c>
      <c r="H43" s="156">
        <f>'R3'!H33</f>
        <v>3.4263257219414114</v>
      </c>
      <c r="I43" s="156">
        <f>'R3'!I33</f>
        <v>0.16546971192160817</v>
      </c>
      <c r="J43" s="156">
        <f>'R3'!J33</f>
        <v>7.3596648622894389E-2</v>
      </c>
      <c r="K43" s="156">
        <f>'R3'!K33</f>
        <v>7.2936875463935388E-2</v>
      </c>
      <c r="L43" s="156">
        <f>'R3'!L33</f>
        <v>0.15935747214197699</v>
      </c>
      <c r="M43" s="156">
        <f>'R3'!M33</f>
        <v>4.6368831430164223E-2</v>
      </c>
      <c r="N43"/>
      <c r="O43" s="156">
        <f>'R3'!O33</f>
        <v>1.7677852058954386</v>
      </c>
      <c r="P43" s="156">
        <f>'R3'!P33</f>
        <v>1.7398851793433325</v>
      </c>
      <c r="Q43" s="156">
        <f>'R3'!Q33</f>
        <v>0.27697578300056441</v>
      </c>
      <c r="R43" s="156">
        <f>'R3'!R33</f>
        <v>0.11438738599028042</v>
      </c>
      <c r="S43" s="156">
        <f>'R3'!S33</f>
        <v>0.13639972254291424</v>
      </c>
      <c r="T43" s="156">
        <f>'R3'!T33</f>
        <v>0.19607384843804557</v>
      </c>
      <c r="U43" s="156" t="str">
        <f>'R3'!U33</f>
        <v/>
      </c>
      <c r="V43" s="156">
        <f>'R3'!V33</f>
        <v>0.16546971192160817</v>
      </c>
    </row>
    <row r="44" spans="1:22" s="1" customFormat="1" x14ac:dyDescent="0.35">
      <c r="A44" s="229"/>
      <c r="B44" s="156">
        <f>'R3'!B34</f>
        <v>0.15612392912621384</v>
      </c>
      <c r="C44" s="156">
        <f>'R3'!C34</f>
        <v>0.15714605389310904</v>
      </c>
      <c r="D44" s="156">
        <f>'R3'!D34</f>
        <v>5.7338083827348896E-2</v>
      </c>
      <c r="E44" s="156">
        <f>'R3'!E34</f>
        <v>0.12281677354021855</v>
      </c>
      <c r="F44" s="156">
        <f>'R3'!F34</f>
        <v>0.44572245554991752</v>
      </c>
      <c r="G44" s="156">
        <f>'R3'!G34</f>
        <v>1.5139617008499318</v>
      </c>
      <c r="H44" s="156">
        <f>'R3'!H34</f>
        <v>2.3959014276100814</v>
      </c>
      <c r="I44" s="156">
        <f>'R3'!I34</f>
        <v>5.6686819647622497E-2</v>
      </c>
      <c r="J44" s="156">
        <f>'R3'!J34</f>
        <v>0.23762895395526523</v>
      </c>
      <c r="K44" s="156">
        <f>'R3'!K34</f>
        <v>0.13188045094720879</v>
      </c>
      <c r="L44" s="156">
        <f>'R3'!L34</f>
        <v>0.19037689048075648</v>
      </c>
      <c r="M44" s="156">
        <f>'R3'!M34</f>
        <v>0.15594550237707472</v>
      </c>
      <c r="N44"/>
      <c r="O44" s="156">
        <f>'R3'!O34</f>
        <v>1.1615883764987351</v>
      </c>
      <c r="P44" s="156">
        <f>'R3'!P34</f>
        <v>1.3516510892847491</v>
      </c>
      <c r="Q44" s="156">
        <f>'R3'!Q34</f>
        <v>0.11874607787533975</v>
      </c>
      <c r="R44" s="156">
        <f>'R3'!R34</f>
        <v>0.10329377158892689</v>
      </c>
      <c r="S44" s="156">
        <f>'R3'!S34</f>
        <v>0.11657511000466989</v>
      </c>
      <c r="T44" s="156">
        <f>'R3'!T34</f>
        <v>9.2522451139429918E-2</v>
      </c>
      <c r="U44" s="156" t="str">
        <f>'R3'!U34</f>
        <v/>
      </c>
      <c r="V44" s="156">
        <f>'R3'!V34</f>
        <v>5.6686819647622497E-2</v>
      </c>
    </row>
    <row r="45" spans="1:22" s="1" customFormat="1" x14ac:dyDescent="0.35">
      <c r="A45" s="229"/>
      <c r="B45" s="156">
        <f>'R3'!B35</f>
        <v>9.6585815991431401E-2</v>
      </c>
      <c r="C45" s="156">
        <f>'R3'!C35</f>
        <v>0.21700698460923928</v>
      </c>
      <c r="D45" s="156">
        <f>'R3'!D35</f>
        <v>0.1702163696238834</v>
      </c>
      <c r="E45" s="156">
        <f>'R3'!E35</f>
        <v>0.13510282320049224</v>
      </c>
      <c r="F45" s="156">
        <f>'R3'!F35</f>
        <v>1.5981172072562534E-2</v>
      </c>
      <c r="G45" s="156">
        <f>'R3'!G35</f>
        <v>1.3777942079863812</v>
      </c>
      <c r="H45" s="156">
        <f>'R3'!H35</f>
        <v>3.123741707764514</v>
      </c>
      <c r="I45" s="156">
        <f>'R3'!I35</f>
        <v>2.7265562151890195E-2</v>
      </c>
      <c r="J45" s="156">
        <f>'R3'!J35</f>
        <v>0.15534428844955242</v>
      </c>
      <c r="K45" s="156">
        <f>'R3'!K35</f>
        <v>5.8428149520732157E-2</v>
      </c>
      <c r="L45" s="156">
        <f>'R3'!L35</f>
        <v>5.6739793497819345E-2</v>
      </c>
      <c r="M45" s="156">
        <f>'R3'!M35</f>
        <v>0.15087703071664324</v>
      </c>
      <c r="N45"/>
      <c r="O45" s="156">
        <f>'R3'!O35</f>
        <v>2.0266212851531877</v>
      </c>
      <c r="P45" s="156">
        <f>'R3'!P35</f>
        <v>2.238877117573685</v>
      </c>
      <c r="Q45" s="156">
        <f>'R3'!Q35</f>
        <v>6.6379070623052192E-2</v>
      </c>
      <c r="R45" s="156">
        <f>'R3'!R35</f>
        <v>0.11862616672184641</v>
      </c>
      <c r="S45" s="156">
        <f>'R3'!S35</f>
        <v>0.17277613239179698</v>
      </c>
      <c r="T45" s="156">
        <f>'R3'!T35</f>
        <v>0.24014630273438858</v>
      </c>
      <c r="U45" s="156" t="str">
        <f>'R3'!U35</f>
        <v/>
      </c>
      <c r="V45" s="156">
        <f>'R3'!V35</f>
        <v>2.7265562151890195E-2</v>
      </c>
    </row>
    <row r="46" spans="1:22" s="1" customFormat="1" x14ac:dyDescent="0.35">
      <c r="A46" s="229"/>
      <c r="B46" s="156" t="str">
        <f>'R3'!B36</f>
        <v/>
      </c>
      <c r="C46" s="156" t="str">
        <f>'R3'!C36</f>
        <v/>
      </c>
      <c r="D46" s="156" t="str">
        <f>'R3'!D36</f>
        <v/>
      </c>
      <c r="E46" s="156" t="str">
        <f>'R3'!E36</f>
        <v/>
      </c>
      <c r="F46" s="156" t="str">
        <f>'R3'!F36</f>
        <v/>
      </c>
      <c r="G46" s="156" t="str">
        <f>'R3'!G36</f>
        <v/>
      </c>
      <c r="H46" s="156" t="str">
        <f>'R3'!H36</f>
        <v/>
      </c>
      <c r="I46" s="156" t="str">
        <f>'R3'!I36</f>
        <v/>
      </c>
      <c r="J46" s="156" t="str">
        <f>'R3'!J36</f>
        <v/>
      </c>
      <c r="K46" s="156" t="str">
        <f>'R3'!K36</f>
        <v/>
      </c>
      <c r="L46" s="156" t="str">
        <f>'R3'!L36</f>
        <v/>
      </c>
      <c r="M46" s="156" t="str">
        <f>'R3'!M36</f>
        <v/>
      </c>
      <c r="N46"/>
      <c r="O46" s="156">
        <f>'R3'!O36</f>
        <v>0.36486895671533809</v>
      </c>
      <c r="P46" s="156" t="str">
        <f>'R3'!P36</f>
        <v/>
      </c>
      <c r="Q46" s="156" t="str">
        <f>'R3'!Q36</f>
        <v/>
      </c>
      <c r="R46" s="156" t="str">
        <f>'R3'!R36</f>
        <v/>
      </c>
      <c r="S46" s="156" t="str">
        <f>'R3'!S36</f>
        <v/>
      </c>
      <c r="T46" s="156" t="str">
        <f>'R3'!T36</f>
        <v/>
      </c>
      <c r="U46" s="156" t="str">
        <f>'R3'!U36</f>
        <v/>
      </c>
      <c r="V46" s="156" t="str">
        <f>'R3'!V36</f>
        <v/>
      </c>
    </row>
    <row r="47" spans="1:22" s="1" customFormat="1" x14ac:dyDescent="0.35">
      <c r="A47" s="229"/>
      <c r="B47" s="156" t="str">
        <f>'R3'!B37</f>
        <v/>
      </c>
      <c r="C47" s="156" t="str">
        <f>'R3'!C37</f>
        <v/>
      </c>
      <c r="D47" s="156" t="str">
        <f>'R3'!D37</f>
        <v/>
      </c>
      <c r="E47" s="156" t="str">
        <f>'R3'!E37</f>
        <v/>
      </c>
      <c r="F47" s="156" t="str">
        <f>'R3'!F37</f>
        <v/>
      </c>
      <c r="G47" s="156" t="str">
        <f>'R3'!G37</f>
        <v/>
      </c>
      <c r="H47" s="156" t="str">
        <f>'R3'!H37</f>
        <v/>
      </c>
      <c r="I47" s="156" t="str">
        <f>'R3'!I37</f>
        <v/>
      </c>
      <c r="J47" s="156" t="str">
        <f>'R3'!J37</f>
        <v/>
      </c>
      <c r="K47" s="156" t="str">
        <f>'R3'!K37</f>
        <v/>
      </c>
      <c r="L47" s="156" t="str">
        <f>'R3'!L37</f>
        <v/>
      </c>
      <c r="M47" s="156" t="str">
        <f>'R3'!M37</f>
        <v/>
      </c>
      <c r="N47"/>
      <c r="O47" s="156">
        <f>'R3'!O37</f>
        <v>0.20580576434743647</v>
      </c>
      <c r="P47" s="156" t="str">
        <f>'R3'!P37</f>
        <v/>
      </c>
      <c r="Q47" s="156" t="str">
        <f>'R3'!Q37</f>
        <v/>
      </c>
      <c r="R47" s="156" t="str">
        <f>'R3'!R37</f>
        <v/>
      </c>
      <c r="S47" s="156" t="str">
        <f>'R3'!S37</f>
        <v/>
      </c>
      <c r="T47" s="156" t="str">
        <f>'R3'!T37</f>
        <v/>
      </c>
      <c r="U47" s="156" t="str">
        <f>'R3'!U37</f>
        <v/>
      </c>
      <c r="V47" s="156" t="str">
        <f>'R3'!V37</f>
        <v/>
      </c>
    </row>
    <row r="48" spans="1:22" s="1" customFormat="1" x14ac:dyDescent="0.35">
      <c r="A48" s="229"/>
      <c r="B48" s="156" t="str">
        <f>'R3'!B38</f>
        <v/>
      </c>
      <c r="C48" s="156" t="str">
        <f>'R3'!C38</f>
        <v/>
      </c>
      <c r="D48" s="156" t="str">
        <f>'R3'!D38</f>
        <v/>
      </c>
      <c r="E48" s="156" t="str">
        <f>'R3'!E38</f>
        <v/>
      </c>
      <c r="F48" s="156" t="str">
        <f>'R3'!F38</f>
        <v/>
      </c>
      <c r="G48" s="156" t="str">
        <f>'R3'!G38</f>
        <v/>
      </c>
      <c r="H48" s="156" t="str">
        <f>'R3'!H38</f>
        <v/>
      </c>
      <c r="I48" s="156" t="str">
        <f>'R3'!I38</f>
        <v/>
      </c>
      <c r="J48" s="156" t="str">
        <f>'R3'!J38</f>
        <v/>
      </c>
      <c r="K48" s="156" t="str">
        <f>'R3'!K38</f>
        <v/>
      </c>
      <c r="L48" s="156" t="str">
        <f>'R3'!L38</f>
        <v/>
      </c>
      <c r="M48" s="156" t="str">
        <f>'R3'!M38</f>
        <v/>
      </c>
      <c r="N48"/>
      <c r="O48" s="156">
        <f>'R3'!O38</f>
        <v>1.2740296498490411</v>
      </c>
      <c r="P48" s="156" t="str">
        <f>'R3'!P38</f>
        <v/>
      </c>
      <c r="Q48" s="156" t="str">
        <f>'R3'!Q38</f>
        <v/>
      </c>
      <c r="R48" s="156" t="str">
        <f>'R3'!R38</f>
        <v/>
      </c>
      <c r="S48" s="156" t="str">
        <f>'R3'!S38</f>
        <v/>
      </c>
      <c r="T48" s="156" t="str">
        <f>'R3'!T38</f>
        <v/>
      </c>
      <c r="U48" s="156" t="str">
        <f>'R3'!U38</f>
        <v/>
      </c>
      <c r="V48" s="156" t="str">
        <f>'R3'!V38</f>
        <v/>
      </c>
    </row>
    <row r="49" spans="1:24" s="1" customFormat="1" x14ac:dyDescent="0.35">
      <c r="A49" s="229"/>
      <c r="B49" s="156" t="str">
        <f>'R3'!B39</f>
        <v/>
      </c>
      <c r="C49" s="156" t="str">
        <f>'R3'!C39</f>
        <v/>
      </c>
      <c r="D49" s="156" t="str">
        <f>'R3'!D39</f>
        <v/>
      </c>
      <c r="E49" s="156" t="str">
        <f>'R3'!E39</f>
        <v/>
      </c>
      <c r="F49" s="156" t="str">
        <f>'R3'!F39</f>
        <v/>
      </c>
      <c r="G49" s="156" t="str">
        <f>'R3'!G39</f>
        <v/>
      </c>
      <c r="H49" s="156" t="str">
        <f>'R3'!H39</f>
        <v/>
      </c>
      <c r="I49" s="156" t="str">
        <f>'R3'!I39</f>
        <v/>
      </c>
      <c r="J49" s="156" t="str">
        <f>'R3'!J39</f>
        <v/>
      </c>
      <c r="K49" s="156" t="str">
        <f>'R3'!K39</f>
        <v/>
      </c>
      <c r="L49" s="156" t="str">
        <f>'R3'!L39</f>
        <v/>
      </c>
      <c r="M49" s="156" t="str">
        <f>'R3'!M39</f>
        <v/>
      </c>
      <c r="N49"/>
      <c r="O49" s="156">
        <f>'R3'!O39</f>
        <v>0.57988632380103933</v>
      </c>
      <c r="P49" s="156" t="str">
        <f>'R3'!P39</f>
        <v/>
      </c>
      <c r="Q49" s="156" t="str">
        <f>'R3'!Q39</f>
        <v/>
      </c>
      <c r="R49" s="156" t="str">
        <f>'R3'!R39</f>
        <v/>
      </c>
      <c r="S49" s="156" t="str">
        <f>'R3'!S39</f>
        <v/>
      </c>
      <c r="T49" s="156" t="str">
        <f>'R3'!T39</f>
        <v/>
      </c>
      <c r="U49" s="156" t="str">
        <f>'R3'!U39</f>
        <v/>
      </c>
      <c r="V49" s="156" t="str">
        <f>'R3'!V39</f>
        <v/>
      </c>
    </row>
    <row r="50" spans="1:24" s="1" customFormat="1" x14ac:dyDescent="0.35">
      <c r="A50" s="229"/>
      <c r="B50" s="156" t="str">
        <f>'R3'!B40</f>
        <v/>
      </c>
      <c r="C50" s="156" t="str">
        <f>'R3'!C40</f>
        <v/>
      </c>
      <c r="D50" s="156" t="str">
        <f>'R3'!D40</f>
        <v/>
      </c>
      <c r="E50" s="156" t="str">
        <f>'R3'!E40</f>
        <v/>
      </c>
      <c r="F50" s="156" t="str">
        <f>'R3'!F40</f>
        <v/>
      </c>
      <c r="G50" s="156" t="str">
        <f>'R3'!G40</f>
        <v/>
      </c>
      <c r="H50" s="156" t="str">
        <f>'R3'!H40</f>
        <v/>
      </c>
      <c r="I50" s="156" t="str">
        <f>'R3'!I40</f>
        <v/>
      </c>
      <c r="J50" s="156" t="str">
        <f>'R3'!J40</f>
        <v/>
      </c>
      <c r="K50" s="156" t="str">
        <f>'R3'!K40</f>
        <v/>
      </c>
      <c r="L50" s="156" t="str">
        <f>'R3'!L40</f>
        <v/>
      </c>
      <c r="M50" s="156" t="str">
        <f>'R3'!M40</f>
        <v/>
      </c>
      <c r="N50"/>
      <c r="O50" s="156">
        <f>'R3'!O40</f>
        <v>1.0919247089845241</v>
      </c>
      <c r="P50" s="156" t="str">
        <f>'R3'!P40</f>
        <v/>
      </c>
      <c r="Q50" s="156" t="str">
        <f>'R3'!Q40</f>
        <v/>
      </c>
      <c r="R50" s="156" t="str">
        <f>'R3'!R40</f>
        <v/>
      </c>
      <c r="S50" s="156" t="str">
        <f>'R3'!S40</f>
        <v/>
      </c>
      <c r="T50" s="156" t="str">
        <f>'R3'!T40</f>
        <v/>
      </c>
      <c r="U50" s="156" t="str">
        <f>'R3'!U40</f>
        <v/>
      </c>
      <c r="V50" s="156" t="str">
        <f>'R3'!V40</f>
        <v/>
      </c>
    </row>
    <row r="51" spans="1:24" s="1" customFormat="1" x14ac:dyDescent="0.35">
      <c r="A51" s="229"/>
      <c r="B51" s="156" t="str">
        <f>'R3'!B41</f>
        <v/>
      </c>
      <c r="C51" s="156" t="str">
        <f>'R3'!C41</f>
        <v/>
      </c>
      <c r="D51" s="156" t="str">
        <f>'R3'!D41</f>
        <v/>
      </c>
      <c r="E51" s="156" t="str">
        <f>'R3'!E41</f>
        <v/>
      </c>
      <c r="F51" s="156" t="str">
        <f>'R3'!F41</f>
        <v/>
      </c>
      <c r="G51" s="156" t="str">
        <f>'R3'!G41</f>
        <v/>
      </c>
      <c r="H51" s="156" t="str">
        <f>'R3'!H41</f>
        <v/>
      </c>
      <c r="I51" s="156" t="str">
        <f>'R3'!I41</f>
        <v/>
      </c>
      <c r="J51" s="156" t="str">
        <f>'R3'!J41</f>
        <v/>
      </c>
      <c r="K51" s="156" t="str">
        <f>'R3'!K41</f>
        <v/>
      </c>
      <c r="L51" s="156" t="str">
        <f>'R3'!L41</f>
        <v/>
      </c>
      <c r="M51" s="156" t="str">
        <f>'R3'!M41</f>
        <v/>
      </c>
      <c r="N51"/>
      <c r="O51" s="156">
        <f>'R3'!O41</f>
        <v>1.0741851890803866</v>
      </c>
      <c r="P51" s="156" t="str">
        <f>'R3'!P41</f>
        <v/>
      </c>
      <c r="Q51" s="156" t="str">
        <f>'R3'!Q41</f>
        <v/>
      </c>
      <c r="R51" s="156" t="str">
        <f>'R3'!R41</f>
        <v/>
      </c>
      <c r="S51" s="156" t="str">
        <f>'R3'!S41</f>
        <v/>
      </c>
      <c r="T51" s="156" t="str">
        <f>'R3'!T41</f>
        <v/>
      </c>
      <c r="U51" s="156" t="str">
        <f>'R3'!U41</f>
        <v/>
      </c>
      <c r="V51" s="156" t="str">
        <f>'R3'!V41</f>
        <v/>
      </c>
    </row>
    <row r="52" spans="1:24" s="1" customFormat="1" x14ac:dyDescent="0.35">
      <c r="A52" s="229"/>
      <c r="B52" s="156" t="str">
        <f>'R3'!B42</f>
        <v/>
      </c>
      <c r="C52" s="156" t="str">
        <f>'R3'!C42</f>
        <v/>
      </c>
      <c r="D52" s="156" t="str">
        <f>'R3'!D42</f>
        <v/>
      </c>
      <c r="E52" s="156" t="str">
        <f>'R3'!E42</f>
        <v/>
      </c>
      <c r="F52" s="156" t="str">
        <f>'R3'!F42</f>
        <v/>
      </c>
      <c r="G52" s="156" t="str">
        <f>'R3'!G42</f>
        <v/>
      </c>
      <c r="H52" s="156" t="str">
        <f>'R3'!H42</f>
        <v/>
      </c>
      <c r="I52" s="156" t="str">
        <f>'R3'!I42</f>
        <v/>
      </c>
      <c r="J52" s="156" t="str">
        <f>'R3'!J42</f>
        <v/>
      </c>
      <c r="K52" s="156" t="str">
        <f>'R3'!K42</f>
        <v/>
      </c>
      <c r="L52" s="156" t="str">
        <f>'R3'!L42</f>
        <v/>
      </c>
      <c r="M52" s="156" t="str">
        <f>'R3'!M42</f>
        <v/>
      </c>
      <c r="N52"/>
      <c r="O52" s="156">
        <f>'R3'!O42</f>
        <v>1.3317170381828363</v>
      </c>
      <c r="P52" s="156" t="str">
        <f>'R3'!P42</f>
        <v/>
      </c>
      <c r="Q52" s="156" t="str">
        <f>'R3'!Q42</f>
        <v/>
      </c>
      <c r="R52" s="156" t="str">
        <f>'R3'!R42</f>
        <v/>
      </c>
      <c r="S52" s="156" t="str">
        <f>'R3'!S42</f>
        <v/>
      </c>
      <c r="T52" s="156" t="str">
        <f>'R3'!T42</f>
        <v/>
      </c>
      <c r="U52" s="156" t="str">
        <f>'R3'!U42</f>
        <v/>
      </c>
      <c r="V52" s="156" t="str">
        <f>'R3'!V42</f>
        <v/>
      </c>
    </row>
    <row r="53" spans="1:24" s="1" customFormat="1" x14ac:dyDescent="0.35">
      <c r="A53" s="230"/>
      <c r="B53" s="156" t="str">
        <f>'R3'!B43</f>
        <v/>
      </c>
      <c r="C53" s="156" t="str">
        <f>'R3'!C43</f>
        <v/>
      </c>
      <c r="D53" s="156" t="str">
        <f>'R3'!D43</f>
        <v/>
      </c>
      <c r="E53" s="156" t="str">
        <f>'R3'!E43</f>
        <v/>
      </c>
      <c r="F53" s="156" t="str">
        <f>'R3'!F43</f>
        <v/>
      </c>
      <c r="G53" s="156" t="str">
        <f>'R3'!G43</f>
        <v/>
      </c>
      <c r="H53" s="156" t="str">
        <f>'R3'!H43</f>
        <v/>
      </c>
      <c r="I53" s="156" t="str">
        <f>'R3'!I43</f>
        <v/>
      </c>
      <c r="J53" s="156" t="str">
        <f>'R3'!J43</f>
        <v/>
      </c>
      <c r="K53" s="156" t="str">
        <f>'R3'!K43</f>
        <v/>
      </c>
      <c r="L53" s="156" t="str">
        <f>'R3'!L43</f>
        <v/>
      </c>
      <c r="M53" s="156" t="str">
        <f>'R3'!M43</f>
        <v/>
      </c>
      <c r="N53"/>
      <c r="O53" s="156">
        <f>'R3'!O43</f>
        <v>1.1928000977681714</v>
      </c>
      <c r="P53" s="156" t="str">
        <f>'R3'!P43</f>
        <v/>
      </c>
      <c r="Q53" s="156" t="str">
        <f>'R3'!Q43</f>
        <v/>
      </c>
      <c r="R53" s="156" t="str">
        <f>'R3'!R43</f>
        <v/>
      </c>
      <c r="S53" s="156" t="str">
        <f>'R3'!S43</f>
        <v/>
      </c>
      <c r="T53" s="156" t="str">
        <f>'R3'!T43</f>
        <v/>
      </c>
      <c r="U53" s="156" t="str">
        <f>'R3'!U43</f>
        <v/>
      </c>
      <c r="V53" s="156" t="str">
        <f>'R3'!V43</f>
        <v/>
      </c>
    </row>
    <row r="54" spans="1:24" s="60" customFormat="1" x14ac:dyDescent="0.35">
      <c r="A54" s="58"/>
      <c r="B54" s="59"/>
      <c r="C54" s="59"/>
      <c r="D54" s="59"/>
      <c r="E54" s="59"/>
      <c r="F54" s="59"/>
      <c r="G54" s="59"/>
      <c r="H54" s="59"/>
      <c r="I54" s="59"/>
      <c r="J54" s="59"/>
      <c r="K54" s="59"/>
      <c r="L54" s="59"/>
      <c r="M54" s="59"/>
      <c r="N54"/>
      <c r="O54" s="59"/>
      <c r="P54" s="59"/>
      <c r="Q54" s="59"/>
      <c r="R54" s="59"/>
      <c r="S54" s="59"/>
      <c r="T54" s="59"/>
      <c r="U54" s="59"/>
      <c r="V54" s="59"/>
    </row>
    <row r="55" spans="1:24" s="41" customFormat="1" x14ac:dyDescent="0.35">
      <c r="A55" s="41" t="s">
        <v>47</v>
      </c>
      <c r="B55" s="15" t="str">
        <f t="shared" ref="B55:M55" si="0">B4</f>
        <v>Témoin solvant</v>
      </c>
      <c r="C55" s="15" t="str">
        <f t="shared" si="0"/>
        <v>EE2-33,8ng/L</v>
      </c>
      <c r="D55" s="15" t="str">
        <f t="shared" si="0"/>
        <v>EE2-50,6ng/L</v>
      </c>
      <c r="E55" s="15" t="str">
        <f t="shared" si="0"/>
        <v>EE2-76ng/L</v>
      </c>
      <c r="F55" s="15" t="str">
        <f t="shared" si="0"/>
        <v>EE2-114ng/L</v>
      </c>
      <c r="G55" s="15" t="str">
        <f t="shared" si="0"/>
        <v>EE2-170,9ng/L</v>
      </c>
      <c r="H55" s="15" t="str">
        <f t="shared" si="0"/>
        <v>EE2-488ng/L</v>
      </c>
      <c r="I55" s="15" t="str">
        <f t="shared" si="0"/>
        <v>FAD-5.4µg/L</v>
      </c>
      <c r="J55" s="15" t="str">
        <f t="shared" si="0"/>
        <v>FAD-11µg/L</v>
      </c>
      <c r="K55" s="15" t="str">
        <f t="shared" si="0"/>
        <v>FAD-22µg/L</v>
      </c>
      <c r="L55" s="15" t="str">
        <f t="shared" si="0"/>
        <v>FAD-44µg/L</v>
      </c>
      <c r="M55" s="15" t="str">
        <f t="shared" si="0"/>
        <v>FAD-87µg/L</v>
      </c>
      <c r="O55" s="15" t="str">
        <f t="shared" ref="O55:V55" si="1">O4</f>
        <v>Testo -30µg/L</v>
      </c>
      <c r="P55" s="15" t="str">
        <f t="shared" si="1"/>
        <v>Testo 30µg/L + EE2 -64ng/L</v>
      </c>
      <c r="Q55" s="15" t="str">
        <f t="shared" si="1"/>
        <v>Testo 30µg/L + FAD-10mg/L</v>
      </c>
      <c r="R55" s="15" t="str">
        <f t="shared" si="1"/>
        <v>FAD-5,4µg/L + Testostérone</v>
      </c>
      <c r="S55" s="15" t="str">
        <f t="shared" si="1"/>
        <v>FAD-11µg/L + Testostérone</v>
      </c>
      <c r="T55" s="15" t="str">
        <f t="shared" si="1"/>
        <v>FAD-22µg/L + Testostérone</v>
      </c>
      <c r="U55" s="15" t="str">
        <f t="shared" si="1"/>
        <v>FAD-44µg/L + Testostérone</v>
      </c>
      <c r="V55" s="15" t="str">
        <f t="shared" si="1"/>
        <v>FAD-87µg/L + Testostérone</v>
      </c>
    </row>
    <row r="56" spans="1:24" x14ac:dyDescent="0.35">
      <c r="A56" t="s">
        <v>48</v>
      </c>
      <c r="B56" s="9">
        <f t="shared" ref="B56:V56" si="2">AVERAGE(B6:B53)</f>
        <v>0.10038748006553395</v>
      </c>
      <c r="C56" s="9">
        <f t="shared" si="2"/>
        <v>0.14482434819950377</v>
      </c>
      <c r="D56" s="9">
        <f t="shared" si="2"/>
        <v>0.14329291465071939</v>
      </c>
      <c r="E56" s="9">
        <f t="shared" si="2"/>
        <v>0.33519771546365895</v>
      </c>
      <c r="F56" s="9">
        <f t="shared" si="2"/>
        <v>0.99299282299267866</v>
      </c>
      <c r="G56" s="9">
        <f t="shared" si="2"/>
        <v>1.5058957174186063</v>
      </c>
      <c r="H56" s="9">
        <f t="shared" si="2"/>
        <v>2.3895889157248811</v>
      </c>
      <c r="I56" s="9">
        <f t="shared" si="2"/>
        <v>9.9419711976737629E-2</v>
      </c>
      <c r="J56" s="9">
        <f t="shared" si="2"/>
        <v>0.12318641759912631</v>
      </c>
      <c r="K56" s="9">
        <f t="shared" si="2"/>
        <v>9.8606288911205903E-2</v>
      </c>
      <c r="L56" s="9">
        <f t="shared" si="2"/>
        <v>9.5752955557830824E-2</v>
      </c>
      <c r="M56" s="9">
        <f t="shared" si="2"/>
        <v>9.450511212467573E-2</v>
      </c>
      <c r="N56" s="9"/>
      <c r="O56" s="9">
        <f t="shared" si="2"/>
        <v>1.0000000000000002</v>
      </c>
      <c r="P56" s="9">
        <f t="shared" si="2"/>
        <v>1.8210194807272813</v>
      </c>
      <c r="Q56" s="9">
        <f t="shared" si="2"/>
        <v>9.0738879492618094E-2</v>
      </c>
      <c r="R56" s="9">
        <f t="shared" si="2"/>
        <v>9.3450997154082671E-2</v>
      </c>
      <c r="S56" s="9">
        <f t="shared" si="2"/>
        <v>0.11853258339724738</v>
      </c>
      <c r="T56" s="9">
        <f t="shared" si="2"/>
        <v>0.10086788827521706</v>
      </c>
      <c r="U56" s="9">
        <f t="shared" si="2"/>
        <v>0.10506860199801071</v>
      </c>
      <c r="V56" s="9">
        <f t="shared" si="2"/>
        <v>0.11333973772911919</v>
      </c>
    </row>
    <row r="57" spans="1:24" x14ac:dyDescent="0.35">
      <c r="A57" t="s">
        <v>1</v>
      </c>
      <c r="B57" s="3">
        <f>STDEV(B6:B53)</f>
        <v>5.4991623971899758E-2</v>
      </c>
      <c r="C57" s="3">
        <f t="shared" ref="C57:V57" si="3">STDEV(C6:C53)</f>
        <v>9.1149554481399664E-2</v>
      </c>
      <c r="D57" s="3">
        <f t="shared" si="3"/>
        <v>0.15634167220124939</v>
      </c>
      <c r="E57" s="3">
        <f t="shared" si="3"/>
        <v>0.34583232022449395</v>
      </c>
      <c r="F57" s="3">
        <f t="shared" si="3"/>
        <v>0.54504995530373312</v>
      </c>
      <c r="G57" s="3">
        <f t="shared" si="3"/>
        <v>0.38214248021711622</v>
      </c>
      <c r="H57" s="3">
        <f t="shared" si="3"/>
        <v>0.50838800705628429</v>
      </c>
      <c r="I57" s="3">
        <f t="shared" si="3"/>
        <v>8.221112850254271E-2</v>
      </c>
      <c r="J57" s="3">
        <f t="shared" si="3"/>
        <v>7.5335867516447025E-2</v>
      </c>
      <c r="K57" s="3">
        <f t="shared" si="3"/>
        <v>5.0204936238462283E-2</v>
      </c>
      <c r="L57" s="3">
        <f t="shared" si="3"/>
        <v>6.4287335517914546E-2</v>
      </c>
      <c r="M57" s="3">
        <f t="shared" si="3"/>
        <v>5.1322452896464768E-2</v>
      </c>
      <c r="N57" s="3"/>
      <c r="O57" s="3">
        <f t="shared" si="3"/>
        <v>0.51965028570765381</v>
      </c>
      <c r="P57" s="3">
        <f t="shared" si="3"/>
        <v>0.54106026548749775</v>
      </c>
      <c r="Q57" s="3">
        <f t="shared" si="3"/>
        <v>6.5774361695759329E-2</v>
      </c>
      <c r="R57" s="3">
        <f t="shared" si="3"/>
        <v>4.8871009498040699E-2</v>
      </c>
      <c r="S57" s="3">
        <f t="shared" si="3"/>
        <v>7.8505236905227191E-2</v>
      </c>
      <c r="T57" s="3">
        <f t="shared" si="3"/>
        <v>8.8198647469957481E-2</v>
      </c>
      <c r="U57" s="3">
        <f t="shared" si="3"/>
        <v>7.14434814831479E-2</v>
      </c>
      <c r="V57" s="3">
        <f t="shared" si="3"/>
        <v>6.9463547341376566E-2</v>
      </c>
      <c r="W57" s="3"/>
      <c r="X57" s="3"/>
    </row>
    <row r="58" spans="1:24" x14ac:dyDescent="0.35">
      <c r="A58" t="s">
        <v>2</v>
      </c>
      <c r="B58" s="3">
        <f xml:space="preserve"> B57/SQRT(COUNT(B6:B53))</f>
        <v>1.1466546250547665E-2</v>
      </c>
      <c r="C58" s="3">
        <f t="shared" ref="C58:V58" si="4" xml:space="preserve"> C57/SQRT(COUNT(C6:C53))</f>
        <v>1.9005995944252466E-2</v>
      </c>
      <c r="D58" s="3">
        <f t="shared" si="4"/>
        <v>3.2599492171746777E-2</v>
      </c>
      <c r="E58" s="3">
        <f t="shared" si="4"/>
        <v>7.0592726759400454E-2</v>
      </c>
      <c r="F58" s="3">
        <f t="shared" si="4"/>
        <v>0.111257856235077</v>
      </c>
      <c r="G58" s="3">
        <f t="shared" si="4"/>
        <v>8.147305053219886E-2</v>
      </c>
      <c r="H58" s="3">
        <f t="shared" si="4"/>
        <v>0.10600622740498512</v>
      </c>
      <c r="I58" s="3">
        <f t="shared" si="4"/>
        <v>1.7527471489145248E-2</v>
      </c>
      <c r="J58" s="3">
        <f t="shared" si="4"/>
        <v>1.5708614272673366E-2</v>
      </c>
      <c r="K58" s="3">
        <f t="shared" si="4"/>
        <v>1.0703728370627904E-2</v>
      </c>
      <c r="L58" s="3">
        <f t="shared" si="4"/>
        <v>1.3122597411832698E-2</v>
      </c>
      <c r="M58" s="3">
        <f t="shared" si="4"/>
        <v>1.0476151828696939E-2</v>
      </c>
      <c r="N58" s="3"/>
      <c r="O58" s="3">
        <f t="shared" si="4"/>
        <v>7.6618254641187655E-2</v>
      </c>
      <c r="P58" s="3">
        <f t="shared" si="4"/>
        <v>0.11281886422769091</v>
      </c>
      <c r="Q58" s="3">
        <f t="shared" si="4"/>
        <v>1.3714902488969361E-2</v>
      </c>
      <c r="R58" s="3">
        <f t="shared" si="4"/>
        <v>1.0190309909861693E-2</v>
      </c>
      <c r="S58" s="3">
        <f t="shared" si="4"/>
        <v>1.6024814379509787E-2</v>
      </c>
      <c r="T58" s="3">
        <f t="shared" si="4"/>
        <v>1.8390689297824687E-2</v>
      </c>
      <c r="U58" s="3">
        <f t="shared" si="4"/>
        <v>1.683939007610314E-2</v>
      </c>
      <c r="V58" s="3">
        <f t="shared" si="4"/>
        <v>1.4809678053783342E-2</v>
      </c>
      <c r="W58" s="3"/>
      <c r="X58" s="3"/>
    </row>
    <row r="59" spans="1:24" s="1" customFormat="1" ht="15" thickBot="1" x14ac:dyDescent="0.4">
      <c r="B59" s="3"/>
      <c r="C59" s="3"/>
      <c r="D59" s="3"/>
      <c r="E59" s="3"/>
      <c r="F59" s="3"/>
      <c r="G59" s="3"/>
      <c r="H59" s="3"/>
      <c r="I59" s="3"/>
      <c r="J59" s="3"/>
      <c r="K59" s="3"/>
      <c r="L59" s="3"/>
      <c r="M59" s="3"/>
      <c r="N59" s="3"/>
      <c r="O59" s="3"/>
      <c r="P59" s="3"/>
      <c r="Q59" s="3"/>
      <c r="R59" s="3"/>
      <c r="S59" s="3"/>
      <c r="T59" s="3"/>
      <c r="U59" s="3"/>
      <c r="V59" s="3"/>
    </row>
    <row r="60" spans="1:24" s="48" customFormat="1" ht="26.5" thickBot="1" x14ac:dyDescent="0.4">
      <c r="A60" s="231" t="s">
        <v>46</v>
      </c>
      <c r="B60" s="232"/>
      <c r="C60" s="232"/>
      <c r="D60" s="232"/>
      <c r="E60" s="232"/>
      <c r="F60" s="232"/>
      <c r="G60" s="232"/>
      <c r="H60" s="232"/>
      <c r="I60" s="232"/>
      <c r="J60" s="232"/>
      <c r="K60" s="232"/>
      <c r="L60" s="232"/>
      <c r="M60" s="232"/>
      <c r="N60" s="232"/>
      <c r="O60" s="232"/>
      <c r="P60" s="232"/>
      <c r="Q60" s="232"/>
      <c r="R60" s="232"/>
      <c r="S60" s="232"/>
      <c r="T60" s="232"/>
      <c r="U60" s="232"/>
      <c r="V60" s="232"/>
    </row>
    <row r="61" spans="1:24" s="1" customFormat="1" x14ac:dyDescent="0.35">
      <c r="B61" s="3"/>
      <c r="C61" s="3"/>
      <c r="D61" s="3"/>
      <c r="E61" s="3"/>
      <c r="F61" s="3"/>
      <c r="G61" s="3"/>
      <c r="H61" s="3"/>
      <c r="I61" s="3"/>
      <c r="J61" s="3"/>
      <c r="K61" s="3"/>
      <c r="L61" s="3"/>
      <c r="M61" s="3"/>
      <c r="N61" s="3"/>
      <c r="O61" s="3"/>
      <c r="P61" s="3"/>
      <c r="Q61" s="3"/>
      <c r="R61" s="3"/>
      <c r="S61" s="3"/>
      <c r="T61" s="3"/>
      <c r="U61" s="3"/>
      <c r="V61" s="3"/>
    </row>
    <row r="62" spans="1:24" s="1" customFormat="1" x14ac:dyDescent="0.35">
      <c r="A62" s="1" t="s">
        <v>47</v>
      </c>
      <c r="B62" s="3" t="str">
        <f t="shared" ref="B62" si="5">B4</f>
        <v>Témoin solvant</v>
      </c>
      <c r="C62" s="3" t="str">
        <f t="shared" ref="C62:V62" si="6">C4</f>
        <v>EE2-33,8ng/L</v>
      </c>
      <c r="D62" s="3" t="str">
        <f t="shared" si="6"/>
        <v>EE2-50,6ng/L</v>
      </c>
      <c r="E62" s="3" t="str">
        <f t="shared" si="6"/>
        <v>EE2-76ng/L</v>
      </c>
      <c r="F62" s="3" t="str">
        <f t="shared" si="6"/>
        <v>EE2-114ng/L</v>
      </c>
      <c r="G62" s="3" t="str">
        <f t="shared" si="6"/>
        <v>EE2-170,9ng/L</v>
      </c>
      <c r="H62" s="3" t="str">
        <f t="shared" si="6"/>
        <v>EE2-488ng/L</v>
      </c>
      <c r="I62" s="3" t="str">
        <f t="shared" si="6"/>
        <v>FAD-5.4µg/L</v>
      </c>
      <c r="J62" s="3" t="str">
        <f t="shared" si="6"/>
        <v>FAD-11µg/L</v>
      </c>
      <c r="K62" s="3" t="str">
        <f t="shared" si="6"/>
        <v>FAD-22µg/L</v>
      </c>
      <c r="L62" s="3" t="str">
        <f t="shared" si="6"/>
        <v>FAD-44µg/L</v>
      </c>
      <c r="M62" s="3" t="str">
        <f t="shared" si="6"/>
        <v>FAD-87µg/L</v>
      </c>
      <c r="N62" s="3"/>
      <c r="O62" s="3" t="str">
        <f t="shared" si="6"/>
        <v>Testo -30µg/L</v>
      </c>
      <c r="P62" s="3" t="str">
        <f t="shared" si="6"/>
        <v>Testo 30µg/L + EE2 -64ng/L</v>
      </c>
      <c r="Q62" s="3" t="str">
        <f t="shared" si="6"/>
        <v>Testo 30µg/L + FAD-10mg/L</v>
      </c>
      <c r="R62" s="3" t="str">
        <f t="shared" si="6"/>
        <v>FAD-5,4µg/L + Testostérone</v>
      </c>
      <c r="S62" s="3" t="str">
        <f t="shared" si="6"/>
        <v>FAD-11µg/L + Testostérone</v>
      </c>
      <c r="T62" s="3" t="str">
        <f t="shared" si="6"/>
        <v>FAD-22µg/L + Testostérone</v>
      </c>
      <c r="U62" s="3" t="str">
        <f t="shared" si="6"/>
        <v>FAD-44µg/L + Testostérone</v>
      </c>
      <c r="V62" s="3" t="str">
        <f t="shared" si="6"/>
        <v>FAD-87µg/L + Testostérone</v>
      </c>
    </row>
    <row r="63" spans="1:24" s="1" customFormat="1" x14ac:dyDescent="0.35">
      <c r="A63" s="1" t="s">
        <v>49</v>
      </c>
      <c r="B63" s="3">
        <f>COUNT(B6:B53)</f>
        <v>23</v>
      </c>
      <c r="C63" s="3">
        <f t="shared" ref="C63:V63" si="7">COUNT(C6:C53)</f>
        <v>23</v>
      </c>
      <c r="D63" s="3">
        <f t="shared" si="7"/>
        <v>23</v>
      </c>
      <c r="E63" s="3">
        <f t="shared" si="7"/>
        <v>24</v>
      </c>
      <c r="F63" s="3">
        <f t="shared" si="7"/>
        <v>24</v>
      </c>
      <c r="G63" s="3">
        <f t="shared" si="7"/>
        <v>22</v>
      </c>
      <c r="H63" s="3">
        <f t="shared" si="7"/>
        <v>23</v>
      </c>
      <c r="I63" s="3">
        <f t="shared" si="7"/>
        <v>22</v>
      </c>
      <c r="J63" s="3">
        <f t="shared" si="7"/>
        <v>23</v>
      </c>
      <c r="K63" s="3">
        <f t="shared" si="7"/>
        <v>22</v>
      </c>
      <c r="L63" s="3">
        <f t="shared" si="7"/>
        <v>24</v>
      </c>
      <c r="M63" s="3">
        <f t="shared" si="7"/>
        <v>24</v>
      </c>
      <c r="N63" s="3"/>
      <c r="O63" s="3">
        <f t="shared" si="7"/>
        <v>46</v>
      </c>
      <c r="P63" s="3">
        <f t="shared" si="7"/>
        <v>23</v>
      </c>
      <c r="Q63" s="3">
        <f t="shared" si="7"/>
        <v>23</v>
      </c>
      <c r="R63" s="3">
        <f t="shared" si="7"/>
        <v>23</v>
      </c>
      <c r="S63" s="3">
        <f t="shared" si="7"/>
        <v>24</v>
      </c>
      <c r="T63" s="3">
        <f t="shared" si="7"/>
        <v>23</v>
      </c>
      <c r="U63" s="3">
        <f t="shared" si="7"/>
        <v>18</v>
      </c>
      <c r="V63" s="3">
        <f t="shared" si="7"/>
        <v>22</v>
      </c>
    </row>
    <row r="64" spans="1:24" s="1" customFormat="1" ht="15" thickBot="1" x14ac:dyDescent="0.4">
      <c r="B64" s="3" t="str">
        <f>IF(B63&gt;=21,"OK","ATTENTION")</f>
        <v>OK</v>
      </c>
      <c r="C64" s="3" t="str">
        <f t="shared" ref="C64:V64" si="8">IF(C63&gt;=21,"OK","ATTENTION")</f>
        <v>OK</v>
      </c>
      <c r="D64" s="3" t="str">
        <f t="shared" si="8"/>
        <v>OK</v>
      </c>
      <c r="E64" s="3" t="str">
        <f t="shared" si="8"/>
        <v>OK</v>
      </c>
      <c r="F64" s="3" t="str">
        <f t="shared" si="8"/>
        <v>OK</v>
      </c>
      <c r="G64" s="3" t="str">
        <f t="shared" si="8"/>
        <v>OK</v>
      </c>
      <c r="H64" s="3" t="str">
        <f t="shared" si="8"/>
        <v>OK</v>
      </c>
      <c r="I64" s="3" t="str">
        <f t="shared" si="8"/>
        <v>OK</v>
      </c>
      <c r="J64" s="3" t="str">
        <f t="shared" si="8"/>
        <v>OK</v>
      </c>
      <c r="K64" s="3" t="str">
        <f t="shared" si="8"/>
        <v>OK</v>
      </c>
      <c r="L64" s="3" t="str">
        <f t="shared" si="8"/>
        <v>OK</v>
      </c>
      <c r="M64" s="3" t="str">
        <f t="shared" si="8"/>
        <v>OK</v>
      </c>
      <c r="N64" s="3"/>
      <c r="O64" s="3" t="str">
        <f>IF(O63&gt;=41,"OK","ATTENTION")</f>
        <v>OK</v>
      </c>
      <c r="P64" s="3" t="str">
        <f t="shared" si="8"/>
        <v>OK</v>
      </c>
      <c r="Q64" s="3" t="str">
        <f t="shared" si="8"/>
        <v>OK</v>
      </c>
      <c r="R64" s="3" t="str">
        <f t="shared" si="8"/>
        <v>OK</v>
      </c>
      <c r="S64" s="3" t="str">
        <f t="shared" si="8"/>
        <v>OK</v>
      </c>
      <c r="T64" s="3" t="str">
        <f t="shared" si="8"/>
        <v>OK</v>
      </c>
      <c r="U64" s="3" t="str">
        <f t="shared" si="8"/>
        <v>ATTENTION</v>
      </c>
      <c r="V64" s="3" t="str">
        <f t="shared" si="8"/>
        <v>OK</v>
      </c>
    </row>
    <row r="65" spans="1:22" s="48" customFormat="1" ht="26.5" thickBot="1" x14ac:dyDescent="0.4">
      <c r="A65" s="231" t="s">
        <v>58</v>
      </c>
      <c r="B65" s="232"/>
      <c r="C65" s="232"/>
      <c r="D65" s="232"/>
      <c r="E65" s="232"/>
      <c r="F65" s="232"/>
      <c r="G65" s="232"/>
      <c r="H65" s="232"/>
      <c r="I65" s="232"/>
      <c r="J65" s="232"/>
      <c r="K65" s="232"/>
      <c r="L65" s="232"/>
      <c r="M65" s="232"/>
      <c r="N65" s="232"/>
      <c r="O65" s="232"/>
      <c r="P65" s="232"/>
      <c r="Q65" s="232"/>
      <c r="R65" s="232"/>
      <c r="S65" s="232"/>
      <c r="T65" s="232"/>
      <c r="U65" s="232"/>
      <c r="V65" s="232"/>
    </row>
    <row r="66" spans="1:22" s="1" customFormat="1" x14ac:dyDescent="0.35">
      <c r="B66" s="1" t="s">
        <v>61</v>
      </c>
      <c r="C66" s="3"/>
      <c r="D66" s="3"/>
      <c r="E66" s="3"/>
      <c r="F66" s="3"/>
      <c r="G66" s="3"/>
      <c r="H66" s="3"/>
      <c r="I66" s="3"/>
      <c r="J66" s="3"/>
      <c r="K66" s="3"/>
      <c r="L66" s="3"/>
      <c r="M66" s="3"/>
      <c r="N66" s="3"/>
      <c r="O66" s="3"/>
      <c r="P66" s="3"/>
      <c r="Q66" s="3"/>
      <c r="R66" s="3"/>
      <c r="S66" s="3"/>
      <c r="T66" s="3"/>
      <c r="U66" s="3"/>
      <c r="V66" s="3"/>
    </row>
    <row r="67" spans="1:22" s="1" customFormat="1" x14ac:dyDescent="0.35">
      <c r="A67" s="1" t="s">
        <v>59</v>
      </c>
      <c r="B67" s="3">
        <v>3.5</v>
      </c>
      <c r="C67" s="3"/>
      <c r="D67" s="3"/>
      <c r="E67" s="3"/>
      <c r="F67" s="3"/>
      <c r="G67" s="3"/>
      <c r="H67" s="3"/>
      <c r="I67" s="3"/>
      <c r="J67" s="3"/>
      <c r="K67" s="3"/>
      <c r="L67" s="3"/>
      <c r="M67" s="3"/>
      <c r="N67" s="3"/>
      <c r="O67" s="3"/>
      <c r="P67" s="3"/>
      <c r="Q67" s="3"/>
      <c r="R67" s="3"/>
      <c r="S67" s="3"/>
      <c r="T67" s="3"/>
      <c r="U67" s="3"/>
      <c r="V67" s="3"/>
    </row>
    <row r="68" spans="1:22" s="1" customFormat="1" x14ac:dyDescent="0.35">
      <c r="A68" s="1" t="s">
        <v>62</v>
      </c>
      <c r="B68" s="3">
        <v>2</v>
      </c>
      <c r="C68" s="3"/>
      <c r="D68" s="3"/>
      <c r="E68" s="3"/>
      <c r="F68" s="3"/>
      <c r="G68" s="3"/>
      <c r="H68" s="3"/>
      <c r="I68" s="3"/>
      <c r="J68" s="3"/>
      <c r="K68" s="3"/>
      <c r="L68" s="3"/>
      <c r="M68" s="3"/>
      <c r="N68" s="3"/>
      <c r="O68" s="3"/>
      <c r="P68" s="3"/>
      <c r="Q68" s="3"/>
      <c r="R68" s="3"/>
      <c r="S68" s="3"/>
      <c r="T68" s="3"/>
      <c r="U68" s="3"/>
      <c r="V68" s="3"/>
    </row>
    <row r="69" spans="1:22" s="1" customFormat="1" ht="15" thickBot="1" x14ac:dyDescent="0.4">
      <c r="A69" s="1" t="s">
        <v>63</v>
      </c>
      <c r="B69" s="3">
        <v>0.5</v>
      </c>
      <c r="C69" s="3"/>
      <c r="D69" s="3"/>
      <c r="E69" s="3"/>
      <c r="F69" s="3"/>
      <c r="G69" s="3"/>
      <c r="H69" s="3"/>
      <c r="I69" s="3"/>
      <c r="J69" s="3"/>
      <c r="K69" s="3"/>
      <c r="L69" s="3"/>
      <c r="M69" s="3"/>
      <c r="N69" s="3"/>
      <c r="O69" s="3"/>
      <c r="P69" s="3"/>
      <c r="Q69" s="3"/>
      <c r="R69" s="3"/>
      <c r="S69" s="3"/>
      <c r="T69" s="3"/>
      <c r="U69" s="3"/>
      <c r="V69" s="3"/>
    </row>
    <row r="70" spans="1:22" s="48" customFormat="1" ht="26.5" thickBot="1" x14ac:dyDescent="0.4">
      <c r="A70" s="231" t="s">
        <v>53</v>
      </c>
      <c r="B70" s="232"/>
      <c r="C70" s="232"/>
      <c r="D70" s="232"/>
      <c r="E70" s="232"/>
      <c r="F70" s="232"/>
      <c r="G70" s="232"/>
      <c r="H70" s="232"/>
      <c r="I70" s="232"/>
      <c r="J70" s="232"/>
      <c r="K70" s="232"/>
      <c r="L70" s="232"/>
      <c r="M70" s="232"/>
      <c r="N70" s="232"/>
      <c r="O70" s="232"/>
      <c r="P70" s="232"/>
      <c r="Q70" s="232"/>
      <c r="R70" s="232"/>
      <c r="S70" s="232"/>
      <c r="T70" s="232"/>
      <c r="U70" s="232"/>
      <c r="V70" s="232"/>
    </row>
    <row r="71" spans="1:22" ht="15" thickBot="1" x14ac:dyDescent="0.4"/>
    <row r="72" spans="1:22" s="48" customFormat="1" ht="26.5" thickBot="1" x14ac:dyDescent="0.4">
      <c r="A72" s="231" t="s">
        <v>54</v>
      </c>
      <c r="B72" s="232"/>
      <c r="C72" s="232"/>
      <c r="D72" s="232"/>
      <c r="E72" s="232"/>
      <c r="F72" s="232"/>
      <c r="G72" s="232"/>
      <c r="H72" s="232"/>
      <c r="I72" s="232"/>
      <c r="J72" s="232"/>
      <c r="K72" s="232"/>
      <c r="L72" s="232"/>
      <c r="M72" s="232"/>
      <c r="N72" s="232"/>
      <c r="O72" s="232"/>
      <c r="P72" s="232"/>
      <c r="Q72" s="232"/>
      <c r="R72" s="232"/>
      <c r="S72" s="232"/>
      <c r="T72" s="232"/>
      <c r="U72" s="232"/>
      <c r="V72" s="232"/>
    </row>
    <row r="73" spans="1:22" ht="15" thickBot="1" x14ac:dyDescent="0.4">
      <c r="J73" s="3">
        <v>1</v>
      </c>
      <c r="K73" s="3">
        <v>2</v>
      </c>
      <c r="L73" s="3">
        <v>3</v>
      </c>
      <c r="M73" s="3">
        <v>4</v>
      </c>
      <c r="R73" s="3">
        <v>1</v>
      </c>
      <c r="S73" s="3">
        <v>2</v>
      </c>
      <c r="T73" s="3">
        <v>3</v>
      </c>
      <c r="U73" s="3">
        <v>4</v>
      </c>
      <c r="V73" s="3">
        <v>5</v>
      </c>
    </row>
    <row r="74" spans="1:22" s="1" customFormat="1" x14ac:dyDescent="0.35">
      <c r="A74" s="45" t="s">
        <v>41</v>
      </c>
      <c r="B74" s="46" t="str">
        <f t="shared" ref="B74:M74" si="9">B4</f>
        <v>Témoin solvant</v>
      </c>
      <c r="C74" s="46" t="str">
        <f t="shared" si="9"/>
        <v>EE2-33,8ng/L</v>
      </c>
      <c r="D74" s="46" t="str">
        <f t="shared" si="9"/>
        <v>EE2-50,6ng/L</v>
      </c>
      <c r="E74" s="46" t="str">
        <f t="shared" si="9"/>
        <v>EE2-76ng/L</v>
      </c>
      <c r="F74" s="46" t="str">
        <f t="shared" si="9"/>
        <v>EE2-114ng/L</v>
      </c>
      <c r="G74" s="46" t="str">
        <f t="shared" si="9"/>
        <v>EE2-170,9ng/L</v>
      </c>
      <c r="H74" s="46" t="str">
        <f t="shared" si="9"/>
        <v>EE2-488ng/L</v>
      </c>
      <c r="I74" s="46" t="str">
        <f t="shared" si="9"/>
        <v>FAD-5.4µg/L</v>
      </c>
      <c r="J74" s="46" t="str">
        <f t="shared" si="9"/>
        <v>FAD-11µg/L</v>
      </c>
      <c r="K74" s="46" t="str">
        <f t="shared" si="9"/>
        <v>FAD-22µg/L</v>
      </c>
      <c r="L74" s="46" t="str">
        <f t="shared" si="9"/>
        <v>FAD-44µg/L</v>
      </c>
      <c r="M74" s="46" t="str">
        <f t="shared" si="9"/>
        <v>FAD-87µg/L</v>
      </c>
      <c r="N74" s="46"/>
      <c r="O74" s="46" t="str">
        <f t="shared" ref="O74:V74" si="10">O4</f>
        <v>Testo -30µg/L</v>
      </c>
      <c r="P74" s="46" t="str">
        <f t="shared" si="10"/>
        <v>Testo 30µg/L + EE2 -64ng/L</v>
      </c>
      <c r="Q74" s="46" t="str">
        <f t="shared" si="10"/>
        <v>Testo 30µg/L + FAD-10mg/L</v>
      </c>
      <c r="R74" s="46" t="str">
        <f t="shared" si="10"/>
        <v>FAD-5,4µg/L + Testostérone</v>
      </c>
      <c r="S74" s="46" t="str">
        <f t="shared" si="10"/>
        <v>FAD-11µg/L + Testostérone</v>
      </c>
      <c r="T74" s="46" t="str">
        <f t="shared" si="10"/>
        <v>FAD-22µg/L + Testostérone</v>
      </c>
      <c r="U74" s="46" t="str">
        <f t="shared" si="10"/>
        <v>FAD-44µg/L + Testostérone</v>
      </c>
      <c r="V74" s="46" t="str">
        <f t="shared" si="10"/>
        <v>FAD-87µg/L + Testostérone</v>
      </c>
    </row>
    <row r="75" spans="1:22" s="3" customFormat="1" x14ac:dyDescent="0.35">
      <c r="A75" s="61" t="s">
        <v>32</v>
      </c>
      <c r="B75" s="142">
        <f>B56</f>
        <v>0.10038748006553395</v>
      </c>
      <c r="C75" s="142">
        <f t="shared" ref="C75:V75" si="11">C56</f>
        <v>0.14482434819950377</v>
      </c>
      <c r="D75" s="142">
        <f t="shared" si="11"/>
        <v>0.14329291465071939</v>
      </c>
      <c r="E75" s="142">
        <f t="shared" si="11"/>
        <v>0.33519771546365895</v>
      </c>
      <c r="F75" s="142">
        <f t="shared" si="11"/>
        <v>0.99299282299267866</v>
      </c>
      <c r="G75" s="142">
        <f t="shared" si="11"/>
        <v>1.5058957174186063</v>
      </c>
      <c r="H75" s="142">
        <f t="shared" si="11"/>
        <v>2.3895889157248811</v>
      </c>
      <c r="I75" s="142">
        <f t="shared" si="11"/>
        <v>9.9419711976737629E-2</v>
      </c>
      <c r="J75" s="142">
        <f t="shared" si="11"/>
        <v>0.12318641759912631</v>
      </c>
      <c r="K75" s="142">
        <f t="shared" si="11"/>
        <v>9.8606288911205903E-2</v>
      </c>
      <c r="L75" s="142">
        <f t="shared" si="11"/>
        <v>9.5752955557830824E-2</v>
      </c>
      <c r="M75" s="142">
        <f t="shared" si="11"/>
        <v>9.450511212467573E-2</v>
      </c>
      <c r="N75" s="142"/>
      <c r="O75" s="142">
        <f t="shared" si="11"/>
        <v>1.0000000000000002</v>
      </c>
      <c r="P75" s="142">
        <f t="shared" si="11"/>
        <v>1.8210194807272813</v>
      </c>
      <c r="Q75" s="142">
        <f t="shared" si="11"/>
        <v>9.0738879492618094E-2</v>
      </c>
      <c r="R75" s="142">
        <f t="shared" si="11"/>
        <v>9.3450997154082671E-2</v>
      </c>
      <c r="S75" s="142">
        <f t="shared" si="11"/>
        <v>0.11853258339724738</v>
      </c>
      <c r="T75" s="142">
        <f t="shared" si="11"/>
        <v>0.10086788827521706</v>
      </c>
      <c r="U75" s="142">
        <f t="shared" si="11"/>
        <v>0.10506860199801071</v>
      </c>
      <c r="V75" s="142">
        <f t="shared" si="11"/>
        <v>0.11333973772911919</v>
      </c>
    </row>
    <row r="76" spans="1:22" s="3" customFormat="1" x14ac:dyDescent="0.35">
      <c r="A76" s="61" t="s">
        <v>2</v>
      </c>
      <c r="B76" s="142">
        <f>B58</f>
        <v>1.1466546250547665E-2</v>
      </c>
      <c r="C76" s="142">
        <f t="shared" ref="C76:V76" si="12">C58</f>
        <v>1.9005995944252466E-2</v>
      </c>
      <c r="D76" s="142">
        <f t="shared" si="12"/>
        <v>3.2599492171746777E-2</v>
      </c>
      <c r="E76" s="142">
        <f t="shared" si="12"/>
        <v>7.0592726759400454E-2</v>
      </c>
      <c r="F76" s="142">
        <f t="shared" si="12"/>
        <v>0.111257856235077</v>
      </c>
      <c r="G76" s="142">
        <f t="shared" si="12"/>
        <v>8.147305053219886E-2</v>
      </c>
      <c r="H76" s="142">
        <f t="shared" si="12"/>
        <v>0.10600622740498512</v>
      </c>
      <c r="I76" s="142">
        <f t="shared" si="12"/>
        <v>1.7527471489145248E-2</v>
      </c>
      <c r="J76" s="142">
        <f t="shared" si="12"/>
        <v>1.5708614272673366E-2</v>
      </c>
      <c r="K76" s="142">
        <f t="shared" si="12"/>
        <v>1.0703728370627904E-2</v>
      </c>
      <c r="L76" s="142">
        <f t="shared" si="12"/>
        <v>1.3122597411832698E-2</v>
      </c>
      <c r="M76" s="142">
        <f t="shared" si="12"/>
        <v>1.0476151828696939E-2</v>
      </c>
      <c r="N76" s="142"/>
      <c r="O76" s="142">
        <f t="shared" si="12"/>
        <v>7.6618254641187655E-2</v>
      </c>
      <c r="P76" s="142">
        <f t="shared" si="12"/>
        <v>0.11281886422769091</v>
      </c>
      <c r="Q76" s="142">
        <f t="shared" si="12"/>
        <v>1.3714902488969361E-2</v>
      </c>
      <c r="R76" s="142">
        <f t="shared" si="12"/>
        <v>1.0190309909861693E-2</v>
      </c>
      <c r="S76" s="142">
        <f t="shared" si="12"/>
        <v>1.6024814379509787E-2</v>
      </c>
      <c r="T76" s="142">
        <f t="shared" si="12"/>
        <v>1.8390689297824687E-2</v>
      </c>
      <c r="U76" s="142">
        <f t="shared" si="12"/>
        <v>1.683939007610314E-2</v>
      </c>
      <c r="V76" s="142">
        <f t="shared" si="12"/>
        <v>1.4809678053783342E-2</v>
      </c>
    </row>
    <row r="77" spans="1:22" s="3" customFormat="1" x14ac:dyDescent="0.35">
      <c r="A77" s="61" t="s">
        <v>79</v>
      </c>
      <c r="B77" s="142">
        <f>(B75*100/$B$75)-100</f>
        <v>0</v>
      </c>
      <c r="C77" s="142">
        <f t="shared" ref="C77:M77" si="13">(C75*100/$B$75)-100</f>
        <v>44.265348731695411</v>
      </c>
      <c r="D77" s="142">
        <f t="shared" si="13"/>
        <v>42.739826278313132</v>
      </c>
      <c r="E77" s="142">
        <f t="shared" si="13"/>
        <v>233.90390439608456</v>
      </c>
      <c r="F77" s="142">
        <f t="shared" si="13"/>
        <v>889.16002507926589</v>
      </c>
      <c r="G77" s="142">
        <f t="shared" si="13"/>
        <v>1400.08319407514</v>
      </c>
      <c r="H77" s="142">
        <f t="shared" si="13"/>
        <v>2280.3654740261768</v>
      </c>
      <c r="I77" s="142">
        <f t="shared" si="13"/>
        <v>-0.96403265443515807</v>
      </c>
      <c r="J77" s="142">
        <f t="shared" si="13"/>
        <v>22.710937179326535</v>
      </c>
      <c r="K77" s="142">
        <f t="shared" si="13"/>
        <v>-1.774316033399046</v>
      </c>
      <c r="L77" s="142">
        <f t="shared" si="13"/>
        <v>-4.6166359636457344</v>
      </c>
      <c r="M77" s="142">
        <f t="shared" si="13"/>
        <v>-5.8596629151545159</v>
      </c>
      <c r="N77" s="142"/>
      <c r="O77" s="142">
        <f t="shared" ref="O77:V77" si="14">(O75*100/$O$75)-100</f>
        <v>0</v>
      </c>
      <c r="P77" s="142">
        <f t="shared" si="14"/>
        <v>82.101948072728106</v>
      </c>
      <c r="Q77" s="142">
        <f t="shared" si="14"/>
        <v>-90.926112050738197</v>
      </c>
      <c r="R77" s="142">
        <f t="shared" si="14"/>
        <v>-90.654900284591733</v>
      </c>
      <c r="S77" s="142">
        <f t="shared" si="14"/>
        <v>-88.146741660275268</v>
      </c>
      <c r="T77" s="142">
        <f t="shared" si="14"/>
        <v>-89.913211172478299</v>
      </c>
      <c r="U77" s="142">
        <f t="shared" si="14"/>
        <v>-89.493139800198932</v>
      </c>
      <c r="V77" s="142">
        <f t="shared" si="14"/>
        <v>-88.666026227088082</v>
      </c>
    </row>
    <row r="78" spans="1:22" s="3" customFormat="1" x14ac:dyDescent="0.35">
      <c r="A78" s="61" t="s">
        <v>81</v>
      </c>
      <c r="B78" s="142">
        <f>[1]!DPTEST(B6:B53)</f>
        <v>0.2536164090184998</v>
      </c>
      <c r="C78" s="142">
        <f>[1]!DPTEST(C6:C53)</f>
        <v>2.246877813161241E-4</v>
      </c>
      <c r="D78" s="142">
        <f>[1]!DPTEST(D6:D53)</f>
        <v>1.0013599838210041E-8</v>
      </c>
      <c r="E78" s="142">
        <f>[1]!DPTEST(E6:E53)</f>
        <v>1.5142635320097853E-6</v>
      </c>
      <c r="F78" s="142">
        <f>[1]!DPTEST(F6:F53)</f>
        <v>0.68138826635793381</v>
      </c>
      <c r="G78" s="142">
        <f>[1]!DPTEST(G6:G53)</f>
        <v>0.66686086996599236</v>
      </c>
      <c r="H78" s="142">
        <f>[1]!DPTEST(H6:H53)</f>
        <v>0.61643485057417147</v>
      </c>
      <c r="I78" s="142">
        <f>[1]!DPTEST(I6:I53)</f>
        <v>0.41148411869505386</v>
      </c>
      <c r="J78" s="142">
        <f>[1]!DPTEST(J6:J53)</f>
        <v>0.15018348428285</v>
      </c>
      <c r="K78" s="142">
        <f>[1]!DPTEST(K6:K53)</f>
        <v>0.70882576976443423</v>
      </c>
      <c r="L78" s="142">
        <f>[1]!DPTEST(L6:L53)</f>
        <v>0.28591255948012395</v>
      </c>
      <c r="M78" s="142">
        <f>[1]!DPTEST(M6:M53)</f>
        <v>0.71561988566484658</v>
      </c>
      <c r="N78" s="142"/>
      <c r="O78" s="142">
        <f>[1]!DPTEST(O6:O53)</f>
        <v>0.37294219324686817</v>
      </c>
      <c r="P78" s="142">
        <f>[1]!DPTEST(P6:P53)</f>
        <v>0.96816883891820782</v>
      </c>
      <c r="Q78" s="142">
        <f>[1]!DPTEST(Q6:Q53)</f>
        <v>9.5604466772031271E-3</v>
      </c>
      <c r="R78" s="142">
        <f>[1]!DPTEST(R6:R53)</f>
        <v>0.81945814606372314</v>
      </c>
      <c r="S78" s="142">
        <f>[1]!DPTEST(S6:S53)</f>
        <v>0.39277369692595232</v>
      </c>
      <c r="T78" s="142">
        <f>[1]!DPTEST(T6:T53)</f>
        <v>8.4030564370696892E-2</v>
      </c>
      <c r="U78" s="142">
        <f>[1]!DPTEST(U6:U53)</f>
        <v>0.38483098285605055</v>
      </c>
      <c r="V78" s="142">
        <f>[1]!DPTEST(V6:V53)</f>
        <v>0.18865793799730524</v>
      </c>
    </row>
    <row r="79" spans="1:22" s="3" customFormat="1" x14ac:dyDescent="0.35">
      <c r="A79" s="61" t="s">
        <v>85</v>
      </c>
      <c r="B79" s="142" t="str">
        <f>IF(B78&gt;0.05,"Oui","Non")</f>
        <v>Oui</v>
      </c>
      <c r="C79" s="142" t="str">
        <f t="shared" ref="C79:V79" si="15">IF(C78&gt;0.05,"Oui","Non")</f>
        <v>Non</v>
      </c>
      <c r="D79" s="142" t="str">
        <f t="shared" si="15"/>
        <v>Non</v>
      </c>
      <c r="E79" s="142" t="str">
        <f t="shared" si="15"/>
        <v>Non</v>
      </c>
      <c r="F79" s="142" t="str">
        <f t="shared" si="15"/>
        <v>Oui</v>
      </c>
      <c r="G79" s="142" t="str">
        <f t="shared" si="15"/>
        <v>Oui</v>
      </c>
      <c r="H79" s="142" t="str">
        <f t="shared" si="15"/>
        <v>Oui</v>
      </c>
      <c r="I79" s="142" t="str">
        <f t="shared" si="15"/>
        <v>Oui</v>
      </c>
      <c r="J79" s="142" t="str">
        <f t="shared" si="15"/>
        <v>Oui</v>
      </c>
      <c r="K79" s="142" t="str">
        <f t="shared" si="15"/>
        <v>Oui</v>
      </c>
      <c r="L79" s="142" t="str">
        <f t="shared" si="15"/>
        <v>Oui</v>
      </c>
      <c r="M79" s="142" t="str">
        <f t="shared" si="15"/>
        <v>Oui</v>
      </c>
      <c r="N79" s="142"/>
      <c r="O79" s="142" t="str">
        <f t="shared" si="15"/>
        <v>Oui</v>
      </c>
      <c r="P79" s="142" t="str">
        <f t="shared" si="15"/>
        <v>Oui</v>
      </c>
      <c r="Q79" s="142" t="str">
        <f t="shared" si="15"/>
        <v>Non</v>
      </c>
      <c r="R79" s="142" t="str">
        <f t="shared" si="15"/>
        <v>Oui</v>
      </c>
      <c r="S79" s="142" t="str">
        <f t="shared" si="15"/>
        <v>Oui</v>
      </c>
      <c r="T79" s="142" t="str">
        <f t="shared" si="15"/>
        <v>Oui</v>
      </c>
      <c r="U79" s="142" t="str">
        <f t="shared" si="15"/>
        <v>Oui</v>
      </c>
      <c r="V79" s="142" t="str">
        <f t="shared" si="15"/>
        <v>Oui</v>
      </c>
    </row>
    <row r="80" spans="1:22" s="3" customFormat="1" x14ac:dyDescent="0.35">
      <c r="A80" s="61" t="s">
        <v>122</v>
      </c>
      <c r="B80" s="142"/>
      <c r="C80" s="142"/>
      <c r="D80" s="142"/>
      <c r="E80" s="142"/>
      <c r="F80" s="142"/>
      <c r="G80" s="142"/>
      <c r="H80" s="142"/>
      <c r="I80" s="142"/>
      <c r="J80" s="142" t="str">
        <f>IF(COUNTIF(J79:M79, "Non")&gt;0, "Oui","Non")</f>
        <v>Non</v>
      </c>
      <c r="K80" s="142"/>
      <c r="L80" s="142"/>
      <c r="M80" s="142"/>
      <c r="N80" s="142"/>
      <c r="O80" s="142"/>
      <c r="P80" s="142"/>
      <c r="Q80" s="142"/>
      <c r="R80" s="142"/>
      <c r="S80" s="142"/>
      <c r="T80" s="142"/>
      <c r="U80" s="142"/>
      <c r="V80" s="142"/>
    </row>
    <row r="81" spans="1:22" s="3" customFormat="1" x14ac:dyDescent="0.35">
      <c r="A81" s="61" t="s">
        <v>82</v>
      </c>
      <c r="B81" s="142"/>
      <c r="C81" s="142" t="s">
        <v>170</v>
      </c>
      <c r="D81" s="142" t="s">
        <v>170</v>
      </c>
      <c r="E81" s="142" t="s">
        <v>170</v>
      </c>
      <c r="F81" s="142" t="s">
        <v>170</v>
      </c>
      <c r="G81" s="142" t="s">
        <v>170</v>
      </c>
      <c r="H81" s="142" t="s">
        <v>170</v>
      </c>
      <c r="I81" s="142" t="s">
        <v>171</v>
      </c>
      <c r="J81" s="142" t="s">
        <v>171</v>
      </c>
      <c r="K81" s="142" t="s">
        <v>171</v>
      </c>
      <c r="L81" s="142" t="s">
        <v>171</v>
      </c>
      <c r="M81" s="142" t="s">
        <v>171</v>
      </c>
      <c r="N81" s="142"/>
      <c r="O81" s="142" t="str">
        <f>IF($B79="Non",IF(O79="Non","Mann Withney",IF(O79="Oui","Mann Withney","")),IF($B79="Oui",IF(O79="Oui","T-Test Welch",IF(O79="Non","Mann Withney",""))))</f>
        <v>T-Test Welch</v>
      </c>
      <c r="P81" s="142" t="str">
        <f>IF($O79="Non",IF(P79="Non","Mann Withney",IF(P$79="Oui","Mann Withney","")),IF($O79="Oui",IF(P79="Oui","T-Test Welch",IF(P79="Non","Mann Withney",""))))</f>
        <v>T-Test Welch</v>
      </c>
      <c r="Q81" s="142" t="str">
        <f>IF($O79="Non",IF(Q79="Non","Mann Withney",IF(Q$79="Oui","Mann Withney","")),IF($O79="Oui",IF(Q79="Oui","T-Test Welch",IF(Q79="Non","Mann Withney",""))))</f>
        <v>Mann Withney</v>
      </c>
      <c r="R81" s="142" t="s">
        <v>171</v>
      </c>
      <c r="S81" s="142" t="s">
        <v>171</v>
      </c>
      <c r="T81" s="142" t="s">
        <v>171</v>
      </c>
      <c r="U81" s="142" t="s">
        <v>171</v>
      </c>
      <c r="V81" s="142" t="s">
        <v>171</v>
      </c>
    </row>
    <row r="82" spans="1:22" s="3" customFormat="1" x14ac:dyDescent="0.35">
      <c r="A82" s="61" t="s">
        <v>83</v>
      </c>
      <c r="B82" s="142"/>
      <c r="C82" s="142" t="s">
        <v>167</v>
      </c>
      <c r="D82" s="142" t="s">
        <v>167</v>
      </c>
      <c r="E82" s="142">
        <v>0.21</v>
      </c>
      <c r="F82" s="142" t="s">
        <v>169</v>
      </c>
      <c r="G82" s="142" t="s">
        <v>169</v>
      </c>
      <c r="H82" s="142" t="s">
        <v>169</v>
      </c>
      <c r="I82" s="142" t="s">
        <v>167</v>
      </c>
      <c r="J82" s="142">
        <v>0.63</v>
      </c>
      <c r="K82" s="142" t="s">
        <v>167</v>
      </c>
      <c r="L82" s="142" t="s">
        <v>167</v>
      </c>
      <c r="M82" s="142" t="s">
        <v>167</v>
      </c>
      <c r="N82" s="142"/>
      <c r="O82" s="142">
        <f>IF(O81="Mann Withney",[1]!MTEST($B6:$B37,O6:O53,2), IF(O81="T-Test Welch",_xlfn.T.TEST($B6:$B37,O6:O53,2,3),""))</f>
        <v>1.0839577019108278E-15</v>
      </c>
      <c r="P82" s="142">
        <f>IF(P81="Mann Withney",[1]!MTEST($O6:$O53,P6:P53,2), IF(P81="T-Test Welch",_xlfn.T.TEST($O6:$O53,P6:P53,2,3),""))</f>
        <v>3.5467696345157777E-7</v>
      </c>
      <c r="Q82" s="142">
        <f>IF(Q81="Mann Withney",[1]!MTEST($O6:$O53,Q6:Q53,2), IF(Q81="T-Test Welch",_xlfn.T.TEST($O6:$O53,Q6:Q53,2,3),""))</f>
        <v>5.6791638058939498E-10</v>
      </c>
      <c r="R82" s="142" t="s">
        <v>169</v>
      </c>
      <c r="S82" s="142" t="s">
        <v>169</v>
      </c>
      <c r="T82" s="142" t="s">
        <v>169</v>
      </c>
      <c r="U82" s="142" t="s">
        <v>169</v>
      </c>
      <c r="V82" s="142" t="s">
        <v>169</v>
      </c>
    </row>
    <row r="83" spans="1:22" s="3" customFormat="1" ht="15" thickBot="1" x14ac:dyDescent="0.4">
      <c r="A83" s="62" t="s">
        <v>84</v>
      </c>
      <c r="B83" s="143"/>
      <c r="C83" s="143" t="s">
        <v>166</v>
      </c>
      <c r="D83" s="143" t="s">
        <v>166</v>
      </c>
      <c r="E83" s="143" t="s">
        <v>166</v>
      </c>
      <c r="F83" s="143" t="s">
        <v>168</v>
      </c>
      <c r="G83" s="143" t="s">
        <v>168</v>
      </c>
      <c r="H83" s="143" t="s">
        <v>168</v>
      </c>
      <c r="I83" s="143" t="s">
        <v>166</v>
      </c>
      <c r="J83" s="143" t="s">
        <v>166</v>
      </c>
      <c r="K83" s="143" t="s">
        <v>166</v>
      </c>
      <c r="L83" s="143" t="s">
        <v>166</v>
      </c>
      <c r="M83" s="143" t="s">
        <v>166</v>
      </c>
      <c r="N83" s="143"/>
      <c r="O83" s="143" t="str">
        <f t="shared" ref="O83" si="16">IF(O82&gt;0.05,"NS",IF(O82&gt;0.01,"*",IF(O82&gt;0.001,"**","***")))</f>
        <v>***</v>
      </c>
      <c r="P83" s="143" t="str">
        <f t="shared" ref="P83" si="17">IF(P82&gt;0.05,"NS",IF(P82&gt;0.01,"*",IF(P82&gt;0.001,"**","***")))</f>
        <v>***</v>
      </c>
      <c r="Q83" s="143" t="str">
        <f t="shared" ref="Q83" si="18">IF(Q82&gt;0.05,"NS",IF(Q82&gt;0.01,"*",IF(Q82&gt;0.001,"**","***")))</f>
        <v>***</v>
      </c>
      <c r="R83" s="143" t="s">
        <v>168</v>
      </c>
      <c r="S83" s="143" t="s">
        <v>168</v>
      </c>
      <c r="T83" s="143" t="s">
        <v>168</v>
      </c>
      <c r="U83" s="143" t="s">
        <v>168</v>
      </c>
      <c r="V83" s="143" t="s">
        <v>168</v>
      </c>
    </row>
    <row r="84" spans="1:22" s="1" customFormat="1" x14ac:dyDescent="0.35"/>
    <row r="85" spans="1:22" s="1" customFormat="1" x14ac:dyDescent="0.35">
      <c r="A85" s="2" t="s">
        <v>39</v>
      </c>
    </row>
    <row r="86" spans="1:22" x14ac:dyDescent="0.35">
      <c r="A86" s="1" t="s">
        <v>23</v>
      </c>
      <c r="B86" s="1">
        <f>B56+(3*B57)</f>
        <v>0.2653623519812332</v>
      </c>
    </row>
    <row r="87" spans="1:22" x14ac:dyDescent="0.35">
      <c r="A87" s="1" t="s">
        <v>24</v>
      </c>
      <c r="B87" s="1">
        <f>B56+(10*B57)</f>
        <v>0.65030371978453161</v>
      </c>
    </row>
    <row r="88" spans="1:22" ht="15" thickBot="1" x14ac:dyDescent="0.4"/>
    <row r="89" spans="1:22" s="48" customFormat="1" ht="26.5" thickBot="1" x14ac:dyDescent="0.4">
      <c r="A89" s="49" t="s">
        <v>55</v>
      </c>
      <c r="B89" s="50"/>
      <c r="C89" s="50"/>
      <c r="D89" s="50"/>
      <c r="E89" s="50"/>
      <c r="F89" s="50"/>
      <c r="G89" s="50"/>
      <c r="H89" s="50"/>
      <c r="I89" s="50"/>
      <c r="J89" s="50"/>
      <c r="K89" s="50"/>
      <c r="L89" s="50"/>
      <c r="M89" s="50"/>
      <c r="N89" s="50"/>
      <c r="O89" s="50"/>
      <c r="P89" s="50"/>
      <c r="Q89" s="50"/>
      <c r="R89" s="50"/>
      <c r="S89" s="50"/>
      <c r="T89" s="50"/>
      <c r="U89" s="50"/>
      <c r="V89" s="50"/>
    </row>
    <row r="90" spans="1:22" ht="15" thickBot="1" x14ac:dyDescent="0.4"/>
    <row r="91" spans="1:22" s="48" customFormat="1" ht="26.5" thickBot="1" x14ac:dyDescent="0.4">
      <c r="A91" s="49" t="s">
        <v>56</v>
      </c>
      <c r="B91" s="50"/>
      <c r="C91" s="50"/>
      <c r="D91" s="50"/>
      <c r="E91" s="50"/>
      <c r="F91" s="50"/>
      <c r="G91" s="50"/>
      <c r="H91" s="50"/>
      <c r="I91" s="50"/>
      <c r="J91" s="50"/>
      <c r="K91" s="50"/>
      <c r="L91" s="50"/>
      <c r="M91" s="50"/>
      <c r="N91" s="50"/>
      <c r="O91" s="50"/>
      <c r="P91" s="50"/>
      <c r="Q91" s="50"/>
      <c r="R91" s="50"/>
      <c r="S91" s="50"/>
      <c r="T91" s="50"/>
      <c r="U91" s="50"/>
      <c r="V91" s="50"/>
    </row>
    <row r="92" spans="1:22" ht="15" thickBot="1" x14ac:dyDescent="0.4"/>
    <row r="93" spans="1:22" s="48" customFormat="1" ht="26.5" thickBot="1" x14ac:dyDescent="0.4">
      <c r="A93" s="231" t="s">
        <v>57</v>
      </c>
      <c r="B93" s="232"/>
      <c r="C93" s="232"/>
      <c r="D93" s="232"/>
      <c r="E93" s="232"/>
      <c r="F93" s="232"/>
      <c r="G93" s="232"/>
      <c r="H93" s="232"/>
      <c r="I93" s="232"/>
      <c r="J93" s="232"/>
      <c r="K93" s="232"/>
      <c r="L93" s="232"/>
      <c r="M93" s="232"/>
      <c r="N93" s="232"/>
      <c r="O93" s="232"/>
      <c r="P93" s="232"/>
      <c r="Q93" s="232"/>
      <c r="R93" s="232"/>
      <c r="S93" s="232"/>
      <c r="T93" s="232"/>
      <c r="U93" s="232"/>
      <c r="V93" s="232"/>
    </row>
    <row r="94" spans="1:22" x14ac:dyDescent="0.35">
      <c r="B94" s="1">
        <f t="shared" ref="B94:V94" si="19">B75/$B$75</f>
        <v>1</v>
      </c>
      <c r="C94" s="1">
        <f t="shared" si="19"/>
        <v>1.4426534873169541</v>
      </c>
      <c r="D94" s="1">
        <f t="shared" si="19"/>
        <v>1.4273982627831312</v>
      </c>
      <c r="E94" s="1">
        <f t="shared" si="19"/>
        <v>3.3390390439608457</v>
      </c>
      <c r="F94" s="1">
        <f t="shared" si="19"/>
        <v>9.8916002507926581</v>
      </c>
      <c r="G94" s="1">
        <f t="shared" si="19"/>
        <v>15.0008319407514</v>
      </c>
      <c r="H94" s="1">
        <f>H75/$B$75</f>
        <v>23.80365474026177</v>
      </c>
      <c r="I94" s="1">
        <f t="shared" si="19"/>
        <v>0.99035967345564846</v>
      </c>
      <c r="J94" s="1">
        <f t="shared" si="19"/>
        <v>1.2271093717932653</v>
      </c>
      <c r="K94" s="1">
        <f t="shared" si="19"/>
        <v>0.98225683966600941</v>
      </c>
      <c r="L94" s="1">
        <f t="shared" si="19"/>
        <v>0.95383364036354268</v>
      </c>
      <c r="M94" s="1">
        <f t="shared" si="19"/>
        <v>0.94140337084845482</v>
      </c>
      <c r="N94" s="1">
        <f t="shared" si="19"/>
        <v>0</v>
      </c>
      <c r="O94" s="1">
        <f t="shared" si="19"/>
        <v>9.9614015547276438</v>
      </c>
      <c r="P94" s="1">
        <f t="shared" si="19"/>
        <v>18.139906286506061</v>
      </c>
      <c r="Q94" s="1">
        <f t="shared" si="19"/>
        <v>0.90388641525200997</v>
      </c>
      <c r="R94" s="1">
        <f t="shared" si="19"/>
        <v>0.93090290834152745</v>
      </c>
      <c r="S94" s="1">
        <f t="shared" si="19"/>
        <v>1.180750660539224</v>
      </c>
      <c r="T94" s="1">
        <f t="shared" si="19"/>
        <v>1.0047855390868412</v>
      </c>
      <c r="U94" s="1">
        <f t="shared" si="19"/>
        <v>1.0466305352960437</v>
      </c>
      <c r="V94" s="1">
        <f t="shared" si="19"/>
        <v>1.1290226396272709</v>
      </c>
    </row>
    <row r="97" spans="4:25" x14ac:dyDescent="0.35">
      <c r="D97" s="1"/>
      <c r="E97" s="1"/>
    </row>
    <row r="98" spans="4:25" x14ac:dyDescent="0.35">
      <c r="D98" s="1"/>
      <c r="E98" s="1"/>
      <c r="U98" s="1"/>
      <c r="V98" s="1"/>
      <c r="W98" s="1"/>
      <c r="X98" s="1"/>
      <c r="Y98" s="1"/>
    </row>
    <row r="99" spans="4:25" x14ac:dyDescent="0.35">
      <c r="D99" s="1"/>
      <c r="E99" s="1"/>
      <c r="H99" s="1"/>
      <c r="I99" s="1"/>
      <c r="J99" s="1"/>
      <c r="K99" s="1"/>
      <c r="L99" s="1"/>
      <c r="M99" s="1"/>
      <c r="N99" s="1"/>
      <c r="O99" s="1"/>
      <c r="P99" s="1"/>
      <c r="Q99" s="1"/>
      <c r="S99" s="1"/>
      <c r="T99" s="1"/>
      <c r="U99" s="1"/>
      <c r="V99" s="1"/>
      <c r="W99" s="1"/>
      <c r="X99" s="1"/>
      <c r="Y99" s="1"/>
    </row>
    <row r="100" spans="4:25" x14ac:dyDescent="0.35">
      <c r="D100" s="1"/>
      <c r="E100" s="1"/>
      <c r="G100" s="1"/>
      <c r="H100" s="1"/>
      <c r="I100" s="1"/>
      <c r="J100" s="1"/>
      <c r="K100" s="1"/>
      <c r="L100" s="1"/>
      <c r="M100" s="1"/>
      <c r="N100" s="1"/>
      <c r="O100" s="1"/>
      <c r="P100" s="1"/>
      <c r="Q100" s="1"/>
      <c r="S100" s="1"/>
      <c r="T100" s="1"/>
    </row>
    <row r="101" spans="4:25" x14ac:dyDescent="0.35">
      <c r="D101" s="1"/>
      <c r="E101" s="1"/>
      <c r="G101" s="1"/>
      <c r="H101" s="1"/>
      <c r="I101" s="1"/>
      <c r="J101" s="1"/>
      <c r="K101" s="1"/>
      <c r="L101" s="1"/>
      <c r="M101" s="1"/>
      <c r="N101" s="1"/>
      <c r="O101" s="1"/>
      <c r="P101" s="1"/>
      <c r="Q101" s="1"/>
      <c r="S101" s="1"/>
      <c r="T101" s="1"/>
    </row>
    <row r="102" spans="4:25" x14ac:dyDescent="0.35">
      <c r="D102" s="1"/>
      <c r="E102" s="1"/>
      <c r="F102" s="1"/>
      <c r="G102" s="1"/>
      <c r="H102" s="1"/>
      <c r="I102" s="1"/>
      <c r="S102" s="1"/>
      <c r="T102" s="1"/>
    </row>
    <row r="103" spans="4:25" x14ac:dyDescent="0.35">
      <c r="D103" s="1"/>
      <c r="E103" s="1"/>
      <c r="F103" s="1"/>
      <c r="G103" s="1"/>
      <c r="H103" s="1"/>
      <c r="I103" s="1"/>
      <c r="S103" s="1"/>
      <c r="T103" s="1"/>
    </row>
    <row r="104" spans="4:25" x14ac:dyDescent="0.35">
      <c r="D104" s="1"/>
      <c r="E104" s="1"/>
      <c r="F104" s="1"/>
      <c r="G104" s="1"/>
    </row>
    <row r="105" spans="4:25" x14ac:dyDescent="0.35">
      <c r="D105" s="1"/>
      <c r="E105" s="1"/>
      <c r="F105" s="1"/>
      <c r="G105" s="1"/>
    </row>
    <row r="106" spans="4:25" x14ac:dyDescent="0.35">
      <c r="D106" s="1"/>
      <c r="E106" s="1"/>
      <c r="F106" s="1"/>
      <c r="G106" s="1"/>
    </row>
    <row r="107" spans="4:25" x14ac:dyDescent="0.35">
      <c r="D107" s="1"/>
      <c r="E107" s="1"/>
      <c r="F107" s="1"/>
      <c r="G107" s="1"/>
      <c r="H107" s="1"/>
      <c r="I107" s="1"/>
      <c r="J107" s="1"/>
      <c r="K107" s="1"/>
      <c r="L107" s="1"/>
    </row>
    <row r="108" spans="4:25" x14ac:dyDescent="0.35">
      <c r="F108" s="1"/>
      <c r="G108" s="1"/>
      <c r="H108" s="1"/>
      <c r="I108" s="1"/>
      <c r="J108" s="1"/>
      <c r="K108" s="1"/>
      <c r="L108" s="1"/>
    </row>
    <row r="109" spans="4:25" x14ac:dyDescent="0.35">
      <c r="F109" s="1"/>
      <c r="G109" s="1"/>
    </row>
    <row r="110" spans="4:25" x14ac:dyDescent="0.35">
      <c r="F110" s="1"/>
      <c r="G110" s="1"/>
    </row>
    <row r="111" spans="4:25" x14ac:dyDescent="0.35">
      <c r="F111" s="1"/>
      <c r="G111" s="1"/>
    </row>
    <row r="112" spans="4:25" x14ac:dyDescent="0.35">
      <c r="F112" s="1"/>
      <c r="G112" s="1"/>
    </row>
  </sheetData>
  <mergeCells count="10">
    <mergeCell ref="A7:A21"/>
    <mergeCell ref="A23:A37"/>
    <mergeCell ref="A93:V93"/>
    <mergeCell ref="O3:V3"/>
    <mergeCell ref="B3:M3"/>
    <mergeCell ref="A60:V60"/>
    <mergeCell ref="A72:V72"/>
    <mergeCell ref="A70:V70"/>
    <mergeCell ref="A65:V65"/>
    <mergeCell ref="A39:A53"/>
  </mergeCells>
  <pageMargins left="0.7" right="0.7" top="0.75" bottom="0.75" header="0.3" footer="0.3"/>
  <pageSetup paperSize="9" orientation="portrait" r:id="rId1"/>
  <headerFooter>
    <oddHeader>&amp;C&amp;"-,Gras"&amp;14Données poolées normalisées&amp;R&amp;"-,Gras"&amp;14Page : &amp;P/&amp;P</oddHeader>
  </headerFooter>
  <legacy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O53"/>
  <sheetViews>
    <sheetView showGridLines="0" zoomScale="70" zoomScaleNormal="70" workbookViewId="0">
      <selection activeCell="A7" sqref="A7"/>
    </sheetView>
  </sheetViews>
  <sheetFormatPr baseColWidth="10" defaultColWidth="9.1796875" defaultRowHeight="14.5" x14ac:dyDescent="0.35"/>
  <cols>
    <col min="1" max="1" width="33.7265625" style="41" bestFit="1" customWidth="1"/>
    <col min="2" max="3" width="14" style="41" bestFit="1" customWidth="1"/>
    <col min="4" max="4" width="14" style="41" customWidth="1"/>
    <col min="5" max="5" width="16" style="15" bestFit="1" customWidth="1"/>
    <col min="6" max="8" width="16" style="15" customWidth="1"/>
    <col min="9" max="13" width="19.1796875" style="15" customWidth="1"/>
    <col min="14" max="14" width="32.1796875" style="15" bestFit="1" customWidth="1"/>
    <col min="15" max="15" width="19.54296875" style="41" customWidth="1"/>
    <col min="16" max="16384" width="9.1796875" style="41"/>
  </cols>
  <sheetData>
    <row r="1" spans="1:15" s="48" customFormat="1" ht="26.5" thickBot="1" x14ac:dyDescent="0.4">
      <c r="A1" s="231" t="s">
        <v>104</v>
      </c>
      <c r="B1" s="232"/>
      <c r="C1" s="232"/>
      <c r="D1" s="232"/>
      <c r="E1" s="232"/>
      <c r="F1" s="232"/>
      <c r="G1" s="232"/>
      <c r="H1" s="232"/>
      <c r="I1" s="232"/>
      <c r="J1" s="232"/>
      <c r="K1" s="232"/>
      <c r="L1" s="232"/>
      <c r="M1" s="232"/>
      <c r="N1" s="232"/>
      <c r="O1" s="233"/>
    </row>
    <row r="2" spans="1:15" s="48" customFormat="1" ht="26.5" thickBot="1" x14ac:dyDescent="0.4">
      <c r="A2" s="231" t="s">
        <v>105</v>
      </c>
      <c r="B2" s="232"/>
      <c r="C2" s="232"/>
      <c r="D2" s="232"/>
      <c r="E2" s="232"/>
      <c r="F2" s="232"/>
      <c r="G2" s="232"/>
      <c r="H2" s="232"/>
      <c r="I2" s="232"/>
      <c r="J2" s="232"/>
      <c r="K2" s="232"/>
      <c r="L2" s="232"/>
      <c r="M2" s="232"/>
      <c r="N2" s="232"/>
      <c r="O2" s="233"/>
    </row>
    <row r="3" spans="1:15" s="77" customFormat="1" ht="15.5" x14ac:dyDescent="0.35">
      <c r="H3" s="78"/>
      <c r="I3" s="78"/>
      <c r="J3" s="78"/>
      <c r="K3" s="78"/>
      <c r="L3" s="78"/>
      <c r="M3" s="78"/>
      <c r="N3" s="78"/>
    </row>
    <row r="4" spans="1:15" s="77" customFormat="1" ht="15.5" x14ac:dyDescent="0.35">
      <c r="O4"/>
    </row>
    <row r="5" spans="1:15" s="77" customFormat="1" ht="45.75" customHeight="1" thickBot="1" x14ac:dyDescent="0.4">
      <c r="A5" s="79"/>
      <c r="B5" s="88" t="s">
        <v>25</v>
      </c>
      <c r="C5" s="88" t="s">
        <v>26</v>
      </c>
      <c r="D5" s="88" t="s">
        <v>27</v>
      </c>
      <c r="E5" s="89" t="s">
        <v>64</v>
      </c>
      <c r="F5" s="127" t="s">
        <v>80</v>
      </c>
      <c r="G5" s="95" t="s">
        <v>42</v>
      </c>
      <c r="H5" s="95" t="s">
        <v>65</v>
      </c>
      <c r="I5" s="95" t="s">
        <v>66</v>
      </c>
      <c r="J5" s="96" t="s">
        <v>77</v>
      </c>
      <c r="K5" s="96" t="s">
        <v>67</v>
      </c>
      <c r="L5" s="97" t="s">
        <v>76</v>
      </c>
      <c r="M5" s="97" t="s">
        <v>68</v>
      </c>
      <c r="N5" s="97" t="s">
        <v>69</v>
      </c>
      <c r="O5"/>
    </row>
    <row r="6" spans="1:15" s="77" customFormat="1" ht="15.5" x14ac:dyDescent="0.35">
      <c r="A6" s="80" t="s">
        <v>28</v>
      </c>
      <c r="B6" s="100">
        <v>64</v>
      </c>
      <c r="C6" s="80"/>
      <c r="D6" s="80"/>
      <c r="E6" s="90"/>
      <c r="F6" s="91"/>
      <c r="G6" s="129">
        <f>IF(F6="NS","NC",ROUND(B6,2-(1+INT(LOG10(ABS(B6))))))</f>
        <v>64</v>
      </c>
      <c r="H6" s="121"/>
      <c r="I6" s="121"/>
      <c r="J6" s="122"/>
      <c r="K6" s="123"/>
      <c r="L6" s="125"/>
      <c r="M6" s="122"/>
      <c r="N6" s="92"/>
      <c r="O6"/>
    </row>
    <row r="7" spans="1:15" s="77" customFormat="1" ht="15.5" x14ac:dyDescent="0.35">
      <c r="A7" s="80" t="str">
        <f>'Page de garde'!A15</f>
        <v>FAD-5.4µg/L</v>
      </c>
      <c r="B7" s="99"/>
      <c r="C7" s="81"/>
      <c r="D7" s="81"/>
      <c r="E7" s="82"/>
      <c r="F7" s="98" t="str">
        <f>HLOOKUP(A7,'pooled normalised values'!$B$74:$V$83,10,FALSE)</f>
        <v>ns</v>
      </c>
      <c r="G7" s="129" t="str">
        <f>IF(F7="NS","NC",ROUND(B7,2-(1+INT(LOG10(ABS(B7))))))</f>
        <v>NC</v>
      </c>
      <c r="H7" s="120" t="str">
        <f>IF(VLOOKUP(A7,liste_groupe[],4,FALSE)="%",VLOOKUP(A7,liste_groupe[],3,FALSE)/100,IF(ISBLANK(VLOOKUP(A7,liste_groupe[],4,FALSE)),"Non","Non"))</f>
        <v>Non</v>
      </c>
      <c r="I7" s="129" t="str">
        <f>IF(F7="NS","NC",IF(H7="Non",G7,G7*(1/H7)))</f>
        <v>NC</v>
      </c>
      <c r="J7" s="130">
        <v>64</v>
      </c>
      <c r="K7" s="131">
        <f>IF(F7="NS",0,ROUND(I7/J7*100,0))</f>
        <v>0</v>
      </c>
      <c r="L7" s="126">
        <v>1</v>
      </c>
      <c r="M7" s="132">
        <f>IF(K7&gt;100,125,K7)</f>
        <v>0</v>
      </c>
      <c r="N7" s="93" t="str">
        <f>IF(H7="Non",CONCATENATE(VLOOKUP(A7,liste_groupe[],5,FALSE),"-",VLOOKUP(A7,liste_groupe[],3,FALSE),VLOOKUP(A7,liste_groupe[],4,FALSE)," : ",ROUND(K7,0),"%"),CONCATENATE(VLOOKUP(A7,liste_groupe[],5,FALSE)," : ",ROUND(K7,0),"%"))</f>
        <v>FAD-5,4µg/L : 0%</v>
      </c>
      <c r="O7"/>
    </row>
    <row r="8" spans="1:15" s="77" customFormat="1" ht="15.5" x14ac:dyDescent="0.35">
      <c r="A8" s="80" t="str">
        <f>'Page de garde'!A16</f>
        <v>FAD-11µg/L</v>
      </c>
      <c r="B8" s="99"/>
      <c r="C8" s="83"/>
      <c r="D8" s="81"/>
      <c r="E8" s="82"/>
      <c r="F8" s="98" t="str">
        <f>HLOOKUP(A8,'pooled normalised values'!$B$74:$V$83,10,FALSE)</f>
        <v>ns</v>
      </c>
      <c r="G8" s="129" t="str">
        <f t="shared" ref="G8:G13" si="0">IF(F8="NS","NC",ROUND(B8,2-(1+INT(LOG10(ABS(B8))))))</f>
        <v>NC</v>
      </c>
      <c r="H8" s="120" t="str">
        <f>IF(VLOOKUP(A8,liste_groupe[],4,FALSE)="%",VLOOKUP(A8,liste_groupe[],3,FALSE)/100,IF(ISBLANK(VLOOKUP(A8,liste_groupe[],4,FALSE)),"Non","Non"))</f>
        <v>Non</v>
      </c>
      <c r="I8" s="129" t="str">
        <f t="shared" ref="I8:I26" si="1">IF(F8="NS","NC",IF(H8="Non",G8,G8*(1/H8)))</f>
        <v>NC</v>
      </c>
      <c r="J8" s="130">
        <v>64</v>
      </c>
      <c r="K8" s="131">
        <f t="shared" ref="K8:K26" si="2">IF(F8="NS",0,ROUND(I8/J8*100,0))</f>
        <v>0</v>
      </c>
      <c r="L8" s="126"/>
      <c r="M8" s="132">
        <f t="shared" ref="M8:M26" si="3">IF(K8&gt;100,125,K8)</f>
        <v>0</v>
      </c>
      <c r="N8" s="93" t="str">
        <f>IF(H8="Non",CONCATENATE(VLOOKUP(A8,liste_groupe[],5,FALSE),"-",VLOOKUP(A8,liste_groupe[],3,FALSE),VLOOKUP(A8,liste_groupe[],4,FALSE)," : ",ROUND(K8,0),"%"),CONCATENATE(VLOOKUP(A8,liste_groupe[],5,FALSE)," : ",ROUND(K8,0),"%"))</f>
        <v>FAD-11µg/L : 0%</v>
      </c>
      <c r="O8"/>
    </row>
    <row r="9" spans="1:15" s="77" customFormat="1" ht="15.5" x14ac:dyDescent="0.35">
      <c r="A9" s="80" t="str">
        <f>'Page de garde'!A17</f>
        <v>FAD-22µg/L</v>
      </c>
      <c r="B9" s="99"/>
      <c r="C9" s="83"/>
      <c r="D9" s="81"/>
      <c r="E9" s="82"/>
      <c r="F9" s="98" t="str">
        <f>HLOOKUP(A9,'pooled normalised values'!$B$74:$V$83,10,FALSE)</f>
        <v>ns</v>
      </c>
      <c r="G9" s="129" t="str">
        <f t="shared" si="0"/>
        <v>NC</v>
      </c>
      <c r="H9" s="120" t="str">
        <f>IF(VLOOKUP(A9,liste_groupe[],4,FALSE)="%",VLOOKUP(A9,liste_groupe[],3,FALSE)/100,IF(ISBLANK(VLOOKUP(A9,liste_groupe[],4,FALSE)),"Non","Non"))</f>
        <v>Non</v>
      </c>
      <c r="I9" s="129" t="str">
        <f t="shared" si="1"/>
        <v>NC</v>
      </c>
      <c r="J9" s="130">
        <v>64</v>
      </c>
      <c r="K9" s="131">
        <f t="shared" si="2"/>
        <v>0</v>
      </c>
      <c r="L9" s="126"/>
      <c r="M9" s="132">
        <f t="shared" si="3"/>
        <v>0</v>
      </c>
      <c r="N9" s="93" t="str">
        <f>IF(H9="Non",CONCATENATE(VLOOKUP(A9,liste_groupe[],5,FALSE),"-",VLOOKUP(A9,liste_groupe[],3,FALSE),VLOOKUP(A9,liste_groupe[],4,FALSE)," : ",ROUND(K9,0),"%"),CONCATENATE(VLOOKUP(A9,liste_groupe[],5,FALSE)," : ",ROUND(K9,0),"%"))</f>
        <v>FAD-22µg/L : 0%</v>
      </c>
      <c r="O9"/>
    </row>
    <row r="10" spans="1:15" s="77" customFormat="1" ht="15.5" x14ac:dyDescent="0.35">
      <c r="A10" s="80" t="str">
        <f>'Page de garde'!A18</f>
        <v>FAD-44µg/L</v>
      </c>
      <c r="B10" s="100"/>
      <c r="C10" s="80"/>
      <c r="D10" s="85"/>
      <c r="E10" s="82"/>
      <c r="F10" s="98" t="str">
        <f>HLOOKUP(A10,'pooled normalised values'!$B$74:$V$83,10,FALSE)</f>
        <v>ns</v>
      </c>
      <c r="G10" s="129" t="str">
        <f t="shared" si="0"/>
        <v>NC</v>
      </c>
      <c r="H10" s="120" t="str">
        <f>IF(VLOOKUP(A10,liste_groupe[],4,FALSE)="%",VLOOKUP(A10,liste_groupe[],3,FALSE)/100,IF(ISBLANK(VLOOKUP(A10,liste_groupe[],4,FALSE)),"Non","Non"))</f>
        <v>Non</v>
      </c>
      <c r="I10" s="129" t="str">
        <f t="shared" si="1"/>
        <v>NC</v>
      </c>
      <c r="J10" s="130">
        <v>64</v>
      </c>
      <c r="K10" s="131">
        <f t="shared" si="2"/>
        <v>0</v>
      </c>
      <c r="L10" s="126"/>
      <c r="M10" s="132">
        <f t="shared" si="3"/>
        <v>0</v>
      </c>
      <c r="N10" s="93" t="str">
        <f>IF(H10="Non",CONCATENATE(VLOOKUP(A10,liste_groupe[],5,FALSE),"-",VLOOKUP(A10,liste_groupe[],3,FALSE),VLOOKUP(A10,liste_groupe[],4,FALSE)," : ",ROUND(K10,0),"%"),CONCATENATE(VLOOKUP(A10,liste_groupe[],5,FALSE)," : ",ROUND(K10,0),"%"))</f>
        <v>FAD-44µg/L : 0%</v>
      </c>
      <c r="O10"/>
    </row>
    <row r="11" spans="1:15" s="77" customFormat="1" ht="15.5" x14ac:dyDescent="0.35">
      <c r="A11" s="80" t="str">
        <f>'Page de garde'!A19</f>
        <v>FAD-87µg/L</v>
      </c>
      <c r="B11" s="100"/>
      <c r="C11" s="80"/>
      <c r="D11" s="85"/>
      <c r="E11" s="82"/>
      <c r="F11" s="98" t="str">
        <f>HLOOKUP(A11,'pooled normalised values'!$B$74:$V$83,10,FALSE)</f>
        <v>ns</v>
      </c>
      <c r="G11" s="129" t="str">
        <f t="shared" si="0"/>
        <v>NC</v>
      </c>
      <c r="H11" s="120" t="str">
        <f>IF(VLOOKUP(A11,liste_groupe[],4,FALSE)="%",VLOOKUP(A11,liste_groupe[],3,FALSE)/100,IF(ISBLANK(VLOOKUP(A11,liste_groupe[],4,FALSE)),"Non","Non"))</f>
        <v>Non</v>
      </c>
      <c r="I11" s="129" t="str">
        <f t="shared" si="1"/>
        <v>NC</v>
      </c>
      <c r="J11" s="130">
        <v>64</v>
      </c>
      <c r="K11" s="131">
        <f t="shared" si="2"/>
        <v>0</v>
      </c>
      <c r="L11" s="126"/>
      <c r="M11" s="132">
        <f t="shared" si="3"/>
        <v>0</v>
      </c>
      <c r="N11" s="93" t="str">
        <f>IF(H11="Non",CONCATENATE(VLOOKUP(A11,liste_groupe[],5,FALSE),"-",VLOOKUP(A11,liste_groupe[],3,FALSE),VLOOKUP(A11,liste_groupe[],4,FALSE)," : ",ROUND(K11,0),"%"),CONCATENATE(VLOOKUP(A11,liste_groupe[],5,FALSE)," : ",ROUND(K11,0),"%"))</f>
        <v>FAD-87µg/L : 0%</v>
      </c>
      <c r="O11"/>
    </row>
    <row r="12" spans="1:15" s="77" customFormat="1" ht="15.5" x14ac:dyDescent="0.35">
      <c r="A12" s="80" t="str">
        <f>'Page de garde'!A20</f>
        <v xml:space="preserve"> </v>
      </c>
      <c r="B12" s="100"/>
      <c r="C12" s="80"/>
      <c r="D12" s="85"/>
      <c r="E12" s="82"/>
      <c r="F12" s="98" t="e">
        <f>HLOOKUP(A12,'pooled normalised values'!$B$74:$V$83,10,FALSE)</f>
        <v>#N/A</v>
      </c>
      <c r="G12" s="129" t="e">
        <f t="shared" si="0"/>
        <v>#N/A</v>
      </c>
      <c r="H12" s="120" t="str">
        <f>IF(VLOOKUP(A12,liste_groupe[],4,FALSE)="%",VLOOKUP(A12,liste_groupe[],3,FALSE)/100,IF(ISBLANK(VLOOKUP(A12,liste_groupe[],4,FALSE)),"Non","Non"))</f>
        <v>Non</v>
      </c>
      <c r="I12" s="129" t="e">
        <f t="shared" si="1"/>
        <v>#N/A</v>
      </c>
      <c r="J12" s="130">
        <v>64</v>
      </c>
      <c r="K12" s="131" t="e">
        <f t="shared" si="2"/>
        <v>#N/A</v>
      </c>
      <c r="L12" s="126"/>
      <c r="M12" s="132" t="e">
        <f t="shared" si="3"/>
        <v>#N/A</v>
      </c>
      <c r="N12" s="93" t="e">
        <f>IF(H12="Non",CONCATENATE(VLOOKUP(A12,liste_groupe[],5,FALSE),"-",VLOOKUP(A12,liste_groupe[],3,FALSE),VLOOKUP(A12,liste_groupe[],4,FALSE)," : ",ROUND(K12,0),"%"),CONCATENATE(VLOOKUP(A12,liste_groupe[],5,FALSE)," : ",ROUND(K12,0),"%"))</f>
        <v>#N/A</v>
      </c>
      <c r="O12"/>
    </row>
    <row r="13" spans="1:15" s="77" customFormat="1" ht="15.5" x14ac:dyDescent="0.35">
      <c r="A13" s="80" t="str">
        <f>'Page de garde'!A21</f>
        <v xml:space="preserve"> </v>
      </c>
      <c r="B13" s="100"/>
      <c r="C13" s="80"/>
      <c r="D13" s="80"/>
      <c r="E13" s="82"/>
      <c r="F13" s="98" t="e">
        <f>HLOOKUP(A13,'pooled normalised values'!$B$74:$V$83,10,FALSE)</f>
        <v>#N/A</v>
      </c>
      <c r="G13" s="129" t="e">
        <f t="shared" si="0"/>
        <v>#N/A</v>
      </c>
      <c r="H13" s="120" t="str">
        <f>IF(VLOOKUP(A13,liste_groupe[],4,FALSE)="%",VLOOKUP(A13,liste_groupe[],3,FALSE)/100,IF(ISBLANK(VLOOKUP(A13,liste_groupe[],4,FALSE)),"Non","Non"))</f>
        <v>Non</v>
      </c>
      <c r="I13" s="129" t="e">
        <f t="shared" si="1"/>
        <v>#N/A</v>
      </c>
      <c r="J13" s="130">
        <v>64</v>
      </c>
      <c r="K13" s="131" t="e">
        <f t="shared" si="2"/>
        <v>#N/A</v>
      </c>
      <c r="L13" s="126"/>
      <c r="M13" s="132" t="e">
        <f t="shared" si="3"/>
        <v>#N/A</v>
      </c>
      <c r="N13" s="93" t="e">
        <f>IF(H13="Non",CONCATENATE(VLOOKUP(A13,liste_groupe[],5,FALSE),"-",VLOOKUP(A13,liste_groupe[],3,FALSE),VLOOKUP(A13,liste_groupe[],4,FALSE)," : ",ROUND(K13,0),"%"),CONCATENATE(VLOOKUP(A13,liste_groupe[],5,FALSE)," : ",ROUND(K13,0),"%"))</f>
        <v>#N/A</v>
      </c>
      <c r="O13"/>
    </row>
    <row r="14" spans="1:15" s="77" customFormat="1" ht="15.5" x14ac:dyDescent="0.35">
      <c r="A14" s="80" t="str">
        <f>'Page de garde'!A22</f>
        <v xml:space="preserve"> </v>
      </c>
      <c r="B14" s="100"/>
      <c r="C14" s="80"/>
      <c r="D14" s="80"/>
      <c r="E14" s="82"/>
      <c r="F14" s="98" t="e">
        <f>HLOOKUP(A14,'pooled normalised values'!$B$74:$V$83,10,FALSE)</f>
        <v>#N/A</v>
      </c>
      <c r="G14" s="129" t="e">
        <f t="shared" ref="G14:G25" si="4">IF(F14="NS","NC",ROUND(B14,2-(1+INT(LOG10(ABS(B14))))))</f>
        <v>#N/A</v>
      </c>
      <c r="H14" s="120" t="str">
        <f>IF(VLOOKUP(A14,liste_groupe[],4,FALSE)="%",VLOOKUP(A14,liste_groupe[],3,FALSE)/100,IF(ISBLANK(VLOOKUP(A14,liste_groupe[],4,FALSE)),"Non","Non"))</f>
        <v>Non</v>
      </c>
      <c r="I14" s="129" t="e">
        <f t="shared" si="1"/>
        <v>#N/A</v>
      </c>
      <c r="J14" s="130">
        <v>64</v>
      </c>
      <c r="K14" s="131" t="e">
        <f t="shared" si="2"/>
        <v>#N/A</v>
      </c>
      <c r="L14" s="126"/>
      <c r="M14" s="132" t="e">
        <f t="shared" si="3"/>
        <v>#N/A</v>
      </c>
      <c r="N14" s="93" t="e">
        <f>IF(H14="Non",CONCATENATE(VLOOKUP(A14,liste_groupe[],5,FALSE),"-",VLOOKUP(A14,liste_groupe[],3,FALSE),VLOOKUP(A14,liste_groupe[],4,FALSE)," : ",ROUND(K14,0),"%"),CONCATENATE(VLOOKUP(A14,liste_groupe[],5,FALSE)," : ",ROUND(K14,0),"%"))</f>
        <v>#N/A</v>
      </c>
      <c r="O14" s="1"/>
    </row>
    <row r="15" spans="1:15" s="77" customFormat="1" ht="15.5" x14ac:dyDescent="0.35">
      <c r="A15" s="80" t="str">
        <f>'Page de garde'!A23</f>
        <v xml:space="preserve"> </v>
      </c>
      <c r="B15" s="100"/>
      <c r="C15" s="80"/>
      <c r="D15" s="80"/>
      <c r="E15" s="82"/>
      <c r="F15" s="98" t="e">
        <f>HLOOKUP(A15,'pooled normalised values'!$B$74:$V$83,10,FALSE)</f>
        <v>#N/A</v>
      </c>
      <c r="G15" s="129" t="e">
        <f t="shared" si="4"/>
        <v>#N/A</v>
      </c>
      <c r="H15" s="120" t="str">
        <f>IF(VLOOKUP(A15,liste_groupe[],4,FALSE)="%",VLOOKUP(A15,liste_groupe[],3,FALSE)/100,IF(ISBLANK(VLOOKUP(A15,liste_groupe[],4,FALSE)),"Non","Non"))</f>
        <v>Non</v>
      </c>
      <c r="I15" s="129" t="e">
        <f t="shared" si="1"/>
        <v>#N/A</v>
      </c>
      <c r="J15" s="130">
        <v>64</v>
      </c>
      <c r="K15" s="131" t="e">
        <f t="shared" si="2"/>
        <v>#N/A</v>
      </c>
      <c r="L15" s="126"/>
      <c r="M15" s="132" t="e">
        <f t="shared" si="3"/>
        <v>#N/A</v>
      </c>
      <c r="N15" s="93" t="e">
        <f>IF(H15="Non",CONCATENATE(VLOOKUP(A15,liste_groupe[],5,FALSE),"-",VLOOKUP(A15,liste_groupe[],3,FALSE),VLOOKUP(A15,liste_groupe[],4,FALSE)," : ",ROUND(K15,0),"%"),CONCATENATE(VLOOKUP(A15,liste_groupe[],5,FALSE)," : ",ROUND(K15,0),"%"))</f>
        <v>#N/A</v>
      </c>
      <c r="O15" s="1"/>
    </row>
    <row r="16" spans="1:15" s="77" customFormat="1" ht="15.5" x14ac:dyDescent="0.35">
      <c r="A16" s="80" t="str">
        <f>'Page de garde'!A24</f>
        <v xml:space="preserve"> </v>
      </c>
      <c r="B16" s="100"/>
      <c r="C16" s="80"/>
      <c r="D16" s="80"/>
      <c r="E16" s="82"/>
      <c r="F16" s="98" t="e">
        <f>HLOOKUP(A16,'pooled normalised values'!$B$74:$V$83,10,FALSE)</f>
        <v>#N/A</v>
      </c>
      <c r="G16" s="129" t="e">
        <f t="shared" si="4"/>
        <v>#N/A</v>
      </c>
      <c r="H16" s="120" t="str">
        <f>IF(VLOOKUP(A16,liste_groupe[],4,FALSE)="%",VLOOKUP(A16,liste_groupe[],3,FALSE)/100,IF(ISBLANK(VLOOKUP(A16,liste_groupe[],4,FALSE)),"Non","Non"))</f>
        <v>Non</v>
      </c>
      <c r="I16" s="129" t="e">
        <f t="shared" si="1"/>
        <v>#N/A</v>
      </c>
      <c r="J16" s="130">
        <v>64</v>
      </c>
      <c r="K16" s="131" t="e">
        <f t="shared" si="2"/>
        <v>#N/A</v>
      </c>
      <c r="L16" s="126"/>
      <c r="M16" s="132" t="e">
        <f t="shared" si="3"/>
        <v>#N/A</v>
      </c>
      <c r="N16" s="93" t="e">
        <f>IF(H16="Non",CONCATENATE(VLOOKUP(A16,liste_groupe[],5,FALSE),"-",VLOOKUP(A16,liste_groupe[],3,FALSE),VLOOKUP(A16,liste_groupe[],4,FALSE)," : ",ROUND(K16,0),"%"),CONCATENATE(VLOOKUP(A16,liste_groupe[],5,FALSE)," : ",ROUND(K16,0),"%"))</f>
        <v>#N/A</v>
      </c>
      <c r="O16" s="1"/>
    </row>
    <row r="17" spans="1:15" s="77" customFormat="1" ht="15.5" x14ac:dyDescent="0.35">
      <c r="A17" s="80" t="str">
        <f>'Page de garde'!A25</f>
        <v xml:space="preserve"> </v>
      </c>
      <c r="B17" s="100"/>
      <c r="C17" s="80"/>
      <c r="D17" s="80"/>
      <c r="E17" s="82"/>
      <c r="F17" s="98" t="e">
        <f>HLOOKUP(A17,'pooled normalised values'!$B$74:$V$83,10,FALSE)</f>
        <v>#N/A</v>
      </c>
      <c r="G17" s="129" t="e">
        <f t="shared" si="4"/>
        <v>#N/A</v>
      </c>
      <c r="H17" s="120" t="str">
        <f>IF(VLOOKUP(A17,liste_groupe[],4,FALSE)="%",VLOOKUP(A17,liste_groupe[],3,FALSE)/100,IF(ISBLANK(VLOOKUP(A17,liste_groupe[],4,FALSE)),"Non","Non"))</f>
        <v>Non</v>
      </c>
      <c r="I17" s="129" t="e">
        <f t="shared" si="1"/>
        <v>#N/A</v>
      </c>
      <c r="J17" s="130">
        <v>64</v>
      </c>
      <c r="K17" s="131" t="e">
        <f t="shared" si="2"/>
        <v>#N/A</v>
      </c>
      <c r="L17" s="126"/>
      <c r="M17" s="132" t="e">
        <f t="shared" si="3"/>
        <v>#N/A</v>
      </c>
      <c r="N17" s="93" t="e">
        <f>IF(H17="Non",CONCATENATE(VLOOKUP(A17,liste_groupe[],5,FALSE),"-",VLOOKUP(A17,liste_groupe[],3,FALSE),VLOOKUP(A17,liste_groupe[],4,FALSE)," : ",ROUND(K17,0),"%"),CONCATENATE(VLOOKUP(A17,liste_groupe[],5,FALSE)," : ",ROUND(K17,0),"%"))</f>
        <v>#N/A</v>
      </c>
      <c r="O17" s="1"/>
    </row>
    <row r="18" spans="1:15" s="77" customFormat="1" ht="15.5" x14ac:dyDescent="0.35">
      <c r="A18" s="80" t="str">
        <f>'Page de garde'!A26</f>
        <v xml:space="preserve"> </v>
      </c>
      <c r="B18" s="100"/>
      <c r="C18" s="80"/>
      <c r="D18" s="80"/>
      <c r="E18" s="82"/>
      <c r="F18" s="98" t="e">
        <f>HLOOKUP(A18,'pooled normalised values'!$B$74:$V$83,10,FALSE)</f>
        <v>#N/A</v>
      </c>
      <c r="G18" s="129" t="e">
        <f t="shared" si="4"/>
        <v>#N/A</v>
      </c>
      <c r="H18" s="120" t="str">
        <f>IF(VLOOKUP(A18,liste_groupe[],4,FALSE)="%",VLOOKUP(A18,liste_groupe[],3,FALSE)/100,IF(ISBLANK(VLOOKUP(A18,liste_groupe[],4,FALSE)),"Non","Non"))</f>
        <v>Non</v>
      </c>
      <c r="I18" s="129" t="e">
        <f t="shared" si="1"/>
        <v>#N/A</v>
      </c>
      <c r="J18" s="130">
        <v>64</v>
      </c>
      <c r="K18" s="131" t="e">
        <f t="shared" si="2"/>
        <v>#N/A</v>
      </c>
      <c r="L18" s="126"/>
      <c r="M18" s="132" t="e">
        <f t="shared" si="3"/>
        <v>#N/A</v>
      </c>
      <c r="N18" s="93" t="e">
        <f>IF(H18="Non",CONCATENATE(VLOOKUP(A18,liste_groupe[],5,FALSE),"-",VLOOKUP(A18,liste_groupe[],3,FALSE),VLOOKUP(A18,liste_groupe[],4,FALSE)," : ",ROUND(K18,0),"%"),CONCATENATE(VLOOKUP(A18,liste_groupe[],5,FALSE)," : ",ROUND(K18,0),"%"))</f>
        <v>#N/A</v>
      </c>
      <c r="O18" s="1"/>
    </row>
    <row r="19" spans="1:15" s="77" customFormat="1" ht="15.5" x14ac:dyDescent="0.35">
      <c r="A19" s="80" t="str">
        <f>'Page de garde'!A27</f>
        <v xml:space="preserve"> </v>
      </c>
      <c r="B19" s="100"/>
      <c r="C19" s="80"/>
      <c r="D19" s="80"/>
      <c r="E19" s="82"/>
      <c r="F19" s="98" t="e">
        <f>HLOOKUP(A19,'pooled normalised values'!$B$74:$V$83,10,FALSE)</f>
        <v>#N/A</v>
      </c>
      <c r="G19" s="129" t="e">
        <f t="shared" si="4"/>
        <v>#N/A</v>
      </c>
      <c r="H19" s="120" t="str">
        <f>IF(VLOOKUP(A19,liste_groupe[],4,FALSE)="%",VLOOKUP(A19,liste_groupe[],3,FALSE)/100,IF(ISBLANK(VLOOKUP(A19,liste_groupe[],4,FALSE)),"Non","Non"))</f>
        <v>Non</v>
      </c>
      <c r="I19" s="129" t="e">
        <f t="shared" si="1"/>
        <v>#N/A</v>
      </c>
      <c r="J19" s="130">
        <v>64</v>
      </c>
      <c r="K19" s="131" t="e">
        <f t="shared" si="2"/>
        <v>#N/A</v>
      </c>
      <c r="L19" s="126"/>
      <c r="M19" s="132" t="e">
        <f t="shared" si="3"/>
        <v>#N/A</v>
      </c>
      <c r="N19" s="93" t="e">
        <f>IF(H19="Non",CONCATENATE(VLOOKUP(A19,liste_groupe[],5,FALSE),"-",VLOOKUP(A19,liste_groupe[],3,FALSE),VLOOKUP(A19,liste_groupe[],4,FALSE)," : ",ROUND(K19,0),"%"),CONCATENATE(VLOOKUP(A19,liste_groupe[],5,FALSE)," : ",ROUND(K19,0),"%"))</f>
        <v>#N/A</v>
      </c>
      <c r="O19" s="1"/>
    </row>
    <row r="20" spans="1:15" s="77" customFormat="1" ht="15.5" x14ac:dyDescent="0.35">
      <c r="A20" s="80" t="str">
        <f>'Page de garde'!A28</f>
        <v xml:space="preserve"> </v>
      </c>
      <c r="B20" s="100"/>
      <c r="C20" s="80"/>
      <c r="D20" s="80"/>
      <c r="E20" s="82"/>
      <c r="F20" s="98" t="e">
        <f>HLOOKUP(A20,'pooled normalised values'!$B$74:$V$83,10,FALSE)</f>
        <v>#N/A</v>
      </c>
      <c r="G20" s="129" t="e">
        <f t="shared" si="4"/>
        <v>#N/A</v>
      </c>
      <c r="H20" s="120" t="str">
        <f>IF(VLOOKUP(A20,liste_groupe[],4,FALSE)="%",VLOOKUP(A20,liste_groupe[],3,FALSE)/100,IF(ISBLANK(VLOOKUP(A20,liste_groupe[],4,FALSE)),"Non","Non"))</f>
        <v>Non</v>
      </c>
      <c r="I20" s="129" t="e">
        <f t="shared" si="1"/>
        <v>#N/A</v>
      </c>
      <c r="J20" s="130">
        <v>64</v>
      </c>
      <c r="K20" s="131" t="e">
        <f t="shared" si="2"/>
        <v>#N/A</v>
      </c>
      <c r="L20" s="126"/>
      <c r="M20" s="132" t="e">
        <f t="shared" si="3"/>
        <v>#N/A</v>
      </c>
      <c r="N20" s="93" t="e">
        <f>IF(H20="Non",CONCATENATE(VLOOKUP(A20,liste_groupe[],5,FALSE),"-",VLOOKUP(A20,liste_groupe[],3,FALSE),VLOOKUP(A20,liste_groupe[],4,FALSE)," : ",ROUND(K20,0),"%"),CONCATENATE(VLOOKUP(A20,liste_groupe[],5,FALSE)," : ",ROUND(K20,0),"%"))</f>
        <v>#N/A</v>
      </c>
      <c r="O20" s="1"/>
    </row>
    <row r="21" spans="1:15" s="77" customFormat="1" ht="15.5" x14ac:dyDescent="0.35">
      <c r="A21" s="80" t="str">
        <f>'Page de garde'!A29</f>
        <v xml:space="preserve"> </v>
      </c>
      <c r="B21" s="100"/>
      <c r="C21" s="80"/>
      <c r="D21" s="80"/>
      <c r="E21" s="82"/>
      <c r="F21" s="98" t="e">
        <f>HLOOKUP(A21,'pooled normalised values'!$B$74:$V$83,10,FALSE)</f>
        <v>#N/A</v>
      </c>
      <c r="G21" s="129" t="e">
        <f t="shared" si="4"/>
        <v>#N/A</v>
      </c>
      <c r="H21" s="120" t="str">
        <f>IF(VLOOKUP(A21,liste_groupe[],4,FALSE)="%",VLOOKUP(A21,liste_groupe[],3,FALSE)/100,IF(ISBLANK(VLOOKUP(A21,liste_groupe[],4,FALSE)),"Non","Non"))</f>
        <v>Non</v>
      </c>
      <c r="I21" s="129" t="e">
        <f t="shared" si="1"/>
        <v>#N/A</v>
      </c>
      <c r="J21" s="130">
        <v>64</v>
      </c>
      <c r="K21" s="131" t="e">
        <f t="shared" si="2"/>
        <v>#N/A</v>
      </c>
      <c r="L21" s="126"/>
      <c r="M21" s="132" t="e">
        <f t="shared" si="3"/>
        <v>#N/A</v>
      </c>
      <c r="N21" s="93" t="e">
        <f>IF(H21="Non",CONCATENATE(VLOOKUP(A21,liste_groupe[],5,FALSE),"-",VLOOKUP(A21,liste_groupe[],3,FALSE),VLOOKUP(A21,liste_groupe[],4,FALSE)," : ",ROUND(K21,0),"%"),CONCATENATE(VLOOKUP(A21,liste_groupe[],5,FALSE)," : ",ROUND(K21,0),"%"))</f>
        <v>#N/A</v>
      </c>
      <c r="O21" s="1"/>
    </row>
    <row r="22" spans="1:15" s="77" customFormat="1" ht="15.5" x14ac:dyDescent="0.35">
      <c r="A22" s="80" t="str">
        <f>'Page de garde'!A30</f>
        <v xml:space="preserve"> </v>
      </c>
      <c r="B22" s="100"/>
      <c r="C22" s="80"/>
      <c r="D22" s="80"/>
      <c r="E22" s="82"/>
      <c r="F22" s="98" t="e">
        <f>HLOOKUP(A22,'pooled normalised values'!$B$74:$V$83,10,FALSE)</f>
        <v>#N/A</v>
      </c>
      <c r="G22" s="129" t="e">
        <f t="shared" si="4"/>
        <v>#N/A</v>
      </c>
      <c r="H22" s="120" t="str">
        <f>IF(VLOOKUP(A22,liste_groupe[],4,FALSE)="%",VLOOKUP(A22,liste_groupe[],3,FALSE)/100,IF(ISBLANK(VLOOKUP(A22,liste_groupe[],4,FALSE)),"Non","Non"))</f>
        <v>Non</v>
      </c>
      <c r="I22" s="129" t="e">
        <f t="shared" si="1"/>
        <v>#N/A</v>
      </c>
      <c r="J22" s="130">
        <v>64</v>
      </c>
      <c r="K22" s="131" t="e">
        <f t="shared" si="2"/>
        <v>#N/A</v>
      </c>
      <c r="L22" s="126"/>
      <c r="M22" s="132" t="e">
        <f t="shared" si="3"/>
        <v>#N/A</v>
      </c>
      <c r="N22" s="93" t="e">
        <f>IF(H22="Non",CONCATENATE(VLOOKUP(A22,liste_groupe[],5,FALSE),"-",VLOOKUP(A22,liste_groupe[],3,FALSE),VLOOKUP(A22,liste_groupe[],4,FALSE)," : ",ROUND(K22,0),"%"),CONCATENATE(VLOOKUP(A22,liste_groupe[],5,FALSE)," : ",ROUND(K22,0),"%"))</f>
        <v>#N/A</v>
      </c>
      <c r="O22" s="1"/>
    </row>
    <row r="23" spans="1:15" s="77" customFormat="1" ht="15.5" x14ac:dyDescent="0.35">
      <c r="A23" s="80" t="str">
        <f>'Page de garde'!A31</f>
        <v xml:space="preserve"> </v>
      </c>
      <c r="B23" s="100"/>
      <c r="C23" s="80"/>
      <c r="D23" s="80"/>
      <c r="E23" s="82"/>
      <c r="F23" s="98" t="e">
        <f>HLOOKUP(A23,'pooled normalised values'!$B$74:$V$83,10,FALSE)</f>
        <v>#N/A</v>
      </c>
      <c r="G23" s="129" t="e">
        <f t="shared" si="4"/>
        <v>#N/A</v>
      </c>
      <c r="H23" s="120" t="str">
        <f>IF(VLOOKUP(A23,liste_groupe[],4,FALSE)="%",VLOOKUP(A23,liste_groupe[],3,FALSE)/100,IF(ISBLANK(VLOOKUP(A23,liste_groupe[],4,FALSE)),"Non","Non"))</f>
        <v>Non</v>
      </c>
      <c r="I23" s="129" t="e">
        <f t="shared" si="1"/>
        <v>#N/A</v>
      </c>
      <c r="J23" s="130">
        <v>64</v>
      </c>
      <c r="K23" s="131" t="e">
        <f t="shared" si="2"/>
        <v>#N/A</v>
      </c>
      <c r="L23" s="126"/>
      <c r="M23" s="132" t="e">
        <f t="shared" si="3"/>
        <v>#N/A</v>
      </c>
      <c r="N23" s="93" t="e">
        <f>IF(H23="Non",CONCATENATE(VLOOKUP(A23,liste_groupe[],5,FALSE),"-",VLOOKUP(A23,liste_groupe[],3,FALSE),VLOOKUP(A23,liste_groupe[],4,FALSE)," : ",ROUND(K23,0),"%"),CONCATENATE(VLOOKUP(A23,liste_groupe[],5,FALSE)," : ",ROUND(K23,0),"%"))</f>
        <v>#N/A</v>
      </c>
      <c r="O23" s="1"/>
    </row>
    <row r="24" spans="1:15" s="77" customFormat="1" ht="15.5" x14ac:dyDescent="0.35">
      <c r="A24" s="80" t="str">
        <f>'Page de garde'!A32</f>
        <v xml:space="preserve"> </v>
      </c>
      <c r="B24" s="100"/>
      <c r="C24" s="80"/>
      <c r="D24" s="80"/>
      <c r="E24" s="82"/>
      <c r="F24" s="98" t="e">
        <f>HLOOKUP(A24,'pooled normalised values'!$B$74:$V$83,10,FALSE)</f>
        <v>#N/A</v>
      </c>
      <c r="G24" s="129" t="e">
        <f t="shared" si="4"/>
        <v>#N/A</v>
      </c>
      <c r="H24" s="120" t="str">
        <f>IF(VLOOKUP(A24,liste_groupe[],4,FALSE)="%",VLOOKUP(A24,liste_groupe[],3,FALSE)/100,IF(ISBLANK(VLOOKUP(A24,liste_groupe[],4,FALSE)),"Non","Non"))</f>
        <v>Non</v>
      </c>
      <c r="I24" s="129" t="e">
        <f t="shared" si="1"/>
        <v>#N/A</v>
      </c>
      <c r="J24" s="130">
        <v>64</v>
      </c>
      <c r="K24" s="131" t="e">
        <f t="shared" si="2"/>
        <v>#N/A</v>
      </c>
      <c r="L24" s="126"/>
      <c r="M24" s="132" t="e">
        <f t="shared" si="3"/>
        <v>#N/A</v>
      </c>
      <c r="N24" s="93" t="e">
        <f>IF(H24="Non",CONCATENATE(VLOOKUP(A24,liste_groupe[],5,FALSE),"-",VLOOKUP(A24,liste_groupe[],3,FALSE),VLOOKUP(A24,liste_groupe[],4,FALSE)," : ",ROUND(K24,0),"%"),CONCATENATE(VLOOKUP(A24,liste_groupe[],5,FALSE)," : ",ROUND(K24,0),"%"))</f>
        <v>#N/A</v>
      </c>
      <c r="O24" s="1"/>
    </row>
    <row r="25" spans="1:15" s="77" customFormat="1" ht="15.5" x14ac:dyDescent="0.35">
      <c r="A25" s="80" t="str">
        <f>'Page de garde'!A33</f>
        <v xml:space="preserve"> </v>
      </c>
      <c r="B25" s="100"/>
      <c r="C25" s="80"/>
      <c r="D25" s="80"/>
      <c r="E25" s="82"/>
      <c r="F25" s="98" t="e">
        <f>HLOOKUP(A25,'pooled normalised values'!$B$74:$V$83,10,FALSE)</f>
        <v>#N/A</v>
      </c>
      <c r="G25" s="129" t="e">
        <f t="shared" si="4"/>
        <v>#N/A</v>
      </c>
      <c r="H25" s="120" t="str">
        <f>IF(VLOOKUP(A25,liste_groupe[],4,FALSE)="%",VLOOKUP(A25,liste_groupe[],3,FALSE)/100,IF(ISBLANK(VLOOKUP(A25,liste_groupe[],4,FALSE)),"Non","Non"))</f>
        <v>Non</v>
      </c>
      <c r="I25" s="129" t="e">
        <f t="shared" si="1"/>
        <v>#N/A</v>
      </c>
      <c r="J25" s="130">
        <v>64</v>
      </c>
      <c r="K25" s="131" t="e">
        <f t="shared" si="2"/>
        <v>#N/A</v>
      </c>
      <c r="L25" s="126"/>
      <c r="M25" s="132" t="e">
        <f t="shared" si="3"/>
        <v>#N/A</v>
      </c>
      <c r="N25" s="93" t="e">
        <f>IF(H25="Non",CONCATENATE(VLOOKUP(A25,liste_groupe[],5,FALSE),"-",VLOOKUP(A25,liste_groupe[],3,FALSE),VLOOKUP(A25,liste_groupe[],4,FALSE)," : ",ROUND(K25,0),"%"),CONCATENATE(VLOOKUP(A25,liste_groupe[],5,FALSE)," : ",ROUND(K25,0),"%"))</f>
        <v>#N/A</v>
      </c>
      <c r="O25" s="1"/>
    </row>
    <row r="26" spans="1:15" s="77" customFormat="1" ht="15.5" x14ac:dyDescent="0.35">
      <c r="A26" s="80" t="str">
        <f>'Page de garde'!A34</f>
        <v xml:space="preserve"> </v>
      </c>
      <c r="B26" s="99"/>
      <c r="C26" s="86"/>
      <c r="D26" s="86"/>
      <c r="E26" s="82"/>
      <c r="F26" s="98" t="e">
        <f>HLOOKUP(A26,'pooled normalised values'!$B$74:$V$83,10,FALSE)</f>
        <v>#N/A</v>
      </c>
      <c r="G26" s="129" t="e">
        <f t="shared" ref="G26" si="5">IF(F26="NS","NC",ROUND(B26,2-(1+INT(LOG10(ABS(B26))))))</f>
        <v>#N/A</v>
      </c>
      <c r="H26" s="120" t="str">
        <f>IF(VLOOKUP(A26,liste_groupe[],4,FALSE)="%",VLOOKUP(A26,liste_groupe[],3,FALSE)/100,IF(ISBLANK(VLOOKUP(A26,liste_groupe[],4,FALSE)),"Non","Non"))</f>
        <v>Non</v>
      </c>
      <c r="I26" s="129" t="e">
        <f t="shared" si="1"/>
        <v>#N/A</v>
      </c>
      <c r="J26" s="130">
        <v>64</v>
      </c>
      <c r="K26" s="131" t="e">
        <f t="shared" si="2"/>
        <v>#N/A</v>
      </c>
      <c r="L26" s="126"/>
      <c r="M26" s="132" t="e">
        <f t="shared" si="3"/>
        <v>#N/A</v>
      </c>
      <c r="N26" s="93" t="e">
        <f>IF(H26="Non",CONCATENATE(VLOOKUP(A26,liste_groupe[],5,FALSE),"-",VLOOKUP(A26,liste_groupe[],3,FALSE),VLOOKUP(A26,liste_groupe[],4,FALSE)," : ",ROUND(K26,0),"%"),CONCATENATE(VLOOKUP(A26,liste_groupe[],5,FALSE)," : ",ROUND(K26,0),"%"))</f>
        <v>#N/A</v>
      </c>
      <c r="O26"/>
    </row>
    <row r="27" spans="1:15" s="77" customFormat="1" ht="15.5" x14ac:dyDescent="0.35">
      <c r="A27"/>
      <c r="B27"/>
      <c r="C27"/>
      <c r="D27"/>
      <c r="E27"/>
      <c r="F27"/>
      <c r="G27"/>
      <c r="H27"/>
      <c r="I27"/>
      <c r="J27"/>
      <c r="K27"/>
      <c r="L27"/>
      <c r="M27"/>
      <c r="N27"/>
      <c r="O27" s="1"/>
    </row>
    <row r="28" spans="1:15" s="77" customFormat="1" ht="31.5" thickBot="1" x14ac:dyDescent="0.4">
      <c r="A28"/>
      <c r="B28" s="88" t="s">
        <v>25</v>
      </c>
      <c r="C28" s="88" t="s">
        <v>26</v>
      </c>
      <c r="D28" s="88" t="s">
        <v>27</v>
      </c>
      <c r="E28" s="89" t="s">
        <v>64</v>
      </c>
      <c r="F28" s="127" t="s">
        <v>80</v>
      </c>
      <c r="G28" s="95" t="s">
        <v>42</v>
      </c>
      <c r="H28" s="95" t="s">
        <v>65</v>
      </c>
      <c r="I28" s="95" t="s">
        <v>66</v>
      </c>
      <c r="J28" s="96" t="s">
        <v>77</v>
      </c>
      <c r="K28" s="96" t="s">
        <v>67</v>
      </c>
      <c r="L28" s="97" t="s">
        <v>76</v>
      </c>
      <c r="M28" s="97" t="s">
        <v>68</v>
      </c>
      <c r="N28" s="97" t="s">
        <v>69</v>
      </c>
      <c r="O28" s="1"/>
    </row>
    <row r="29" spans="1:15" s="77" customFormat="1" ht="15.5" x14ac:dyDescent="0.35">
      <c r="A29" s="84" t="s">
        <v>29</v>
      </c>
      <c r="B29" s="100"/>
      <c r="C29" s="80"/>
      <c r="D29" s="80"/>
      <c r="E29" s="82"/>
      <c r="F29" s="91"/>
      <c r="G29" s="134"/>
      <c r="H29" s="121"/>
      <c r="I29" s="121"/>
      <c r="J29" s="122"/>
      <c r="K29" s="123"/>
      <c r="L29" s="125"/>
      <c r="M29" s="122"/>
      <c r="N29" s="92"/>
      <c r="O29"/>
    </row>
    <row r="30" spans="1:15" s="77" customFormat="1" ht="15.5" x14ac:dyDescent="0.35">
      <c r="A30" s="84" t="s">
        <v>31</v>
      </c>
      <c r="B30" s="100"/>
      <c r="C30" s="80"/>
      <c r="D30" s="80"/>
      <c r="E30" s="82"/>
      <c r="F30" s="91"/>
      <c r="G30" s="133" t="e">
        <f>IF(F30="NS","NC",ROUND(B30-$B$29,2-(1+INT(LOG10(ABS(B30-$B$29))))))</f>
        <v>#NUM!</v>
      </c>
      <c r="H30" s="121"/>
      <c r="I30" s="134"/>
      <c r="J30" s="135"/>
      <c r="K30" s="136"/>
      <c r="L30" s="135"/>
      <c r="M30" s="135"/>
      <c r="N30" s="137"/>
      <c r="O30"/>
    </row>
    <row r="31" spans="1:15" s="77" customFormat="1" ht="15.5" x14ac:dyDescent="0.35">
      <c r="A31" s="84" t="s">
        <v>30</v>
      </c>
      <c r="B31" s="100"/>
      <c r="C31" s="80"/>
      <c r="D31" s="80"/>
      <c r="E31" s="82"/>
      <c r="F31" s="91"/>
      <c r="G31" s="133" t="e">
        <f t="shared" ref="G31:G51" si="6">IF(F31="NS","NC",ROUND(B31-$B$29,2-(1+INT(LOG10(ABS(B31-$B$29))))))</f>
        <v>#NUM!</v>
      </c>
      <c r="H31" s="121"/>
      <c r="I31" s="134"/>
      <c r="J31" s="135"/>
      <c r="K31" s="136"/>
      <c r="L31" s="135"/>
      <c r="M31" s="135"/>
      <c r="N31" s="137"/>
    </row>
    <row r="32" spans="1:15" s="77" customFormat="1" ht="15.5" x14ac:dyDescent="0.35">
      <c r="A32" s="128" t="str">
        <f>'Page de garde'!A39</f>
        <v>FAD-5,4µg/L + Testostérone</v>
      </c>
      <c r="B32" s="100"/>
      <c r="C32" s="80"/>
      <c r="D32" s="80"/>
      <c r="E32" s="82"/>
      <c r="F32" s="94" t="str">
        <f>HLOOKUP(A32,'pooled normalised values'!$B$74:$V$83,10,FALSE)</f>
        <v>***</v>
      </c>
      <c r="G32" s="133" t="e">
        <f t="shared" si="6"/>
        <v>#NUM!</v>
      </c>
      <c r="H32" s="124" t="str">
        <f>IF(VLOOKUP(A32,liste_groupe[],4,FALSE)="%",VLOOKUP(A32,liste_groupe[],3,FALSE)/100,IF(ISBLANK(VLOOKUP(A32,liste_groupe[],4,FALSE)),"Non","Non"))</f>
        <v>Non</v>
      </c>
      <c r="I32" s="133" t="e">
        <f>IF(F32="NS","NC",IF(H32="Non",G32,G32*(1/H32)))</f>
        <v>#NUM!</v>
      </c>
      <c r="J32" s="138" t="e">
        <f>IF(G32&lt;0,$G$31,$G$30)</f>
        <v>#NUM!</v>
      </c>
      <c r="K32" s="139" t="e">
        <f>IF(F32="NS",0,IF(I32&lt;0,-ROUND(I32/J32*100,0),ROUND(I32/J32*100,0)))</f>
        <v>#NUM!</v>
      </c>
      <c r="L32" s="140">
        <v>1</v>
      </c>
      <c r="M32" s="132" t="e">
        <f>IF(I32&lt;0,IF(K32&lt;-100,-125,K32),IF(K32&gt;100,125,K32))</f>
        <v>#NUM!</v>
      </c>
      <c r="N32" s="141" t="e">
        <f>IF(H32="Non",CONCATENATE(VLOOKUP(A32,liste_groupe[],5,FALSE),"-",VLOOKUP(A32,liste_groupe[],3,FALSE),VLOOKUP(A32,liste_groupe[],4,FALSE)," : ",ROUND(K32,0),"%"),CONCATENATE(VLOOKUP(A32,liste_groupe[],5,FALSE)," : ",ROUND(K32,0),"%"))</f>
        <v>#NUM!</v>
      </c>
    </row>
    <row r="33" spans="1:14" s="77" customFormat="1" ht="15.5" x14ac:dyDescent="0.35">
      <c r="A33" s="128" t="str">
        <f>'Page de garde'!A40</f>
        <v>FAD-11µg/L + Testostérone</v>
      </c>
      <c r="B33" s="99"/>
      <c r="C33" s="87"/>
      <c r="D33" s="87"/>
      <c r="E33" s="82"/>
      <c r="F33" s="94" t="str">
        <f>HLOOKUP(A33,'pooled normalised values'!$B$74:$V$83,10,FALSE)</f>
        <v>***</v>
      </c>
      <c r="G33" s="133" t="e">
        <f>IF(F33="NS","NC",ROUND(B33-$B$29,2-(1+INT(LOG10(ABS(B33-$B$29))))))</f>
        <v>#NUM!</v>
      </c>
      <c r="H33" s="124" t="str">
        <f>IF(VLOOKUP(A33,liste_groupe[],4,FALSE)="%",VLOOKUP(A33,liste_groupe[],3,FALSE)/100,IF(ISBLANK(VLOOKUP(A33,liste_groupe[],4,FALSE)),"Non","Non"))</f>
        <v>Non</v>
      </c>
      <c r="I33" s="133" t="e">
        <f t="shared" ref="I33:I51" si="7">IF(F33="NS","NC",IF(H33="Non",G33,G33*(1/H33)))</f>
        <v>#NUM!</v>
      </c>
      <c r="J33" s="138" t="e">
        <f t="shared" ref="J33:J51" si="8">IF(G33&lt;0,$G$31,$G$30)</f>
        <v>#NUM!</v>
      </c>
      <c r="K33" s="139" t="e">
        <f t="shared" ref="K33:K51" si="9">IF(F33="NS",0,IF(I33&lt;0,-ROUND(I33/J33*100,0),ROUND(I33/J33*100,0)))</f>
        <v>#NUM!</v>
      </c>
      <c r="L33" s="140"/>
      <c r="M33" s="132" t="e">
        <f t="shared" ref="M33:M51" si="10">IF(I33&lt;0,IF(K33&lt;-100,-125,K33),IF(K33&gt;100,125,K33))</f>
        <v>#NUM!</v>
      </c>
      <c r="N33" s="141" t="e">
        <f>IF(H33="Non",CONCATENATE(VLOOKUP(A33,liste_groupe[],5,FALSE),"-",VLOOKUP(A33,liste_groupe[],3,FALSE),VLOOKUP(A33,liste_groupe[],4,FALSE)," : ",ROUND(K33,0),"%"),CONCATENATE(VLOOKUP(A33,liste_groupe[],5,FALSE)," : ",ROUND(K33,0),"%"))</f>
        <v>#NUM!</v>
      </c>
    </row>
    <row r="34" spans="1:14" s="77" customFormat="1" ht="15.5" x14ac:dyDescent="0.35">
      <c r="A34" s="128" t="str">
        <f>'Page de garde'!A41</f>
        <v>FAD-22µg/L + Testostérone</v>
      </c>
      <c r="B34" s="100"/>
      <c r="C34" s="80"/>
      <c r="D34" s="80"/>
      <c r="E34" s="82"/>
      <c r="F34" s="94" t="str">
        <f>HLOOKUP(A34,'pooled normalised values'!$B$74:$V$83,10,FALSE)</f>
        <v>***</v>
      </c>
      <c r="G34" s="133" t="e">
        <f t="shared" si="6"/>
        <v>#NUM!</v>
      </c>
      <c r="H34" s="124" t="str">
        <f>IF(VLOOKUP(A34,liste_groupe[],4,FALSE)="%",VLOOKUP(A34,liste_groupe[],3,FALSE)/100,IF(ISBLANK(VLOOKUP(A34,liste_groupe[],4,FALSE)),"Non","Non"))</f>
        <v>Non</v>
      </c>
      <c r="I34" s="133" t="e">
        <f t="shared" si="7"/>
        <v>#NUM!</v>
      </c>
      <c r="J34" s="138" t="e">
        <f t="shared" si="8"/>
        <v>#NUM!</v>
      </c>
      <c r="K34" s="139" t="e">
        <f t="shared" si="9"/>
        <v>#NUM!</v>
      </c>
      <c r="L34" s="140"/>
      <c r="M34" s="132" t="e">
        <f t="shared" si="10"/>
        <v>#NUM!</v>
      </c>
      <c r="N34" s="141" t="e">
        <f>IF(H34="Non",CONCATENATE(VLOOKUP(A34,liste_groupe[],5,FALSE),"-",VLOOKUP(A34,liste_groupe[],3,FALSE),VLOOKUP(A34,liste_groupe[],4,FALSE)," : ",ROUND(K34,0),"%"),CONCATENATE(VLOOKUP(A34,liste_groupe[],5,FALSE)," : ",ROUND(K34,0),"%"))</f>
        <v>#NUM!</v>
      </c>
    </row>
    <row r="35" spans="1:14" s="77" customFormat="1" ht="15.5" x14ac:dyDescent="0.35">
      <c r="A35" s="128" t="str">
        <f>'Page de garde'!A42</f>
        <v>FAD-44µg/L + Testostérone</v>
      </c>
      <c r="B35" s="99"/>
      <c r="C35" s="87"/>
      <c r="D35" s="87"/>
      <c r="E35" s="82"/>
      <c r="F35" s="94" t="str">
        <f>HLOOKUP(A35,'pooled normalised values'!$B$74:$V$83,10,FALSE)</f>
        <v>***</v>
      </c>
      <c r="G35" s="133" t="e">
        <f t="shared" si="6"/>
        <v>#NUM!</v>
      </c>
      <c r="H35" s="124" t="str">
        <f>IF(VLOOKUP(A35,liste_groupe[],4,FALSE)="%",VLOOKUP(A35,liste_groupe[],3,FALSE)/100,IF(ISBLANK(VLOOKUP(A35,liste_groupe[],4,FALSE)),"Non","Non"))</f>
        <v>Non</v>
      </c>
      <c r="I35" s="133" t="e">
        <f t="shared" si="7"/>
        <v>#NUM!</v>
      </c>
      <c r="J35" s="138" t="e">
        <f t="shared" si="8"/>
        <v>#NUM!</v>
      </c>
      <c r="K35" s="139" t="e">
        <f t="shared" si="9"/>
        <v>#NUM!</v>
      </c>
      <c r="L35" s="140"/>
      <c r="M35" s="132" t="e">
        <f t="shared" si="10"/>
        <v>#NUM!</v>
      </c>
      <c r="N35" s="141" t="e">
        <f>IF(H35="Non",CONCATENATE(VLOOKUP(A35,liste_groupe[],5,FALSE),"-",VLOOKUP(A35,liste_groupe[],3,FALSE),VLOOKUP(A35,liste_groupe[],4,FALSE)," : ",ROUND(K35,0),"%"),CONCATENATE(VLOOKUP(A35,liste_groupe[],5,FALSE)," : ",ROUND(K35,0),"%"))</f>
        <v>#NUM!</v>
      </c>
    </row>
    <row r="36" spans="1:14" s="77" customFormat="1" ht="15.5" x14ac:dyDescent="0.35">
      <c r="A36" s="128" t="str">
        <f>'Page de garde'!A43</f>
        <v>FAD-87µg/L + Testostérone</v>
      </c>
      <c r="B36" s="99"/>
      <c r="C36" s="87"/>
      <c r="D36" s="87"/>
      <c r="E36" s="82"/>
      <c r="F36" s="94" t="str">
        <f>HLOOKUP(A36,'pooled normalised values'!$B$74:$V$83,10,FALSE)</f>
        <v>***</v>
      </c>
      <c r="G36" s="133" t="e">
        <f t="shared" si="6"/>
        <v>#NUM!</v>
      </c>
      <c r="H36" s="124" t="str">
        <f>IF(VLOOKUP(A36,liste_groupe[],4,FALSE)="%",VLOOKUP(A36,liste_groupe[],3,FALSE)/100,IF(ISBLANK(VLOOKUP(A36,liste_groupe[],4,FALSE)),"Non","Non"))</f>
        <v>Non</v>
      </c>
      <c r="I36" s="133" t="e">
        <f t="shared" si="7"/>
        <v>#NUM!</v>
      </c>
      <c r="J36" s="138" t="e">
        <f t="shared" si="8"/>
        <v>#NUM!</v>
      </c>
      <c r="K36" s="139" t="e">
        <f t="shared" si="9"/>
        <v>#NUM!</v>
      </c>
      <c r="L36" s="140"/>
      <c r="M36" s="132" t="e">
        <f t="shared" si="10"/>
        <v>#NUM!</v>
      </c>
      <c r="N36" s="141" t="e">
        <f>IF(H36="Non",CONCATENATE(VLOOKUP(A36,liste_groupe[],5,FALSE),"-",VLOOKUP(A36,liste_groupe[],3,FALSE),VLOOKUP(A36,liste_groupe[],4,FALSE)," : ",ROUND(K36,0),"%"),CONCATENATE(VLOOKUP(A36,liste_groupe[],5,FALSE)," : ",ROUND(K36,0),"%"))</f>
        <v>#NUM!</v>
      </c>
    </row>
    <row r="37" spans="1:14" s="77" customFormat="1" ht="15.5" x14ac:dyDescent="0.35">
      <c r="A37" s="128" t="str">
        <f>'Page de garde'!A44</f>
        <v>0-00 + Testostérone</v>
      </c>
      <c r="B37" s="99"/>
      <c r="C37" s="87"/>
      <c r="D37" s="87"/>
      <c r="E37" s="82"/>
      <c r="F37" s="94" t="e">
        <f>HLOOKUP(A37,'pooled normalised values'!$B$74:$V$83,10,FALSE)</f>
        <v>#N/A</v>
      </c>
      <c r="G37" s="133" t="e">
        <f t="shared" si="6"/>
        <v>#N/A</v>
      </c>
      <c r="H37" s="124" t="str">
        <f>IF(VLOOKUP(A37,liste_groupe[],4,FALSE)="%",VLOOKUP(A37,liste_groupe[],3,FALSE)/100,IF(ISBLANK(VLOOKUP(A37,liste_groupe[],4,FALSE)),"Non","Non"))</f>
        <v>Non</v>
      </c>
      <c r="I37" s="133" t="e">
        <f t="shared" si="7"/>
        <v>#N/A</v>
      </c>
      <c r="J37" s="138" t="e">
        <f t="shared" si="8"/>
        <v>#N/A</v>
      </c>
      <c r="K37" s="139" t="e">
        <f t="shared" si="9"/>
        <v>#N/A</v>
      </c>
      <c r="L37" s="140"/>
      <c r="M37" s="132" t="e">
        <f t="shared" si="10"/>
        <v>#N/A</v>
      </c>
      <c r="N37" s="141" t="e">
        <f>IF(H37="Non",CONCATENATE(VLOOKUP(A37,liste_groupe[],5,FALSE),"-",VLOOKUP(A37,liste_groupe[],3,FALSE),VLOOKUP(A37,liste_groupe[],4,FALSE)," : ",ROUND(K37,0),"%"),CONCATENATE(VLOOKUP(A37,liste_groupe[],5,FALSE)," : ",ROUND(K37,0),"%"))</f>
        <v>#N/A</v>
      </c>
    </row>
    <row r="38" spans="1:14" s="77" customFormat="1" ht="15.5" x14ac:dyDescent="0.35">
      <c r="A38" s="128" t="str">
        <f>'Page de garde'!A45</f>
        <v>0-00 + Testostérone</v>
      </c>
      <c r="B38" s="99"/>
      <c r="C38" s="87"/>
      <c r="D38" s="87"/>
      <c r="E38" s="82"/>
      <c r="F38" s="94" t="e">
        <f>HLOOKUP(A38,'pooled normalised values'!$B$74:$V$83,10,FALSE)</f>
        <v>#N/A</v>
      </c>
      <c r="G38" s="133" t="e">
        <f t="shared" si="6"/>
        <v>#N/A</v>
      </c>
      <c r="H38" s="124" t="str">
        <f>IF(VLOOKUP(A38,liste_groupe[],4,FALSE)="%",VLOOKUP(A38,liste_groupe[],3,FALSE)/100,IF(ISBLANK(VLOOKUP(A38,liste_groupe[],4,FALSE)),"Non","Non"))</f>
        <v>Non</v>
      </c>
      <c r="I38" s="133" t="e">
        <f t="shared" si="7"/>
        <v>#N/A</v>
      </c>
      <c r="J38" s="138" t="e">
        <f t="shared" si="8"/>
        <v>#N/A</v>
      </c>
      <c r="K38" s="139" t="e">
        <f t="shared" si="9"/>
        <v>#N/A</v>
      </c>
      <c r="L38" s="140"/>
      <c r="M38" s="132" t="e">
        <f t="shared" si="10"/>
        <v>#N/A</v>
      </c>
      <c r="N38" s="141" t="e">
        <f>IF(H38="Non",CONCATENATE(VLOOKUP(A38,liste_groupe[],5,FALSE),"-",VLOOKUP(A38,liste_groupe[],3,FALSE),VLOOKUP(A38,liste_groupe[],4,FALSE)," : ",ROUND(K38,0),"%"),CONCATENATE(VLOOKUP(A38,liste_groupe[],5,FALSE)," : ",ROUND(K38,0),"%"))</f>
        <v>#N/A</v>
      </c>
    </row>
    <row r="39" spans="1:14" s="77" customFormat="1" ht="15.5" x14ac:dyDescent="0.35">
      <c r="A39" s="128" t="str">
        <f>'Page de garde'!A46</f>
        <v>0-00 + Testostérone</v>
      </c>
      <c r="B39" s="99"/>
      <c r="C39" s="87"/>
      <c r="D39" s="87"/>
      <c r="E39" s="82"/>
      <c r="F39" s="94" t="e">
        <f>HLOOKUP(A39,'pooled normalised values'!$B$74:$V$83,10,FALSE)</f>
        <v>#N/A</v>
      </c>
      <c r="G39" s="133" t="e">
        <f t="shared" ref="G39:G50" si="11">IF(F39="NS","NC",ROUND(B39-$B$29,2-(1+INT(LOG10(ABS(B39-$B$29))))))</f>
        <v>#N/A</v>
      </c>
      <c r="H39" s="124" t="str">
        <f>IF(VLOOKUP(A39,liste_groupe[],4,FALSE)="%",VLOOKUP(A39,liste_groupe[],3,FALSE)/100,IF(ISBLANK(VLOOKUP(A39,liste_groupe[],4,FALSE)),"Non","Non"))</f>
        <v>Non</v>
      </c>
      <c r="I39" s="133" t="e">
        <f t="shared" si="7"/>
        <v>#N/A</v>
      </c>
      <c r="J39" s="138" t="e">
        <f t="shared" ref="J39:J50" si="12">IF(G39&lt;0,$G$31,$G$30)</f>
        <v>#N/A</v>
      </c>
      <c r="K39" s="139" t="e">
        <f t="shared" si="9"/>
        <v>#N/A</v>
      </c>
      <c r="L39" s="140"/>
      <c r="M39" s="132" t="e">
        <f t="shared" si="10"/>
        <v>#N/A</v>
      </c>
      <c r="N39" s="141" t="e">
        <f>IF(H39="Non",CONCATENATE(VLOOKUP(A39,liste_groupe[],5,FALSE),"-",VLOOKUP(A39,liste_groupe[],3,FALSE),VLOOKUP(A39,liste_groupe[],4,FALSE)," : ",ROUND(K39,0),"%"),CONCATENATE(VLOOKUP(A39,liste_groupe[],5,FALSE)," : ",ROUND(K39,0),"%"))</f>
        <v>#N/A</v>
      </c>
    </row>
    <row r="40" spans="1:14" s="77" customFormat="1" ht="15.5" x14ac:dyDescent="0.35">
      <c r="A40" s="128" t="str">
        <f>'Page de garde'!A47</f>
        <v>0-00 + Testostérone</v>
      </c>
      <c r="B40" s="99"/>
      <c r="C40" s="87"/>
      <c r="D40" s="87"/>
      <c r="E40" s="82"/>
      <c r="F40" s="94" t="e">
        <f>HLOOKUP(A40,'pooled normalised values'!$B$74:$V$83,10,FALSE)</f>
        <v>#N/A</v>
      </c>
      <c r="G40" s="133" t="e">
        <f t="shared" si="11"/>
        <v>#N/A</v>
      </c>
      <c r="H40" s="124" t="str">
        <f>IF(VLOOKUP(A40,liste_groupe[],4,FALSE)="%",VLOOKUP(A40,liste_groupe[],3,FALSE)/100,IF(ISBLANK(VLOOKUP(A40,liste_groupe[],4,FALSE)),"Non","Non"))</f>
        <v>Non</v>
      </c>
      <c r="I40" s="133" t="e">
        <f t="shared" si="7"/>
        <v>#N/A</v>
      </c>
      <c r="J40" s="138" t="e">
        <f t="shared" si="12"/>
        <v>#N/A</v>
      </c>
      <c r="K40" s="139" t="e">
        <f t="shared" si="9"/>
        <v>#N/A</v>
      </c>
      <c r="L40" s="140"/>
      <c r="M40" s="132" t="e">
        <f t="shared" si="10"/>
        <v>#N/A</v>
      </c>
      <c r="N40" s="141" t="e">
        <f>IF(H40="Non",CONCATENATE(VLOOKUP(A40,liste_groupe[],5,FALSE),"-",VLOOKUP(A40,liste_groupe[],3,FALSE),VLOOKUP(A40,liste_groupe[],4,FALSE)," : ",ROUND(K40,0),"%"),CONCATENATE(VLOOKUP(A40,liste_groupe[],5,FALSE)," : ",ROUND(K40,0),"%"))</f>
        <v>#N/A</v>
      </c>
    </row>
    <row r="41" spans="1:14" s="77" customFormat="1" ht="15.5" x14ac:dyDescent="0.35">
      <c r="A41" s="128" t="str">
        <f>'Page de garde'!A48</f>
        <v>0-00 + Testostérone</v>
      </c>
      <c r="B41" s="99"/>
      <c r="C41" s="87"/>
      <c r="D41" s="87"/>
      <c r="E41" s="82"/>
      <c r="F41" s="94" t="e">
        <f>HLOOKUP(A41,'pooled normalised values'!$B$74:$V$83,10,FALSE)</f>
        <v>#N/A</v>
      </c>
      <c r="G41" s="133" t="e">
        <f t="shared" si="11"/>
        <v>#N/A</v>
      </c>
      <c r="H41" s="124" t="str">
        <f>IF(VLOOKUP(A41,liste_groupe[],4,FALSE)="%",VLOOKUP(A41,liste_groupe[],3,FALSE)/100,IF(ISBLANK(VLOOKUP(A41,liste_groupe[],4,FALSE)),"Non","Non"))</f>
        <v>Non</v>
      </c>
      <c r="I41" s="133" t="e">
        <f t="shared" si="7"/>
        <v>#N/A</v>
      </c>
      <c r="J41" s="138" t="e">
        <f t="shared" si="12"/>
        <v>#N/A</v>
      </c>
      <c r="K41" s="139" t="e">
        <f t="shared" si="9"/>
        <v>#N/A</v>
      </c>
      <c r="L41" s="140"/>
      <c r="M41" s="132" t="e">
        <f t="shared" si="10"/>
        <v>#N/A</v>
      </c>
      <c r="N41" s="141" t="e">
        <f>IF(H41="Non",CONCATENATE(VLOOKUP(A41,liste_groupe[],5,FALSE),"-",VLOOKUP(A41,liste_groupe[],3,FALSE),VLOOKUP(A41,liste_groupe[],4,FALSE)," : ",ROUND(K41,0),"%"),CONCATENATE(VLOOKUP(A41,liste_groupe[],5,FALSE)," : ",ROUND(K41,0),"%"))</f>
        <v>#N/A</v>
      </c>
    </row>
    <row r="42" spans="1:14" s="77" customFormat="1" ht="15.5" x14ac:dyDescent="0.35">
      <c r="A42" s="128" t="str">
        <f>'Page de garde'!A49</f>
        <v>0-00 + Testostérone</v>
      </c>
      <c r="B42" s="99"/>
      <c r="C42" s="87"/>
      <c r="D42" s="87"/>
      <c r="E42" s="82"/>
      <c r="F42" s="94" t="e">
        <f>HLOOKUP(A42,'pooled normalised values'!$B$74:$V$83,10,FALSE)</f>
        <v>#N/A</v>
      </c>
      <c r="G42" s="133" t="e">
        <f t="shared" si="11"/>
        <v>#N/A</v>
      </c>
      <c r="H42" s="124" t="str">
        <f>IF(VLOOKUP(A42,liste_groupe[],4,FALSE)="%",VLOOKUP(A42,liste_groupe[],3,FALSE)/100,IF(ISBLANK(VLOOKUP(A42,liste_groupe[],4,FALSE)),"Non","Non"))</f>
        <v>Non</v>
      </c>
      <c r="I42" s="133" t="e">
        <f t="shared" si="7"/>
        <v>#N/A</v>
      </c>
      <c r="J42" s="138" t="e">
        <f t="shared" si="12"/>
        <v>#N/A</v>
      </c>
      <c r="K42" s="139" t="e">
        <f t="shared" si="9"/>
        <v>#N/A</v>
      </c>
      <c r="L42" s="140"/>
      <c r="M42" s="132" t="e">
        <f t="shared" si="10"/>
        <v>#N/A</v>
      </c>
      <c r="N42" s="141" t="e">
        <f>IF(H42="Non",CONCATENATE(VLOOKUP(A42,liste_groupe[],5,FALSE),"-",VLOOKUP(A42,liste_groupe[],3,FALSE),VLOOKUP(A42,liste_groupe[],4,FALSE)," : ",ROUND(K42,0),"%"),CONCATENATE(VLOOKUP(A42,liste_groupe[],5,FALSE)," : ",ROUND(K42,0),"%"))</f>
        <v>#N/A</v>
      </c>
    </row>
    <row r="43" spans="1:14" s="77" customFormat="1" ht="15.5" x14ac:dyDescent="0.35">
      <c r="A43" s="128" t="str">
        <f>'Page de garde'!A50</f>
        <v>0-00 + Testostérone</v>
      </c>
      <c r="B43" s="99"/>
      <c r="C43" s="87"/>
      <c r="D43" s="87"/>
      <c r="E43" s="82"/>
      <c r="F43" s="94" t="e">
        <f>HLOOKUP(A43,'pooled normalised values'!$B$74:$V$83,10,FALSE)</f>
        <v>#N/A</v>
      </c>
      <c r="G43" s="133" t="e">
        <f t="shared" si="11"/>
        <v>#N/A</v>
      </c>
      <c r="H43" s="124" t="str">
        <f>IF(VLOOKUP(A43,liste_groupe[],4,FALSE)="%",VLOOKUP(A43,liste_groupe[],3,FALSE)/100,IF(ISBLANK(VLOOKUP(A43,liste_groupe[],4,FALSE)),"Non","Non"))</f>
        <v>Non</v>
      </c>
      <c r="I43" s="133" t="e">
        <f t="shared" si="7"/>
        <v>#N/A</v>
      </c>
      <c r="J43" s="138" t="e">
        <f t="shared" si="12"/>
        <v>#N/A</v>
      </c>
      <c r="K43" s="139" t="e">
        <f t="shared" si="9"/>
        <v>#N/A</v>
      </c>
      <c r="L43" s="140"/>
      <c r="M43" s="132" t="e">
        <f t="shared" si="10"/>
        <v>#N/A</v>
      </c>
      <c r="N43" s="141" t="e">
        <f>IF(H43="Non",CONCATENATE(VLOOKUP(A43,liste_groupe[],5,FALSE),"-",VLOOKUP(A43,liste_groupe[],3,FALSE),VLOOKUP(A43,liste_groupe[],4,FALSE)," : ",ROUND(K43,0),"%"),CONCATENATE(VLOOKUP(A43,liste_groupe[],5,FALSE)," : ",ROUND(K43,0),"%"))</f>
        <v>#N/A</v>
      </c>
    </row>
    <row r="44" spans="1:14" s="77" customFormat="1" ht="15.5" x14ac:dyDescent="0.35">
      <c r="A44" s="128" t="str">
        <f>'Page de garde'!A51</f>
        <v>0-00 + Testostérone</v>
      </c>
      <c r="B44" s="99"/>
      <c r="C44" s="87"/>
      <c r="D44" s="87"/>
      <c r="E44" s="82"/>
      <c r="F44" s="94" t="e">
        <f>HLOOKUP(A44,'pooled normalised values'!$B$74:$V$83,10,FALSE)</f>
        <v>#N/A</v>
      </c>
      <c r="G44" s="133" t="e">
        <f t="shared" si="11"/>
        <v>#N/A</v>
      </c>
      <c r="H44" s="124" t="str">
        <f>IF(VLOOKUP(A44,liste_groupe[],4,FALSE)="%",VLOOKUP(A44,liste_groupe[],3,FALSE)/100,IF(ISBLANK(VLOOKUP(A44,liste_groupe[],4,FALSE)),"Non","Non"))</f>
        <v>Non</v>
      </c>
      <c r="I44" s="133" t="e">
        <f t="shared" si="7"/>
        <v>#N/A</v>
      </c>
      <c r="J44" s="138" t="e">
        <f t="shared" si="12"/>
        <v>#N/A</v>
      </c>
      <c r="K44" s="139" t="e">
        <f t="shared" si="9"/>
        <v>#N/A</v>
      </c>
      <c r="L44" s="140"/>
      <c r="M44" s="132" t="e">
        <f t="shared" si="10"/>
        <v>#N/A</v>
      </c>
      <c r="N44" s="141" t="e">
        <f>IF(H44="Non",CONCATENATE(VLOOKUP(A44,liste_groupe[],5,FALSE),"-",VLOOKUP(A44,liste_groupe[],3,FALSE),VLOOKUP(A44,liste_groupe[],4,FALSE)," : ",ROUND(K44,0),"%"),CONCATENATE(VLOOKUP(A44,liste_groupe[],5,FALSE)," : ",ROUND(K44,0),"%"))</f>
        <v>#N/A</v>
      </c>
    </row>
    <row r="45" spans="1:14" s="77" customFormat="1" ht="15.5" x14ac:dyDescent="0.35">
      <c r="A45" s="128" t="str">
        <f>'Page de garde'!A52</f>
        <v>0-00 + Testostérone</v>
      </c>
      <c r="B45" s="99"/>
      <c r="C45" s="87"/>
      <c r="D45" s="87"/>
      <c r="E45" s="82"/>
      <c r="F45" s="94" t="e">
        <f>HLOOKUP(A45,'pooled normalised values'!$B$74:$V$83,10,FALSE)</f>
        <v>#N/A</v>
      </c>
      <c r="G45" s="133" t="e">
        <f t="shared" si="11"/>
        <v>#N/A</v>
      </c>
      <c r="H45" s="124" t="str">
        <f>IF(VLOOKUP(A45,liste_groupe[],4,FALSE)="%",VLOOKUP(A45,liste_groupe[],3,FALSE)/100,IF(ISBLANK(VLOOKUP(A45,liste_groupe[],4,FALSE)),"Non","Non"))</f>
        <v>Non</v>
      </c>
      <c r="I45" s="133" t="e">
        <f t="shared" si="7"/>
        <v>#N/A</v>
      </c>
      <c r="J45" s="138" t="e">
        <f t="shared" si="12"/>
        <v>#N/A</v>
      </c>
      <c r="K45" s="139" t="e">
        <f t="shared" si="9"/>
        <v>#N/A</v>
      </c>
      <c r="L45" s="140"/>
      <c r="M45" s="132" t="e">
        <f t="shared" si="10"/>
        <v>#N/A</v>
      </c>
      <c r="N45" s="141" t="e">
        <f>IF(H45="Non",CONCATENATE(VLOOKUP(A45,liste_groupe[],5,FALSE),"-",VLOOKUP(A45,liste_groupe[],3,FALSE),VLOOKUP(A45,liste_groupe[],4,FALSE)," : ",ROUND(K45,0),"%"),CONCATENATE(VLOOKUP(A45,liste_groupe[],5,FALSE)," : ",ROUND(K45,0),"%"))</f>
        <v>#N/A</v>
      </c>
    </row>
    <row r="46" spans="1:14" s="77" customFormat="1" ht="15.5" x14ac:dyDescent="0.35">
      <c r="A46" s="128" t="str">
        <f>'Page de garde'!A53</f>
        <v>0-00 + Testostérone</v>
      </c>
      <c r="B46" s="99"/>
      <c r="C46" s="87"/>
      <c r="D46" s="87"/>
      <c r="E46" s="82"/>
      <c r="F46" s="94" t="e">
        <f>HLOOKUP(A46,'pooled normalised values'!$B$74:$V$83,10,FALSE)</f>
        <v>#N/A</v>
      </c>
      <c r="G46" s="133" t="e">
        <f t="shared" si="11"/>
        <v>#N/A</v>
      </c>
      <c r="H46" s="124" t="str">
        <f>IF(VLOOKUP(A46,liste_groupe[],4,FALSE)="%",VLOOKUP(A46,liste_groupe[],3,FALSE)/100,IF(ISBLANK(VLOOKUP(A46,liste_groupe[],4,FALSE)),"Non","Non"))</f>
        <v>Non</v>
      </c>
      <c r="I46" s="133" t="e">
        <f t="shared" si="7"/>
        <v>#N/A</v>
      </c>
      <c r="J46" s="138" t="e">
        <f t="shared" si="12"/>
        <v>#N/A</v>
      </c>
      <c r="K46" s="139" t="e">
        <f t="shared" si="9"/>
        <v>#N/A</v>
      </c>
      <c r="L46" s="140"/>
      <c r="M46" s="132" t="e">
        <f t="shared" si="10"/>
        <v>#N/A</v>
      </c>
      <c r="N46" s="141" t="e">
        <f>IF(H46="Non",CONCATENATE(VLOOKUP(A46,liste_groupe[],5,FALSE),"-",VLOOKUP(A46,liste_groupe[],3,FALSE),VLOOKUP(A46,liste_groupe[],4,FALSE)," : ",ROUND(K46,0),"%"),CONCATENATE(VLOOKUP(A46,liste_groupe[],5,FALSE)," : ",ROUND(K46,0),"%"))</f>
        <v>#N/A</v>
      </c>
    </row>
    <row r="47" spans="1:14" s="77" customFormat="1" ht="15.5" x14ac:dyDescent="0.35">
      <c r="A47" s="128" t="str">
        <f>'Page de garde'!A54</f>
        <v>0-00 + Testostérone</v>
      </c>
      <c r="B47" s="99"/>
      <c r="C47" s="87"/>
      <c r="D47" s="87"/>
      <c r="E47" s="82"/>
      <c r="F47" s="94" t="e">
        <f>HLOOKUP(A47,'pooled normalised values'!$B$74:$V$83,10,FALSE)</f>
        <v>#N/A</v>
      </c>
      <c r="G47" s="133" t="e">
        <f t="shared" si="11"/>
        <v>#N/A</v>
      </c>
      <c r="H47" s="124" t="str">
        <f>IF(VLOOKUP(A47,liste_groupe[],4,FALSE)="%",VLOOKUP(A47,liste_groupe[],3,FALSE)/100,IF(ISBLANK(VLOOKUP(A47,liste_groupe[],4,FALSE)),"Non","Non"))</f>
        <v>Non</v>
      </c>
      <c r="I47" s="133" t="e">
        <f t="shared" si="7"/>
        <v>#N/A</v>
      </c>
      <c r="J47" s="138" t="e">
        <f t="shared" si="12"/>
        <v>#N/A</v>
      </c>
      <c r="K47" s="139" t="e">
        <f t="shared" si="9"/>
        <v>#N/A</v>
      </c>
      <c r="L47" s="140"/>
      <c r="M47" s="132" t="e">
        <f t="shared" si="10"/>
        <v>#N/A</v>
      </c>
      <c r="N47" s="141" t="e">
        <f>IF(H47="Non",CONCATENATE(VLOOKUP(A47,liste_groupe[],5,FALSE),"-",VLOOKUP(A47,liste_groupe[],3,FALSE),VLOOKUP(A47,liste_groupe[],4,FALSE)," : ",ROUND(K47,0),"%"),CONCATENATE(VLOOKUP(A47,liste_groupe[],5,FALSE)," : ",ROUND(K47,0),"%"))</f>
        <v>#N/A</v>
      </c>
    </row>
    <row r="48" spans="1:14" s="77" customFormat="1" ht="15.5" x14ac:dyDescent="0.35">
      <c r="A48" s="128" t="str">
        <f>'Page de garde'!A55</f>
        <v>0-00 + Testostérone</v>
      </c>
      <c r="B48" s="99"/>
      <c r="C48" s="87"/>
      <c r="D48" s="87"/>
      <c r="E48" s="82"/>
      <c r="F48" s="94" t="e">
        <f>HLOOKUP(A48,'pooled normalised values'!$B$74:$V$83,10,FALSE)</f>
        <v>#N/A</v>
      </c>
      <c r="G48" s="133" t="e">
        <f t="shared" si="11"/>
        <v>#N/A</v>
      </c>
      <c r="H48" s="124" t="str">
        <f>IF(VLOOKUP(A48,liste_groupe[],4,FALSE)="%",VLOOKUP(A48,liste_groupe[],3,FALSE)/100,IF(ISBLANK(VLOOKUP(A48,liste_groupe[],4,FALSE)),"Non","Non"))</f>
        <v>Non</v>
      </c>
      <c r="I48" s="133" t="e">
        <f t="shared" si="7"/>
        <v>#N/A</v>
      </c>
      <c r="J48" s="138" t="e">
        <f t="shared" si="12"/>
        <v>#N/A</v>
      </c>
      <c r="K48" s="139" t="e">
        <f t="shared" si="9"/>
        <v>#N/A</v>
      </c>
      <c r="L48" s="140"/>
      <c r="M48" s="132" t="e">
        <f t="shared" si="10"/>
        <v>#N/A</v>
      </c>
      <c r="N48" s="141" t="e">
        <f>IF(H48="Non",CONCATENATE(VLOOKUP(A48,liste_groupe[],5,FALSE),"-",VLOOKUP(A48,liste_groupe[],3,FALSE),VLOOKUP(A48,liste_groupe[],4,FALSE)," : ",ROUND(K48,0),"%"),CONCATENATE(VLOOKUP(A48,liste_groupe[],5,FALSE)," : ",ROUND(K48,0),"%"))</f>
        <v>#N/A</v>
      </c>
    </row>
    <row r="49" spans="1:15" s="77" customFormat="1" ht="15.5" x14ac:dyDescent="0.35">
      <c r="A49" s="128" t="str">
        <f>'Page de garde'!A56</f>
        <v>0-00 + Testostérone</v>
      </c>
      <c r="B49" s="99"/>
      <c r="C49" s="87"/>
      <c r="D49" s="87"/>
      <c r="E49" s="82"/>
      <c r="F49" s="94" t="e">
        <f>HLOOKUP(A49,'pooled normalised values'!$B$74:$V$83,10,FALSE)</f>
        <v>#N/A</v>
      </c>
      <c r="G49" s="133" t="e">
        <f t="shared" si="11"/>
        <v>#N/A</v>
      </c>
      <c r="H49" s="124" t="str">
        <f>IF(VLOOKUP(A49,liste_groupe[],4,FALSE)="%",VLOOKUP(A49,liste_groupe[],3,FALSE)/100,IF(ISBLANK(VLOOKUP(A49,liste_groupe[],4,FALSE)),"Non","Non"))</f>
        <v>Non</v>
      </c>
      <c r="I49" s="133" t="e">
        <f t="shared" si="7"/>
        <v>#N/A</v>
      </c>
      <c r="J49" s="138" t="e">
        <f t="shared" si="12"/>
        <v>#N/A</v>
      </c>
      <c r="K49" s="139" t="e">
        <f t="shared" si="9"/>
        <v>#N/A</v>
      </c>
      <c r="L49" s="140"/>
      <c r="M49" s="132" t="e">
        <f t="shared" si="10"/>
        <v>#N/A</v>
      </c>
      <c r="N49" s="141" t="e">
        <f>IF(H49="Non",CONCATENATE(VLOOKUP(A49,liste_groupe[],5,FALSE),"-",VLOOKUP(A49,liste_groupe[],3,FALSE),VLOOKUP(A49,liste_groupe[],4,FALSE)," : ",ROUND(K49,0),"%"),CONCATENATE(VLOOKUP(A49,liste_groupe[],5,FALSE)," : ",ROUND(K49,0),"%"))</f>
        <v>#N/A</v>
      </c>
    </row>
    <row r="50" spans="1:15" s="77" customFormat="1" ht="15.5" x14ac:dyDescent="0.35">
      <c r="A50" s="128" t="str">
        <f>'Page de garde'!A57</f>
        <v>0-00 + Testostérone</v>
      </c>
      <c r="B50" s="99"/>
      <c r="C50" s="87"/>
      <c r="D50" s="87"/>
      <c r="E50" s="82"/>
      <c r="F50" s="94" t="e">
        <f>HLOOKUP(A50,'pooled normalised values'!$B$74:$V$83,10,FALSE)</f>
        <v>#N/A</v>
      </c>
      <c r="G50" s="133" t="e">
        <f t="shared" si="11"/>
        <v>#N/A</v>
      </c>
      <c r="H50" s="124" t="str">
        <f>IF(VLOOKUP(A50,liste_groupe[],4,FALSE)="%",VLOOKUP(A50,liste_groupe[],3,FALSE)/100,IF(ISBLANK(VLOOKUP(A50,liste_groupe[],4,FALSE)),"Non","Non"))</f>
        <v>Non</v>
      </c>
      <c r="I50" s="133" t="e">
        <f t="shared" si="7"/>
        <v>#N/A</v>
      </c>
      <c r="J50" s="138" t="e">
        <f t="shared" si="12"/>
        <v>#N/A</v>
      </c>
      <c r="K50" s="139" t="e">
        <f t="shared" si="9"/>
        <v>#N/A</v>
      </c>
      <c r="L50" s="140"/>
      <c r="M50" s="132" t="e">
        <f t="shared" si="10"/>
        <v>#N/A</v>
      </c>
      <c r="N50" s="141" t="e">
        <f>IF(H50="Non",CONCATENATE(VLOOKUP(A50,liste_groupe[],5,FALSE),"-",VLOOKUP(A50,liste_groupe[],3,FALSE),VLOOKUP(A50,liste_groupe[],4,FALSE)," : ",ROUND(K50,0),"%"),CONCATENATE(VLOOKUP(A50,liste_groupe[],5,FALSE)," : ",ROUND(K50,0),"%"))</f>
        <v>#N/A</v>
      </c>
    </row>
    <row r="51" spans="1:15" s="77" customFormat="1" ht="15.5" x14ac:dyDescent="0.35">
      <c r="A51" s="128" t="str">
        <f>'Page de garde'!A58</f>
        <v>0-00 + Testostérone</v>
      </c>
      <c r="B51" s="99"/>
      <c r="C51" s="87"/>
      <c r="D51" s="87"/>
      <c r="E51" s="82"/>
      <c r="F51" s="94" t="e">
        <f>HLOOKUP(A51,'pooled normalised values'!$B$74:$V$83,10,FALSE)</f>
        <v>#N/A</v>
      </c>
      <c r="G51" s="133" t="e">
        <f t="shared" si="6"/>
        <v>#N/A</v>
      </c>
      <c r="H51" s="124" t="str">
        <f>IF(VLOOKUP(A51,liste_groupe[],4,FALSE)="%",VLOOKUP(A51,liste_groupe[],3,FALSE)/100,IF(ISBLANK(VLOOKUP(A51,liste_groupe[],4,FALSE)),"Non","Non"))</f>
        <v>Non</v>
      </c>
      <c r="I51" s="133" t="e">
        <f t="shared" si="7"/>
        <v>#N/A</v>
      </c>
      <c r="J51" s="138" t="e">
        <f t="shared" si="8"/>
        <v>#N/A</v>
      </c>
      <c r="K51" s="139" t="e">
        <f t="shared" si="9"/>
        <v>#N/A</v>
      </c>
      <c r="L51" s="140"/>
      <c r="M51" s="132" t="e">
        <f t="shared" si="10"/>
        <v>#N/A</v>
      </c>
      <c r="N51" s="141" t="e">
        <f>IF(H51="Non",CONCATENATE(VLOOKUP(A51,liste_groupe[],5,FALSE),"-",VLOOKUP(A51,liste_groupe[],3,FALSE),VLOOKUP(A51,liste_groupe[],4,FALSE)," : ",ROUND(K51,0),"%"),CONCATENATE(VLOOKUP(A51,liste_groupe[],5,FALSE)," : ",ROUND(K51,0),"%"))</f>
        <v>#N/A</v>
      </c>
    </row>
    <row r="52" spans="1:15" s="77" customFormat="1" ht="16" thickBot="1" x14ac:dyDescent="0.4">
      <c r="E52" s="78"/>
      <c r="F52" s="78"/>
      <c r="G52" s="78"/>
      <c r="H52" s="78"/>
      <c r="I52" s="78"/>
      <c r="J52" s="78"/>
      <c r="K52" s="78"/>
      <c r="L52" s="78"/>
      <c r="M52" s="78"/>
      <c r="N52" s="78"/>
    </row>
    <row r="53" spans="1:15" s="48" customFormat="1" ht="26.5" thickBot="1" x14ac:dyDescent="0.4">
      <c r="A53" s="231" t="s">
        <v>60</v>
      </c>
      <c r="B53" s="232"/>
      <c r="C53" s="232"/>
      <c r="D53" s="232"/>
      <c r="E53" s="232"/>
      <c r="F53" s="232"/>
      <c r="G53" s="232"/>
      <c r="H53" s="232"/>
      <c r="I53" s="232"/>
      <c r="J53" s="232"/>
      <c r="K53" s="232"/>
      <c r="L53" s="232"/>
      <c r="M53" s="232"/>
      <c r="N53" s="232"/>
      <c r="O53" s="233"/>
    </row>
  </sheetData>
  <mergeCells count="3">
    <mergeCell ref="A2:O2"/>
    <mergeCell ref="A1:O1"/>
    <mergeCell ref="A53:O53"/>
  </mergeCells>
  <pageMargins left="0.7" right="0.7" top="0.75" bottom="0.75" header="0.3" footer="0.3"/>
  <pageSetup paperSize="9" orientation="portrait" r:id="rId1"/>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G2"/>
  <sheetViews>
    <sheetView showGridLines="0" workbookViewId="0">
      <selection activeCell="B6" sqref="B6"/>
    </sheetView>
  </sheetViews>
  <sheetFormatPr baseColWidth="10" defaultColWidth="11.453125" defaultRowHeight="14.5" x14ac:dyDescent="0.35"/>
  <cols>
    <col min="1" max="1" width="22.81640625" style="181" customWidth="1"/>
    <col min="2" max="2" width="46.26953125" style="181" customWidth="1"/>
    <col min="3" max="3" width="15.26953125" style="181" customWidth="1"/>
    <col min="4" max="4" width="24.7265625" style="181" customWidth="1"/>
    <col min="5" max="5" width="24.453125" style="181" customWidth="1"/>
    <col min="6" max="6" width="23.1796875" style="181" customWidth="1"/>
    <col min="7" max="7" width="21.26953125" style="181" customWidth="1"/>
    <col min="8" max="16384" width="11.453125" style="181"/>
  </cols>
  <sheetData>
    <row r="1" spans="1:7" ht="29.5" thickBot="1" x14ac:dyDescent="0.4">
      <c r="A1" s="186" t="s">
        <v>132</v>
      </c>
      <c r="B1" s="187" t="s">
        <v>133</v>
      </c>
      <c r="C1" s="187" t="s">
        <v>139</v>
      </c>
      <c r="D1" s="187" t="s">
        <v>138</v>
      </c>
      <c r="E1" s="187" t="s">
        <v>140</v>
      </c>
      <c r="F1" s="188" t="s">
        <v>141</v>
      </c>
      <c r="G1" s="189" t="s">
        <v>142</v>
      </c>
    </row>
    <row r="2" spans="1:7" ht="58" x14ac:dyDescent="0.35">
      <c r="A2" s="182" t="s">
        <v>134</v>
      </c>
      <c r="B2" s="183" t="s">
        <v>135</v>
      </c>
      <c r="C2" s="183" t="s">
        <v>136</v>
      </c>
      <c r="D2" s="183" t="s">
        <v>143</v>
      </c>
      <c r="E2" s="183" t="s">
        <v>137</v>
      </c>
      <c r="F2" s="184" t="s">
        <v>136</v>
      </c>
      <c r="G2" s="185" t="s">
        <v>136</v>
      </c>
    </row>
  </sheetData>
  <pageMargins left="0.7" right="0.7" top="0.75" bottom="0.75" header="0.3" footer="0.3"/>
  <tableParts count="1">
    <tablePart r:id="rId1"/>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2:AK24"/>
  <sheetViews>
    <sheetView zoomScale="70" zoomScaleNormal="70" workbookViewId="0">
      <selection activeCell="A16" sqref="A16"/>
    </sheetView>
  </sheetViews>
  <sheetFormatPr baseColWidth="10" defaultRowHeight="12.5" x14ac:dyDescent="0.25"/>
  <cols>
    <col min="1" max="1" width="18.81640625" style="17" customWidth="1"/>
    <col min="2" max="2" width="7.26953125" style="17" bestFit="1" customWidth="1"/>
    <col min="3" max="3" width="10.54296875" style="17" customWidth="1"/>
    <col min="4" max="4" width="13.7265625" style="17" bestFit="1" customWidth="1"/>
    <col min="5" max="5" width="12" style="17" bestFit="1" customWidth="1"/>
    <col min="6" max="19" width="14.81640625" style="17" customWidth="1"/>
    <col min="20" max="21" width="11.453125" style="17"/>
    <col min="22" max="22" width="13.54296875" style="17" bestFit="1" customWidth="1"/>
    <col min="23" max="34" width="13.54296875" style="17" customWidth="1"/>
    <col min="35" max="35" width="13.54296875" style="17" bestFit="1" customWidth="1"/>
    <col min="36" max="282" width="11.453125" style="17"/>
    <col min="283" max="283" width="18.7265625" style="17" customWidth="1"/>
    <col min="284" max="284" width="13.7265625" style="17" bestFit="1" customWidth="1"/>
    <col min="285" max="285" width="17.26953125" style="17" customWidth="1"/>
    <col min="286" max="286" width="11" style="17" customWidth="1"/>
    <col min="287" max="287" width="12" style="17" bestFit="1" customWidth="1"/>
    <col min="288" max="288" width="14.81640625" style="17" customWidth="1"/>
    <col min="289" max="538" width="11.453125" style="17"/>
    <col min="539" max="539" width="18.7265625" style="17" customWidth="1"/>
    <col min="540" max="540" width="13.7265625" style="17" bestFit="1" customWidth="1"/>
    <col min="541" max="541" width="17.26953125" style="17" customWidth="1"/>
    <col min="542" max="542" width="11" style="17" customWidth="1"/>
    <col min="543" max="543" width="12" style="17" bestFit="1" customWidth="1"/>
    <col min="544" max="544" width="14.81640625" style="17" customWidth="1"/>
    <col min="545" max="794" width="11.453125" style="17"/>
    <col min="795" max="795" width="18.7265625" style="17" customWidth="1"/>
    <col min="796" max="796" width="13.7265625" style="17" bestFit="1" customWidth="1"/>
    <col min="797" max="797" width="17.26953125" style="17" customWidth="1"/>
    <col min="798" max="798" width="11" style="17" customWidth="1"/>
    <col min="799" max="799" width="12" style="17" bestFit="1" customWidth="1"/>
    <col min="800" max="800" width="14.81640625" style="17" customWidth="1"/>
    <col min="801" max="1050" width="11.453125" style="17"/>
    <col min="1051" max="1051" width="18.7265625" style="17" customWidth="1"/>
    <col min="1052" max="1052" width="13.7265625" style="17" bestFit="1" customWidth="1"/>
    <col min="1053" max="1053" width="17.26953125" style="17" customWidth="1"/>
    <col min="1054" max="1054" width="11" style="17" customWidth="1"/>
    <col min="1055" max="1055" width="12" style="17" bestFit="1" customWidth="1"/>
    <col min="1056" max="1056" width="14.81640625" style="17" customWidth="1"/>
    <col min="1057" max="1306" width="11.453125" style="17"/>
    <col min="1307" max="1307" width="18.7265625" style="17" customWidth="1"/>
    <col min="1308" max="1308" width="13.7265625" style="17" bestFit="1" customWidth="1"/>
    <col min="1309" max="1309" width="17.26953125" style="17" customWidth="1"/>
    <col min="1310" max="1310" width="11" style="17" customWidth="1"/>
    <col min="1311" max="1311" width="12" style="17" bestFit="1" customWidth="1"/>
    <col min="1312" max="1312" width="14.81640625" style="17" customWidth="1"/>
    <col min="1313" max="1562" width="11.453125" style="17"/>
    <col min="1563" max="1563" width="18.7265625" style="17" customWidth="1"/>
    <col min="1564" max="1564" width="13.7265625" style="17" bestFit="1" customWidth="1"/>
    <col min="1565" max="1565" width="17.26953125" style="17" customWidth="1"/>
    <col min="1566" max="1566" width="11" style="17" customWidth="1"/>
    <col min="1567" max="1567" width="12" style="17" bestFit="1" customWidth="1"/>
    <col min="1568" max="1568" width="14.81640625" style="17" customWidth="1"/>
    <col min="1569" max="1818" width="11.453125" style="17"/>
    <col min="1819" max="1819" width="18.7265625" style="17" customWidth="1"/>
    <col min="1820" max="1820" width="13.7265625" style="17" bestFit="1" customWidth="1"/>
    <col min="1821" max="1821" width="17.26953125" style="17" customWidth="1"/>
    <col min="1822" max="1822" width="11" style="17" customWidth="1"/>
    <col min="1823" max="1823" width="12" style="17" bestFit="1" customWidth="1"/>
    <col min="1824" max="1824" width="14.81640625" style="17" customWidth="1"/>
    <col min="1825" max="2074" width="11.453125" style="17"/>
    <col min="2075" max="2075" width="18.7265625" style="17" customWidth="1"/>
    <col min="2076" max="2076" width="13.7265625" style="17" bestFit="1" customWidth="1"/>
    <col min="2077" max="2077" width="17.26953125" style="17" customWidth="1"/>
    <col min="2078" max="2078" width="11" style="17" customWidth="1"/>
    <col min="2079" max="2079" width="12" style="17" bestFit="1" customWidth="1"/>
    <col min="2080" max="2080" width="14.81640625" style="17" customWidth="1"/>
    <col min="2081" max="2330" width="11.453125" style="17"/>
    <col min="2331" max="2331" width="18.7265625" style="17" customWidth="1"/>
    <col min="2332" max="2332" width="13.7265625" style="17" bestFit="1" customWidth="1"/>
    <col min="2333" max="2333" width="17.26953125" style="17" customWidth="1"/>
    <col min="2334" max="2334" width="11" style="17" customWidth="1"/>
    <col min="2335" max="2335" width="12" style="17" bestFit="1" customWidth="1"/>
    <col min="2336" max="2336" width="14.81640625" style="17" customWidth="1"/>
    <col min="2337" max="2586" width="11.453125" style="17"/>
    <col min="2587" max="2587" width="18.7265625" style="17" customWidth="1"/>
    <col min="2588" max="2588" width="13.7265625" style="17" bestFit="1" customWidth="1"/>
    <col min="2589" max="2589" width="17.26953125" style="17" customWidth="1"/>
    <col min="2590" max="2590" width="11" style="17" customWidth="1"/>
    <col min="2591" max="2591" width="12" style="17" bestFit="1" customWidth="1"/>
    <col min="2592" max="2592" width="14.81640625" style="17" customWidth="1"/>
    <col min="2593" max="2842" width="11.453125" style="17"/>
    <col min="2843" max="2843" width="18.7265625" style="17" customWidth="1"/>
    <col min="2844" max="2844" width="13.7265625" style="17" bestFit="1" customWidth="1"/>
    <col min="2845" max="2845" width="17.26953125" style="17" customWidth="1"/>
    <col min="2846" max="2846" width="11" style="17" customWidth="1"/>
    <col min="2847" max="2847" width="12" style="17" bestFit="1" customWidth="1"/>
    <col min="2848" max="2848" width="14.81640625" style="17" customWidth="1"/>
    <col min="2849" max="3098" width="11.453125" style="17"/>
    <col min="3099" max="3099" width="18.7265625" style="17" customWidth="1"/>
    <col min="3100" max="3100" width="13.7265625" style="17" bestFit="1" customWidth="1"/>
    <col min="3101" max="3101" width="17.26953125" style="17" customWidth="1"/>
    <col min="3102" max="3102" width="11" style="17" customWidth="1"/>
    <col min="3103" max="3103" width="12" style="17" bestFit="1" customWidth="1"/>
    <col min="3104" max="3104" width="14.81640625" style="17" customWidth="1"/>
    <col min="3105" max="3354" width="11.453125" style="17"/>
    <col min="3355" max="3355" width="18.7265625" style="17" customWidth="1"/>
    <col min="3356" max="3356" width="13.7265625" style="17" bestFit="1" customWidth="1"/>
    <col min="3357" max="3357" width="17.26953125" style="17" customWidth="1"/>
    <col min="3358" max="3358" width="11" style="17" customWidth="1"/>
    <col min="3359" max="3359" width="12" style="17" bestFit="1" customWidth="1"/>
    <col min="3360" max="3360" width="14.81640625" style="17" customWidth="1"/>
    <col min="3361" max="3610" width="11.453125" style="17"/>
    <col min="3611" max="3611" width="18.7265625" style="17" customWidth="1"/>
    <col min="3612" max="3612" width="13.7265625" style="17" bestFit="1" customWidth="1"/>
    <col min="3613" max="3613" width="17.26953125" style="17" customWidth="1"/>
    <col min="3614" max="3614" width="11" style="17" customWidth="1"/>
    <col min="3615" max="3615" width="12" style="17" bestFit="1" customWidth="1"/>
    <col min="3616" max="3616" width="14.81640625" style="17" customWidth="1"/>
    <col min="3617" max="3866" width="11.453125" style="17"/>
    <col min="3867" max="3867" width="18.7265625" style="17" customWidth="1"/>
    <col min="3868" max="3868" width="13.7265625" style="17" bestFit="1" customWidth="1"/>
    <col min="3869" max="3869" width="17.26953125" style="17" customWidth="1"/>
    <col min="3870" max="3870" width="11" style="17" customWidth="1"/>
    <col min="3871" max="3871" width="12" style="17" bestFit="1" customWidth="1"/>
    <col min="3872" max="3872" width="14.81640625" style="17" customWidth="1"/>
    <col min="3873" max="4122" width="11.453125" style="17"/>
    <col min="4123" max="4123" width="18.7265625" style="17" customWidth="1"/>
    <col min="4124" max="4124" width="13.7265625" style="17" bestFit="1" customWidth="1"/>
    <col min="4125" max="4125" width="17.26953125" style="17" customWidth="1"/>
    <col min="4126" max="4126" width="11" style="17" customWidth="1"/>
    <col min="4127" max="4127" width="12" style="17" bestFit="1" customWidth="1"/>
    <col min="4128" max="4128" width="14.81640625" style="17" customWidth="1"/>
    <col min="4129" max="4378" width="11.453125" style="17"/>
    <col min="4379" max="4379" width="18.7265625" style="17" customWidth="1"/>
    <col min="4380" max="4380" width="13.7265625" style="17" bestFit="1" customWidth="1"/>
    <col min="4381" max="4381" width="17.26953125" style="17" customWidth="1"/>
    <col min="4382" max="4382" width="11" style="17" customWidth="1"/>
    <col min="4383" max="4383" width="12" style="17" bestFit="1" customWidth="1"/>
    <col min="4384" max="4384" width="14.81640625" style="17" customWidth="1"/>
    <col min="4385" max="4634" width="11.453125" style="17"/>
    <col min="4635" max="4635" width="18.7265625" style="17" customWidth="1"/>
    <col min="4636" max="4636" width="13.7265625" style="17" bestFit="1" customWidth="1"/>
    <col min="4637" max="4637" width="17.26953125" style="17" customWidth="1"/>
    <col min="4638" max="4638" width="11" style="17" customWidth="1"/>
    <col min="4639" max="4639" width="12" style="17" bestFit="1" customWidth="1"/>
    <col min="4640" max="4640" width="14.81640625" style="17" customWidth="1"/>
    <col min="4641" max="4890" width="11.453125" style="17"/>
    <col min="4891" max="4891" width="18.7265625" style="17" customWidth="1"/>
    <col min="4892" max="4892" width="13.7265625" style="17" bestFit="1" customWidth="1"/>
    <col min="4893" max="4893" width="17.26953125" style="17" customWidth="1"/>
    <col min="4894" max="4894" width="11" style="17" customWidth="1"/>
    <col min="4895" max="4895" width="12" style="17" bestFit="1" customWidth="1"/>
    <col min="4896" max="4896" width="14.81640625" style="17" customWidth="1"/>
    <col min="4897" max="5146" width="11.453125" style="17"/>
    <col min="5147" max="5147" width="18.7265625" style="17" customWidth="1"/>
    <col min="5148" max="5148" width="13.7265625" style="17" bestFit="1" customWidth="1"/>
    <col min="5149" max="5149" width="17.26953125" style="17" customWidth="1"/>
    <col min="5150" max="5150" width="11" style="17" customWidth="1"/>
    <col min="5151" max="5151" width="12" style="17" bestFit="1" customWidth="1"/>
    <col min="5152" max="5152" width="14.81640625" style="17" customWidth="1"/>
    <col min="5153" max="5402" width="11.453125" style="17"/>
    <col min="5403" max="5403" width="18.7265625" style="17" customWidth="1"/>
    <col min="5404" max="5404" width="13.7265625" style="17" bestFit="1" customWidth="1"/>
    <col min="5405" max="5405" width="17.26953125" style="17" customWidth="1"/>
    <col min="5406" max="5406" width="11" style="17" customWidth="1"/>
    <col min="5407" max="5407" width="12" style="17" bestFit="1" customWidth="1"/>
    <col min="5408" max="5408" width="14.81640625" style="17" customWidth="1"/>
    <col min="5409" max="5658" width="11.453125" style="17"/>
    <col min="5659" max="5659" width="18.7265625" style="17" customWidth="1"/>
    <col min="5660" max="5660" width="13.7265625" style="17" bestFit="1" customWidth="1"/>
    <col min="5661" max="5661" width="17.26953125" style="17" customWidth="1"/>
    <col min="5662" max="5662" width="11" style="17" customWidth="1"/>
    <col min="5663" max="5663" width="12" style="17" bestFit="1" customWidth="1"/>
    <col min="5664" max="5664" width="14.81640625" style="17" customWidth="1"/>
    <col min="5665" max="5914" width="11.453125" style="17"/>
    <col min="5915" max="5915" width="18.7265625" style="17" customWidth="1"/>
    <col min="5916" max="5916" width="13.7265625" style="17" bestFit="1" customWidth="1"/>
    <col min="5917" max="5917" width="17.26953125" style="17" customWidth="1"/>
    <col min="5918" max="5918" width="11" style="17" customWidth="1"/>
    <col min="5919" max="5919" width="12" style="17" bestFit="1" customWidth="1"/>
    <col min="5920" max="5920" width="14.81640625" style="17" customWidth="1"/>
    <col min="5921" max="6170" width="11.453125" style="17"/>
    <col min="6171" max="6171" width="18.7265625" style="17" customWidth="1"/>
    <col min="6172" max="6172" width="13.7265625" style="17" bestFit="1" customWidth="1"/>
    <col min="6173" max="6173" width="17.26953125" style="17" customWidth="1"/>
    <col min="6174" max="6174" width="11" style="17" customWidth="1"/>
    <col min="6175" max="6175" width="12" style="17" bestFit="1" customWidth="1"/>
    <col min="6176" max="6176" width="14.81640625" style="17" customWidth="1"/>
    <col min="6177" max="6426" width="11.453125" style="17"/>
    <col min="6427" max="6427" width="18.7265625" style="17" customWidth="1"/>
    <col min="6428" max="6428" width="13.7265625" style="17" bestFit="1" customWidth="1"/>
    <col min="6429" max="6429" width="17.26953125" style="17" customWidth="1"/>
    <col min="6430" max="6430" width="11" style="17" customWidth="1"/>
    <col min="6431" max="6431" width="12" style="17" bestFit="1" customWidth="1"/>
    <col min="6432" max="6432" width="14.81640625" style="17" customWidth="1"/>
    <col min="6433" max="6682" width="11.453125" style="17"/>
    <col min="6683" max="6683" width="18.7265625" style="17" customWidth="1"/>
    <col min="6684" max="6684" width="13.7265625" style="17" bestFit="1" customWidth="1"/>
    <col min="6685" max="6685" width="17.26953125" style="17" customWidth="1"/>
    <col min="6686" max="6686" width="11" style="17" customWidth="1"/>
    <col min="6687" max="6687" width="12" style="17" bestFit="1" customWidth="1"/>
    <col min="6688" max="6688" width="14.81640625" style="17" customWidth="1"/>
    <col min="6689" max="6938" width="11.453125" style="17"/>
    <col min="6939" max="6939" width="18.7265625" style="17" customWidth="1"/>
    <col min="6940" max="6940" width="13.7265625" style="17" bestFit="1" customWidth="1"/>
    <col min="6941" max="6941" width="17.26953125" style="17" customWidth="1"/>
    <col min="6942" max="6942" width="11" style="17" customWidth="1"/>
    <col min="6943" max="6943" width="12" style="17" bestFit="1" customWidth="1"/>
    <col min="6944" max="6944" width="14.81640625" style="17" customWidth="1"/>
    <col min="6945" max="7194" width="11.453125" style="17"/>
    <col min="7195" max="7195" width="18.7265625" style="17" customWidth="1"/>
    <col min="7196" max="7196" width="13.7265625" style="17" bestFit="1" customWidth="1"/>
    <col min="7197" max="7197" width="17.26953125" style="17" customWidth="1"/>
    <col min="7198" max="7198" width="11" style="17" customWidth="1"/>
    <col min="7199" max="7199" width="12" style="17" bestFit="1" customWidth="1"/>
    <col min="7200" max="7200" width="14.81640625" style="17" customWidth="1"/>
    <col min="7201" max="7450" width="11.453125" style="17"/>
    <col min="7451" max="7451" width="18.7265625" style="17" customWidth="1"/>
    <col min="7452" max="7452" width="13.7265625" style="17" bestFit="1" customWidth="1"/>
    <col min="7453" max="7453" width="17.26953125" style="17" customWidth="1"/>
    <col min="7454" max="7454" width="11" style="17" customWidth="1"/>
    <col min="7455" max="7455" width="12" style="17" bestFit="1" customWidth="1"/>
    <col min="7456" max="7456" width="14.81640625" style="17" customWidth="1"/>
    <col min="7457" max="7706" width="11.453125" style="17"/>
    <col min="7707" max="7707" width="18.7265625" style="17" customWidth="1"/>
    <col min="7708" max="7708" width="13.7265625" style="17" bestFit="1" customWidth="1"/>
    <col min="7709" max="7709" width="17.26953125" style="17" customWidth="1"/>
    <col min="7710" max="7710" width="11" style="17" customWidth="1"/>
    <col min="7711" max="7711" width="12" style="17" bestFit="1" customWidth="1"/>
    <col min="7712" max="7712" width="14.81640625" style="17" customWidth="1"/>
    <col min="7713" max="7962" width="11.453125" style="17"/>
    <col min="7963" max="7963" width="18.7265625" style="17" customWidth="1"/>
    <col min="7964" max="7964" width="13.7265625" style="17" bestFit="1" customWidth="1"/>
    <col min="7965" max="7965" width="17.26953125" style="17" customWidth="1"/>
    <col min="7966" max="7966" width="11" style="17" customWidth="1"/>
    <col min="7967" max="7967" width="12" style="17" bestFit="1" customWidth="1"/>
    <col min="7968" max="7968" width="14.81640625" style="17" customWidth="1"/>
    <col min="7969" max="8218" width="11.453125" style="17"/>
    <col min="8219" max="8219" width="18.7265625" style="17" customWidth="1"/>
    <col min="8220" max="8220" width="13.7265625" style="17" bestFit="1" customWidth="1"/>
    <col min="8221" max="8221" width="17.26953125" style="17" customWidth="1"/>
    <col min="8222" max="8222" width="11" style="17" customWidth="1"/>
    <col min="8223" max="8223" width="12" style="17" bestFit="1" customWidth="1"/>
    <col min="8224" max="8224" width="14.81640625" style="17" customWidth="1"/>
    <col min="8225" max="8474" width="11.453125" style="17"/>
    <col min="8475" max="8475" width="18.7265625" style="17" customWidth="1"/>
    <col min="8476" max="8476" width="13.7265625" style="17" bestFit="1" customWidth="1"/>
    <col min="8477" max="8477" width="17.26953125" style="17" customWidth="1"/>
    <col min="8478" max="8478" width="11" style="17" customWidth="1"/>
    <col min="8479" max="8479" width="12" style="17" bestFit="1" customWidth="1"/>
    <col min="8480" max="8480" width="14.81640625" style="17" customWidth="1"/>
    <col min="8481" max="8730" width="11.453125" style="17"/>
    <col min="8731" max="8731" width="18.7265625" style="17" customWidth="1"/>
    <col min="8732" max="8732" width="13.7265625" style="17" bestFit="1" customWidth="1"/>
    <col min="8733" max="8733" width="17.26953125" style="17" customWidth="1"/>
    <col min="8734" max="8734" width="11" style="17" customWidth="1"/>
    <col min="8735" max="8735" width="12" style="17" bestFit="1" customWidth="1"/>
    <col min="8736" max="8736" width="14.81640625" style="17" customWidth="1"/>
    <col min="8737" max="8986" width="11.453125" style="17"/>
    <col min="8987" max="8987" width="18.7265625" style="17" customWidth="1"/>
    <col min="8988" max="8988" width="13.7265625" style="17" bestFit="1" customWidth="1"/>
    <col min="8989" max="8989" width="17.26953125" style="17" customWidth="1"/>
    <col min="8990" max="8990" width="11" style="17" customWidth="1"/>
    <col min="8991" max="8991" width="12" style="17" bestFit="1" customWidth="1"/>
    <col min="8992" max="8992" width="14.81640625" style="17" customWidth="1"/>
    <col min="8993" max="9242" width="11.453125" style="17"/>
    <col min="9243" max="9243" width="18.7265625" style="17" customWidth="1"/>
    <col min="9244" max="9244" width="13.7265625" style="17" bestFit="1" customWidth="1"/>
    <col min="9245" max="9245" width="17.26953125" style="17" customWidth="1"/>
    <col min="9246" max="9246" width="11" style="17" customWidth="1"/>
    <col min="9247" max="9247" width="12" style="17" bestFit="1" customWidth="1"/>
    <col min="9248" max="9248" width="14.81640625" style="17" customWidth="1"/>
    <col min="9249" max="9498" width="11.453125" style="17"/>
    <col min="9499" max="9499" width="18.7265625" style="17" customWidth="1"/>
    <col min="9500" max="9500" width="13.7265625" style="17" bestFit="1" customWidth="1"/>
    <col min="9501" max="9501" width="17.26953125" style="17" customWidth="1"/>
    <col min="9502" max="9502" width="11" style="17" customWidth="1"/>
    <col min="9503" max="9503" width="12" style="17" bestFit="1" customWidth="1"/>
    <col min="9504" max="9504" width="14.81640625" style="17" customWidth="1"/>
    <col min="9505" max="9754" width="11.453125" style="17"/>
    <col min="9755" max="9755" width="18.7265625" style="17" customWidth="1"/>
    <col min="9756" max="9756" width="13.7265625" style="17" bestFit="1" customWidth="1"/>
    <col min="9757" max="9757" width="17.26953125" style="17" customWidth="1"/>
    <col min="9758" max="9758" width="11" style="17" customWidth="1"/>
    <col min="9759" max="9759" width="12" style="17" bestFit="1" customWidth="1"/>
    <col min="9760" max="9760" width="14.81640625" style="17" customWidth="1"/>
    <col min="9761" max="10010" width="11.453125" style="17"/>
    <col min="10011" max="10011" width="18.7265625" style="17" customWidth="1"/>
    <col min="10012" max="10012" width="13.7265625" style="17" bestFit="1" customWidth="1"/>
    <col min="10013" max="10013" width="17.26953125" style="17" customWidth="1"/>
    <col min="10014" max="10014" width="11" style="17" customWidth="1"/>
    <col min="10015" max="10015" width="12" style="17" bestFit="1" customWidth="1"/>
    <col min="10016" max="10016" width="14.81640625" style="17" customWidth="1"/>
    <col min="10017" max="10266" width="11.453125" style="17"/>
    <col min="10267" max="10267" width="18.7265625" style="17" customWidth="1"/>
    <col min="10268" max="10268" width="13.7265625" style="17" bestFit="1" customWidth="1"/>
    <col min="10269" max="10269" width="17.26953125" style="17" customWidth="1"/>
    <col min="10270" max="10270" width="11" style="17" customWidth="1"/>
    <col min="10271" max="10271" width="12" style="17" bestFit="1" customWidth="1"/>
    <col min="10272" max="10272" width="14.81640625" style="17" customWidth="1"/>
    <col min="10273" max="10522" width="11.453125" style="17"/>
    <col min="10523" max="10523" width="18.7265625" style="17" customWidth="1"/>
    <col min="10524" max="10524" width="13.7265625" style="17" bestFit="1" customWidth="1"/>
    <col min="10525" max="10525" width="17.26953125" style="17" customWidth="1"/>
    <col min="10526" max="10526" width="11" style="17" customWidth="1"/>
    <col min="10527" max="10527" width="12" style="17" bestFit="1" customWidth="1"/>
    <col min="10528" max="10528" width="14.81640625" style="17" customWidth="1"/>
    <col min="10529" max="10778" width="11.453125" style="17"/>
    <col min="10779" max="10779" width="18.7265625" style="17" customWidth="1"/>
    <col min="10780" max="10780" width="13.7265625" style="17" bestFit="1" customWidth="1"/>
    <col min="10781" max="10781" width="17.26953125" style="17" customWidth="1"/>
    <col min="10782" max="10782" width="11" style="17" customWidth="1"/>
    <col min="10783" max="10783" width="12" style="17" bestFit="1" customWidth="1"/>
    <col min="10784" max="10784" width="14.81640625" style="17" customWidth="1"/>
    <col min="10785" max="11034" width="11.453125" style="17"/>
    <col min="11035" max="11035" width="18.7265625" style="17" customWidth="1"/>
    <col min="11036" max="11036" width="13.7265625" style="17" bestFit="1" customWidth="1"/>
    <col min="11037" max="11037" width="17.26953125" style="17" customWidth="1"/>
    <col min="11038" max="11038" width="11" style="17" customWidth="1"/>
    <col min="11039" max="11039" width="12" style="17" bestFit="1" customWidth="1"/>
    <col min="11040" max="11040" width="14.81640625" style="17" customWidth="1"/>
    <col min="11041" max="11290" width="11.453125" style="17"/>
    <col min="11291" max="11291" width="18.7265625" style="17" customWidth="1"/>
    <col min="11292" max="11292" width="13.7265625" style="17" bestFit="1" customWidth="1"/>
    <col min="11293" max="11293" width="17.26953125" style="17" customWidth="1"/>
    <col min="11294" max="11294" width="11" style="17" customWidth="1"/>
    <col min="11295" max="11295" width="12" style="17" bestFit="1" customWidth="1"/>
    <col min="11296" max="11296" width="14.81640625" style="17" customWidth="1"/>
    <col min="11297" max="11546" width="11.453125" style="17"/>
    <col min="11547" max="11547" width="18.7265625" style="17" customWidth="1"/>
    <col min="11548" max="11548" width="13.7265625" style="17" bestFit="1" customWidth="1"/>
    <col min="11549" max="11549" width="17.26953125" style="17" customWidth="1"/>
    <col min="11550" max="11550" width="11" style="17" customWidth="1"/>
    <col min="11551" max="11551" width="12" style="17" bestFit="1" customWidth="1"/>
    <col min="11552" max="11552" width="14.81640625" style="17" customWidth="1"/>
    <col min="11553" max="11802" width="11.453125" style="17"/>
    <col min="11803" max="11803" width="18.7265625" style="17" customWidth="1"/>
    <col min="11804" max="11804" width="13.7265625" style="17" bestFit="1" customWidth="1"/>
    <col min="11805" max="11805" width="17.26953125" style="17" customWidth="1"/>
    <col min="11806" max="11806" width="11" style="17" customWidth="1"/>
    <col min="11807" max="11807" width="12" style="17" bestFit="1" customWidth="1"/>
    <col min="11808" max="11808" width="14.81640625" style="17" customWidth="1"/>
    <col min="11809" max="12058" width="11.453125" style="17"/>
    <col min="12059" max="12059" width="18.7265625" style="17" customWidth="1"/>
    <col min="12060" max="12060" width="13.7265625" style="17" bestFit="1" customWidth="1"/>
    <col min="12061" max="12061" width="17.26953125" style="17" customWidth="1"/>
    <col min="12062" max="12062" width="11" style="17" customWidth="1"/>
    <col min="12063" max="12063" width="12" style="17" bestFit="1" customWidth="1"/>
    <col min="12064" max="12064" width="14.81640625" style="17" customWidth="1"/>
    <col min="12065" max="12314" width="11.453125" style="17"/>
    <col min="12315" max="12315" width="18.7265625" style="17" customWidth="1"/>
    <col min="12316" max="12316" width="13.7265625" style="17" bestFit="1" customWidth="1"/>
    <col min="12317" max="12317" width="17.26953125" style="17" customWidth="1"/>
    <col min="12318" max="12318" width="11" style="17" customWidth="1"/>
    <col min="12319" max="12319" width="12" style="17" bestFit="1" customWidth="1"/>
    <col min="12320" max="12320" width="14.81640625" style="17" customWidth="1"/>
    <col min="12321" max="12570" width="11.453125" style="17"/>
    <col min="12571" max="12571" width="18.7265625" style="17" customWidth="1"/>
    <col min="12572" max="12572" width="13.7265625" style="17" bestFit="1" customWidth="1"/>
    <col min="12573" max="12573" width="17.26953125" style="17" customWidth="1"/>
    <col min="12574" max="12574" width="11" style="17" customWidth="1"/>
    <col min="12575" max="12575" width="12" style="17" bestFit="1" customWidth="1"/>
    <col min="12576" max="12576" width="14.81640625" style="17" customWidth="1"/>
    <col min="12577" max="12826" width="11.453125" style="17"/>
    <col min="12827" max="12827" width="18.7265625" style="17" customWidth="1"/>
    <col min="12828" max="12828" width="13.7265625" style="17" bestFit="1" customWidth="1"/>
    <col min="12829" max="12829" width="17.26953125" style="17" customWidth="1"/>
    <col min="12830" max="12830" width="11" style="17" customWidth="1"/>
    <col min="12831" max="12831" width="12" style="17" bestFit="1" customWidth="1"/>
    <col min="12832" max="12832" width="14.81640625" style="17" customWidth="1"/>
    <col min="12833" max="13082" width="11.453125" style="17"/>
    <col min="13083" max="13083" width="18.7265625" style="17" customWidth="1"/>
    <col min="13084" max="13084" width="13.7265625" style="17" bestFit="1" customWidth="1"/>
    <col min="13085" max="13085" width="17.26953125" style="17" customWidth="1"/>
    <col min="13086" max="13086" width="11" style="17" customWidth="1"/>
    <col min="13087" max="13087" width="12" style="17" bestFit="1" customWidth="1"/>
    <col min="13088" max="13088" width="14.81640625" style="17" customWidth="1"/>
    <col min="13089" max="13338" width="11.453125" style="17"/>
    <col min="13339" max="13339" width="18.7265625" style="17" customWidth="1"/>
    <col min="13340" max="13340" width="13.7265625" style="17" bestFit="1" customWidth="1"/>
    <col min="13341" max="13341" width="17.26953125" style="17" customWidth="1"/>
    <col min="13342" max="13342" width="11" style="17" customWidth="1"/>
    <col min="13343" max="13343" width="12" style="17" bestFit="1" customWidth="1"/>
    <col min="13344" max="13344" width="14.81640625" style="17" customWidth="1"/>
    <col min="13345" max="13594" width="11.453125" style="17"/>
    <col min="13595" max="13595" width="18.7265625" style="17" customWidth="1"/>
    <col min="13596" max="13596" width="13.7265625" style="17" bestFit="1" customWidth="1"/>
    <col min="13597" max="13597" width="17.26953125" style="17" customWidth="1"/>
    <col min="13598" max="13598" width="11" style="17" customWidth="1"/>
    <col min="13599" max="13599" width="12" style="17" bestFit="1" customWidth="1"/>
    <col min="13600" max="13600" width="14.81640625" style="17" customWidth="1"/>
    <col min="13601" max="13850" width="11.453125" style="17"/>
    <col min="13851" max="13851" width="18.7265625" style="17" customWidth="1"/>
    <col min="13852" max="13852" width="13.7265625" style="17" bestFit="1" customWidth="1"/>
    <col min="13853" max="13853" width="17.26953125" style="17" customWidth="1"/>
    <col min="13854" max="13854" width="11" style="17" customWidth="1"/>
    <col min="13855" max="13855" width="12" style="17" bestFit="1" customWidth="1"/>
    <col min="13856" max="13856" width="14.81640625" style="17" customWidth="1"/>
    <col min="13857" max="14106" width="11.453125" style="17"/>
    <col min="14107" max="14107" width="18.7265625" style="17" customWidth="1"/>
    <col min="14108" max="14108" width="13.7265625" style="17" bestFit="1" customWidth="1"/>
    <col min="14109" max="14109" width="17.26953125" style="17" customWidth="1"/>
    <col min="14110" max="14110" width="11" style="17" customWidth="1"/>
    <col min="14111" max="14111" width="12" style="17" bestFit="1" customWidth="1"/>
    <col min="14112" max="14112" width="14.81640625" style="17" customWidth="1"/>
    <col min="14113" max="14362" width="11.453125" style="17"/>
    <col min="14363" max="14363" width="18.7265625" style="17" customWidth="1"/>
    <col min="14364" max="14364" width="13.7265625" style="17" bestFit="1" customWidth="1"/>
    <col min="14365" max="14365" width="17.26953125" style="17" customWidth="1"/>
    <col min="14366" max="14366" width="11" style="17" customWidth="1"/>
    <col min="14367" max="14367" width="12" style="17" bestFit="1" customWidth="1"/>
    <col min="14368" max="14368" width="14.81640625" style="17" customWidth="1"/>
    <col min="14369" max="14618" width="11.453125" style="17"/>
    <col min="14619" max="14619" width="18.7265625" style="17" customWidth="1"/>
    <col min="14620" max="14620" width="13.7265625" style="17" bestFit="1" customWidth="1"/>
    <col min="14621" max="14621" width="17.26953125" style="17" customWidth="1"/>
    <col min="14622" max="14622" width="11" style="17" customWidth="1"/>
    <col min="14623" max="14623" width="12" style="17" bestFit="1" customWidth="1"/>
    <col min="14624" max="14624" width="14.81640625" style="17" customWidth="1"/>
    <col min="14625" max="14874" width="11.453125" style="17"/>
    <col min="14875" max="14875" width="18.7265625" style="17" customWidth="1"/>
    <col min="14876" max="14876" width="13.7265625" style="17" bestFit="1" customWidth="1"/>
    <col min="14877" max="14877" width="17.26953125" style="17" customWidth="1"/>
    <col min="14878" max="14878" width="11" style="17" customWidth="1"/>
    <col min="14879" max="14879" width="12" style="17" bestFit="1" customWidth="1"/>
    <col min="14880" max="14880" width="14.81640625" style="17" customWidth="1"/>
    <col min="14881" max="15130" width="11.453125" style="17"/>
    <col min="15131" max="15131" width="18.7265625" style="17" customWidth="1"/>
    <col min="15132" max="15132" width="13.7265625" style="17" bestFit="1" customWidth="1"/>
    <col min="15133" max="15133" width="17.26953125" style="17" customWidth="1"/>
    <col min="15134" max="15134" width="11" style="17" customWidth="1"/>
    <col min="15135" max="15135" width="12" style="17" bestFit="1" customWidth="1"/>
    <col min="15136" max="15136" width="14.81640625" style="17" customWidth="1"/>
    <col min="15137" max="15386" width="11.453125" style="17"/>
    <col min="15387" max="15387" width="18.7265625" style="17" customWidth="1"/>
    <col min="15388" max="15388" width="13.7265625" style="17" bestFit="1" customWidth="1"/>
    <col min="15389" max="15389" width="17.26953125" style="17" customWidth="1"/>
    <col min="15390" max="15390" width="11" style="17" customWidth="1"/>
    <col min="15391" max="15391" width="12" style="17" bestFit="1" customWidth="1"/>
    <col min="15392" max="15392" width="14.81640625" style="17" customWidth="1"/>
    <col min="15393" max="15642" width="11.453125" style="17"/>
    <col min="15643" max="15643" width="18.7265625" style="17" customWidth="1"/>
    <col min="15644" max="15644" width="13.7265625" style="17" bestFit="1" customWidth="1"/>
    <col min="15645" max="15645" width="17.26953125" style="17" customWidth="1"/>
    <col min="15646" max="15646" width="11" style="17" customWidth="1"/>
    <col min="15647" max="15647" width="12" style="17" bestFit="1" customWidth="1"/>
    <col min="15648" max="15648" width="14.81640625" style="17" customWidth="1"/>
    <col min="15649" max="15898" width="11.453125" style="17"/>
    <col min="15899" max="15899" width="18.7265625" style="17" customWidth="1"/>
    <col min="15900" max="15900" width="13.7265625" style="17" bestFit="1" customWidth="1"/>
    <col min="15901" max="15901" width="17.26953125" style="17" customWidth="1"/>
    <col min="15902" max="15902" width="11" style="17" customWidth="1"/>
    <col min="15903" max="15903" width="12" style="17" bestFit="1" customWidth="1"/>
    <col min="15904" max="15904" width="14.81640625" style="17" customWidth="1"/>
    <col min="15905" max="16154" width="11.453125" style="17"/>
    <col min="16155" max="16155" width="18.7265625" style="17" customWidth="1"/>
    <col min="16156" max="16156" width="13.7265625" style="17" bestFit="1" customWidth="1"/>
    <col min="16157" max="16157" width="17.26953125" style="17" customWidth="1"/>
    <col min="16158" max="16158" width="11" style="17" customWidth="1"/>
    <col min="16159" max="16159" width="12" style="17" bestFit="1" customWidth="1"/>
    <col min="16160" max="16160" width="14.81640625" style="17" customWidth="1"/>
    <col min="16161" max="16384" width="11.453125" style="17"/>
  </cols>
  <sheetData>
    <row r="2" spans="1:37" x14ac:dyDescent="0.25">
      <c r="A2" s="17" t="s">
        <v>70</v>
      </c>
      <c r="B2" s="63">
        <f>'pooled normalised values'!B75</f>
        <v>0.10038748006553395</v>
      </c>
      <c r="D2" s="17" t="s">
        <v>9</v>
      </c>
      <c r="E2" s="18"/>
      <c r="F2" s="19" t="str">
        <f>'pooled normalised values'!J74</f>
        <v>FAD-11µg/L</v>
      </c>
      <c r="G2" s="19" t="str">
        <f>'pooled normalised values'!K74</f>
        <v>FAD-22µg/L</v>
      </c>
      <c r="H2" s="19" t="str">
        <f>'pooled normalised values'!L74</f>
        <v>FAD-44µg/L</v>
      </c>
      <c r="I2" s="19" t="str">
        <f>'pooled normalised values'!M74</f>
        <v>FAD-87µg/L</v>
      </c>
      <c r="J2" s="19" t="e">
        <f>'pooled normalised values'!#REF!</f>
        <v>#REF!</v>
      </c>
      <c r="K2" s="19" t="e">
        <f>'pooled normalised values'!#REF!</f>
        <v>#REF!</v>
      </c>
      <c r="L2" s="19" t="e">
        <f>'pooled normalised values'!#REF!</f>
        <v>#REF!</v>
      </c>
      <c r="M2" s="19" t="e">
        <f>'pooled normalised values'!#REF!</f>
        <v>#REF!</v>
      </c>
      <c r="N2" s="19" t="e">
        <f>'pooled normalised values'!#REF!</f>
        <v>#REF!</v>
      </c>
      <c r="O2" s="19" t="e">
        <f>'pooled normalised values'!#REF!</f>
        <v>#REF!</v>
      </c>
      <c r="P2" s="19" t="e">
        <f>'pooled normalised values'!#REF!</f>
        <v>#REF!</v>
      </c>
      <c r="Q2" s="19" t="e">
        <f>'pooled normalised values'!#REF!</f>
        <v>#REF!</v>
      </c>
      <c r="R2" s="19" t="e">
        <f>'pooled normalised values'!#REF!</f>
        <v>#REF!</v>
      </c>
      <c r="S2" s="19" t="e">
        <f>'pooled normalised values'!#REF!</f>
        <v>#REF!</v>
      </c>
      <c r="T2" s="18"/>
      <c r="U2" s="20"/>
      <c r="V2" s="19" t="str">
        <f>'pooled normalised values'!R74</f>
        <v>FAD-5,4µg/L + Testostérone</v>
      </c>
      <c r="W2" s="19" t="str">
        <f>'pooled normalised values'!S74</f>
        <v>FAD-11µg/L + Testostérone</v>
      </c>
      <c r="X2" s="19" t="str">
        <f>'pooled normalised values'!T74</f>
        <v>FAD-22µg/L + Testostérone</v>
      </c>
      <c r="Y2" s="19" t="str">
        <f>'pooled normalised values'!U74</f>
        <v>FAD-44µg/L + Testostérone</v>
      </c>
      <c r="Z2" s="19" t="str">
        <f>'pooled normalised values'!V74</f>
        <v>FAD-87µg/L + Testostérone</v>
      </c>
      <c r="AA2" s="19" t="e">
        <f>'pooled normalised values'!#REF!</f>
        <v>#REF!</v>
      </c>
      <c r="AB2" s="19" t="e">
        <f>'pooled normalised values'!#REF!</f>
        <v>#REF!</v>
      </c>
      <c r="AC2" s="19" t="e">
        <f>'pooled normalised values'!#REF!</f>
        <v>#REF!</v>
      </c>
      <c r="AD2" s="19" t="e">
        <f>'pooled normalised values'!#REF!</f>
        <v>#REF!</v>
      </c>
      <c r="AE2" s="19" t="e">
        <f>'pooled normalised values'!#REF!</f>
        <v>#REF!</v>
      </c>
      <c r="AF2" s="19" t="e">
        <f>'pooled normalised values'!#REF!</f>
        <v>#REF!</v>
      </c>
      <c r="AG2" s="19" t="e">
        <f>'pooled normalised values'!#REF!</f>
        <v>#REF!</v>
      </c>
      <c r="AH2" s="19" t="e">
        <f>'pooled normalised values'!#REF!</f>
        <v>#REF!</v>
      </c>
      <c r="AI2" s="19" t="e">
        <f>'pooled normalised values'!#REF!</f>
        <v>#REF!</v>
      </c>
      <c r="AJ2" s="20"/>
      <c r="AK2" s="17" t="s">
        <v>9</v>
      </c>
    </row>
    <row r="3" spans="1:37" x14ac:dyDescent="0.25">
      <c r="A3" s="17" t="s">
        <v>71</v>
      </c>
      <c r="B3" s="63">
        <f>'summary results'!E6</f>
        <v>0</v>
      </c>
      <c r="D3" s="21" t="s">
        <v>10</v>
      </c>
      <c r="E3" s="22"/>
      <c r="F3" s="19">
        <f>HLOOKUP(F2,'pooled normalised values'!B74:V83,2,FALSE)</f>
        <v>0.12318641759912631</v>
      </c>
      <c r="G3" s="19">
        <f>HLOOKUP(G2,'pooled normalised values'!C74:W83,2,FALSE)</f>
        <v>9.8606288911205903E-2</v>
      </c>
      <c r="H3" s="19">
        <f>HLOOKUP(H2,'pooled normalised values'!C74:X83,2,FALSE)</f>
        <v>9.5752955557830824E-2</v>
      </c>
      <c r="I3" s="19">
        <f>HLOOKUP(I2,'pooled normalised values'!D74:Y83,2,FALSE)</f>
        <v>9.450511212467573E-2</v>
      </c>
      <c r="J3" s="19" t="e">
        <f>HLOOKUP(J2,'pooled normalised values'!E74:Z83,2,FALSE)</f>
        <v>#REF!</v>
      </c>
      <c r="K3" s="19" t="e">
        <f>HLOOKUP(K2,'pooled normalised values'!F74:AA83,2,FALSE)</f>
        <v>#REF!</v>
      </c>
      <c r="L3" s="19" t="e">
        <f>HLOOKUP(L2,'pooled normalised values'!G74:AB83,2,FALSE)</f>
        <v>#REF!</v>
      </c>
      <c r="M3" s="19" t="e">
        <f>HLOOKUP(M2,'pooled normalised values'!H74:AC83,2,FALSE)</f>
        <v>#REF!</v>
      </c>
      <c r="N3" s="19" t="e">
        <f>HLOOKUP(N2,'pooled normalised values'!I74:AD83,2,FALSE)</f>
        <v>#REF!</v>
      </c>
      <c r="O3" s="19" t="e">
        <f>HLOOKUP(O2,'pooled normalised values'!J74:AE83,2,FALSE)</f>
        <v>#REF!</v>
      </c>
      <c r="P3" s="19" t="e">
        <f>HLOOKUP(P2,'pooled normalised values'!K74:AF83,2,FALSE)</f>
        <v>#REF!</v>
      </c>
      <c r="Q3" s="19" t="e">
        <f>HLOOKUP(Q2,'pooled normalised values'!L74:AG83,2,FALSE)</f>
        <v>#REF!</v>
      </c>
      <c r="R3" s="19" t="e">
        <f>HLOOKUP(R2,'pooled normalised values'!M74:AH83,2,FALSE)</f>
        <v>#REF!</v>
      </c>
      <c r="S3" s="19" t="e">
        <f>HLOOKUP(S2,'pooled normalised values'!N74:AI83,2,FALSE)</f>
        <v>#REF!</v>
      </c>
      <c r="T3" s="22"/>
      <c r="U3" s="20"/>
      <c r="V3" s="19">
        <f>HLOOKUP(V2,'pooled normalised values'!N74:AL83,2,FALSE)</f>
        <v>9.3450997154082671E-2</v>
      </c>
      <c r="W3" s="19">
        <f>HLOOKUP(W2,'pooled normalised values'!N74:AM83,2,FALSE)</f>
        <v>0.11853258339724738</v>
      </c>
      <c r="X3" s="19">
        <f>HLOOKUP(X2,'pooled normalised values'!N74:AN83,2,FALSE)</f>
        <v>0.10086788827521706</v>
      </c>
      <c r="Y3" s="19">
        <f>HLOOKUP(Y2,'pooled normalised values'!N74:AO83,2,FALSE)</f>
        <v>0.10506860199801071</v>
      </c>
      <c r="Z3" s="19">
        <f>HLOOKUP(Z2,'pooled normalised values'!N74:AP83,2,FALSE)</f>
        <v>0.11333973772911919</v>
      </c>
      <c r="AA3" s="19" t="e">
        <f>HLOOKUP(AA2,'pooled normalised values'!N74:AQ83,2,FALSE)</f>
        <v>#REF!</v>
      </c>
      <c r="AB3" s="19" t="e">
        <f>HLOOKUP(AB2,'pooled normalised values'!N74:AR83,2,FALSE)</f>
        <v>#REF!</v>
      </c>
      <c r="AC3" s="19" t="e">
        <f>HLOOKUP(AC2,'pooled normalised values'!N74:AS83,2,FALSE)</f>
        <v>#REF!</v>
      </c>
      <c r="AD3" s="19" t="e">
        <f>HLOOKUP(AD2,'pooled normalised values'!N74:AT83,2,FALSE)</f>
        <v>#REF!</v>
      </c>
      <c r="AE3" s="19" t="e">
        <f>HLOOKUP(AE2,'pooled normalised values'!N74:AU83,2,FALSE)</f>
        <v>#REF!</v>
      </c>
      <c r="AF3" s="19" t="e">
        <f>HLOOKUP(AF2,'pooled normalised values'!N74:AV83,2,FALSE)</f>
        <v>#REF!</v>
      </c>
      <c r="AG3" s="19" t="e">
        <f>HLOOKUP(AG2,'pooled normalised values'!N74:AW83,2,FALSE)</f>
        <v>#REF!</v>
      </c>
      <c r="AH3" s="19" t="e">
        <f>HLOOKUP(AH2,'pooled normalised values'!N74:AX83,2,FALSE)</f>
        <v>#REF!</v>
      </c>
      <c r="AI3" s="19" t="e">
        <f>HLOOKUP(AI2,'pooled normalised values'!N74:AY83,2,FALSE)</f>
        <v>#REF!</v>
      </c>
      <c r="AJ3" s="20"/>
      <c r="AK3" s="21" t="s">
        <v>10</v>
      </c>
    </row>
    <row r="4" spans="1:37" x14ac:dyDescent="0.25">
      <c r="A4" s="17" t="s">
        <v>72</v>
      </c>
      <c r="B4" s="63">
        <f>'pooled normalised values'!O75</f>
        <v>1.0000000000000002</v>
      </c>
      <c r="D4" s="21" t="s">
        <v>2</v>
      </c>
      <c r="E4" s="22"/>
      <c r="F4" s="19">
        <f>HLOOKUP(F2,'pooled normalised values'!B74:V83,3,FALSE)</f>
        <v>1.5708614272673366E-2</v>
      </c>
      <c r="G4" s="19">
        <f>HLOOKUP(G2,'pooled normalised values'!C74:W83,3,FALSE)</f>
        <v>1.0703728370627904E-2</v>
      </c>
      <c r="H4" s="19">
        <f>HLOOKUP(H2,'pooled normalised values'!C74:X83,3,FALSE)</f>
        <v>1.3122597411832698E-2</v>
      </c>
      <c r="I4" s="19">
        <f>HLOOKUP(I2,'pooled normalised values'!D74:Y83,3,FALSE)</f>
        <v>1.0476151828696939E-2</v>
      </c>
      <c r="J4" s="19" t="e">
        <f>HLOOKUP(J2,'pooled normalised values'!E74:Z83,3,FALSE)</f>
        <v>#REF!</v>
      </c>
      <c r="K4" s="19" t="e">
        <f>HLOOKUP(K2,'pooled normalised values'!F74:AA83,3,FALSE)</f>
        <v>#REF!</v>
      </c>
      <c r="L4" s="19" t="e">
        <f>HLOOKUP(L2,'pooled normalised values'!G74:AB83,3,FALSE)</f>
        <v>#REF!</v>
      </c>
      <c r="M4" s="19" t="e">
        <f>HLOOKUP(M2,'pooled normalised values'!H74:AC83,3,FALSE)</f>
        <v>#REF!</v>
      </c>
      <c r="N4" s="19" t="e">
        <f>HLOOKUP(N2,'pooled normalised values'!I74:AD83,3,FALSE)</f>
        <v>#REF!</v>
      </c>
      <c r="O4" s="19" t="e">
        <f>HLOOKUP(O2,'pooled normalised values'!J74:AE83,3,FALSE)</f>
        <v>#REF!</v>
      </c>
      <c r="P4" s="19" t="e">
        <f>HLOOKUP(P2,'pooled normalised values'!K74:AF83,3,FALSE)</f>
        <v>#REF!</v>
      </c>
      <c r="Q4" s="19" t="e">
        <f>HLOOKUP(Q2,'pooled normalised values'!L74:AG83,3,FALSE)</f>
        <v>#REF!</v>
      </c>
      <c r="R4" s="19" t="e">
        <f>HLOOKUP(R2,'pooled normalised values'!M74:AH83,3,FALSE)</f>
        <v>#REF!</v>
      </c>
      <c r="S4" s="19" t="e">
        <f>HLOOKUP(S2,'pooled normalised values'!N74:AI83,3,FALSE)</f>
        <v>#REF!</v>
      </c>
      <c r="T4" s="22"/>
      <c r="U4" s="20"/>
      <c r="V4" s="19">
        <f>HLOOKUP(V2,'pooled normalised values'!N74:AL83,3,FALSE)</f>
        <v>1.0190309909861693E-2</v>
      </c>
      <c r="W4" s="19">
        <f>HLOOKUP(W2,'pooled normalised values'!N74:AM83,3,FALSE)</f>
        <v>1.6024814379509787E-2</v>
      </c>
      <c r="X4" s="19">
        <f>HLOOKUP(X2,'pooled normalised values'!N74:AN83,3,FALSE)</f>
        <v>1.8390689297824687E-2</v>
      </c>
      <c r="Y4" s="19">
        <f>HLOOKUP(Y2,'pooled normalised values'!N74:AO83,3,FALSE)</f>
        <v>1.683939007610314E-2</v>
      </c>
      <c r="Z4" s="19">
        <f>HLOOKUP(Z2,'pooled normalised values'!N74:AP83,3,FALSE)</f>
        <v>1.4809678053783342E-2</v>
      </c>
      <c r="AA4" s="19" t="e">
        <f>HLOOKUP(AA2,'pooled normalised values'!N74:AQ83,3,FALSE)</f>
        <v>#REF!</v>
      </c>
      <c r="AB4" s="19" t="e">
        <f>HLOOKUP(AB2,'pooled normalised values'!N74:AR83,3,FALSE)</f>
        <v>#REF!</v>
      </c>
      <c r="AC4" s="19" t="e">
        <f>HLOOKUP(AC2,'pooled normalised values'!N74:AS83,3,FALSE)</f>
        <v>#REF!</v>
      </c>
      <c r="AD4" s="19" t="e">
        <f>HLOOKUP(AD2,'pooled normalised values'!N74:AT83,3,FALSE)</f>
        <v>#REF!</v>
      </c>
      <c r="AE4" s="19" t="e">
        <f>HLOOKUP(AE2,'pooled normalised values'!N74:AU83,3,FALSE)</f>
        <v>#REF!</v>
      </c>
      <c r="AF4" s="19" t="e">
        <f>HLOOKUP(AF2,'pooled normalised values'!N74:AV83,3,FALSE)</f>
        <v>#REF!</v>
      </c>
      <c r="AG4" s="19" t="e">
        <f>HLOOKUP(AG2,'pooled normalised values'!N74:AW83,3,FALSE)</f>
        <v>#REF!</v>
      </c>
      <c r="AH4" s="19" t="e">
        <f>HLOOKUP(AH2,'pooled normalised values'!N74:AX83,3,FALSE)</f>
        <v>#REF!</v>
      </c>
      <c r="AI4" s="19" t="e">
        <f>HLOOKUP(AI2,'pooled normalised values'!N74:AY83,3,FALSE)</f>
        <v>#REF!</v>
      </c>
      <c r="AJ4" s="20"/>
      <c r="AK4" s="21" t="s">
        <v>2</v>
      </c>
    </row>
    <row r="5" spans="1:37" x14ac:dyDescent="0.25">
      <c r="A5" s="17" t="s">
        <v>73</v>
      </c>
      <c r="B5" s="63">
        <f>'pooled normalised values'!P75</f>
        <v>1.8210194807272813</v>
      </c>
      <c r="D5" s="23" t="s">
        <v>11</v>
      </c>
      <c r="E5" s="22"/>
      <c r="F5" s="19" t="str">
        <f>HLOOKUP(F2,'pooled normalised values'!B74:V83,10,FALSE)</f>
        <v>ns</v>
      </c>
      <c r="G5" s="19" t="str">
        <f>HLOOKUP(G2,'pooled normalised values'!C74:W83,10,FALSE)</f>
        <v>ns</v>
      </c>
      <c r="H5" s="19" t="str">
        <f>HLOOKUP(H2,'pooled normalised values'!C74:X83,10,FALSE)</f>
        <v>ns</v>
      </c>
      <c r="I5" s="19" t="str">
        <f>HLOOKUP(I2,'pooled normalised values'!D74:Y83,10,FALSE)</f>
        <v>ns</v>
      </c>
      <c r="J5" s="19" t="e">
        <f>HLOOKUP(J2,'pooled normalised values'!E74:Z83,10,FALSE)</f>
        <v>#REF!</v>
      </c>
      <c r="K5" s="19" t="e">
        <f>HLOOKUP(K2,'pooled normalised values'!F74:AA83,10,FALSE)</f>
        <v>#REF!</v>
      </c>
      <c r="L5" s="19" t="e">
        <f>HLOOKUP(L2,'pooled normalised values'!G74:AB83,10,FALSE)</f>
        <v>#REF!</v>
      </c>
      <c r="M5" s="19" t="e">
        <f>HLOOKUP(M2,'pooled normalised values'!H74:AC83,10,FALSE)</f>
        <v>#REF!</v>
      </c>
      <c r="N5" s="19" t="e">
        <f>HLOOKUP(N2,'pooled normalised values'!I74:AD83,10,FALSE)</f>
        <v>#REF!</v>
      </c>
      <c r="O5" s="19" t="e">
        <f>HLOOKUP(O2,'pooled normalised values'!J74:AE83,10,FALSE)</f>
        <v>#REF!</v>
      </c>
      <c r="P5" s="19" t="e">
        <f>HLOOKUP(P2,'pooled normalised values'!K74:AF83,10,FALSE)</f>
        <v>#REF!</v>
      </c>
      <c r="Q5" s="19" t="e">
        <f>HLOOKUP(Q2,'pooled normalised values'!L74:AG83,10,FALSE)</f>
        <v>#REF!</v>
      </c>
      <c r="R5" s="19" t="e">
        <f>HLOOKUP(R2,'pooled normalised values'!M74:AH83,10,FALSE)</f>
        <v>#REF!</v>
      </c>
      <c r="S5" s="19" t="e">
        <f>HLOOKUP(S2,'pooled normalised values'!N74:AI83,10,FALSE)</f>
        <v>#REF!</v>
      </c>
      <c r="T5" s="22"/>
      <c r="U5" s="20"/>
      <c r="V5" s="19" t="str">
        <f>HLOOKUP(V2,'pooled normalised values'!N74:AL83,10,FALSE)</f>
        <v>***</v>
      </c>
      <c r="W5" s="19" t="str">
        <f>HLOOKUP(W2,'pooled normalised values'!N74:AM83,10,FALSE)</f>
        <v>***</v>
      </c>
      <c r="X5" s="19" t="str">
        <f>HLOOKUP(X2,'pooled normalised values'!N74:AN83,10,FALSE)</f>
        <v>***</v>
      </c>
      <c r="Y5" s="19" t="str">
        <f>HLOOKUP(Y2,'pooled normalised values'!N74:AO83,10,FALSE)</f>
        <v>***</v>
      </c>
      <c r="Z5" s="19" t="str">
        <f>HLOOKUP(Z2,'pooled normalised values'!N74:AP83,10,FALSE)</f>
        <v>***</v>
      </c>
      <c r="AA5" s="19" t="e">
        <f>HLOOKUP(AA2,'pooled normalised values'!N74:AQ83,10,FALSE)</f>
        <v>#REF!</v>
      </c>
      <c r="AB5" s="19" t="e">
        <f>HLOOKUP(AB2,'pooled normalised values'!N74:AR83,10,FALSE)</f>
        <v>#REF!</v>
      </c>
      <c r="AC5" s="19" t="e">
        <f>HLOOKUP(AC2,'pooled normalised values'!N74:AS83,10,FALSE)</f>
        <v>#REF!</v>
      </c>
      <c r="AD5" s="19" t="e">
        <f>HLOOKUP(AD2,'pooled normalised values'!N74:AT83,10,FALSE)</f>
        <v>#REF!</v>
      </c>
      <c r="AE5" s="19" t="e">
        <f>HLOOKUP(AE2,'pooled normalised values'!N74:AU83,10,FALSE)</f>
        <v>#REF!</v>
      </c>
      <c r="AF5" s="19" t="e">
        <f>HLOOKUP(AF2,'pooled normalised values'!N74:AV83,10,FALSE)</f>
        <v>#REF!</v>
      </c>
      <c r="AG5" s="19" t="e">
        <f>HLOOKUP(AG2,'pooled normalised values'!N74:AW83,10,FALSE)</f>
        <v>#REF!</v>
      </c>
      <c r="AH5" s="19" t="e">
        <f>HLOOKUP(AH2,'pooled normalised values'!N74:AX83,10,FALSE)</f>
        <v>#REF!</v>
      </c>
      <c r="AI5" s="19" t="e">
        <f>HLOOKUP(AI2,'pooled normalised values'!N74:AY83,10,FALSE)</f>
        <v>#REF!</v>
      </c>
      <c r="AJ5" s="20"/>
      <c r="AK5" s="23" t="s">
        <v>11</v>
      </c>
    </row>
    <row r="6" spans="1:37" x14ac:dyDescent="0.25">
      <c r="A6" s="17" t="s">
        <v>74</v>
      </c>
      <c r="B6" s="63">
        <f>'pooled normalised values'!Q75</f>
        <v>9.0738879492618094E-2</v>
      </c>
      <c r="D6" s="21" t="s">
        <v>12</v>
      </c>
      <c r="E6" s="24">
        <f>$B$2</f>
        <v>0.10038748006553395</v>
      </c>
      <c r="F6" s="24">
        <f>$B$2</f>
        <v>0.10038748006553395</v>
      </c>
      <c r="G6" s="24">
        <f t="shared" ref="G6:R6" si="0">$B$2</f>
        <v>0.10038748006553395</v>
      </c>
      <c r="H6" s="24">
        <f t="shared" si="0"/>
        <v>0.10038748006553395</v>
      </c>
      <c r="I6" s="24">
        <f t="shared" si="0"/>
        <v>0.10038748006553395</v>
      </c>
      <c r="J6" s="24">
        <f t="shared" si="0"/>
        <v>0.10038748006553395</v>
      </c>
      <c r="K6" s="24">
        <f t="shared" si="0"/>
        <v>0.10038748006553395</v>
      </c>
      <c r="L6" s="24">
        <f t="shared" si="0"/>
        <v>0.10038748006553395</v>
      </c>
      <c r="M6" s="24">
        <f t="shared" si="0"/>
        <v>0.10038748006553395</v>
      </c>
      <c r="N6" s="24">
        <f t="shared" si="0"/>
        <v>0.10038748006553395</v>
      </c>
      <c r="O6" s="24">
        <f t="shared" si="0"/>
        <v>0.10038748006553395</v>
      </c>
      <c r="P6" s="24">
        <f t="shared" si="0"/>
        <v>0.10038748006553395</v>
      </c>
      <c r="Q6" s="24">
        <f t="shared" si="0"/>
        <v>0.10038748006553395</v>
      </c>
      <c r="R6" s="24">
        <f t="shared" si="0"/>
        <v>0.10038748006553395</v>
      </c>
      <c r="S6" s="24">
        <f>$B$2</f>
        <v>0.10038748006553395</v>
      </c>
      <c r="T6" s="24">
        <f>$B$2</f>
        <v>0.10038748006553395</v>
      </c>
      <c r="U6" s="25"/>
      <c r="V6" s="25"/>
      <c r="W6" s="25"/>
      <c r="X6" s="25"/>
      <c r="Y6" s="25"/>
      <c r="Z6" s="25"/>
      <c r="AA6" s="25"/>
      <c r="AB6" s="25"/>
      <c r="AC6" s="25"/>
      <c r="AD6" s="25"/>
      <c r="AE6" s="25"/>
      <c r="AF6" s="25"/>
      <c r="AG6" s="25"/>
      <c r="AH6" s="25"/>
      <c r="AI6" s="25"/>
      <c r="AJ6" s="25"/>
      <c r="AK6" s="21" t="s">
        <v>12</v>
      </c>
    </row>
    <row r="7" spans="1:37" x14ac:dyDescent="0.25">
      <c r="B7" s="26"/>
      <c r="D7" s="26" t="s">
        <v>13</v>
      </c>
      <c r="E7" s="24"/>
      <c r="F7" s="24"/>
      <c r="G7" s="24"/>
      <c r="H7" s="24"/>
      <c r="I7" s="24"/>
      <c r="J7" s="24"/>
      <c r="K7" s="24"/>
      <c r="L7" s="24"/>
      <c r="M7" s="24"/>
      <c r="N7" s="24"/>
      <c r="O7" s="24"/>
      <c r="P7" s="24"/>
      <c r="Q7" s="24"/>
      <c r="R7" s="24"/>
      <c r="S7" s="24"/>
      <c r="T7" s="27"/>
      <c r="U7" s="25">
        <f t="shared" ref="U7:AJ7" si="1">$B$4</f>
        <v>1.0000000000000002</v>
      </c>
      <c r="V7" s="25">
        <f t="shared" si="1"/>
        <v>1.0000000000000002</v>
      </c>
      <c r="W7" s="25">
        <f t="shared" si="1"/>
        <v>1.0000000000000002</v>
      </c>
      <c r="X7" s="25">
        <f t="shared" si="1"/>
        <v>1.0000000000000002</v>
      </c>
      <c r="Y7" s="25">
        <f t="shared" si="1"/>
        <v>1.0000000000000002</v>
      </c>
      <c r="Z7" s="25">
        <f t="shared" si="1"/>
        <v>1.0000000000000002</v>
      </c>
      <c r="AA7" s="25">
        <f t="shared" si="1"/>
        <v>1.0000000000000002</v>
      </c>
      <c r="AB7" s="25">
        <f t="shared" si="1"/>
        <v>1.0000000000000002</v>
      </c>
      <c r="AC7" s="25">
        <f t="shared" si="1"/>
        <v>1.0000000000000002</v>
      </c>
      <c r="AD7" s="25">
        <f t="shared" si="1"/>
        <v>1.0000000000000002</v>
      </c>
      <c r="AE7" s="25">
        <f t="shared" si="1"/>
        <v>1.0000000000000002</v>
      </c>
      <c r="AF7" s="25">
        <f t="shared" si="1"/>
        <v>1.0000000000000002</v>
      </c>
      <c r="AG7" s="25">
        <f t="shared" si="1"/>
        <v>1.0000000000000002</v>
      </c>
      <c r="AH7" s="25">
        <f t="shared" si="1"/>
        <v>1.0000000000000002</v>
      </c>
      <c r="AI7" s="25">
        <f t="shared" si="1"/>
        <v>1.0000000000000002</v>
      </c>
      <c r="AJ7" s="25">
        <f t="shared" si="1"/>
        <v>1.0000000000000002</v>
      </c>
      <c r="AK7" s="26" t="s">
        <v>13</v>
      </c>
    </row>
    <row r="8" spans="1:37" x14ac:dyDescent="0.25">
      <c r="D8" s="28" t="s">
        <v>14</v>
      </c>
      <c r="E8" s="24">
        <v>0</v>
      </c>
      <c r="F8" s="24">
        <v>0</v>
      </c>
      <c r="G8" s="24">
        <v>0</v>
      </c>
      <c r="H8" s="24">
        <v>0</v>
      </c>
      <c r="I8" s="24">
        <v>0</v>
      </c>
      <c r="J8" s="24">
        <v>0</v>
      </c>
      <c r="K8" s="24">
        <v>0</v>
      </c>
      <c r="L8" s="24">
        <v>0</v>
      </c>
      <c r="M8" s="24">
        <v>0</v>
      </c>
      <c r="N8" s="24">
        <v>0</v>
      </c>
      <c r="O8" s="24">
        <v>0</v>
      </c>
      <c r="P8" s="24">
        <v>0</v>
      </c>
      <c r="Q8" s="24">
        <v>0</v>
      </c>
      <c r="R8" s="24">
        <v>0</v>
      </c>
      <c r="S8" s="24">
        <v>0</v>
      </c>
      <c r="T8" s="27">
        <v>0</v>
      </c>
      <c r="U8" s="25">
        <f>$B$6</f>
        <v>9.0738879492618094E-2</v>
      </c>
      <c r="V8" s="25">
        <f t="shared" ref="V8:AJ8" si="2">$B$6</f>
        <v>9.0738879492618094E-2</v>
      </c>
      <c r="W8" s="25">
        <f t="shared" si="2"/>
        <v>9.0738879492618094E-2</v>
      </c>
      <c r="X8" s="25">
        <f t="shared" si="2"/>
        <v>9.0738879492618094E-2</v>
      </c>
      <c r="Y8" s="25">
        <f t="shared" si="2"/>
        <v>9.0738879492618094E-2</v>
      </c>
      <c r="Z8" s="25">
        <f t="shared" si="2"/>
        <v>9.0738879492618094E-2</v>
      </c>
      <c r="AA8" s="25">
        <f t="shared" si="2"/>
        <v>9.0738879492618094E-2</v>
      </c>
      <c r="AB8" s="25">
        <f t="shared" si="2"/>
        <v>9.0738879492618094E-2</v>
      </c>
      <c r="AC8" s="25">
        <f t="shared" si="2"/>
        <v>9.0738879492618094E-2</v>
      </c>
      <c r="AD8" s="25">
        <f t="shared" si="2"/>
        <v>9.0738879492618094E-2</v>
      </c>
      <c r="AE8" s="25">
        <f t="shared" si="2"/>
        <v>9.0738879492618094E-2</v>
      </c>
      <c r="AF8" s="25">
        <f t="shared" si="2"/>
        <v>9.0738879492618094E-2</v>
      </c>
      <c r="AG8" s="25">
        <f t="shared" si="2"/>
        <v>9.0738879492618094E-2</v>
      </c>
      <c r="AH8" s="25">
        <f t="shared" si="2"/>
        <v>9.0738879492618094E-2</v>
      </c>
      <c r="AI8" s="25">
        <f t="shared" si="2"/>
        <v>9.0738879492618094E-2</v>
      </c>
      <c r="AJ8" s="25">
        <f t="shared" si="2"/>
        <v>9.0738879492618094E-2</v>
      </c>
      <c r="AK8" s="28" t="s">
        <v>14</v>
      </c>
    </row>
    <row r="9" spans="1:37" x14ac:dyDescent="0.25">
      <c r="D9" s="28" t="s">
        <v>15</v>
      </c>
      <c r="E9" s="29">
        <f>$B$3-E8</f>
        <v>0</v>
      </c>
      <c r="F9" s="29">
        <f>$B$3-F8</f>
        <v>0</v>
      </c>
      <c r="G9" s="29">
        <f t="shared" ref="G9:R9" si="3">$B$3-G8</f>
        <v>0</v>
      </c>
      <c r="H9" s="29">
        <f t="shared" si="3"/>
        <v>0</v>
      </c>
      <c r="I9" s="29">
        <f t="shared" si="3"/>
        <v>0</v>
      </c>
      <c r="J9" s="29">
        <f t="shared" si="3"/>
        <v>0</v>
      </c>
      <c r="K9" s="29">
        <f t="shared" si="3"/>
        <v>0</v>
      </c>
      <c r="L9" s="29">
        <f t="shared" si="3"/>
        <v>0</v>
      </c>
      <c r="M9" s="29">
        <f t="shared" si="3"/>
        <v>0</v>
      </c>
      <c r="N9" s="29">
        <f t="shared" si="3"/>
        <v>0</v>
      </c>
      <c r="O9" s="29">
        <f t="shared" si="3"/>
        <v>0</v>
      </c>
      <c r="P9" s="29">
        <f t="shared" si="3"/>
        <v>0</v>
      </c>
      <c r="Q9" s="29">
        <f t="shared" si="3"/>
        <v>0</v>
      </c>
      <c r="R9" s="29">
        <f t="shared" si="3"/>
        <v>0</v>
      </c>
      <c r="S9" s="29">
        <f>$B$3-S8</f>
        <v>0</v>
      </c>
      <c r="T9" s="29">
        <f>$B$3-T8</f>
        <v>0</v>
      </c>
      <c r="U9" s="25">
        <f>$B$5-U8</f>
        <v>1.7302806012346632</v>
      </c>
      <c r="V9" s="25">
        <f>$B$5-V8</f>
        <v>1.7302806012346632</v>
      </c>
      <c r="W9" s="25">
        <f t="shared" ref="W9:AH9" si="4">$B$5-W8</f>
        <v>1.7302806012346632</v>
      </c>
      <c r="X9" s="25">
        <f t="shared" si="4"/>
        <v>1.7302806012346632</v>
      </c>
      <c r="Y9" s="25">
        <f t="shared" si="4"/>
        <v>1.7302806012346632</v>
      </c>
      <c r="Z9" s="25">
        <f t="shared" si="4"/>
        <v>1.7302806012346632</v>
      </c>
      <c r="AA9" s="25">
        <f t="shared" si="4"/>
        <v>1.7302806012346632</v>
      </c>
      <c r="AB9" s="25">
        <f t="shared" si="4"/>
        <v>1.7302806012346632</v>
      </c>
      <c r="AC9" s="25">
        <f t="shared" si="4"/>
        <v>1.7302806012346632</v>
      </c>
      <c r="AD9" s="25">
        <f t="shared" si="4"/>
        <v>1.7302806012346632</v>
      </c>
      <c r="AE9" s="25">
        <f t="shared" si="4"/>
        <v>1.7302806012346632</v>
      </c>
      <c r="AF9" s="25">
        <f t="shared" si="4"/>
        <v>1.7302806012346632</v>
      </c>
      <c r="AG9" s="25">
        <f t="shared" si="4"/>
        <v>1.7302806012346632</v>
      </c>
      <c r="AH9" s="25">
        <f t="shared" si="4"/>
        <v>1.7302806012346632</v>
      </c>
      <c r="AI9" s="25">
        <f>$B$5-AI8</f>
        <v>1.7302806012346632</v>
      </c>
      <c r="AJ9" s="25">
        <f>$B$5-AJ8</f>
        <v>1.7302806012346632</v>
      </c>
      <c r="AK9" s="28" t="s">
        <v>15</v>
      </c>
    </row>
    <row r="10" spans="1:37" x14ac:dyDescent="0.25">
      <c r="D10" s="28" t="s">
        <v>16</v>
      </c>
      <c r="E10" s="27">
        <f>2.5-E9</f>
        <v>2.5</v>
      </c>
      <c r="F10" s="27">
        <f>2.5-F9</f>
        <v>2.5</v>
      </c>
      <c r="G10" s="27">
        <f t="shared" ref="G10:R10" si="5">2.5-G9</f>
        <v>2.5</v>
      </c>
      <c r="H10" s="27">
        <f t="shared" si="5"/>
        <v>2.5</v>
      </c>
      <c r="I10" s="27">
        <f t="shared" si="5"/>
        <v>2.5</v>
      </c>
      <c r="J10" s="27">
        <f t="shared" si="5"/>
        <v>2.5</v>
      </c>
      <c r="K10" s="27">
        <f t="shared" si="5"/>
        <v>2.5</v>
      </c>
      <c r="L10" s="27">
        <f t="shared" si="5"/>
        <v>2.5</v>
      </c>
      <c r="M10" s="27">
        <f t="shared" si="5"/>
        <v>2.5</v>
      </c>
      <c r="N10" s="27">
        <f t="shared" si="5"/>
        <v>2.5</v>
      </c>
      <c r="O10" s="27">
        <f t="shared" si="5"/>
        <v>2.5</v>
      </c>
      <c r="P10" s="27">
        <f t="shared" si="5"/>
        <v>2.5</v>
      </c>
      <c r="Q10" s="27">
        <f t="shared" si="5"/>
        <v>2.5</v>
      </c>
      <c r="R10" s="27">
        <f t="shared" si="5"/>
        <v>2.5</v>
      </c>
      <c r="S10" s="27">
        <f>2.5-S9</f>
        <v>2.5</v>
      </c>
      <c r="T10" s="27">
        <f>2.5-T9</f>
        <v>2.5</v>
      </c>
      <c r="U10" s="25">
        <f>2.5-U9</f>
        <v>0.76971939876533679</v>
      </c>
      <c r="V10" s="25">
        <f>2.5-V9</f>
        <v>0.76971939876533679</v>
      </c>
      <c r="W10" s="25">
        <f t="shared" ref="W10:AH10" si="6">2.5-W9</f>
        <v>0.76971939876533679</v>
      </c>
      <c r="X10" s="25">
        <f t="shared" si="6"/>
        <v>0.76971939876533679</v>
      </c>
      <c r="Y10" s="25">
        <f t="shared" si="6"/>
        <v>0.76971939876533679</v>
      </c>
      <c r="Z10" s="25">
        <f t="shared" si="6"/>
        <v>0.76971939876533679</v>
      </c>
      <c r="AA10" s="25">
        <f t="shared" si="6"/>
        <v>0.76971939876533679</v>
      </c>
      <c r="AB10" s="25">
        <f t="shared" si="6"/>
        <v>0.76971939876533679</v>
      </c>
      <c r="AC10" s="25">
        <f t="shared" si="6"/>
        <v>0.76971939876533679</v>
      </c>
      <c r="AD10" s="25">
        <f t="shared" si="6"/>
        <v>0.76971939876533679</v>
      </c>
      <c r="AE10" s="25">
        <f t="shared" si="6"/>
        <v>0.76971939876533679</v>
      </c>
      <c r="AF10" s="25">
        <f t="shared" si="6"/>
        <v>0.76971939876533679</v>
      </c>
      <c r="AG10" s="25">
        <f t="shared" si="6"/>
        <v>0.76971939876533679</v>
      </c>
      <c r="AH10" s="25">
        <f t="shared" si="6"/>
        <v>0.76971939876533679</v>
      </c>
      <c r="AI10" s="25">
        <f>2.5-AI9</f>
        <v>0.76971939876533679</v>
      </c>
      <c r="AJ10" s="25">
        <f>2.5-AJ9</f>
        <v>0.76971939876533679</v>
      </c>
      <c r="AK10" s="28" t="s">
        <v>16</v>
      </c>
    </row>
    <row r="17" spans="2:20" x14ac:dyDescent="0.25">
      <c r="C17" s="23"/>
      <c r="D17" s="23"/>
    </row>
    <row r="18" spans="2:20" x14ac:dyDescent="0.25">
      <c r="B18" s="30"/>
    </row>
    <row r="19" spans="2:20" x14ac:dyDescent="0.25">
      <c r="B19" s="30"/>
    </row>
    <row r="20" spans="2:20" x14ac:dyDescent="0.25">
      <c r="B20" s="31"/>
    </row>
    <row r="21" spans="2:20" x14ac:dyDescent="0.25">
      <c r="B21" s="30"/>
    </row>
    <row r="22" spans="2:20" x14ac:dyDescent="0.25">
      <c r="B22" s="30"/>
      <c r="T22" s="23"/>
    </row>
    <row r="23" spans="2:20" x14ac:dyDescent="0.25">
      <c r="B23" s="31"/>
      <c r="T23" s="23"/>
    </row>
    <row r="24" spans="2:20" x14ac:dyDescent="0.25">
      <c r="T24" s="23"/>
    </row>
  </sheetData>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2:K24"/>
  <sheetViews>
    <sheetView topLeftCell="A16" zoomScale="70" zoomScaleNormal="70" workbookViewId="0">
      <selection activeCell="N34" sqref="N34"/>
    </sheetView>
  </sheetViews>
  <sheetFormatPr baseColWidth="10" defaultRowHeight="12.5" x14ac:dyDescent="0.25"/>
  <cols>
    <col min="1" max="1" width="18.81640625" style="17" customWidth="1"/>
    <col min="2" max="2" width="7.26953125" style="17" bestFit="1" customWidth="1"/>
    <col min="3" max="3" width="10.54296875" style="17" customWidth="1"/>
    <col min="4" max="4" width="13.7265625" style="17" bestFit="1" customWidth="1"/>
    <col min="5" max="5" width="12" style="17" bestFit="1" customWidth="1"/>
    <col min="6" max="6" width="14.81640625" style="17" customWidth="1"/>
    <col min="7" max="8" width="11.453125" style="17"/>
    <col min="9" max="9" width="13.54296875" style="17" bestFit="1" customWidth="1"/>
    <col min="10" max="256" width="11.453125" style="17"/>
    <col min="257" max="257" width="18.7265625" style="17" customWidth="1"/>
    <col min="258" max="258" width="13.7265625" style="17" bestFit="1" customWidth="1"/>
    <col min="259" max="259" width="17.26953125" style="17" customWidth="1"/>
    <col min="260" max="260" width="11" style="17" customWidth="1"/>
    <col min="261" max="261" width="12" style="17" bestFit="1" customWidth="1"/>
    <col min="262" max="262" width="14.81640625" style="17" customWidth="1"/>
    <col min="263" max="512" width="11.453125" style="17"/>
    <col min="513" max="513" width="18.7265625" style="17" customWidth="1"/>
    <col min="514" max="514" width="13.7265625" style="17" bestFit="1" customWidth="1"/>
    <col min="515" max="515" width="17.26953125" style="17" customWidth="1"/>
    <col min="516" max="516" width="11" style="17" customWidth="1"/>
    <col min="517" max="517" width="12" style="17" bestFit="1" customWidth="1"/>
    <col min="518" max="518" width="14.81640625" style="17" customWidth="1"/>
    <col min="519" max="768" width="11.453125" style="17"/>
    <col min="769" max="769" width="18.7265625" style="17" customWidth="1"/>
    <col min="770" max="770" width="13.7265625" style="17" bestFit="1" customWidth="1"/>
    <col min="771" max="771" width="17.26953125" style="17" customWidth="1"/>
    <col min="772" max="772" width="11" style="17" customWidth="1"/>
    <col min="773" max="773" width="12" style="17" bestFit="1" customWidth="1"/>
    <col min="774" max="774" width="14.81640625" style="17" customWidth="1"/>
    <col min="775" max="1024" width="11.453125" style="17"/>
    <col min="1025" max="1025" width="18.7265625" style="17" customWidth="1"/>
    <col min="1026" max="1026" width="13.7265625" style="17" bestFit="1" customWidth="1"/>
    <col min="1027" max="1027" width="17.26953125" style="17" customWidth="1"/>
    <col min="1028" max="1028" width="11" style="17" customWidth="1"/>
    <col min="1029" max="1029" width="12" style="17" bestFit="1" customWidth="1"/>
    <col min="1030" max="1030" width="14.81640625" style="17" customWidth="1"/>
    <col min="1031" max="1280" width="11.453125" style="17"/>
    <col min="1281" max="1281" width="18.7265625" style="17" customWidth="1"/>
    <col min="1282" max="1282" width="13.7265625" style="17" bestFit="1" customWidth="1"/>
    <col min="1283" max="1283" width="17.26953125" style="17" customWidth="1"/>
    <col min="1284" max="1284" width="11" style="17" customWidth="1"/>
    <col min="1285" max="1285" width="12" style="17" bestFit="1" customWidth="1"/>
    <col min="1286" max="1286" width="14.81640625" style="17" customWidth="1"/>
    <col min="1287" max="1536" width="11.453125" style="17"/>
    <col min="1537" max="1537" width="18.7265625" style="17" customWidth="1"/>
    <col min="1538" max="1538" width="13.7265625" style="17" bestFit="1" customWidth="1"/>
    <col min="1539" max="1539" width="17.26953125" style="17" customWidth="1"/>
    <col min="1540" max="1540" width="11" style="17" customWidth="1"/>
    <col min="1541" max="1541" width="12" style="17" bestFit="1" customWidth="1"/>
    <col min="1542" max="1542" width="14.81640625" style="17" customWidth="1"/>
    <col min="1543" max="1792" width="11.453125" style="17"/>
    <col min="1793" max="1793" width="18.7265625" style="17" customWidth="1"/>
    <col min="1794" max="1794" width="13.7265625" style="17" bestFit="1" customWidth="1"/>
    <col min="1795" max="1795" width="17.26953125" style="17" customWidth="1"/>
    <col min="1796" max="1796" width="11" style="17" customWidth="1"/>
    <col min="1797" max="1797" width="12" style="17" bestFit="1" customWidth="1"/>
    <col min="1798" max="1798" width="14.81640625" style="17" customWidth="1"/>
    <col min="1799" max="2048" width="11.453125" style="17"/>
    <col min="2049" max="2049" width="18.7265625" style="17" customWidth="1"/>
    <col min="2050" max="2050" width="13.7265625" style="17" bestFit="1" customWidth="1"/>
    <col min="2051" max="2051" width="17.26953125" style="17" customWidth="1"/>
    <col min="2052" max="2052" width="11" style="17" customWidth="1"/>
    <col min="2053" max="2053" width="12" style="17" bestFit="1" customWidth="1"/>
    <col min="2054" max="2054" width="14.81640625" style="17" customWidth="1"/>
    <col min="2055" max="2304" width="11.453125" style="17"/>
    <col min="2305" max="2305" width="18.7265625" style="17" customWidth="1"/>
    <col min="2306" max="2306" width="13.7265625" style="17" bestFit="1" customWidth="1"/>
    <col min="2307" max="2307" width="17.26953125" style="17" customWidth="1"/>
    <col min="2308" max="2308" width="11" style="17" customWidth="1"/>
    <col min="2309" max="2309" width="12" style="17" bestFit="1" customWidth="1"/>
    <col min="2310" max="2310" width="14.81640625" style="17" customWidth="1"/>
    <col min="2311" max="2560" width="11.453125" style="17"/>
    <col min="2561" max="2561" width="18.7265625" style="17" customWidth="1"/>
    <col min="2562" max="2562" width="13.7265625" style="17" bestFit="1" customWidth="1"/>
    <col min="2563" max="2563" width="17.26953125" style="17" customWidth="1"/>
    <col min="2564" max="2564" width="11" style="17" customWidth="1"/>
    <col min="2565" max="2565" width="12" style="17" bestFit="1" customWidth="1"/>
    <col min="2566" max="2566" width="14.81640625" style="17" customWidth="1"/>
    <col min="2567" max="2816" width="11.453125" style="17"/>
    <col min="2817" max="2817" width="18.7265625" style="17" customWidth="1"/>
    <col min="2818" max="2818" width="13.7265625" style="17" bestFit="1" customWidth="1"/>
    <col min="2819" max="2819" width="17.26953125" style="17" customWidth="1"/>
    <col min="2820" max="2820" width="11" style="17" customWidth="1"/>
    <col min="2821" max="2821" width="12" style="17" bestFit="1" customWidth="1"/>
    <col min="2822" max="2822" width="14.81640625" style="17" customWidth="1"/>
    <col min="2823" max="3072" width="11.453125" style="17"/>
    <col min="3073" max="3073" width="18.7265625" style="17" customWidth="1"/>
    <col min="3074" max="3074" width="13.7265625" style="17" bestFit="1" customWidth="1"/>
    <col min="3075" max="3075" width="17.26953125" style="17" customWidth="1"/>
    <col min="3076" max="3076" width="11" style="17" customWidth="1"/>
    <col min="3077" max="3077" width="12" style="17" bestFit="1" customWidth="1"/>
    <col min="3078" max="3078" width="14.81640625" style="17" customWidth="1"/>
    <col min="3079" max="3328" width="11.453125" style="17"/>
    <col min="3329" max="3329" width="18.7265625" style="17" customWidth="1"/>
    <col min="3330" max="3330" width="13.7265625" style="17" bestFit="1" customWidth="1"/>
    <col min="3331" max="3331" width="17.26953125" style="17" customWidth="1"/>
    <col min="3332" max="3332" width="11" style="17" customWidth="1"/>
    <col min="3333" max="3333" width="12" style="17" bestFit="1" customWidth="1"/>
    <col min="3334" max="3334" width="14.81640625" style="17" customWidth="1"/>
    <col min="3335" max="3584" width="11.453125" style="17"/>
    <col min="3585" max="3585" width="18.7265625" style="17" customWidth="1"/>
    <col min="3586" max="3586" width="13.7265625" style="17" bestFit="1" customWidth="1"/>
    <col min="3587" max="3587" width="17.26953125" style="17" customWidth="1"/>
    <col min="3588" max="3588" width="11" style="17" customWidth="1"/>
    <col min="3589" max="3589" width="12" style="17" bestFit="1" customWidth="1"/>
    <col min="3590" max="3590" width="14.81640625" style="17" customWidth="1"/>
    <col min="3591" max="3840" width="11.453125" style="17"/>
    <col min="3841" max="3841" width="18.7265625" style="17" customWidth="1"/>
    <col min="3842" max="3842" width="13.7265625" style="17" bestFit="1" customWidth="1"/>
    <col min="3843" max="3843" width="17.26953125" style="17" customWidth="1"/>
    <col min="3844" max="3844" width="11" style="17" customWidth="1"/>
    <col min="3845" max="3845" width="12" style="17" bestFit="1" customWidth="1"/>
    <col min="3846" max="3846" width="14.81640625" style="17" customWidth="1"/>
    <col min="3847" max="4096" width="11.453125" style="17"/>
    <col min="4097" max="4097" width="18.7265625" style="17" customWidth="1"/>
    <col min="4098" max="4098" width="13.7265625" style="17" bestFit="1" customWidth="1"/>
    <col min="4099" max="4099" width="17.26953125" style="17" customWidth="1"/>
    <col min="4100" max="4100" width="11" style="17" customWidth="1"/>
    <col min="4101" max="4101" width="12" style="17" bestFit="1" customWidth="1"/>
    <col min="4102" max="4102" width="14.81640625" style="17" customWidth="1"/>
    <col min="4103" max="4352" width="11.453125" style="17"/>
    <col min="4353" max="4353" width="18.7265625" style="17" customWidth="1"/>
    <col min="4354" max="4354" width="13.7265625" style="17" bestFit="1" customWidth="1"/>
    <col min="4355" max="4355" width="17.26953125" style="17" customWidth="1"/>
    <col min="4356" max="4356" width="11" style="17" customWidth="1"/>
    <col min="4357" max="4357" width="12" style="17" bestFit="1" customWidth="1"/>
    <col min="4358" max="4358" width="14.81640625" style="17" customWidth="1"/>
    <col min="4359" max="4608" width="11.453125" style="17"/>
    <col min="4609" max="4609" width="18.7265625" style="17" customWidth="1"/>
    <col min="4610" max="4610" width="13.7265625" style="17" bestFit="1" customWidth="1"/>
    <col min="4611" max="4611" width="17.26953125" style="17" customWidth="1"/>
    <col min="4612" max="4612" width="11" style="17" customWidth="1"/>
    <col min="4613" max="4613" width="12" style="17" bestFit="1" customWidth="1"/>
    <col min="4614" max="4614" width="14.81640625" style="17" customWidth="1"/>
    <col min="4615" max="4864" width="11.453125" style="17"/>
    <col min="4865" max="4865" width="18.7265625" style="17" customWidth="1"/>
    <col min="4866" max="4866" width="13.7265625" style="17" bestFit="1" customWidth="1"/>
    <col min="4867" max="4867" width="17.26953125" style="17" customWidth="1"/>
    <col min="4868" max="4868" width="11" style="17" customWidth="1"/>
    <col min="4869" max="4869" width="12" style="17" bestFit="1" customWidth="1"/>
    <col min="4870" max="4870" width="14.81640625" style="17" customWidth="1"/>
    <col min="4871" max="5120" width="11.453125" style="17"/>
    <col min="5121" max="5121" width="18.7265625" style="17" customWidth="1"/>
    <col min="5122" max="5122" width="13.7265625" style="17" bestFit="1" customWidth="1"/>
    <col min="5123" max="5123" width="17.26953125" style="17" customWidth="1"/>
    <col min="5124" max="5124" width="11" style="17" customWidth="1"/>
    <col min="5125" max="5125" width="12" style="17" bestFit="1" customWidth="1"/>
    <col min="5126" max="5126" width="14.81640625" style="17" customWidth="1"/>
    <col min="5127" max="5376" width="11.453125" style="17"/>
    <col min="5377" max="5377" width="18.7265625" style="17" customWidth="1"/>
    <col min="5378" max="5378" width="13.7265625" style="17" bestFit="1" customWidth="1"/>
    <col min="5379" max="5379" width="17.26953125" style="17" customWidth="1"/>
    <col min="5380" max="5380" width="11" style="17" customWidth="1"/>
    <col min="5381" max="5381" width="12" style="17" bestFit="1" customWidth="1"/>
    <col min="5382" max="5382" width="14.81640625" style="17" customWidth="1"/>
    <col min="5383" max="5632" width="11.453125" style="17"/>
    <col min="5633" max="5633" width="18.7265625" style="17" customWidth="1"/>
    <col min="5634" max="5634" width="13.7265625" style="17" bestFit="1" customWidth="1"/>
    <col min="5635" max="5635" width="17.26953125" style="17" customWidth="1"/>
    <col min="5636" max="5636" width="11" style="17" customWidth="1"/>
    <col min="5637" max="5637" width="12" style="17" bestFit="1" customWidth="1"/>
    <col min="5638" max="5638" width="14.81640625" style="17" customWidth="1"/>
    <col min="5639" max="5888" width="11.453125" style="17"/>
    <col min="5889" max="5889" width="18.7265625" style="17" customWidth="1"/>
    <col min="5890" max="5890" width="13.7265625" style="17" bestFit="1" customWidth="1"/>
    <col min="5891" max="5891" width="17.26953125" style="17" customWidth="1"/>
    <col min="5892" max="5892" width="11" style="17" customWidth="1"/>
    <col min="5893" max="5893" width="12" style="17" bestFit="1" customWidth="1"/>
    <col min="5894" max="5894" width="14.81640625" style="17" customWidth="1"/>
    <col min="5895" max="6144" width="11.453125" style="17"/>
    <col min="6145" max="6145" width="18.7265625" style="17" customWidth="1"/>
    <col min="6146" max="6146" width="13.7265625" style="17" bestFit="1" customWidth="1"/>
    <col min="6147" max="6147" width="17.26953125" style="17" customWidth="1"/>
    <col min="6148" max="6148" width="11" style="17" customWidth="1"/>
    <col min="6149" max="6149" width="12" style="17" bestFit="1" customWidth="1"/>
    <col min="6150" max="6150" width="14.81640625" style="17" customWidth="1"/>
    <col min="6151" max="6400" width="11.453125" style="17"/>
    <col min="6401" max="6401" width="18.7265625" style="17" customWidth="1"/>
    <col min="6402" max="6402" width="13.7265625" style="17" bestFit="1" customWidth="1"/>
    <col min="6403" max="6403" width="17.26953125" style="17" customWidth="1"/>
    <col min="6404" max="6404" width="11" style="17" customWidth="1"/>
    <col min="6405" max="6405" width="12" style="17" bestFit="1" customWidth="1"/>
    <col min="6406" max="6406" width="14.81640625" style="17" customWidth="1"/>
    <col min="6407" max="6656" width="11.453125" style="17"/>
    <col min="6657" max="6657" width="18.7265625" style="17" customWidth="1"/>
    <col min="6658" max="6658" width="13.7265625" style="17" bestFit="1" customWidth="1"/>
    <col min="6659" max="6659" width="17.26953125" style="17" customWidth="1"/>
    <col min="6660" max="6660" width="11" style="17" customWidth="1"/>
    <col min="6661" max="6661" width="12" style="17" bestFit="1" customWidth="1"/>
    <col min="6662" max="6662" width="14.81640625" style="17" customWidth="1"/>
    <col min="6663" max="6912" width="11.453125" style="17"/>
    <col min="6913" max="6913" width="18.7265625" style="17" customWidth="1"/>
    <col min="6914" max="6914" width="13.7265625" style="17" bestFit="1" customWidth="1"/>
    <col min="6915" max="6915" width="17.26953125" style="17" customWidth="1"/>
    <col min="6916" max="6916" width="11" style="17" customWidth="1"/>
    <col min="6917" max="6917" width="12" style="17" bestFit="1" customWidth="1"/>
    <col min="6918" max="6918" width="14.81640625" style="17" customWidth="1"/>
    <col min="6919" max="7168" width="11.453125" style="17"/>
    <col min="7169" max="7169" width="18.7265625" style="17" customWidth="1"/>
    <col min="7170" max="7170" width="13.7265625" style="17" bestFit="1" customWidth="1"/>
    <col min="7171" max="7171" width="17.26953125" style="17" customWidth="1"/>
    <col min="7172" max="7172" width="11" style="17" customWidth="1"/>
    <col min="7173" max="7173" width="12" style="17" bestFit="1" customWidth="1"/>
    <col min="7174" max="7174" width="14.81640625" style="17" customWidth="1"/>
    <col min="7175" max="7424" width="11.453125" style="17"/>
    <col min="7425" max="7425" width="18.7265625" style="17" customWidth="1"/>
    <col min="7426" max="7426" width="13.7265625" style="17" bestFit="1" customWidth="1"/>
    <col min="7427" max="7427" width="17.26953125" style="17" customWidth="1"/>
    <col min="7428" max="7428" width="11" style="17" customWidth="1"/>
    <col min="7429" max="7429" width="12" style="17" bestFit="1" customWidth="1"/>
    <col min="7430" max="7430" width="14.81640625" style="17" customWidth="1"/>
    <col min="7431" max="7680" width="11.453125" style="17"/>
    <col min="7681" max="7681" width="18.7265625" style="17" customWidth="1"/>
    <col min="7682" max="7682" width="13.7265625" style="17" bestFit="1" customWidth="1"/>
    <col min="7683" max="7683" width="17.26953125" style="17" customWidth="1"/>
    <col min="7684" max="7684" width="11" style="17" customWidth="1"/>
    <col min="7685" max="7685" width="12" style="17" bestFit="1" customWidth="1"/>
    <col min="7686" max="7686" width="14.81640625" style="17" customWidth="1"/>
    <col min="7687" max="7936" width="11.453125" style="17"/>
    <col min="7937" max="7937" width="18.7265625" style="17" customWidth="1"/>
    <col min="7938" max="7938" width="13.7265625" style="17" bestFit="1" customWidth="1"/>
    <col min="7939" max="7939" width="17.26953125" style="17" customWidth="1"/>
    <col min="7940" max="7940" width="11" style="17" customWidth="1"/>
    <col min="7941" max="7941" width="12" style="17" bestFit="1" customWidth="1"/>
    <col min="7942" max="7942" width="14.81640625" style="17" customWidth="1"/>
    <col min="7943" max="8192" width="11.453125" style="17"/>
    <col min="8193" max="8193" width="18.7265625" style="17" customWidth="1"/>
    <col min="8194" max="8194" width="13.7265625" style="17" bestFit="1" customWidth="1"/>
    <col min="8195" max="8195" width="17.26953125" style="17" customWidth="1"/>
    <col min="8196" max="8196" width="11" style="17" customWidth="1"/>
    <col min="8197" max="8197" width="12" style="17" bestFit="1" customWidth="1"/>
    <col min="8198" max="8198" width="14.81640625" style="17" customWidth="1"/>
    <col min="8199" max="8448" width="11.453125" style="17"/>
    <col min="8449" max="8449" width="18.7265625" style="17" customWidth="1"/>
    <col min="8450" max="8450" width="13.7265625" style="17" bestFit="1" customWidth="1"/>
    <col min="8451" max="8451" width="17.26953125" style="17" customWidth="1"/>
    <col min="8452" max="8452" width="11" style="17" customWidth="1"/>
    <col min="8453" max="8453" width="12" style="17" bestFit="1" customWidth="1"/>
    <col min="8454" max="8454" width="14.81640625" style="17" customWidth="1"/>
    <col min="8455" max="8704" width="11.453125" style="17"/>
    <col min="8705" max="8705" width="18.7265625" style="17" customWidth="1"/>
    <col min="8706" max="8706" width="13.7265625" style="17" bestFit="1" customWidth="1"/>
    <col min="8707" max="8707" width="17.26953125" style="17" customWidth="1"/>
    <col min="8708" max="8708" width="11" style="17" customWidth="1"/>
    <col min="8709" max="8709" width="12" style="17" bestFit="1" customWidth="1"/>
    <col min="8710" max="8710" width="14.81640625" style="17" customWidth="1"/>
    <col min="8711" max="8960" width="11.453125" style="17"/>
    <col min="8961" max="8961" width="18.7265625" style="17" customWidth="1"/>
    <col min="8962" max="8962" width="13.7265625" style="17" bestFit="1" customWidth="1"/>
    <col min="8963" max="8963" width="17.26953125" style="17" customWidth="1"/>
    <col min="8964" max="8964" width="11" style="17" customWidth="1"/>
    <col min="8965" max="8965" width="12" style="17" bestFit="1" customWidth="1"/>
    <col min="8966" max="8966" width="14.81640625" style="17" customWidth="1"/>
    <col min="8967" max="9216" width="11.453125" style="17"/>
    <col min="9217" max="9217" width="18.7265625" style="17" customWidth="1"/>
    <col min="9218" max="9218" width="13.7265625" style="17" bestFit="1" customWidth="1"/>
    <col min="9219" max="9219" width="17.26953125" style="17" customWidth="1"/>
    <col min="9220" max="9220" width="11" style="17" customWidth="1"/>
    <col min="9221" max="9221" width="12" style="17" bestFit="1" customWidth="1"/>
    <col min="9222" max="9222" width="14.81640625" style="17" customWidth="1"/>
    <col min="9223" max="9472" width="11.453125" style="17"/>
    <col min="9473" max="9473" width="18.7265625" style="17" customWidth="1"/>
    <col min="9474" max="9474" width="13.7265625" style="17" bestFit="1" customWidth="1"/>
    <col min="9475" max="9475" width="17.26953125" style="17" customWidth="1"/>
    <col min="9476" max="9476" width="11" style="17" customWidth="1"/>
    <col min="9477" max="9477" width="12" style="17" bestFit="1" customWidth="1"/>
    <col min="9478" max="9478" width="14.81640625" style="17" customWidth="1"/>
    <col min="9479" max="9728" width="11.453125" style="17"/>
    <col min="9729" max="9729" width="18.7265625" style="17" customWidth="1"/>
    <col min="9730" max="9730" width="13.7265625" style="17" bestFit="1" customWidth="1"/>
    <col min="9731" max="9731" width="17.26953125" style="17" customWidth="1"/>
    <col min="9732" max="9732" width="11" style="17" customWidth="1"/>
    <col min="9733" max="9733" width="12" style="17" bestFit="1" customWidth="1"/>
    <col min="9734" max="9734" width="14.81640625" style="17" customWidth="1"/>
    <col min="9735" max="9984" width="11.453125" style="17"/>
    <col min="9985" max="9985" width="18.7265625" style="17" customWidth="1"/>
    <col min="9986" max="9986" width="13.7265625" style="17" bestFit="1" customWidth="1"/>
    <col min="9987" max="9987" width="17.26953125" style="17" customWidth="1"/>
    <col min="9988" max="9988" width="11" style="17" customWidth="1"/>
    <col min="9989" max="9989" width="12" style="17" bestFit="1" customWidth="1"/>
    <col min="9990" max="9990" width="14.81640625" style="17" customWidth="1"/>
    <col min="9991" max="10240" width="11.453125" style="17"/>
    <col min="10241" max="10241" width="18.7265625" style="17" customWidth="1"/>
    <col min="10242" max="10242" width="13.7265625" style="17" bestFit="1" customWidth="1"/>
    <col min="10243" max="10243" width="17.26953125" style="17" customWidth="1"/>
    <col min="10244" max="10244" width="11" style="17" customWidth="1"/>
    <col min="10245" max="10245" width="12" style="17" bestFit="1" customWidth="1"/>
    <col min="10246" max="10246" width="14.81640625" style="17" customWidth="1"/>
    <col min="10247" max="10496" width="11.453125" style="17"/>
    <col min="10497" max="10497" width="18.7265625" style="17" customWidth="1"/>
    <col min="10498" max="10498" width="13.7265625" style="17" bestFit="1" customWidth="1"/>
    <col min="10499" max="10499" width="17.26953125" style="17" customWidth="1"/>
    <col min="10500" max="10500" width="11" style="17" customWidth="1"/>
    <col min="10501" max="10501" width="12" style="17" bestFit="1" customWidth="1"/>
    <col min="10502" max="10502" width="14.81640625" style="17" customWidth="1"/>
    <col min="10503" max="10752" width="11.453125" style="17"/>
    <col min="10753" max="10753" width="18.7265625" style="17" customWidth="1"/>
    <col min="10754" max="10754" width="13.7265625" style="17" bestFit="1" customWidth="1"/>
    <col min="10755" max="10755" width="17.26953125" style="17" customWidth="1"/>
    <col min="10756" max="10756" width="11" style="17" customWidth="1"/>
    <col min="10757" max="10757" width="12" style="17" bestFit="1" customWidth="1"/>
    <col min="10758" max="10758" width="14.81640625" style="17" customWidth="1"/>
    <col min="10759" max="11008" width="11.453125" style="17"/>
    <col min="11009" max="11009" width="18.7265625" style="17" customWidth="1"/>
    <col min="11010" max="11010" width="13.7265625" style="17" bestFit="1" customWidth="1"/>
    <col min="11011" max="11011" width="17.26953125" style="17" customWidth="1"/>
    <col min="11012" max="11012" width="11" style="17" customWidth="1"/>
    <col min="11013" max="11013" width="12" style="17" bestFit="1" customWidth="1"/>
    <col min="11014" max="11014" width="14.81640625" style="17" customWidth="1"/>
    <col min="11015" max="11264" width="11.453125" style="17"/>
    <col min="11265" max="11265" width="18.7265625" style="17" customWidth="1"/>
    <col min="11266" max="11266" width="13.7265625" style="17" bestFit="1" customWidth="1"/>
    <col min="11267" max="11267" width="17.26953125" style="17" customWidth="1"/>
    <col min="11268" max="11268" width="11" style="17" customWidth="1"/>
    <col min="11269" max="11269" width="12" style="17" bestFit="1" customWidth="1"/>
    <col min="11270" max="11270" width="14.81640625" style="17" customWidth="1"/>
    <col min="11271" max="11520" width="11.453125" style="17"/>
    <col min="11521" max="11521" width="18.7265625" style="17" customWidth="1"/>
    <col min="11522" max="11522" width="13.7265625" style="17" bestFit="1" customWidth="1"/>
    <col min="11523" max="11523" width="17.26953125" style="17" customWidth="1"/>
    <col min="11524" max="11524" width="11" style="17" customWidth="1"/>
    <col min="11525" max="11525" width="12" style="17" bestFit="1" customWidth="1"/>
    <col min="11526" max="11526" width="14.81640625" style="17" customWidth="1"/>
    <col min="11527" max="11776" width="11.453125" style="17"/>
    <col min="11777" max="11777" width="18.7265625" style="17" customWidth="1"/>
    <col min="11778" max="11778" width="13.7265625" style="17" bestFit="1" customWidth="1"/>
    <col min="11779" max="11779" width="17.26953125" style="17" customWidth="1"/>
    <col min="11780" max="11780" width="11" style="17" customWidth="1"/>
    <col min="11781" max="11781" width="12" style="17" bestFit="1" customWidth="1"/>
    <col min="11782" max="11782" width="14.81640625" style="17" customWidth="1"/>
    <col min="11783" max="12032" width="11.453125" style="17"/>
    <col min="12033" max="12033" width="18.7265625" style="17" customWidth="1"/>
    <col min="12034" max="12034" width="13.7265625" style="17" bestFit="1" customWidth="1"/>
    <col min="12035" max="12035" width="17.26953125" style="17" customWidth="1"/>
    <col min="12036" max="12036" width="11" style="17" customWidth="1"/>
    <col min="12037" max="12037" width="12" style="17" bestFit="1" customWidth="1"/>
    <col min="12038" max="12038" width="14.81640625" style="17" customWidth="1"/>
    <col min="12039" max="12288" width="11.453125" style="17"/>
    <col min="12289" max="12289" width="18.7265625" style="17" customWidth="1"/>
    <col min="12290" max="12290" width="13.7265625" style="17" bestFit="1" customWidth="1"/>
    <col min="12291" max="12291" width="17.26953125" style="17" customWidth="1"/>
    <col min="12292" max="12292" width="11" style="17" customWidth="1"/>
    <col min="12293" max="12293" width="12" style="17" bestFit="1" customWidth="1"/>
    <col min="12294" max="12294" width="14.81640625" style="17" customWidth="1"/>
    <col min="12295" max="12544" width="11.453125" style="17"/>
    <col min="12545" max="12545" width="18.7265625" style="17" customWidth="1"/>
    <col min="12546" max="12546" width="13.7265625" style="17" bestFit="1" customWidth="1"/>
    <col min="12547" max="12547" width="17.26953125" style="17" customWidth="1"/>
    <col min="12548" max="12548" width="11" style="17" customWidth="1"/>
    <col min="12549" max="12549" width="12" style="17" bestFit="1" customWidth="1"/>
    <col min="12550" max="12550" width="14.81640625" style="17" customWidth="1"/>
    <col min="12551" max="12800" width="11.453125" style="17"/>
    <col min="12801" max="12801" width="18.7265625" style="17" customWidth="1"/>
    <col min="12802" max="12802" width="13.7265625" style="17" bestFit="1" customWidth="1"/>
    <col min="12803" max="12803" width="17.26953125" style="17" customWidth="1"/>
    <col min="12804" max="12804" width="11" style="17" customWidth="1"/>
    <col min="12805" max="12805" width="12" style="17" bestFit="1" customWidth="1"/>
    <col min="12806" max="12806" width="14.81640625" style="17" customWidth="1"/>
    <col min="12807" max="13056" width="11.453125" style="17"/>
    <col min="13057" max="13057" width="18.7265625" style="17" customWidth="1"/>
    <col min="13058" max="13058" width="13.7265625" style="17" bestFit="1" customWidth="1"/>
    <col min="13059" max="13059" width="17.26953125" style="17" customWidth="1"/>
    <col min="13060" max="13060" width="11" style="17" customWidth="1"/>
    <col min="13061" max="13061" width="12" style="17" bestFit="1" customWidth="1"/>
    <col min="13062" max="13062" width="14.81640625" style="17" customWidth="1"/>
    <col min="13063" max="13312" width="11.453125" style="17"/>
    <col min="13313" max="13313" width="18.7265625" style="17" customWidth="1"/>
    <col min="13314" max="13314" width="13.7265625" style="17" bestFit="1" customWidth="1"/>
    <col min="13315" max="13315" width="17.26953125" style="17" customWidth="1"/>
    <col min="13316" max="13316" width="11" style="17" customWidth="1"/>
    <col min="13317" max="13317" width="12" style="17" bestFit="1" customWidth="1"/>
    <col min="13318" max="13318" width="14.81640625" style="17" customWidth="1"/>
    <col min="13319" max="13568" width="11.453125" style="17"/>
    <col min="13569" max="13569" width="18.7265625" style="17" customWidth="1"/>
    <col min="13570" max="13570" width="13.7265625" style="17" bestFit="1" customWidth="1"/>
    <col min="13571" max="13571" width="17.26953125" style="17" customWidth="1"/>
    <col min="13572" max="13572" width="11" style="17" customWidth="1"/>
    <col min="13573" max="13573" width="12" style="17" bestFit="1" customWidth="1"/>
    <col min="13574" max="13574" width="14.81640625" style="17" customWidth="1"/>
    <col min="13575" max="13824" width="11.453125" style="17"/>
    <col min="13825" max="13825" width="18.7265625" style="17" customWidth="1"/>
    <col min="13826" max="13826" width="13.7265625" style="17" bestFit="1" customWidth="1"/>
    <col min="13827" max="13827" width="17.26953125" style="17" customWidth="1"/>
    <col min="13828" max="13828" width="11" style="17" customWidth="1"/>
    <col min="13829" max="13829" width="12" style="17" bestFit="1" customWidth="1"/>
    <col min="13830" max="13830" width="14.81640625" style="17" customWidth="1"/>
    <col min="13831" max="14080" width="11.453125" style="17"/>
    <col min="14081" max="14081" width="18.7265625" style="17" customWidth="1"/>
    <col min="14082" max="14082" width="13.7265625" style="17" bestFit="1" customWidth="1"/>
    <col min="14083" max="14083" width="17.26953125" style="17" customWidth="1"/>
    <col min="14084" max="14084" width="11" style="17" customWidth="1"/>
    <col min="14085" max="14085" width="12" style="17" bestFit="1" customWidth="1"/>
    <col min="14086" max="14086" width="14.81640625" style="17" customWidth="1"/>
    <col min="14087" max="14336" width="11.453125" style="17"/>
    <col min="14337" max="14337" width="18.7265625" style="17" customWidth="1"/>
    <col min="14338" max="14338" width="13.7265625" style="17" bestFit="1" customWidth="1"/>
    <col min="14339" max="14339" width="17.26953125" style="17" customWidth="1"/>
    <col min="14340" max="14340" width="11" style="17" customWidth="1"/>
    <col min="14341" max="14341" width="12" style="17" bestFit="1" customWidth="1"/>
    <col min="14342" max="14342" width="14.81640625" style="17" customWidth="1"/>
    <col min="14343" max="14592" width="11.453125" style="17"/>
    <col min="14593" max="14593" width="18.7265625" style="17" customWidth="1"/>
    <col min="14594" max="14594" width="13.7265625" style="17" bestFit="1" customWidth="1"/>
    <col min="14595" max="14595" width="17.26953125" style="17" customWidth="1"/>
    <col min="14596" max="14596" width="11" style="17" customWidth="1"/>
    <col min="14597" max="14597" width="12" style="17" bestFit="1" customWidth="1"/>
    <col min="14598" max="14598" width="14.81640625" style="17" customWidth="1"/>
    <col min="14599" max="14848" width="11.453125" style="17"/>
    <col min="14849" max="14849" width="18.7265625" style="17" customWidth="1"/>
    <col min="14850" max="14850" width="13.7265625" style="17" bestFit="1" customWidth="1"/>
    <col min="14851" max="14851" width="17.26953125" style="17" customWidth="1"/>
    <col min="14852" max="14852" width="11" style="17" customWidth="1"/>
    <col min="14853" max="14853" width="12" style="17" bestFit="1" customWidth="1"/>
    <col min="14854" max="14854" width="14.81640625" style="17" customWidth="1"/>
    <col min="14855" max="15104" width="11.453125" style="17"/>
    <col min="15105" max="15105" width="18.7265625" style="17" customWidth="1"/>
    <col min="15106" max="15106" width="13.7265625" style="17" bestFit="1" customWidth="1"/>
    <col min="15107" max="15107" width="17.26953125" style="17" customWidth="1"/>
    <col min="15108" max="15108" width="11" style="17" customWidth="1"/>
    <col min="15109" max="15109" width="12" style="17" bestFit="1" customWidth="1"/>
    <col min="15110" max="15110" width="14.81640625" style="17" customWidth="1"/>
    <col min="15111" max="15360" width="11.453125" style="17"/>
    <col min="15361" max="15361" width="18.7265625" style="17" customWidth="1"/>
    <col min="15362" max="15362" width="13.7265625" style="17" bestFit="1" customWidth="1"/>
    <col min="15363" max="15363" width="17.26953125" style="17" customWidth="1"/>
    <col min="15364" max="15364" width="11" style="17" customWidth="1"/>
    <col min="15365" max="15365" width="12" style="17" bestFit="1" customWidth="1"/>
    <col min="15366" max="15366" width="14.81640625" style="17" customWidth="1"/>
    <col min="15367" max="15616" width="11.453125" style="17"/>
    <col min="15617" max="15617" width="18.7265625" style="17" customWidth="1"/>
    <col min="15618" max="15618" width="13.7265625" style="17" bestFit="1" customWidth="1"/>
    <col min="15619" max="15619" width="17.26953125" style="17" customWidth="1"/>
    <col min="15620" max="15620" width="11" style="17" customWidth="1"/>
    <col min="15621" max="15621" width="12" style="17" bestFit="1" customWidth="1"/>
    <col min="15622" max="15622" width="14.81640625" style="17" customWidth="1"/>
    <col min="15623" max="15872" width="11.453125" style="17"/>
    <col min="15873" max="15873" width="18.7265625" style="17" customWidth="1"/>
    <col min="15874" max="15874" width="13.7265625" style="17" bestFit="1" customWidth="1"/>
    <col min="15875" max="15875" width="17.26953125" style="17" customWidth="1"/>
    <col min="15876" max="15876" width="11" style="17" customWidth="1"/>
    <col min="15877" max="15877" width="12" style="17" bestFit="1" customWidth="1"/>
    <col min="15878" max="15878" width="14.81640625" style="17" customWidth="1"/>
    <col min="15879" max="16128" width="11.453125" style="17"/>
    <col min="16129" max="16129" width="18.7265625" style="17" customWidth="1"/>
    <col min="16130" max="16130" width="13.7265625" style="17" bestFit="1" customWidth="1"/>
    <col min="16131" max="16131" width="17.26953125" style="17" customWidth="1"/>
    <col min="16132" max="16132" width="11" style="17" customWidth="1"/>
    <col min="16133" max="16133" width="12" style="17" bestFit="1" customWidth="1"/>
    <col min="16134" max="16134" width="14.81640625" style="17" customWidth="1"/>
    <col min="16135" max="16384" width="11.453125" style="17"/>
  </cols>
  <sheetData>
    <row r="2" spans="1:11" x14ac:dyDescent="0.25">
      <c r="A2" s="17" t="s">
        <v>70</v>
      </c>
      <c r="B2" s="63">
        <f>'pooled normalised values'!B75</f>
        <v>0.10038748006553395</v>
      </c>
      <c r="D2" s="17" t="s">
        <v>9</v>
      </c>
      <c r="E2" s="18"/>
      <c r="F2" s="19" t="str">
        <f>'pooled normalised values'!J74</f>
        <v>FAD-11µg/L</v>
      </c>
      <c r="G2" s="18"/>
      <c r="H2" s="20"/>
      <c r="I2" s="19" t="str">
        <f>'pooled normalised values'!R74</f>
        <v>FAD-5,4µg/L + Testostérone</v>
      </c>
      <c r="J2" s="20"/>
      <c r="K2" s="17" t="s">
        <v>9</v>
      </c>
    </row>
    <row r="3" spans="1:11" x14ac:dyDescent="0.25">
      <c r="A3" s="17" t="s">
        <v>71</v>
      </c>
      <c r="B3" s="63">
        <f>'summary results'!E6</f>
        <v>0</v>
      </c>
      <c r="D3" s="21" t="s">
        <v>10</v>
      </c>
      <c r="E3" s="22"/>
      <c r="F3" s="19">
        <f>HLOOKUP(F2,'pooled normalised values'!B74:V83,2,FALSE)</f>
        <v>0.12318641759912631</v>
      </c>
      <c r="G3" s="22"/>
      <c r="H3" s="20"/>
      <c r="I3" s="19">
        <f>HLOOKUP(I2,'pooled normalised values'!N74:AL83,2,FALSE)</f>
        <v>9.3450997154082671E-2</v>
      </c>
      <c r="J3" s="20"/>
      <c r="K3" s="21" t="s">
        <v>10</v>
      </c>
    </row>
    <row r="4" spans="1:11" x14ac:dyDescent="0.25">
      <c r="A4" s="17" t="s">
        <v>72</v>
      </c>
      <c r="B4" s="63">
        <f>'pooled normalised values'!O75</f>
        <v>1.0000000000000002</v>
      </c>
      <c r="D4" s="21" t="s">
        <v>2</v>
      </c>
      <c r="E4" s="22"/>
      <c r="F4" s="19">
        <f>HLOOKUP(F2,'pooled normalised values'!B74:V83,3,FALSE)</f>
        <v>1.5708614272673366E-2</v>
      </c>
      <c r="G4" s="22"/>
      <c r="H4" s="20"/>
      <c r="I4" s="19">
        <f>HLOOKUP(I2,'pooled normalised values'!N74:AL83,3,FALSE)</f>
        <v>1.0190309909861693E-2</v>
      </c>
      <c r="J4" s="20"/>
      <c r="K4" s="21" t="s">
        <v>2</v>
      </c>
    </row>
    <row r="5" spans="1:11" x14ac:dyDescent="0.25">
      <c r="A5" s="17" t="s">
        <v>73</v>
      </c>
      <c r="B5" s="63">
        <f>'pooled normalised values'!P75</f>
        <v>1.8210194807272813</v>
      </c>
      <c r="D5" s="23" t="s">
        <v>11</v>
      </c>
      <c r="E5" s="22"/>
      <c r="F5" s="19" t="str">
        <f>HLOOKUP(F2,'pooled normalised values'!B74:V83,10,FALSE)</f>
        <v>ns</v>
      </c>
      <c r="G5" s="22"/>
      <c r="H5" s="20"/>
      <c r="I5" s="19" t="str">
        <f>HLOOKUP(I2,'pooled normalised values'!N74:AL83,10,FALSE)</f>
        <v>***</v>
      </c>
      <c r="J5" s="20"/>
      <c r="K5" s="23" t="s">
        <v>11</v>
      </c>
    </row>
    <row r="6" spans="1:11" x14ac:dyDescent="0.25">
      <c r="A6" s="17" t="s">
        <v>74</v>
      </c>
      <c r="B6" s="63">
        <f>'pooled normalised values'!Q75</f>
        <v>9.0738879492618094E-2</v>
      </c>
      <c r="D6" s="21" t="s">
        <v>12</v>
      </c>
      <c r="E6" s="24">
        <f>$B$2</f>
        <v>0.10038748006553395</v>
      </c>
      <c r="F6" s="24">
        <f>$B$2</f>
        <v>0.10038748006553395</v>
      </c>
      <c r="G6" s="24">
        <f>$B$2</f>
        <v>0.10038748006553395</v>
      </c>
      <c r="H6" s="25"/>
      <c r="I6" s="25"/>
      <c r="J6" s="25"/>
      <c r="K6" s="21" t="s">
        <v>12</v>
      </c>
    </row>
    <row r="7" spans="1:11" x14ac:dyDescent="0.25">
      <c r="B7" s="26"/>
      <c r="D7" s="26" t="s">
        <v>13</v>
      </c>
      <c r="E7" s="24"/>
      <c r="F7" s="24"/>
      <c r="G7" s="27"/>
      <c r="H7" s="25">
        <f t="shared" ref="H7:J7" si="0">$B$4</f>
        <v>1.0000000000000002</v>
      </c>
      <c r="I7" s="25">
        <f t="shared" si="0"/>
        <v>1.0000000000000002</v>
      </c>
      <c r="J7" s="25">
        <f t="shared" si="0"/>
        <v>1.0000000000000002</v>
      </c>
      <c r="K7" s="26" t="s">
        <v>13</v>
      </c>
    </row>
    <row r="8" spans="1:11" x14ac:dyDescent="0.25">
      <c r="D8" s="28" t="s">
        <v>14</v>
      </c>
      <c r="E8" s="24">
        <v>0</v>
      </c>
      <c r="F8" s="24">
        <v>0</v>
      </c>
      <c r="G8" s="27">
        <v>0</v>
      </c>
      <c r="H8" s="25">
        <f>$B$6</f>
        <v>9.0738879492618094E-2</v>
      </c>
      <c r="I8" s="25">
        <f t="shared" ref="I8:J8" si="1">$B$6</f>
        <v>9.0738879492618094E-2</v>
      </c>
      <c r="J8" s="25">
        <f t="shared" si="1"/>
        <v>9.0738879492618094E-2</v>
      </c>
      <c r="K8" s="28" t="s">
        <v>14</v>
      </c>
    </row>
    <row r="9" spans="1:11" x14ac:dyDescent="0.25">
      <c r="D9" s="28" t="s">
        <v>15</v>
      </c>
      <c r="E9" s="29">
        <f>$B$3-E8</f>
        <v>0</v>
      </c>
      <c r="F9" s="29">
        <f>$B$3-F8</f>
        <v>0</v>
      </c>
      <c r="G9" s="29">
        <f>$B$3-G8</f>
        <v>0</v>
      </c>
      <c r="H9" s="25">
        <f>$B$5-H8</f>
        <v>1.7302806012346632</v>
      </c>
      <c r="I9" s="25">
        <f>$B$5-I8</f>
        <v>1.7302806012346632</v>
      </c>
      <c r="J9" s="25">
        <f>$B$5-J8</f>
        <v>1.7302806012346632</v>
      </c>
      <c r="K9" s="28" t="s">
        <v>15</v>
      </c>
    </row>
    <row r="10" spans="1:11" x14ac:dyDescent="0.25">
      <c r="D10" s="28" t="s">
        <v>16</v>
      </c>
      <c r="E10" s="27">
        <f t="shared" ref="E10:J10" si="2">2.5-E9</f>
        <v>2.5</v>
      </c>
      <c r="F10" s="27">
        <f t="shared" si="2"/>
        <v>2.5</v>
      </c>
      <c r="G10" s="27">
        <f t="shared" si="2"/>
        <v>2.5</v>
      </c>
      <c r="H10" s="25">
        <f t="shared" si="2"/>
        <v>0.76971939876533679</v>
      </c>
      <c r="I10" s="25">
        <f t="shared" si="2"/>
        <v>0.76971939876533679</v>
      </c>
      <c r="J10" s="25">
        <f t="shared" si="2"/>
        <v>0.76971939876533679</v>
      </c>
      <c r="K10" s="28" t="s">
        <v>16</v>
      </c>
    </row>
    <row r="17" spans="2:7" x14ac:dyDescent="0.25">
      <c r="C17" s="23"/>
      <c r="D17" s="23"/>
    </row>
    <row r="18" spans="2:7" x14ac:dyDescent="0.25">
      <c r="B18" s="30"/>
    </row>
    <row r="19" spans="2:7" x14ac:dyDescent="0.25">
      <c r="B19" s="30"/>
    </row>
    <row r="20" spans="2:7" x14ac:dyDescent="0.25">
      <c r="B20" s="31"/>
    </row>
    <row r="21" spans="2:7" x14ac:dyDescent="0.25">
      <c r="B21" s="30"/>
    </row>
    <row r="22" spans="2:7" x14ac:dyDescent="0.25">
      <c r="B22" s="30"/>
      <c r="G22" s="23"/>
    </row>
    <row r="23" spans="2:7" x14ac:dyDescent="0.25">
      <c r="B23" s="31"/>
      <c r="G23" s="23"/>
    </row>
    <row r="24" spans="2:7" x14ac:dyDescent="0.25">
      <c r="G24" s="23"/>
    </row>
  </sheetData>
  <pageMargins left="0.7" right="0.7" top="0.75" bottom="0.75" header="0.3" footer="0.3"/>
  <drawing r:id="rId1"/>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1000-000000000000}">
          <x14:formula1>
            <xm:f>'pooled normalised values'!$J$74:$M$74</xm:f>
          </x14:formula1>
          <xm:sqref>F2</xm:sqref>
        </x14:dataValidation>
        <x14:dataValidation type="list" allowBlank="1" showInputMessage="1" showErrorMessage="1" xr:uid="{00000000-0002-0000-1000-000001000000}">
          <x14:formula1>
            <xm:f>'pooled normalised values'!$R$74:$V$74</xm:f>
          </x14:formula1>
          <xm:sqref>I2</xm:sqref>
        </x14:dataValidation>
      </x14:dataValidations>
    </ext>
  </extLst>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W15"/>
  <sheetViews>
    <sheetView showGridLines="0" topLeftCell="N1" zoomScale="85" zoomScaleNormal="85" workbookViewId="0">
      <selection activeCell="U3" sqref="U3"/>
    </sheetView>
  </sheetViews>
  <sheetFormatPr baseColWidth="10" defaultRowHeight="14.5" x14ac:dyDescent="0.35"/>
  <cols>
    <col min="1" max="1" width="11.453125" style="1"/>
    <col min="3" max="3" width="15.26953125" customWidth="1"/>
    <col min="4" max="4" width="13.7265625" customWidth="1"/>
    <col min="5" max="5" width="18.26953125" customWidth="1"/>
    <col min="6" max="6" width="14" customWidth="1"/>
    <col min="7" max="7" width="14.453125" customWidth="1"/>
    <col min="8" max="8" width="14.26953125" customWidth="1"/>
    <col min="9" max="9" width="17" customWidth="1"/>
    <col min="10" max="10" width="12.54296875" customWidth="1"/>
    <col min="11" max="11" width="13.1796875" customWidth="1"/>
    <col min="12" max="12" width="15.7265625" customWidth="1"/>
    <col min="13" max="14" width="16.1796875" customWidth="1"/>
    <col min="17" max="23" width="9.7265625" customWidth="1"/>
  </cols>
  <sheetData>
    <row r="1" spans="1:23" ht="29.5" thickBot="1" x14ac:dyDescent="0.4">
      <c r="A1" s="147" t="s">
        <v>102</v>
      </c>
      <c r="B1" s="147" t="s">
        <v>103</v>
      </c>
      <c r="C1" s="144" t="s">
        <v>86</v>
      </c>
      <c r="D1" s="144" t="s">
        <v>87</v>
      </c>
      <c r="E1" s="145" t="s">
        <v>88</v>
      </c>
      <c r="F1" s="145" t="s">
        <v>89</v>
      </c>
      <c r="G1" s="144" t="s">
        <v>90</v>
      </c>
      <c r="H1" s="144" t="s">
        <v>91</v>
      </c>
      <c r="I1" s="144" t="s">
        <v>92</v>
      </c>
      <c r="J1" s="144" t="s">
        <v>93</v>
      </c>
      <c r="K1" s="144" t="s">
        <v>94</v>
      </c>
      <c r="L1" s="144" t="s">
        <v>95</v>
      </c>
      <c r="M1" s="144" t="s">
        <v>96</v>
      </c>
      <c r="N1" s="144" t="s">
        <v>97</v>
      </c>
      <c r="Q1" s="234" t="s">
        <v>99</v>
      </c>
      <c r="R1" s="234"/>
      <c r="S1" s="234"/>
      <c r="U1" s="234" t="s">
        <v>98</v>
      </c>
      <c r="V1" s="234"/>
      <c r="W1" s="234"/>
    </row>
    <row r="2" spans="1:23" x14ac:dyDescent="0.35">
      <c r="A2" s="1" t="str">
        <f>Q6</f>
        <v xml:space="preserve"> </v>
      </c>
      <c r="B2" t="str">
        <f t="shared" ref="B2:B3" si="0">U6</f>
        <v>0-00 + Testostérone</v>
      </c>
      <c r="D2" t="str">
        <f>CONCATENATE(VLOOKUP(Tableau3[[#This Row],[Nom ND]],liste_groupe[],3,FALSE),VLOOKUP(Tableau3[[#This Row],[Nom ND]],liste_groupe[],4,FALSE))</f>
        <v/>
      </c>
      <c r="E2" t="e">
        <f>HLOOKUP(Tableau3[[#This Row],[Nom ND]],'pooled normalised values'!$B$74:$V$83,4,FALSE)</f>
        <v>#N/A</v>
      </c>
      <c r="F2" s="1" t="e">
        <f>HLOOKUP(Tableau3[[#This Row],[Nom ND]],'pooled normalised values'!$B$74:$V$83,8,FALSE)</f>
        <v>#N/A</v>
      </c>
      <c r="G2" t="e">
        <f>VLOOKUP(Tableau3[[#This Row],[Nom ND]],'summary results'!$A$6:$N$26,9,FALSE)</f>
        <v>#N/A</v>
      </c>
      <c r="H2" s="1" t="e">
        <f>VLOOKUP(Tableau3[[#This Row],[Nom ND]],'summary results'!$A$6:$N$26,11,FALSE)</f>
        <v>#N/A</v>
      </c>
      <c r="I2" s="1" t="e">
        <f>HLOOKUP(Tableau3[[#This Row],[Nom D]],'pooled normalised values'!$B$74:$V$83,4,FALSE)</f>
        <v>#N/A</v>
      </c>
      <c r="J2" s="1" t="e">
        <f>HLOOKUP(Tableau3[[#This Row],[Nom D]],'pooled normalised values'!$B$74:$V$83,8,FALSE)</f>
        <v>#N/A</v>
      </c>
      <c r="K2" s="1" t="e">
        <f>VLOOKUP(Tableau3[[#This Row],[Nom D]],'summary results'!$A$29:$N$51,9,FALSE)</f>
        <v>#N/A</v>
      </c>
      <c r="L2" s="1" t="e">
        <f>VLOOKUP(Tableau3[[#This Row],[Nom D]],'summary results'!$A$29:$N$51,11,FALSE)</f>
        <v>#N/A</v>
      </c>
      <c r="M2" t="e">
        <f>'summary results'!$G$30</f>
        <v>#NUM!</v>
      </c>
      <c r="N2" t="e">
        <f>'summary results'!$G$31</f>
        <v>#NUM!</v>
      </c>
      <c r="Q2" s="119" t="s">
        <v>7</v>
      </c>
      <c r="R2" s="1" t="s">
        <v>131</v>
      </c>
      <c r="U2" s="119" t="s">
        <v>7</v>
      </c>
      <c r="V2" s="1" t="s">
        <v>131</v>
      </c>
    </row>
    <row r="3" spans="1:23" x14ac:dyDescent="0.35">
      <c r="A3" s="1" t="str">
        <f>Q7</f>
        <v>(vide)</v>
      </c>
      <c r="B3">
        <f t="shared" si="0"/>
        <v>0</v>
      </c>
      <c r="D3" t="e">
        <f>CONCATENATE(VLOOKUP(Tableau3[[#This Row],[Nom ND]],liste_groupe[],3,FALSE),VLOOKUP(Tableau3[[#This Row],[Nom ND]],liste_groupe[],4,FALSE))</f>
        <v>#N/A</v>
      </c>
      <c r="E3" t="e">
        <f>HLOOKUP(Tableau3[[#This Row],[Nom ND]],'pooled normalised values'!$B$74:$V$83,4,FALSE)</f>
        <v>#N/A</v>
      </c>
      <c r="F3" t="e">
        <f>HLOOKUP(Tableau3[[#This Row],[Nom ND]],'pooled normalised values'!$B$74:$V$83,8,FALSE)</f>
        <v>#N/A</v>
      </c>
      <c r="G3" t="e">
        <f>VLOOKUP(Tableau3[[#This Row],[Nom ND]],'summary results'!$A$6:$N$26,9,FALSE)</f>
        <v>#N/A</v>
      </c>
      <c r="H3" t="e">
        <f>VLOOKUP(Tableau3[[#This Row],[Nom ND]],'summary results'!$A$6:$N$26,11,FALSE)</f>
        <v>#N/A</v>
      </c>
      <c r="I3" t="e">
        <f>HLOOKUP(Tableau3[[#This Row],[Nom D]],'pooled normalised values'!$B$74:$V$83,4,FALSE)</f>
        <v>#N/A</v>
      </c>
      <c r="J3" t="e">
        <f>HLOOKUP(Tableau3[[#This Row],[Nom D]],'pooled normalised values'!$B$74:$V$83,8,FALSE)</f>
        <v>#N/A</v>
      </c>
      <c r="K3" t="e">
        <f>VLOOKUP(Tableau3[[#This Row],[Nom D]],'summary results'!$A$29:$N$51,9,FALSE)</f>
        <v>#N/A</v>
      </c>
      <c r="L3" t="e">
        <f>VLOOKUP(Tableau3[[#This Row],[Nom D]],'summary results'!$A$29:$N$51,11,FALSE)</f>
        <v>#N/A</v>
      </c>
      <c r="M3" s="1" t="e">
        <f>'summary results'!$G$30</f>
        <v>#NUM!</v>
      </c>
      <c r="N3" s="1" t="e">
        <f>'summary results'!$G$31</f>
        <v>#NUM!</v>
      </c>
      <c r="Q3" s="119" t="s">
        <v>78</v>
      </c>
      <c r="R3" s="1" t="s">
        <v>106</v>
      </c>
      <c r="U3" s="119" t="s">
        <v>78</v>
      </c>
      <c r="V3" s="1" t="s">
        <v>50</v>
      </c>
    </row>
    <row r="4" spans="1:23" x14ac:dyDescent="0.35">
      <c r="A4" s="1">
        <f t="shared" ref="A4:A15" si="1">Q8</f>
        <v>0</v>
      </c>
      <c r="B4" s="44">
        <f t="shared" ref="B4:B15" si="2">U8</f>
        <v>0</v>
      </c>
      <c r="D4" s="44" t="e">
        <f>CONCATENATE(VLOOKUP(Tableau3[[#This Row],[Nom ND]],liste_groupe[],3,FALSE),VLOOKUP(Tableau3[[#This Row],[Nom ND]],liste_groupe[],4,FALSE))</f>
        <v>#N/A</v>
      </c>
      <c r="E4" s="44" t="e">
        <f>HLOOKUP(Tableau3[[#This Row],[Nom ND]],'pooled normalised values'!$B$74:$V$83,4,FALSE)</f>
        <v>#N/A</v>
      </c>
      <c r="F4" s="44" t="e">
        <f>HLOOKUP(Tableau3[[#This Row],[Nom ND]],'pooled normalised values'!$B$74:$V$83,8,FALSE)</f>
        <v>#N/A</v>
      </c>
      <c r="G4" s="44" t="e">
        <f>VLOOKUP(Tableau3[[#This Row],[Nom ND]],'summary results'!$A$6:$N$26,9,FALSE)</f>
        <v>#N/A</v>
      </c>
      <c r="H4" s="44" t="e">
        <f>VLOOKUP(Tableau3[[#This Row],[Nom ND]],'summary results'!$A$6:$N$26,11,FALSE)</f>
        <v>#N/A</v>
      </c>
      <c r="I4" s="44" t="e">
        <f>HLOOKUP(Tableau3[[#This Row],[Nom D]],'pooled normalised values'!$B$74:$V$83,4,FALSE)</f>
        <v>#N/A</v>
      </c>
      <c r="J4" s="44" t="e">
        <f>HLOOKUP(Tableau3[[#This Row],[Nom D]],'pooled normalised values'!$B$74:$V$83,8,FALSE)</f>
        <v>#N/A</v>
      </c>
      <c r="K4" s="44" t="e">
        <f>VLOOKUP(Tableau3[[#This Row],[Nom D]],'summary results'!$A$29:$N$51,9,FALSE)</f>
        <v>#N/A</v>
      </c>
      <c r="L4" s="44" t="e">
        <f>VLOOKUP(Tableau3[[#This Row],[Nom D]],'summary results'!$A$29:$N$51,11,FALSE)</f>
        <v>#N/A</v>
      </c>
      <c r="M4" t="e">
        <f>'summary results'!$G$30</f>
        <v>#NUM!</v>
      </c>
      <c r="N4" t="e">
        <f>'summary results'!$G$31</f>
        <v>#NUM!</v>
      </c>
    </row>
    <row r="5" spans="1:23" x14ac:dyDescent="0.35">
      <c r="A5" s="1">
        <f t="shared" si="1"/>
        <v>0</v>
      </c>
      <c r="B5" s="44">
        <f t="shared" si="2"/>
        <v>0</v>
      </c>
      <c r="D5" s="44" t="e">
        <f>CONCATENATE(VLOOKUP(Tableau3[[#This Row],[Nom ND]],liste_groupe[],3,FALSE),VLOOKUP(Tableau3[[#This Row],[Nom ND]],liste_groupe[],4,FALSE))</f>
        <v>#N/A</v>
      </c>
      <c r="E5" s="44" t="e">
        <f>HLOOKUP(Tableau3[[#This Row],[Nom ND]],'pooled normalised values'!$B$74:$V$83,4,FALSE)</f>
        <v>#N/A</v>
      </c>
      <c r="F5" s="44" t="e">
        <f>HLOOKUP(Tableau3[[#This Row],[Nom ND]],'pooled normalised values'!$B$74:$V$83,8,FALSE)</f>
        <v>#N/A</v>
      </c>
      <c r="G5" s="44" t="e">
        <f>VLOOKUP(Tableau3[[#This Row],[Nom ND]],'summary results'!$A$6:$N$26,9,FALSE)</f>
        <v>#N/A</v>
      </c>
      <c r="H5" s="44" t="e">
        <f>VLOOKUP(Tableau3[[#This Row],[Nom ND]],'summary results'!$A$6:$N$26,11,FALSE)</f>
        <v>#N/A</v>
      </c>
      <c r="I5" s="44" t="e">
        <f>HLOOKUP(Tableau3[[#This Row],[Nom D]],'pooled normalised values'!$B$74:$V$83,4,FALSE)</f>
        <v>#N/A</v>
      </c>
      <c r="J5" s="44" t="e">
        <f>HLOOKUP(Tableau3[[#This Row],[Nom D]],'pooled normalised values'!$B$74:$V$83,8,FALSE)</f>
        <v>#N/A</v>
      </c>
      <c r="K5" s="44" t="e">
        <f>VLOOKUP(Tableau3[[#This Row],[Nom D]],'summary results'!$A$29:$N$51,9,FALSE)</f>
        <v>#N/A</v>
      </c>
      <c r="L5" s="44" t="e">
        <f>VLOOKUP(Tableau3[[#This Row],[Nom D]],'summary results'!$A$29:$N$51,11,FALSE)</f>
        <v>#N/A</v>
      </c>
      <c r="M5" t="e">
        <f>'summary results'!$G$30</f>
        <v>#NUM!</v>
      </c>
      <c r="N5" t="e">
        <f>'summary results'!$G$31</f>
        <v>#NUM!</v>
      </c>
      <c r="Q5" s="119" t="s">
        <v>100</v>
      </c>
      <c r="U5" s="119" t="s">
        <v>100</v>
      </c>
    </row>
    <row r="6" spans="1:23" x14ac:dyDescent="0.35">
      <c r="A6" s="1">
        <f t="shared" si="1"/>
        <v>0</v>
      </c>
      <c r="B6" s="44">
        <f t="shared" si="2"/>
        <v>0</v>
      </c>
      <c r="D6" s="44" t="e">
        <f>CONCATENATE(VLOOKUP(Tableau3[[#This Row],[Nom ND]],liste_groupe[],3,FALSE),VLOOKUP(Tableau3[[#This Row],[Nom ND]],liste_groupe[],4,FALSE))</f>
        <v>#N/A</v>
      </c>
      <c r="E6" s="44" t="e">
        <f>HLOOKUP(Tableau3[[#This Row],[Nom ND]],'pooled normalised values'!$B$74:$V$83,4,FALSE)</f>
        <v>#N/A</v>
      </c>
      <c r="F6" s="44" t="e">
        <f>HLOOKUP(Tableau3[[#This Row],[Nom ND]],'pooled normalised values'!$B$74:$V$83,8,FALSE)</f>
        <v>#N/A</v>
      </c>
      <c r="G6" s="44" t="e">
        <f>VLOOKUP(Tableau3[[#This Row],[Nom ND]],'summary results'!$A$6:$N$26,9,FALSE)</f>
        <v>#N/A</v>
      </c>
      <c r="H6" s="44" t="e">
        <f>VLOOKUP(Tableau3[[#This Row],[Nom ND]],'summary results'!$A$6:$N$26,11,FALSE)</f>
        <v>#N/A</v>
      </c>
      <c r="I6" s="44" t="e">
        <f>HLOOKUP(Tableau3[[#This Row],[Nom D]],'pooled normalised values'!$B$74:$V$83,4,FALSE)</f>
        <v>#N/A</v>
      </c>
      <c r="J6" s="44" t="e">
        <f>HLOOKUP(Tableau3[[#This Row],[Nom D]],'pooled normalised values'!$B$74:$V$83,8,FALSE)</f>
        <v>#N/A</v>
      </c>
      <c r="K6" s="44" t="e">
        <f>VLOOKUP(Tableau3[[#This Row],[Nom D]],'summary results'!$A$29:$N$51,9,FALSE)</f>
        <v>#N/A</v>
      </c>
      <c r="L6" s="44" t="e">
        <f>VLOOKUP(Tableau3[[#This Row],[Nom D]],'summary results'!$A$29:$N$51,11,FALSE)</f>
        <v>#N/A</v>
      </c>
      <c r="M6" t="e">
        <f>'summary results'!$G$30</f>
        <v>#NUM!</v>
      </c>
      <c r="N6" t="e">
        <f>'summary results'!$G$31</f>
        <v>#NUM!</v>
      </c>
      <c r="Q6" s="146" t="s">
        <v>112</v>
      </c>
      <c r="U6" s="146" t="s">
        <v>101</v>
      </c>
    </row>
    <row r="7" spans="1:23" x14ac:dyDescent="0.35">
      <c r="A7" s="1">
        <f t="shared" si="1"/>
        <v>0</v>
      </c>
      <c r="B7" s="44">
        <f t="shared" si="2"/>
        <v>0</v>
      </c>
      <c r="D7" s="44" t="e">
        <f>CONCATENATE(VLOOKUP(Tableau3[[#This Row],[Nom ND]],liste_groupe[],3,FALSE),VLOOKUP(Tableau3[[#This Row],[Nom ND]],liste_groupe[],4,FALSE))</f>
        <v>#N/A</v>
      </c>
      <c r="E7" s="44" t="e">
        <f>HLOOKUP(Tableau3[[#This Row],[Nom ND]],'pooled normalised values'!$B$74:$V$83,4,FALSE)</f>
        <v>#N/A</v>
      </c>
      <c r="F7" s="44" t="e">
        <f>HLOOKUP(Tableau3[[#This Row],[Nom ND]],'pooled normalised values'!$B$74:$V$83,8,FALSE)</f>
        <v>#N/A</v>
      </c>
      <c r="G7" s="44" t="e">
        <f>VLOOKUP(Tableau3[[#This Row],[Nom ND]],'summary results'!$A$6:$N$26,9,FALSE)</f>
        <v>#N/A</v>
      </c>
      <c r="H7" s="44" t="e">
        <f>VLOOKUP(Tableau3[[#This Row],[Nom ND]],'summary results'!$A$6:$N$26,11,FALSE)</f>
        <v>#N/A</v>
      </c>
      <c r="I7" s="44" t="e">
        <f>HLOOKUP(Tableau3[[#This Row],[Nom D]],'pooled normalised values'!$B$74:$V$83,4,FALSE)</f>
        <v>#N/A</v>
      </c>
      <c r="J7" s="44" t="e">
        <f>HLOOKUP(Tableau3[[#This Row],[Nom D]],'pooled normalised values'!$B$74:$V$83,8,FALSE)</f>
        <v>#N/A</v>
      </c>
      <c r="K7" s="44" t="e">
        <f>VLOOKUP(Tableau3[[#This Row],[Nom D]],'summary results'!$A$29:$N$51,9,FALSE)</f>
        <v>#N/A</v>
      </c>
      <c r="L7" s="44" t="e">
        <f>VLOOKUP(Tableau3[[#This Row],[Nom D]],'summary results'!$A$29:$N$51,11,FALSE)</f>
        <v>#N/A</v>
      </c>
      <c r="M7" t="e">
        <f>'summary results'!$G$30</f>
        <v>#NUM!</v>
      </c>
      <c r="N7" t="e">
        <f>'summary results'!$G$31</f>
        <v>#NUM!</v>
      </c>
      <c r="Q7" s="146" t="s">
        <v>106</v>
      </c>
    </row>
    <row r="8" spans="1:23" x14ac:dyDescent="0.35">
      <c r="A8" s="1">
        <f t="shared" si="1"/>
        <v>0</v>
      </c>
      <c r="B8" s="44">
        <f t="shared" si="2"/>
        <v>0</v>
      </c>
      <c r="D8" s="44" t="e">
        <f>CONCATENATE(VLOOKUP(Tableau3[[#This Row],[Nom ND]],liste_groupe[],3,FALSE),VLOOKUP(Tableau3[[#This Row],[Nom ND]],liste_groupe[],4,FALSE))</f>
        <v>#N/A</v>
      </c>
      <c r="E8" s="148" t="e">
        <f>HLOOKUP(Tableau3[[#This Row],[Nom ND]],'pooled normalised values'!$B$74:$V$83,4,FALSE)</f>
        <v>#N/A</v>
      </c>
      <c r="F8" s="44" t="e">
        <f>HLOOKUP(Tableau3[[#This Row],[Nom ND]],'pooled normalised values'!$B$74:$V$83,8,FALSE)</f>
        <v>#N/A</v>
      </c>
      <c r="G8" s="44" t="e">
        <f>VLOOKUP(Tableau3[[#This Row],[Nom ND]],'summary results'!$A$6:$N$26,9,FALSE)</f>
        <v>#N/A</v>
      </c>
      <c r="H8" s="44" t="e">
        <f>VLOOKUP(Tableau3[[#This Row],[Nom ND]],'summary results'!$A$6:$N$26,11,FALSE)</f>
        <v>#N/A</v>
      </c>
      <c r="I8" s="44" t="e">
        <f>HLOOKUP(Tableau3[[#This Row],[Nom D]],'pooled normalised values'!$B$74:$V$83,4,FALSE)</f>
        <v>#N/A</v>
      </c>
      <c r="J8" s="44" t="e">
        <f>HLOOKUP(Tableau3[[#This Row],[Nom D]],'pooled normalised values'!$B$74:$V$83,8,FALSE)</f>
        <v>#N/A</v>
      </c>
      <c r="K8" s="44" t="e">
        <f>VLOOKUP(Tableau3[[#This Row],[Nom D]],'summary results'!$A$29:$N$51,9,FALSE)</f>
        <v>#N/A</v>
      </c>
      <c r="L8" s="44" t="e">
        <f>VLOOKUP(Tableau3[[#This Row],[Nom D]],'summary results'!$A$29:$N$51,11,FALSE)</f>
        <v>#N/A</v>
      </c>
      <c r="M8" t="e">
        <f>'summary results'!$G$30</f>
        <v>#NUM!</v>
      </c>
      <c r="N8" t="e">
        <f>'summary results'!$G$31</f>
        <v>#NUM!</v>
      </c>
    </row>
    <row r="9" spans="1:23" x14ac:dyDescent="0.35">
      <c r="A9" s="1">
        <f t="shared" si="1"/>
        <v>0</v>
      </c>
      <c r="B9" s="44">
        <f t="shared" si="2"/>
        <v>0</v>
      </c>
      <c r="D9" s="44" t="e">
        <f>CONCATENATE(VLOOKUP(Tableau3[[#This Row],[Nom ND]],liste_groupe[],3,FALSE),VLOOKUP(Tableau3[[#This Row],[Nom ND]],liste_groupe[],4,FALSE))</f>
        <v>#N/A</v>
      </c>
      <c r="E9" s="44" t="e">
        <f>HLOOKUP(Tableau3[[#This Row],[Nom ND]],'pooled normalised values'!$B$74:$V$83,4,FALSE)</f>
        <v>#N/A</v>
      </c>
      <c r="F9" s="44" t="e">
        <f>HLOOKUP(Tableau3[[#This Row],[Nom ND]],'pooled normalised values'!$B$74:$V$83,8,FALSE)</f>
        <v>#N/A</v>
      </c>
      <c r="G9" s="44" t="e">
        <f>VLOOKUP(Tableau3[[#This Row],[Nom ND]],'summary results'!$A$6:$N$26,9,FALSE)</f>
        <v>#N/A</v>
      </c>
      <c r="H9" s="44" t="e">
        <f>VLOOKUP(Tableau3[[#This Row],[Nom ND]],'summary results'!$A$6:$N$26,11,FALSE)</f>
        <v>#N/A</v>
      </c>
      <c r="I9" s="44" t="e">
        <f>HLOOKUP(Tableau3[[#This Row],[Nom D]],'pooled normalised values'!$B$74:$V$83,4,FALSE)</f>
        <v>#N/A</v>
      </c>
      <c r="J9" s="44" t="e">
        <f>HLOOKUP(Tableau3[[#This Row],[Nom D]],'pooled normalised values'!$B$74:$V$83,8,FALSE)</f>
        <v>#N/A</v>
      </c>
      <c r="K9" s="44" t="e">
        <f>VLOOKUP(Tableau3[[#This Row],[Nom D]],'summary results'!$A$29:$N$51,9,FALSE)</f>
        <v>#N/A</v>
      </c>
      <c r="L9" s="44" t="e">
        <f>VLOOKUP(Tableau3[[#This Row],[Nom D]],'summary results'!$A$29:$N$51,11,FALSE)</f>
        <v>#N/A</v>
      </c>
      <c r="M9" t="e">
        <f>'summary results'!$G$30</f>
        <v>#NUM!</v>
      </c>
      <c r="N9" t="e">
        <f>'summary results'!$G$31</f>
        <v>#NUM!</v>
      </c>
    </row>
    <row r="10" spans="1:23" x14ac:dyDescent="0.35">
      <c r="A10" s="1">
        <f t="shared" si="1"/>
        <v>0</v>
      </c>
      <c r="B10" s="44">
        <f t="shared" si="2"/>
        <v>0</v>
      </c>
      <c r="D10" s="44" t="e">
        <f>CONCATENATE(VLOOKUP(Tableau3[[#This Row],[Nom ND]],liste_groupe[],3,FALSE),VLOOKUP(Tableau3[[#This Row],[Nom ND]],liste_groupe[],4,FALSE))</f>
        <v>#N/A</v>
      </c>
      <c r="E10" s="44" t="e">
        <f>HLOOKUP(Tableau3[[#This Row],[Nom ND]],'pooled normalised values'!$B$74:$V$83,4,FALSE)</f>
        <v>#N/A</v>
      </c>
      <c r="F10" s="44" t="e">
        <f>HLOOKUP(Tableau3[[#This Row],[Nom ND]],'pooled normalised values'!$B$74:$V$83,8,FALSE)</f>
        <v>#N/A</v>
      </c>
      <c r="G10" s="44" t="e">
        <f>VLOOKUP(Tableau3[[#This Row],[Nom ND]],'summary results'!$A$6:$N$26,9,FALSE)</f>
        <v>#N/A</v>
      </c>
      <c r="H10" s="44" t="e">
        <f>VLOOKUP(Tableau3[[#This Row],[Nom ND]],'summary results'!$A$6:$N$26,11,FALSE)</f>
        <v>#N/A</v>
      </c>
      <c r="I10" s="44" t="e">
        <f>HLOOKUP(Tableau3[[#This Row],[Nom D]],'pooled normalised values'!$B$74:$V$83,4,FALSE)</f>
        <v>#N/A</v>
      </c>
      <c r="J10" s="44" t="e">
        <f>HLOOKUP(Tableau3[[#This Row],[Nom D]],'pooled normalised values'!$B$74:$V$83,8,FALSE)</f>
        <v>#N/A</v>
      </c>
      <c r="K10" s="44" t="e">
        <f>VLOOKUP(Tableau3[[#This Row],[Nom D]],'summary results'!$A$29:$N$51,9,FALSE)</f>
        <v>#N/A</v>
      </c>
      <c r="L10" s="44" t="e">
        <f>VLOOKUP(Tableau3[[#This Row],[Nom D]],'summary results'!$A$29:$N$51,11,FALSE)</f>
        <v>#N/A</v>
      </c>
      <c r="M10" t="e">
        <f>'summary results'!$G$30</f>
        <v>#NUM!</v>
      </c>
      <c r="N10" t="e">
        <f>'summary results'!$G$31</f>
        <v>#NUM!</v>
      </c>
    </row>
    <row r="11" spans="1:23" x14ac:dyDescent="0.35">
      <c r="A11" s="1">
        <f t="shared" si="1"/>
        <v>0</v>
      </c>
      <c r="B11" s="44">
        <f t="shared" si="2"/>
        <v>0</v>
      </c>
      <c r="D11" s="44" t="e">
        <f>CONCATENATE(VLOOKUP(Tableau3[[#This Row],[Nom ND]],liste_groupe[],3,FALSE),VLOOKUP(Tableau3[[#This Row],[Nom ND]],liste_groupe[],4,FALSE))</f>
        <v>#N/A</v>
      </c>
      <c r="E11" s="44" t="e">
        <f>HLOOKUP(Tableau3[[#This Row],[Nom ND]],'pooled normalised values'!$B$74:$V$83,4,FALSE)</f>
        <v>#N/A</v>
      </c>
      <c r="F11" s="44" t="e">
        <f>HLOOKUP(Tableau3[[#This Row],[Nom ND]],'pooled normalised values'!$B$74:$V$83,8,FALSE)</f>
        <v>#N/A</v>
      </c>
      <c r="G11" s="44" t="e">
        <f>VLOOKUP(Tableau3[[#This Row],[Nom ND]],'summary results'!$A$6:$N$26,9,FALSE)</f>
        <v>#N/A</v>
      </c>
      <c r="H11" s="44" t="e">
        <f>VLOOKUP(Tableau3[[#This Row],[Nom ND]],'summary results'!$A$6:$N$26,11,FALSE)</f>
        <v>#N/A</v>
      </c>
      <c r="I11" s="44" t="e">
        <f>HLOOKUP(Tableau3[[#This Row],[Nom D]],'pooled normalised values'!$B$74:$V$83,4,FALSE)</f>
        <v>#N/A</v>
      </c>
      <c r="J11" s="44" t="e">
        <f>HLOOKUP(Tableau3[[#This Row],[Nom D]],'pooled normalised values'!$B$74:$V$83,8,FALSE)</f>
        <v>#N/A</v>
      </c>
      <c r="K11" s="44" t="e">
        <f>VLOOKUP(Tableau3[[#This Row],[Nom D]],'summary results'!$A$29:$N$51,9,FALSE)</f>
        <v>#N/A</v>
      </c>
      <c r="L11" s="44" t="e">
        <f>VLOOKUP(Tableau3[[#This Row],[Nom D]],'summary results'!$A$29:$N$51,11,FALSE)</f>
        <v>#N/A</v>
      </c>
      <c r="M11" t="e">
        <f>'summary results'!$G$30</f>
        <v>#NUM!</v>
      </c>
      <c r="N11" t="e">
        <f>'summary results'!$G$31</f>
        <v>#NUM!</v>
      </c>
    </row>
    <row r="12" spans="1:23" x14ac:dyDescent="0.35">
      <c r="A12" s="1">
        <f t="shared" si="1"/>
        <v>0</v>
      </c>
      <c r="B12" s="44">
        <f t="shared" si="2"/>
        <v>0</v>
      </c>
      <c r="D12" s="44" t="e">
        <f>CONCATENATE(VLOOKUP(Tableau3[[#This Row],[Nom ND]],liste_groupe[],3,FALSE),VLOOKUP(Tableau3[[#This Row],[Nom ND]],liste_groupe[],4,FALSE))</f>
        <v>#N/A</v>
      </c>
      <c r="E12" s="44" t="e">
        <f>HLOOKUP(Tableau3[[#This Row],[Nom ND]],'pooled normalised values'!$B$74:$V$83,4,FALSE)</f>
        <v>#N/A</v>
      </c>
      <c r="F12" s="44" t="e">
        <f>HLOOKUP(Tableau3[[#This Row],[Nom ND]],'pooled normalised values'!$B$74:$V$83,8,FALSE)</f>
        <v>#N/A</v>
      </c>
      <c r="G12" s="44" t="e">
        <f>VLOOKUP(Tableau3[[#This Row],[Nom ND]],'summary results'!$A$6:$N$26,9,FALSE)</f>
        <v>#N/A</v>
      </c>
      <c r="H12" s="44" t="e">
        <f>VLOOKUP(Tableau3[[#This Row],[Nom ND]],'summary results'!$A$6:$N$26,11,FALSE)</f>
        <v>#N/A</v>
      </c>
      <c r="I12" s="44" t="e">
        <f>HLOOKUP(Tableau3[[#This Row],[Nom D]],'pooled normalised values'!$B$74:$V$83,4,FALSE)</f>
        <v>#N/A</v>
      </c>
      <c r="J12" s="44" t="e">
        <f>HLOOKUP(Tableau3[[#This Row],[Nom D]],'pooled normalised values'!$B$74:$V$83,8,FALSE)</f>
        <v>#N/A</v>
      </c>
      <c r="K12" s="44" t="e">
        <f>VLOOKUP(Tableau3[[#This Row],[Nom D]],'summary results'!$A$29:$N$51,9,FALSE)</f>
        <v>#N/A</v>
      </c>
      <c r="L12" s="44" t="e">
        <f>VLOOKUP(Tableau3[[#This Row],[Nom D]],'summary results'!$A$29:$N$51,11,FALSE)</f>
        <v>#N/A</v>
      </c>
      <c r="M12" t="e">
        <f>'summary results'!$G$30</f>
        <v>#NUM!</v>
      </c>
      <c r="N12" t="e">
        <f>'summary results'!$G$31</f>
        <v>#NUM!</v>
      </c>
    </row>
    <row r="13" spans="1:23" x14ac:dyDescent="0.35">
      <c r="A13" s="1">
        <f t="shared" si="1"/>
        <v>0</v>
      </c>
      <c r="B13" s="44">
        <f t="shared" si="2"/>
        <v>0</v>
      </c>
      <c r="D13" s="44" t="e">
        <f>CONCATENATE(VLOOKUP(Tableau3[[#This Row],[Nom ND]],liste_groupe[],3,FALSE),VLOOKUP(Tableau3[[#This Row],[Nom ND]],liste_groupe[],4,FALSE))</f>
        <v>#N/A</v>
      </c>
      <c r="E13" s="44" t="e">
        <f>HLOOKUP(Tableau3[[#This Row],[Nom ND]],'pooled normalised values'!$B$74:$V$83,4,FALSE)</f>
        <v>#N/A</v>
      </c>
      <c r="F13" s="44" t="e">
        <f>HLOOKUP(Tableau3[[#This Row],[Nom ND]],'pooled normalised values'!$B$74:$V$83,8,FALSE)</f>
        <v>#N/A</v>
      </c>
      <c r="G13" s="44" t="e">
        <f>VLOOKUP(Tableau3[[#This Row],[Nom ND]],'summary results'!$A$6:$N$26,9,FALSE)</f>
        <v>#N/A</v>
      </c>
      <c r="H13" s="44" t="e">
        <f>VLOOKUP(Tableau3[[#This Row],[Nom ND]],'summary results'!$A$6:$N$26,11,FALSE)</f>
        <v>#N/A</v>
      </c>
      <c r="I13" s="44" t="e">
        <f>HLOOKUP(Tableau3[[#This Row],[Nom D]],'pooled normalised values'!$B$74:$V$83,4,FALSE)</f>
        <v>#N/A</v>
      </c>
      <c r="J13" s="44" t="e">
        <f>HLOOKUP(Tableau3[[#This Row],[Nom D]],'pooled normalised values'!$B$74:$V$83,8,FALSE)</f>
        <v>#N/A</v>
      </c>
      <c r="K13" s="44" t="e">
        <f>VLOOKUP(Tableau3[[#This Row],[Nom D]],'summary results'!$A$29:$N$51,9,FALSE)</f>
        <v>#N/A</v>
      </c>
      <c r="L13" s="44" t="e">
        <f>VLOOKUP(Tableau3[[#This Row],[Nom D]],'summary results'!$A$29:$N$51,11,FALSE)</f>
        <v>#N/A</v>
      </c>
      <c r="M13" t="e">
        <f>'summary results'!$G$30</f>
        <v>#NUM!</v>
      </c>
      <c r="N13" t="e">
        <f>'summary results'!$G$31</f>
        <v>#NUM!</v>
      </c>
    </row>
    <row r="14" spans="1:23" x14ac:dyDescent="0.35">
      <c r="A14" s="1">
        <f t="shared" si="1"/>
        <v>0</v>
      </c>
      <c r="B14" s="44">
        <f t="shared" si="2"/>
        <v>0</v>
      </c>
      <c r="D14" s="44" t="e">
        <f>CONCATENATE(VLOOKUP(Tableau3[[#This Row],[Nom ND]],liste_groupe[],3,FALSE),VLOOKUP(Tableau3[[#This Row],[Nom ND]],liste_groupe[],4,FALSE))</f>
        <v>#N/A</v>
      </c>
      <c r="E14" s="44" t="e">
        <f>HLOOKUP(Tableau3[[#This Row],[Nom ND]],'pooled normalised values'!$B$74:$V$83,4,FALSE)</f>
        <v>#N/A</v>
      </c>
      <c r="F14" s="44" t="e">
        <f>HLOOKUP(Tableau3[[#This Row],[Nom ND]],'pooled normalised values'!$B$74:$V$83,8,FALSE)</f>
        <v>#N/A</v>
      </c>
      <c r="G14" s="44" t="e">
        <f>VLOOKUP(Tableau3[[#This Row],[Nom ND]],'summary results'!$A$6:$N$26,9,FALSE)</f>
        <v>#N/A</v>
      </c>
      <c r="H14" s="44" t="e">
        <f>VLOOKUP(Tableau3[[#This Row],[Nom ND]],'summary results'!$A$6:$N$26,11,FALSE)</f>
        <v>#N/A</v>
      </c>
      <c r="I14" s="44" t="e">
        <f>HLOOKUP(Tableau3[[#This Row],[Nom D]],'pooled normalised values'!$B$74:$V$83,4,FALSE)</f>
        <v>#N/A</v>
      </c>
      <c r="J14" s="44" t="e">
        <f>HLOOKUP(Tableau3[[#This Row],[Nom D]],'pooled normalised values'!$B$74:$V$83,8,FALSE)</f>
        <v>#N/A</v>
      </c>
      <c r="K14" s="44" t="e">
        <f>VLOOKUP(Tableau3[[#This Row],[Nom D]],'summary results'!$A$29:$N$51,9,FALSE)</f>
        <v>#N/A</v>
      </c>
      <c r="L14" s="44" t="e">
        <f>VLOOKUP(Tableau3[[#This Row],[Nom D]],'summary results'!$A$29:$N$51,11,FALSE)</f>
        <v>#N/A</v>
      </c>
      <c r="M14" t="e">
        <f>'summary results'!$G$30</f>
        <v>#NUM!</v>
      </c>
      <c r="N14" t="e">
        <f>'summary results'!$G$31</f>
        <v>#NUM!</v>
      </c>
    </row>
    <row r="15" spans="1:23" x14ac:dyDescent="0.35">
      <c r="A15" s="1">
        <f t="shared" si="1"/>
        <v>0</v>
      </c>
      <c r="B15" s="44">
        <f t="shared" si="2"/>
        <v>0</v>
      </c>
      <c r="D15" s="44" t="e">
        <f>CONCATENATE(VLOOKUP(Tableau3[[#This Row],[Nom ND]],liste_groupe[],3,FALSE),VLOOKUP(Tableau3[[#This Row],[Nom ND]],liste_groupe[],4,FALSE))</f>
        <v>#N/A</v>
      </c>
      <c r="E15" s="44" t="e">
        <f>HLOOKUP(Tableau3[[#This Row],[Nom ND]],'pooled normalised values'!$B$74:$V$83,4,FALSE)</f>
        <v>#N/A</v>
      </c>
      <c r="F15" s="44" t="e">
        <f>HLOOKUP(Tableau3[[#This Row],[Nom ND]],'pooled normalised values'!$B$74:$V$83,8,FALSE)</f>
        <v>#N/A</v>
      </c>
      <c r="G15" s="44" t="e">
        <f>VLOOKUP(Tableau3[[#This Row],[Nom ND]],'summary results'!$A$6:$N$26,9,FALSE)</f>
        <v>#N/A</v>
      </c>
      <c r="H15" s="44" t="e">
        <f>VLOOKUP(Tableau3[[#This Row],[Nom ND]],'summary results'!$A$6:$N$26,11,FALSE)</f>
        <v>#N/A</v>
      </c>
      <c r="I15" s="44" t="e">
        <f>HLOOKUP(Tableau3[[#This Row],[Nom D]],'pooled normalised values'!$B$74:$V$83,4,FALSE)</f>
        <v>#N/A</v>
      </c>
      <c r="J15" s="44" t="e">
        <f>HLOOKUP(Tableau3[[#This Row],[Nom D]],'pooled normalised values'!$B$74:$V$83,8,FALSE)</f>
        <v>#N/A</v>
      </c>
      <c r="K15" s="44" t="e">
        <f>VLOOKUP(Tableau3[[#This Row],[Nom D]],'summary results'!$A$29:$N$51,9,FALSE)</f>
        <v>#N/A</v>
      </c>
      <c r="L15" s="44" t="e">
        <f>VLOOKUP(Tableau3[[#This Row],[Nom D]],'summary results'!$A$29:$N$51,11,FALSE)</f>
        <v>#N/A</v>
      </c>
      <c r="M15" t="e">
        <f>'summary results'!$G$30</f>
        <v>#NUM!</v>
      </c>
      <c r="N15" t="e">
        <f>'summary results'!$G$31</f>
        <v>#NUM!</v>
      </c>
    </row>
  </sheetData>
  <mergeCells count="2">
    <mergeCell ref="Q1:S1"/>
    <mergeCell ref="U1:W1"/>
  </mergeCells>
  <pageMargins left="0.7" right="0.7" top="0.75" bottom="0.75" header="0.3" footer="0.3"/>
  <tableParts count="1">
    <tablePart r:id="rId3"/>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776C436BD700BD428C1C0C71E54D8B5E" ma:contentTypeVersion="18" ma:contentTypeDescription="Create a new document." ma:contentTypeScope="" ma:versionID="782111b43a65dadfbc410eb6ccb7aa06">
  <xsd:schema xmlns:xsd="http://www.w3.org/2001/XMLSchema" xmlns:xs="http://www.w3.org/2001/XMLSchema" xmlns:p="http://schemas.microsoft.com/office/2006/metadata/properties" xmlns:ns2="cc801401-75a6-4297-ad63-d4d786ff6e7c" xmlns:ns3="508cc0b8-c8e1-4e41-95d2-be8416ed53ba" targetNamespace="http://schemas.microsoft.com/office/2006/metadata/properties" ma:root="true" ma:fieldsID="7f493af8791a6264672b29a70f2a6765" ns2:_="" ns3:_="">
    <xsd:import namespace="cc801401-75a6-4297-ad63-d4d786ff6e7c"/>
    <xsd:import namespace="508cc0b8-c8e1-4e41-95d2-be8416ed53ba"/>
    <xsd:element name="properties">
      <xsd:complexType>
        <xsd:sequence>
          <xsd:element name="documentManagement">
            <xsd:complexType>
              <xsd:all>
                <xsd:element ref="ns2:SharedWithUsers" minOccurs="0"/>
                <xsd:element ref="ns2:SharedWithDetails" minOccurs="0"/>
                <xsd:element ref="ns2:LastSharedByUser" minOccurs="0"/>
                <xsd:element ref="ns2:LastSharedByTime" minOccurs="0"/>
                <xsd:element ref="ns3:MediaServiceMetadata" minOccurs="0"/>
                <xsd:element ref="ns3:MediaServiceFastMetadata" minOccurs="0"/>
                <xsd:element ref="ns3:MediaServiceDateTaken" minOccurs="0"/>
                <xsd:element ref="ns3:MediaServiceAutoTags" minOccurs="0"/>
                <xsd:element ref="ns3:MediaServiceLocation" minOccurs="0"/>
                <xsd:element ref="ns3:MediaServiceOCR" minOccurs="0"/>
                <xsd:element ref="ns3:MediaServiceGenerationTime" minOccurs="0"/>
                <xsd:element ref="ns3:MediaServiceEventHashCode" minOccurs="0"/>
                <xsd:element ref="ns3:MediaServiceAutoKeyPoints" minOccurs="0"/>
                <xsd:element ref="ns3:MediaServiceKeyPoints" minOccurs="0"/>
                <xsd:element ref="ns3:MediaLengthInSeconds" minOccurs="0"/>
                <xsd:element ref="ns3:lcf76f155ced4ddcb4097134ff3c332f" minOccurs="0"/>
                <xsd:element ref="ns2:TaxCatchAll"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cc801401-75a6-4297-ad63-d4d786ff6e7c" elementFormDefault="qualified">
    <xsd:import namespace="http://schemas.microsoft.com/office/2006/documentManagement/types"/>
    <xsd:import namespace="http://schemas.microsoft.com/office/infopath/2007/PartnerControls"/>
    <xsd:element name="SharedWithUsers" ma:index="8" nillable="true" ma:displayName="Shared With" ma:descripti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Shared With Details" ma:description="" ma:internalName="SharedWithDetails" ma:readOnly="true">
      <xsd:simpleType>
        <xsd:restriction base="dms:Note">
          <xsd:maxLength value="255"/>
        </xsd:restriction>
      </xsd:simpleType>
    </xsd:element>
    <xsd:element name="LastSharedByUser" ma:index="10" nillable="true" ma:displayName="Last Shared By User" ma:description="" ma:internalName="LastSharedByUser" ma:readOnly="true">
      <xsd:simpleType>
        <xsd:restriction base="dms:Note">
          <xsd:maxLength value="255"/>
        </xsd:restriction>
      </xsd:simpleType>
    </xsd:element>
    <xsd:element name="LastSharedByTime" ma:index="11" nillable="true" ma:displayName="Last Shared By Time" ma:description="" ma:internalName="LastSharedByTime" ma:readOnly="true">
      <xsd:simpleType>
        <xsd:restriction base="dms:DateTime"/>
      </xsd:simpleType>
    </xsd:element>
    <xsd:element name="TaxCatchAll" ma:index="25" nillable="true" ma:displayName="Taxonomy Catch All Column" ma:hidden="true" ma:list="2e281972-ae1b-43a4-854f-cb1565a95e46" ma:internalName="TaxCatchAll" ma:showField="CatchAllData" ma:web="cc801401-75a6-4297-ad63-d4d786ff6e7c">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508cc0b8-c8e1-4e41-95d2-be8416ed53ba" elementFormDefault="qualified">
    <xsd:import namespace="http://schemas.microsoft.com/office/2006/documentManagement/types"/>
    <xsd:import namespace="http://schemas.microsoft.com/office/infopath/2007/PartnerControls"/>
    <xsd:element name="MediaServiceMetadata" ma:index="12" nillable="true" ma:displayName="MediaServiceMetadata" ma:description="" ma:hidden="true" ma:internalName="MediaServiceMetadata" ma:readOnly="true">
      <xsd:simpleType>
        <xsd:restriction base="dms:Note"/>
      </xsd:simpleType>
    </xsd:element>
    <xsd:element name="MediaServiceFastMetadata" ma:index="13" nillable="true" ma:displayName="MediaServiceFastMetadata" ma:description="" ma:hidden="true" ma:internalName="MediaServiceFastMetadata" ma:readOnly="true">
      <xsd:simpleType>
        <xsd:restriction base="dms:Note"/>
      </xsd:simpleType>
    </xsd:element>
    <xsd:element name="MediaServiceDateTaken" ma:index="14" nillable="true" ma:displayName="MediaServiceDateTaken" ma:description="" ma:hidden="true" ma:internalName="MediaServiceDateTaken" ma:readOnly="true">
      <xsd:simpleType>
        <xsd:restriction base="dms:Text"/>
      </xsd:simpleType>
    </xsd:element>
    <xsd:element name="MediaServiceAutoTags" ma:index="15" nillable="true" ma:displayName="MediaServiceAutoTags" ma:description="" ma:internalName="MediaServiceAutoTags" ma:readOnly="true">
      <xsd:simpleType>
        <xsd:restriction base="dms:Text"/>
      </xsd:simpleType>
    </xsd:element>
    <xsd:element name="MediaServiceLocation" ma:index="16" nillable="true" ma:displayName="MediaServiceLocation" ma:internalName="MediaServiceLocation" ma:readOnly="true">
      <xsd:simpleType>
        <xsd:restriction base="dms:Text"/>
      </xsd:simpleType>
    </xsd:element>
    <xsd:element name="MediaServiceOCR" ma:index="17" nillable="true" ma:displayName="MediaServiceOCR" ma:internalName="MediaServiceOCR" ma:readOnly="true">
      <xsd:simpleType>
        <xsd:restriction base="dms:Note">
          <xsd:maxLength value="255"/>
        </xsd:restriction>
      </xsd:simpleType>
    </xsd:element>
    <xsd:element name="MediaServiceGenerationTime" ma:index="18" nillable="true" ma:displayName="MediaServiceGenerationTime" ma:hidden="true" ma:internalName="MediaServiceGenerationTime" ma:readOnly="true">
      <xsd:simpleType>
        <xsd:restriction base="dms:Text"/>
      </xsd:simpleType>
    </xsd:element>
    <xsd:element name="MediaServiceEventHashCode" ma:index="19" nillable="true" ma:displayName="MediaServiceEventHashCode" ma:hidden="true" ma:internalName="MediaServiceEventHashCode" ma:readOnly="true">
      <xsd:simpleType>
        <xsd:restriction base="dms:Text"/>
      </xsd:simpleType>
    </xsd:element>
    <xsd:element name="MediaServiceAutoKeyPoints" ma:index="20" nillable="true" ma:displayName="MediaServiceAutoKeyPoints" ma:hidden="true" ma:internalName="MediaServiceAutoKeyPoints" ma:readOnly="true">
      <xsd:simpleType>
        <xsd:restriction base="dms:Note"/>
      </xsd:simpleType>
    </xsd:element>
    <xsd:element name="MediaServiceKeyPoints" ma:index="21" nillable="true" ma:displayName="KeyPoints" ma:internalName="MediaServiceKeyPoints" ma:readOnly="true">
      <xsd:simpleType>
        <xsd:restriction base="dms:Note">
          <xsd:maxLength value="255"/>
        </xsd:restriction>
      </xsd:simpleType>
    </xsd:element>
    <xsd:element name="MediaLengthInSeconds" ma:index="22" nillable="true" ma:displayName="Length (seconds)" ma:internalName="MediaLengthInSeconds" ma:readOnly="true">
      <xsd:simpleType>
        <xsd:restriction base="dms:Unknown"/>
      </xsd:simpleType>
    </xsd:element>
    <xsd:element name="lcf76f155ced4ddcb4097134ff3c332f" ma:index="24" nillable="true" ma:taxonomy="true" ma:internalName="lcf76f155ced4ddcb4097134ff3c332f" ma:taxonomyFieldName="MediaServiceImageTags" ma:displayName="Image Tags" ma:readOnly="false" ma:fieldId="{5cf76f15-5ced-4ddc-b409-7134ff3c332f}" ma:taxonomyMulti="true" ma:sspId="04f2cd92-8d93-4e4c-83d3-86703d91558f" ma:termSetId="09814cd3-568e-fe90-9814-8d621ff8fb84" ma:anchorId="fba54fb3-c3e1-fe81-a776-ca4b69148c4d" ma:open="true" ma:isKeyword="false">
      <xsd:complexType>
        <xsd:sequence>
          <xsd:element ref="pc:Terms" minOccurs="0" maxOccurs="1"/>
        </xsd:sequence>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15EF5124-9610-4D7D-B136-75F8E6845C60}"/>
</file>

<file path=customXml/itemProps2.xml><?xml version="1.0" encoding="utf-8"?>
<ds:datastoreItem xmlns:ds="http://schemas.openxmlformats.org/officeDocument/2006/customXml" ds:itemID="{EBF6FACB-AE7E-467C-B17D-A1212238CB25}"/>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6" baseType="variant">
      <vt:variant>
        <vt:lpstr>Feuilles de calcul</vt:lpstr>
      </vt:variant>
      <vt:variant>
        <vt:i4>14</vt:i4>
      </vt:variant>
      <vt:variant>
        <vt:lpstr>Graphiques</vt:lpstr>
      </vt:variant>
      <vt:variant>
        <vt:i4>4</vt:i4>
      </vt:variant>
      <vt:variant>
        <vt:lpstr>Plages nommées</vt:lpstr>
      </vt:variant>
      <vt:variant>
        <vt:i4>1</vt:i4>
      </vt:variant>
    </vt:vector>
  </HeadingPairs>
  <TitlesOfParts>
    <vt:vector size="19" baseType="lpstr">
      <vt:lpstr>Page de garde</vt:lpstr>
      <vt:lpstr>Feuil1</vt:lpstr>
      <vt:lpstr>Raw data R1</vt:lpstr>
      <vt:lpstr>R1</vt:lpstr>
      <vt:lpstr>Raw data R2</vt:lpstr>
      <vt:lpstr>R2</vt:lpstr>
      <vt:lpstr>Raw data R3</vt:lpstr>
      <vt:lpstr>R3</vt:lpstr>
      <vt:lpstr>pooled normalised values</vt:lpstr>
      <vt:lpstr>summary results</vt:lpstr>
      <vt:lpstr>Notice</vt:lpstr>
      <vt:lpstr>Graph format rapport CHG</vt:lpstr>
      <vt:lpstr>Graph format rapport CHG 1éch</vt:lpstr>
      <vt:lpstr>Récap</vt:lpstr>
      <vt:lpstr>Graph R1</vt:lpstr>
      <vt:lpstr>Graph R2</vt:lpstr>
      <vt:lpstr>Graph R3</vt:lpstr>
      <vt:lpstr>pooled normalised graphe</vt:lpstr>
      <vt:lpstr>'Page de garde'!Zone_d_impression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2022-10-05T13:59:47Z</dcterms:modified>
</cp:coreProperties>
</file>